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115" yWindow="270" windowWidth="22005" windowHeight="11760"/>
  </bookViews>
  <sheets>
    <sheet name="2013 Graduates by Industry" sheetId="11" r:id="rId1"/>
    <sheet name="2013 Graduates by Function" sheetId="12" r:id="rId2"/>
    <sheet name="2013 Interns By Industry" sheetId="9" r:id="rId3"/>
    <sheet name="2013 Interns by Function" sheetId="10" r:id="rId4"/>
  </sheets>
  <calcPr calcId="125725"/>
</workbook>
</file>

<file path=xl/calcChain.xml><?xml version="1.0" encoding="utf-8"?>
<calcChain xmlns="http://schemas.openxmlformats.org/spreadsheetml/2006/main">
  <c r="H40" i="12"/>
  <c r="H39"/>
  <c r="H36"/>
  <c r="H35"/>
  <c r="H34"/>
  <c r="H31"/>
  <c r="H30"/>
  <c r="H29"/>
  <c r="H26"/>
  <c r="H25"/>
  <c r="H24"/>
  <c r="H23"/>
  <c r="H20"/>
  <c r="H19"/>
  <c r="H18"/>
  <c r="H17"/>
  <c r="H16"/>
  <c r="H15"/>
  <c r="H14"/>
  <c r="H11"/>
  <c r="H10"/>
  <c r="H7"/>
  <c r="H6"/>
  <c r="H36" i="11"/>
  <c r="H35"/>
  <c r="H34"/>
  <c r="H33"/>
  <c r="H31"/>
  <c r="H28"/>
  <c r="H27"/>
  <c r="H26"/>
  <c r="H25"/>
  <c r="H22"/>
  <c r="H21"/>
  <c r="H18"/>
  <c r="H17"/>
  <c r="H16"/>
  <c r="H15"/>
  <c r="H14"/>
  <c r="H12"/>
  <c r="H11"/>
  <c r="H8"/>
  <c r="H7"/>
</calcChain>
</file>

<file path=xl/sharedStrings.xml><?xml version="1.0" encoding="utf-8"?>
<sst xmlns="http://schemas.openxmlformats.org/spreadsheetml/2006/main" count="282" uniqueCount="190">
  <si>
    <t>Industry</t>
  </si>
  <si>
    <t>Real Estate</t>
  </si>
  <si>
    <t>Retail</t>
  </si>
  <si>
    <t>Consulting</t>
  </si>
  <si>
    <t>Consumer Products</t>
  </si>
  <si>
    <t>Development / Rotational Program</t>
  </si>
  <si>
    <t>Consumer Products - Beverages / Food</t>
  </si>
  <si>
    <t>Manufacturing</t>
  </si>
  <si>
    <t>Other</t>
  </si>
  <si>
    <t>Corporate Finance</t>
  </si>
  <si>
    <t>Financial Services</t>
  </si>
  <si>
    <t xml:space="preserve">Other </t>
  </si>
  <si>
    <t>Marketing</t>
  </si>
  <si>
    <t>Economic Development / Microfinance</t>
  </si>
  <si>
    <t>Internet Services / E-Commerce</t>
  </si>
  <si>
    <t>2013 Interns</t>
  </si>
  <si>
    <t>Consumer Products - Other</t>
  </si>
  <si>
    <t>%</t>
  </si>
  <si>
    <t>Monthly Salary Range*</t>
  </si>
  <si>
    <t>Median</t>
  </si>
  <si>
    <t xml:space="preserve">Consulting </t>
  </si>
  <si>
    <t>Strategic / Management</t>
  </si>
  <si>
    <t>4,500 - 12,083</t>
  </si>
  <si>
    <t>2,000 - 9,000</t>
  </si>
  <si>
    <t xml:space="preserve">Financial Services </t>
  </si>
  <si>
    <t>Diversified Financial Services</t>
  </si>
  <si>
    <t>3,222 - 9,000</t>
  </si>
  <si>
    <t>Investment Banking/Brokerage</t>
  </si>
  <si>
    <t>4,000 - 10,833</t>
  </si>
  <si>
    <t>Investment Management</t>
  </si>
  <si>
    <t xml:space="preserve">   Hedge Funds/Mutual Funds</t>
  </si>
  <si>
    <t>2,000 - 15,000</t>
  </si>
  <si>
    <t xml:space="preserve">   Private Equity/Venture Capital</t>
  </si>
  <si>
    <t>1,000 - 10,000</t>
  </si>
  <si>
    <t xml:space="preserve">   Other Investment Management</t>
  </si>
  <si>
    <t>2,692 - 12,083</t>
  </si>
  <si>
    <t>2,500 - 10,000</t>
  </si>
  <si>
    <t xml:space="preserve">Media/Technology (Nonhealth) </t>
  </si>
  <si>
    <t>Entertainment (Film/Music/TV/Sports/Publishing)</t>
  </si>
  <si>
    <t>Digital/Hardware/Software/Telecom</t>
  </si>
  <si>
    <t>Education/Government/Nonprofit</t>
  </si>
  <si>
    <t>Healthcare (including Pharmaceuticals)</t>
  </si>
  <si>
    <t>1,200 - 8,000</t>
  </si>
  <si>
    <t>1,650 - 7,100</t>
  </si>
  <si>
    <t>3,680 - 8,000</t>
  </si>
  <si>
    <t>4,000 - 9,000</t>
  </si>
  <si>
    <t>3,200 - 9,600</t>
  </si>
  <si>
    <t>1,500 - 8,000</t>
  </si>
  <si>
    <t>-</t>
  </si>
  <si>
    <t>1,600 - 7,900</t>
  </si>
  <si>
    <t>1,200 - 9,167</t>
  </si>
  <si>
    <t>1,500 - 6,666</t>
  </si>
  <si>
    <t>5,000 - 7,000</t>
  </si>
  <si>
    <t>+</t>
  </si>
  <si>
    <t>2,240 - 7,500</t>
  </si>
  <si>
    <t>Function</t>
  </si>
  <si>
    <t>Base Salary Range*</t>
  </si>
  <si>
    <t>Management Consulting</t>
  </si>
  <si>
    <t>2,000 - 12,083</t>
  </si>
  <si>
    <t>Strategic Planning</t>
  </si>
  <si>
    <t>1,500 - 11,250</t>
  </si>
  <si>
    <t>Finance (Internal)</t>
  </si>
  <si>
    <t>Business / Corporate Development</t>
  </si>
  <si>
    <t>1,500 - 10,000</t>
  </si>
  <si>
    <t>1,200 - 8,333</t>
  </si>
  <si>
    <t>Buy Side/Sell Side Research</t>
  </si>
  <si>
    <t>3,000 - 12,083</t>
  </si>
  <si>
    <t>Investment Banking/M&amp;A</t>
  </si>
  <si>
    <t>Private Client Services / Wealth Mgmt</t>
  </si>
  <si>
    <t>8,333 - 10,000</t>
  </si>
  <si>
    <t>Private Equity/LBO's</t>
  </si>
  <si>
    <t>1,000 - 12,500</t>
  </si>
  <si>
    <t>Sales and Trading</t>
  </si>
  <si>
    <t>4,000 - 8,333</t>
  </si>
  <si>
    <t>3,222 - 8,333</t>
  </si>
  <si>
    <t>Management</t>
  </si>
  <si>
    <t>General Management</t>
  </si>
  <si>
    <t>2,500 - 8,000</t>
  </si>
  <si>
    <t>Operations</t>
  </si>
  <si>
    <t>3,300 - 8,000</t>
  </si>
  <si>
    <t>Project Management</t>
  </si>
  <si>
    <t>2,800 - 8,000</t>
  </si>
  <si>
    <t>4,000 - 6,000</t>
  </si>
  <si>
    <t>Brand-Product Management</t>
  </si>
  <si>
    <t>1,600 - 8,333</t>
  </si>
  <si>
    <t>Business/Product Development</t>
  </si>
  <si>
    <t>3,200 - 8,800</t>
  </si>
  <si>
    <t>5,000 - 10,000</t>
  </si>
  <si>
    <t>Other Functions</t>
  </si>
  <si>
    <t>4,000 - 10,000</t>
  </si>
  <si>
    <t>2,400 - 8,000</t>
  </si>
  <si>
    <t xml:space="preserve">Real Estate </t>
  </si>
  <si>
    <t xml:space="preserve">Finance </t>
  </si>
  <si>
    <t>2,500 - 9167</t>
  </si>
  <si>
    <t>2013 Graduates</t>
  </si>
  <si>
    <t>Other Compensation* - Range</t>
  </si>
  <si>
    <t>90,000 - 200,000</t>
  </si>
  <si>
    <t>10,000 - 145,000</t>
  </si>
  <si>
    <t>70,000 - 175,000</t>
  </si>
  <si>
    <t>5,000 - 62,000</t>
  </si>
  <si>
    <t>80,000 - 112,000</t>
  </si>
  <si>
    <t>18,000 - 48,000</t>
  </si>
  <si>
    <t>60,000 - 160,000</t>
  </si>
  <si>
    <t>20,000 - 135,000</t>
  </si>
  <si>
    <t xml:space="preserve">   Fund of Funds/Hedge Funds/Mutual Funds</t>
  </si>
  <si>
    <t>75,000 - 175,000</t>
  </si>
  <si>
    <t>15,000 - 200,000</t>
  </si>
  <si>
    <t xml:space="preserve">   Private Equity</t>
  </si>
  <si>
    <t>67,000 - 310,000</t>
  </si>
  <si>
    <t>10,000 - 300,000</t>
  </si>
  <si>
    <t xml:space="preserve">   Venture Capital</t>
  </si>
  <si>
    <t>90,000 - 150,000</t>
  </si>
  <si>
    <t>80,000 - 225,000</t>
  </si>
  <si>
    <t>30,000 - 167,500</t>
  </si>
  <si>
    <t>80,400 - 140,000</t>
  </si>
  <si>
    <t>20,000 - 75,000</t>
  </si>
  <si>
    <t>58,271 - 180,000</t>
  </si>
  <si>
    <t>1,500 - 170,000</t>
  </si>
  <si>
    <t>80,000 - 230,000</t>
  </si>
  <si>
    <t>17,500 - 25,000</t>
  </si>
  <si>
    <t>Entertainment (Film/Music/TV/Sports/Leisure)</t>
  </si>
  <si>
    <t>65,000 - 170,000</t>
  </si>
  <si>
    <t>7,800 - 55,000</t>
  </si>
  <si>
    <t>70,000 - 240,000</t>
  </si>
  <si>
    <t>7,500 - 118,000</t>
  </si>
  <si>
    <t>Software/Telecom</t>
  </si>
  <si>
    <t>65,000 - 130,000</t>
  </si>
  <si>
    <t>15,000 - 80,000</t>
  </si>
  <si>
    <t>85,000 - 140,000</t>
  </si>
  <si>
    <t>10,000 - 60,000</t>
  </si>
  <si>
    <t>Aerospace / Aviation / Defense / Transportation</t>
  </si>
  <si>
    <t>50,000 - 140,000</t>
  </si>
  <si>
    <t>15,000 - 20,000</t>
  </si>
  <si>
    <t>44,000 - 100,000</t>
  </si>
  <si>
    <t>55,000 - 125,000</t>
  </si>
  <si>
    <t>11,750 - 65,000</t>
  </si>
  <si>
    <t>80,000 - 180,000</t>
  </si>
  <si>
    <t>2,500 - 100,000</t>
  </si>
  <si>
    <t>85,000 - 106,000</t>
  </si>
  <si>
    <t>5,000 - 15,500</t>
  </si>
  <si>
    <t>60,000 - 210,000</t>
  </si>
  <si>
    <t>10,000 - 27,000</t>
  </si>
  <si>
    <t>*Includes sign-on, year-end and other guaranteed compensation besides base salary but does not include tuition reimbursement, relocation compensation, carry or nonguarnateed performance bonuses.</t>
  </si>
  <si>
    <t>70,000 - 200,000</t>
  </si>
  <si>
    <t>5,000 - 145,000</t>
  </si>
  <si>
    <t>60,000 - 180,000</t>
  </si>
  <si>
    <t>18,400 - 50,000</t>
  </si>
  <si>
    <t>70,000 - 225,000</t>
  </si>
  <si>
    <t>15,000 -66,500</t>
  </si>
  <si>
    <t>90,000 - 121,000</t>
  </si>
  <si>
    <t>5,000 - 170,000</t>
  </si>
  <si>
    <t>80,000 - 200,000</t>
  </si>
  <si>
    <t>20,000 - 160,000</t>
  </si>
  <si>
    <t>100,000 - 160,000</t>
  </si>
  <si>
    <t>35,000 - 135,000</t>
  </si>
  <si>
    <t>60,000 - 220,000</t>
  </si>
  <si>
    <t>45,000 - 50,000</t>
  </si>
  <si>
    <t>Private Equity/LBO's/Venture Capital</t>
  </si>
  <si>
    <t>47,500 - 57,500</t>
  </si>
  <si>
    <t>80,400 - 225,000</t>
  </si>
  <si>
    <t>10,000 - 102,500</t>
  </si>
  <si>
    <t>57,000 - 230,000</t>
  </si>
  <si>
    <t>15,500 - 62,000</t>
  </si>
  <si>
    <t>87,000 - 120,000</t>
  </si>
  <si>
    <t>35,000 - 40,000</t>
  </si>
  <si>
    <t>Rotational / Development Program</t>
  </si>
  <si>
    <t>95,000 - 140,000</t>
  </si>
  <si>
    <t>15,000 - 50,000</t>
  </si>
  <si>
    <t>58,271 - 130,000</t>
  </si>
  <si>
    <t>10,000 - 18,000</t>
  </si>
  <si>
    <t>1,500 - 80,000</t>
  </si>
  <si>
    <t>Business Development</t>
  </si>
  <si>
    <t>90,000 - 240,000</t>
  </si>
  <si>
    <t>10,000 - 118,000</t>
  </si>
  <si>
    <t>70,000 - 135,000</t>
  </si>
  <si>
    <t>10,000 - 40,000</t>
  </si>
  <si>
    <t>Lawyer/Legal Professional</t>
  </si>
  <si>
    <t>44,000 - 210,000</t>
  </si>
  <si>
    <t>20,000 - 27,000</t>
  </si>
  <si>
    <t>Technology</t>
  </si>
  <si>
    <t>90,000 - 135,000</t>
  </si>
  <si>
    <t>50,000 - 120,000</t>
  </si>
  <si>
    <t>7,500 - 60,000</t>
  </si>
  <si>
    <t>100,000 - 150,000</t>
  </si>
  <si>
    <t>5,000 - 100,000</t>
  </si>
  <si>
    <t>2,500 - 30,000</t>
  </si>
  <si>
    <t>Data on these two pages includes information on 86 sponsored students returning to their employers, but excludes 18 students starting their own businesses.  Excluding all of these students, per MBA CSEA (formerly MBA CSC) reporting standards and as the School reports to the press, leads to the following data:</t>
  </si>
  <si>
    <t>Industry:  Consulting 20.7%, Finance 43.1%, Manufacturing 9.1%, Media/Tech 14.9%, Other 12.2%</t>
  </si>
  <si>
    <t>Function:  Consulting 26.2%, Finance (Internal) 7.6%, Financial Services 38%, Management 8.0%, Marketing 9.8%, Other 10.4%</t>
  </si>
  <si>
    <t>Please note that these numbers include Sponsored students returning to their employer.</t>
  </si>
</sst>
</file>

<file path=xl/styles.xml><?xml version="1.0" encoding="utf-8"?>
<styleSheet xmlns="http://schemas.openxmlformats.org/spreadsheetml/2006/main">
  <numFmts count="3">
    <numFmt numFmtId="7" formatCode="&quot;$&quot;#,##0.00_);\(&quot;$&quot;#,##0.00\)"/>
    <numFmt numFmtId="164" formatCode="0.0%"/>
    <numFmt numFmtId="165" formatCode="0.0"/>
  </numFmts>
  <fonts count="26">
    <font>
      <sz val="11"/>
      <color theme="1"/>
      <name val="Calibri"/>
      <family val="2"/>
      <scheme val="minor"/>
    </font>
    <font>
      <sz val="10"/>
      <name val="Arial"/>
      <family val="2"/>
    </font>
    <font>
      <sz val="9"/>
      <name val="Arial"/>
      <family val="2"/>
    </font>
    <font>
      <sz val="11"/>
      <color theme="0"/>
      <name val="Calibri"/>
      <family val="2"/>
      <scheme val="minor"/>
    </font>
    <font>
      <sz val="11"/>
      <name val="Calibri"/>
      <family val="2"/>
      <scheme val="minor"/>
    </font>
    <font>
      <b/>
      <sz val="22"/>
      <color rgb="FFFF0000"/>
      <name val="Arial"/>
      <family val="2"/>
    </font>
    <font>
      <b/>
      <sz val="12"/>
      <name val="Arial"/>
      <family val="2"/>
    </font>
    <font>
      <b/>
      <sz val="14"/>
      <color rgb="FFFF0000"/>
      <name val="Arial"/>
      <family val="2"/>
    </font>
    <font>
      <b/>
      <sz val="10"/>
      <color indexed="18"/>
      <name val="Arial"/>
      <family val="2"/>
    </font>
    <font>
      <b/>
      <sz val="8.5"/>
      <color indexed="18"/>
      <name val="Arial"/>
      <family val="2"/>
    </font>
    <font>
      <b/>
      <sz val="9"/>
      <color indexed="18"/>
      <name val="Arial"/>
      <family val="2"/>
    </font>
    <font>
      <b/>
      <sz val="9"/>
      <color rgb="FF002060"/>
      <name val="Arial"/>
      <family val="2"/>
    </font>
    <font>
      <sz val="9"/>
      <color theme="1"/>
      <name val="Arial"/>
      <family val="2"/>
    </font>
    <font>
      <sz val="9"/>
      <color theme="0" tint="-0.249977111117893"/>
      <name val="Arial"/>
      <family val="2"/>
    </font>
    <font>
      <sz val="8"/>
      <name val="Arial"/>
      <family val="2"/>
    </font>
    <font>
      <sz val="8"/>
      <color theme="1"/>
      <name val="Arial"/>
      <family val="2"/>
    </font>
    <font>
      <sz val="11"/>
      <color theme="0" tint="-0.14999847407452621"/>
      <name val="Calibri"/>
      <family val="2"/>
      <scheme val="minor"/>
    </font>
    <font>
      <b/>
      <sz val="12"/>
      <color rgb="FFFF0000"/>
      <name val="Arial"/>
      <family val="2"/>
    </font>
    <font>
      <b/>
      <sz val="18"/>
      <color indexed="10"/>
      <name val="Arial"/>
      <family val="2"/>
    </font>
    <font>
      <sz val="8"/>
      <color theme="0"/>
      <name val="Arial"/>
      <family val="2"/>
    </font>
    <font>
      <sz val="10"/>
      <color theme="0"/>
      <name val="Arial"/>
      <family val="2"/>
    </font>
    <font>
      <sz val="9"/>
      <color theme="0"/>
      <name val="Arial"/>
      <family val="2"/>
    </font>
    <font>
      <sz val="11"/>
      <color rgb="FF0070C0"/>
      <name val="Calibri"/>
      <family val="2"/>
      <scheme val="minor"/>
    </font>
    <font>
      <sz val="9"/>
      <color theme="1"/>
      <name val="Calibri"/>
      <family val="2"/>
      <scheme val="minor"/>
    </font>
    <font>
      <sz val="9"/>
      <color rgb="FF0070C0"/>
      <name val="Calibri"/>
      <family val="2"/>
      <scheme val="minor"/>
    </font>
    <font>
      <b/>
      <sz val="9"/>
      <color rgb="FFFF0000"/>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158">
    <xf numFmtId="0" fontId="0" fillId="0" borderId="0" xfId="0"/>
    <xf numFmtId="0" fontId="4" fillId="0" borderId="0" xfId="0" applyFont="1"/>
    <xf numFmtId="0" fontId="0" fillId="0" borderId="0" xfId="0" applyBorder="1"/>
    <xf numFmtId="0" fontId="4" fillId="0" borderId="0" xfId="0" applyFont="1" applyBorder="1"/>
    <xf numFmtId="0" fontId="5" fillId="0" borderId="1" xfId="0" applyFont="1" applyBorder="1"/>
    <xf numFmtId="0" fontId="0" fillId="0" borderId="1" xfId="0" applyBorder="1"/>
    <xf numFmtId="0" fontId="6" fillId="0" borderId="1" xfId="0" applyFont="1" applyBorder="1" applyAlignment="1">
      <alignment horizontal="right"/>
    </xf>
    <xf numFmtId="0" fontId="7" fillId="0" borderId="1" xfId="0" applyFont="1" applyFill="1" applyBorder="1"/>
    <xf numFmtId="0" fontId="8" fillId="0" borderId="1" xfId="0" applyFont="1" applyFill="1" applyBorder="1" applyAlignment="1">
      <alignment horizontal="center"/>
    </xf>
    <xf numFmtId="0" fontId="9" fillId="0" borderId="1" xfId="0" applyFont="1" applyFill="1" applyBorder="1" applyAlignment="1">
      <alignment horizontal="center" wrapText="1"/>
    </xf>
    <xf numFmtId="0" fontId="8" fillId="0" borderId="1" xfId="0" applyFont="1" applyFill="1" applyBorder="1"/>
    <xf numFmtId="0" fontId="1" fillId="0" borderId="1" xfId="0" applyFont="1" applyFill="1" applyBorder="1"/>
    <xf numFmtId="0" fontId="1" fillId="0" borderId="1" xfId="0" applyFont="1" applyBorder="1"/>
    <xf numFmtId="0" fontId="10" fillId="0" borderId="1" xfId="0" applyFont="1" applyBorder="1"/>
    <xf numFmtId="0" fontId="2" fillId="0" borderId="1" xfId="0" applyFont="1" applyBorder="1"/>
    <xf numFmtId="164" fontId="2" fillId="0" borderId="1" xfId="0" applyNumberFormat="1" applyFont="1" applyBorder="1" applyAlignment="1">
      <alignment horizontal="center"/>
    </xf>
    <xf numFmtId="7" fontId="12" fillId="0" borderId="1" xfId="0" applyNumberFormat="1" applyFont="1" applyBorder="1" applyAlignment="1">
      <alignment horizontal="center"/>
    </xf>
    <xf numFmtId="3" fontId="12" fillId="0" borderId="1" xfId="0" applyNumberFormat="1" applyFont="1" applyBorder="1" applyAlignment="1">
      <alignment horizontal="center"/>
    </xf>
    <xf numFmtId="0" fontId="2" fillId="0" borderId="1" xfId="0" applyFont="1" applyFill="1" applyBorder="1"/>
    <xf numFmtId="0" fontId="10" fillId="0" borderId="1" xfId="0" applyFont="1" applyFill="1" applyBorder="1"/>
    <xf numFmtId="164" fontId="13" fillId="0" borderId="1" xfId="0" applyNumberFormat="1" applyFont="1" applyBorder="1"/>
    <xf numFmtId="0" fontId="12" fillId="0" borderId="1" xfId="0" applyFont="1" applyBorder="1" applyAlignment="1">
      <alignment horizontal="center"/>
    </xf>
    <xf numFmtId="0" fontId="2" fillId="0" borderId="1" xfId="0" applyNumberFormat="1" applyFont="1" applyBorder="1"/>
    <xf numFmtId="0" fontId="2" fillId="0" borderId="1" xfId="0" applyNumberFormat="1" applyFont="1" applyFill="1" applyBorder="1" applyAlignment="1">
      <alignment wrapText="1"/>
    </xf>
    <xf numFmtId="0" fontId="2" fillId="0" borderId="1" xfId="0" applyNumberFormat="1" applyFont="1" applyFill="1" applyBorder="1"/>
    <xf numFmtId="37" fontId="12" fillId="0" borderId="1" xfId="0" applyNumberFormat="1" applyFont="1" applyBorder="1" applyAlignment="1">
      <alignment horizontal="center"/>
    </xf>
    <xf numFmtId="3" fontId="12" fillId="0" borderId="1" xfId="0" applyNumberFormat="1" applyFont="1" applyFill="1" applyBorder="1" applyAlignment="1">
      <alignment horizontal="center"/>
    </xf>
    <xf numFmtId="3" fontId="12" fillId="0" borderId="1" xfId="0" quotePrefix="1" applyNumberFormat="1" applyFont="1" applyFill="1" applyBorder="1" applyAlignment="1">
      <alignment horizontal="center"/>
    </xf>
    <xf numFmtId="164" fontId="12" fillId="0" borderId="1" xfId="0" applyNumberFormat="1" applyFont="1" applyBorder="1" applyAlignment="1">
      <alignment horizontal="center"/>
    </xf>
    <xf numFmtId="0" fontId="12" fillId="0" borderId="1" xfId="0" applyNumberFormat="1" applyFont="1" applyBorder="1" applyAlignment="1">
      <alignment horizontal="center"/>
    </xf>
    <xf numFmtId="0" fontId="14" fillId="0" borderId="1" xfId="0" applyNumberFormat="1" applyFont="1" applyBorder="1"/>
    <xf numFmtId="0" fontId="15" fillId="0" borderId="1" xfId="0" applyFont="1" applyBorder="1"/>
    <xf numFmtId="164" fontId="16" fillId="0" borderId="0" xfId="0" applyNumberFormat="1" applyFont="1"/>
    <xf numFmtId="0" fontId="5" fillId="0" borderId="0" xfId="0" applyFont="1"/>
    <xf numFmtId="0" fontId="6" fillId="0" borderId="0" xfId="0" applyFont="1" applyAlignment="1">
      <alignment horizontal="right"/>
    </xf>
    <xf numFmtId="0" fontId="17" fillId="0" borderId="0" xfId="0" applyFont="1" applyFill="1"/>
    <xf numFmtId="0" fontId="10" fillId="0" borderId="0" xfId="0" applyFont="1" applyFill="1" applyAlignment="1">
      <alignment horizontal="center"/>
    </xf>
    <xf numFmtId="0" fontId="11" fillId="0" borderId="0" xfId="0" applyFont="1" applyFill="1" applyAlignment="1">
      <alignment horizontal="center" wrapText="1"/>
    </xf>
    <xf numFmtId="0" fontId="10" fillId="0" borderId="2" xfId="0" applyFont="1" applyBorder="1"/>
    <xf numFmtId="164" fontId="11" fillId="0" borderId="2" xfId="0" applyNumberFormat="1" applyFont="1" applyBorder="1" applyAlignment="1">
      <alignment horizontal="center"/>
    </xf>
    <xf numFmtId="0" fontId="2" fillId="0" borderId="2" xfId="0" applyFont="1" applyBorder="1" applyAlignment="1">
      <alignment horizontal="center"/>
    </xf>
    <xf numFmtId="0" fontId="2" fillId="0" borderId="2" xfId="0" applyFont="1" applyBorder="1"/>
    <xf numFmtId="0" fontId="2" fillId="0" borderId="0" xfId="0" applyFont="1"/>
    <xf numFmtId="164" fontId="2" fillId="0" borderId="0" xfId="0" applyNumberFormat="1" applyFont="1" applyBorder="1" applyAlignment="1">
      <alignment horizontal="center"/>
    </xf>
    <xf numFmtId="2" fontId="2" fillId="0" borderId="3" xfId="0" applyNumberFormat="1" applyFont="1" applyBorder="1" applyAlignment="1">
      <alignment horizontal="center"/>
    </xf>
    <xf numFmtId="3" fontId="2" fillId="0" borderId="4" xfId="0" applyNumberFormat="1" applyFont="1" applyBorder="1" applyAlignment="1">
      <alignment horizontal="center"/>
    </xf>
    <xf numFmtId="3" fontId="2" fillId="0" borderId="1" xfId="0" applyNumberFormat="1" applyFont="1" applyBorder="1" applyAlignment="1">
      <alignment horizontal="center"/>
    </xf>
    <xf numFmtId="164" fontId="1" fillId="0" borderId="0" xfId="0" applyNumberFormat="1" applyFont="1"/>
    <xf numFmtId="2" fontId="2" fillId="0" borderId="1" xfId="0" applyNumberFormat="1" applyFont="1" applyBorder="1" applyAlignment="1">
      <alignment horizontal="center"/>
    </xf>
    <xf numFmtId="0" fontId="2" fillId="0" borderId="1" xfId="0" applyFont="1" applyBorder="1" applyAlignment="1">
      <alignment horizontal="center"/>
    </xf>
    <xf numFmtId="2" fontId="2" fillId="0" borderId="5" xfId="0" applyNumberFormat="1" applyFont="1" applyBorder="1" applyAlignment="1">
      <alignment horizontal="center"/>
    </xf>
    <xf numFmtId="0" fontId="2" fillId="0" borderId="5" xfId="0" applyFont="1" applyBorder="1" applyAlignment="1">
      <alignment horizontal="center"/>
    </xf>
    <xf numFmtId="3" fontId="2" fillId="0" borderId="3" xfId="0" applyNumberFormat="1" applyFont="1" applyBorder="1" applyAlignment="1">
      <alignment horizontal="center"/>
    </xf>
    <xf numFmtId="0" fontId="1" fillId="0" borderId="1" xfId="0" applyFont="1" applyBorder="1" applyAlignment="1">
      <alignment horizontal="center"/>
    </xf>
    <xf numFmtId="7" fontId="2" fillId="0" borderId="1" xfId="0" applyNumberFormat="1" applyFont="1" applyBorder="1" applyAlignment="1">
      <alignment horizontal="center"/>
    </xf>
    <xf numFmtId="0" fontId="2" fillId="0" borderId="0" xfId="0" applyFont="1" applyAlignment="1">
      <alignment wrapText="1"/>
    </xf>
    <xf numFmtId="7" fontId="2" fillId="0" borderId="3" xfId="0" applyNumberFormat="1" applyFont="1" applyBorder="1" applyAlignment="1">
      <alignment horizontal="center"/>
    </xf>
    <xf numFmtId="7" fontId="2" fillId="0" borderId="6" xfId="0" applyNumberFormat="1" applyFont="1" applyBorder="1" applyAlignment="1">
      <alignment horizontal="center"/>
    </xf>
    <xf numFmtId="3" fontId="2" fillId="0" borderId="7" xfId="0" applyNumberFormat="1" applyFont="1" applyBorder="1" applyAlignment="1">
      <alignment horizontal="center"/>
    </xf>
    <xf numFmtId="2" fontId="2" fillId="0" borderId="8" xfId="0" applyNumberFormat="1" applyFont="1" applyBorder="1" applyAlignment="1">
      <alignment horizontal="center"/>
    </xf>
    <xf numFmtId="2" fontId="2" fillId="0" borderId="7" xfId="0" applyNumberFormat="1" applyFont="1" applyBorder="1" applyAlignment="1">
      <alignment horizontal="center"/>
    </xf>
    <xf numFmtId="164" fontId="1" fillId="0" borderId="1" xfId="0" applyNumberFormat="1" applyFont="1" applyBorder="1"/>
    <xf numFmtId="164" fontId="2" fillId="0" borderId="3" xfId="0" applyNumberFormat="1" applyFont="1" applyBorder="1" applyAlignment="1">
      <alignment horizontal="center"/>
    </xf>
    <xf numFmtId="0" fontId="1" fillId="0" borderId="3" xfId="0" applyFont="1" applyBorder="1" applyAlignment="1">
      <alignment horizontal="center"/>
    </xf>
    <xf numFmtId="164" fontId="11" fillId="0" borderId="5" xfId="0" applyNumberFormat="1" applyFont="1" applyBorder="1" applyAlignment="1">
      <alignment horizontal="center"/>
    </xf>
    <xf numFmtId="164" fontId="12" fillId="0" borderId="3" xfId="0" applyNumberFormat="1" applyFont="1" applyBorder="1" applyAlignment="1">
      <alignment horizontal="center"/>
    </xf>
    <xf numFmtId="164" fontId="11" fillId="0" borderId="3" xfId="0" applyNumberFormat="1" applyFont="1" applyBorder="1" applyAlignment="1">
      <alignment horizontal="center"/>
    </xf>
    <xf numFmtId="0" fontId="2" fillId="0" borderId="3" xfId="0" applyFont="1" applyBorder="1"/>
    <xf numFmtId="7" fontId="12" fillId="0" borderId="3" xfId="0" applyNumberFormat="1" applyFont="1" applyBorder="1" applyAlignment="1">
      <alignment horizontal="center"/>
    </xf>
    <xf numFmtId="3" fontId="12" fillId="0" borderId="3" xfId="0" applyNumberFormat="1" applyFont="1" applyBorder="1" applyAlignment="1">
      <alignment horizontal="center"/>
    </xf>
    <xf numFmtId="0" fontId="10" fillId="0" borderId="5" xfId="0" applyFont="1" applyBorder="1"/>
    <xf numFmtId="7" fontId="12" fillId="0" borderId="5" xfId="0" applyNumberFormat="1" applyFont="1" applyBorder="1" applyAlignment="1">
      <alignment horizontal="center"/>
    </xf>
    <xf numFmtId="0" fontId="12" fillId="0" borderId="5" xfId="0" applyFont="1" applyBorder="1" applyAlignment="1">
      <alignment horizontal="center"/>
    </xf>
    <xf numFmtId="0" fontId="2" fillId="0" borderId="5" xfId="0" applyFont="1" applyBorder="1"/>
    <xf numFmtId="0" fontId="2" fillId="0" borderId="3" xfId="0" applyNumberFormat="1" applyFont="1" applyFill="1" applyBorder="1"/>
    <xf numFmtId="3" fontId="12" fillId="0" borderId="3" xfId="0" applyNumberFormat="1" applyFont="1" applyFill="1" applyBorder="1" applyAlignment="1">
      <alignment horizontal="center"/>
    </xf>
    <xf numFmtId="3" fontId="12" fillId="0" borderId="3" xfId="0" quotePrefix="1" applyNumberFormat="1" applyFont="1" applyFill="1" applyBorder="1" applyAlignment="1">
      <alignment horizontal="center"/>
    </xf>
    <xf numFmtId="0" fontId="12" fillId="0" borderId="3" xfId="0" applyFont="1" applyBorder="1"/>
    <xf numFmtId="0" fontId="12" fillId="0" borderId="3" xfId="0" applyNumberFormat="1" applyFont="1" applyBorder="1" applyAlignment="1">
      <alignment horizontal="center"/>
    </xf>
    <xf numFmtId="0" fontId="0" fillId="0" borderId="1" xfId="0" applyBorder="1" applyAlignment="1">
      <alignment horizontal="center"/>
    </xf>
    <xf numFmtId="0" fontId="18" fillId="0" borderId="0" xfId="0" applyFont="1"/>
    <xf numFmtId="0" fontId="9" fillId="0" borderId="9" xfId="0" applyFont="1" applyFill="1" applyBorder="1" applyAlignment="1">
      <alignment horizontal="center" wrapText="1"/>
    </xf>
    <xf numFmtId="0" fontId="1" fillId="0" borderId="1" xfId="0" applyFont="1" applyFill="1" applyBorder="1" applyAlignment="1">
      <alignment horizontal="center"/>
    </xf>
    <xf numFmtId="0" fontId="1" fillId="0" borderId="9" xfId="0" applyFont="1" applyBorder="1"/>
    <xf numFmtId="0" fontId="4" fillId="0" borderId="1" xfId="0" applyFont="1" applyBorder="1"/>
    <xf numFmtId="3" fontId="2" fillId="0" borderId="9" xfId="0" applyNumberFormat="1" applyFont="1" applyBorder="1" applyAlignment="1">
      <alignment horizontal="center"/>
    </xf>
    <xf numFmtId="164" fontId="4" fillId="0" borderId="1" xfId="0" applyNumberFormat="1" applyFont="1" applyBorder="1" applyAlignment="1">
      <alignment horizontal="center"/>
    </xf>
    <xf numFmtId="0" fontId="1" fillId="0" borderId="0" xfId="0" applyFont="1"/>
    <xf numFmtId="164" fontId="13" fillId="0" borderId="1" xfId="0" applyNumberFormat="1" applyFont="1" applyBorder="1" applyAlignment="1">
      <alignment horizontal="center"/>
    </xf>
    <xf numFmtId="0" fontId="2" fillId="0" borderId="9" xfId="0" applyFont="1" applyBorder="1" applyAlignment="1">
      <alignment horizontal="center"/>
    </xf>
    <xf numFmtId="0" fontId="4" fillId="0" borderId="1" xfId="0" applyFont="1" applyBorder="1" applyAlignment="1">
      <alignment horizontal="center"/>
    </xf>
    <xf numFmtId="37" fontId="2" fillId="0" borderId="1" xfId="0" applyNumberFormat="1" applyFont="1" applyBorder="1" applyAlignment="1">
      <alignment horizontal="center"/>
    </xf>
    <xf numFmtId="3" fontId="2" fillId="0" borderId="1" xfId="0" applyNumberFormat="1" applyFont="1" applyFill="1" applyBorder="1" applyAlignment="1">
      <alignment horizontal="center"/>
    </xf>
    <xf numFmtId="3" fontId="2" fillId="0" borderId="1" xfId="0" quotePrefix="1" applyNumberFormat="1" applyFont="1" applyFill="1" applyBorder="1" applyAlignment="1">
      <alignment horizontal="center"/>
    </xf>
    <xf numFmtId="49" fontId="1" fillId="0" borderId="1" xfId="0" applyNumberFormat="1" applyFont="1" applyBorder="1" applyAlignment="1">
      <alignment horizontal="center"/>
    </xf>
    <xf numFmtId="3" fontId="1" fillId="0" borderId="9" xfId="0" applyNumberFormat="1" applyFont="1" applyBorder="1" applyAlignment="1">
      <alignment horizontal="center"/>
    </xf>
    <xf numFmtId="0" fontId="4" fillId="0" borderId="9" xfId="0" applyFont="1" applyBorder="1"/>
    <xf numFmtId="0" fontId="2" fillId="0" borderId="1" xfId="0" applyNumberFormat="1" applyFont="1" applyBorder="1" applyAlignment="1">
      <alignment horizontal="center"/>
    </xf>
    <xf numFmtId="37" fontId="2" fillId="0" borderId="9" xfId="0" applyNumberFormat="1" applyFont="1" applyBorder="1" applyAlignment="1">
      <alignment horizontal="center"/>
    </xf>
    <xf numFmtId="0" fontId="19" fillId="0" borderId="1" xfId="0" applyFont="1" applyBorder="1"/>
    <xf numFmtId="0" fontId="3" fillId="0" borderId="0" xfId="0" applyFont="1"/>
    <xf numFmtId="0" fontId="3" fillId="0" borderId="1" xfId="0" applyFont="1" applyBorder="1"/>
    <xf numFmtId="0" fontId="3" fillId="0" borderId="9" xfId="0" applyFont="1" applyBorder="1"/>
    <xf numFmtId="0" fontId="20" fillId="0" borderId="1" xfId="0" applyFont="1" applyBorder="1" applyAlignment="1">
      <alignment horizontal="center"/>
    </xf>
    <xf numFmtId="0" fontId="1" fillId="0" borderId="0" xfId="0" applyFont="1" applyFill="1" applyBorder="1" applyAlignment="1">
      <alignment horizontal="center"/>
    </xf>
    <xf numFmtId="165" fontId="1" fillId="0" borderId="0" xfId="0" applyNumberFormat="1" applyFont="1" applyAlignment="1">
      <alignment horizontal="center"/>
    </xf>
    <xf numFmtId="3" fontId="1" fillId="0" borderId="0" xfId="0" applyNumberFormat="1" applyFont="1" applyAlignment="1">
      <alignment horizontal="center"/>
    </xf>
    <xf numFmtId="9" fontId="1" fillId="0" borderId="0" xfId="0" applyNumberFormat="1" applyFont="1" applyFill="1" applyAlignment="1">
      <alignment horizontal="center"/>
    </xf>
    <xf numFmtId="165" fontId="1" fillId="0" borderId="0" xfId="0" quotePrefix="1" applyNumberFormat="1" applyFont="1" applyFill="1" applyAlignment="1">
      <alignment horizontal="center"/>
    </xf>
    <xf numFmtId="3" fontId="1" fillId="0" borderId="0" xfId="0" quotePrefix="1" applyNumberFormat="1" applyFont="1" applyFill="1" applyAlignment="1">
      <alignment horizontal="center"/>
    </xf>
    <xf numFmtId="0" fontId="14" fillId="0" borderId="0" xfId="0" applyFont="1" applyAlignment="1">
      <alignment vertical="top" wrapText="1"/>
    </xf>
    <xf numFmtId="0" fontId="1" fillId="0" borderId="0" xfId="0" applyFont="1" applyAlignment="1">
      <alignment horizontal="center"/>
    </xf>
    <xf numFmtId="37" fontId="1" fillId="0" borderId="0" xfId="0" applyNumberFormat="1" applyFont="1" applyAlignment="1">
      <alignment horizontal="center"/>
    </xf>
    <xf numFmtId="0" fontId="0" fillId="0" borderId="0" xfId="0" applyAlignment="1">
      <alignment horizontal="center"/>
    </xf>
    <xf numFmtId="3" fontId="2" fillId="0" borderId="10" xfId="0" applyNumberFormat="1" applyFont="1" applyBorder="1" applyAlignment="1">
      <alignment horizontal="center"/>
    </xf>
    <xf numFmtId="164" fontId="4" fillId="0" borderId="3" xfId="0" applyNumberFormat="1" applyFont="1" applyBorder="1" applyAlignment="1">
      <alignment horizontal="center"/>
    </xf>
    <xf numFmtId="0" fontId="4" fillId="0" borderId="2" xfId="0" applyFont="1" applyBorder="1"/>
    <xf numFmtId="0" fontId="2" fillId="0" borderId="8" xfId="0" applyFont="1" applyBorder="1"/>
    <xf numFmtId="0" fontId="4" fillId="0" borderId="5" xfId="0" applyFont="1" applyBorder="1"/>
    <xf numFmtId="7" fontId="2" fillId="0" borderId="5" xfId="0" applyNumberFormat="1" applyFont="1" applyBorder="1" applyAlignment="1">
      <alignment horizontal="center"/>
    </xf>
    <xf numFmtId="3" fontId="2" fillId="0" borderId="5" xfId="0" applyNumberFormat="1" applyFont="1" applyBorder="1" applyAlignment="1">
      <alignment horizontal="center"/>
    </xf>
    <xf numFmtId="0" fontId="2" fillId="0" borderId="8" xfId="0" applyFont="1" applyBorder="1" applyAlignment="1">
      <alignment horizontal="center"/>
    </xf>
    <xf numFmtId="0" fontId="4" fillId="0" borderId="5" xfId="0" applyFont="1" applyBorder="1" applyAlignment="1">
      <alignment horizontal="center"/>
    </xf>
    <xf numFmtId="0" fontId="1" fillId="0" borderId="5" xfId="0" applyFont="1" applyBorder="1" applyAlignment="1">
      <alignment horizontal="center"/>
    </xf>
    <xf numFmtId="3" fontId="2" fillId="0" borderId="3" xfId="0" applyNumberFormat="1" applyFont="1" applyFill="1" applyBorder="1" applyAlignment="1">
      <alignment horizontal="center"/>
    </xf>
    <xf numFmtId="3" fontId="2" fillId="0" borderId="3" xfId="0" quotePrefix="1" applyNumberFormat="1" applyFont="1" applyFill="1" applyBorder="1" applyAlignment="1">
      <alignment horizontal="center"/>
    </xf>
    <xf numFmtId="49" fontId="1" fillId="0" borderId="3" xfId="0" applyNumberFormat="1" applyFont="1" applyBorder="1" applyAlignment="1">
      <alignment horizontal="center"/>
    </xf>
    <xf numFmtId="0" fontId="1" fillId="0" borderId="2" xfId="0" applyFont="1" applyBorder="1"/>
    <xf numFmtId="3" fontId="2" fillId="0" borderId="8" xfId="0" applyNumberFormat="1" applyFont="1" applyBorder="1" applyAlignment="1">
      <alignment horizontal="center"/>
    </xf>
    <xf numFmtId="3" fontId="1" fillId="0" borderId="10" xfId="0" applyNumberFormat="1" applyFont="1" applyBorder="1" applyAlignment="1">
      <alignment horizontal="center"/>
    </xf>
    <xf numFmtId="0" fontId="4" fillId="0" borderId="8" xfId="0" applyFont="1" applyBorder="1"/>
    <xf numFmtId="0" fontId="9" fillId="0" borderId="0" xfId="0" applyFont="1" applyFill="1" applyBorder="1" applyAlignment="1">
      <alignment horizontal="center" wrapText="1"/>
    </xf>
    <xf numFmtId="0" fontId="8" fillId="0" borderId="0" xfId="0" applyFont="1" applyFill="1" applyBorder="1" applyAlignment="1">
      <alignment horizontal="center"/>
    </xf>
    <xf numFmtId="0" fontId="1" fillId="0" borderId="0" xfId="0" applyFont="1" applyBorder="1"/>
    <xf numFmtId="2" fontId="21" fillId="0" borderId="5" xfId="0" applyNumberFormat="1" applyFont="1" applyBorder="1" applyAlignment="1">
      <alignment horizontal="center"/>
    </xf>
    <xf numFmtId="0" fontId="21" fillId="0" borderId="5" xfId="0" applyFont="1" applyBorder="1" applyAlignment="1">
      <alignment horizontal="center"/>
    </xf>
    <xf numFmtId="0" fontId="3" fillId="0" borderId="0" xfId="0" applyFont="1" applyBorder="1"/>
    <xf numFmtId="7" fontId="21" fillId="0" borderId="5" xfId="0" applyNumberFormat="1" applyFont="1" applyBorder="1" applyAlignment="1">
      <alignment horizontal="center"/>
    </xf>
    <xf numFmtId="1" fontId="21" fillId="0" borderId="5" xfId="0" applyNumberFormat="1" applyFont="1" applyBorder="1" applyAlignment="1">
      <alignment horizontal="center"/>
    </xf>
    <xf numFmtId="3" fontId="21" fillId="0" borderId="5" xfId="0" applyNumberFormat="1" applyFont="1" applyBorder="1" applyAlignment="1">
      <alignment horizontal="center"/>
    </xf>
    <xf numFmtId="164" fontId="21" fillId="0" borderId="5" xfId="0" applyNumberFormat="1" applyFont="1" applyBorder="1" applyAlignment="1">
      <alignment horizontal="center"/>
    </xf>
    <xf numFmtId="3" fontId="2" fillId="0" borderId="6" xfId="0" applyNumberFormat="1" applyFont="1" applyBorder="1" applyAlignment="1">
      <alignment horizontal="center"/>
    </xf>
    <xf numFmtId="164" fontId="2" fillId="0" borderId="6" xfId="0" applyNumberFormat="1" applyFont="1" applyBorder="1" applyAlignment="1">
      <alignment horizontal="center"/>
    </xf>
    <xf numFmtId="37" fontId="2" fillId="0" borderId="3" xfId="0" applyNumberFormat="1" applyFont="1" applyBorder="1" applyAlignment="1">
      <alignment horizontal="center"/>
    </xf>
    <xf numFmtId="2" fontId="21" fillId="0" borderId="8" xfId="0" applyNumberFormat="1" applyFont="1" applyBorder="1" applyAlignment="1">
      <alignment horizontal="center"/>
    </xf>
    <xf numFmtId="7" fontId="2" fillId="0" borderId="7" xfId="0" applyNumberFormat="1" applyFont="1" applyBorder="1" applyAlignment="1">
      <alignment horizontal="center"/>
    </xf>
    <xf numFmtId="0" fontId="2" fillId="0" borderId="7" xfId="0" applyFont="1" applyBorder="1" applyAlignment="1">
      <alignment horizontal="center"/>
    </xf>
    <xf numFmtId="165" fontId="2" fillId="0" borderId="7" xfId="0" applyNumberFormat="1" applyFont="1" applyBorder="1" applyAlignment="1">
      <alignment horizontal="center"/>
    </xf>
    <xf numFmtId="37" fontId="2" fillId="0" borderId="7" xfId="0" applyNumberFormat="1" applyFont="1" applyBorder="1" applyAlignment="1">
      <alignment horizontal="center"/>
    </xf>
    <xf numFmtId="164" fontId="2" fillId="0" borderId="7" xfId="0" applyNumberFormat="1" applyFont="1" applyBorder="1" applyAlignment="1">
      <alignment horizontal="center"/>
    </xf>
    <xf numFmtId="3" fontId="2" fillId="0" borderId="7" xfId="0" applyNumberFormat="1" applyFont="1" applyFill="1" applyBorder="1" applyAlignment="1">
      <alignment horizontal="center"/>
    </xf>
    <xf numFmtId="3" fontId="2" fillId="0" borderId="7" xfId="0" quotePrefix="1" applyNumberFormat="1" applyFont="1" applyFill="1" applyBorder="1" applyAlignment="1">
      <alignment horizontal="center"/>
    </xf>
    <xf numFmtId="165" fontId="21" fillId="0" borderId="5" xfId="0" applyNumberFormat="1" applyFont="1" applyBorder="1" applyAlignment="1">
      <alignment horizontal="center"/>
    </xf>
    <xf numFmtId="0" fontId="22" fillId="0" borderId="0" xfId="0" applyFont="1"/>
    <xf numFmtId="0" fontId="23" fillId="0" borderId="0" xfId="0" applyFont="1" applyAlignment="1">
      <alignment wrapText="1"/>
    </xf>
    <xf numFmtId="0" fontId="24" fillId="0" borderId="0" xfId="0" applyFont="1"/>
    <xf numFmtId="0" fontId="25" fillId="0" borderId="1" xfId="0" applyFont="1" applyBorder="1"/>
    <xf numFmtId="0" fontId="25" fillId="0" borderId="0"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43"/>
  <sheetViews>
    <sheetView tabSelected="1" workbookViewId="0">
      <selection activeCell="A2" sqref="A2"/>
    </sheetView>
  </sheetViews>
  <sheetFormatPr defaultRowHeight="15"/>
  <cols>
    <col min="1" max="1" width="38.42578125" bestFit="1" customWidth="1"/>
    <col min="3" max="3" width="20.5703125" customWidth="1"/>
    <col min="5" max="5" width="3.7109375" customWidth="1"/>
    <col min="6" max="6" width="30" customWidth="1"/>
  </cols>
  <sheetData>
    <row r="1" spans="1:8" ht="27.75">
      <c r="A1" s="4" t="s">
        <v>94</v>
      </c>
      <c r="B1" s="79"/>
      <c r="C1" s="6"/>
      <c r="D1" s="5"/>
    </row>
    <row r="2" spans="1:8" ht="15.75">
      <c r="A2" s="156" t="s">
        <v>189</v>
      </c>
      <c r="B2" s="79"/>
      <c r="C2" s="6"/>
      <c r="D2" s="5"/>
    </row>
    <row r="3" spans="1:8" ht="15.75">
      <c r="A3" s="156"/>
      <c r="B3" s="79"/>
      <c r="C3" s="6"/>
      <c r="D3" s="5"/>
    </row>
    <row r="4" spans="1:8" ht="36">
      <c r="A4" s="7" t="s">
        <v>0</v>
      </c>
      <c r="B4" s="8" t="s">
        <v>17</v>
      </c>
      <c r="C4" s="9" t="s">
        <v>56</v>
      </c>
      <c r="D4" s="9" t="s">
        <v>19</v>
      </c>
      <c r="E4" s="80"/>
      <c r="F4" s="9" t="s">
        <v>95</v>
      </c>
      <c r="G4" s="81" t="s">
        <v>19</v>
      </c>
      <c r="H4" s="8" t="s">
        <v>17</v>
      </c>
    </row>
    <row r="5" spans="1:8">
      <c r="A5" s="10"/>
      <c r="B5" s="82"/>
      <c r="C5" s="8"/>
      <c r="D5" s="12"/>
      <c r="F5" s="8"/>
      <c r="G5" s="83"/>
      <c r="H5" s="5"/>
    </row>
    <row r="6" spans="1:8" ht="15.75" thickBot="1">
      <c r="A6" s="70" t="s">
        <v>20</v>
      </c>
      <c r="B6" s="64">
        <v>0.29695885509838998</v>
      </c>
      <c r="C6" s="73"/>
      <c r="D6" s="73"/>
      <c r="E6" s="116"/>
      <c r="F6" s="73"/>
      <c r="G6" s="117"/>
      <c r="H6" s="118"/>
    </row>
    <row r="7" spans="1:8">
      <c r="A7" s="67" t="s">
        <v>21</v>
      </c>
      <c r="B7" s="62">
        <v>0.26475849731663686</v>
      </c>
      <c r="C7" s="56" t="s">
        <v>96</v>
      </c>
      <c r="D7" s="52">
        <v>135000</v>
      </c>
      <c r="E7" s="1"/>
      <c r="F7" s="56" t="s">
        <v>97</v>
      </c>
      <c r="G7" s="114">
        <v>25000</v>
      </c>
      <c r="H7" s="115">
        <f>83/100</f>
        <v>0.83</v>
      </c>
    </row>
    <row r="8" spans="1:8">
      <c r="A8" s="18" t="s">
        <v>8</v>
      </c>
      <c r="B8" s="15">
        <v>3.2200357781753133E-2</v>
      </c>
      <c r="C8" s="54" t="s">
        <v>98</v>
      </c>
      <c r="D8" s="46">
        <v>120000</v>
      </c>
      <c r="E8" s="87"/>
      <c r="F8" s="54" t="s">
        <v>99</v>
      </c>
      <c r="G8" s="85">
        <v>20000</v>
      </c>
      <c r="H8" s="86">
        <f>15/17</f>
        <v>0.88235294117647056</v>
      </c>
    </row>
    <row r="9" spans="1:8">
      <c r="A9" s="19"/>
      <c r="B9" s="88"/>
      <c r="C9" s="54"/>
      <c r="D9" s="46"/>
      <c r="E9" s="1"/>
      <c r="F9" s="54"/>
      <c r="G9" s="89"/>
      <c r="H9" s="90"/>
    </row>
    <row r="10" spans="1:8" ht="15.75" thickBot="1">
      <c r="A10" s="70" t="s">
        <v>24</v>
      </c>
      <c r="B10" s="64">
        <v>0.37924865831842575</v>
      </c>
      <c r="C10" s="119"/>
      <c r="D10" s="120"/>
      <c r="E10" s="116"/>
      <c r="F10" s="119"/>
      <c r="G10" s="121"/>
      <c r="H10" s="122"/>
    </row>
    <row r="11" spans="1:8">
      <c r="A11" s="67" t="s">
        <v>25</v>
      </c>
      <c r="B11" s="62">
        <v>2.6833631484794274E-2</v>
      </c>
      <c r="C11" s="56" t="s">
        <v>100</v>
      </c>
      <c r="D11" s="52">
        <v>100000</v>
      </c>
      <c r="E11" s="87"/>
      <c r="F11" s="56" t="s">
        <v>101</v>
      </c>
      <c r="G11" s="114">
        <v>37500</v>
      </c>
      <c r="H11" s="115">
        <f>12/15</f>
        <v>0.8</v>
      </c>
    </row>
    <row r="12" spans="1:8">
      <c r="A12" s="14" t="s">
        <v>27</v>
      </c>
      <c r="B12" s="15">
        <v>0.18604651162790697</v>
      </c>
      <c r="C12" s="54" t="s">
        <v>102</v>
      </c>
      <c r="D12" s="46">
        <v>100000</v>
      </c>
      <c r="E12" s="1"/>
      <c r="F12" s="54" t="s">
        <v>103</v>
      </c>
      <c r="G12" s="85">
        <v>50000</v>
      </c>
      <c r="H12" s="86">
        <f>85/92</f>
        <v>0.92391304347826086</v>
      </c>
    </row>
    <row r="13" spans="1:8">
      <c r="A13" s="14" t="s">
        <v>29</v>
      </c>
      <c r="B13" s="15"/>
      <c r="C13" s="54"/>
      <c r="D13" s="46"/>
      <c r="E13" s="87"/>
      <c r="F13" s="54"/>
      <c r="G13" s="85"/>
      <c r="H13" s="86"/>
    </row>
    <row r="14" spans="1:8">
      <c r="A14" s="14" t="s">
        <v>104</v>
      </c>
      <c r="B14" s="15">
        <v>4.1144901610017888E-2</v>
      </c>
      <c r="C14" s="54" t="s">
        <v>105</v>
      </c>
      <c r="D14" s="46">
        <v>125000</v>
      </c>
      <c r="E14" s="1"/>
      <c r="F14" s="54" t="s">
        <v>106</v>
      </c>
      <c r="G14" s="85">
        <v>55000</v>
      </c>
      <c r="H14" s="86">
        <f>14/21</f>
        <v>0.66666666666666663</v>
      </c>
    </row>
    <row r="15" spans="1:8">
      <c r="A15" s="22" t="s">
        <v>107</v>
      </c>
      <c r="B15" s="15">
        <v>3.2200357781753133E-2</v>
      </c>
      <c r="C15" s="54" t="s">
        <v>108</v>
      </c>
      <c r="D15" s="46">
        <v>132500</v>
      </c>
      <c r="E15" s="87"/>
      <c r="F15" s="54" t="s">
        <v>109</v>
      </c>
      <c r="G15" s="85">
        <v>30000</v>
      </c>
      <c r="H15" s="86">
        <f>10/16</f>
        <v>0.625</v>
      </c>
    </row>
    <row r="16" spans="1:8">
      <c r="A16" s="22" t="s">
        <v>110</v>
      </c>
      <c r="B16" s="15" t="s">
        <v>53</v>
      </c>
      <c r="C16" s="54" t="s">
        <v>111</v>
      </c>
      <c r="D16" s="46">
        <v>120000</v>
      </c>
      <c r="E16" s="87"/>
      <c r="F16" s="91">
        <v>11500</v>
      </c>
      <c r="G16" s="85">
        <v>11500</v>
      </c>
      <c r="H16" s="86">
        <f>1/2</f>
        <v>0.5</v>
      </c>
    </row>
    <row r="17" spans="1:8">
      <c r="A17" s="14" t="s">
        <v>34</v>
      </c>
      <c r="B17" s="15">
        <v>5.3667262969588549E-2</v>
      </c>
      <c r="C17" s="54" t="s">
        <v>112</v>
      </c>
      <c r="D17" s="46">
        <v>122500</v>
      </c>
      <c r="E17" s="1"/>
      <c r="F17" s="54" t="s">
        <v>113</v>
      </c>
      <c r="G17" s="85">
        <v>47500</v>
      </c>
      <c r="H17" s="86">
        <f>15/26</f>
        <v>0.57692307692307687</v>
      </c>
    </row>
    <row r="18" spans="1:8">
      <c r="A18" s="23" t="s">
        <v>8</v>
      </c>
      <c r="B18" s="15">
        <v>3.3989266547406083E-2</v>
      </c>
      <c r="C18" s="54" t="s">
        <v>114</v>
      </c>
      <c r="D18" s="46">
        <v>102500</v>
      </c>
      <c r="E18" s="1"/>
      <c r="F18" s="54" t="s">
        <v>115</v>
      </c>
      <c r="G18" s="85">
        <v>30000</v>
      </c>
      <c r="H18" s="86">
        <f>7/12</f>
        <v>0.58333333333333337</v>
      </c>
    </row>
    <row r="19" spans="1:8">
      <c r="A19" s="14"/>
      <c r="B19" s="88"/>
      <c r="C19" s="54"/>
      <c r="D19" s="46"/>
      <c r="E19" s="1"/>
      <c r="F19" s="54"/>
      <c r="G19" s="89"/>
      <c r="H19" s="53"/>
    </row>
    <row r="20" spans="1:8" ht="15.75" thickBot="1">
      <c r="A20" s="70" t="s">
        <v>7</v>
      </c>
      <c r="B20" s="64">
        <v>7.5134168157423978E-2</v>
      </c>
      <c r="C20" s="119"/>
      <c r="D20" s="120"/>
      <c r="E20" s="116"/>
      <c r="F20" s="119"/>
      <c r="G20" s="121"/>
      <c r="H20" s="123"/>
    </row>
    <row r="21" spans="1:8">
      <c r="A21" s="67" t="s">
        <v>4</v>
      </c>
      <c r="B21" s="62">
        <v>6.0822898032200361E-2</v>
      </c>
      <c r="C21" s="56" t="s">
        <v>116</v>
      </c>
      <c r="D21" s="52">
        <v>100000</v>
      </c>
      <c r="E21" s="87"/>
      <c r="F21" s="56" t="s">
        <v>117</v>
      </c>
      <c r="G21" s="114">
        <v>25000</v>
      </c>
      <c r="H21" s="115">
        <f>28/31</f>
        <v>0.90322580645161288</v>
      </c>
    </row>
    <row r="22" spans="1:8">
      <c r="A22" s="14" t="s">
        <v>8</v>
      </c>
      <c r="B22" s="15">
        <v>1.4311270125223614E-2</v>
      </c>
      <c r="C22" s="91" t="s">
        <v>118</v>
      </c>
      <c r="D22" s="46">
        <v>117000</v>
      </c>
      <c r="E22" s="1"/>
      <c r="F22" s="91" t="s">
        <v>119</v>
      </c>
      <c r="G22" s="85">
        <v>22500</v>
      </c>
      <c r="H22" s="86">
        <f>4/7</f>
        <v>0.5714285714285714</v>
      </c>
    </row>
    <row r="23" spans="1:8">
      <c r="A23" s="14"/>
      <c r="B23" s="88"/>
      <c r="C23" s="46"/>
      <c r="D23" s="46"/>
      <c r="E23" s="87"/>
      <c r="F23" s="46"/>
      <c r="G23" s="85"/>
      <c r="H23" s="53"/>
    </row>
    <row r="24" spans="1:8" ht="15.75" thickBot="1">
      <c r="A24" s="70" t="s">
        <v>37</v>
      </c>
      <c r="B24" s="64">
        <v>0.13237924865831843</v>
      </c>
      <c r="C24" s="119"/>
      <c r="D24" s="120"/>
      <c r="E24" s="127"/>
      <c r="F24" s="120"/>
      <c r="G24" s="128"/>
      <c r="H24" s="123"/>
    </row>
    <row r="25" spans="1:8">
      <c r="A25" s="74" t="s">
        <v>120</v>
      </c>
      <c r="B25" s="62">
        <v>1.4311270125223614E-2</v>
      </c>
      <c r="C25" s="124" t="s">
        <v>121</v>
      </c>
      <c r="D25" s="125">
        <v>90000</v>
      </c>
      <c r="E25" s="87"/>
      <c r="F25" s="126" t="s">
        <v>122</v>
      </c>
      <c r="G25" s="114">
        <v>10000</v>
      </c>
      <c r="H25" s="115">
        <f>3/5</f>
        <v>0.6</v>
      </c>
    </row>
    <row r="26" spans="1:8">
      <c r="A26" s="24" t="s">
        <v>14</v>
      </c>
      <c r="B26" s="15">
        <v>6.6189624329159216E-2</v>
      </c>
      <c r="C26" s="92" t="s">
        <v>123</v>
      </c>
      <c r="D26" s="93">
        <v>115000</v>
      </c>
      <c r="E26" s="87"/>
      <c r="F26" s="94" t="s">
        <v>124</v>
      </c>
      <c r="G26" s="95">
        <v>35000</v>
      </c>
      <c r="H26" s="86">
        <f>25/33</f>
        <v>0.75757575757575757</v>
      </c>
    </row>
    <row r="27" spans="1:8">
      <c r="A27" s="24" t="s">
        <v>125</v>
      </c>
      <c r="B27" s="15">
        <v>1.9677996422182469E-2</v>
      </c>
      <c r="C27" s="92" t="s">
        <v>126</v>
      </c>
      <c r="D27" s="93">
        <v>92500</v>
      </c>
      <c r="E27" s="87"/>
      <c r="F27" s="94" t="s">
        <v>127</v>
      </c>
      <c r="G27" s="95">
        <v>40000</v>
      </c>
      <c r="H27" s="86">
        <f>5/10</f>
        <v>0.5</v>
      </c>
    </row>
    <row r="28" spans="1:8">
      <c r="A28" s="24" t="s">
        <v>8</v>
      </c>
      <c r="B28" s="15">
        <v>3.2200357781753133E-2</v>
      </c>
      <c r="C28" s="92" t="s">
        <v>128</v>
      </c>
      <c r="D28" s="93">
        <v>116000</v>
      </c>
      <c r="E28" s="1"/>
      <c r="F28" s="91" t="s">
        <v>129</v>
      </c>
      <c r="G28" s="95">
        <v>20000</v>
      </c>
      <c r="H28" s="86">
        <f>11/16</f>
        <v>0.6875</v>
      </c>
    </row>
    <row r="29" spans="1:8">
      <c r="A29" s="13"/>
      <c r="B29" s="88"/>
      <c r="C29" s="54"/>
      <c r="D29" s="46"/>
      <c r="E29" s="1"/>
      <c r="F29" s="84"/>
      <c r="G29" s="96"/>
      <c r="H29" s="53"/>
    </row>
    <row r="30" spans="1:8" ht="15.75" thickBot="1">
      <c r="A30" s="70" t="s">
        <v>11</v>
      </c>
      <c r="B30" s="64">
        <v>0.11627906976744187</v>
      </c>
      <c r="C30" s="119"/>
      <c r="D30" s="120"/>
      <c r="E30" s="127"/>
      <c r="F30" s="118"/>
      <c r="G30" s="130"/>
      <c r="H30" s="123"/>
    </row>
    <row r="31" spans="1:8">
      <c r="A31" s="67" t="s">
        <v>130</v>
      </c>
      <c r="B31" s="62">
        <v>1.7889087656529516E-2</v>
      </c>
      <c r="C31" s="56" t="s">
        <v>131</v>
      </c>
      <c r="D31" s="52">
        <v>120000</v>
      </c>
      <c r="E31" s="87"/>
      <c r="F31" s="126" t="s">
        <v>132</v>
      </c>
      <c r="G31" s="129">
        <v>19200</v>
      </c>
      <c r="H31" s="115">
        <f>4/7</f>
        <v>0.5714285714285714</v>
      </c>
    </row>
    <row r="32" spans="1:8">
      <c r="A32" s="22" t="s">
        <v>40</v>
      </c>
      <c r="B32" s="15">
        <v>1.0733452593917709E-2</v>
      </c>
      <c r="C32" s="97" t="s">
        <v>133</v>
      </c>
      <c r="D32" s="46">
        <v>87000</v>
      </c>
      <c r="E32" s="87"/>
      <c r="F32" s="91">
        <v>0</v>
      </c>
      <c r="G32" s="85">
        <v>0</v>
      </c>
      <c r="H32" s="86">
        <v>0</v>
      </c>
    </row>
    <row r="33" spans="1:8">
      <c r="A33" s="22" t="s">
        <v>41</v>
      </c>
      <c r="B33" s="15">
        <v>1.7889087656529516E-2</v>
      </c>
      <c r="C33" s="92" t="s">
        <v>134</v>
      </c>
      <c r="D33" s="93">
        <v>110000</v>
      </c>
      <c r="E33" s="87"/>
      <c r="F33" s="94" t="s">
        <v>135</v>
      </c>
      <c r="G33" s="95">
        <v>20000</v>
      </c>
      <c r="H33" s="86">
        <f>7/9</f>
        <v>0.77777777777777779</v>
      </c>
    </row>
    <row r="34" spans="1:8">
      <c r="A34" s="14" t="s">
        <v>1</v>
      </c>
      <c r="B34" s="15">
        <v>3.3989266547406083E-2</v>
      </c>
      <c r="C34" s="91" t="s">
        <v>136</v>
      </c>
      <c r="D34" s="46">
        <v>110000</v>
      </c>
      <c r="E34" s="1"/>
      <c r="F34" s="92" t="s">
        <v>137</v>
      </c>
      <c r="G34" s="85">
        <v>40000</v>
      </c>
      <c r="H34" s="86">
        <f>10/19</f>
        <v>0.52631578947368418</v>
      </c>
    </row>
    <row r="35" spans="1:8">
      <c r="A35" s="14" t="s">
        <v>2</v>
      </c>
      <c r="B35" s="15">
        <v>1.7889087656529516E-2</v>
      </c>
      <c r="C35" s="92" t="s">
        <v>138</v>
      </c>
      <c r="D35" s="46">
        <v>90000</v>
      </c>
      <c r="E35" s="1"/>
      <c r="F35" s="92" t="s">
        <v>139</v>
      </c>
      <c r="G35" s="98">
        <v>8750</v>
      </c>
      <c r="H35" s="86">
        <f>6/8</f>
        <v>0.75</v>
      </c>
    </row>
    <row r="36" spans="1:8">
      <c r="A36" s="18" t="s">
        <v>8</v>
      </c>
      <c r="B36" s="15">
        <v>1.7889087656529516E-2</v>
      </c>
      <c r="C36" s="91" t="s">
        <v>140</v>
      </c>
      <c r="D36" s="46">
        <v>110000</v>
      </c>
      <c r="E36" s="1"/>
      <c r="F36" s="91" t="s">
        <v>141</v>
      </c>
      <c r="G36" s="98">
        <v>23000</v>
      </c>
      <c r="H36" s="86">
        <f>4/7</f>
        <v>0.5714285714285714</v>
      </c>
    </row>
    <row r="37" spans="1:8">
      <c r="A37" s="30"/>
      <c r="B37" s="88"/>
      <c r="C37" s="99"/>
      <c r="D37" s="99"/>
      <c r="E37" s="100"/>
      <c r="F37" s="101"/>
      <c r="G37" s="102"/>
      <c r="H37" s="103"/>
    </row>
    <row r="38" spans="1:8">
      <c r="B38" s="104"/>
      <c r="C38" s="105"/>
      <c r="D38" s="106"/>
    </row>
    <row r="39" spans="1:8">
      <c r="B39" s="107"/>
      <c r="C39" s="108"/>
      <c r="D39" s="109"/>
    </row>
    <row r="40" spans="1:8" ht="56.25">
      <c r="A40" s="110" t="s">
        <v>142</v>
      </c>
      <c r="B40" s="111"/>
      <c r="C40" s="105"/>
      <c r="D40" s="112"/>
    </row>
    <row r="41" spans="1:8" ht="84.75">
      <c r="A41" s="154" t="s">
        <v>186</v>
      </c>
      <c r="B41" s="113"/>
    </row>
    <row r="42" spans="1:8">
      <c r="A42" s="155" t="s">
        <v>187</v>
      </c>
    </row>
    <row r="43" spans="1:8">
      <c r="A43" s="155" t="s">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5"/>
  <sheetViews>
    <sheetView workbookViewId="0">
      <selection activeCell="I11" sqref="I11"/>
    </sheetView>
  </sheetViews>
  <sheetFormatPr defaultRowHeight="15"/>
  <cols>
    <col min="1" max="1" width="33.140625" bestFit="1" customWidth="1"/>
    <col min="3" max="3" width="20.7109375" customWidth="1"/>
    <col min="5" max="5" width="5" customWidth="1"/>
    <col min="6" max="6" width="24.28515625" customWidth="1"/>
  </cols>
  <sheetData>
    <row r="1" spans="1:8" ht="27.75">
      <c r="A1" s="33" t="s">
        <v>94</v>
      </c>
      <c r="C1" s="34"/>
      <c r="E1" s="2"/>
    </row>
    <row r="2" spans="1:8" ht="15.75">
      <c r="A2" s="156" t="s">
        <v>189</v>
      </c>
      <c r="C2" s="34"/>
      <c r="E2" s="2"/>
    </row>
    <row r="3" spans="1:8" ht="15.75">
      <c r="A3" s="157"/>
      <c r="C3" s="34"/>
      <c r="E3" s="2"/>
    </row>
    <row r="4" spans="1:8" ht="34.5">
      <c r="A4" s="35" t="s">
        <v>55</v>
      </c>
      <c r="B4" s="36" t="s">
        <v>17</v>
      </c>
      <c r="C4" s="37" t="s">
        <v>56</v>
      </c>
      <c r="D4" s="37" t="s">
        <v>19</v>
      </c>
      <c r="E4" s="2"/>
      <c r="F4" s="131" t="s">
        <v>95</v>
      </c>
      <c r="G4" s="131" t="s">
        <v>19</v>
      </c>
      <c r="H4" s="132" t="s">
        <v>17</v>
      </c>
    </row>
    <row r="5" spans="1:8" ht="15.75" thickBot="1">
      <c r="A5" s="38" t="s">
        <v>3</v>
      </c>
      <c r="B5" s="39">
        <v>0.34962406015037595</v>
      </c>
      <c r="C5" s="40"/>
      <c r="D5" s="41"/>
      <c r="E5" s="2"/>
      <c r="F5" s="41"/>
      <c r="G5" s="41"/>
      <c r="H5" s="41"/>
    </row>
    <row r="6" spans="1:8">
      <c r="A6" s="42" t="s">
        <v>57</v>
      </c>
      <c r="B6" s="43">
        <v>0.31954887218045114</v>
      </c>
      <c r="C6" s="44" t="s">
        <v>143</v>
      </c>
      <c r="D6" s="45">
        <v>135000</v>
      </c>
      <c r="E6" s="133"/>
      <c r="F6" s="91" t="s">
        <v>144</v>
      </c>
      <c r="G6" s="52">
        <v>25000</v>
      </c>
      <c r="H6" s="62">
        <f>100/119</f>
        <v>0.84033613445378152</v>
      </c>
    </row>
    <row r="7" spans="1:8">
      <c r="A7" s="42" t="s">
        <v>59</v>
      </c>
      <c r="B7" s="43">
        <v>3.007518796992481E-2</v>
      </c>
      <c r="C7" s="44" t="s">
        <v>145</v>
      </c>
      <c r="D7" s="46">
        <v>120000</v>
      </c>
      <c r="E7" s="133"/>
      <c r="F7" s="91" t="s">
        <v>146</v>
      </c>
      <c r="G7" s="46">
        <v>22500</v>
      </c>
      <c r="H7" s="15">
        <f>10/15</f>
        <v>0.66666666666666663</v>
      </c>
    </row>
    <row r="8" spans="1:8">
      <c r="A8" s="42"/>
      <c r="B8" s="47"/>
      <c r="C8" s="48"/>
      <c r="D8" s="49"/>
      <c r="E8" s="3"/>
      <c r="F8" s="54"/>
      <c r="G8" s="49"/>
      <c r="H8" s="15"/>
    </row>
    <row r="9" spans="1:8" ht="15.75" thickBot="1">
      <c r="A9" s="38" t="s">
        <v>61</v>
      </c>
      <c r="B9" s="39">
        <v>6.5789473684210523E-2</v>
      </c>
      <c r="C9" s="134"/>
      <c r="D9" s="135"/>
      <c r="E9" s="136"/>
      <c r="F9" s="137"/>
      <c r="G9" s="135"/>
      <c r="H9" s="138"/>
    </row>
    <row r="10" spans="1:8">
      <c r="A10" s="42" t="s">
        <v>62</v>
      </c>
      <c r="B10" s="43">
        <v>3.1954887218045111E-2</v>
      </c>
      <c r="C10" s="44" t="s">
        <v>147</v>
      </c>
      <c r="D10" s="52">
        <v>100000</v>
      </c>
      <c r="E10" s="133"/>
      <c r="F10" s="56" t="s">
        <v>148</v>
      </c>
      <c r="G10" s="52">
        <v>31000</v>
      </c>
      <c r="H10" s="62">
        <f>6/15</f>
        <v>0.4</v>
      </c>
    </row>
    <row r="11" spans="1:8">
      <c r="A11" s="42" t="s">
        <v>9</v>
      </c>
      <c r="B11" s="43">
        <v>3.3834586466165412E-2</v>
      </c>
      <c r="C11" s="44" t="s">
        <v>149</v>
      </c>
      <c r="D11" s="52">
        <v>100000</v>
      </c>
      <c r="E11" s="133"/>
      <c r="F11" s="56" t="s">
        <v>150</v>
      </c>
      <c r="G11" s="52">
        <v>25000</v>
      </c>
      <c r="H11" s="62">
        <f>16/17</f>
        <v>0.94117647058823528</v>
      </c>
    </row>
    <row r="12" spans="1:8">
      <c r="A12" s="42"/>
      <c r="B12" s="47"/>
      <c r="C12" s="48"/>
      <c r="D12" s="46"/>
      <c r="E12" s="3"/>
      <c r="F12" s="54"/>
      <c r="G12" s="46"/>
      <c r="H12" s="15"/>
    </row>
    <row r="13" spans="1:8" ht="15.75" thickBot="1">
      <c r="A13" s="38" t="s">
        <v>10</v>
      </c>
      <c r="B13" s="39">
        <v>0.33270676691729323</v>
      </c>
      <c r="C13" s="134"/>
      <c r="D13" s="135"/>
      <c r="E13" s="136"/>
      <c r="F13" s="137"/>
      <c r="G13" s="139"/>
      <c r="H13" s="140"/>
    </row>
    <row r="14" spans="1:8">
      <c r="A14" s="42" t="s">
        <v>65</v>
      </c>
      <c r="B14" s="43">
        <v>4.6992481203007516E-2</v>
      </c>
      <c r="C14" s="53" t="s">
        <v>151</v>
      </c>
      <c r="D14" s="52">
        <v>122500</v>
      </c>
      <c r="E14" s="133"/>
      <c r="F14" s="91" t="s">
        <v>152</v>
      </c>
      <c r="G14" s="52">
        <v>48750</v>
      </c>
      <c r="H14" s="62">
        <f>18/24</f>
        <v>0.75</v>
      </c>
    </row>
    <row r="15" spans="1:8">
      <c r="A15" s="42" t="s">
        <v>67</v>
      </c>
      <c r="B15" s="43">
        <v>0.15037593984962405</v>
      </c>
      <c r="C15" s="44" t="s">
        <v>153</v>
      </c>
      <c r="D15" s="46">
        <v>100000</v>
      </c>
      <c r="E15" s="133"/>
      <c r="F15" s="91" t="s">
        <v>154</v>
      </c>
      <c r="G15" s="46">
        <v>50000</v>
      </c>
      <c r="H15" s="15">
        <f>66/73</f>
        <v>0.90410958904109584</v>
      </c>
    </row>
    <row r="16" spans="1:8">
      <c r="A16" s="42" t="s">
        <v>29</v>
      </c>
      <c r="B16" s="43">
        <v>5.0751879699248117E-2</v>
      </c>
      <c r="C16" s="44" t="s">
        <v>155</v>
      </c>
      <c r="D16" s="46">
        <v>120000</v>
      </c>
      <c r="E16" s="133"/>
      <c r="F16" s="54" t="s">
        <v>106</v>
      </c>
      <c r="G16" s="46">
        <v>55000</v>
      </c>
      <c r="H16" s="15">
        <f>16/26</f>
        <v>0.61538461538461542</v>
      </c>
    </row>
    <row r="17" spans="1:8">
      <c r="A17" s="42" t="s">
        <v>68</v>
      </c>
      <c r="B17" s="43" t="s">
        <v>53</v>
      </c>
      <c r="C17" s="46">
        <v>100000</v>
      </c>
      <c r="D17" s="46">
        <v>100000</v>
      </c>
      <c r="E17" s="133"/>
      <c r="F17" s="54" t="s">
        <v>156</v>
      </c>
      <c r="G17" s="46">
        <v>45000</v>
      </c>
      <c r="H17" s="15">
        <f>3/4</f>
        <v>0.75</v>
      </c>
    </row>
    <row r="18" spans="1:8">
      <c r="A18" s="42" t="s">
        <v>157</v>
      </c>
      <c r="B18" s="43">
        <v>3.7593984962406013E-2</v>
      </c>
      <c r="C18" s="44" t="s">
        <v>108</v>
      </c>
      <c r="D18" s="46">
        <v>130000</v>
      </c>
      <c r="E18" s="133"/>
      <c r="F18" s="54" t="s">
        <v>109</v>
      </c>
      <c r="G18" s="46">
        <v>30000</v>
      </c>
      <c r="H18" s="15">
        <f>11/18</f>
        <v>0.61111111111111116</v>
      </c>
    </row>
    <row r="19" spans="1:8">
      <c r="A19" s="42" t="s">
        <v>72</v>
      </c>
      <c r="B19" s="43" t="s">
        <v>53</v>
      </c>
      <c r="C19" s="46">
        <v>100000</v>
      </c>
      <c r="D19" s="46">
        <v>100000</v>
      </c>
      <c r="E19" s="133"/>
      <c r="F19" s="54" t="s">
        <v>158</v>
      </c>
      <c r="G19" s="46">
        <v>50000</v>
      </c>
      <c r="H19" s="15">
        <f>4/5</f>
        <v>0.8</v>
      </c>
    </row>
    <row r="20" spans="1:8">
      <c r="A20" s="55" t="s">
        <v>11</v>
      </c>
      <c r="B20" s="43">
        <v>3.007518796992481E-2</v>
      </c>
      <c r="C20" s="46" t="s">
        <v>159</v>
      </c>
      <c r="D20" s="46">
        <v>100000</v>
      </c>
      <c r="E20" s="133"/>
      <c r="F20" s="54" t="s">
        <v>160</v>
      </c>
      <c r="G20" s="46">
        <v>40000</v>
      </c>
      <c r="H20" s="15">
        <f>10/13</f>
        <v>0.76923076923076927</v>
      </c>
    </row>
    <row r="21" spans="1:8">
      <c r="A21" s="42"/>
      <c r="B21" s="47"/>
      <c r="C21" s="48"/>
      <c r="D21" s="46"/>
      <c r="E21" s="3"/>
      <c r="F21" s="54"/>
      <c r="G21" s="46"/>
      <c r="H21" s="15"/>
    </row>
    <row r="22" spans="1:8" ht="15.75" thickBot="1">
      <c r="A22" s="38" t="s">
        <v>75</v>
      </c>
      <c r="B22" s="39">
        <v>6.9548872180451124E-2</v>
      </c>
      <c r="C22" s="134"/>
      <c r="D22" s="135"/>
      <c r="E22" s="136"/>
      <c r="F22" s="137"/>
      <c r="G22" s="139"/>
      <c r="H22" s="140"/>
    </row>
    <row r="23" spans="1:8">
      <c r="A23" s="42" t="s">
        <v>76</v>
      </c>
      <c r="B23" s="43">
        <v>1.6917293233082706E-2</v>
      </c>
      <c r="C23" s="56" t="s">
        <v>161</v>
      </c>
      <c r="D23" s="52">
        <v>105000</v>
      </c>
      <c r="E23" s="133"/>
      <c r="F23" s="56" t="s">
        <v>162</v>
      </c>
      <c r="G23" s="141">
        <v>22500</v>
      </c>
      <c r="H23" s="142">
        <f>6/9</f>
        <v>0.66666666666666663</v>
      </c>
    </row>
    <row r="24" spans="1:8">
      <c r="A24" s="42" t="s">
        <v>78</v>
      </c>
      <c r="B24" s="43" t="s">
        <v>53</v>
      </c>
      <c r="C24" s="48" t="s">
        <v>163</v>
      </c>
      <c r="D24" s="46">
        <v>90000</v>
      </c>
      <c r="E24" s="133"/>
      <c r="F24" s="56" t="s">
        <v>164</v>
      </c>
      <c r="G24" s="46">
        <v>37500</v>
      </c>
      <c r="H24" s="15">
        <f>2/5</f>
        <v>0.4</v>
      </c>
    </row>
    <row r="25" spans="1:8">
      <c r="A25" s="42" t="s">
        <v>165</v>
      </c>
      <c r="B25" s="43">
        <v>3.3834586466165412E-2</v>
      </c>
      <c r="C25" s="54" t="s">
        <v>166</v>
      </c>
      <c r="D25" s="46">
        <v>111000</v>
      </c>
      <c r="E25" s="133"/>
      <c r="F25" s="54" t="s">
        <v>167</v>
      </c>
      <c r="G25" s="46">
        <v>30000</v>
      </c>
      <c r="H25" s="15">
        <f>14/16</f>
        <v>0.875</v>
      </c>
    </row>
    <row r="26" spans="1:8">
      <c r="A26" s="55" t="s">
        <v>11</v>
      </c>
      <c r="B26" s="43" t="s">
        <v>53</v>
      </c>
      <c r="C26" s="54" t="s">
        <v>168</v>
      </c>
      <c r="D26" s="46">
        <v>100000</v>
      </c>
      <c r="E26" s="133"/>
      <c r="F26" s="143" t="s">
        <v>169</v>
      </c>
      <c r="G26" s="46">
        <v>14000</v>
      </c>
      <c r="H26" s="15">
        <f>2/4</f>
        <v>0.5</v>
      </c>
    </row>
    <row r="27" spans="1:8">
      <c r="A27" s="55"/>
      <c r="B27" s="43"/>
      <c r="C27" s="57"/>
      <c r="D27" s="58"/>
      <c r="E27" s="133"/>
      <c r="F27" s="54"/>
      <c r="G27" s="141"/>
      <c r="H27" s="142"/>
    </row>
    <row r="28" spans="1:8" ht="15.75" thickBot="1">
      <c r="A28" s="38" t="s">
        <v>12</v>
      </c>
      <c r="B28" s="39">
        <v>9.2105263157894732E-2</v>
      </c>
      <c r="C28" s="144"/>
      <c r="D28" s="135"/>
      <c r="E28" s="136"/>
      <c r="F28" s="137"/>
      <c r="G28" s="139"/>
      <c r="H28" s="140"/>
    </row>
    <row r="29" spans="1:8">
      <c r="A29" s="42" t="s">
        <v>83</v>
      </c>
      <c r="B29" s="43">
        <v>6.2030075187969921E-2</v>
      </c>
      <c r="C29" s="56" t="s">
        <v>126</v>
      </c>
      <c r="D29" s="52">
        <v>100000</v>
      </c>
      <c r="E29" s="133"/>
      <c r="F29" s="57" t="s">
        <v>170</v>
      </c>
      <c r="G29" s="52">
        <v>25000</v>
      </c>
      <c r="H29" s="62">
        <f>29/31</f>
        <v>0.93548387096774188</v>
      </c>
    </row>
    <row r="30" spans="1:8">
      <c r="A30" s="42" t="s">
        <v>171</v>
      </c>
      <c r="B30" s="43">
        <v>1.6917293233082706E-2</v>
      </c>
      <c r="C30" s="54" t="s">
        <v>172</v>
      </c>
      <c r="D30" s="46">
        <v>110000</v>
      </c>
      <c r="E30" s="133"/>
      <c r="F30" s="54" t="s">
        <v>173</v>
      </c>
      <c r="G30" s="46">
        <v>39950</v>
      </c>
      <c r="H30" s="15">
        <f>4/9</f>
        <v>0.44444444444444442</v>
      </c>
    </row>
    <row r="31" spans="1:8">
      <c r="A31" s="55" t="s">
        <v>8</v>
      </c>
      <c r="B31" s="43">
        <v>1.3157894736842105E-2</v>
      </c>
      <c r="C31" s="54" t="s">
        <v>174</v>
      </c>
      <c r="D31" s="46">
        <v>100000</v>
      </c>
      <c r="E31" s="133"/>
      <c r="F31" s="57" t="s">
        <v>175</v>
      </c>
      <c r="G31" s="46">
        <v>37500</v>
      </c>
      <c r="H31" s="15">
        <f>5/7</f>
        <v>0.7142857142857143</v>
      </c>
    </row>
    <row r="32" spans="1:8">
      <c r="A32" s="42"/>
      <c r="B32" s="47"/>
      <c r="C32" s="60"/>
      <c r="D32" s="58"/>
      <c r="E32" s="3"/>
      <c r="F32" s="145"/>
      <c r="G32" s="146"/>
      <c r="H32" s="147"/>
    </row>
    <row r="33" spans="1:8" ht="15.75" thickBot="1">
      <c r="A33" s="38" t="s">
        <v>88</v>
      </c>
      <c r="B33" s="39">
        <v>5.6390977443609019E-2</v>
      </c>
      <c r="C33" s="134"/>
      <c r="D33" s="135"/>
      <c r="E33" s="136"/>
      <c r="F33" s="139"/>
      <c r="G33" s="139"/>
      <c r="H33" s="138"/>
    </row>
    <row r="34" spans="1:8">
      <c r="A34" s="42" t="s">
        <v>176</v>
      </c>
      <c r="B34" s="43" t="s">
        <v>53</v>
      </c>
      <c r="C34" s="54" t="s">
        <v>177</v>
      </c>
      <c r="D34" s="46">
        <v>160000</v>
      </c>
      <c r="E34" s="133"/>
      <c r="F34" s="91" t="s">
        <v>178</v>
      </c>
      <c r="G34" s="46">
        <v>23500</v>
      </c>
      <c r="H34" s="15">
        <f>2/4</f>
        <v>0.5</v>
      </c>
    </row>
    <row r="35" spans="1:8">
      <c r="A35" s="42" t="s">
        <v>179</v>
      </c>
      <c r="B35" s="43">
        <v>1.3157894736842105E-2</v>
      </c>
      <c r="C35" s="145" t="s">
        <v>180</v>
      </c>
      <c r="D35" s="58">
        <v>115000</v>
      </c>
      <c r="E35" s="133"/>
      <c r="F35" s="148" t="s">
        <v>167</v>
      </c>
      <c r="G35" s="58">
        <v>42250</v>
      </c>
      <c r="H35" s="149">
        <f>4/7</f>
        <v>0.5714285714285714</v>
      </c>
    </row>
    <row r="36" spans="1:8">
      <c r="A36" s="55" t="s">
        <v>11</v>
      </c>
      <c r="B36" s="43">
        <v>3.3834586466165412E-2</v>
      </c>
      <c r="C36" s="145" t="s">
        <v>181</v>
      </c>
      <c r="D36" s="58">
        <v>90000</v>
      </c>
      <c r="E36" s="133"/>
      <c r="F36" s="148" t="s">
        <v>182</v>
      </c>
      <c r="G36" s="58">
        <v>16250</v>
      </c>
      <c r="H36" s="149">
        <f>10/17</f>
        <v>0.58823529411764708</v>
      </c>
    </row>
    <row r="37" spans="1:8">
      <c r="A37" s="42"/>
      <c r="B37" s="47"/>
      <c r="C37" s="60"/>
      <c r="D37" s="58"/>
      <c r="E37" s="3"/>
      <c r="F37" s="150"/>
      <c r="G37" s="151"/>
      <c r="H37" s="149"/>
    </row>
    <row r="38" spans="1:8" ht="15.75" thickBot="1">
      <c r="A38" s="38" t="s">
        <v>91</v>
      </c>
      <c r="B38" s="39">
        <v>3.3834586466165412E-2</v>
      </c>
      <c r="C38" s="134"/>
      <c r="D38" s="135"/>
      <c r="E38" s="136"/>
      <c r="F38" s="137"/>
      <c r="G38" s="135"/>
      <c r="H38" s="152"/>
    </row>
    <row r="39" spans="1:8">
      <c r="A39" s="42" t="s">
        <v>92</v>
      </c>
      <c r="B39" s="43">
        <v>1.6917293233082706E-2</v>
      </c>
      <c r="C39" s="54" t="s">
        <v>183</v>
      </c>
      <c r="D39" s="46">
        <v>120000</v>
      </c>
      <c r="E39" s="133"/>
      <c r="F39" s="54" t="s">
        <v>184</v>
      </c>
      <c r="G39" s="46">
        <v>50000</v>
      </c>
      <c r="H39" s="15">
        <f>7/9</f>
        <v>0.77777777777777779</v>
      </c>
    </row>
    <row r="40" spans="1:8">
      <c r="A40" s="42" t="s">
        <v>8</v>
      </c>
      <c r="B40" s="43">
        <v>1.6917293233082706E-2</v>
      </c>
      <c r="C40" s="54" t="s">
        <v>136</v>
      </c>
      <c r="D40" s="46">
        <v>112500</v>
      </c>
      <c r="E40" s="133"/>
      <c r="F40" s="54" t="s">
        <v>185</v>
      </c>
      <c r="G40" s="46">
        <v>16250</v>
      </c>
      <c r="H40" s="15">
        <f>2/9</f>
        <v>0.22222222222222221</v>
      </c>
    </row>
    <row r="43" spans="1:8" ht="108.75">
      <c r="A43" s="154" t="s">
        <v>186</v>
      </c>
    </row>
    <row r="44" spans="1:8">
      <c r="A44" s="155" t="s">
        <v>187</v>
      </c>
      <c r="B44" s="153"/>
    </row>
    <row r="45" spans="1:8">
      <c r="A45" s="155" t="s">
        <v>188</v>
      </c>
      <c r="B45" s="15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D36"/>
  <sheetViews>
    <sheetView workbookViewId="0">
      <selection activeCell="J32" sqref="J32"/>
    </sheetView>
  </sheetViews>
  <sheetFormatPr defaultRowHeight="15"/>
  <cols>
    <col min="1" max="1" width="39.85546875" bestFit="1" customWidth="1"/>
    <col min="3" max="3" width="15.5703125" customWidth="1"/>
    <col min="4" max="4" width="11.5703125" customWidth="1"/>
  </cols>
  <sheetData>
    <row r="1" spans="1:4" ht="27.75">
      <c r="A1" s="4" t="s">
        <v>15</v>
      </c>
      <c r="B1" s="5"/>
      <c r="C1" s="6"/>
      <c r="D1" s="5"/>
    </row>
    <row r="2" spans="1:4" ht="23.25">
      <c r="A2" s="7" t="s">
        <v>0</v>
      </c>
      <c r="B2" s="8" t="s">
        <v>17</v>
      </c>
      <c r="C2" s="9" t="s">
        <v>18</v>
      </c>
      <c r="D2" s="9" t="s">
        <v>19</v>
      </c>
    </row>
    <row r="3" spans="1:4">
      <c r="A3" s="10"/>
      <c r="B3" s="11"/>
      <c r="C3" s="8"/>
      <c r="D3" s="12"/>
    </row>
    <row r="4" spans="1:4" ht="15.75" thickBot="1">
      <c r="A4" s="70" t="s">
        <v>20</v>
      </c>
      <c r="B4" s="64">
        <v>0.19878296146044627</v>
      </c>
      <c r="C4" s="73"/>
      <c r="D4" s="73"/>
    </row>
    <row r="5" spans="1:4">
      <c r="A5" s="67" t="s">
        <v>21</v>
      </c>
      <c r="B5" s="62">
        <v>0.18052738336713997</v>
      </c>
      <c r="C5" s="68" t="s">
        <v>22</v>
      </c>
      <c r="D5" s="69">
        <v>11250</v>
      </c>
    </row>
    <row r="6" spans="1:4">
      <c r="A6" s="18" t="s">
        <v>8</v>
      </c>
      <c r="B6" s="15">
        <v>1.8255578093306288E-2</v>
      </c>
      <c r="C6" s="16" t="s">
        <v>23</v>
      </c>
      <c r="D6" s="17">
        <v>6850</v>
      </c>
    </row>
    <row r="7" spans="1:4">
      <c r="A7" s="19"/>
      <c r="B7" s="20"/>
      <c r="C7" s="16"/>
      <c r="D7" s="21"/>
    </row>
    <row r="8" spans="1:4" ht="15.75" thickBot="1">
      <c r="A8" s="70" t="s">
        <v>24</v>
      </c>
      <c r="B8" s="64">
        <v>0.4137931034482758</v>
      </c>
      <c r="C8" s="71"/>
      <c r="D8" s="72"/>
    </row>
    <row r="9" spans="1:4">
      <c r="A9" s="67" t="s">
        <v>25</v>
      </c>
      <c r="B9" s="62">
        <v>1.6227180527383367E-2</v>
      </c>
      <c r="C9" s="68" t="s">
        <v>26</v>
      </c>
      <c r="D9" s="69">
        <v>7646</v>
      </c>
    </row>
    <row r="10" spans="1:4">
      <c r="A10" s="14" t="s">
        <v>27</v>
      </c>
      <c r="B10" s="15">
        <v>0.22109533468559839</v>
      </c>
      <c r="C10" s="16" t="s">
        <v>28</v>
      </c>
      <c r="D10" s="17">
        <v>8333</v>
      </c>
    </row>
    <row r="11" spans="1:4">
      <c r="A11" s="14" t="s">
        <v>29</v>
      </c>
      <c r="B11" s="15"/>
      <c r="C11" s="16"/>
      <c r="D11" s="17"/>
    </row>
    <row r="12" spans="1:4">
      <c r="A12" s="14" t="s">
        <v>30</v>
      </c>
      <c r="B12" s="15">
        <v>6.0851926977687626E-2</v>
      </c>
      <c r="C12" s="16" t="s">
        <v>31</v>
      </c>
      <c r="D12" s="17">
        <v>7700</v>
      </c>
    </row>
    <row r="13" spans="1:4">
      <c r="A13" s="22" t="s">
        <v>32</v>
      </c>
      <c r="B13" s="15">
        <v>4.0567951318458417E-2</v>
      </c>
      <c r="C13" s="16" t="s">
        <v>33</v>
      </c>
      <c r="D13" s="17">
        <v>4250</v>
      </c>
    </row>
    <row r="14" spans="1:4">
      <c r="A14" s="14" t="s">
        <v>34</v>
      </c>
      <c r="B14" s="15">
        <v>4.665314401622718E-2</v>
      </c>
      <c r="C14" s="16" t="s">
        <v>35</v>
      </c>
      <c r="D14" s="17">
        <v>8333</v>
      </c>
    </row>
    <row r="15" spans="1:4">
      <c r="A15" s="23" t="s">
        <v>8</v>
      </c>
      <c r="B15" s="15">
        <v>2.8397565922920892E-2</v>
      </c>
      <c r="C15" s="16" t="s">
        <v>36</v>
      </c>
      <c r="D15" s="17">
        <v>7728</v>
      </c>
    </row>
    <row r="16" spans="1:4">
      <c r="A16" s="14"/>
      <c r="B16" s="20"/>
      <c r="C16" s="16"/>
      <c r="D16" s="21"/>
    </row>
    <row r="17" spans="1:4" ht="15.75" thickBot="1">
      <c r="A17" s="70" t="s">
        <v>7</v>
      </c>
      <c r="B17" s="64">
        <v>8.1135902636916835E-2</v>
      </c>
      <c r="C17" s="71"/>
      <c r="D17" s="72"/>
    </row>
    <row r="18" spans="1:4">
      <c r="A18" s="67" t="s">
        <v>6</v>
      </c>
      <c r="B18" s="62">
        <v>2.8397565922920892E-2</v>
      </c>
      <c r="C18" s="68" t="s">
        <v>43</v>
      </c>
      <c r="D18" s="69">
        <v>6923</v>
      </c>
    </row>
    <row r="19" spans="1:4">
      <c r="A19" s="14" t="s">
        <v>16</v>
      </c>
      <c r="B19" s="15">
        <v>3.6511156186612576E-2</v>
      </c>
      <c r="C19" s="16" t="s">
        <v>42</v>
      </c>
      <c r="D19" s="17">
        <v>5120</v>
      </c>
    </row>
    <row r="20" spans="1:4">
      <c r="A20" s="14" t="s">
        <v>8</v>
      </c>
      <c r="B20" s="15">
        <v>1.6227180527383367E-2</v>
      </c>
      <c r="C20" s="25" t="s">
        <v>44</v>
      </c>
      <c r="D20" s="25">
        <v>7200</v>
      </c>
    </row>
    <row r="21" spans="1:4">
      <c r="A21" s="14"/>
      <c r="B21" s="20"/>
      <c r="C21" s="17"/>
      <c r="D21" s="17"/>
    </row>
    <row r="22" spans="1:4" ht="15.75" thickBot="1">
      <c r="A22" s="70" t="s">
        <v>37</v>
      </c>
      <c r="B22" s="64">
        <v>0.15415821501014199</v>
      </c>
      <c r="C22" s="71"/>
      <c r="D22" s="72"/>
    </row>
    <row r="23" spans="1:4">
      <c r="A23" s="74" t="s">
        <v>39</v>
      </c>
      <c r="B23" s="62">
        <v>3.2454361054766734E-2</v>
      </c>
      <c r="C23" s="75" t="s">
        <v>45</v>
      </c>
      <c r="D23" s="76">
        <v>6400</v>
      </c>
    </row>
    <row r="24" spans="1:4">
      <c r="A24" s="24" t="s">
        <v>38</v>
      </c>
      <c r="B24" s="15">
        <v>3.2454361054766734E-2</v>
      </c>
      <c r="C24" s="26" t="s">
        <v>46</v>
      </c>
      <c r="D24" s="27">
        <v>4800</v>
      </c>
    </row>
    <row r="25" spans="1:4">
      <c r="A25" s="24" t="s">
        <v>14</v>
      </c>
      <c r="B25" s="15">
        <v>8.9249492900608518E-2</v>
      </c>
      <c r="C25" s="26" t="s">
        <v>47</v>
      </c>
      <c r="D25" s="27">
        <v>8000</v>
      </c>
    </row>
    <row r="26" spans="1:4">
      <c r="A26" s="13"/>
      <c r="B26" s="20"/>
      <c r="C26" s="16"/>
      <c r="D26" s="21"/>
    </row>
    <row r="27" spans="1:4" ht="15.75" thickBot="1">
      <c r="A27" s="70" t="s">
        <v>11</v>
      </c>
      <c r="B27" s="64">
        <v>0.15212981744421908</v>
      </c>
      <c r="C27" s="71"/>
      <c r="D27" s="72"/>
    </row>
    <row r="28" spans="1:4">
      <c r="A28" s="77" t="s">
        <v>13</v>
      </c>
      <c r="B28" s="65" t="s">
        <v>53</v>
      </c>
      <c r="C28" s="78" t="s">
        <v>48</v>
      </c>
      <c r="D28" s="69">
        <v>2200</v>
      </c>
    </row>
    <row r="29" spans="1:4">
      <c r="A29" s="22" t="s">
        <v>40</v>
      </c>
      <c r="B29" s="15">
        <v>3.4482758620689655E-2</v>
      </c>
      <c r="C29" s="29" t="s">
        <v>54</v>
      </c>
      <c r="D29" s="17">
        <v>3200</v>
      </c>
    </row>
    <row r="30" spans="1:4">
      <c r="A30" s="22" t="s">
        <v>41</v>
      </c>
      <c r="B30" s="15">
        <v>3.0425963488843813E-2</v>
      </c>
      <c r="C30" s="26" t="s">
        <v>49</v>
      </c>
      <c r="D30" s="27">
        <v>6400</v>
      </c>
    </row>
    <row r="31" spans="1:4">
      <c r="A31" s="14" t="s">
        <v>1</v>
      </c>
      <c r="B31" s="15">
        <v>4.8681541582150101E-2</v>
      </c>
      <c r="C31" s="25" t="s">
        <v>50</v>
      </c>
      <c r="D31" s="17">
        <v>5000</v>
      </c>
    </row>
    <row r="32" spans="1:4">
      <c r="A32" s="14" t="s">
        <v>2</v>
      </c>
      <c r="B32" s="15">
        <v>1.8255578093306288E-2</v>
      </c>
      <c r="C32" s="26" t="s">
        <v>51</v>
      </c>
      <c r="D32" s="17">
        <v>5000</v>
      </c>
    </row>
    <row r="33" spans="1:4">
      <c r="A33" s="18" t="s">
        <v>11</v>
      </c>
      <c r="B33" s="15">
        <v>1.2170385395537525E-2</v>
      </c>
      <c r="C33" s="25" t="s">
        <v>52</v>
      </c>
      <c r="D33" s="25">
        <v>7000</v>
      </c>
    </row>
    <row r="34" spans="1:4">
      <c r="A34" s="30"/>
      <c r="B34" s="20"/>
      <c r="C34" s="31"/>
      <c r="D34" s="31"/>
    </row>
    <row r="36" spans="1:4">
      <c r="B36"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37"/>
  <sheetViews>
    <sheetView topLeftCell="A10" workbookViewId="0">
      <selection activeCell="E40" sqref="E40"/>
    </sheetView>
  </sheetViews>
  <sheetFormatPr defaultRowHeight="15"/>
  <cols>
    <col min="1" max="1" width="30.5703125" bestFit="1" customWidth="1"/>
    <col min="2" max="2" width="8.42578125" customWidth="1"/>
    <col min="3" max="3" width="25.85546875" customWidth="1"/>
    <col min="4" max="4" width="10" customWidth="1"/>
  </cols>
  <sheetData>
    <row r="1" spans="1:4" ht="27.75">
      <c r="A1" s="33" t="s">
        <v>15</v>
      </c>
      <c r="C1" s="34"/>
    </row>
    <row r="2" spans="1:4" ht="15.75">
      <c r="A2" s="35" t="s">
        <v>55</v>
      </c>
      <c r="B2" s="36" t="s">
        <v>17</v>
      </c>
      <c r="C2" s="37" t="s">
        <v>56</v>
      </c>
      <c r="D2" s="37" t="s">
        <v>19</v>
      </c>
    </row>
    <row r="3" spans="1:4" ht="15.75" thickBot="1">
      <c r="A3" s="38" t="s">
        <v>3</v>
      </c>
      <c r="B3" s="39">
        <v>0.28310502283105021</v>
      </c>
      <c r="C3" s="40"/>
      <c r="D3" s="41"/>
    </row>
    <row r="4" spans="1:4">
      <c r="A4" s="42" t="s">
        <v>57</v>
      </c>
      <c r="B4" s="62">
        <v>0.23287671232876711</v>
      </c>
      <c r="C4" s="44" t="s">
        <v>58</v>
      </c>
      <c r="D4" s="45">
        <v>11200</v>
      </c>
    </row>
    <row r="5" spans="1:4">
      <c r="A5" s="42" t="s">
        <v>59</v>
      </c>
      <c r="B5" s="15">
        <v>5.0228310502283102E-2</v>
      </c>
      <c r="C5" s="44" t="s">
        <v>60</v>
      </c>
      <c r="D5" s="46">
        <v>5000</v>
      </c>
    </row>
    <row r="6" spans="1:4">
      <c r="A6" s="42"/>
      <c r="B6" s="61"/>
      <c r="C6" s="48"/>
      <c r="D6" s="49"/>
    </row>
    <row r="7" spans="1:4" ht="15.75" thickBot="1">
      <c r="A7" s="38" t="s">
        <v>61</v>
      </c>
      <c r="B7" s="64">
        <v>7.7625570776255703E-2</v>
      </c>
      <c r="C7" s="50"/>
      <c r="D7" s="51"/>
    </row>
    <row r="8" spans="1:4">
      <c r="A8" s="42" t="s">
        <v>62</v>
      </c>
      <c r="B8" s="62">
        <v>4.1095890410958902E-2</v>
      </c>
      <c r="C8" s="44" t="s">
        <v>63</v>
      </c>
      <c r="D8" s="52">
        <v>5700</v>
      </c>
    </row>
    <row r="9" spans="1:4">
      <c r="A9" s="42" t="s">
        <v>9</v>
      </c>
      <c r="B9" s="15">
        <v>3.6529680365296802E-2</v>
      </c>
      <c r="C9" s="44" t="s">
        <v>64</v>
      </c>
      <c r="D9" s="52">
        <v>6512</v>
      </c>
    </row>
    <row r="10" spans="1:4">
      <c r="A10" s="42"/>
      <c r="B10" s="61"/>
      <c r="C10" s="48"/>
      <c r="D10" s="46"/>
    </row>
    <row r="11" spans="1:4" ht="15.75" thickBot="1">
      <c r="A11" s="38" t="s">
        <v>10</v>
      </c>
      <c r="B11" s="64">
        <v>0.36757990867579904</v>
      </c>
      <c r="C11" s="50"/>
      <c r="D11" s="51"/>
    </row>
    <row r="12" spans="1:4">
      <c r="A12" s="42" t="s">
        <v>65</v>
      </c>
      <c r="B12" s="62">
        <v>6.6210045662100453E-2</v>
      </c>
      <c r="C12" s="63" t="s">
        <v>66</v>
      </c>
      <c r="D12" s="52">
        <v>8333</v>
      </c>
    </row>
    <row r="13" spans="1:4">
      <c r="A13" s="42" t="s">
        <v>67</v>
      </c>
      <c r="B13" s="15">
        <v>0.15296803652968036</v>
      </c>
      <c r="C13" s="44" t="s">
        <v>28</v>
      </c>
      <c r="D13" s="46">
        <v>8333</v>
      </c>
    </row>
    <row r="14" spans="1:4">
      <c r="A14" s="42" t="s">
        <v>29</v>
      </c>
      <c r="B14" s="15">
        <v>5.2511415525114152E-2</v>
      </c>
      <c r="C14" s="44" t="s">
        <v>31</v>
      </c>
      <c r="D14" s="46">
        <v>8183</v>
      </c>
    </row>
    <row r="15" spans="1:4">
      <c r="A15" s="42" t="s">
        <v>68</v>
      </c>
      <c r="B15" s="15">
        <v>1.1415525114155251E-2</v>
      </c>
      <c r="C15" s="54" t="s">
        <v>69</v>
      </c>
      <c r="D15" s="46">
        <v>8333</v>
      </c>
    </row>
    <row r="16" spans="1:4">
      <c r="A16" s="42" t="s">
        <v>70</v>
      </c>
      <c r="B16" s="15">
        <v>3.6529680365296802E-2</v>
      </c>
      <c r="C16" s="44" t="s">
        <v>71</v>
      </c>
      <c r="D16" s="46">
        <v>6500</v>
      </c>
    </row>
    <row r="17" spans="1:4">
      <c r="A17" s="42" t="s">
        <v>72</v>
      </c>
      <c r="B17" s="15">
        <v>1.3698630136986301E-2</v>
      </c>
      <c r="C17" s="48" t="s">
        <v>73</v>
      </c>
      <c r="D17" s="46">
        <v>8333</v>
      </c>
    </row>
    <row r="18" spans="1:4">
      <c r="A18" s="55" t="s">
        <v>11</v>
      </c>
      <c r="B18" s="15">
        <v>3.4246575342465752E-2</v>
      </c>
      <c r="C18" s="46" t="s">
        <v>74</v>
      </c>
      <c r="D18" s="46">
        <v>7000</v>
      </c>
    </row>
    <row r="19" spans="1:4">
      <c r="A19" s="42"/>
      <c r="B19" s="61"/>
      <c r="C19" s="54"/>
      <c r="D19" s="46"/>
    </row>
    <row r="20" spans="1:4" ht="15.75" thickBot="1">
      <c r="A20" s="38" t="s">
        <v>75</v>
      </c>
      <c r="B20" s="64">
        <v>4.5662100456621002E-2</v>
      </c>
      <c r="C20" s="50"/>
      <c r="D20" s="51"/>
    </row>
    <row r="21" spans="1:4">
      <c r="A21" s="42" t="s">
        <v>76</v>
      </c>
      <c r="B21" s="65" t="s">
        <v>53</v>
      </c>
      <c r="C21" s="56" t="s">
        <v>77</v>
      </c>
      <c r="D21" s="52">
        <v>6500</v>
      </c>
    </row>
    <row r="22" spans="1:4">
      <c r="A22" s="42" t="s">
        <v>78</v>
      </c>
      <c r="B22" s="15">
        <v>1.3698630136986301E-2</v>
      </c>
      <c r="C22" s="56" t="s">
        <v>79</v>
      </c>
      <c r="D22" s="52">
        <v>6500</v>
      </c>
    </row>
    <row r="23" spans="1:4">
      <c r="A23" s="42" t="s">
        <v>80</v>
      </c>
      <c r="B23" s="15">
        <v>1.5981735159817351E-2</v>
      </c>
      <c r="C23" s="56" t="s">
        <v>81</v>
      </c>
      <c r="D23" s="52">
        <v>5500</v>
      </c>
    </row>
    <row r="24" spans="1:4">
      <c r="A24" s="55" t="s">
        <v>11</v>
      </c>
      <c r="B24" s="28" t="s">
        <v>53</v>
      </c>
      <c r="C24" s="54" t="s">
        <v>82</v>
      </c>
      <c r="D24" s="46">
        <v>5000</v>
      </c>
    </row>
    <row r="25" spans="1:4">
      <c r="A25" s="55"/>
      <c r="B25" s="15"/>
      <c r="C25" s="57"/>
      <c r="D25" s="58"/>
    </row>
    <row r="26" spans="1:4" ht="15.75" thickBot="1">
      <c r="A26" s="38" t="s">
        <v>12</v>
      </c>
      <c r="B26" s="64">
        <v>0.11415525114155251</v>
      </c>
      <c r="C26" s="59"/>
      <c r="D26" s="51"/>
    </row>
    <row r="27" spans="1:4">
      <c r="A27" s="42" t="s">
        <v>83</v>
      </c>
      <c r="B27" s="62">
        <v>7.3059360730593603E-2</v>
      </c>
      <c r="C27" s="56" t="s">
        <v>84</v>
      </c>
      <c r="D27" s="52">
        <v>6604</v>
      </c>
    </row>
    <row r="28" spans="1:4">
      <c r="A28" s="42" t="s">
        <v>85</v>
      </c>
      <c r="B28" s="15">
        <v>2.2831050228310501E-2</v>
      </c>
      <c r="C28" s="54" t="s">
        <v>86</v>
      </c>
      <c r="D28" s="46">
        <v>6800</v>
      </c>
    </row>
    <row r="29" spans="1:4">
      <c r="A29" s="55" t="s">
        <v>8</v>
      </c>
      <c r="B29" s="15">
        <v>1.8264840182648401E-2</v>
      </c>
      <c r="C29" s="54" t="s">
        <v>87</v>
      </c>
      <c r="D29" s="46">
        <v>7684</v>
      </c>
    </row>
    <row r="30" spans="1:4">
      <c r="A30" s="42"/>
      <c r="B30" s="61"/>
      <c r="C30" s="60"/>
      <c r="D30" s="58"/>
    </row>
    <row r="31" spans="1:4" ht="15.75" thickBot="1">
      <c r="A31" s="38" t="s">
        <v>88</v>
      </c>
      <c r="B31" s="64">
        <v>5.9360730593607303E-2</v>
      </c>
      <c r="C31" s="50"/>
      <c r="D31" s="51"/>
    </row>
    <row r="32" spans="1:4">
      <c r="A32" s="55" t="s">
        <v>5</v>
      </c>
      <c r="B32" s="66">
        <v>1.8264840182648401E-2</v>
      </c>
      <c r="C32" s="60" t="s">
        <v>89</v>
      </c>
      <c r="D32" s="46">
        <v>8000</v>
      </c>
    </row>
    <row r="33" spans="1:4">
      <c r="A33" s="55" t="s">
        <v>11</v>
      </c>
      <c r="B33" s="15">
        <v>4.1095890410958902E-2</v>
      </c>
      <c r="C33" s="54" t="s">
        <v>90</v>
      </c>
      <c r="D33" s="46">
        <v>7040</v>
      </c>
    </row>
    <row r="34" spans="1:4">
      <c r="A34" s="42"/>
      <c r="B34" s="61"/>
      <c r="C34" s="54"/>
      <c r="D34" s="46"/>
    </row>
    <row r="35" spans="1:4" ht="15.75" thickBot="1">
      <c r="A35" s="38" t="s">
        <v>91</v>
      </c>
      <c r="B35" s="64">
        <v>5.2511415525114152E-2</v>
      </c>
      <c r="C35" s="50"/>
      <c r="D35" s="51"/>
    </row>
    <row r="36" spans="1:4">
      <c r="A36" s="42" t="s">
        <v>92</v>
      </c>
      <c r="B36" s="62">
        <v>2.5114155251141551E-2</v>
      </c>
      <c r="C36" s="54" t="s">
        <v>93</v>
      </c>
      <c r="D36" s="46">
        <v>6250</v>
      </c>
    </row>
    <row r="37" spans="1:4">
      <c r="A37" s="42" t="s">
        <v>8</v>
      </c>
      <c r="B37" s="15">
        <v>2.7397260273972601E-2</v>
      </c>
      <c r="C37" s="54" t="s">
        <v>64</v>
      </c>
      <c r="D37" s="46">
        <v>4900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2013 Graduates by Industry</vt:lpstr>
      <vt:lpstr>2013 Graduates by Function</vt:lpstr>
      <vt:lpstr>2013 Interns By Industry</vt:lpstr>
      <vt:lpstr>2013 Interns by Function</vt:lpstr>
    </vt:vector>
  </TitlesOfParts>
  <Company>Columbia Business School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als3</dc:creator>
  <cp:lastModifiedBy>als3</cp:lastModifiedBy>
  <cp:lastPrinted>2011-03-23T16:53:25Z</cp:lastPrinted>
  <dcterms:created xsi:type="dcterms:W3CDTF">2011-03-08T16:58:23Z</dcterms:created>
  <dcterms:modified xsi:type="dcterms:W3CDTF">2013-10-31T20:44:09Z</dcterms:modified>
</cp:coreProperties>
</file>