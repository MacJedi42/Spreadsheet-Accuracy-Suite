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120" windowWidth="15195" windowHeight="9150" tabRatio="801"/>
  </bookViews>
  <sheets>
    <sheet name="&lt;insert org. name here&gt;" sheetId="1" r:id="rId1"/>
    <sheet name="Promotional" sheetId="2" r:id="rId2"/>
    <sheet name="Speakers and Entertainment" sheetId="5" r:id="rId3"/>
    <sheet name="Capital" sheetId="3" r:id="rId4"/>
    <sheet name="Non-Capital" sheetId="4" r:id="rId5"/>
    <sheet name="Food" sheetId="9" r:id="rId6"/>
    <sheet name="Performance Travel" sheetId="6" r:id="rId7"/>
    <sheet name="Student Planned Travel" sheetId="7" r:id="rId8"/>
    <sheet name="External Travel" sheetId="8" r:id="rId9"/>
    <sheet name="Sheet1" sheetId="10" r:id="rId10"/>
  </sheets>
  <calcPr calcId="144525"/>
</workbook>
</file>

<file path=xl/calcChain.xml><?xml version="1.0" encoding="utf-8"?>
<calcChain xmlns="http://schemas.openxmlformats.org/spreadsheetml/2006/main">
  <c r="C21" i="1" l="1"/>
  <c r="C20" i="1"/>
  <c r="C19" i="1"/>
  <c r="C18" i="1"/>
  <c r="C17" i="1"/>
  <c r="C16" i="1"/>
  <c r="C15" i="1"/>
  <c r="C14" i="1"/>
  <c r="F3" i="4" l="1"/>
  <c r="F4" i="9"/>
  <c r="F4" i="8"/>
  <c r="F4" i="7"/>
  <c r="F4" i="6"/>
  <c r="F4" i="5"/>
  <c r="F4" i="3"/>
  <c r="F4" i="2"/>
  <c r="C23" i="1" l="1"/>
</calcChain>
</file>

<file path=xl/sharedStrings.xml><?xml version="1.0" encoding="utf-8"?>
<sst xmlns="http://schemas.openxmlformats.org/spreadsheetml/2006/main" count="106" uniqueCount="78">
  <si>
    <t>Name of Organization:</t>
  </si>
  <si>
    <t>E-Mail Address(es) of Those Attending Budget Hearings:</t>
  </si>
  <si>
    <t>Telephone Number of the President:</t>
  </si>
  <si>
    <t>Telephone Number of the Advisor:</t>
  </si>
  <si>
    <t>Operational Budget</t>
  </si>
  <si>
    <t>Food:</t>
  </si>
  <si>
    <t>Quantity</t>
  </si>
  <si>
    <t>Total Cost</t>
  </si>
  <si>
    <t>EQUIPMENT AND SUPPLY INVENTORY SHEET</t>
  </si>
  <si>
    <t>Equipment and Supply Currently Owned</t>
  </si>
  <si>
    <t>#</t>
  </si>
  <si>
    <t>Item</t>
  </si>
  <si>
    <t>Condition</t>
  </si>
  <si>
    <t>Equipment and Supply Budgeted for the Current Year</t>
  </si>
  <si>
    <t>Promotional:</t>
  </si>
  <si>
    <t>Non-Capital Spending:</t>
  </si>
  <si>
    <t>Student Planned Travel:</t>
  </si>
  <si>
    <t>External Travel:</t>
  </si>
  <si>
    <t>Total:</t>
  </si>
  <si>
    <t>Items:</t>
  </si>
  <si>
    <t>Total Promotional Funds Requested:</t>
  </si>
  <si>
    <t>Total Item Cost:</t>
  </si>
  <si>
    <t>What we need in your details are justifications, which include:</t>
  </si>
  <si>
    <t>Example:</t>
  </si>
  <si>
    <t>Item:</t>
  </si>
  <si>
    <t>Details:</t>
  </si>
  <si>
    <t>Total Item Costs:</t>
  </si>
  <si>
    <t>Hotel for Trip 1</t>
  </si>
  <si>
    <t>This spreadsheet is Autofill.  Please do not alter Total cells.</t>
  </si>
  <si>
    <t>Paper</t>
  </si>
  <si>
    <t>2 boxes for fliers @ 70/box</t>
  </si>
  <si>
    <t>Six rooms @ $120/room @ Courtyard Marriott, Roseville MN</t>
  </si>
  <si>
    <t>Function, quantities, separated costs.  For trips, the purpose and length of trip. As much information as you deem necessary, the more information you include, the better.</t>
  </si>
  <si>
    <t>THIS FORM MUST BE SUBMITTED VIA EMAIL TO THE STUDENT GOVERNMENT ASSOCATION at SENATE@UWSUPER.EDU</t>
  </si>
  <si>
    <t>Total Capital Funds Requested:</t>
  </si>
  <si>
    <t>Total Non-Capital Funds Requested:</t>
  </si>
  <si>
    <t>Total Speaker Funds Requested:</t>
  </si>
  <si>
    <t>Total Competitive Travel Funds Requested:</t>
  </si>
  <si>
    <t>Total Student Planned Travel Funds Requested:</t>
  </si>
  <si>
    <t>Total External Travel Funds Requested:</t>
  </si>
  <si>
    <t>Total Food Funds Requested:</t>
  </si>
  <si>
    <t>N/A</t>
  </si>
  <si>
    <t>On-Campus</t>
  </si>
  <si>
    <t>Travel</t>
  </si>
  <si>
    <t>PLEASE INDICATE ORG TYPE*</t>
  </si>
  <si>
    <t>*(please see guidelines for how this might affect your funding)</t>
  </si>
  <si>
    <t>By Friday, MARCH 15 at 4:30pm</t>
  </si>
  <si>
    <t>(     )</t>
  </si>
  <si>
    <t>President of 2012-13 Academic Year:</t>
  </si>
  <si>
    <t>Advisor(s):</t>
  </si>
  <si>
    <t>E-Mail Address of the Advisor(s):</t>
  </si>
  <si>
    <t>Yolo Fraushbaum</t>
  </si>
  <si>
    <t>Hasta Luego</t>
  </si>
  <si>
    <t>sufac@uwsuper.edu</t>
  </si>
  <si>
    <t>hluego@uwsuper.edu</t>
  </si>
  <si>
    <t>218-123-4567</t>
  </si>
  <si>
    <t>612-654-3210</t>
  </si>
  <si>
    <t>Sample On-Campus Org</t>
  </si>
  <si>
    <t>200 fliers</t>
  </si>
  <si>
    <t>$0.10 per copy</t>
  </si>
  <si>
    <t>20 large fliers</t>
  </si>
  <si>
    <t>$1.70 per copy + $14.00 labor charge (on-campus)</t>
  </si>
  <si>
    <t>Yahtzee</t>
  </si>
  <si>
    <t>THE GREATEST GAME</t>
  </si>
  <si>
    <t>Monopoly</t>
  </si>
  <si>
    <t>Life</t>
  </si>
  <si>
    <t>Risk</t>
  </si>
  <si>
    <t xml:space="preserve">A good board game </t>
  </si>
  <si>
    <t>A great board game</t>
  </si>
  <si>
    <t>The best board game</t>
  </si>
  <si>
    <t>Music rental</t>
  </si>
  <si>
    <t>4 hours of soundboard + DJ from YAC @ $10.00/hr</t>
  </si>
  <si>
    <t>Name Tags</t>
  </si>
  <si>
    <t>For naming things</t>
  </si>
  <si>
    <t>(  x   )</t>
  </si>
  <si>
    <t>Speakers and Entertainment:</t>
  </si>
  <si>
    <t>Capital:</t>
  </si>
  <si>
    <t>Performance Travel: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</si>
</sst>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_([$$-409]* #,##0.00_);_([$$-409]* \(#,##0.00\);_([$$-409]* &quot;-&quot;??_);_(@_)"/>
  </numFmts>
  <fonts count="22" x14ac:knownFonts="1">
    <font>
      <sz val="10"/>
      <name val="Arial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b/>
      <sz val="14"/>
      <name val="Times New Roman"/>
      <family val="1"/>
    </font>
    <font>
      <sz val="10"/>
      <name val="Times New Roman"/>
      <family val="1"/>
    </font>
    <font>
      <sz val="12"/>
      <name val="Times New Roman"/>
      <family val="1"/>
    </font>
    <font>
      <sz val="7"/>
      <name val="Times New Roman"/>
      <family val="1"/>
    </font>
    <font>
      <sz val="7"/>
      <name val="Arial"/>
      <family val="2"/>
    </font>
    <font>
      <b/>
      <sz val="12"/>
      <name val="Times New Roman"/>
      <family val="1"/>
    </font>
    <font>
      <b/>
      <sz val="10"/>
      <name val="Arial"/>
      <family val="2"/>
    </font>
    <font>
      <b/>
      <sz val="12.5"/>
      <name val="Times New Roman"/>
      <family val="1"/>
    </font>
    <font>
      <b/>
      <i/>
      <sz val="12.5"/>
      <name val="Times New Roman"/>
      <family val="1"/>
    </font>
    <font>
      <sz val="10"/>
      <name val="Arial"/>
      <family val="2"/>
    </font>
    <font>
      <b/>
      <i/>
      <sz val="12"/>
      <name val="Times New Roman"/>
      <family val="1"/>
    </font>
    <font>
      <b/>
      <i/>
      <sz val="10"/>
      <name val="Times New Roman"/>
      <family val="1"/>
    </font>
    <font>
      <b/>
      <u/>
      <sz val="10"/>
      <color indexed="10"/>
      <name val="Arial"/>
      <family val="2"/>
    </font>
    <font>
      <b/>
      <i/>
      <sz val="14"/>
      <name val="Times New Roman"/>
      <family val="1"/>
    </font>
    <font>
      <b/>
      <sz val="16"/>
      <name val="Times New Roman"/>
      <family val="1"/>
    </font>
    <font>
      <b/>
      <u/>
      <sz val="10"/>
      <color rgb="FF0000FF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</cellStyleXfs>
  <cellXfs count="82">
    <xf numFmtId="0" fontId="0" fillId="0" borderId="0" xfId="0"/>
    <xf numFmtId="0" fontId="5" fillId="0" borderId="0" xfId="0" applyFont="1"/>
    <xf numFmtId="0" fontId="5" fillId="0" borderId="0" xfId="0" applyFont="1" applyBorder="1"/>
    <xf numFmtId="8" fontId="11" fillId="0" borderId="0" xfId="0" applyNumberFormat="1" applyFont="1" applyBorder="1" applyAlignment="1">
      <alignment horizontal="right"/>
    </xf>
    <xf numFmtId="0" fontId="6" fillId="0" borderId="4" xfId="0" applyFont="1" applyBorder="1"/>
    <xf numFmtId="8" fontId="6" fillId="0" borderId="0" xfId="0" applyNumberFormat="1" applyFont="1" applyBorder="1"/>
    <xf numFmtId="8" fontId="6" fillId="0" borderId="0" xfId="0" applyNumberFormat="1" applyFont="1"/>
    <xf numFmtId="8" fontId="11" fillId="0" borderId="0" xfId="0" applyNumberFormat="1" applyFont="1"/>
    <xf numFmtId="8" fontId="9" fillId="0" borderId="0" xfId="0" applyNumberFormat="1" applyFont="1" applyBorder="1"/>
    <xf numFmtId="0" fontId="9" fillId="0" borderId="3" xfId="0" applyFont="1" applyBorder="1" applyAlignment="1">
      <alignment horizontal="center"/>
    </xf>
    <xf numFmtId="164" fontId="5" fillId="0" borderId="3" xfId="1" applyNumberFormat="1" applyFont="1" applyBorder="1" applyAlignment="1">
      <alignment horizontal="left" vertical="top" wrapText="1"/>
    </xf>
    <xf numFmtId="44" fontId="6" fillId="0" borderId="3" xfId="1" applyFont="1" applyBorder="1"/>
    <xf numFmtId="44" fontId="5" fillId="0" borderId="3" xfId="1" applyFont="1" applyBorder="1" applyAlignment="1" applyProtection="1">
      <alignment horizontal="left"/>
      <protection locked="0"/>
    </xf>
    <xf numFmtId="0" fontId="0" fillId="0" borderId="0" xfId="0" applyAlignment="1">
      <alignment horizontal="center"/>
    </xf>
    <xf numFmtId="0" fontId="0" fillId="0" borderId="3" xfId="0" applyBorder="1"/>
    <xf numFmtId="0" fontId="0" fillId="0" borderId="0" xfId="0" applyBorder="1" applyAlignment="1" applyProtection="1">
      <protection locked="0"/>
    </xf>
    <xf numFmtId="8" fontId="17" fillId="0" borderId="0" xfId="0" applyNumberFormat="1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18" fillId="0" borderId="3" xfId="0" applyFont="1" applyBorder="1" applyAlignment="1">
      <alignment horizontal="center" vertical="center"/>
    </xf>
    <xf numFmtId="0" fontId="10" fillId="0" borderId="0" xfId="0" applyFont="1"/>
    <xf numFmtId="0" fontId="5" fillId="0" borderId="5" xfId="0" applyFont="1" applyBorder="1" applyAlignment="1" applyProtection="1">
      <protection locked="0"/>
    </xf>
    <xf numFmtId="0" fontId="0" fillId="0" borderId="1" xfId="0" applyBorder="1" applyAlignment="1" applyProtection="1">
      <protection locked="0"/>
    </xf>
    <xf numFmtId="0" fontId="0" fillId="0" borderId="6" xfId="0" applyBorder="1" applyAlignment="1" applyProtection="1">
      <protection locked="0"/>
    </xf>
    <xf numFmtId="0" fontId="2" fillId="0" borderId="5" xfId="2" applyBorder="1" applyAlignment="1" applyProtection="1">
      <protection locked="0"/>
    </xf>
    <xf numFmtId="0" fontId="13" fillId="0" borderId="0" xfId="0" applyFont="1"/>
    <xf numFmtId="0" fontId="0" fillId="0" borderId="0" xfId="0" applyAlignment="1"/>
    <xf numFmtId="0" fontId="13" fillId="0" borderId="0" xfId="0" applyFont="1" applyAlignment="1"/>
    <xf numFmtId="0" fontId="20" fillId="0" borderId="0" xfId="0" applyFont="1" applyAlignment="1"/>
    <xf numFmtId="0" fontId="0" fillId="0" borderId="6" xfId="0" applyBorder="1"/>
    <xf numFmtId="0" fontId="0" fillId="0" borderId="0" xfId="0" applyFill="1"/>
    <xf numFmtId="0" fontId="13" fillId="0" borderId="0" xfId="0" applyFont="1" applyFill="1" applyBorder="1" applyAlignment="1" applyProtection="1">
      <alignment wrapText="1"/>
      <protection locked="0"/>
    </xf>
    <xf numFmtId="0" fontId="21" fillId="0" borderId="0" xfId="0" applyFont="1" applyAlignment="1"/>
    <xf numFmtId="6" fontId="0" fillId="0" borderId="0" xfId="0" applyNumberFormat="1"/>
    <xf numFmtId="8" fontId="0" fillId="0" borderId="0" xfId="0" applyNumberFormat="1"/>
    <xf numFmtId="0" fontId="0" fillId="0" borderId="0" xfId="0" applyBorder="1" applyAlignment="1" applyProtection="1">
      <protection locked="0"/>
    </xf>
    <xf numFmtId="0" fontId="0" fillId="0" borderId="0" xfId="0" applyBorder="1"/>
    <xf numFmtId="0" fontId="1" fillId="0" borderId="16" xfId="0" applyFont="1" applyBorder="1" applyAlignment="1" applyProtection="1">
      <protection locked="0"/>
    </xf>
    <xf numFmtId="0" fontId="0" fillId="0" borderId="17" xfId="0" applyBorder="1" applyAlignment="1" applyProtection="1">
      <protection locked="0"/>
    </xf>
    <xf numFmtId="0" fontId="0" fillId="0" borderId="17" xfId="0" applyBorder="1"/>
    <xf numFmtId="0" fontId="0" fillId="0" borderId="18" xfId="0" applyBorder="1"/>
    <xf numFmtId="0" fontId="1" fillId="0" borderId="19" xfId="0" applyFont="1" applyBorder="1" applyAlignment="1" applyProtection="1">
      <protection locked="0"/>
    </xf>
    <xf numFmtId="0" fontId="0" fillId="0" borderId="20" xfId="0" applyBorder="1"/>
    <xf numFmtId="0" fontId="5" fillId="0" borderId="21" xfId="0" applyFont="1" applyBorder="1"/>
    <xf numFmtId="0" fontId="5" fillId="0" borderId="22" xfId="0" applyFont="1" applyBorder="1"/>
    <xf numFmtId="0" fontId="0" fillId="0" borderId="23" xfId="0" applyBorder="1"/>
    <xf numFmtId="0" fontId="1" fillId="0" borderId="0" xfId="0" applyFont="1" applyBorder="1" applyAlignment="1">
      <alignment horizontal="center"/>
    </xf>
    <xf numFmtId="0" fontId="0" fillId="0" borderId="22" xfId="0" applyBorder="1" applyAlignment="1">
      <alignment horizontal="center"/>
    </xf>
    <xf numFmtId="0" fontId="1" fillId="0" borderId="0" xfId="0" applyFont="1"/>
    <xf numFmtId="44" fontId="0" fillId="0" borderId="0" xfId="1" applyFont="1"/>
    <xf numFmtId="0" fontId="0" fillId="0" borderId="3" xfId="0" applyBorder="1" applyAlignment="1">
      <alignment horizontal="center"/>
    </xf>
    <xf numFmtId="8" fontId="6" fillId="0" borderId="3" xfId="0" applyNumberFormat="1" applyFont="1" applyFill="1" applyBorder="1" applyAlignment="1">
      <alignment horizontal="left" vertical="top" wrapText="1"/>
    </xf>
    <xf numFmtId="8" fontId="14" fillId="0" borderId="3" xfId="0" applyNumberFormat="1" applyFont="1" applyBorder="1" applyAlignment="1">
      <alignment horizontal="center"/>
    </xf>
    <xf numFmtId="8" fontId="6" fillId="0" borderId="3" xfId="0" applyNumberFormat="1" applyFont="1" applyBorder="1" applyAlignment="1">
      <alignment horizontal="left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horizontal="center"/>
    </xf>
    <xf numFmtId="8" fontId="4" fillId="0" borderId="4" xfId="0" applyNumberFormat="1" applyFont="1" applyBorder="1" applyAlignment="1">
      <alignment horizontal="right"/>
    </xf>
    <xf numFmtId="0" fontId="5" fillId="0" borderId="0" xfId="0" applyFont="1" applyBorder="1" applyAlignment="1" applyProtection="1">
      <protection locked="0"/>
    </xf>
    <xf numFmtId="0" fontId="0" fillId="0" borderId="0" xfId="0" applyBorder="1" applyAlignment="1" applyProtection="1">
      <protection locked="0"/>
    </xf>
    <xf numFmtId="8" fontId="6" fillId="0" borderId="9" xfId="0" applyNumberFormat="1" applyFont="1" applyBorder="1" applyAlignment="1">
      <alignment horizontal="right"/>
    </xf>
    <xf numFmtId="0" fontId="0" fillId="0" borderId="2" xfId="0" applyBorder="1" applyAlignment="1">
      <alignment horizontal="right"/>
    </xf>
    <xf numFmtId="0" fontId="16" fillId="0" borderId="0" xfId="0" applyFont="1" applyAlignment="1">
      <alignment horizontal="center"/>
    </xf>
    <xf numFmtId="0" fontId="13" fillId="2" borderId="10" xfId="0" applyFont="1" applyFill="1" applyBorder="1" applyAlignment="1" applyProtection="1">
      <alignment horizontal="left" wrapText="1"/>
      <protection locked="0"/>
    </xf>
    <xf numFmtId="0" fontId="13" fillId="2" borderId="11" xfId="0" applyFont="1" applyFill="1" applyBorder="1" applyAlignment="1" applyProtection="1">
      <alignment horizontal="left" wrapText="1"/>
      <protection locked="0"/>
    </xf>
    <xf numFmtId="0" fontId="13" fillId="2" borderId="12" xfId="0" applyFont="1" applyFill="1" applyBorder="1" applyAlignment="1" applyProtection="1">
      <alignment horizontal="left" wrapText="1"/>
      <protection locked="0"/>
    </xf>
    <xf numFmtId="0" fontId="13" fillId="2" borderId="13" xfId="0" applyFont="1" applyFill="1" applyBorder="1" applyAlignment="1" applyProtection="1">
      <alignment horizontal="left" wrapText="1"/>
      <protection locked="0"/>
    </xf>
    <xf numFmtId="0" fontId="13" fillId="2" borderId="14" xfId="0" applyFont="1" applyFill="1" applyBorder="1" applyAlignment="1" applyProtection="1">
      <alignment horizontal="left" wrapText="1"/>
      <protection locked="0"/>
    </xf>
    <xf numFmtId="0" fontId="13" fillId="2" borderId="15" xfId="0" applyFont="1" applyFill="1" applyBorder="1" applyAlignment="1" applyProtection="1">
      <alignment horizontal="left" wrapText="1"/>
      <protection locked="0"/>
    </xf>
    <xf numFmtId="8" fontId="6" fillId="0" borderId="7" xfId="0" applyNumberFormat="1" applyFont="1" applyBorder="1" applyAlignment="1">
      <alignment horizontal="right"/>
    </xf>
    <xf numFmtId="0" fontId="0" fillId="0" borderId="0" xfId="0" applyBorder="1" applyAlignment="1">
      <alignment horizontal="right"/>
    </xf>
    <xf numFmtId="8" fontId="7" fillId="0" borderId="7" xfId="0" applyNumberFormat="1" applyFont="1" applyBorder="1" applyAlignment="1">
      <alignment horizontal="right"/>
    </xf>
    <xf numFmtId="0" fontId="8" fillId="0" borderId="0" xfId="0" applyFont="1" applyBorder="1" applyAlignment="1">
      <alignment horizontal="right"/>
    </xf>
    <xf numFmtId="0" fontId="20" fillId="0" borderId="0" xfId="0" applyFont="1" applyAlignment="1">
      <alignment horizontal="left"/>
    </xf>
    <xf numFmtId="0" fontId="13" fillId="0" borderId="0" xfId="0" applyFont="1" applyAlignment="1">
      <alignment horizontal="left" wrapText="1"/>
    </xf>
    <xf numFmtId="8" fontId="9" fillId="0" borderId="0" xfId="0" applyNumberFormat="1" applyFont="1" applyBorder="1" applyAlignment="1">
      <alignment horizontal="center"/>
    </xf>
    <xf numFmtId="8" fontId="12" fillId="0" borderId="0" xfId="0" applyNumberFormat="1" applyFont="1" applyBorder="1" applyAlignment="1">
      <alignment horizontal="center"/>
    </xf>
    <xf numFmtId="8" fontId="14" fillId="0" borderId="4" xfId="0" applyNumberFormat="1" applyFont="1" applyBorder="1" applyAlignment="1">
      <alignment horizontal="left"/>
    </xf>
    <xf numFmtId="0" fontId="15" fillId="0" borderId="4" xfId="0" applyFont="1" applyBorder="1" applyAlignment="1">
      <alignment horizontal="left"/>
    </xf>
    <xf numFmtId="8" fontId="6" fillId="0" borderId="8" xfId="0" applyNumberFormat="1" applyFont="1" applyBorder="1" applyAlignment="1">
      <alignment horizontal="right"/>
    </xf>
    <xf numFmtId="0" fontId="0" fillId="0" borderId="4" xfId="0" applyBorder="1" applyAlignment="1">
      <alignment horizontal="right"/>
    </xf>
    <xf numFmtId="8" fontId="6" fillId="0" borderId="5" xfId="0" applyNumberFormat="1" applyFont="1" applyFill="1" applyBorder="1" applyAlignment="1">
      <alignment horizontal="left" vertical="top" wrapText="1"/>
    </xf>
    <xf numFmtId="8" fontId="6" fillId="0" borderId="6" xfId="0" applyNumberFormat="1" applyFont="1" applyFill="1" applyBorder="1" applyAlignment="1">
      <alignment horizontal="left" vertical="top" wrapText="1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hluego@uwsuper.edu" TargetMode="External"/><Relationship Id="rId1" Type="http://schemas.openxmlformats.org/officeDocument/2006/relationships/hyperlink" Target="mailto:sufac@uwsuper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0"/>
  <sheetViews>
    <sheetView tabSelected="1" zoomScaleNormal="100" workbookViewId="0">
      <selection activeCell="A12" sqref="A12:C22"/>
    </sheetView>
  </sheetViews>
  <sheetFormatPr defaultRowHeight="12.75" x14ac:dyDescent="0.2"/>
  <cols>
    <col min="1" max="1" width="17" customWidth="1"/>
    <col min="2" max="2" width="11.7109375" customWidth="1"/>
    <col min="3" max="3" width="14" bestFit="1" customWidth="1"/>
    <col min="4" max="5" width="11.7109375" customWidth="1"/>
    <col min="6" max="6" width="13.140625" bestFit="1" customWidth="1"/>
    <col min="7" max="7" width="25.140625" customWidth="1"/>
    <col min="8" max="8" width="12.42578125" customWidth="1"/>
    <col min="9" max="9" width="16" customWidth="1"/>
    <col min="10" max="10" width="40" hidden="1" customWidth="1"/>
  </cols>
  <sheetData>
    <row r="1" spans="1:13" ht="16.5" customHeight="1" x14ac:dyDescent="0.2">
      <c r="A1" s="54" t="s">
        <v>33</v>
      </c>
      <c r="B1" s="55"/>
      <c r="C1" s="55"/>
      <c r="D1" s="55"/>
      <c r="E1" s="55"/>
      <c r="F1" s="55"/>
      <c r="G1" s="55"/>
      <c r="H1" s="55"/>
      <c r="I1" s="55"/>
      <c r="J1" s="55"/>
    </row>
    <row r="2" spans="1:13" ht="16.5" customHeight="1" x14ac:dyDescent="0.2">
      <c r="A2" s="55" t="s">
        <v>46</v>
      </c>
      <c r="B2" s="61"/>
      <c r="C2" s="61"/>
      <c r="D2" s="61"/>
      <c r="E2" s="61"/>
      <c r="F2" s="61"/>
      <c r="G2" s="61"/>
      <c r="H2" s="61"/>
      <c r="I2" s="61"/>
      <c r="J2" s="61"/>
    </row>
    <row r="3" spans="1:13" ht="19.5" thickBot="1" x14ac:dyDescent="0.35">
      <c r="A3" s="56" t="s">
        <v>0</v>
      </c>
      <c r="B3" s="56"/>
      <c r="C3" s="56"/>
      <c r="D3" s="57" t="s">
        <v>57</v>
      </c>
      <c r="E3" s="58"/>
      <c r="F3" s="58"/>
      <c r="G3" s="58"/>
      <c r="H3" s="58"/>
      <c r="I3" s="58"/>
      <c r="J3" s="58"/>
      <c r="M3" s="30"/>
    </row>
    <row r="4" spans="1:13" ht="15.75" customHeight="1" x14ac:dyDescent="0.25">
      <c r="A4" s="59" t="s">
        <v>48</v>
      </c>
      <c r="B4" s="60"/>
      <c r="C4" s="60"/>
      <c r="D4" s="21" t="s">
        <v>51</v>
      </c>
      <c r="E4" s="22"/>
      <c r="F4" s="22"/>
      <c r="G4" s="29"/>
      <c r="H4" s="15"/>
      <c r="I4" s="62" t="s">
        <v>28</v>
      </c>
      <c r="J4" s="63"/>
      <c r="K4" s="63"/>
      <c r="L4" s="64"/>
      <c r="M4" s="31"/>
    </row>
    <row r="5" spans="1:13" ht="16.5" thickBot="1" x14ac:dyDescent="0.3">
      <c r="A5" s="68" t="s">
        <v>49</v>
      </c>
      <c r="B5" s="69"/>
      <c r="C5" s="69"/>
      <c r="D5" s="21" t="s">
        <v>52</v>
      </c>
      <c r="E5" s="22"/>
      <c r="F5" s="22"/>
      <c r="G5" s="23"/>
      <c r="H5" s="15"/>
      <c r="I5" s="65"/>
      <c r="J5" s="66"/>
      <c r="K5" s="66"/>
      <c r="L5" s="67"/>
      <c r="M5" s="31"/>
    </row>
    <row r="6" spans="1:13" x14ac:dyDescent="0.2">
      <c r="A6" s="70" t="s">
        <v>1</v>
      </c>
      <c r="B6" s="71"/>
      <c r="C6" s="71"/>
      <c r="D6" s="24" t="s">
        <v>53</v>
      </c>
      <c r="E6" s="22"/>
      <c r="F6" s="22"/>
      <c r="G6" s="23"/>
      <c r="H6" s="15"/>
      <c r="I6" s="15"/>
      <c r="J6" s="15"/>
      <c r="M6" s="30"/>
    </row>
    <row r="7" spans="1:13" ht="16.5" thickBot="1" x14ac:dyDescent="0.3">
      <c r="A7" s="68" t="s">
        <v>50</v>
      </c>
      <c r="B7" s="69"/>
      <c r="C7" s="69"/>
      <c r="D7" s="24" t="s">
        <v>54</v>
      </c>
      <c r="E7" s="22"/>
      <c r="F7" s="22"/>
      <c r="G7" s="23"/>
      <c r="H7" s="15"/>
      <c r="I7" s="15"/>
      <c r="J7" s="15"/>
      <c r="M7" s="30"/>
    </row>
    <row r="8" spans="1:13" ht="16.5" thickTop="1" x14ac:dyDescent="0.25">
      <c r="A8" s="68" t="s">
        <v>2</v>
      </c>
      <c r="B8" s="69"/>
      <c r="C8" s="69"/>
      <c r="D8" s="21" t="s">
        <v>55</v>
      </c>
      <c r="E8" s="22"/>
      <c r="F8" s="22"/>
      <c r="G8" s="23"/>
      <c r="H8" s="15"/>
      <c r="I8" s="37" t="s">
        <v>44</v>
      </c>
      <c r="J8" s="38"/>
      <c r="K8" s="39"/>
      <c r="L8" s="40"/>
      <c r="M8" s="30"/>
    </row>
    <row r="9" spans="1:13" ht="15.75" x14ac:dyDescent="0.25">
      <c r="A9" s="78" t="s">
        <v>3</v>
      </c>
      <c r="B9" s="79"/>
      <c r="C9" s="79"/>
      <c r="D9" s="21" t="s">
        <v>56</v>
      </c>
      <c r="E9" s="22"/>
      <c r="F9" s="22"/>
      <c r="G9" s="23"/>
      <c r="H9" s="15"/>
      <c r="I9" s="41" t="s">
        <v>42</v>
      </c>
      <c r="J9" s="35"/>
      <c r="K9" s="46" t="s">
        <v>74</v>
      </c>
      <c r="L9" s="42"/>
    </row>
    <row r="10" spans="1:13" ht="13.5" thickBot="1" x14ac:dyDescent="0.25">
      <c r="A10" s="1"/>
      <c r="B10" s="1"/>
      <c r="C10" s="1"/>
      <c r="D10" s="1"/>
      <c r="E10" s="2"/>
      <c r="F10" s="2"/>
      <c r="G10" s="2"/>
      <c r="H10" s="2"/>
      <c r="I10" s="43" t="s">
        <v>43</v>
      </c>
      <c r="J10" s="44"/>
      <c r="K10" s="47" t="s">
        <v>47</v>
      </c>
      <c r="L10" s="45"/>
    </row>
    <row r="11" spans="1:13" ht="18" thickTop="1" x14ac:dyDescent="0.3">
      <c r="A11" s="2"/>
      <c r="B11" s="2"/>
      <c r="C11" s="3"/>
      <c r="D11" s="2"/>
      <c r="E11" s="75"/>
      <c r="F11" s="75"/>
      <c r="G11" s="2"/>
      <c r="H11" s="2"/>
      <c r="I11" s="2" t="s">
        <v>45</v>
      </c>
      <c r="J11" s="2"/>
      <c r="K11" s="36"/>
      <c r="L11" s="36"/>
    </row>
    <row r="12" spans="1:13" ht="15.75" x14ac:dyDescent="0.25">
      <c r="A12" s="76" t="s">
        <v>4</v>
      </c>
      <c r="B12" s="77"/>
      <c r="C12" s="4"/>
    </row>
    <row r="13" spans="1:13" ht="15.75" x14ac:dyDescent="0.25">
      <c r="A13" s="52"/>
      <c r="B13" s="52"/>
      <c r="C13" s="9" t="s">
        <v>7</v>
      </c>
      <c r="F13" s="74" t="s">
        <v>22</v>
      </c>
      <c r="G13" s="74"/>
      <c r="H13" s="74"/>
      <c r="I13" s="74"/>
      <c r="J13" s="74"/>
      <c r="K13" s="74"/>
    </row>
    <row r="14" spans="1:13" ht="15.75" customHeight="1" x14ac:dyDescent="0.25">
      <c r="A14" s="53" t="s">
        <v>14</v>
      </c>
      <c r="B14" s="53"/>
      <c r="C14" s="12">
        <f>Promotional!F4</f>
        <v>68</v>
      </c>
      <c r="F14" s="73" t="s">
        <v>32</v>
      </c>
      <c r="G14" s="73"/>
      <c r="H14" s="73"/>
      <c r="I14" s="73"/>
      <c r="J14" s="73"/>
      <c r="K14" s="73"/>
    </row>
    <row r="15" spans="1:13" ht="15.75" x14ac:dyDescent="0.25">
      <c r="A15" s="53" t="s">
        <v>75</v>
      </c>
      <c r="B15" s="53"/>
      <c r="C15" s="12">
        <f>'Speakers and Entertainment'!F4</f>
        <v>40</v>
      </c>
      <c r="F15" s="73"/>
      <c r="G15" s="73"/>
      <c r="H15" s="73"/>
      <c r="I15" s="73"/>
      <c r="J15" s="73"/>
      <c r="K15" s="73"/>
    </row>
    <row r="16" spans="1:13" ht="15.75" x14ac:dyDescent="0.25">
      <c r="A16" s="53" t="s">
        <v>76</v>
      </c>
      <c r="B16" s="53"/>
      <c r="C16" s="12">
        <f>Capital!F4</f>
        <v>107.74</v>
      </c>
      <c r="F16" s="32" t="s">
        <v>23</v>
      </c>
      <c r="G16" s="26"/>
      <c r="H16" s="26"/>
      <c r="I16" s="26"/>
    </row>
    <row r="17" spans="1:12" ht="15.75" x14ac:dyDescent="0.25">
      <c r="A17" s="53" t="s">
        <v>15</v>
      </c>
      <c r="B17" s="53"/>
      <c r="C17" s="12">
        <f>'Non-Capital'!F4</f>
        <v>0</v>
      </c>
      <c r="F17" s="28" t="s">
        <v>24</v>
      </c>
      <c r="G17" s="72" t="s">
        <v>25</v>
      </c>
      <c r="H17" s="72"/>
      <c r="I17" s="72"/>
      <c r="K17" s="72" t="s">
        <v>26</v>
      </c>
      <c r="L17" s="72"/>
    </row>
    <row r="18" spans="1:12" ht="15.75" customHeight="1" x14ac:dyDescent="0.2">
      <c r="A18" s="51" t="s">
        <v>5</v>
      </c>
      <c r="B18" s="51"/>
      <c r="C18" s="10">
        <f>Food!F4</f>
        <v>0</v>
      </c>
      <c r="F18" s="27" t="s">
        <v>27</v>
      </c>
      <c r="G18" s="27" t="s">
        <v>31</v>
      </c>
      <c r="H18" s="27"/>
      <c r="I18" s="27"/>
      <c r="K18" s="26">
        <v>720</v>
      </c>
    </row>
    <row r="19" spans="1:12" ht="15.75" x14ac:dyDescent="0.25">
      <c r="A19" s="53" t="s">
        <v>16</v>
      </c>
      <c r="B19" s="53"/>
      <c r="C19" s="12">
        <f>'Student Planned Travel'!F4</f>
        <v>0</v>
      </c>
      <c r="F19" s="27" t="s">
        <v>29</v>
      </c>
      <c r="G19" s="27" t="s">
        <v>30</v>
      </c>
      <c r="H19" s="27"/>
      <c r="I19" s="27"/>
      <c r="K19">
        <v>140</v>
      </c>
    </row>
    <row r="20" spans="1:12" ht="15.75" x14ac:dyDescent="0.25">
      <c r="A20" s="53" t="s">
        <v>17</v>
      </c>
      <c r="B20" s="53"/>
      <c r="C20" s="12">
        <f>'External Travel'!F4</f>
        <v>0</v>
      </c>
      <c r="F20" s="26"/>
      <c r="G20" s="27"/>
      <c r="H20" s="27"/>
      <c r="I20" s="27"/>
    </row>
    <row r="21" spans="1:12" ht="15.75" x14ac:dyDescent="0.25">
      <c r="A21" s="53" t="s">
        <v>77</v>
      </c>
      <c r="B21" s="53"/>
      <c r="C21" s="12">
        <f>'Performance Travel'!F4</f>
        <v>0</v>
      </c>
      <c r="F21" s="26"/>
      <c r="G21" s="26"/>
      <c r="H21" s="26"/>
      <c r="I21" s="26"/>
    </row>
    <row r="22" spans="1:12" ht="15.75" x14ac:dyDescent="0.2">
      <c r="A22" s="80"/>
      <c r="B22" s="81"/>
      <c r="C22" s="10"/>
      <c r="F22" s="26"/>
      <c r="G22" s="26"/>
      <c r="H22" s="26"/>
      <c r="I22" s="26"/>
    </row>
    <row r="23" spans="1:12" ht="24" customHeight="1" x14ac:dyDescent="0.25">
      <c r="A23" s="20" t="s">
        <v>18</v>
      </c>
      <c r="C23" s="11">
        <f>SUM(C14:C21)</f>
        <v>215.74</v>
      </c>
      <c r="F23" s="26"/>
      <c r="G23" s="26"/>
      <c r="H23" s="26"/>
      <c r="I23" s="26"/>
    </row>
    <row r="24" spans="1:12" ht="15.75" x14ac:dyDescent="0.25">
      <c r="A24" s="8"/>
      <c r="B24" s="8"/>
      <c r="C24" s="8"/>
      <c r="D24" s="2"/>
      <c r="E24" s="2"/>
      <c r="F24" s="2"/>
      <c r="G24" s="2"/>
    </row>
    <row r="25" spans="1:12" ht="19.5" x14ac:dyDescent="0.35">
      <c r="C25" s="5"/>
      <c r="D25" s="16"/>
      <c r="E25" s="16"/>
      <c r="F25" s="16"/>
      <c r="G25" s="16"/>
      <c r="H25" s="16"/>
      <c r="I25" s="16"/>
      <c r="J25" s="16"/>
    </row>
    <row r="27" spans="1:12" x14ac:dyDescent="0.2">
      <c r="A27" s="13"/>
    </row>
    <row r="29" spans="1:12" ht="15.75" customHeight="1" x14ac:dyDescent="0.2"/>
    <row r="30" spans="1:12" ht="15.75" customHeight="1" x14ac:dyDescent="0.2"/>
    <row r="32" spans="1:12" ht="15.75" customHeight="1" x14ac:dyDescent="0.2"/>
    <row r="34" ht="15.75" customHeight="1" x14ac:dyDescent="0.2"/>
    <row r="35" ht="15.75" customHeight="1" x14ac:dyDescent="0.2"/>
    <row r="41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53" ht="12.75" customHeight="1" x14ac:dyDescent="0.2"/>
    <row r="57" ht="12.75" customHeight="1" x14ac:dyDescent="0.2"/>
    <row r="58" ht="12.75" customHeight="1" x14ac:dyDescent="0.2"/>
    <row r="59" ht="12.75" customHeight="1" x14ac:dyDescent="0.2"/>
    <row r="65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7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94" ht="17.2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4.2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66" spans="1:8" ht="17.25" customHeight="1" x14ac:dyDescent="0.2"/>
    <row r="174" spans="1:8" ht="16.5" x14ac:dyDescent="0.25">
      <c r="A174" s="7"/>
      <c r="B174" s="6"/>
      <c r="C174" s="6"/>
    </row>
    <row r="176" spans="1:8" ht="20.25" x14ac:dyDescent="0.2">
      <c r="D176" s="19"/>
      <c r="E176" s="19"/>
      <c r="F176" s="19"/>
      <c r="G176" s="19"/>
      <c r="H176" s="19"/>
    </row>
    <row r="177" spans="1:8" ht="12.75" customHeight="1" x14ac:dyDescent="0.2">
      <c r="A177" s="19" t="s">
        <v>8</v>
      </c>
      <c r="B177" s="19"/>
      <c r="C177" s="19"/>
      <c r="D177" s="19"/>
      <c r="E177" s="19"/>
      <c r="F177" s="19"/>
      <c r="G177" s="19"/>
      <c r="H177" s="19"/>
    </row>
    <row r="178" spans="1:8" ht="12.75" customHeight="1" x14ac:dyDescent="0.3">
      <c r="A178" s="19"/>
      <c r="B178" s="19"/>
      <c r="C178" s="19"/>
      <c r="D178" s="18"/>
      <c r="E178" s="18"/>
      <c r="F178" s="18"/>
      <c r="G178" s="18"/>
      <c r="H178" s="18"/>
    </row>
    <row r="179" spans="1:8" ht="18.75" x14ac:dyDescent="0.3">
      <c r="A179" s="18" t="s">
        <v>9</v>
      </c>
      <c r="B179" s="18"/>
      <c r="C179" s="18"/>
      <c r="D179" s="17"/>
      <c r="E179" s="14" t="s">
        <v>6</v>
      </c>
      <c r="F179" s="50" t="s">
        <v>12</v>
      </c>
      <c r="G179" s="50"/>
      <c r="H179" s="50"/>
    </row>
    <row r="180" spans="1:8" x14ac:dyDescent="0.2">
      <c r="A180" s="14" t="s">
        <v>10</v>
      </c>
      <c r="B180" s="17" t="s">
        <v>11</v>
      </c>
      <c r="C180" s="17"/>
      <c r="D180" s="17"/>
      <c r="E180" s="14"/>
      <c r="F180" s="50"/>
      <c r="G180" s="50"/>
      <c r="H180" s="50"/>
    </row>
    <row r="181" spans="1:8" x14ac:dyDescent="0.2">
      <c r="A181" s="14">
        <v>1</v>
      </c>
      <c r="B181" s="17"/>
      <c r="C181" s="17"/>
      <c r="D181" s="17"/>
      <c r="E181" s="14"/>
      <c r="F181" s="50"/>
      <c r="G181" s="50"/>
      <c r="H181" s="50"/>
    </row>
    <row r="182" spans="1:8" x14ac:dyDescent="0.2">
      <c r="A182" s="14">
        <v>2</v>
      </c>
      <c r="B182" s="17"/>
      <c r="C182" s="17"/>
      <c r="D182" s="17"/>
      <c r="E182" s="14"/>
      <c r="F182" s="50"/>
      <c r="G182" s="50"/>
      <c r="H182" s="50"/>
    </row>
    <row r="183" spans="1:8" x14ac:dyDescent="0.2">
      <c r="A183" s="14">
        <v>3</v>
      </c>
      <c r="B183" s="17"/>
      <c r="C183" s="17"/>
      <c r="D183" s="17"/>
      <c r="E183" s="14"/>
      <c r="F183" s="50"/>
      <c r="G183" s="50"/>
      <c r="H183" s="50"/>
    </row>
    <row r="184" spans="1:8" x14ac:dyDescent="0.2">
      <c r="A184" s="14">
        <v>4</v>
      </c>
      <c r="B184" s="17"/>
      <c r="C184" s="17"/>
      <c r="D184" s="17"/>
      <c r="E184" s="14"/>
      <c r="F184" s="50"/>
      <c r="G184" s="50"/>
      <c r="H184" s="50"/>
    </row>
    <row r="185" spans="1:8" x14ac:dyDescent="0.2">
      <c r="A185" s="14">
        <v>5</v>
      </c>
      <c r="B185" s="17"/>
      <c r="C185" s="17"/>
      <c r="D185" s="17"/>
      <c r="E185" s="14"/>
      <c r="F185" s="50"/>
      <c r="G185" s="50"/>
      <c r="H185" s="50"/>
    </row>
    <row r="186" spans="1:8" x14ac:dyDescent="0.2">
      <c r="A186" s="14">
        <v>6</v>
      </c>
      <c r="B186" s="17"/>
      <c r="C186" s="17"/>
      <c r="D186" s="17"/>
      <c r="E186" s="14"/>
      <c r="F186" s="50"/>
      <c r="G186" s="50"/>
      <c r="H186" s="50"/>
    </row>
    <row r="187" spans="1:8" x14ac:dyDescent="0.2">
      <c r="A187" s="14">
        <v>7</v>
      </c>
      <c r="B187" s="17"/>
      <c r="C187" s="17"/>
      <c r="D187" s="17"/>
      <c r="E187" s="14"/>
      <c r="F187" s="50"/>
      <c r="G187" s="50"/>
      <c r="H187" s="50"/>
    </row>
    <row r="188" spans="1:8" x14ac:dyDescent="0.2">
      <c r="A188" s="14">
        <v>8</v>
      </c>
      <c r="B188" s="17"/>
      <c r="C188" s="17"/>
      <c r="D188" s="17"/>
      <c r="E188" s="14"/>
      <c r="F188" s="50"/>
      <c r="G188" s="50"/>
      <c r="H188" s="50"/>
    </row>
    <row r="189" spans="1:8" ht="18.75" x14ac:dyDescent="0.3">
      <c r="A189" s="14">
        <v>9</v>
      </c>
      <c r="B189" s="17"/>
      <c r="C189" s="17"/>
      <c r="D189" s="18"/>
      <c r="E189" s="18"/>
      <c r="F189" s="18"/>
      <c r="G189" s="18"/>
      <c r="H189" s="18"/>
    </row>
    <row r="190" spans="1:8" ht="18.75" x14ac:dyDescent="0.3">
      <c r="A190" s="18" t="s">
        <v>13</v>
      </c>
      <c r="B190" s="18"/>
      <c r="C190" s="18"/>
      <c r="D190" s="17"/>
      <c r="E190" s="14" t="s">
        <v>6</v>
      </c>
      <c r="F190" s="50" t="s">
        <v>12</v>
      </c>
      <c r="G190" s="50"/>
      <c r="H190" s="50"/>
    </row>
    <row r="191" spans="1:8" x14ac:dyDescent="0.2">
      <c r="A191" s="14" t="s">
        <v>10</v>
      </c>
      <c r="B191" s="17" t="s">
        <v>11</v>
      </c>
      <c r="C191" s="17"/>
      <c r="D191" s="17"/>
      <c r="E191" s="14"/>
      <c r="F191" s="50"/>
      <c r="G191" s="50"/>
      <c r="H191" s="50"/>
    </row>
    <row r="192" spans="1:8" x14ac:dyDescent="0.2">
      <c r="A192" s="14">
        <v>1</v>
      </c>
      <c r="B192" s="17"/>
      <c r="C192" s="17"/>
      <c r="D192" s="17"/>
      <c r="E192" s="14"/>
      <c r="F192" s="50"/>
      <c r="G192" s="50"/>
      <c r="H192" s="50"/>
    </row>
    <row r="193" spans="1:8" x14ac:dyDescent="0.2">
      <c r="A193" s="14">
        <v>2</v>
      </c>
      <c r="B193" s="17"/>
      <c r="C193" s="17"/>
      <c r="D193" s="17"/>
      <c r="E193" s="14"/>
      <c r="F193" s="50"/>
      <c r="G193" s="50"/>
      <c r="H193" s="50"/>
    </row>
    <row r="194" spans="1:8" x14ac:dyDescent="0.2">
      <c r="A194" s="14">
        <v>3</v>
      </c>
      <c r="B194" s="17"/>
      <c r="C194" s="17"/>
      <c r="D194" s="17"/>
      <c r="E194" s="14"/>
      <c r="F194" s="50"/>
      <c r="G194" s="50"/>
      <c r="H194" s="50"/>
    </row>
    <row r="195" spans="1:8" x14ac:dyDescent="0.2">
      <c r="A195" s="14">
        <v>4</v>
      </c>
      <c r="B195" s="17"/>
      <c r="C195" s="17"/>
      <c r="D195" s="17"/>
      <c r="E195" s="14"/>
      <c r="F195" s="50"/>
      <c r="G195" s="50"/>
      <c r="H195" s="50"/>
    </row>
    <row r="196" spans="1:8" x14ac:dyDescent="0.2">
      <c r="A196" s="14">
        <v>5</v>
      </c>
      <c r="B196" s="17"/>
      <c r="C196" s="17"/>
      <c r="D196" s="17"/>
      <c r="E196" s="14"/>
      <c r="F196" s="50"/>
      <c r="G196" s="50"/>
      <c r="H196" s="50"/>
    </row>
    <row r="197" spans="1:8" x14ac:dyDescent="0.2">
      <c r="A197" s="14">
        <v>6</v>
      </c>
      <c r="B197" s="17"/>
      <c r="C197" s="17"/>
      <c r="D197" s="17"/>
      <c r="E197" s="14"/>
      <c r="F197" s="50"/>
      <c r="G197" s="50"/>
      <c r="H197" s="50"/>
    </row>
    <row r="198" spans="1:8" x14ac:dyDescent="0.2">
      <c r="A198" s="14">
        <v>7</v>
      </c>
      <c r="B198" s="17"/>
      <c r="C198" s="17"/>
      <c r="D198" s="17"/>
      <c r="E198" s="14"/>
      <c r="F198" s="50"/>
      <c r="G198" s="50"/>
      <c r="H198" s="50"/>
    </row>
    <row r="199" spans="1:8" x14ac:dyDescent="0.2">
      <c r="A199" s="14">
        <v>8</v>
      </c>
      <c r="B199" s="17"/>
      <c r="C199" s="17"/>
      <c r="D199" s="17"/>
      <c r="E199" s="14"/>
      <c r="F199" s="50"/>
      <c r="G199" s="50"/>
      <c r="H199" s="50"/>
    </row>
    <row r="200" spans="1:8" x14ac:dyDescent="0.2">
      <c r="A200" s="14">
        <v>9</v>
      </c>
      <c r="B200" s="17"/>
      <c r="C200" s="17"/>
    </row>
  </sheetData>
  <mergeCells count="47">
    <mergeCell ref="A8:C8"/>
    <mergeCell ref="A9:C9"/>
    <mergeCell ref="E11:F11"/>
    <mergeCell ref="K17:L17"/>
    <mergeCell ref="A12:B12"/>
    <mergeCell ref="A14:B14"/>
    <mergeCell ref="A15:B15"/>
    <mergeCell ref="F181:H181"/>
    <mergeCell ref="F182:H182"/>
    <mergeCell ref="F183:H183"/>
    <mergeCell ref="F184:H184"/>
    <mergeCell ref="A1:J1"/>
    <mergeCell ref="A3:C3"/>
    <mergeCell ref="D3:J3"/>
    <mergeCell ref="A4:C4"/>
    <mergeCell ref="A2:J2"/>
    <mergeCell ref="I4:L5"/>
    <mergeCell ref="A5:C5"/>
    <mergeCell ref="A6:C6"/>
    <mergeCell ref="A7:C7"/>
    <mergeCell ref="G17:I17"/>
    <mergeCell ref="F14:K15"/>
    <mergeCell ref="F13:K13"/>
    <mergeCell ref="A21:B21"/>
    <mergeCell ref="A22:B22"/>
    <mergeCell ref="A13:B13"/>
    <mergeCell ref="F179:H179"/>
    <mergeCell ref="F180:H180"/>
    <mergeCell ref="A20:B20"/>
    <mergeCell ref="A16:B16"/>
    <mergeCell ref="A17:B17"/>
    <mergeCell ref="A18:B18"/>
    <mergeCell ref="A19:B19"/>
    <mergeCell ref="F199:H199"/>
    <mergeCell ref="F196:H196"/>
    <mergeCell ref="F197:H197"/>
    <mergeCell ref="F198:H198"/>
    <mergeCell ref="F193:H193"/>
    <mergeCell ref="F194:H194"/>
    <mergeCell ref="F195:H195"/>
    <mergeCell ref="F192:H192"/>
    <mergeCell ref="F185:H185"/>
    <mergeCell ref="F186:H186"/>
    <mergeCell ref="F187:H187"/>
    <mergeCell ref="F188:H188"/>
    <mergeCell ref="F190:H190"/>
    <mergeCell ref="F191:H191"/>
  </mergeCells>
  <phoneticPr fontId="3" type="noConversion"/>
  <hyperlinks>
    <hyperlink ref="D6" r:id="rId1"/>
    <hyperlink ref="D7" r:id="rId2"/>
  </hyperlinks>
  <pageMargins left="0.75" right="0.75" top="1" bottom="1" header="0.5" footer="0.5"/>
  <pageSetup scale="76" orientation="portrait" r:id="rId3"/>
  <headerFooter alignWithMargins="0"/>
  <rowBreaks count="1" manualBreakCount="1">
    <brk id="98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selection activeCell="C16" sqref="C16"/>
    </sheetView>
  </sheetViews>
  <sheetFormatPr defaultRowHeight="12.75" x14ac:dyDescent="0.2"/>
  <cols>
    <col min="1" max="1" width="21.42578125" customWidth="1"/>
    <col min="2" max="2" width="57.140625" customWidth="1"/>
    <col min="3" max="3" width="14.28515625" bestFit="1" customWidth="1"/>
  </cols>
  <sheetData>
    <row r="1" spans="1:6" x14ac:dyDescent="0.2">
      <c r="A1" s="25" t="s">
        <v>19</v>
      </c>
      <c r="B1" s="25" t="s">
        <v>25</v>
      </c>
      <c r="C1" s="25" t="s">
        <v>21</v>
      </c>
    </row>
    <row r="2" spans="1:6" x14ac:dyDescent="0.2">
      <c r="A2" s="48" t="s">
        <v>58</v>
      </c>
      <c r="B2" s="48" t="s">
        <v>59</v>
      </c>
      <c r="C2" s="49">
        <v>20</v>
      </c>
    </row>
    <row r="3" spans="1:6" x14ac:dyDescent="0.2">
      <c r="A3" t="s">
        <v>60</v>
      </c>
      <c r="B3" t="s">
        <v>61</v>
      </c>
      <c r="C3" s="49">
        <v>48</v>
      </c>
      <c r="F3" s="20" t="s">
        <v>20</v>
      </c>
    </row>
    <row r="4" spans="1:6" x14ac:dyDescent="0.2">
      <c r="C4" s="33"/>
      <c r="F4">
        <f>SUM(C2:C34)</f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selection activeCell="B36" sqref="B36"/>
    </sheetView>
  </sheetViews>
  <sheetFormatPr defaultRowHeight="12.75" x14ac:dyDescent="0.2"/>
  <cols>
    <col min="1" max="1" width="21.42578125" customWidth="1"/>
    <col min="2" max="2" width="57.140625" customWidth="1"/>
    <col min="3" max="3" width="14.28515625" bestFit="1" customWidth="1"/>
  </cols>
  <sheetData>
    <row r="1" spans="1:6" x14ac:dyDescent="0.2">
      <c r="A1" s="25" t="s">
        <v>19</v>
      </c>
      <c r="B1" s="25" t="s">
        <v>25</v>
      </c>
      <c r="C1" s="25" t="s">
        <v>21</v>
      </c>
    </row>
    <row r="2" spans="1:6" x14ac:dyDescent="0.2">
      <c r="A2" s="48" t="s">
        <v>70</v>
      </c>
      <c r="B2" s="48" t="s">
        <v>71</v>
      </c>
      <c r="C2" s="49">
        <v>40</v>
      </c>
    </row>
    <row r="3" spans="1:6" x14ac:dyDescent="0.2">
      <c r="F3" s="20" t="s">
        <v>36</v>
      </c>
    </row>
    <row r="4" spans="1:6" x14ac:dyDescent="0.2">
      <c r="F4">
        <f>SUM(C2:C34)</f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selection activeCell="C22" sqref="C22"/>
    </sheetView>
  </sheetViews>
  <sheetFormatPr defaultRowHeight="12.75" x14ac:dyDescent="0.2"/>
  <cols>
    <col min="1" max="1" width="21.42578125" customWidth="1"/>
    <col min="2" max="2" width="57.140625" customWidth="1"/>
    <col min="3" max="3" width="14.28515625" bestFit="1" customWidth="1"/>
  </cols>
  <sheetData>
    <row r="1" spans="1:6" x14ac:dyDescent="0.2">
      <c r="A1" s="25" t="s">
        <v>19</v>
      </c>
      <c r="B1" s="25" t="s">
        <v>25</v>
      </c>
      <c r="C1" s="25" t="s">
        <v>21</v>
      </c>
    </row>
    <row r="2" spans="1:6" x14ac:dyDescent="0.2">
      <c r="A2" s="48" t="s">
        <v>66</v>
      </c>
      <c r="B2" s="48" t="s">
        <v>67</v>
      </c>
      <c r="C2" s="49">
        <v>34.99</v>
      </c>
    </row>
    <row r="3" spans="1:6" x14ac:dyDescent="0.2">
      <c r="A3" s="48" t="s">
        <v>65</v>
      </c>
      <c r="B3" s="48" t="s">
        <v>68</v>
      </c>
      <c r="C3" s="49">
        <v>29.99</v>
      </c>
      <c r="F3" s="20" t="s">
        <v>34</v>
      </c>
    </row>
    <row r="4" spans="1:6" x14ac:dyDescent="0.2">
      <c r="A4" s="48" t="s">
        <v>64</v>
      </c>
      <c r="B4" s="48" t="s">
        <v>69</v>
      </c>
      <c r="C4" s="49">
        <v>34.99</v>
      </c>
      <c r="F4">
        <f>SUM(C2:C34)</f>
        <v>107.74</v>
      </c>
    </row>
    <row r="5" spans="1:6" x14ac:dyDescent="0.2">
      <c r="A5" s="48" t="s">
        <v>62</v>
      </c>
      <c r="B5" s="48" t="s">
        <v>63</v>
      </c>
      <c r="C5" s="49">
        <v>7.77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selection activeCell="B26" sqref="B26"/>
    </sheetView>
  </sheetViews>
  <sheetFormatPr defaultRowHeight="12.75" x14ac:dyDescent="0.2"/>
  <cols>
    <col min="1" max="1" width="54.7109375" bestFit="1" customWidth="1"/>
    <col min="2" max="2" width="57.140625" customWidth="1"/>
    <col min="3" max="3" width="14.28515625" bestFit="1" customWidth="1"/>
  </cols>
  <sheetData>
    <row r="1" spans="1:6" x14ac:dyDescent="0.2">
      <c r="A1" s="25" t="s">
        <v>19</v>
      </c>
      <c r="B1" s="25" t="s">
        <v>25</v>
      </c>
      <c r="C1" s="25" t="s">
        <v>21</v>
      </c>
    </row>
    <row r="2" spans="1:6" x14ac:dyDescent="0.2">
      <c r="A2" s="48" t="s">
        <v>72</v>
      </c>
      <c r="B2" s="48" t="s">
        <v>73</v>
      </c>
      <c r="C2" s="49">
        <v>10</v>
      </c>
      <c r="F2" s="20" t="s">
        <v>35</v>
      </c>
    </row>
    <row r="3" spans="1:6" x14ac:dyDescent="0.2">
      <c r="A3" s="48"/>
      <c r="B3" s="48"/>
      <c r="C3" s="49"/>
      <c r="F3">
        <f>SUM(C2:C33)</f>
        <v>10</v>
      </c>
    </row>
    <row r="4" spans="1:6" x14ac:dyDescent="0.2">
      <c r="A4" s="48"/>
      <c r="B4" s="48"/>
      <c r="C4" s="49"/>
    </row>
    <row r="5" spans="1:6" x14ac:dyDescent="0.2">
      <c r="A5" s="48"/>
      <c r="B5" s="48"/>
      <c r="C5" s="4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selection activeCell="C11" sqref="C11"/>
    </sheetView>
  </sheetViews>
  <sheetFormatPr defaultRowHeight="12.75" x14ac:dyDescent="0.2"/>
  <cols>
    <col min="1" max="1" width="21.42578125" customWidth="1"/>
    <col min="2" max="2" width="57.140625" customWidth="1"/>
    <col min="3" max="3" width="14.28515625" bestFit="1" customWidth="1"/>
  </cols>
  <sheetData>
    <row r="1" spans="1:6" x14ac:dyDescent="0.2">
      <c r="A1" s="25" t="s">
        <v>19</v>
      </c>
      <c r="B1" s="25" t="s">
        <v>25</v>
      </c>
      <c r="C1" s="25" t="s">
        <v>21</v>
      </c>
    </row>
    <row r="2" spans="1:6" x14ac:dyDescent="0.2">
      <c r="C2" s="33"/>
    </row>
    <row r="3" spans="1:6" x14ac:dyDescent="0.2">
      <c r="C3" s="34"/>
      <c r="F3" s="20" t="s">
        <v>40</v>
      </c>
    </row>
    <row r="4" spans="1:6" x14ac:dyDescent="0.2">
      <c r="C4" s="33"/>
      <c r="F4">
        <f>SUM(C2:C34)</f>
        <v>0</v>
      </c>
    </row>
    <row r="5" spans="1:6" x14ac:dyDescent="0.2">
      <c r="C5" s="33"/>
    </row>
    <row r="6" spans="1:6" x14ac:dyDescent="0.2">
      <c r="C6" s="3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selection activeCell="A2" sqref="A2"/>
    </sheetView>
  </sheetViews>
  <sheetFormatPr defaultRowHeight="12.75" x14ac:dyDescent="0.2"/>
  <cols>
    <col min="1" max="1" width="21.42578125" customWidth="1"/>
    <col min="2" max="2" width="57.140625" customWidth="1"/>
    <col min="3" max="3" width="14.28515625" bestFit="1" customWidth="1"/>
  </cols>
  <sheetData>
    <row r="1" spans="1:6" x14ac:dyDescent="0.2">
      <c r="A1" s="25" t="s">
        <v>19</v>
      </c>
      <c r="B1" s="25" t="s">
        <v>25</v>
      </c>
      <c r="C1" s="25" t="s">
        <v>21</v>
      </c>
    </row>
    <row r="2" spans="1:6" x14ac:dyDescent="0.2">
      <c r="A2" t="s">
        <v>41</v>
      </c>
    </row>
    <row r="3" spans="1:6" x14ac:dyDescent="0.2">
      <c r="F3" s="20" t="s">
        <v>37</v>
      </c>
    </row>
    <row r="4" spans="1:6" x14ac:dyDescent="0.2">
      <c r="F4">
        <f>SUM(C2:C34)</f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selection activeCell="A2" sqref="A2"/>
    </sheetView>
  </sheetViews>
  <sheetFormatPr defaultRowHeight="12.75" x14ac:dyDescent="0.2"/>
  <cols>
    <col min="1" max="1" width="21.42578125" customWidth="1"/>
    <col min="2" max="2" width="57.140625" customWidth="1"/>
    <col min="3" max="3" width="14.28515625" bestFit="1" customWidth="1"/>
  </cols>
  <sheetData>
    <row r="1" spans="1:6" x14ac:dyDescent="0.2">
      <c r="A1" s="25" t="s">
        <v>19</v>
      </c>
      <c r="B1" s="25" t="s">
        <v>25</v>
      </c>
      <c r="C1" s="25" t="s">
        <v>21</v>
      </c>
    </row>
    <row r="2" spans="1:6" x14ac:dyDescent="0.2">
      <c r="A2" t="s">
        <v>41</v>
      </c>
    </row>
    <row r="3" spans="1:6" x14ac:dyDescent="0.2">
      <c r="F3" s="20" t="s">
        <v>38</v>
      </c>
    </row>
    <row r="4" spans="1:6" x14ac:dyDescent="0.2">
      <c r="F4">
        <f>SUM(C2:C34)</f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selection activeCell="A2" sqref="A2"/>
    </sheetView>
  </sheetViews>
  <sheetFormatPr defaultRowHeight="12.75" x14ac:dyDescent="0.2"/>
  <cols>
    <col min="1" max="1" width="21.42578125" customWidth="1"/>
    <col min="2" max="2" width="57.140625" customWidth="1"/>
    <col min="3" max="3" width="14.28515625" bestFit="1" customWidth="1"/>
  </cols>
  <sheetData>
    <row r="1" spans="1:6" x14ac:dyDescent="0.2">
      <c r="A1" s="25" t="s">
        <v>19</v>
      </c>
      <c r="B1" s="25" t="s">
        <v>25</v>
      </c>
      <c r="C1" s="25" t="s">
        <v>21</v>
      </c>
    </row>
    <row r="2" spans="1:6" x14ac:dyDescent="0.2">
      <c r="A2" t="s">
        <v>41</v>
      </c>
    </row>
    <row r="3" spans="1:6" x14ac:dyDescent="0.2">
      <c r="F3" s="20" t="s">
        <v>39</v>
      </c>
    </row>
    <row r="4" spans="1:6" x14ac:dyDescent="0.2">
      <c r="F4">
        <f>SUM(C2:C34)</f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&lt;insert org. name here&gt;</vt:lpstr>
      <vt:lpstr>Promotional</vt:lpstr>
      <vt:lpstr>Speakers and Entertainment</vt:lpstr>
      <vt:lpstr>Capital</vt:lpstr>
      <vt:lpstr>Non-Capital</vt:lpstr>
      <vt:lpstr>Food</vt:lpstr>
      <vt:lpstr>Performance Travel</vt:lpstr>
      <vt:lpstr>Student Planned Travel</vt:lpstr>
      <vt:lpstr>External Travel</vt:lpstr>
      <vt:lpstr>Sheet1</vt:lpstr>
    </vt:vector>
  </TitlesOfParts>
  <Company>UW-Superior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ubogus</dc:creator>
  <cp:lastModifiedBy>senate</cp:lastModifiedBy>
  <cp:lastPrinted>2007-05-04T15:47:46Z</cp:lastPrinted>
  <dcterms:created xsi:type="dcterms:W3CDTF">2007-05-04T14:44:08Z</dcterms:created>
  <dcterms:modified xsi:type="dcterms:W3CDTF">2013-03-05T00:04:30Z</dcterms:modified>
</cp:coreProperties>
</file>