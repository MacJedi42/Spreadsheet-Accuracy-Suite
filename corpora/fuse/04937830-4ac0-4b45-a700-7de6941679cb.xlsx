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75" windowWidth="18660" windowHeight="9780"/>
  </bookViews>
  <sheets>
    <sheet name="YE2011_LEA_Totals_20110708" sheetId="1" r:id="rId1"/>
  </sheets>
  <definedNames>
    <definedName name="_xlnm.Print_Titles" localSheetId="0">YE2011_LEA_Totals_20110708!$1:$2</definedName>
  </definedNames>
  <calcPr calcId="145621"/>
</workbook>
</file>

<file path=xl/calcChain.xml><?xml version="1.0" encoding="utf-8"?>
<calcChain xmlns="http://schemas.openxmlformats.org/spreadsheetml/2006/main">
  <c r="P121" i="1" l="1"/>
  <c r="O121" i="1"/>
  <c r="B121" i="1" l="1"/>
  <c r="H44" i="1"/>
  <c r="H122" i="1" s="1"/>
  <c r="G44" i="1"/>
  <c r="G122" i="1" s="1"/>
  <c r="P44" i="1"/>
  <c r="P122" i="1" s="1"/>
  <c r="P124" i="1" s="1"/>
  <c r="D44" i="1"/>
  <c r="D122" i="1" s="1"/>
  <c r="L44" i="1"/>
  <c r="L122" i="1" s="1"/>
  <c r="K44" i="1"/>
  <c r="K122" i="1" s="1"/>
  <c r="N121" i="1"/>
  <c r="M121" i="1"/>
  <c r="L121" i="1"/>
  <c r="K121" i="1"/>
  <c r="J121" i="1"/>
  <c r="I121" i="1"/>
  <c r="H121" i="1"/>
  <c r="G121" i="1"/>
  <c r="F121" i="1"/>
  <c r="E121" i="1"/>
  <c r="D121" i="1"/>
  <c r="D124" i="1" s="1"/>
  <c r="C121" i="1"/>
  <c r="O44" i="1"/>
  <c r="O122" i="1" s="1"/>
  <c r="C44" i="1"/>
  <c r="C122" i="1" s="1"/>
  <c r="K124" i="1" l="1"/>
  <c r="G124" i="1"/>
  <c r="C124" i="1"/>
  <c r="O124" i="1"/>
  <c r="L124" i="1"/>
  <c r="H124" i="1"/>
  <c r="N44" i="1"/>
  <c r="N122" i="1" s="1"/>
  <c r="N124" i="1" s="1"/>
  <c r="B44" i="1"/>
  <c r="B122" i="1" s="1"/>
  <c r="B124" i="1" s="1"/>
  <c r="F44" i="1"/>
  <c r="F122" i="1" s="1"/>
  <c r="F124" i="1" s="1"/>
  <c r="J44" i="1"/>
  <c r="J122" i="1" s="1"/>
  <c r="J124" i="1" s="1"/>
  <c r="E44" i="1"/>
  <c r="E122" i="1" s="1"/>
  <c r="E124" i="1" s="1"/>
  <c r="I44" i="1"/>
  <c r="I122" i="1" s="1"/>
  <c r="I124" i="1" s="1"/>
  <c r="M44" i="1"/>
  <c r="M122" i="1" s="1"/>
  <c r="M124" i="1" s="1"/>
</calcChain>
</file>

<file path=xl/sharedStrings.xml><?xml version="1.0" encoding="utf-8"?>
<sst xmlns="http://schemas.openxmlformats.org/spreadsheetml/2006/main" count="127" uniqueCount="127">
  <si>
    <t>Alpine District</t>
  </si>
  <si>
    <t>Beaver District</t>
  </si>
  <si>
    <t>Box Elder District</t>
  </si>
  <si>
    <t>Cache District</t>
  </si>
  <si>
    <t>Carbon District</t>
  </si>
  <si>
    <t>Daggett District</t>
  </si>
  <si>
    <t>Davis District</t>
  </si>
  <si>
    <t>Duchesne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</si>
  <si>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</si>
  <si>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</si>
  <si>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</si>
  <si>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</si>
  <si>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</si>
  <si>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</si>
  <si>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</si>
  <si>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</si>
  <si>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Millard District</t>
  </si>
  <si>
    <t>Morgan District</t>
  </si>
  <si>
    <t>Nebo District</t>
  </si>
  <si>
    <t>Odyssey Charter School</t>
  </si>
  <si>
    <t>Renaissance Academy</t>
  </si>
  <si>
    <t>Guadalupe School</t>
  </si>
  <si>
    <t>Quest Academy</t>
  </si>
  <si>
    <t>Oquirrh Mountain Charter School</t>
  </si>
  <si>
    <t>North Sanpete District</t>
  </si>
  <si>
    <t>North Summit District</t>
  </si>
  <si>
    <t>Park City District</t>
  </si>
  <si>
    <t>Piute District</t>
  </si>
  <si>
    <t>Rich District</t>
  </si>
  <si>
    <t>San Juan District</t>
  </si>
  <si>
    <t>Sevier District</t>
  </si>
  <si>
    <t>South Sanpete District</t>
  </si>
  <si>
    <t>South Summit District</t>
  </si>
  <si>
    <t>Tintic District</t>
  </si>
  <si>
    <t>Lincoln Academy</t>
  </si>
  <si>
    <t>Intech Collegiate High School</t>
  </si>
  <si>
    <t>Channing Hall</t>
  </si>
  <si>
    <t>Karl G Maeser Preparatory Academy</t>
  </si>
  <si>
    <t>Rockwell Charter High School</t>
  </si>
  <si>
    <t>Vista At Entrada School Of Performing Ar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</si>
  <si>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</si>
  <si>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</si>
  <si>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</si>
  <si>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</si>
  <si>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</si>
  <si>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</si>
  <si>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Salt Lake District</t>
  </si>
  <si>
    <t>Provo District</t>
  </si>
  <si>
    <t>Entheos Academy</t>
  </si>
  <si>
    <t>Spectrum Academy</t>
  </si>
  <si>
    <t>Cs Lewis Academy</t>
  </si>
  <si>
    <t>Venture Academy</t>
  </si>
  <si>
    <t>Bear River Charter School</t>
  </si>
  <si>
    <t>Murray District</t>
  </si>
  <si>
    <t>Utah Schools For Deaf &amp; Blind</t>
  </si>
  <si>
    <t>Canyons District</t>
  </si>
  <si>
    <t>Wasatch Peak Academy</t>
  </si>
  <si>
    <t>Lakeview Academy</t>
  </si>
  <si>
    <t>Syracuse Arts Academy</t>
  </si>
  <si>
    <t>Dual Immersion Academy</t>
  </si>
  <si>
    <t>Salt Lake Center For Science Education</t>
  </si>
  <si>
    <t>Maria Montessori Academy</t>
  </si>
  <si>
    <t>North Star Academy</t>
  </si>
  <si>
    <t>Legacy Preparatory Academy</t>
  </si>
  <si>
    <t>George Washington Academy</t>
  </si>
  <si>
    <t>Edith Bowen Laboratory School</t>
  </si>
  <si>
    <t>Utah Virtual Academy</t>
  </si>
  <si>
    <t>Quail Run Primary School</t>
  </si>
  <si>
    <t>Ogden Preparatory Academy</t>
  </si>
  <si>
    <t>Liberty Academy</t>
  </si>
  <si>
    <t>Noah Webster Academy</t>
  </si>
  <si>
    <t>Early Light Academy At Daybreak</t>
  </si>
  <si>
    <t>Weilenmann School Of Discovery</t>
  </si>
  <si>
    <t>American Preparatory Academy</t>
  </si>
  <si>
    <t>Reagan Academy</t>
  </si>
  <si>
    <t>Monticello Academy</t>
  </si>
  <si>
    <t>Salt Lake School For The Performing Arts</t>
  </si>
  <si>
    <t>Gateway Preparatory Academy</t>
  </si>
  <si>
    <t>Excelsior Academy</t>
  </si>
  <si>
    <t>Summit Academy High School</t>
  </si>
  <si>
    <t>Walden School Of Liberal Arts</t>
  </si>
  <si>
    <t>Freedom Academy</t>
  </si>
  <si>
    <t>Pinnacle Canyon Academy</t>
  </si>
  <si>
    <t>City Academy</t>
  </si>
  <si>
    <t>Success School</t>
  </si>
  <si>
    <t>Soldier Hollow Charter School</t>
  </si>
  <si>
    <t>American Leadership Academy</t>
  </si>
  <si>
    <t>Mountainville Academy</t>
  </si>
  <si>
    <t>Open Classroom</t>
  </si>
  <si>
    <t>Merit College Preparatory Academy</t>
  </si>
  <si>
    <t>Hawthorn Academy</t>
  </si>
  <si>
    <t>Good Foundations Academy</t>
  </si>
  <si>
    <t>Uintah River High</t>
  </si>
  <si>
    <t>John Hancock Charter School</t>
  </si>
  <si>
    <t>Thomas Edison - North</t>
  </si>
  <si>
    <t>Timpanogos Academy</t>
  </si>
  <si>
    <t>Salt Lake Arts Academy</t>
  </si>
  <si>
    <t>Fast Forward High</t>
  </si>
  <si>
    <t>Navigator Pointe Academy</t>
  </si>
  <si>
    <t>Paradigm High School</t>
  </si>
  <si>
    <t>Canyon Rim Academy</t>
  </si>
  <si>
    <t>Providence Hall</t>
  </si>
  <si>
    <t>Open High School Of Utah</t>
  </si>
  <si>
    <t>Ranches Academy</t>
  </si>
  <si>
    <t>Davinci Academy</t>
  </si>
  <si>
    <t>Summit Academy</t>
  </si>
  <si>
    <t>Itineris Early College High</t>
  </si>
  <si>
    <t>North Davis Preparatory Academy</t>
  </si>
  <si>
    <t>Moab Charter School</t>
  </si>
  <si>
    <t>East Hollywood High</t>
  </si>
  <si>
    <t>Success Academy</t>
  </si>
  <si>
    <t>District</t>
  </si>
  <si>
    <t>K</t>
  </si>
  <si>
    <t>Resource</t>
  </si>
  <si>
    <t>Self-cont.</t>
  </si>
  <si>
    <t>Logan District</t>
  </si>
  <si>
    <t>Ogden District</t>
  </si>
  <si>
    <t>District Total</t>
  </si>
  <si>
    <t>Special Education</t>
  </si>
  <si>
    <t xml:space="preserve">Academy For Math Engineering &amp; Science </t>
  </si>
  <si>
    <t xml:space="preserve">Beehive Science &amp; Technology Academy </t>
  </si>
  <si>
    <t xml:space="preserve">Utah County Academy Of Science </t>
  </si>
  <si>
    <t>Tuacahn High School For The Performing Arts</t>
  </si>
  <si>
    <t>CHARTER TOTAL</t>
  </si>
  <si>
    <t>DISTRICT TOTAL</t>
  </si>
  <si>
    <t>GRAND TOTAL</t>
  </si>
  <si>
    <t>No Ut Acad For Math Engineering &amp;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</si>
</sst>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6">
    <xf numFmtId="0" fontId="0" fillId="0" borderId="0" xfId="0"/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4" xfId="0" applyFont="1" applyBorder="1"/>
    <xf numFmtId="0" fontId="19" fillId="0" borderId="15" xfId="0" applyFont="1" applyBorder="1"/>
    <xf numFmtId="0" fontId="19" fillId="0" borderId="20" xfId="0" applyFont="1" applyBorder="1"/>
    <xf numFmtId="0" fontId="19" fillId="0" borderId="21" xfId="0" applyFont="1" applyBorder="1"/>
    <xf numFmtId="4" fontId="0" fillId="0" borderId="0" xfId="0" applyNumberFormat="1"/>
    <xf numFmtId="0" fontId="19" fillId="0" borderId="17" xfId="0" applyFont="1" applyBorder="1"/>
    <xf numFmtId="4" fontId="19" fillId="0" borderId="15" xfId="0" applyNumberFormat="1" applyFont="1" applyBorder="1"/>
    <xf numFmtId="4" fontId="19" fillId="0" borderId="27" xfId="0" applyNumberFormat="1" applyFont="1" applyBorder="1"/>
    <xf numFmtId="0" fontId="19" fillId="0" borderId="12" xfId="0" applyFont="1" applyBorder="1"/>
    <xf numFmtId="4" fontId="19" fillId="0" borderId="16" xfId="0" applyNumberFormat="1" applyFont="1" applyBorder="1"/>
    <xf numFmtId="4" fontId="19" fillId="0" borderId="28" xfId="0" applyNumberFormat="1" applyFont="1" applyBorder="1"/>
    <xf numFmtId="0" fontId="19" fillId="0" borderId="13" xfId="0" applyFont="1" applyBorder="1"/>
    <xf numFmtId="4" fontId="19" fillId="0" borderId="18" xfId="0" applyNumberFormat="1" applyFont="1" applyBorder="1"/>
    <xf numFmtId="4" fontId="19" fillId="0" borderId="29" xfId="0" applyNumberFormat="1" applyFont="1" applyBorder="1"/>
    <xf numFmtId="4" fontId="19" fillId="0" borderId="30" xfId="0" applyNumberFormat="1" applyFont="1" applyBorder="1"/>
    <xf numFmtId="4" fontId="19" fillId="0" borderId="31" xfId="0" applyNumberFormat="1" applyFont="1" applyBorder="1"/>
    <xf numFmtId="0" fontId="18" fillId="0" borderId="22" xfId="0" applyFont="1" applyBorder="1"/>
    <xf numFmtId="0" fontId="18" fillId="0" borderId="23" xfId="0" applyFont="1" applyBorder="1"/>
    <xf numFmtId="4" fontId="18" fillId="0" borderId="24" xfId="0" applyNumberFormat="1" applyFont="1" applyBorder="1" applyAlignment="1"/>
    <xf numFmtId="4" fontId="18" fillId="0" borderId="32" xfId="0" applyNumberFormat="1" applyFont="1" applyBorder="1" applyAlignment="1"/>
    <xf numFmtId="3" fontId="18" fillId="0" borderId="11" xfId="0" applyNumberFormat="1" applyFont="1" applyBorder="1" applyAlignment="1"/>
    <xf numFmtId="3" fontId="18" fillId="0" borderId="26" xfId="0" applyNumberFormat="1" applyFont="1" applyBorder="1" applyAlignment="1"/>
    <xf numFmtId="164" fontId="18" fillId="0" borderId="11" xfId="0" applyNumberFormat="1" applyFont="1" applyBorder="1"/>
    <xf numFmtId="164" fontId="18" fillId="0" borderId="26" xfId="0" applyNumberFormat="1" applyFont="1" applyBorder="1"/>
    <xf numFmtId="4" fontId="19" fillId="0" borderId="25" xfId="0" applyNumberFormat="1" applyFont="1" applyBorder="1"/>
    <xf numFmtId="4" fontId="18" fillId="0" borderId="26" xfId="0" applyNumberFormat="1" applyFont="1" applyBorder="1" applyAlignment="1">
      <alignment horizontal="center"/>
    </xf>
    <xf numFmtId="4" fontId="19" fillId="0" borderId="0" xfId="0" applyNumberFormat="1" applyFont="1"/>
    <xf numFmtId="4" fontId="18" fillId="0" borderId="26" xfId="0" applyNumberFormat="1" applyFont="1" applyBorder="1" applyAlignment="1"/>
    <xf numFmtId="4" fontId="20" fillId="0" borderId="0" xfId="0" applyNumberFormat="1" applyFont="1"/>
    <xf numFmtId="3" fontId="18" fillId="0" borderId="19" xfId="0" applyNumberFormat="1" applyFont="1" applyBorder="1"/>
    <xf numFmtId="3" fontId="0" fillId="0" borderId="0" xfId="0" applyNumberFormat="1"/>
    <xf numFmtId="164" fontId="18" fillId="0" borderId="10" xfId="0" applyNumberFormat="1" applyFont="1" applyBorder="1"/>
    <xf numFmtId="164" fontId="0" fillId="0" borderId="0" xfId="0" applyNumberFormat="1"/>
    <xf numFmtId="4" fontId="19" fillId="0" borderId="33" xfId="0" applyNumberFormat="1" applyFont="1" applyBorder="1"/>
    <xf numFmtId="4" fontId="19" fillId="0" borderId="34" xfId="0" applyNumberFormat="1" applyFont="1" applyBorder="1"/>
    <xf numFmtId="4" fontId="19" fillId="0" borderId="21" xfId="0" applyNumberFormat="1" applyFont="1" applyBorder="1"/>
    <xf numFmtId="0" fontId="19" fillId="0" borderId="35" xfId="0" applyFont="1" applyBorder="1"/>
    <xf numFmtId="0" fontId="18" fillId="0" borderId="10" xfId="0" applyFont="1" applyBorder="1"/>
    <xf numFmtId="3" fontId="18" fillId="0" borderId="11" xfId="0" applyNumberFormat="1" applyFont="1" applyBorder="1"/>
    <xf numFmtId="3" fontId="18" fillId="0" borderId="26" xfId="0" applyNumberFormat="1" applyFont="1" applyBorder="1"/>
    <xf numFmtId="4" fontId="19" fillId="0" borderId="36" xfId="0" applyNumberFormat="1" applyFont="1" applyBorder="1"/>
    <xf numFmtId="0" fontId="18" fillId="0" borderId="37" xfId="0" applyFont="1" applyBorder="1" applyAlignment="1">
      <alignment horizontal="center"/>
    </xf>
    <xf numFmtId="0" fontId="18" fillId="0" borderId="38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1"/>
  <sheetViews>
    <sheetView tabSelected="1" view="pageBreakPreview" zoomScaleNormal="100" zoomScaleSheetLayoutView="100" workbookViewId="0">
      <selection activeCell="B82" sqref="A82:B82"/>
    </sheetView>
  </sheetViews>
  <sheetFormatPr defaultRowHeight="15" x14ac:dyDescent="0.25"/>
  <cols>
    <col min="1" max="1" width="30.140625" style="3" customWidth="1"/>
    <col min="2" max="14" width="6.7109375" style="4" customWidth="1"/>
    <col min="15" max="15" width="8.7109375" style="4" customWidth="1"/>
    <col min="16" max="16" width="8.5703125" style="9" customWidth="1"/>
    <col min="17" max="17" width="25.5703125" customWidth="1"/>
  </cols>
  <sheetData>
    <row r="1" spans="1:16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44" t="s">
        <v>118</v>
      </c>
      <c r="P1" s="45"/>
    </row>
    <row r="2" spans="1:16" ht="15.75" thickBot="1" x14ac:dyDescent="0.3">
      <c r="A2" s="1" t="s">
        <v>111</v>
      </c>
      <c r="B2" s="2" t="s">
        <v>112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 t="s">
        <v>113</v>
      </c>
      <c r="P2" s="28" t="s">
        <v>114</v>
      </c>
    </row>
    <row r="3" spans="1:16" x14ac:dyDescent="0.25">
      <c r="A3" s="5" t="s">
        <v>0</v>
      </c>
      <c r="B3" s="38">
        <v>5631.4611111111108</v>
      </c>
      <c r="C3" s="38">
        <v>5742.1</v>
      </c>
      <c r="D3" s="38">
        <v>5537.5555555555557</v>
      </c>
      <c r="E3" s="38">
        <v>5273.6944444444443</v>
      </c>
      <c r="F3" s="38">
        <v>5335.8666666666668</v>
      </c>
      <c r="G3" s="38">
        <v>5047.3055555555557</v>
      </c>
      <c r="H3" s="38">
        <v>5046.6111111111113</v>
      </c>
      <c r="I3" s="38">
        <v>4870.8833333333332</v>
      </c>
      <c r="J3" s="38">
        <v>4577.4222222222224</v>
      </c>
      <c r="K3" s="38">
        <v>4563.0777777777776</v>
      </c>
      <c r="L3" s="38">
        <v>4552.3555555555558</v>
      </c>
      <c r="M3" s="38">
        <v>4115.0277777777774</v>
      </c>
      <c r="N3" s="38">
        <v>3886.75</v>
      </c>
      <c r="O3" s="38">
        <v>5167.4222222222224</v>
      </c>
      <c r="P3" s="27">
        <v>1418.0444444444445</v>
      </c>
    </row>
    <row r="4" spans="1:16" x14ac:dyDescent="0.25">
      <c r="A4" s="8" t="s">
        <v>1</v>
      </c>
      <c r="B4" s="9">
        <v>136.80555555555554</v>
      </c>
      <c r="C4" s="9">
        <v>137.19444444444446</v>
      </c>
      <c r="D4" s="9">
        <v>133.5888888888889</v>
      </c>
      <c r="E4" s="9">
        <v>116</v>
      </c>
      <c r="F4" s="9">
        <v>107.82777777777778</v>
      </c>
      <c r="G4" s="9">
        <v>125.73888888888889</v>
      </c>
      <c r="H4" s="9">
        <v>115.03333333333333</v>
      </c>
      <c r="I4" s="9">
        <v>127.05</v>
      </c>
      <c r="J4" s="9">
        <v>119.53888888888889</v>
      </c>
      <c r="K4" s="9">
        <v>114</v>
      </c>
      <c r="L4" s="9">
        <v>113.57222222222222</v>
      </c>
      <c r="M4" s="9">
        <v>96.8</v>
      </c>
      <c r="N4" s="9">
        <v>93.216666666666669</v>
      </c>
      <c r="O4" s="9">
        <v>210.95</v>
      </c>
      <c r="P4" s="10">
        <v>15.605555555555556</v>
      </c>
    </row>
    <row r="5" spans="1:16" x14ac:dyDescent="0.25">
      <c r="A5" s="8" t="s">
        <v>2</v>
      </c>
      <c r="B5" s="9">
        <v>895.82777777777778</v>
      </c>
      <c r="C5" s="9">
        <v>899.7833333333333</v>
      </c>
      <c r="D5" s="9">
        <v>899.06111111111113</v>
      </c>
      <c r="E5" s="9">
        <v>856.17777777777781</v>
      </c>
      <c r="F5" s="9">
        <v>864</v>
      </c>
      <c r="G5" s="9">
        <v>844.11111111111109</v>
      </c>
      <c r="H5" s="9">
        <v>873.95</v>
      </c>
      <c r="I5" s="9">
        <v>829.93333333333328</v>
      </c>
      <c r="J5" s="9">
        <v>795.52777777777783</v>
      </c>
      <c r="K5" s="9">
        <v>760.53888888888889</v>
      </c>
      <c r="L5" s="9">
        <v>750.01111111111106</v>
      </c>
      <c r="M5" s="9">
        <v>761.62777777777774</v>
      </c>
      <c r="N5" s="9">
        <v>735.19444444444446</v>
      </c>
      <c r="O5" s="9">
        <v>875.01666666666665</v>
      </c>
      <c r="P5" s="10">
        <v>276.87222222222221</v>
      </c>
    </row>
    <row r="6" spans="1:16" x14ac:dyDescent="0.25">
      <c r="A6" s="8" t="s">
        <v>3</v>
      </c>
      <c r="B6" s="9">
        <v>1207.1444444444444</v>
      </c>
      <c r="C6" s="9">
        <v>1339.8666666666666</v>
      </c>
      <c r="D6" s="9">
        <v>1214.661111111111</v>
      </c>
      <c r="E6" s="9">
        <v>1266.4166666666667</v>
      </c>
      <c r="F6" s="9">
        <v>1136.338888888889</v>
      </c>
      <c r="G6" s="9">
        <v>1225.2555555555555</v>
      </c>
      <c r="H6" s="9">
        <v>1152.9000000000001</v>
      </c>
      <c r="I6" s="9">
        <v>1185.8277777777778</v>
      </c>
      <c r="J6" s="9">
        <v>1098.8833333333334</v>
      </c>
      <c r="K6" s="9">
        <v>1082.3666666666666</v>
      </c>
      <c r="L6" s="9">
        <v>1077.7444444444445</v>
      </c>
      <c r="M6" s="9">
        <v>1080.1444444444444</v>
      </c>
      <c r="N6" s="9">
        <v>937.71111111111111</v>
      </c>
      <c r="O6" s="9">
        <v>1461.0388888888888</v>
      </c>
      <c r="P6" s="10">
        <v>271.06111111111113</v>
      </c>
    </row>
    <row r="7" spans="1:16" x14ac:dyDescent="0.25">
      <c r="A7" s="11" t="s">
        <v>55</v>
      </c>
      <c r="B7" s="12">
        <v>2472.3277777777776</v>
      </c>
      <c r="C7" s="12">
        <v>2608.8555555555554</v>
      </c>
      <c r="D7" s="12">
        <v>2561.6888888888889</v>
      </c>
      <c r="E7" s="12">
        <v>2625.4722222222222</v>
      </c>
      <c r="F7" s="12">
        <v>2570.6722222222224</v>
      </c>
      <c r="G7" s="12">
        <v>2645.6055555555554</v>
      </c>
      <c r="H7" s="12">
        <v>2444.3611111111113</v>
      </c>
      <c r="I7" s="12">
        <v>2433.4277777777779</v>
      </c>
      <c r="J7" s="12">
        <v>2470.9555555555557</v>
      </c>
      <c r="K7" s="12">
        <v>2370.6888888888889</v>
      </c>
      <c r="L7" s="12">
        <v>2672.3277777777776</v>
      </c>
      <c r="M7" s="12">
        <v>2499.6833333333334</v>
      </c>
      <c r="N7" s="12">
        <v>2278.2222222222222</v>
      </c>
      <c r="O7" s="12">
        <v>2720.8611111111113</v>
      </c>
      <c r="P7" s="13">
        <v>874.32222222222219</v>
      </c>
    </row>
    <row r="8" spans="1:16" x14ac:dyDescent="0.25">
      <c r="A8" s="8" t="s">
        <v>4</v>
      </c>
      <c r="B8" s="9">
        <v>299.71666666666664</v>
      </c>
      <c r="C8" s="9">
        <v>321.82222222222219</v>
      </c>
      <c r="D8" s="9">
        <v>285.26666666666665</v>
      </c>
      <c r="E8" s="9">
        <v>294.13333333333333</v>
      </c>
      <c r="F8" s="9">
        <v>286.77222222222224</v>
      </c>
      <c r="G8" s="9">
        <v>255.38888888888889</v>
      </c>
      <c r="H8" s="9">
        <v>273.47222222222223</v>
      </c>
      <c r="I8" s="9">
        <v>240.4388888888889</v>
      </c>
      <c r="J8" s="9">
        <v>229.65</v>
      </c>
      <c r="K8" s="9">
        <v>212.94444444444446</v>
      </c>
      <c r="L8" s="9">
        <v>238.81666666666666</v>
      </c>
      <c r="M8" s="9">
        <v>217.81666666666666</v>
      </c>
      <c r="N8" s="9">
        <v>189.07777777777778</v>
      </c>
      <c r="O8" s="9">
        <v>388.53888888888889</v>
      </c>
      <c r="P8" s="10">
        <v>106.38888888888889</v>
      </c>
    </row>
    <row r="9" spans="1:16" x14ac:dyDescent="0.25">
      <c r="A9" s="8" t="s">
        <v>5</v>
      </c>
      <c r="B9" s="9">
        <v>20.755555555555556</v>
      </c>
      <c r="C9" s="9">
        <v>12.822222222222223</v>
      </c>
      <c r="D9" s="9">
        <v>21.072222222222223</v>
      </c>
      <c r="E9" s="9">
        <v>11</v>
      </c>
      <c r="F9" s="9">
        <v>11.894444444444444</v>
      </c>
      <c r="G9" s="9">
        <v>10.533333333333333</v>
      </c>
      <c r="H9" s="9">
        <v>18.366666666666667</v>
      </c>
      <c r="I9" s="9">
        <v>10.883333333333333</v>
      </c>
      <c r="J9" s="9">
        <v>11</v>
      </c>
      <c r="K9" s="9">
        <v>10.377777777777778</v>
      </c>
      <c r="L9" s="9">
        <v>8.0222222222222221</v>
      </c>
      <c r="M9" s="9">
        <v>14</v>
      </c>
      <c r="N9" s="9">
        <v>10.977777777777778</v>
      </c>
      <c r="O9" s="9">
        <v>18.25</v>
      </c>
      <c r="P9" s="10">
        <v>0</v>
      </c>
    </row>
    <row r="10" spans="1:16" x14ac:dyDescent="0.25">
      <c r="A10" s="8" t="s">
        <v>6</v>
      </c>
      <c r="B10" s="9">
        <v>5423.9833333333336</v>
      </c>
      <c r="C10" s="9">
        <v>5572.1</v>
      </c>
      <c r="D10" s="9">
        <v>5246.2277777777781</v>
      </c>
      <c r="E10" s="9">
        <v>5229.2888888888892</v>
      </c>
      <c r="F10" s="9">
        <v>5154.5</v>
      </c>
      <c r="G10" s="9">
        <v>5043.6555555555551</v>
      </c>
      <c r="H10" s="9">
        <v>4989.4666666666662</v>
      </c>
      <c r="I10" s="9">
        <v>4762.0444444444447</v>
      </c>
      <c r="J10" s="9">
        <v>4761.0388888888892</v>
      </c>
      <c r="K10" s="9">
        <v>4591.8555555555558</v>
      </c>
      <c r="L10" s="9">
        <v>4691.7222222222226</v>
      </c>
      <c r="M10" s="9">
        <v>4518.3666666666668</v>
      </c>
      <c r="N10" s="9">
        <v>4161.9833333333336</v>
      </c>
      <c r="O10" s="9">
        <v>4911.6166666666668</v>
      </c>
      <c r="P10" s="10">
        <v>1676.0666666666666</v>
      </c>
    </row>
    <row r="11" spans="1:16" x14ac:dyDescent="0.25">
      <c r="A11" s="8" t="s">
        <v>7</v>
      </c>
      <c r="B11" s="9">
        <v>353.57777777777778</v>
      </c>
      <c r="C11" s="9">
        <v>370.64444444444445</v>
      </c>
      <c r="D11" s="9">
        <v>360.77222222222224</v>
      </c>
      <c r="E11" s="9">
        <v>333.88333333333333</v>
      </c>
      <c r="F11" s="9">
        <v>341.07222222222219</v>
      </c>
      <c r="G11" s="9">
        <v>325.85000000000002</v>
      </c>
      <c r="H11" s="9">
        <v>342.78333333333336</v>
      </c>
      <c r="I11" s="9">
        <v>296.76111111111112</v>
      </c>
      <c r="J11" s="9">
        <v>292.42222222222222</v>
      </c>
      <c r="K11" s="9">
        <v>317.50555555555553</v>
      </c>
      <c r="L11" s="9">
        <v>294.60000000000002</v>
      </c>
      <c r="M11" s="9">
        <v>297.55555555555554</v>
      </c>
      <c r="N11" s="9">
        <v>269.48888888888888</v>
      </c>
      <c r="O11" s="9">
        <v>443.02222222222224</v>
      </c>
      <c r="P11" s="10">
        <v>188.55</v>
      </c>
    </row>
    <row r="12" spans="1:16" x14ac:dyDescent="0.25">
      <c r="A12" s="11" t="s">
        <v>8</v>
      </c>
      <c r="B12" s="12">
        <v>183.49444444444444</v>
      </c>
      <c r="C12" s="12">
        <v>186.2</v>
      </c>
      <c r="D12" s="12">
        <v>201.82777777777778</v>
      </c>
      <c r="E12" s="12">
        <v>187.11111111111111</v>
      </c>
      <c r="F12" s="12">
        <v>174.2</v>
      </c>
      <c r="G12" s="12">
        <v>175.20555555555555</v>
      </c>
      <c r="H12" s="12">
        <v>175.07222222222222</v>
      </c>
      <c r="I12" s="12">
        <v>186.7</v>
      </c>
      <c r="J12" s="12">
        <v>185.15</v>
      </c>
      <c r="K12" s="12">
        <v>151.31666666666666</v>
      </c>
      <c r="L12" s="12">
        <v>169.11666666666667</v>
      </c>
      <c r="M12" s="12">
        <v>143.39444444444445</v>
      </c>
      <c r="N12" s="12">
        <v>163.81666666666666</v>
      </c>
      <c r="O12" s="12">
        <v>331.3</v>
      </c>
      <c r="P12" s="13">
        <v>49.011111111111113</v>
      </c>
    </row>
    <row r="13" spans="1:16" x14ac:dyDescent="0.25">
      <c r="A13" s="8" t="s">
        <v>9</v>
      </c>
      <c r="B13" s="9">
        <v>79.694444444444443</v>
      </c>
      <c r="C13" s="9">
        <v>72.655555555555551</v>
      </c>
      <c r="D13" s="9">
        <v>67.45</v>
      </c>
      <c r="E13" s="9">
        <v>68.99444444444444</v>
      </c>
      <c r="F13" s="9">
        <v>64.944444444444443</v>
      </c>
      <c r="G13" s="9">
        <v>65.138888888888886</v>
      </c>
      <c r="H13" s="9">
        <v>75.966666666666669</v>
      </c>
      <c r="I13" s="9">
        <v>76.394444444444446</v>
      </c>
      <c r="J13" s="9">
        <v>69.566666666666663</v>
      </c>
      <c r="K13" s="9">
        <v>69.933333333333337</v>
      </c>
      <c r="L13" s="9">
        <v>64.87222222222222</v>
      </c>
      <c r="M13" s="9">
        <v>54.12777777777778</v>
      </c>
      <c r="N13" s="9">
        <v>54.016666666666666</v>
      </c>
      <c r="O13" s="9">
        <v>84.694444444444443</v>
      </c>
      <c r="P13" s="10">
        <v>18.833333333333332</v>
      </c>
    </row>
    <row r="14" spans="1:16" x14ac:dyDescent="0.25">
      <c r="A14" s="8" t="s">
        <v>10</v>
      </c>
      <c r="B14" s="9">
        <v>115.14444444444445</v>
      </c>
      <c r="C14" s="9">
        <v>114.92777777777778</v>
      </c>
      <c r="D14" s="9">
        <v>107.33333333333333</v>
      </c>
      <c r="E14" s="9">
        <v>108.99444444444444</v>
      </c>
      <c r="F14" s="9">
        <v>121.06111111111112</v>
      </c>
      <c r="G14" s="9">
        <v>94.438888888888883</v>
      </c>
      <c r="H14" s="9">
        <v>95.45</v>
      </c>
      <c r="I14" s="9">
        <v>113.69444444444444</v>
      </c>
      <c r="J14" s="9">
        <v>114.42777777777778</v>
      </c>
      <c r="K14" s="9">
        <v>131.77222222222221</v>
      </c>
      <c r="L14" s="9">
        <v>108.56666666666666</v>
      </c>
      <c r="M14" s="9">
        <v>111.68333333333334</v>
      </c>
      <c r="N14" s="9">
        <v>81.87222222222222</v>
      </c>
      <c r="O14" s="9">
        <v>107.69444444444444</v>
      </c>
      <c r="P14" s="10">
        <v>60.68333333333333</v>
      </c>
    </row>
    <row r="15" spans="1:16" x14ac:dyDescent="0.25">
      <c r="A15" s="8" t="s">
        <v>11</v>
      </c>
      <c r="B15" s="9">
        <v>5506.2888888888892</v>
      </c>
      <c r="C15" s="9">
        <v>5588.4888888888891</v>
      </c>
      <c r="D15" s="9">
        <v>5599.3166666666666</v>
      </c>
      <c r="E15" s="9">
        <v>5247.0277777777774</v>
      </c>
      <c r="F15" s="9">
        <v>5367.7444444444445</v>
      </c>
      <c r="G15" s="9">
        <v>5223.5777777777776</v>
      </c>
      <c r="H15" s="9">
        <v>5066.8222222222221</v>
      </c>
      <c r="I15" s="9">
        <v>5034.45</v>
      </c>
      <c r="J15" s="9">
        <v>4777.7222222222226</v>
      </c>
      <c r="K15" s="9">
        <v>4702.9777777777781</v>
      </c>
      <c r="L15" s="9">
        <v>4527.9555555555553</v>
      </c>
      <c r="M15" s="9">
        <v>4456.5333333333338</v>
      </c>
      <c r="N15" s="9">
        <v>4012.6555555555556</v>
      </c>
      <c r="O15" s="9">
        <v>5273.1055555555558</v>
      </c>
      <c r="P15" s="10">
        <v>1772.3111111111111</v>
      </c>
    </row>
    <row r="16" spans="1:16" x14ac:dyDescent="0.25">
      <c r="A16" s="8" t="s">
        <v>12</v>
      </c>
      <c r="B16" s="9">
        <v>727.41666666666663</v>
      </c>
      <c r="C16" s="9">
        <v>671.20555555555552</v>
      </c>
      <c r="D16" s="9">
        <v>663.81111111111113</v>
      </c>
      <c r="E16" s="9">
        <v>674.82777777777778</v>
      </c>
      <c r="F16" s="9">
        <v>620.02777777777783</v>
      </c>
      <c r="G16" s="9">
        <v>665.02222222222224</v>
      </c>
      <c r="H16" s="9">
        <v>698.3</v>
      </c>
      <c r="I16" s="9">
        <v>640.08333333333337</v>
      </c>
      <c r="J16" s="9">
        <v>598.45555555555552</v>
      </c>
      <c r="K16" s="9">
        <v>612.37777777777774</v>
      </c>
      <c r="L16" s="9">
        <v>582.87777777777774</v>
      </c>
      <c r="M16" s="9">
        <v>604.57222222222219</v>
      </c>
      <c r="N16" s="9">
        <v>534.23888888888894</v>
      </c>
      <c r="O16" s="9">
        <v>977.45555555555552</v>
      </c>
      <c r="P16" s="10">
        <v>156.82777777777778</v>
      </c>
    </row>
    <row r="17" spans="1:16" x14ac:dyDescent="0.25">
      <c r="A17" s="11" t="s">
        <v>13</v>
      </c>
      <c r="B17" s="12">
        <v>3904.411111111111</v>
      </c>
      <c r="C17" s="12">
        <v>4006.3444444444444</v>
      </c>
      <c r="D17" s="12">
        <v>4071.5722222222221</v>
      </c>
      <c r="E17" s="12">
        <v>3964.1222222222223</v>
      </c>
      <c r="F17" s="12">
        <v>3927.0166666666669</v>
      </c>
      <c r="G17" s="12">
        <v>3914.8222222222221</v>
      </c>
      <c r="H17" s="12">
        <v>3658.8833333333332</v>
      </c>
      <c r="I17" s="12">
        <v>3727.0222222222224</v>
      </c>
      <c r="J17" s="12">
        <v>3478.3833333333332</v>
      </c>
      <c r="K17" s="12">
        <v>3474.8444444444444</v>
      </c>
      <c r="L17" s="12">
        <v>3556.25</v>
      </c>
      <c r="M17" s="12">
        <v>3375.838888888889</v>
      </c>
      <c r="N17" s="12">
        <v>3139.7444444444445</v>
      </c>
      <c r="O17" s="12">
        <v>4139.75</v>
      </c>
      <c r="P17" s="13">
        <v>1514.661111111111</v>
      </c>
    </row>
    <row r="18" spans="1:16" x14ac:dyDescent="0.25">
      <c r="A18" s="8" t="s">
        <v>14</v>
      </c>
      <c r="B18" s="9">
        <v>166.02777777777777</v>
      </c>
      <c r="C18" s="9">
        <v>159.18333333333334</v>
      </c>
      <c r="D18" s="9">
        <v>178.61666666666667</v>
      </c>
      <c r="E18" s="9">
        <v>185.84444444444443</v>
      </c>
      <c r="F18" s="9">
        <v>169.72777777777779</v>
      </c>
      <c r="G18" s="9">
        <v>167.8111111111111</v>
      </c>
      <c r="H18" s="9">
        <v>188.09444444444443</v>
      </c>
      <c r="I18" s="9">
        <v>159.47222222222223</v>
      </c>
      <c r="J18" s="9">
        <v>153.87222222222223</v>
      </c>
      <c r="K18" s="9">
        <v>179.98888888888888</v>
      </c>
      <c r="L18" s="9">
        <v>150.21111111111111</v>
      </c>
      <c r="M18" s="9">
        <v>175.98888888888888</v>
      </c>
      <c r="N18" s="9">
        <v>149.9111111111111</v>
      </c>
      <c r="O18" s="9">
        <v>195.23333333333332</v>
      </c>
      <c r="P18" s="10">
        <v>79.11666666666666</v>
      </c>
    </row>
    <row r="19" spans="1:16" x14ac:dyDescent="0.25">
      <c r="A19" s="8" t="s">
        <v>15</v>
      </c>
      <c r="B19" s="9">
        <v>102.33888888888889</v>
      </c>
      <c r="C19" s="9">
        <v>95.888888888888886</v>
      </c>
      <c r="D19" s="9">
        <v>102.76666666666667</v>
      </c>
      <c r="E19" s="9">
        <v>84.977777777777774</v>
      </c>
      <c r="F19" s="9">
        <v>68.955555555555549</v>
      </c>
      <c r="G19" s="9">
        <v>86.288888888888891</v>
      </c>
      <c r="H19" s="9">
        <v>90.87222222222222</v>
      </c>
      <c r="I19" s="9">
        <v>87.327777777777783</v>
      </c>
      <c r="J19" s="9">
        <v>77.805555555555557</v>
      </c>
      <c r="K19" s="9">
        <v>94.7</v>
      </c>
      <c r="L19" s="9">
        <v>89.99444444444444</v>
      </c>
      <c r="M19" s="9">
        <v>74.172222222222217</v>
      </c>
      <c r="N19" s="9">
        <v>86.261111111111106</v>
      </c>
      <c r="O19" s="9">
        <v>132.76111111111112</v>
      </c>
      <c r="P19" s="10">
        <v>16.194444444444443</v>
      </c>
    </row>
    <row r="20" spans="1:16" x14ac:dyDescent="0.25">
      <c r="A20" s="8" t="s">
        <v>115</v>
      </c>
      <c r="B20" s="9">
        <v>563.68888888888887</v>
      </c>
      <c r="C20" s="9">
        <v>574.63888888888891</v>
      </c>
      <c r="D20" s="9">
        <v>508.46111111111111</v>
      </c>
      <c r="E20" s="9">
        <v>457.25</v>
      </c>
      <c r="F20" s="9">
        <v>457.76666666666665</v>
      </c>
      <c r="G20" s="9">
        <v>419.55</v>
      </c>
      <c r="H20" s="9">
        <v>420.75</v>
      </c>
      <c r="I20" s="9">
        <v>421.39444444444445</v>
      </c>
      <c r="J20" s="9">
        <v>454.48333333333335</v>
      </c>
      <c r="K20" s="9">
        <v>425.08333333333331</v>
      </c>
      <c r="L20" s="9">
        <v>411.9111111111111</v>
      </c>
      <c r="M20" s="9">
        <v>425.93333333333334</v>
      </c>
      <c r="N20" s="9">
        <v>405.31111111111113</v>
      </c>
      <c r="O20" s="9">
        <v>538.85555555555561</v>
      </c>
      <c r="P20" s="10">
        <v>145.67222222222222</v>
      </c>
    </row>
    <row r="21" spans="1:16" x14ac:dyDescent="0.25">
      <c r="A21" s="8" t="s">
        <v>16</v>
      </c>
      <c r="B21" s="9">
        <v>205.42777777777778</v>
      </c>
      <c r="C21" s="9">
        <v>207.6611111111111</v>
      </c>
      <c r="D21" s="9">
        <v>214.22777777777779</v>
      </c>
      <c r="E21" s="9">
        <v>204.9</v>
      </c>
      <c r="F21" s="9">
        <v>208.52777777777777</v>
      </c>
      <c r="G21" s="9">
        <v>202.71666666666667</v>
      </c>
      <c r="H21" s="9">
        <v>212.15555555555557</v>
      </c>
      <c r="I21" s="9">
        <v>216.6611111111111</v>
      </c>
      <c r="J21" s="9">
        <v>234.59444444444443</v>
      </c>
      <c r="K21" s="9">
        <v>191.96111111111111</v>
      </c>
      <c r="L21" s="9">
        <v>229.14444444444445</v>
      </c>
      <c r="M21" s="9">
        <v>234.60555555555555</v>
      </c>
      <c r="N21" s="9">
        <v>196.6888888888889</v>
      </c>
      <c r="O21" s="9">
        <v>430.03888888888889</v>
      </c>
      <c r="P21" s="10">
        <v>46.7</v>
      </c>
    </row>
    <row r="22" spans="1:16" x14ac:dyDescent="0.25">
      <c r="A22" s="11" t="s">
        <v>17</v>
      </c>
      <c r="B22" s="12">
        <v>183.97777777777779</v>
      </c>
      <c r="C22" s="12">
        <v>187.71666666666667</v>
      </c>
      <c r="D22" s="12">
        <v>199.4</v>
      </c>
      <c r="E22" s="12">
        <v>178.30555555555554</v>
      </c>
      <c r="F22" s="12">
        <v>170.77777777777777</v>
      </c>
      <c r="G22" s="12">
        <v>190.79444444444445</v>
      </c>
      <c r="H22" s="12">
        <v>189.49444444444444</v>
      </c>
      <c r="I22" s="12">
        <v>191.72777777777779</v>
      </c>
      <c r="J22" s="12">
        <v>178.40555555555557</v>
      </c>
      <c r="K22" s="12">
        <v>198.3</v>
      </c>
      <c r="L22" s="12">
        <v>167.15555555555557</v>
      </c>
      <c r="M22" s="12">
        <v>165.74444444444444</v>
      </c>
      <c r="N22" s="12">
        <v>181.45555555555555</v>
      </c>
      <c r="O22" s="12">
        <v>140.91666666666666</v>
      </c>
      <c r="P22" s="13">
        <v>40</v>
      </c>
    </row>
    <row r="23" spans="1:16" x14ac:dyDescent="0.25">
      <c r="A23" s="8" t="s">
        <v>53</v>
      </c>
      <c r="B23" s="9">
        <v>483.87777777777779</v>
      </c>
      <c r="C23" s="9">
        <v>528.49444444444441</v>
      </c>
      <c r="D23" s="9">
        <v>474.53888888888889</v>
      </c>
      <c r="E23" s="9">
        <v>485.81666666666666</v>
      </c>
      <c r="F23" s="9">
        <v>444.17777777777781</v>
      </c>
      <c r="G23" s="9">
        <v>471.58333333333331</v>
      </c>
      <c r="H23" s="9">
        <v>487.59444444444443</v>
      </c>
      <c r="I23" s="9">
        <v>487.73888888888888</v>
      </c>
      <c r="J23" s="9">
        <v>489.2</v>
      </c>
      <c r="K23" s="9">
        <v>495.90555555555557</v>
      </c>
      <c r="L23" s="9">
        <v>488.73333333333335</v>
      </c>
      <c r="M23" s="9">
        <v>511.11111111111109</v>
      </c>
      <c r="N23" s="9">
        <v>449.70555555555558</v>
      </c>
      <c r="O23" s="9">
        <v>520.17222222222222</v>
      </c>
      <c r="P23" s="10">
        <v>130.62777777777777</v>
      </c>
    </row>
    <row r="24" spans="1:16" x14ac:dyDescent="0.25">
      <c r="A24" s="8" t="s">
        <v>18</v>
      </c>
      <c r="B24" s="9">
        <v>2437.7111111111112</v>
      </c>
      <c r="C24" s="9">
        <v>2350</v>
      </c>
      <c r="D24" s="9">
        <v>2443.6666666666665</v>
      </c>
      <c r="E24" s="9">
        <v>2333.9555555555557</v>
      </c>
      <c r="F24" s="9">
        <v>2302.1166666666668</v>
      </c>
      <c r="G24" s="9">
        <v>2195.85</v>
      </c>
      <c r="H24" s="9">
        <v>2284.9166666666665</v>
      </c>
      <c r="I24" s="9">
        <v>2143.4222222222224</v>
      </c>
      <c r="J24" s="9">
        <v>2091.6666666666665</v>
      </c>
      <c r="K24" s="9">
        <v>2038.7</v>
      </c>
      <c r="L24" s="9">
        <v>1909.0055555555555</v>
      </c>
      <c r="M24" s="9">
        <v>1800.8611111111111</v>
      </c>
      <c r="N24" s="9">
        <v>1651.3055555555557</v>
      </c>
      <c r="O24" s="9">
        <v>2912.0833333333335</v>
      </c>
      <c r="P24" s="10">
        <v>863.50555555555559</v>
      </c>
    </row>
    <row r="25" spans="1:16" x14ac:dyDescent="0.25">
      <c r="A25" s="8" t="s">
        <v>24</v>
      </c>
      <c r="B25" s="9">
        <v>200.5888888888889</v>
      </c>
      <c r="C25" s="9">
        <v>191.55</v>
      </c>
      <c r="D25" s="9">
        <v>166.39444444444445</v>
      </c>
      <c r="E25" s="9">
        <v>186.07777777777778</v>
      </c>
      <c r="F25" s="9">
        <v>195.15</v>
      </c>
      <c r="G25" s="9">
        <v>192.33333333333334</v>
      </c>
      <c r="H25" s="9">
        <v>182.72777777777779</v>
      </c>
      <c r="I25" s="9">
        <v>165.61111111111111</v>
      </c>
      <c r="J25" s="9">
        <v>182.17222222222222</v>
      </c>
      <c r="K25" s="9">
        <v>146.78888888888889</v>
      </c>
      <c r="L25" s="9">
        <v>182.15555555555557</v>
      </c>
      <c r="M25" s="9">
        <v>171.4111111111111</v>
      </c>
      <c r="N25" s="9">
        <v>123.11111111111111</v>
      </c>
      <c r="O25" s="9">
        <v>281.60555555555555</v>
      </c>
      <c r="P25" s="10">
        <v>38.144444444444446</v>
      </c>
    </row>
    <row r="26" spans="1:16" x14ac:dyDescent="0.25">
      <c r="A26" s="8" t="s">
        <v>25</v>
      </c>
      <c r="B26" s="9">
        <v>68.37222222222222</v>
      </c>
      <c r="C26" s="9">
        <v>90.338888888888889</v>
      </c>
      <c r="D26" s="9">
        <v>79.888888888888886</v>
      </c>
      <c r="E26" s="9">
        <v>79.216666666666669</v>
      </c>
      <c r="F26" s="9">
        <v>76.927777777777777</v>
      </c>
      <c r="G26" s="9">
        <v>73.594444444444449</v>
      </c>
      <c r="H26" s="9">
        <v>75.172222222222217</v>
      </c>
      <c r="I26" s="9">
        <v>80.561111111111117</v>
      </c>
      <c r="J26" s="9">
        <v>64.36666666666666</v>
      </c>
      <c r="K26" s="9">
        <v>64.405555555555551</v>
      </c>
      <c r="L26" s="9">
        <v>69.833333333333329</v>
      </c>
      <c r="M26" s="9">
        <v>88.605555555555554</v>
      </c>
      <c r="N26" s="9">
        <v>71.161111111111111</v>
      </c>
      <c r="O26" s="9">
        <v>103.85555555555555</v>
      </c>
      <c r="P26" s="10">
        <v>2</v>
      </c>
    </row>
    <row r="27" spans="1:16" x14ac:dyDescent="0.25">
      <c r="A27" s="11" t="s">
        <v>116</v>
      </c>
      <c r="B27" s="12">
        <v>1146.3722222222223</v>
      </c>
      <c r="C27" s="12">
        <v>1083.2777777777778</v>
      </c>
      <c r="D27" s="12">
        <v>1082.5277777777778</v>
      </c>
      <c r="E27" s="12">
        <v>1048.2111111111112</v>
      </c>
      <c r="F27" s="12">
        <v>969.98333333333335</v>
      </c>
      <c r="G27" s="12">
        <v>958.93888888888887</v>
      </c>
      <c r="H27" s="12">
        <v>991.44444444444446</v>
      </c>
      <c r="I27" s="12">
        <v>887.98333333333335</v>
      </c>
      <c r="J27" s="12">
        <v>820.7</v>
      </c>
      <c r="K27" s="12">
        <v>788.83333333333337</v>
      </c>
      <c r="L27" s="12">
        <v>832.64444444444439</v>
      </c>
      <c r="M27" s="12">
        <v>773.87777777777774</v>
      </c>
      <c r="N27" s="12">
        <v>668.62777777777774</v>
      </c>
      <c r="O27" s="12">
        <v>1019.9277777777778</v>
      </c>
      <c r="P27" s="13">
        <v>364.22777777777776</v>
      </c>
    </row>
    <row r="28" spans="1:16" x14ac:dyDescent="0.25">
      <c r="A28" s="8" t="s">
        <v>26</v>
      </c>
      <c r="B28" s="9">
        <v>233.3111111111111</v>
      </c>
      <c r="C28" s="9">
        <v>325.57777777777778</v>
      </c>
      <c r="D28" s="9">
        <v>331.57222222222219</v>
      </c>
      <c r="E28" s="9">
        <v>332.93333333333334</v>
      </c>
      <c r="F28" s="9">
        <v>312.71666666666664</v>
      </c>
      <c r="G28" s="9">
        <v>347.68333333333334</v>
      </c>
      <c r="H28" s="9">
        <v>337.18333333333334</v>
      </c>
      <c r="I28" s="9">
        <v>324.29444444444442</v>
      </c>
      <c r="J28" s="9">
        <v>339.26111111111112</v>
      </c>
      <c r="K28" s="9">
        <v>349.78333333333336</v>
      </c>
      <c r="L28" s="9">
        <v>355.87777777777779</v>
      </c>
      <c r="M28" s="9">
        <v>347.4111111111111</v>
      </c>
      <c r="N28" s="9">
        <v>338.13888888888891</v>
      </c>
      <c r="O28" s="9">
        <v>244.51111111111112</v>
      </c>
      <c r="P28" s="10">
        <v>75.027777777777771</v>
      </c>
    </row>
    <row r="29" spans="1:16" x14ac:dyDescent="0.25">
      <c r="A29" s="8" t="s">
        <v>27</v>
      </c>
      <c r="B29" s="9">
        <v>16.827777777777779</v>
      </c>
      <c r="C29" s="9">
        <v>21.444444444444443</v>
      </c>
      <c r="D29" s="9">
        <v>24.85</v>
      </c>
      <c r="E29" s="9">
        <v>19.494444444444444</v>
      </c>
      <c r="F29" s="9">
        <v>18.444444444444443</v>
      </c>
      <c r="G29" s="9">
        <v>21.977777777777778</v>
      </c>
      <c r="H29" s="9">
        <v>14</v>
      </c>
      <c r="I29" s="9">
        <v>25.316666666666666</v>
      </c>
      <c r="J29" s="9">
        <v>33.588888888888889</v>
      </c>
      <c r="K29" s="9">
        <v>26.072222222222223</v>
      </c>
      <c r="L29" s="9">
        <v>28.483333333333334</v>
      </c>
      <c r="M29" s="9">
        <v>28.444444444444443</v>
      </c>
      <c r="N29" s="9">
        <v>22.727777777777778</v>
      </c>
      <c r="O29" s="9">
        <v>45.2</v>
      </c>
      <c r="P29" s="10">
        <v>5</v>
      </c>
    </row>
    <row r="30" spans="1:16" x14ac:dyDescent="0.25">
      <c r="A30" s="8" t="s">
        <v>47</v>
      </c>
      <c r="B30" s="9">
        <v>1139.5111111111112</v>
      </c>
      <c r="C30" s="9">
        <v>1124.8722222222223</v>
      </c>
      <c r="D30" s="9">
        <v>1086.9388888888889</v>
      </c>
      <c r="E30" s="9">
        <v>980.26111111111106</v>
      </c>
      <c r="F30" s="9">
        <v>970.62222222222226</v>
      </c>
      <c r="G30" s="9">
        <v>1000.2666666666667</v>
      </c>
      <c r="H30" s="9">
        <v>904.42777777777781</v>
      </c>
      <c r="I30" s="9">
        <v>931.9666666666667</v>
      </c>
      <c r="J30" s="9">
        <v>874.48333333333335</v>
      </c>
      <c r="K30" s="9">
        <v>939.09444444444443</v>
      </c>
      <c r="L30" s="9">
        <v>945.20555555555552</v>
      </c>
      <c r="M30" s="9">
        <v>875.05</v>
      </c>
      <c r="N30" s="9">
        <v>850.22777777777776</v>
      </c>
      <c r="O30" s="9">
        <v>1134.2</v>
      </c>
      <c r="P30" s="10">
        <v>603.57222222222219</v>
      </c>
    </row>
    <row r="31" spans="1:16" x14ac:dyDescent="0.25">
      <c r="A31" s="8" t="s">
        <v>28</v>
      </c>
      <c r="B31" s="9">
        <v>41.305555555555557</v>
      </c>
      <c r="C31" s="9">
        <v>41.4</v>
      </c>
      <c r="D31" s="9">
        <v>57.788888888888891</v>
      </c>
      <c r="E31" s="9">
        <v>30.56111111111111</v>
      </c>
      <c r="F31" s="9">
        <v>35.861111111111114</v>
      </c>
      <c r="G31" s="9">
        <v>36.616666666666667</v>
      </c>
      <c r="H31" s="9">
        <v>35.911111111111111</v>
      </c>
      <c r="I31" s="9">
        <v>29.433333333333334</v>
      </c>
      <c r="J31" s="9">
        <v>32.266666666666666</v>
      </c>
      <c r="K31" s="9">
        <v>32.405555555555559</v>
      </c>
      <c r="L31" s="9">
        <v>30.538888888888888</v>
      </c>
      <c r="M31" s="9">
        <v>38.416666666666664</v>
      </c>
      <c r="N31" s="9">
        <v>30.638888888888889</v>
      </c>
      <c r="O31" s="9">
        <v>49.016666666666666</v>
      </c>
      <c r="P31" s="10">
        <v>3.9777777777777779</v>
      </c>
    </row>
    <row r="32" spans="1:16" x14ac:dyDescent="0.25">
      <c r="A32" s="11" t="s">
        <v>46</v>
      </c>
      <c r="B32" s="12">
        <v>2084.4333333333334</v>
      </c>
      <c r="C32" s="12">
        <v>2073.7888888888888</v>
      </c>
      <c r="D32" s="12">
        <v>2097.3333333333335</v>
      </c>
      <c r="E32" s="12">
        <v>1906.2611111111112</v>
      </c>
      <c r="F32" s="12">
        <v>1874.3333333333333</v>
      </c>
      <c r="G32" s="12">
        <v>1854.7444444444445</v>
      </c>
      <c r="H32" s="12">
        <v>1623.1666666666667</v>
      </c>
      <c r="I32" s="12">
        <v>1528.9222222222222</v>
      </c>
      <c r="J32" s="12">
        <v>1478.0166666666667</v>
      </c>
      <c r="K32" s="12">
        <v>1595.25</v>
      </c>
      <c r="L32" s="12">
        <v>1558.9333333333334</v>
      </c>
      <c r="M32" s="12">
        <v>1546.4388888888889</v>
      </c>
      <c r="N32" s="12">
        <v>1485.3333333333333</v>
      </c>
      <c r="O32" s="12">
        <v>1904.4444444444443</v>
      </c>
      <c r="P32" s="13">
        <v>954.69444444444446</v>
      </c>
    </row>
    <row r="33" spans="1:31" x14ac:dyDescent="0.25">
      <c r="A33" s="8" t="s">
        <v>29</v>
      </c>
      <c r="B33" s="9">
        <v>216.09444444444443</v>
      </c>
      <c r="C33" s="9">
        <v>197.74444444444444</v>
      </c>
      <c r="D33" s="9">
        <v>244.84444444444443</v>
      </c>
      <c r="E33" s="9">
        <v>204.73333333333332</v>
      </c>
      <c r="F33" s="9">
        <v>191.16666666666666</v>
      </c>
      <c r="G33" s="9">
        <v>200.96666666666667</v>
      </c>
      <c r="H33" s="9">
        <v>220.45555555555555</v>
      </c>
      <c r="I33" s="9">
        <v>227.52222222222221</v>
      </c>
      <c r="J33" s="9">
        <v>216.44444444444446</v>
      </c>
      <c r="K33" s="9">
        <v>240.36666666666667</v>
      </c>
      <c r="L33" s="9">
        <v>230.8388888888889</v>
      </c>
      <c r="M33" s="9">
        <v>237.3388888888889</v>
      </c>
      <c r="N33" s="9">
        <v>226.25</v>
      </c>
      <c r="O33" s="9">
        <v>281.74444444444447</v>
      </c>
      <c r="P33" s="10">
        <v>36.855555555555554</v>
      </c>
    </row>
    <row r="34" spans="1:31" x14ac:dyDescent="0.25">
      <c r="A34" s="8" t="s">
        <v>30</v>
      </c>
      <c r="B34" s="9">
        <v>371.27222222222224</v>
      </c>
      <c r="C34" s="9">
        <v>375.97777777777776</v>
      </c>
      <c r="D34" s="9">
        <v>365.86666666666667</v>
      </c>
      <c r="E34" s="9">
        <v>388.51111111111112</v>
      </c>
      <c r="F34" s="9">
        <v>329.23888888888888</v>
      </c>
      <c r="G34" s="9">
        <v>346.81111111111113</v>
      </c>
      <c r="H34" s="9">
        <v>338.84444444444443</v>
      </c>
      <c r="I34" s="9">
        <v>340.43333333333334</v>
      </c>
      <c r="J34" s="9">
        <v>352.3</v>
      </c>
      <c r="K34" s="9">
        <v>326.06111111111113</v>
      </c>
      <c r="L34" s="9">
        <v>316.92777777777781</v>
      </c>
      <c r="M34" s="9">
        <v>288.15555555555557</v>
      </c>
      <c r="N34" s="9">
        <v>293.82777777777778</v>
      </c>
      <c r="O34" s="9">
        <v>487.85</v>
      </c>
      <c r="P34" s="10">
        <v>55.511111111111113</v>
      </c>
    </row>
    <row r="35" spans="1:31" x14ac:dyDescent="0.25">
      <c r="A35" s="8" t="s">
        <v>31</v>
      </c>
      <c r="B35" s="9">
        <v>247.75</v>
      </c>
      <c r="C35" s="9">
        <v>249.38333333333333</v>
      </c>
      <c r="D35" s="9">
        <v>244.22222222222223</v>
      </c>
      <c r="E35" s="9">
        <v>230.36666666666667</v>
      </c>
      <c r="F35" s="9">
        <v>242.78888888888889</v>
      </c>
      <c r="G35" s="9">
        <v>245.83333333333334</v>
      </c>
      <c r="H35" s="9">
        <v>242.09444444444443</v>
      </c>
      <c r="I35" s="9">
        <v>224.41666666666666</v>
      </c>
      <c r="J35" s="9">
        <v>230.31666666666666</v>
      </c>
      <c r="K35" s="9">
        <v>211.77777777777777</v>
      </c>
      <c r="L35" s="9">
        <v>206.26111111111112</v>
      </c>
      <c r="M35" s="9">
        <v>221.46666666666667</v>
      </c>
      <c r="N35" s="9">
        <v>195.10555555555555</v>
      </c>
      <c r="O35" s="9">
        <v>392.92222222222222</v>
      </c>
      <c r="P35" s="10">
        <v>37.055555555555557</v>
      </c>
    </row>
    <row r="36" spans="1:31" x14ac:dyDescent="0.25">
      <c r="A36" s="8" t="s">
        <v>32</v>
      </c>
      <c r="B36" s="9">
        <v>118.73333333333333</v>
      </c>
      <c r="C36" s="9">
        <v>116.07777777777778</v>
      </c>
      <c r="D36" s="9">
        <v>112.4</v>
      </c>
      <c r="E36" s="9">
        <v>121.55555555555556</v>
      </c>
      <c r="F36" s="9">
        <v>98.933333333333337</v>
      </c>
      <c r="G36" s="9">
        <v>112.81666666666666</v>
      </c>
      <c r="H36" s="9">
        <v>109.8</v>
      </c>
      <c r="I36" s="9">
        <v>116.37777777777778</v>
      </c>
      <c r="J36" s="9">
        <v>116.67777777777778</v>
      </c>
      <c r="K36" s="9">
        <v>107.37222222222222</v>
      </c>
      <c r="L36" s="9">
        <v>99.86666666666666</v>
      </c>
      <c r="M36" s="9">
        <v>95.74444444444444</v>
      </c>
      <c r="N36" s="9">
        <v>95.788888888888891</v>
      </c>
      <c r="O36" s="9">
        <v>132.44999999999999</v>
      </c>
      <c r="P36" s="10">
        <v>13</v>
      </c>
    </row>
    <row r="37" spans="1:31" x14ac:dyDescent="0.25">
      <c r="A37" s="8" t="s">
        <v>33</v>
      </c>
      <c r="B37" s="9">
        <v>9.8722222222222218</v>
      </c>
      <c r="C37" s="9">
        <v>9.7777777777777786</v>
      </c>
      <c r="D37" s="9">
        <v>13.188888888888888</v>
      </c>
      <c r="E37" s="9">
        <v>14.705555555555556</v>
      </c>
      <c r="F37" s="9">
        <v>11.516666666666667</v>
      </c>
      <c r="G37" s="9">
        <v>19.366666666666667</v>
      </c>
      <c r="H37" s="9">
        <v>14.488888888888889</v>
      </c>
      <c r="I37" s="9">
        <v>23.488888888888887</v>
      </c>
      <c r="J37" s="9">
        <v>23.461111111111112</v>
      </c>
      <c r="K37" s="9">
        <v>17.266666666666666</v>
      </c>
      <c r="L37" s="9">
        <v>20.411111111111111</v>
      </c>
      <c r="M37" s="9">
        <v>15.188888888888888</v>
      </c>
      <c r="N37" s="9">
        <v>19.149999999999999</v>
      </c>
      <c r="O37" s="9">
        <v>16.611111111111111</v>
      </c>
      <c r="P37" s="10">
        <v>1</v>
      </c>
    </row>
    <row r="38" spans="1:31" x14ac:dyDescent="0.25">
      <c r="A38" s="11" t="s">
        <v>40</v>
      </c>
      <c r="B38" s="12">
        <v>1048.0555555555557</v>
      </c>
      <c r="C38" s="12">
        <v>1118.4277777777777</v>
      </c>
      <c r="D38" s="12">
        <v>1108.9277777777777</v>
      </c>
      <c r="E38" s="12">
        <v>1040.2888888888888</v>
      </c>
      <c r="F38" s="12">
        <v>1110.4000000000001</v>
      </c>
      <c r="G38" s="12">
        <v>1068.9777777777779</v>
      </c>
      <c r="H38" s="12">
        <v>1045.0611111111111</v>
      </c>
      <c r="I38" s="12">
        <v>973.85555555555561</v>
      </c>
      <c r="J38" s="12">
        <v>958.43333333333328</v>
      </c>
      <c r="K38" s="12">
        <v>955.63888888888891</v>
      </c>
      <c r="L38" s="12">
        <v>923.47222222222217</v>
      </c>
      <c r="M38" s="12">
        <v>864.29444444444448</v>
      </c>
      <c r="N38" s="12">
        <v>783.36111111111109</v>
      </c>
      <c r="O38" s="12">
        <v>1109.9444444444443</v>
      </c>
      <c r="P38" s="13">
        <v>423.47777777777776</v>
      </c>
    </row>
    <row r="39" spans="1:31" x14ac:dyDescent="0.25">
      <c r="A39" s="39" t="s">
        <v>41</v>
      </c>
      <c r="B39" s="37">
        <v>648.02222222222224</v>
      </c>
      <c r="C39" s="37">
        <v>641.07777777777778</v>
      </c>
      <c r="D39" s="37">
        <v>612.39444444444439</v>
      </c>
      <c r="E39" s="37">
        <v>556.38888888888891</v>
      </c>
      <c r="F39" s="37">
        <v>555.56111111111113</v>
      </c>
      <c r="G39" s="37">
        <v>488.47777777777776</v>
      </c>
      <c r="H39" s="37">
        <v>512.73888888888894</v>
      </c>
      <c r="I39" s="37">
        <v>483.53333333333336</v>
      </c>
      <c r="J39" s="37">
        <v>402.23888888888888</v>
      </c>
      <c r="K39" s="37">
        <v>388.94444444444446</v>
      </c>
      <c r="L39" s="37">
        <v>388.23888888888888</v>
      </c>
      <c r="M39" s="37">
        <v>381.87222222222221</v>
      </c>
      <c r="N39" s="37">
        <v>348.43888888888887</v>
      </c>
      <c r="O39" s="37">
        <v>514.75</v>
      </c>
      <c r="P39" s="17">
        <v>175</v>
      </c>
    </row>
    <row r="40" spans="1:31" x14ac:dyDescent="0.25">
      <c r="A40" s="8" t="s">
        <v>42</v>
      </c>
      <c r="B40" s="9">
        <v>377.1611111111111</v>
      </c>
      <c r="C40" s="9">
        <v>449.49444444444447</v>
      </c>
      <c r="D40" s="9">
        <v>384.80555555555554</v>
      </c>
      <c r="E40" s="9">
        <v>426.09444444444443</v>
      </c>
      <c r="F40" s="9">
        <v>377.99444444444447</v>
      </c>
      <c r="G40" s="9">
        <v>413.2</v>
      </c>
      <c r="H40" s="9">
        <v>373.46666666666664</v>
      </c>
      <c r="I40" s="9">
        <v>431.57777777777778</v>
      </c>
      <c r="J40" s="9">
        <v>369.8</v>
      </c>
      <c r="K40" s="9">
        <v>401.17222222222222</v>
      </c>
      <c r="L40" s="9">
        <v>368.02777777777777</v>
      </c>
      <c r="M40" s="9">
        <v>349.18333333333334</v>
      </c>
      <c r="N40" s="9">
        <v>291.93333333333334</v>
      </c>
      <c r="O40" s="9">
        <v>573.20000000000005</v>
      </c>
      <c r="P40" s="10">
        <v>79.777777777777771</v>
      </c>
    </row>
    <row r="41" spans="1:31" x14ac:dyDescent="0.25">
      <c r="A41" s="8" t="s">
        <v>43</v>
      </c>
      <c r="B41" s="9">
        <v>2072.0444444444443</v>
      </c>
      <c r="C41" s="9">
        <v>2162.2555555555555</v>
      </c>
      <c r="D41" s="9">
        <v>2124.8055555555557</v>
      </c>
      <c r="E41" s="9">
        <v>2049.7611111111109</v>
      </c>
      <c r="F41" s="9">
        <v>1960.8277777777778</v>
      </c>
      <c r="G41" s="9">
        <v>2034.911111111111</v>
      </c>
      <c r="H41" s="9">
        <v>1956.4333333333334</v>
      </c>
      <c r="I41" s="9">
        <v>1967.4833333333333</v>
      </c>
      <c r="J41" s="9">
        <v>1914.6222222222223</v>
      </c>
      <c r="K41" s="9">
        <v>1835.9666666666667</v>
      </c>
      <c r="L41" s="9">
        <v>1716.7388888888888</v>
      </c>
      <c r="M41" s="9">
        <v>1578.9333333333334</v>
      </c>
      <c r="N41" s="9">
        <v>1610.8777777777777</v>
      </c>
      <c r="O41" s="9">
        <v>2143.8277777777776</v>
      </c>
      <c r="P41" s="10">
        <v>546.67222222222222</v>
      </c>
    </row>
    <row r="42" spans="1:31" x14ac:dyDescent="0.25">
      <c r="A42" s="8" t="s">
        <v>44</v>
      </c>
      <c r="B42" s="9">
        <v>46.794444444444444</v>
      </c>
      <c r="C42" s="9">
        <v>53.45</v>
      </c>
      <c r="D42" s="9">
        <v>46.694444444444443</v>
      </c>
      <c r="E42" s="9">
        <v>43.461111111111109</v>
      </c>
      <c r="F42" s="9">
        <v>40</v>
      </c>
      <c r="G42" s="9">
        <v>47.87777777777778</v>
      </c>
      <c r="H42" s="9">
        <v>40.588888888888889</v>
      </c>
      <c r="I42" s="9">
        <v>48.033333333333331</v>
      </c>
      <c r="J42" s="9">
        <v>34.799999999999997</v>
      </c>
      <c r="K42" s="9">
        <v>46.288888888888891</v>
      </c>
      <c r="L42" s="9">
        <v>34.033333333333331</v>
      </c>
      <c r="M42" s="9">
        <v>42.716666666666669</v>
      </c>
      <c r="N42" s="9">
        <v>31.922222222222221</v>
      </c>
      <c r="O42" s="9">
        <v>62.705555555555556</v>
      </c>
      <c r="P42" s="10">
        <v>1.6944444444444444</v>
      </c>
    </row>
    <row r="43" spans="1:31" ht="15.75" thickBot="1" x14ac:dyDescent="0.3">
      <c r="A43" s="14" t="s">
        <v>45</v>
      </c>
      <c r="B43" s="15">
        <v>2223.2666666666669</v>
      </c>
      <c r="C43" s="15">
        <v>2271.9499999999998</v>
      </c>
      <c r="D43" s="15">
        <v>2320.5277777777778</v>
      </c>
      <c r="E43" s="15">
        <v>2338.1</v>
      </c>
      <c r="F43" s="15">
        <v>2293.7777777777778</v>
      </c>
      <c r="G43" s="15">
        <v>2347.0388888888888</v>
      </c>
      <c r="H43" s="15">
        <v>2279.0777777777776</v>
      </c>
      <c r="I43" s="15">
        <v>2422.3333333333335</v>
      </c>
      <c r="J43" s="15">
        <v>2316.2888888888888</v>
      </c>
      <c r="K43" s="15">
        <v>2133.5444444444443</v>
      </c>
      <c r="L43" s="15">
        <v>2238.9666666666667</v>
      </c>
      <c r="M43" s="15">
        <v>2162.2111111111112</v>
      </c>
      <c r="N43" s="15">
        <v>1993.6444444444444</v>
      </c>
      <c r="O43" s="15">
        <v>3143.4666666666667</v>
      </c>
      <c r="P43" s="16">
        <v>817.71111111111111</v>
      </c>
    </row>
    <row r="44" spans="1:31" ht="16.5" thickTop="1" thickBot="1" x14ac:dyDescent="0.3">
      <c r="A44" s="40" t="s">
        <v>117</v>
      </c>
      <c r="B44" s="41">
        <f>SUM(B3:B43)</f>
        <v>43410.888888888891</v>
      </c>
      <c r="C44" s="41">
        <f t="shared" ref="C44:P44" si="0">SUM(C3:C43)</f>
        <v>44346.461111111115</v>
      </c>
      <c r="D44" s="41">
        <f t="shared" si="0"/>
        <v>43598.855555555558</v>
      </c>
      <c r="E44" s="41">
        <f t="shared" si="0"/>
        <v>42185.177777777782</v>
      </c>
      <c r="F44" s="41">
        <f t="shared" si="0"/>
        <v>41572.233333333344</v>
      </c>
      <c r="G44" s="41">
        <f t="shared" si="0"/>
        <v>41208.677777777782</v>
      </c>
      <c r="H44" s="41">
        <f t="shared" si="0"/>
        <v>40198.400000000016</v>
      </c>
      <c r="I44" s="41">
        <f t="shared" si="0"/>
        <v>39476.48333333333</v>
      </c>
      <c r="J44" s="41">
        <f t="shared" si="0"/>
        <v>38020.411111111112</v>
      </c>
      <c r="K44" s="41">
        <f t="shared" si="0"/>
        <v>37398.25</v>
      </c>
      <c r="L44" s="41">
        <f t="shared" si="0"/>
        <v>37402.422222222238</v>
      </c>
      <c r="M44" s="41">
        <f t="shared" si="0"/>
        <v>35842.35</v>
      </c>
      <c r="N44" s="41">
        <f t="shared" si="0"/>
        <v>33149.872222222228</v>
      </c>
      <c r="O44" s="41">
        <f t="shared" si="0"/>
        <v>45623.011111111096</v>
      </c>
      <c r="P44" s="42">
        <f t="shared" si="0"/>
        <v>13955.455555555558</v>
      </c>
    </row>
    <row r="45" spans="1:31" x14ac:dyDescent="0.25">
      <c r="A45" s="5" t="s">
        <v>119</v>
      </c>
      <c r="B45" s="38">
        <v>0</v>
      </c>
      <c r="C45" s="38">
        <v>0</v>
      </c>
      <c r="D45" s="38">
        <v>0</v>
      </c>
      <c r="E45" s="38">
        <v>0</v>
      </c>
      <c r="F45" s="38">
        <v>0</v>
      </c>
      <c r="G45" s="38">
        <v>0</v>
      </c>
      <c r="H45" s="38">
        <v>0</v>
      </c>
      <c r="I45" s="38">
        <v>0</v>
      </c>
      <c r="J45" s="38">
        <v>0</v>
      </c>
      <c r="K45" s="38">
        <v>128.1888888888889</v>
      </c>
      <c r="L45" s="38">
        <v>123.07222222222222</v>
      </c>
      <c r="M45" s="38">
        <v>102.52222222222223</v>
      </c>
      <c r="N45" s="38">
        <v>114.64444444444445</v>
      </c>
      <c r="O45" s="38">
        <v>18.988888888888887</v>
      </c>
      <c r="P45" s="36">
        <v>0</v>
      </c>
      <c r="R45" s="7"/>
      <c r="S45" s="7"/>
      <c r="T45" s="7"/>
      <c r="U45" s="7"/>
      <c r="V45" s="29"/>
      <c r="W45" s="7"/>
      <c r="X45" s="7"/>
      <c r="Y45" s="7"/>
      <c r="Z45" s="7"/>
      <c r="AA45" s="7"/>
      <c r="AB45" s="7"/>
      <c r="AC45" s="7"/>
      <c r="AD45" s="7"/>
      <c r="AE45" s="7"/>
    </row>
    <row r="46" spans="1:31" x14ac:dyDescent="0.25">
      <c r="A46" s="8" t="s">
        <v>86</v>
      </c>
      <c r="B46" s="9">
        <v>78.172222222222217</v>
      </c>
      <c r="C46" s="9">
        <v>104.01666666666667</v>
      </c>
      <c r="D46" s="9">
        <v>96</v>
      </c>
      <c r="E46" s="9">
        <v>106.50555555555556</v>
      </c>
      <c r="F46" s="9">
        <v>113.19444444444444</v>
      </c>
      <c r="G46" s="9">
        <v>96.194444444444443</v>
      </c>
      <c r="H46" s="9">
        <v>105.60555555555555</v>
      </c>
      <c r="I46" s="9">
        <v>147.35555555555555</v>
      </c>
      <c r="J46" s="9">
        <v>146.38888888888889</v>
      </c>
      <c r="K46" s="9">
        <v>147.13888888888889</v>
      </c>
      <c r="L46" s="9">
        <v>113.43333333333334</v>
      </c>
      <c r="M46" s="9">
        <v>103.58888888888889</v>
      </c>
      <c r="N46" s="9">
        <v>92.638888888888886</v>
      </c>
      <c r="O46" s="9">
        <v>191.71666666666667</v>
      </c>
      <c r="P46" s="17">
        <v>24.633333333333333</v>
      </c>
      <c r="R46" s="7"/>
      <c r="S46" s="7"/>
      <c r="T46" s="7"/>
      <c r="U46" s="7"/>
      <c r="V46" s="29"/>
      <c r="W46" s="7"/>
      <c r="X46" s="7"/>
      <c r="Y46" s="7"/>
      <c r="Z46" s="7"/>
      <c r="AA46" s="7"/>
      <c r="AB46" s="7"/>
      <c r="AC46" s="7"/>
      <c r="AD46" s="7"/>
      <c r="AE46" s="7"/>
    </row>
    <row r="47" spans="1:31" x14ac:dyDescent="0.25">
      <c r="A47" s="8" t="s">
        <v>73</v>
      </c>
      <c r="B47" s="9">
        <v>106.57222222222222</v>
      </c>
      <c r="C47" s="9">
        <v>111.74444444444444</v>
      </c>
      <c r="D47" s="9">
        <v>112.95555555555555</v>
      </c>
      <c r="E47" s="9">
        <v>109.31111111111112</v>
      </c>
      <c r="F47" s="9">
        <v>121.12777777777778</v>
      </c>
      <c r="G47" s="9">
        <v>122.95555555555555</v>
      </c>
      <c r="H47" s="9">
        <v>123.22222222222223</v>
      </c>
      <c r="I47" s="9">
        <v>112.54444444444445</v>
      </c>
      <c r="J47" s="9">
        <v>121.26111111111111</v>
      </c>
      <c r="K47" s="9">
        <v>86.038888888888891</v>
      </c>
      <c r="L47" s="9">
        <v>0</v>
      </c>
      <c r="M47" s="9">
        <v>0</v>
      </c>
      <c r="N47" s="9">
        <v>0</v>
      </c>
      <c r="O47" s="9">
        <v>79.294444444444451</v>
      </c>
      <c r="P47" s="17">
        <v>1.8222222222222222</v>
      </c>
      <c r="R47" s="7"/>
      <c r="S47" s="7"/>
      <c r="T47" s="7"/>
      <c r="U47" s="7"/>
      <c r="V47" s="29"/>
      <c r="W47" s="7"/>
      <c r="X47" s="7"/>
      <c r="Y47" s="7"/>
      <c r="Z47" s="7"/>
      <c r="AA47" s="7"/>
      <c r="AB47" s="7"/>
      <c r="AC47" s="7"/>
      <c r="AD47" s="7"/>
      <c r="AE47" s="7"/>
    </row>
    <row r="48" spans="1:31" x14ac:dyDescent="0.25">
      <c r="A48" s="8" t="s">
        <v>52</v>
      </c>
      <c r="B48" s="9">
        <v>19</v>
      </c>
      <c r="C48" s="9">
        <v>18.861111111111111</v>
      </c>
      <c r="D48" s="9">
        <v>18.772222222222222</v>
      </c>
      <c r="E48" s="9">
        <v>18.261111111111113</v>
      </c>
      <c r="F48" s="9">
        <v>20</v>
      </c>
      <c r="G48" s="9">
        <v>19.861111111111111</v>
      </c>
      <c r="H48" s="9">
        <v>17.766666666666666</v>
      </c>
      <c r="I48" s="9">
        <v>20</v>
      </c>
      <c r="J48" s="9">
        <v>17.794444444444444</v>
      </c>
      <c r="K48" s="9">
        <v>0</v>
      </c>
      <c r="L48" s="9">
        <v>0</v>
      </c>
      <c r="M48" s="9">
        <v>0</v>
      </c>
      <c r="N48" s="9">
        <v>0</v>
      </c>
      <c r="O48" s="9">
        <v>27.255555555555556</v>
      </c>
      <c r="P48" s="17">
        <v>6</v>
      </c>
      <c r="R48" s="7"/>
      <c r="S48" s="7"/>
      <c r="T48" s="7"/>
      <c r="U48" s="7"/>
      <c r="V48" s="29"/>
      <c r="W48" s="7"/>
      <c r="X48" s="7"/>
      <c r="Y48" s="7"/>
      <c r="Z48" s="7"/>
      <c r="AA48" s="7"/>
      <c r="AB48" s="7"/>
      <c r="AC48" s="7"/>
      <c r="AD48" s="7"/>
      <c r="AE48" s="7"/>
    </row>
    <row r="49" spans="1:31" x14ac:dyDescent="0.25">
      <c r="A49" s="11" t="s">
        <v>120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71.166666666666671</v>
      </c>
      <c r="J49" s="12">
        <v>52.18888888888889</v>
      </c>
      <c r="K49" s="12">
        <v>41.944444444444443</v>
      </c>
      <c r="L49" s="12">
        <v>18.838888888888889</v>
      </c>
      <c r="M49" s="12">
        <v>17.944444444444443</v>
      </c>
      <c r="N49" s="12">
        <v>13.138888888888889</v>
      </c>
      <c r="O49" s="12">
        <v>25.694444444444443</v>
      </c>
      <c r="P49" s="43">
        <v>0.26111111111111113</v>
      </c>
      <c r="R49" s="7"/>
      <c r="S49" s="7"/>
      <c r="T49" s="7"/>
      <c r="U49" s="7"/>
      <c r="V49" s="29"/>
      <c r="W49" s="7"/>
      <c r="X49" s="7"/>
      <c r="Y49" s="7"/>
      <c r="Z49" s="7"/>
      <c r="AA49" s="7"/>
      <c r="AB49" s="7"/>
      <c r="AC49" s="7"/>
      <c r="AD49" s="7"/>
      <c r="AE49" s="7"/>
    </row>
    <row r="50" spans="1:31" x14ac:dyDescent="0.25">
      <c r="A50" s="8" t="s">
        <v>100</v>
      </c>
      <c r="B50" s="9">
        <v>76.944444444444443</v>
      </c>
      <c r="C50" s="9">
        <v>76.444444444444443</v>
      </c>
      <c r="D50" s="9">
        <v>73.961111111111109</v>
      </c>
      <c r="E50" s="9">
        <v>74.727777777777774</v>
      </c>
      <c r="F50" s="9">
        <v>73.827777777777783</v>
      </c>
      <c r="G50" s="9">
        <v>73.05</v>
      </c>
      <c r="H50" s="9">
        <v>73.688888888888883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44.027777777777779</v>
      </c>
      <c r="P50" s="17">
        <v>0</v>
      </c>
      <c r="R50" s="7"/>
      <c r="S50" s="7"/>
      <c r="T50" s="7"/>
      <c r="U50" s="7"/>
      <c r="V50" s="29"/>
      <c r="W50" s="7"/>
      <c r="X50" s="7"/>
      <c r="Y50" s="7"/>
      <c r="Z50" s="7"/>
      <c r="AA50" s="7"/>
      <c r="AB50" s="7"/>
      <c r="AC50" s="7"/>
      <c r="AD50" s="7"/>
      <c r="AE50" s="7"/>
    </row>
    <row r="51" spans="1:31" x14ac:dyDescent="0.25">
      <c r="A51" s="8" t="s">
        <v>36</v>
      </c>
      <c r="B51" s="9">
        <v>75.211111111111109</v>
      </c>
      <c r="C51" s="9">
        <v>74.488888888888894</v>
      </c>
      <c r="D51" s="9">
        <v>71.927777777777777</v>
      </c>
      <c r="E51" s="9">
        <v>73.805555555555557</v>
      </c>
      <c r="F51" s="9">
        <v>71.177777777777777</v>
      </c>
      <c r="G51" s="9">
        <v>74.37222222222222</v>
      </c>
      <c r="H51" s="9">
        <v>71.322222222222223</v>
      </c>
      <c r="I51" s="9">
        <v>62.788888888888891</v>
      </c>
      <c r="J51" s="9">
        <v>57.62222222222222</v>
      </c>
      <c r="K51" s="9">
        <v>0</v>
      </c>
      <c r="L51" s="9">
        <v>0</v>
      </c>
      <c r="M51" s="9">
        <v>0</v>
      </c>
      <c r="N51" s="9">
        <v>0</v>
      </c>
      <c r="O51" s="9">
        <v>56.166666666666664</v>
      </c>
      <c r="P51" s="17">
        <v>2.2222222222222223E-2</v>
      </c>
      <c r="R51" s="7"/>
      <c r="S51" s="7"/>
      <c r="T51" s="7"/>
      <c r="U51" s="7"/>
      <c r="V51" s="29"/>
      <c r="W51" s="7"/>
      <c r="X51" s="7"/>
      <c r="Y51" s="7"/>
      <c r="Z51" s="7"/>
      <c r="AA51" s="7"/>
      <c r="AB51" s="7"/>
      <c r="AC51" s="7"/>
      <c r="AD51" s="7"/>
      <c r="AE51" s="7"/>
    </row>
    <row r="52" spans="1:31" x14ac:dyDescent="0.25">
      <c r="A52" s="8" t="s">
        <v>83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19.877777777777776</v>
      </c>
      <c r="K52" s="9">
        <v>39.93888888888889</v>
      </c>
      <c r="L52" s="9">
        <v>29.388888888888889</v>
      </c>
      <c r="M52" s="9">
        <v>46.405555555555559</v>
      </c>
      <c r="N52" s="9">
        <v>18.394444444444446</v>
      </c>
      <c r="O52" s="9">
        <v>14.994444444444444</v>
      </c>
      <c r="P52" s="17">
        <v>19.527777777777779</v>
      </c>
      <c r="R52" s="7"/>
      <c r="S52" s="7"/>
      <c r="T52" s="7"/>
      <c r="U52" s="7"/>
      <c r="V52" s="29"/>
      <c r="W52" s="7"/>
      <c r="X52" s="7"/>
      <c r="Y52" s="7"/>
      <c r="Z52" s="7"/>
      <c r="AA52" s="7"/>
      <c r="AB52" s="7"/>
      <c r="AC52" s="7"/>
      <c r="AD52" s="7"/>
      <c r="AE52" s="7"/>
    </row>
    <row r="53" spans="1:31" x14ac:dyDescent="0.25">
      <c r="A53" s="8" t="s">
        <v>50</v>
      </c>
      <c r="B53" s="9">
        <v>59.494444444444447</v>
      </c>
      <c r="C53" s="9">
        <v>37.049999999999997</v>
      </c>
      <c r="D53" s="9">
        <v>49.261111111111113</v>
      </c>
      <c r="E53" s="9">
        <v>37.827777777777776</v>
      </c>
      <c r="F53" s="9">
        <v>24.633333333333333</v>
      </c>
      <c r="G53" s="9">
        <v>31.244444444444444</v>
      </c>
      <c r="H53" s="9">
        <v>20.755555555555556</v>
      </c>
      <c r="I53" s="9">
        <v>13.027777777777779</v>
      </c>
      <c r="J53" s="9">
        <v>7.166666666666667</v>
      </c>
      <c r="K53" s="9">
        <v>0</v>
      </c>
      <c r="L53" s="9">
        <v>0</v>
      </c>
      <c r="M53" s="9">
        <v>0</v>
      </c>
      <c r="N53" s="9">
        <v>0</v>
      </c>
      <c r="O53" s="9">
        <v>62.594444444444441</v>
      </c>
      <c r="P53" s="17">
        <v>4.4555555555555557</v>
      </c>
      <c r="R53" s="7"/>
      <c r="S53" s="7"/>
      <c r="T53" s="7"/>
      <c r="U53" s="7"/>
      <c r="V53" s="29"/>
      <c r="W53" s="7"/>
      <c r="X53" s="7"/>
      <c r="Y53" s="7"/>
      <c r="Z53" s="7"/>
      <c r="AA53" s="7"/>
      <c r="AB53" s="7"/>
      <c r="AC53" s="7"/>
      <c r="AD53" s="7"/>
      <c r="AE53" s="7"/>
    </row>
    <row r="54" spans="1:31" x14ac:dyDescent="0.25">
      <c r="A54" s="11" t="s">
        <v>104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48.827777777777776</v>
      </c>
      <c r="J54" s="12">
        <v>69.727777777777774</v>
      </c>
      <c r="K54" s="12">
        <v>64.2</v>
      </c>
      <c r="L54" s="12">
        <v>55.288888888888891</v>
      </c>
      <c r="M54" s="12">
        <v>51.805555555555557</v>
      </c>
      <c r="N54" s="12">
        <v>43.927777777777777</v>
      </c>
      <c r="O54" s="12">
        <v>44.616666666666667</v>
      </c>
      <c r="P54" s="43">
        <v>12.222222222222221</v>
      </c>
      <c r="R54" s="7"/>
      <c r="S54" s="7"/>
      <c r="T54" s="7"/>
      <c r="U54" s="7"/>
      <c r="V54" s="29"/>
      <c r="W54" s="7"/>
      <c r="X54" s="7"/>
      <c r="Y54" s="7"/>
      <c r="Z54" s="7"/>
      <c r="AA54" s="7"/>
      <c r="AB54" s="7"/>
      <c r="AC54" s="7"/>
      <c r="AD54" s="7"/>
      <c r="AE54" s="7"/>
    </row>
    <row r="55" spans="1:31" x14ac:dyDescent="0.25">
      <c r="A55" s="8" t="s">
        <v>59</v>
      </c>
      <c r="B55" s="9">
        <v>79.766666666666666</v>
      </c>
      <c r="C55" s="9">
        <v>82.788888888888891</v>
      </c>
      <c r="D55" s="9">
        <v>56.427777777777777</v>
      </c>
      <c r="E55" s="9">
        <v>48.983333333333334</v>
      </c>
      <c r="F55" s="9">
        <v>52.55</v>
      </c>
      <c r="G55" s="9">
        <v>37.072222222222223</v>
      </c>
      <c r="H55" s="9">
        <v>24.116666666666667</v>
      </c>
      <c r="I55" s="9">
        <v>25.277777777777779</v>
      </c>
      <c r="J55" s="9">
        <v>14.3</v>
      </c>
      <c r="K55" s="9">
        <v>0</v>
      </c>
      <c r="L55" s="9">
        <v>0</v>
      </c>
      <c r="M55" s="9">
        <v>0</v>
      </c>
      <c r="N55" s="9">
        <v>0</v>
      </c>
      <c r="O55" s="9">
        <v>35.005555555555553</v>
      </c>
      <c r="P55" s="17">
        <v>0</v>
      </c>
      <c r="R55" s="7"/>
      <c r="S55" s="7"/>
      <c r="T55" s="7"/>
      <c r="U55" s="7"/>
      <c r="V55" s="29"/>
      <c r="W55" s="7"/>
      <c r="X55" s="7"/>
      <c r="Y55" s="7"/>
      <c r="Z55" s="7"/>
      <c r="AA55" s="7"/>
      <c r="AB55" s="7"/>
      <c r="AC55" s="7"/>
      <c r="AD55" s="7"/>
      <c r="AE55" s="7"/>
    </row>
    <row r="56" spans="1:31" x14ac:dyDescent="0.25">
      <c r="A56" s="8" t="s">
        <v>71</v>
      </c>
      <c r="B56" s="9">
        <v>72.5</v>
      </c>
      <c r="C56" s="9">
        <v>72.327777777777783</v>
      </c>
      <c r="D56" s="9">
        <v>70.977777777777774</v>
      </c>
      <c r="E56" s="9">
        <v>71.522222222222226</v>
      </c>
      <c r="F56" s="9">
        <v>73.150000000000006</v>
      </c>
      <c r="G56" s="9">
        <v>77.172222222222217</v>
      </c>
      <c r="H56" s="9">
        <v>74.822222222222223</v>
      </c>
      <c r="I56" s="9">
        <v>74.88333333333334</v>
      </c>
      <c r="J56" s="9">
        <v>93.016666666666666</v>
      </c>
      <c r="K56" s="9">
        <v>53.077777777777776</v>
      </c>
      <c r="L56" s="9">
        <v>0</v>
      </c>
      <c r="M56" s="9">
        <v>0</v>
      </c>
      <c r="N56" s="9">
        <v>0</v>
      </c>
      <c r="O56" s="9">
        <v>79.311111111111117</v>
      </c>
      <c r="P56" s="17">
        <v>5.4055555555555559</v>
      </c>
      <c r="R56" s="7"/>
      <c r="S56" s="7"/>
      <c r="T56" s="7"/>
      <c r="U56" s="7"/>
      <c r="V56" s="29"/>
      <c r="W56" s="7"/>
      <c r="X56" s="7"/>
      <c r="Y56" s="7"/>
      <c r="Z56" s="7"/>
      <c r="AA56" s="7"/>
      <c r="AB56" s="7"/>
      <c r="AC56" s="7"/>
      <c r="AD56" s="7"/>
      <c r="AE56" s="7"/>
    </row>
    <row r="57" spans="1:31" x14ac:dyDescent="0.25">
      <c r="A57" s="8" t="s">
        <v>109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57.222222222222221</v>
      </c>
      <c r="L57" s="9">
        <v>84.322222222222223</v>
      </c>
      <c r="M57" s="9">
        <v>71.849999999999994</v>
      </c>
      <c r="N57" s="9">
        <v>73.166666666666671</v>
      </c>
      <c r="O57" s="9">
        <v>42.222222222222221</v>
      </c>
      <c r="P57" s="17">
        <v>0.16666666666666666</v>
      </c>
      <c r="R57" s="7"/>
      <c r="S57" s="7"/>
      <c r="T57" s="7"/>
      <c r="U57" s="7"/>
      <c r="V57" s="29"/>
      <c r="W57" s="7"/>
      <c r="X57" s="7"/>
      <c r="Y57" s="7"/>
      <c r="Z57" s="7"/>
      <c r="AA57" s="7"/>
      <c r="AB57" s="7"/>
      <c r="AC57" s="7"/>
      <c r="AD57" s="7"/>
      <c r="AE57" s="7"/>
    </row>
    <row r="58" spans="1:31" x14ac:dyDescent="0.25">
      <c r="A58" s="8" t="s">
        <v>65</v>
      </c>
      <c r="B58" s="9">
        <v>46.633333333333333</v>
      </c>
      <c r="C58" s="9">
        <v>47.338888888888889</v>
      </c>
      <c r="D58" s="9">
        <v>46.588888888888889</v>
      </c>
      <c r="E58" s="9">
        <v>50.37222222222222</v>
      </c>
      <c r="F58" s="9">
        <v>49.31111111111111</v>
      </c>
      <c r="G58" s="9">
        <v>52.577777777777776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28.872222222222224</v>
      </c>
      <c r="P58" s="17">
        <v>1</v>
      </c>
      <c r="R58" s="7"/>
      <c r="S58" s="7"/>
      <c r="T58" s="7"/>
      <c r="U58" s="7"/>
      <c r="V58" s="29"/>
      <c r="W58" s="7"/>
      <c r="X58" s="7"/>
      <c r="Y58" s="7"/>
      <c r="Z58" s="7"/>
      <c r="AA58" s="7"/>
      <c r="AB58" s="7"/>
      <c r="AC58" s="7"/>
      <c r="AD58" s="7"/>
      <c r="AE58" s="7"/>
    </row>
    <row r="59" spans="1:31" x14ac:dyDescent="0.25">
      <c r="A59" s="11" t="s">
        <v>48</v>
      </c>
      <c r="B59" s="12">
        <v>52.161111111111111</v>
      </c>
      <c r="C59" s="12">
        <v>51.8</v>
      </c>
      <c r="D59" s="12">
        <v>51.37777777777778</v>
      </c>
      <c r="E59" s="12">
        <v>52.961111111111109</v>
      </c>
      <c r="F59" s="12">
        <v>51.305555555555557</v>
      </c>
      <c r="G59" s="12">
        <v>53.205555555555556</v>
      </c>
      <c r="H59" s="12">
        <v>51.116666666666667</v>
      </c>
      <c r="I59" s="12">
        <v>58.994444444444447</v>
      </c>
      <c r="J59" s="12">
        <v>52.211111111111109</v>
      </c>
      <c r="K59" s="12">
        <v>32.56111111111111</v>
      </c>
      <c r="L59" s="12">
        <v>0</v>
      </c>
      <c r="M59" s="12">
        <v>0</v>
      </c>
      <c r="N59" s="12">
        <v>0</v>
      </c>
      <c r="O59" s="12">
        <v>60.411111111111111</v>
      </c>
      <c r="P59" s="43">
        <v>1.1111111111111112E-2</v>
      </c>
      <c r="R59" s="7"/>
      <c r="S59" s="7"/>
      <c r="T59" s="7"/>
      <c r="U59" s="7"/>
      <c r="V59" s="29"/>
      <c r="W59" s="7"/>
      <c r="X59" s="7"/>
      <c r="Y59" s="7"/>
      <c r="Z59" s="7"/>
      <c r="AA59" s="7"/>
      <c r="AB59" s="7"/>
      <c r="AC59" s="7"/>
      <c r="AD59" s="7"/>
      <c r="AE59" s="7"/>
    </row>
    <row r="60" spans="1:31" x14ac:dyDescent="0.25">
      <c r="A60" s="8" t="s">
        <v>78</v>
      </c>
      <c r="B60" s="9">
        <v>70.477777777777774</v>
      </c>
      <c r="C60" s="9">
        <v>71.99444444444444</v>
      </c>
      <c r="D60" s="9">
        <v>71.37222222222222</v>
      </c>
      <c r="E60" s="9">
        <v>72.349999999999994</v>
      </c>
      <c r="F60" s="9">
        <v>71.483333333333334</v>
      </c>
      <c r="G60" s="9">
        <v>70.805555555555557</v>
      </c>
      <c r="H60" s="9">
        <v>66.433333333333337</v>
      </c>
      <c r="I60" s="9">
        <v>62.583333333333336</v>
      </c>
      <c r="J60" s="9">
        <v>64.86666666666666</v>
      </c>
      <c r="K60" s="9">
        <v>0</v>
      </c>
      <c r="L60" s="9">
        <v>0</v>
      </c>
      <c r="M60" s="9">
        <v>0</v>
      </c>
      <c r="N60" s="9">
        <v>0</v>
      </c>
      <c r="O60" s="9">
        <v>59.7</v>
      </c>
      <c r="P60" s="17">
        <v>2.6222222222222222</v>
      </c>
      <c r="R60" s="7"/>
      <c r="S60" s="7"/>
      <c r="T60" s="7"/>
      <c r="U60" s="7"/>
      <c r="V60" s="29"/>
      <c r="W60" s="7"/>
      <c r="X60" s="7"/>
      <c r="Y60" s="7"/>
      <c r="Z60" s="7"/>
      <c r="AA60" s="7"/>
      <c r="AB60" s="7"/>
      <c r="AC60" s="7"/>
      <c r="AD60" s="7"/>
      <c r="AE60" s="7"/>
    </row>
    <row r="61" spans="1:31" x14ac:dyDescent="0.25">
      <c r="A61" s="8" t="s">
        <v>97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35.955555555555556</v>
      </c>
      <c r="L61" s="9">
        <v>53.005555555555553</v>
      </c>
      <c r="M61" s="9">
        <v>52.783333333333331</v>
      </c>
      <c r="N61" s="9">
        <v>67.805555555555557</v>
      </c>
      <c r="O61" s="9">
        <v>49.866666666666667</v>
      </c>
      <c r="P61" s="17">
        <v>0</v>
      </c>
      <c r="R61" s="7"/>
      <c r="S61" s="7"/>
      <c r="T61" s="7"/>
      <c r="U61" s="7"/>
      <c r="V61" s="29"/>
      <c r="W61" s="7"/>
      <c r="X61" s="7"/>
      <c r="Y61" s="7"/>
      <c r="Z61" s="7"/>
      <c r="AA61" s="7"/>
      <c r="AB61" s="7"/>
      <c r="AC61" s="7"/>
      <c r="AD61" s="7"/>
      <c r="AE61" s="7"/>
    </row>
    <row r="62" spans="1:31" x14ac:dyDescent="0.25">
      <c r="A62" s="8" t="s">
        <v>81</v>
      </c>
      <c r="B62" s="9">
        <v>79.233333333333334</v>
      </c>
      <c r="C62" s="9">
        <v>74.177777777777777</v>
      </c>
      <c r="D62" s="9">
        <v>74.311111111111117</v>
      </c>
      <c r="E62" s="9">
        <v>74.427777777777777</v>
      </c>
      <c r="F62" s="9">
        <v>76.99444444444444</v>
      </c>
      <c r="G62" s="9">
        <v>63.394444444444446</v>
      </c>
      <c r="H62" s="9">
        <v>91.066666666666663</v>
      </c>
      <c r="I62" s="9">
        <v>79.072222222222223</v>
      </c>
      <c r="J62" s="9">
        <v>49.961111111111109</v>
      </c>
      <c r="K62" s="9">
        <v>0</v>
      </c>
      <c r="L62" s="9">
        <v>0</v>
      </c>
      <c r="M62" s="9">
        <v>0</v>
      </c>
      <c r="N62" s="9">
        <v>0</v>
      </c>
      <c r="O62" s="9">
        <v>75.561111111111117</v>
      </c>
      <c r="P62" s="17">
        <v>0</v>
      </c>
      <c r="R62" s="7"/>
      <c r="S62" s="7"/>
      <c r="T62" s="7"/>
      <c r="U62" s="7"/>
      <c r="V62" s="29"/>
      <c r="W62" s="7"/>
      <c r="X62" s="7"/>
      <c r="Y62" s="7"/>
      <c r="Z62" s="7"/>
      <c r="AA62" s="7"/>
      <c r="AB62" s="7"/>
      <c r="AC62" s="7"/>
      <c r="AD62" s="7"/>
      <c r="AE62" s="7"/>
    </row>
    <row r="63" spans="1:31" x14ac:dyDescent="0.25">
      <c r="A63" s="8" t="s">
        <v>77</v>
      </c>
      <c r="B63" s="9">
        <v>58.87222222222222</v>
      </c>
      <c r="C63" s="9">
        <v>63.12777777777778</v>
      </c>
      <c r="D63" s="9">
        <v>60.616666666666667</v>
      </c>
      <c r="E63" s="9">
        <v>62.155555555555559</v>
      </c>
      <c r="F63" s="9">
        <v>54.744444444444447</v>
      </c>
      <c r="G63" s="9">
        <v>55.633333333333333</v>
      </c>
      <c r="H63" s="9">
        <v>38.81111111111111</v>
      </c>
      <c r="I63" s="9">
        <v>46.733333333333334</v>
      </c>
      <c r="J63" s="9">
        <v>33.244444444444447</v>
      </c>
      <c r="K63" s="9">
        <v>0</v>
      </c>
      <c r="L63" s="9">
        <v>0</v>
      </c>
      <c r="M63" s="9">
        <v>0</v>
      </c>
      <c r="N63" s="9">
        <v>0</v>
      </c>
      <c r="O63" s="9">
        <v>64.077777777777783</v>
      </c>
      <c r="P63" s="17">
        <v>2.5777777777777779</v>
      </c>
      <c r="R63" s="7"/>
      <c r="S63" s="7"/>
      <c r="T63" s="7"/>
      <c r="U63" s="7"/>
      <c r="V63" s="29"/>
      <c r="W63" s="7"/>
      <c r="X63" s="7"/>
      <c r="Y63" s="7"/>
      <c r="Z63" s="7"/>
      <c r="AA63" s="7"/>
      <c r="AB63" s="7"/>
      <c r="AC63" s="7"/>
      <c r="AD63" s="7"/>
      <c r="AE63" s="7"/>
    </row>
    <row r="64" spans="1:31" x14ac:dyDescent="0.25">
      <c r="A64" s="11" t="s">
        <v>64</v>
      </c>
      <c r="B64" s="12">
        <v>122.73888888888889</v>
      </c>
      <c r="C64" s="12">
        <v>95.655555555555551</v>
      </c>
      <c r="D64" s="12">
        <v>86.288888888888891</v>
      </c>
      <c r="E64" s="12">
        <v>106.4</v>
      </c>
      <c r="F64" s="12">
        <v>90.111111111111114</v>
      </c>
      <c r="G64" s="12">
        <v>69.155555555555551</v>
      </c>
      <c r="H64" s="12">
        <v>70.49444444444444</v>
      </c>
      <c r="I64" s="12">
        <v>45.93888888888889</v>
      </c>
      <c r="J64" s="12">
        <v>21.738888888888887</v>
      </c>
      <c r="K64" s="12">
        <v>0</v>
      </c>
      <c r="L64" s="12">
        <v>0</v>
      </c>
      <c r="M64" s="12">
        <v>0</v>
      </c>
      <c r="N64" s="12">
        <v>0</v>
      </c>
      <c r="O64" s="12">
        <v>58.994444444444447</v>
      </c>
      <c r="P64" s="43">
        <v>5.9388888888888891</v>
      </c>
      <c r="R64" s="7"/>
      <c r="S64" s="7"/>
      <c r="T64" s="7"/>
      <c r="U64" s="7"/>
      <c r="V64" s="29"/>
      <c r="W64" s="7"/>
      <c r="X64" s="7"/>
      <c r="Y64" s="7"/>
      <c r="Z64" s="7"/>
      <c r="AA64" s="7"/>
      <c r="AB64" s="7"/>
      <c r="AC64" s="7"/>
      <c r="AD64" s="7"/>
      <c r="AE64" s="7"/>
    </row>
    <row r="65" spans="1:31" x14ac:dyDescent="0.25">
      <c r="A65" s="8" t="s">
        <v>91</v>
      </c>
      <c r="B65" s="9">
        <v>59.894444444444446</v>
      </c>
      <c r="C65" s="9">
        <v>51.055555555555557</v>
      </c>
      <c r="D65" s="9">
        <v>55.494444444444447</v>
      </c>
      <c r="E65" s="9">
        <v>43.405555555555559</v>
      </c>
      <c r="F65" s="9">
        <v>39.105555555555554</v>
      </c>
      <c r="G65" s="9">
        <v>25.977777777777778</v>
      </c>
      <c r="H65" s="9">
        <v>21.744444444444444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19.477777777777778</v>
      </c>
      <c r="P65" s="17">
        <v>1.8722222222222222</v>
      </c>
      <c r="R65" s="7"/>
      <c r="S65" s="7"/>
      <c r="T65" s="7"/>
      <c r="U65" s="7"/>
      <c r="V65" s="29"/>
      <c r="W65" s="7"/>
      <c r="X65" s="7"/>
      <c r="Y65" s="7"/>
      <c r="Z65" s="7"/>
      <c r="AA65" s="7"/>
      <c r="AB65" s="7"/>
      <c r="AC65" s="7"/>
      <c r="AD65" s="7"/>
      <c r="AE65" s="7"/>
    </row>
    <row r="66" spans="1:31" x14ac:dyDescent="0.25">
      <c r="A66" s="8" t="s">
        <v>21</v>
      </c>
      <c r="B66" s="9">
        <v>29.377777777777776</v>
      </c>
      <c r="C66" s="9">
        <v>26.011111111111113</v>
      </c>
      <c r="D66" s="9">
        <v>27</v>
      </c>
      <c r="E66" s="9">
        <v>22</v>
      </c>
      <c r="F66" s="9">
        <v>16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10.3</v>
      </c>
      <c r="P66" s="17">
        <v>0</v>
      </c>
      <c r="R66" s="7"/>
      <c r="S66" s="7"/>
      <c r="T66" s="7"/>
      <c r="U66" s="7"/>
      <c r="V66" s="29"/>
      <c r="W66" s="7"/>
      <c r="X66" s="7"/>
      <c r="Y66" s="7"/>
      <c r="Z66" s="7"/>
      <c r="AA66" s="7"/>
      <c r="AB66" s="7"/>
      <c r="AC66" s="7"/>
      <c r="AD66" s="7"/>
      <c r="AE66" s="7"/>
    </row>
    <row r="67" spans="1:31" x14ac:dyDescent="0.25">
      <c r="A67" s="8" t="s">
        <v>90</v>
      </c>
      <c r="B67" s="9">
        <v>76.87777777777778</v>
      </c>
      <c r="C67" s="9">
        <v>76.922222222222217</v>
      </c>
      <c r="D67" s="9">
        <v>77.55</v>
      </c>
      <c r="E67" s="9">
        <v>76.305555555555557</v>
      </c>
      <c r="F67" s="9">
        <v>76.733333333333334</v>
      </c>
      <c r="G67" s="9">
        <v>77.655555555555551</v>
      </c>
      <c r="H67" s="9">
        <v>100.98888888888889</v>
      </c>
      <c r="I67" s="9">
        <v>85.75555555555556</v>
      </c>
      <c r="J67" s="9">
        <v>81.161111111111111</v>
      </c>
      <c r="K67" s="9">
        <v>25.861111111111111</v>
      </c>
      <c r="L67" s="9">
        <v>0</v>
      </c>
      <c r="M67" s="9">
        <v>0</v>
      </c>
      <c r="N67" s="9">
        <v>0</v>
      </c>
      <c r="O67" s="9">
        <v>52.56666666666667</v>
      </c>
      <c r="P67" s="17">
        <v>5.7833333333333332</v>
      </c>
      <c r="R67" s="7"/>
      <c r="S67" s="7"/>
      <c r="T67" s="7"/>
      <c r="U67" s="7"/>
      <c r="V67" s="29"/>
      <c r="W67" s="7"/>
      <c r="X67" s="7"/>
      <c r="Y67" s="7"/>
      <c r="Z67" s="7"/>
      <c r="AA67" s="7"/>
      <c r="AB67" s="7"/>
      <c r="AC67" s="7"/>
      <c r="AD67" s="7"/>
      <c r="AE67" s="7"/>
    </row>
    <row r="68" spans="1:31" x14ac:dyDescent="0.25">
      <c r="A68" s="8" t="s">
        <v>35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39.466666666666669</v>
      </c>
      <c r="L68" s="9">
        <v>33.961111111111109</v>
      </c>
      <c r="M68" s="9">
        <v>33.955555555555556</v>
      </c>
      <c r="N68" s="9">
        <v>23.783333333333335</v>
      </c>
      <c r="O68" s="9">
        <v>11.172222222222222</v>
      </c>
      <c r="P68" s="17">
        <v>1.0055555555555555</v>
      </c>
      <c r="R68" s="7"/>
      <c r="S68" s="7"/>
      <c r="T68" s="7"/>
      <c r="U68" s="7"/>
      <c r="V68" s="29"/>
      <c r="W68" s="7"/>
      <c r="X68" s="7"/>
      <c r="Y68" s="7"/>
      <c r="Z68" s="7"/>
      <c r="AA68" s="7"/>
      <c r="AB68" s="7"/>
      <c r="AC68" s="7"/>
      <c r="AD68" s="7"/>
      <c r="AE68" s="7"/>
    </row>
    <row r="69" spans="1:31" x14ac:dyDescent="0.25">
      <c r="A69" s="11" t="s">
        <v>106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132.3388888888889</v>
      </c>
      <c r="N69" s="12">
        <v>109.75555555555556</v>
      </c>
      <c r="O69" s="12">
        <v>1</v>
      </c>
      <c r="P69" s="43">
        <v>0</v>
      </c>
      <c r="R69" s="7"/>
      <c r="S69" s="7"/>
      <c r="T69" s="7"/>
      <c r="U69" s="7"/>
      <c r="V69" s="29"/>
      <c r="W69" s="7"/>
      <c r="X69" s="7"/>
      <c r="Y69" s="7"/>
      <c r="Z69" s="7"/>
      <c r="AA69" s="7"/>
      <c r="AB69" s="7"/>
      <c r="AC69" s="7"/>
      <c r="AD69" s="7"/>
      <c r="AE69" s="7"/>
    </row>
    <row r="70" spans="1:31" x14ac:dyDescent="0.25">
      <c r="A70" s="8" t="s">
        <v>93</v>
      </c>
      <c r="B70" s="9">
        <v>20</v>
      </c>
      <c r="C70" s="9">
        <v>20.955555555555556</v>
      </c>
      <c r="D70" s="9">
        <v>21.005555555555556</v>
      </c>
      <c r="E70" s="9">
        <v>17.18888888888889</v>
      </c>
      <c r="F70" s="9">
        <v>21.93888888888889</v>
      </c>
      <c r="G70" s="9">
        <v>20.677777777777777</v>
      </c>
      <c r="H70" s="9">
        <v>21.011111111111113</v>
      </c>
      <c r="I70" s="9">
        <v>21.444444444444443</v>
      </c>
      <c r="J70" s="9">
        <v>15.005555555555556</v>
      </c>
      <c r="K70" s="9">
        <v>0</v>
      </c>
      <c r="L70" s="9">
        <v>0</v>
      </c>
      <c r="M70" s="9">
        <v>0</v>
      </c>
      <c r="N70" s="9">
        <v>0</v>
      </c>
      <c r="O70" s="9">
        <v>16.244444444444444</v>
      </c>
      <c r="P70" s="17">
        <v>3</v>
      </c>
      <c r="R70" s="7"/>
      <c r="S70" s="7"/>
      <c r="T70" s="7"/>
      <c r="U70" s="7"/>
      <c r="V70" s="29"/>
      <c r="W70" s="7"/>
      <c r="X70" s="7"/>
      <c r="Y70" s="7"/>
      <c r="Z70" s="7"/>
      <c r="AA70" s="7"/>
      <c r="AB70" s="7"/>
      <c r="AC70" s="7"/>
      <c r="AD70" s="7"/>
      <c r="AE70" s="7"/>
    </row>
    <row r="71" spans="1:31" x14ac:dyDescent="0.25">
      <c r="A71" s="8" t="s">
        <v>37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91.888888888888886</v>
      </c>
      <c r="J71" s="9">
        <v>89.6</v>
      </c>
      <c r="K71" s="9">
        <v>116.75</v>
      </c>
      <c r="L71" s="9">
        <v>118.5</v>
      </c>
      <c r="M71" s="9">
        <v>90.45</v>
      </c>
      <c r="N71" s="9">
        <v>60.727777777777774</v>
      </c>
      <c r="O71" s="9">
        <v>25.427777777777777</v>
      </c>
      <c r="P71" s="17">
        <v>0</v>
      </c>
      <c r="R71" s="7"/>
      <c r="S71" s="7"/>
      <c r="T71" s="7"/>
      <c r="U71" s="7"/>
      <c r="V71" s="29"/>
      <c r="W71" s="7"/>
      <c r="X71" s="7"/>
      <c r="Y71" s="7"/>
      <c r="Z71" s="7"/>
      <c r="AA71" s="7"/>
      <c r="AB71" s="7"/>
      <c r="AC71" s="7"/>
      <c r="AD71" s="7"/>
      <c r="AE71" s="7"/>
    </row>
    <row r="72" spans="1:31" x14ac:dyDescent="0.25">
      <c r="A72" s="8" t="s">
        <v>57</v>
      </c>
      <c r="B72" s="9">
        <v>76.805555555555557</v>
      </c>
      <c r="C72" s="9">
        <v>76.294444444444451</v>
      </c>
      <c r="D72" s="9">
        <v>97.522222222222226</v>
      </c>
      <c r="E72" s="9">
        <v>98.833333333333329</v>
      </c>
      <c r="F72" s="9">
        <v>95.938888888888883</v>
      </c>
      <c r="G72" s="9">
        <v>74.388888888888886</v>
      </c>
      <c r="H72" s="9">
        <v>70.150000000000006</v>
      </c>
      <c r="I72" s="9">
        <v>46.43888888888889</v>
      </c>
      <c r="J72" s="9">
        <v>47.18333333333333</v>
      </c>
      <c r="K72" s="9">
        <v>5.4666666666666668</v>
      </c>
      <c r="L72" s="9">
        <v>0</v>
      </c>
      <c r="M72" s="9">
        <v>0</v>
      </c>
      <c r="N72" s="9">
        <v>0</v>
      </c>
      <c r="O72" s="9">
        <v>68.216666666666669</v>
      </c>
      <c r="P72" s="17">
        <v>1</v>
      </c>
      <c r="R72" s="7"/>
      <c r="S72" s="7"/>
      <c r="T72" s="7"/>
      <c r="U72" s="7"/>
      <c r="V72" s="29"/>
      <c r="W72" s="7"/>
      <c r="X72" s="7"/>
      <c r="Y72" s="7"/>
      <c r="Z72" s="7"/>
      <c r="AA72" s="7"/>
      <c r="AB72" s="7"/>
      <c r="AC72" s="7"/>
      <c r="AD72" s="7"/>
      <c r="AE72" s="7"/>
    </row>
    <row r="73" spans="1:31" x14ac:dyDescent="0.25">
      <c r="A73" s="8" t="s">
        <v>63</v>
      </c>
      <c r="B73" s="9">
        <v>77.62222222222222</v>
      </c>
      <c r="C73" s="9">
        <v>73.961111111111109</v>
      </c>
      <c r="D73" s="9">
        <v>76.838888888888889</v>
      </c>
      <c r="E73" s="9">
        <v>75.666666666666671</v>
      </c>
      <c r="F73" s="9">
        <v>77</v>
      </c>
      <c r="G73" s="9">
        <v>75.477777777777774</v>
      </c>
      <c r="H73" s="9">
        <v>103.62222222222222</v>
      </c>
      <c r="I73" s="9">
        <v>91.138888888888886</v>
      </c>
      <c r="J73" s="9">
        <v>72.655555555555551</v>
      </c>
      <c r="K73" s="9">
        <v>53.511111111111113</v>
      </c>
      <c r="L73" s="9">
        <v>38.594444444444441</v>
      </c>
      <c r="M73" s="9">
        <v>23.1</v>
      </c>
      <c r="N73" s="9">
        <v>0</v>
      </c>
      <c r="O73" s="9">
        <v>59.866666666666667</v>
      </c>
      <c r="P73" s="17">
        <v>13</v>
      </c>
      <c r="R73" s="7"/>
      <c r="S73" s="7"/>
      <c r="T73" s="7"/>
      <c r="U73" s="7"/>
      <c r="V73" s="29"/>
      <c r="W73" s="7"/>
      <c r="X73" s="7"/>
      <c r="Y73" s="7"/>
      <c r="Z73" s="7"/>
      <c r="AA73" s="7"/>
      <c r="AB73" s="7"/>
      <c r="AC73" s="7"/>
      <c r="AD73" s="7"/>
      <c r="AE73" s="7"/>
    </row>
    <row r="74" spans="1:31" x14ac:dyDescent="0.25">
      <c r="A74" s="11" t="s">
        <v>69</v>
      </c>
      <c r="B74" s="12">
        <v>41.56111111111111</v>
      </c>
      <c r="C74" s="12">
        <v>104.12222222222222</v>
      </c>
      <c r="D74" s="12">
        <v>104.83888888888889</v>
      </c>
      <c r="E74" s="12">
        <v>77.644444444444446</v>
      </c>
      <c r="F74" s="12">
        <v>101.9</v>
      </c>
      <c r="G74" s="12">
        <v>86.944444444444443</v>
      </c>
      <c r="H74" s="12">
        <v>79.855555555555554</v>
      </c>
      <c r="I74" s="12">
        <v>32.855555555555554</v>
      </c>
      <c r="J74" s="12">
        <v>21.405555555555555</v>
      </c>
      <c r="K74" s="12">
        <v>17.022222222222222</v>
      </c>
      <c r="L74" s="12">
        <v>13.527777777777779</v>
      </c>
      <c r="M74" s="12">
        <v>2.3833333333333333</v>
      </c>
      <c r="N74" s="12">
        <v>0.91666666666666663</v>
      </c>
      <c r="O74" s="12">
        <v>43.716666666666669</v>
      </c>
      <c r="P74" s="43">
        <v>3.7111111111111112</v>
      </c>
      <c r="R74" s="7"/>
      <c r="S74" s="7"/>
      <c r="T74" s="7"/>
      <c r="U74" s="7"/>
      <c r="V74" s="29"/>
      <c r="W74" s="7"/>
      <c r="X74" s="7"/>
      <c r="Y74" s="7"/>
      <c r="Z74" s="7"/>
      <c r="AA74" s="7"/>
      <c r="AB74" s="7"/>
      <c r="AC74" s="7"/>
      <c r="AD74" s="7"/>
      <c r="AE74" s="7"/>
    </row>
    <row r="75" spans="1:31" x14ac:dyDescent="0.25">
      <c r="A75" s="8" t="s">
        <v>34</v>
      </c>
      <c r="B75" s="9">
        <v>47.905555555555559</v>
      </c>
      <c r="C75" s="9">
        <v>50.111111111111114</v>
      </c>
      <c r="D75" s="9">
        <v>50.93888888888889</v>
      </c>
      <c r="E75" s="9">
        <v>51.12777777777778</v>
      </c>
      <c r="F75" s="9">
        <v>53.605555555555554</v>
      </c>
      <c r="G75" s="9">
        <v>77.522222222222226</v>
      </c>
      <c r="H75" s="9">
        <v>79.87777777777778</v>
      </c>
      <c r="I75" s="9">
        <v>73.538888888888891</v>
      </c>
      <c r="J75" s="9">
        <v>74.588888888888889</v>
      </c>
      <c r="K75" s="9">
        <v>73.944444444444443</v>
      </c>
      <c r="L75" s="9">
        <v>0</v>
      </c>
      <c r="M75" s="9">
        <v>0</v>
      </c>
      <c r="N75" s="9">
        <v>0</v>
      </c>
      <c r="O75" s="9">
        <v>80.727777777777774</v>
      </c>
      <c r="P75" s="17">
        <v>3</v>
      </c>
      <c r="R75" s="7"/>
      <c r="S75" s="7"/>
      <c r="T75" s="7"/>
      <c r="U75" s="7"/>
      <c r="V75" s="29"/>
      <c r="W75" s="7"/>
      <c r="X75" s="7"/>
      <c r="Y75" s="7"/>
      <c r="Z75" s="7"/>
      <c r="AA75" s="7"/>
      <c r="AB75" s="7"/>
      <c r="AC75" s="7"/>
      <c r="AD75" s="7"/>
      <c r="AE75" s="7"/>
    </row>
    <row r="76" spans="1:31" x14ac:dyDescent="0.25">
      <c r="A76" s="8" t="s">
        <v>61</v>
      </c>
      <c r="B76" s="9">
        <v>65.63333333333334</v>
      </c>
      <c r="C76" s="9">
        <v>62.294444444444444</v>
      </c>
      <c r="D76" s="9">
        <v>66.111111111111114</v>
      </c>
      <c r="E76" s="9">
        <v>70.11666666666666</v>
      </c>
      <c r="F76" s="9">
        <v>72.216666666666669</v>
      </c>
      <c r="G76" s="9">
        <v>64.194444444444443</v>
      </c>
      <c r="H76" s="9">
        <v>26.65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39.31666666666667</v>
      </c>
      <c r="P76" s="17">
        <v>3.9055555555555554</v>
      </c>
      <c r="R76" s="7"/>
      <c r="S76" s="7"/>
      <c r="T76" s="7"/>
      <c r="U76" s="7"/>
      <c r="V76" s="29"/>
      <c r="W76" s="7"/>
      <c r="X76" s="7"/>
      <c r="Y76" s="7"/>
      <c r="Z76" s="7"/>
      <c r="AA76" s="7"/>
      <c r="AB76" s="7"/>
      <c r="AC76" s="7"/>
      <c r="AD76" s="7"/>
      <c r="AE76" s="7"/>
    </row>
    <row r="77" spans="1:31" x14ac:dyDescent="0.25">
      <c r="A77" s="8" t="s">
        <v>89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129.23888888888888</v>
      </c>
      <c r="L77" s="9">
        <v>103.31666666666666</v>
      </c>
      <c r="M77" s="9">
        <v>94.855555555555554</v>
      </c>
      <c r="N77" s="9">
        <v>37.672222222222224</v>
      </c>
      <c r="O77" s="9">
        <v>39.044444444444444</v>
      </c>
      <c r="P77" s="17">
        <v>12.311111111111112</v>
      </c>
      <c r="R77" s="7"/>
      <c r="S77" s="7"/>
      <c r="T77" s="7"/>
      <c r="U77" s="7"/>
      <c r="V77" s="29"/>
      <c r="W77" s="7"/>
      <c r="X77" s="7"/>
      <c r="Y77" s="7"/>
      <c r="Z77" s="7"/>
      <c r="AA77" s="7"/>
      <c r="AB77" s="7"/>
      <c r="AC77" s="7"/>
      <c r="AD77" s="7"/>
      <c r="AE77" s="7"/>
    </row>
    <row r="78" spans="1:31" x14ac:dyDescent="0.25">
      <c r="A78" s="8" t="s">
        <v>108</v>
      </c>
      <c r="B78" s="9">
        <v>19.372222222222224</v>
      </c>
      <c r="C78" s="9">
        <v>10.805555555555555</v>
      </c>
      <c r="D78" s="9">
        <v>5.6055555555555552</v>
      </c>
      <c r="E78" s="9">
        <v>8.2888888888888896</v>
      </c>
      <c r="F78" s="9">
        <v>8.6</v>
      </c>
      <c r="G78" s="9">
        <v>4.4333333333333336</v>
      </c>
      <c r="H78" s="9">
        <v>7.0944444444444441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4.5277777777777777</v>
      </c>
      <c r="P78" s="17">
        <v>0</v>
      </c>
      <c r="R78" s="7"/>
      <c r="S78" s="7"/>
      <c r="T78" s="7"/>
      <c r="U78" s="7"/>
      <c r="V78" s="29"/>
      <c r="W78" s="7"/>
      <c r="X78" s="7"/>
      <c r="Y78" s="7"/>
      <c r="Z78" s="7"/>
      <c r="AA78" s="7"/>
      <c r="AB78" s="7"/>
      <c r="AC78" s="7"/>
      <c r="AD78" s="7"/>
      <c r="AE78" s="7"/>
    </row>
    <row r="79" spans="1:31" x14ac:dyDescent="0.25">
      <c r="A79" s="11" t="s">
        <v>75</v>
      </c>
      <c r="B79" s="12">
        <v>74.527777777777771</v>
      </c>
      <c r="C79" s="12">
        <v>70.522222222222226</v>
      </c>
      <c r="D79" s="12">
        <v>74.327777777777783</v>
      </c>
      <c r="E79" s="12">
        <v>72.483333333333334</v>
      </c>
      <c r="F79" s="12">
        <v>69.74444444444444</v>
      </c>
      <c r="G79" s="12">
        <v>74.194444444444443</v>
      </c>
      <c r="H79" s="12">
        <v>70.62777777777778</v>
      </c>
      <c r="I79" s="12">
        <v>68.455555555555549</v>
      </c>
      <c r="J79" s="12">
        <v>70.288888888888891</v>
      </c>
      <c r="K79" s="12">
        <v>74.177777777777777</v>
      </c>
      <c r="L79" s="12">
        <v>0</v>
      </c>
      <c r="M79" s="12">
        <v>0</v>
      </c>
      <c r="N79" s="12">
        <v>0</v>
      </c>
      <c r="O79" s="12">
        <v>40.56111111111111</v>
      </c>
      <c r="P79" s="43">
        <v>20.894444444444446</v>
      </c>
      <c r="R79" s="7"/>
      <c r="S79" s="7"/>
      <c r="T79" s="7"/>
      <c r="U79" s="7"/>
      <c r="V79" s="29"/>
      <c r="W79" s="7"/>
      <c r="X79" s="7"/>
      <c r="Y79" s="7"/>
      <c r="Z79" s="7"/>
      <c r="AA79" s="7"/>
      <c r="AB79" s="7"/>
      <c r="AC79" s="7"/>
      <c r="AD79" s="7"/>
      <c r="AE79" s="7"/>
    </row>
    <row r="80" spans="1:31" x14ac:dyDescent="0.25">
      <c r="A80" s="8" t="s">
        <v>87</v>
      </c>
      <c r="B80" s="9">
        <v>74.00555555555556</v>
      </c>
      <c r="C80" s="9">
        <v>78.00555555555556</v>
      </c>
      <c r="D80" s="9">
        <v>79.183333333333337</v>
      </c>
      <c r="E80" s="9">
        <v>101.91111111111111</v>
      </c>
      <c r="F80" s="9">
        <v>79.905555555555551</v>
      </c>
      <c r="G80" s="9">
        <v>76.338888888888889</v>
      </c>
      <c r="H80" s="9">
        <v>96.294444444444451</v>
      </c>
      <c r="I80" s="9">
        <v>44.894444444444446</v>
      </c>
      <c r="J80" s="9">
        <v>35.394444444444446</v>
      </c>
      <c r="K80" s="9">
        <v>0</v>
      </c>
      <c r="L80" s="9">
        <v>0</v>
      </c>
      <c r="M80" s="9">
        <v>0</v>
      </c>
      <c r="N80" s="9">
        <v>0</v>
      </c>
      <c r="O80" s="9">
        <v>50.555555555555557</v>
      </c>
      <c r="P80" s="17">
        <v>7.9444444444444446</v>
      </c>
      <c r="R80" s="7"/>
      <c r="S80" s="7"/>
      <c r="T80" s="7"/>
      <c r="U80" s="7"/>
      <c r="V80" s="29"/>
      <c r="W80" s="7"/>
      <c r="X80" s="7"/>
      <c r="Y80" s="7"/>
      <c r="Z80" s="7"/>
      <c r="AA80" s="7"/>
      <c r="AB80" s="7"/>
      <c r="AC80" s="7"/>
      <c r="AD80" s="7"/>
      <c r="AE80" s="7"/>
    </row>
    <row r="81" spans="1:31" x14ac:dyDescent="0.25">
      <c r="A81" s="8" t="s">
        <v>98</v>
      </c>
      <c r="B81" s="9">
        <v>53.005555555555553</v>
      </c>
      <c r="C81" s="9">
        <v>78.844444444444449</v>
      </c>
      <c r="D81" s="9">
        <v>53.994444444444447</v>
      </c>
      <c r="E81" s="9">
        <v>53.833333333333336</v>
      </c>
      <c r="F81" s="9">
        <v>52.961111111111109</v>
      </c>
      <c r="G81" s="9">
        <v>53.15</v>
      </c>
      <c r="H81" s="9">
        <v>53.894444444444446</v>
      </c>
      <c r="I81" s="9">
        <v>48.927777777777777</v>
      </c>
      <c r="J81" s="9">
        <v>45.5</v>
      </c>
      <c r="K81" s="9">
        <v>22.038888888888888</v>
      </c>
      <c r="L81" s="9">
        <v>0</v>
      </c>
      <c r="M81" s="9">
        <v>0</v>
      </c>
      <c r="N81" s="9">
        <v>0</v>
      </c>
      <c r="O81" s="9">
        <v>43.511111111111113</v>
      </c>
      <c r="P81" s="17">
        <v>7</v>
      </c>
      <c r="R81" s="7"/>
      <c r="S81" s="7"/>
      <c r="T81" s="7"/>
      <c r="U81" s="7"/>
      <c r="V81" s="29"/>
      <c r="W81" s="7"/>
      <c r="X81" s="7"/>
      <c r="Y81" s="7"/>
      <c r="Z81" s="7"/>
      <c r="AA81" s="7"/>
      <c r="AB81" s="7"/>
      <c r="AC81" s="7"/>
      <c r="AD81" s="7"/>
      <c r="AE81" s="7"/>
    </row>
    <row r="82" spans="1:31" x14ac:dyDescent="0.25">
      <c r="A82" s="8" t="s">
        <v>126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149.26666666666668</v>
      </c>
      <c r="M82" s="9">
        <v>140.96111111111111</v>
      </c>
      <c r="N82" s="9">
        <v>91.516666666666666</v>
      </c>
      <c r="O82" s="9">
        <v>3</v>
      </c>
      <c r="P82" s="17">
        <v>0</v>
      </c>
      <c r="R82" s="7"/>
      <c r="S82" s="7"/>
      <c r="T82" s="7"/>
      <c r="U82" s="7"/>
      <c r="V82" s="29"/>
      <c r="W82" s="7"/>
      <c r="X82" s="7"/>
      <c r="Y82" s="7"/>
      <c r="Z82" s="7"/>
      <c r="AA82" s="7"/>
      <c r="AB82" s="7"/>
      <c r="AC82" s="7"/>
      <c r="AD82" s="7"/>
      <c r="AE82" s="7"/>
    </row>
    <row r="83" spans="1:31" x14ac:dyDescent="0.25">
      <c r="A83" s="8" t="s">
        <v>70</v>
      </c>
      <c r="B83" s="9">
        <v>79.63333333333334</v>
      </c>
      <c r="C83" s="9">
        <v>83.783333333333331</v>
      </c>
      <c r="D83" s="9">
        <v>80</v>
      </c>
      <c r="E83" s="9">
        <v>81.094444444444449</v>
      </c>
      <c r="F83" s="9">
        <v>83.7</v>
      </c>
      <c r="G83" s="9">
        <v>70.483333333333334</v>
      </c>
      <c r="H83" s="9">
        <v>66.62222222222222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45.705555555555556</v>
      </c>
      <c r="P83" s="17">
        <v>3</v>
      </c>
      <c r="R83" s="7"/>
      <c r="S83" s="7"/>
      <c r="T83" s="7"/>
      <c r="U83" s="7"/>
      <c r="V83" s="29"/>
      <c r="W83" s="7"/>
      <c r="X83" s="7"/>
      <c r="Y83" s="7"/>
      <c r="Z83" s="7"/>
      <c r="AA83" s="7"/>
      <c r="AB83" s="7"/>
      <c r="AC83" s="7"/>
      <c r="AD83" s="7"/>
      <c r="AE83" s="7"/>
    </row>
    <row r="84" spans="1:31" x14ac:dyDescent="0.25">
      <c r="A84" s="11" t="s">
        <v>107</v>
      </c>
      <c r="B84" s="12">
        <v>95.677777777777777</v>
      </c>
      <c r="C84" s="12">
        <v>101.4</v>
      </c>
      <c r="D84" s="12">
        <v>107.44444444444444</v>
      </c>
      <c r="E84" s="12">
        <v>102.78333333333333</v>
      </c>
      <c r="F84" s="12">
        <v>102.97222222222223</v>
      </c>
      <c r="G84" s="12">
        <v>101.45555555555555</v>
      </c>
      <c r="H84" s="12">
        <v>103.28333333333333</v>
      </c>
      <c r="I84" s="12">
        <v>85.166666666666671</v>
      </c>
      <c r="J84" s="12">
        <v>90.477777777777774</v>
      </c>
      <c r="K84" s="12">
        <v>64.094444444444449</v>
      </c>
      <c r="L84" s="12">
        <v>0</v>
      </c>
      <c r="M84" s="12">
        <v>0</v>
      </c>
      <c r="N84" s="12">
        <v>0</v>
      </c>
      <c r="O84" s="12">
        <v>64.166666666666671</v>
      </c>
      <c r="P84" s="43">
        <v>0</v>
      </c>
      <c r="R84" s="7"/>
      <c r="S84" s="7"/>
      <c r="T84" s="7"/>
      <c r="U84" s="7"/>
      <c r="V84" s="29"/>
      <c r="W84" s="7"/>
      <c r="X84" s="7"/>
      <c r="Y84" s="7"/>
      <c r="Z84" s="7"/>
      <c r="AA84" s="7"/>
      <c r="AB84" s="7"/>
      <c r="AC84" s="7"/>
      <c r="AD84" s="7"/>
      <c r="AE84" s="7"/>
    </row>
    <row r="85" spans="1:31" x14ac:dyDescent="0.25">
      <c r="A85" s="8" t="s">
        <v>62</v>
      </c>
      <c r="B85" s="9">
        <v>48.633333333333333</v>
      </c>
      <c r="C85" s="9">
        <v>50</v>
      </c>
      <c r="D85" s="9">
        <v>49.37777777777778</v>
      </c>
      <c r="E85" s="9">
        <v>51</v>
      </c>
      <c r="F85" s="9">
        <v>50</v>
      </c>
      <c r="G85" s="9">
        <v>50.611111111111114</v>
      </c>
      <c r="H85" s="9">
        <v>52</v>
      </c>
      <c r="I85" s="9">
        <v>51.538888888888891</v>
      </c>
      <c r="J85" s="9">
        <v>50.138888888888886</v>
      </c>
      <c r="K85" s="9">
        <v>51.75</v>
      </c>
      <c r="L85" s="9">
        <v>0</v>
      </c>
      <c r="M85" s="9">
        <v>0</v>
      </c>
      <c r="N85" s="9">
        <v>0</v>
      </c>
      <c r="O85" s="9">
        <v>46.327777777777776</v>
      </c>
      <c r="P85" s="17">
        <v>0</v>
      </c>
      <c r="R85" s="7"/>
      <c r="S85" s="7"/>
      <c r="T85" s="7"/>
      <c r="U85" s="7"/>
      <c r="V85" s="29"/>
      <c r="W85" s="7"/>
      <c r="X85" s="7"/>
      <c r="Y85" s="7"/>
      <c r="Z85" s="7"/>
      <c r="AA85" s="7"/>
      <c r="AB85" s="7"/>
      <c r="AC85" s="7"/>
      <c r="AD85" s="7"/>
      <c r="AE85" s="7"/>
    </row>
    <row r="86" spans="1:31" x14ac:dyDescent="0.25">
      <c r="A86" s="8" t="s">
        <v>19</v>
      </c>
      <c r="B86" s="9">
        <v>91.033333333333331</v>
      </c>
      <c r="C86" s="9">
        <v>57.911111111111111</v>
      </c>
      <c r="D86" s="9">
        <v>50.18333333333333</v>
      </c>
      <c r="E86" s="9">
        <v>59.583333333333336</v>
      </c>
      <c r="F86" s="9">
        <v>43.7</v>
      </c>
      <c r="G86" s="9">
        <v>66.11666666666666</v>
      </c>
      <c r="H86" s="9">
        <v>50.55</v>
      </c>
      <c r="I86" s="9">
        <v>25.255555555555556</v>
      </c>
      <c r="J86" s="9">
        <v>18.961111111111112</v>
      </c>
      <c r="K86" s="9">
        <v>0</v>
      </c>
      <c r="L86" s="9">
        <v>0</v>
      </c>
      <c r="M86" s="9">
        <v>0</v>
      </c>
      <c r="N86" s="9">
        <v>0</v>
      </c>
      <c r="O86" s="9">
        <v>39.761111111111113</v>
      </c>
      <c r="P86" s="17">
        <v>2.15</v>
      </c>
      <c r="R86" s="7"/>
      <c r="S86" s="7"/>
      <c r="T86" s="7"/>
      <c r="U86" s="7"/>
      <c r="V86" s="29"/>
      <c r="W86" s="7"/>
      <c r="X86" s="7"/>
      <c r="Y86" s="7"/>
      <c r="Z86" s="7"/>
      <c r="AA86" s="7"/>
      <c r="AB86" s="7"/>
      <c r="AC86" s="7"/>
      <c r="AD86" s="7"/>
      <c r="AE86" s="7"/>
    </row>
    <row r="87" spans="1:31" x14ac:dyDescent="0.25">
      <c r="A87" s="8" t="s">
        <v>68</v>
      </c>
      <c r="B87" s="9">
        <v>98.355555555555554</v>
      </c>
      <c r="C87" s="9">
        <v>98.45</v>
      </c>
      <c r="D87" s="9">
        <v>99.63333333333334</v>
      </c>
      <c r="E87" s="9">
        <v>99.933333333333337</v>
      </c>
      <c r="F87" s="9">
        <v>96.594444444444449</v>
      </c>
      <c r="G87" s="9">
        <v>104.14444444444445</v>
      </c>
      <c r="H87" s="9">
        <v>95.416666666666671</v>
      </c>
      <c r="I87" s="9">
        <v>104.93888888888888</v>
      </c>
      <c r="J87" s="9">
        <v>97.822222222222223</v>
      </c>
      <c r="K87" s="9">
        <v>66.955555555555549</v>
      </c>
      <c r="L87" s="9">
        <v>46.966666666666669</v>
      </c>
      <c r="M87" s="9">
        <v>0</v>
      </c>
      <c r="N87" s="9">
        <v>0</v>
      </c>
      <c r="O87" s="9">
        <v>90.87777777777778</v>
      </c>
      <c r="P87" s="17">
        <v>6.3555555555555552</v>
      </c>
      <c r="R87" s="7"/>
      <c r="S87" s="7"/>
      <c r="T87" s="7"/>
      <c r="U87" s="7"/>
      <c r="V87" s="29"/>
      <c r="W87" s="7"/>
      <c r="X87" s="7"/>
      <c r="Y87" s="7"/>
      <c r="Z87" s="7"/>
      <c r="AA87" s="7"/>
      <c r="AB87" s="7"/>
      <c r="AC87" s="7"/>
      <c r="AD87" s="7"/>
      <c r="AE87" s="7"/>
    </row>
    <row r="88" spans="1:31" x14ac:dyDescent="0.25">
      <c r="A88" s="8" t="s">
        <v>88</v>
      </c>
      <c r="B88" s="9">
        <v>60.861111111111114</v>
      </c>
      <c r="C88" s="9">
        <v>48.555555555555557</v>
      </c>
      <c r="D88" s="9">
        <v>65.344444444444449</v>
      </c>
      <c r="E88" s="9">
        <v>46</v>
      </c>
      <c r="F88" s="9">
        <v>47.988888888888887</v>
      </c>
      <c r="G88" s="9">
        <v>37.12222222222222</v>
      </c>
      <c r="H88" s="9">
        <v>20.122222222222224</v>
      </c>
      <c r="I88" s="9">
        <v>24.661111111111111</v>
      </c>
      <c r="J88" s="9">
        <v>21.81111111111111</v>
      </c>
      <c r="K88" s="9">
        <v>0</v>
      </c>
      <c r="L88" s="9">
        <v>0</v>
      </c>
      <c r="M88" s="9">
        <v>0</v>
      </c>
      <c r="N88" s="9">
        <v>0</v>
      </c>
      <c r="O88" s="9">
        <v>20.972222222222221</v>
      </c>
      <c r="P88" s="17">
        <v>14.416666666666666</v>
      </c>
      <c r="R88" s="7"/>
      <c r="S88" s="7"/>
      <c r="T88" s="7"/>
      <c r="U88" s="7"/>
      <c r="V88" s="29"/>
      <c r="W88" s="7"/>
      <c r="X88" s="7"/>
      <c r="Y88" s="7"/>
      <c r="Z88" s="7"/>
      <c r="AA88" s="7"/>
      <c r="AB88" s="7"/>
      <c r="AC88" s="7"/>
      <c r="AD88" s="7"/>
      <c r="AE88" s="7"/>
    </row>
    <row r="89" spans="1:31" x14ac:dyDescent="0.25">
      <c r="A89" s="11" t="s">
        <v>102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105.61666666666666</v>
      </c>
      <c r="L89" s="12">
        <v>102.40555555555555</v>
      </c>
      <c r="M89" s="12">
        <v>4</v>
      </c>
      <c r="N89" s="12">
        <v>0</v>
      </c>
      <c r="O89" s="12">
        <v>5.9611111111111112</v>
      </c>
      <c r="P89" s="43">
        <v>2.3944444444444444</v>
      </c>
      <c r="R89" s="7"/>
      <c r="S89" s="7"/>
      <c r="T89" s="7"/>
      <c r="U89" s="7"/>
      <c r="V89" s="29"/>
      <c r="W89" s="7"/>
      <c r="X89" s="7"/>
      <c r="Y89" s="7"/>
      <c r="Z89" s="7"/>
      <c r="AA89" s="7"/>
      <c r="AB89" s="7"/>
      <c r="AC89" s="7"/>
      <c r="AD89" s="7"/>
      <c r="AE89" s="7"/>
    </row>
    <row r="90" spans="1:31" x14ac:dyDescent="0.25">
      <c r="A90" s="8" t="s">
        <v>23</v>
      </c>
      <c r="B90" s="9">
        <v>68.783333333333331</v>
      </c>
      <c r="C90" s="9">
        <v>94.12222222222222</v>
      </c>
      <c r="D90" s="9">
        <v>99.561111111111117</v>
      </c>
      <c r="E90" s="9">
        <v>73.683333333333337</v>
      </c>
      <c r="F90" s="9">
        <v>69.12777777777778</v>
      </c>
      <c r="G90" s="9">
        <v>65.772222222222226</v>
      </c>
      <c r="H90" s="9">
        <v>75.25</v>
      </c>
      <c r="I90" s="9">
        <v>53</v>
      </c>
      <c r="J90" s="9">
        <v>39.522222222222226</v>
      </c>
      <c r="K90" s="9">
        <v>38.37777777777778</v>
      </c>
      <c r="L90" s="9">
        <v>0</v>
      </c>
      <c r="M90" s="9">
        <v>0</v>
      </c>
      <c r="N90" s="9">
        <v>0</v>
      </c>
      <c r="O90" s="9">
        <v>73.777777777777771</v>
      </c>
      <c r="P90" s="17">
        <v>2.5166666666666666</v>
      </c>
      <c r="R90" s="7"/>
      <c r="S90" s="7"/>
      <c r="T90" s="7"/>
      <c r="U90" s="7"/>
      <c r="V90" s="29"/>
      <c r="W90" s="7"/>
      <c r="X90" s="7"/>
      <c r="Y90" s="7"/>
      <c r="Z90" s="7"/>
      <c r="AA90" s="7"/>
      <c r="AB90" s="7"/>
      <c r="AC90" s="7"/>
      <c r="AD90" s="7"/>
      <c r="AE90" s="7"/>
    </row>
    <row r="91" spans="1:31" x14ac:dyDescent="0.25">
      <c r="A91" s="8" t="s">
        <v>99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141.79444444444445</v>
      </c>
      <c r="L91" s="9">
        <v>149.81666666666666</v>
      </c>
      <c r="M91" s="9">
        <v>126.57777777777778</v>
      </c>
      <c r="N91" s="9">
        <v>82.311111111111117</v>
      </c>
      <c r="O91" s="9">
        <v>45.594444444444441</v>
      </c>
      <c r="P91" s="17">
        <v>0</v>
      </c>
      <c r="R91" s="7"/>
      <c r="S91" s="7"/>
      <c r="T91" s="7"/>
      <c r="U91" s="7"/>
      <c r="V91" s="29"/>
      <c r="W91" s="7"/>
      <c r="X91" s="7"/>
      <c r="Y91" s="7"/>
      <c r="Z91" s="7"/>
      <c r="AA91" s="7"/>
      <c r="AB91" s="7"/>
      <c r="AC91" s="7"/>
      <c r="AD91" s="7"/>
      <c r="AE91" s="7"/>
    </row>
    <row r="92" spans="1:31" x14ac:dyDescent="0.25">
      <c r="A92" s="8" t="s">
        <v>82</v>
      </c>
      <c r="B92" s="9">
        <v>17.522222222222222</v>
      </c>
      <c r="C92" s="9">
        <v>35.305555555555557</v>
      </c>
      <c r="D92" s="9">
        <v>25.5</v>
      </c>
      <c r="E92" s="9">
        <v>29.361111111111111</v>
      </c>
      <c r="F92" s="9">
        <v>24.377777777777776</v>
      </c>
      <c r="G92" s="9">
        <v>39.055555555555557</v>
      </c>
      <c r="H92" s="9">
        <v>30.155555555555555</v>
      </c>
      <c r="I92" s="9">
        <v>40.477777777777774</v>
      </c>
      <c r="J92" s="9">
        <v>35.827777777777776</v>
      </c>
      <c r="K92" s="9">
        <v>29.927777777777777</v>
      </c>
      <c r="L92" s="9">
        <v>37.466666666666669</v>
      </c>
      <c r="M92" s="9">
        <v>32.427777777777777</v>
      </c>
      <c r="N92" s="9">
        <v>19.166666666666668</v>
      </c>
      <c r="O92" s="9">
        <v>59.988888888888887</v>
      </c>
      <c r="P92" s="17">
        <v>68.05</v>
      </c>
      <c r="R92" s="7"/>
      <c r="S92" s="7"/>
      <c r="T92" s="7"/>
      <c r="U92" s="7"/>
      <c r="V92" s="29"/>
      <c r="W92" s="7"/>
      <c r="X92" s="7"/>
      <c r="Y92" s="7"/>
      <c r="Z92" s="7"/>
      <c r="AA92" s="7"/>
      <c r="AB92" s="7"/>
      <c r="AC92" s="7"/>
      <c r="AD92" s="7"/>
      <c r="AE92" s="7"/>
    </row>
    <row r="93" spans="1:31" x14ac:dyDescent="0.25">
      <c r="A93" s="8" t="s">
        <v>101</v>
      </c>
      <c r="B93" s="9">
        <v>98.511111111111106</v>
      </c>
      <c r="C93" s="9">
        <v>99.811111111111117</v>
      </c>
      <c r="D93" s="9">
        <v>100.45</v>
      </c>
      <c r="E93" s="9">
        <v>98.916666666666671</v>
      </c>
      <c r="F93" s="9">
        <v>99.922222222222217</v>
      </c>
      <c r="G93" s="9">
        <v>99.666666666666671</v>
      </c>
      <c r="H93" s="9">
        <v>99.983333333333334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60.572222222222223</v>
      </c>
      <c r="P93" s="17">
        <v>0</v>
      </c>
      <c r="R93" s="7"/>
      <c r="S93" s="7"/>
      <c r="T93" s="7"/>
      <c r="U93" s="7"/>
      <c r="V93" s="29"/>
      <c r="W93" s="7"/>
      <c r="X93" s="7"/>
      <c r="Y93" s="7"/>
      <c r="Z93" s="7"/>
      <c r="AA93" s="7"/>
      <c r="AB93" s="7"/>
      <c r="AC93" s="7"/>
      <c r="AD93" s="7"/>
      <c r="AE93" s="7"/>
    </row>
    <row r="94" spans="1:31" x14ac:dyDescent="0.25">
      <c r="A94" s="11" t="s">
        <v>67</v>
      </c>
      <c r="B94" s="12">
        <v>66.150000000000006</v>
      </c>
      <c r="C94" s="12">
        <v>53.405555555555559</v>
      </c>
      <c r="D94" s="12">
        <v>57.733333333333334</v>
      </c>
      <c r="E94" s="12">
        <v>54.522222222222226</v>
      </c>
      <c r="F94" s="12">
        <v>52.166666666666664</v>
      </c>
      <c r="G94" s="12">
        <v>56</v>
      </c>
      <c r="H94" s="12">
        <v>32.93333333333333</v>
      </c>
      <c r="I94" s="12">
        <v>35.294444444444444</v>
      </c>
      <c r="J94" s="12">
        <v>9.5888888888888886</v>
      </c>
      <c r="K94" s="12">
        <v>0</v>
      </c>
      <c r="L94" s="12">
        <v>0</v>
      </c>
      <c r="M94" s="12">
        <v>0</v>
      </c>
      <c r="N94" s="12">
        <v>0</v>
      </c>
      <c r="O94" s="12">
        <v>45.783333333333331</v>
      </c>
      <c r="P94" s="43">
        <v>5</v>
      </c>
      <c r="R94" s="7"/>
      <c r="S94" s="7"/>
      <c r="T94" s="7"/>
      <c r="U94" s="7"/>
      <c r="V94" s="29"/>
      <c r="W94" s="7"/>
      <c r="X94" s="7"/>
      <c r="Y94" s="7"/>
      <c r="Z94" s="7"/>
      <c r="AA94" s="7"/>
      <c r="AB94" s="7"/>
      <c r="AC94" s="7"/>
      <c r="AD94" s="7"/>
      <c r="AE94" s="7"/>
    </row>
    <row r="95" spans="1:31" x14ac:dyDescent="0.25">
      <c r="A95" s="8" t="s">
        <v>22</v>
      </c>
      <c r="B95" s="9">
        <v>103.71666666666667</v>
      </c>
      <c r="C95" s="9">
        <v>100.77777777777777</v>
      </c>
      <c r="D95" s="9">
        <v>102.84444444444445</v>
      </c>
      <c r="E95" s="9">
        <v>92.283333333333331</v>
      </c>
      <c r="F95" s="9">
        <v>87.111111111111114</v>
      </c>
      <c r="G95" s="9">
        <v>76.977777777777774</v>
      </c>
      <c r="H95" s="9">
        <v>75.511111111111106</v>
      </c>
      <c r="I95" s="9">
        <v>22.022222222222222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78.588888888888889</v>
      </c>
      <c r="P95" s="17">
        <v>2.3277777777777779</v>
      </c>
      <c r="R95" s="7"/>
      <c r="S95" s="7"/>
      <c r="T95" s="7"/>
      <c r="U95" s="7"/>
      <c r="V95" s="29"/>
      <c r="W95" s="7"/>
      <c r="X95" s="7"/>
      <c r="Y95" s="7"/>
      <c r="Z95" s="7"/>
      <c r="AA95" s="7"/>
      <c r="AB95" s="7"/>
      <c r="AC95" s="7"/>
      <c r="AD95" s="7"/>
      <c r="AE95" s="7"/>
    </row>
    <row r="96" spans="1:31" x14ac:dyDescent="0.25">
      <c r="A96" s="8" t="s">
        <v>103</v>
      </c>
      <c r="B96" s="9">
        <v>50.527777777777779</v>
      </c>
      <c r="C96" s="9">
        <v>51.533333333333331</v>
      </c>
      <c r="D96" s="9">
        <v>50.738888888888887</v>
      </c>
      <c r="E96" s="9">
        <v>51.722222222222221</v>
      </c>
      <c r="F96" s="9">
        <v>51.088888888888889</v>
      </c>
      <c r="G96" s="9">
        <v>46.761111111111113</v>
      </c>
      <c r="H96" s="9">
        <v>47.616666666666667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43.083333333333336</v>
      </c>
      <c r="P96" s="17">
        <v>0</v>
      </c>
      <c r="R96" s="7"/>
      <c r="S96" s="7"/>
      <c r="T96" s="7"/>
      <c r="U96" s="7"/>
      <c r="V96" s="29"/>
      <c r="W96" s="7"/>
      <c r="X96" s="7"/>
      <c r="Y96" s="7"/>
      <c r="Z96" s="7"/>
      <c r="AA96" s="7"/>
      <c r="AB96" s="7"/>
      <c r="AC96" s="7"/>
      <c r="AD96" s="7"/>
      <c r="AE96" s="7"/>
    </row>
    <row r="97" spans="1:31" x14ac:dyDescent="0.25">
      <c r="A97" s="8" t="s">
        <v>74</v>
      </c>
      <c r="B97" s="9">
        <v>78.411111111111111</v>
      </c>
      <c r="C97" s="9">
        <v>76.75</v>
      </c>
      <c r="D97" s="9">
        <v>77.527777777777771</v>
      </c>
      <c r="E97" s="9">
        <v>75.022222222222226</v>
      </c>
      <c r="F97" s="9">
        <v>76.283333333333331</v>
      </c>
      <c r="G97" s="9">
        <v>76.016666666666666</v>
      </c>
      <c r="H97" s="9">
        <v>76.277777777777771</v>
      </c>
      <c r="I97" s="9">
        <v>62.988888888888887</v>
      </c>
      <c r="J97" s="9">
        <v>65.25555555555556</v>
      </c>
      <c r="K97" s="9">
        <v>0</v>
      </c>
      <c r="L97" s="9">
        <v>0</v>
      </c>
      <c r="M97" s="9">
        <v>0</v>
      </c>
      <c r="N97" s="9">
        <v>0</v>
      </c>
      <c r="O97" s="9">
        <v>92.55</v>
      </c>
      <c r="P97" s="17">
        <v>3</v>
      </c>
      <c r="R97" s="7"/>
      <c r="S97" s="7"/>
      <c r="T97" s="7"/>
      <c r="U97" s="7"/>
      <c r="V97" s="29"/>
      <c r="W97" s="7"/>
      <c r="X97" s="7"/>
      <c r="Y97" s="7"/>
      <c r="Z97" s="7"/>
      <c r="AA97" s="7"/>
      <c r="AB97" s="7"/>
      <c r="AC97" s="7"/>
      <c r="AD97" s="7"/>
      <c r="AE97" s="7"/>
    </row>
    <row r="98" spans="1:31" x14ac:dyDescent="0.25">
      <c r="A98" s="8" t="s">
        <v>20</v>
      </c>
      <c r="B98" s="9">
        <v>74.511111111111106</v>
      </c>
      <c r="C98" s="9">
        <v>75.650000000000006</v>
      </c>
      <c r="D98" s="9">
        <v>70.911111111111111</v>
      </c>
      <c r="E98" s="9">
        <v>73.966666666666669</v>
      </c>
      <c r="F98" s="9">
        <v>73.805555555555557</v>
      </c>
      <c r="G98" s="9">
        <v>74.283333333333331</v>
      </c>
      <c r="H98" s="9">
        <v>70.716666666666669</v>
      </c>
      <c r="I98" s="9">
        <v>54.366666666666667</v>
      </c>
      <c r="J98" s="9">
        <v>34.466666666666669</v>
      </c>
      <c r="K98" s="9">
        <v>22</v>
      </c>
      <c r="L98" s="9">
        <v>0</v>
      </c>
      <c r="M98" s="9">
        <v>0</v>
      </c>
      <c r="N98" s="9">
        <v>0</v>
      </c>
      <c r="O98" s="9">
        <v>33.966666666666669</v>
      </c>
      <c r="P98" s="17">
        <v>11.994444444444444</v>
      </c>
      <c r="R98" s="7"/>
      <c r="S98" s="7"/>
      <c r="T98" s="7"/>
      <c r="U98" s="7"/>
      <c r="V98" s="29"/>
      <c r="W98" s="7"/>
      <c r="X98" s="7"/>
      <c r="Y98" s="7"/>
      <c r="Z98" s="7"/>
      <c r="AA98" s="7"/>
      <c r="AB98" s="7"/>
      <c r="AC98" s="7"/>
      <c r="AD98" s="7"/>
      <c r="AE98" s="7"/>
    </row>
    <row r="99" spans="1:31" x14ac:dyDescent="0.25">
      <c r="A99" s="11" t="s">
        <v>38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125.30555555555556</v>
      </c>
      <c r="J99" s="12">
        <v>102.27777777777777</v>
      </c>
      <c r="K99" s="12">
        <v>56.955555555555556</v>
      </c>
      <c r="L99" s="12">
        <v>44.927777777777777</v>
      </c>
      <c r="M99" s="12">
        <v>40.422222222222224</v>
      </c>
      <c r="N99" s="12">
        <v>36.661111111111111</v>
      </c>
      <c r="O99" s="12">
        <v>46.838888888888889</v>
      </c>
      <c r="P99" s="43">
        <v>18.149999999999999</v>
      </c>
      <c r="R99" s="7"/>
      <c r="S99" s="7"/>
      <c r="T99" s="7"/>
      <c r="U99" s="7"/>
      <c r="V99" s="29"/>
      <c r="W99" s="7"/>
      <c r="X99" s="7"/>
      <c r="Y99" s="7"/>
      <c r="Z99" s="7"/>
      <c r="AA99" s="7"/>
      <c r="AB99" s="7"/>
      <c r="AC99" s="7"/>
      <c r="AD99" s="7"/>
      <c r="AE99" s="7"/>
    </row>
    <row r="100" spans="1:31" x14ac:dyDescent="0.25">
      <c r="A100" s="8" t="s">
        <v>96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79.055555555555557</v>
      </c>
      <c r="H100" s="9">
        <v>77.788888888888891</v>
      </c>
      <c r="I100" s="9">
        <v>76.766666666666666</v>
      </c>
      <c r="J100" s="9">
        <v>67.37777777777778</v>
      </c>
      <c r="K100" s="9">
        <v>0</v>
      </c>
      <c r="L100" s="9">
        <v>0</v>
      </c>
      <c r="M100" s="9">
        <v>0</v>
      </c>
      <c r="N100" s="9">
        <v>0</v>
      </c>
      <c r="O100" s="9">
        <v>17.372222222222224</v>
      </c>
      <c r="P100" s="17">
        <v>5.5555555555555558E-3</v>
      </c>
      <c r="R100" s="7"/>
      <c r="S100" s="7"/>
      <c r="T100" s="7"/>
      <c r="U100" s="7"/>
      <c r="V100" s="29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x14ac:dyDescent="0.25">
      <c r="A101" s="8" t="s">
        <v>60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64.094444444444449</v>
      </c>
      <c r="I101" s="9">
        <v>83.6</v>
      </c>
      <c r="J101" s="9">
        <v>58.677777777777777</v>
      </c>
      <c r="K101" s="9">
        <v>60.06111111111111</v>
      </c>
      <c r="L101" s="9">
        <v>20.6</v>
      </c>
      <c r="M101" s="9">
        <v>0</v>
      </c>
      <c r="N101" s="9">
        <v>0</v>
      </c>
      <c r="O101" s="9">
        <v>29.988888888888887</v>
      </c>
      <c r="P101" s="17">
        <v>0</v>
      </c>
      <c r="R101" s="7"/>
      <c r="S101" s="7"/>
      <c r="T101" s="7"/>
      <c r="U101" s="7"/>
      <c r="V101" s="29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x14ac:dyDescent="0.25">
      <c r="A102" s="8" t="s">
        <v>76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49.255555555555553</v>
      </c>
      <c r="L102" s="9">
        <v>45.37222222222222</v>
      </c>
      <c r="M102" s="9">
        <v>46.005555555555553</v>
      </c>
      <c r="N102" s="9">
        <v>33.105555555555554</v>
      </c>
      <c r="O102" s="9">
        <v>10.811111111111112</v>
      </c>
      <c r="P102" s="17">
        <v>0.3</v>
      </c>
      <c r="R102" s="7"/>
      <c r="S102" s="7"/>
      <c r="T102" s="7"/>
      <c r="U102" s="7"/>
      <c r="V102" s="29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x14ac:dyDescent="0.25">
      <c r="A103" s="8" t="s">
        <v>85</v>
      </c>
      <c r="B103" s="9">
        <v>42.594444444444441</v>
      </c>
      <c r="C103" s="9">
        <v>28.861111111111111</v>
      </c>
      <c r="D103" s="9">
        <v>31.872222222222224</v>
      </c>
      <c r="E103" s="9">
        <v>25.31111111111111</v>
      </c>
      <c r="F103" s="9">
        <v>28.877777777777776</v>
      </c>
      <c r="G103" s="9">
        <v>28.127777777777776</v>
      </c>
      <c r="H103" s="9">
        <v>18.644444444444446</v>
      </c>
      <c r="I103" s="9">
        <v>11.344444444444445</v>
      </c>
      <c r="J103" s="9">
        <v>3.3666666666666667</v>
      </c>
      <c r="K103" s="9">
        <v>0</v>
      </c>
      <c r="L103" s="9">
        <v>0</v>
      </c>
      <c r="M103" s="9">
        <v>0</v>
      </c>
      <c r="N103" s="9">
        <v>0</v>
      </c>
      <c r="O103" s="9">
        <v>26.072222222222223</v>
      </c>
      <c r="P103" s="17">
        <v>0</v>
      </c>
      <c r="R103" s="7"/>
      <c r="S103" s="7"/>
      <c r="T103" s="7"/>
      <c r="U103" s="7"/>
      <c r="V103" s="29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x14ac:dyDescent="0.25">
      <c r="A104" s="11" t="s">
        <v>49</v>
      </c>
      <c r="B104" s="12">
        <v>25.444444444444443</v>
      </c>
      <c r="C104" s="12">
        <v>24.111111111111111</v>
      </c>
      <c r="D104" s="12">
        <v>25.68888888888889</v>
      </c>
      <c r="E104" s="12">
        <v>27.483333333333334</v>
      </c>
      <c r="F104" s="12">
        <v>27.683333333333334</v>
      </c>
      <c r="G104" s="12">
        <v>29.005555555555556</v>
      </c>
      <c r="H104" s="12">
        <v>28.305555555555557</v>
      </c>
      <c r="I104" s="12">
        <v>38.633333333333333</v>
      </c>
      <c r="J104" s="12">
        <v>24.56111111111111</v>
      </c>
      <c r="K104" s="12">
        <v>28.85</v>
      </c>
      <c r="L104" s="12">
        <v>19.711111111111112</v>
      </c>
      <c r="M104" s="12">
        <v>0</v>
      </c>
      <c r="N104" s="12">
        <v>0</v>
      </c>
      <c r="O104" s="12">
        <v>229.35</v>
      </c>
      <c r="P104" s="43">
        <v>22.466666666666665</v>
      </c>
      <c r="R104" s="7"/>
      <c r="S104" s="7"/>
      <c r="T104" s="7"/>
      <c r="U104" s="7"/>
      <c r="V104" s="29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x14ac:dyDescent="0.25">
      <c r="A105" s="8" t="s">
        <v>110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49.138888888888886</v>
      </c>
      <c r="L105" s="9">
        <v>106.43333333333334</v>
      </c>
      <c r="M105" s="9">
        <v>85.13333333333334</v>
      </c>
      <c r="N105" s="9">
        <v>85.983333333333334</v>
      </c>
      <c r="O105" s="9">
        <v>1</v>
      </c>
      <c r="P105" s="17">
        <v>0</v>
      </c>
      <c r="R105" s="7"/>
      <c r="S105" s="7"/>
      <c r="T105" s="7"/>
      <c r="U105" s="7"/>
      <c r="V105" s="29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x14ac:dyDescent="0.25">
      <c r="A106" s="8" t="s">
        <v>84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1.8333333333333333</v>
      </c>
      <c r="K106" s="9">
        <v>9.4499999999999993</v>
      </c>
      <c r="L106" s="9">
        <v>10</v>
      </c>
      <c r="M106" s="9">
        <v>15.911111111111111</v>
      </c>
      <c r="N106" s="9">
        <v>5.1222222222222218</v>
      </c>
      <c r="O106" s="9">
        <v>1.8111111111111111</v>
      </c>
      <c r="P106" s="17">
        <v>2.2111111111111112</v>
      </c>
      <c r="R106" s="7"/>
      <c r="S106" s="7"/>
      <c r="T106" s="7"/>
      <c r="U106" s="7"/>
      <c r="V106" s="29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x14ac:dyDescent="0.25">
      <c r="A107" s="8" t="s">
        <v>105</v>
      </c>
      <c r="B107" s="9">
        <v>99.055555555555557</v>
      </c>
      <c r="C107" s="9">
        <v>104.76111111111111</v>
      </c>
      <c r="D107" s="9">
        <v>103.84444444444445</v>
      </c>
      <c r="E107" s="9">
        <v>104.01111111111111</v>
      </c>
      <c r="F107" s="9">
        <v>102.71111111111111</v>
      </c>
      <c r="G107" s="9">
        <v>103.44444444444444</v>
      </c>
      <c r="H107" s="9">
        <v>126.37222222222222</v>
      </c>
      <c r="I107" s="9">
        <v>126.61111111111111</v>
      </c>
      <c r="J107" s="9">
        <v>112.95555555555555</v>
      </c>
      <c r="K107" s="9">
        <v>0</v>
      </c>
      <c r="L107" s="9">
        <v>0</v>
      </c>
      <c r="M107" s="9">
        <v>0</v>
      </c>
      <c r="N107" s="9">
        <v>0</v>
      </c>
      <c r="O107" s="9">
        <v>66.766666666666666</v>
      </c>
      <c r="P107" s="17">
        <v>5.666666666666667</v>
      </c>
      <c r="R107" s="7"/>
      <c r="S107" s="7"/>
      <c r="T107" s="7"/>
      <c r="U107" s="7"/>
      <c r="V107" s="29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x14ac:dyDescent="0.25">
      <c r="A108" s="8" t="s">
        <v>79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144.67222222222222</v>
      </c>
      <c r="L108" s="9">
        <v>25.022222222222222</v>
      </c>
      <c r="M108" s="9">
        <v>0</v>
      </c>
      <c r="N108" s="9">
        <v>0</v>
      </c>
      <c r="O108" s="9">
        <v>20.5</v>
      </c>
      <c r="P108" s="17">
        <v>0</v>
      </c>
      <c r="R108" s="7"/>
      <c r="S108" s="7"/>
      <c r="T108" s="7"/>
      <c r="U108" s="7"/>
      <c r="V108" s="29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x14ac:dyDescent="0.25">
      <c r="A109" s="11" t="s">
        <v>58</v>
      </c>
      <c r="B109" s="12">
        <v>108.77222222222223</v>
      </c>
      <c r="C109" s="12">
        <v>105.40555555555555</v>
      </c>
      <c r="D109" s="12">
        <v>104.99444444444444</v>
      </c>
      <c r="E109" s="12">
        <v>105.05555555555556</v>
      </c>
      <c r="F109" s="12">
        <v>105.23333333333333</v>
      </c>
      <c r="G109" s="12">
        <v>108.43888888888888</v>
      </c>
      <c r="H109" s="12">
        <v>125.76666666666667</v>
      </c>
      <c r="I109" s="12">
        <v>94.022222222222226</v>
      </c>
      <c r="J109" s="12">
        <v>85.916666666666671</v>
      </c>
      <c r="K109" s="12">
        <v>43.705555555555556</v>
      </c>
      <c r="L109" s="12">
        <v>0</v>
      </c>
      <c r="M109" s="12">
        <v>0</v>
      </c>
      <c r="N109" s="12">
        <v>0</v>
      </c>
      <c r="O109" s="12">
        <v>70.566666666666663</v>
      </c>
      <c r="P109" s="43">
        <v>4.6611111111111114</v>
      </c>
      <c r="R109" s="7"/>
      <c r="S109" s="7"/>
      <c r="T109" s="7"/>
      <c r="U109" s="7"/>
      <c r="V109" s="29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x14ac:dyDescent="0.25">
      <c r="A110" s="8" t="s">
        <v>94</v>
      </c>
      <c r="B110" s="9">
        <v>153.13888888888889</v>
      </c>
      <c r="C110" s="9">
        <v>140.82222222222222</v>
      </c>
      <c r="D110" s="9">
        <v>138.63888888888889</v>
      </c>
      <c r="E110" s="9">
        <v>113.31111111111112</v>
      </c>
      <c r="F110" s="9">
        <v>141.84444444444443</v>
      </c>
      <c r="G110" s="9">
        <v>102.14444444444445</v>
      </c>
      <c r="H110" s="9">
        <v>102.57222222222222</v>
      </c>
      <c r="I110" s="9">
        <v>86.577777777777783</v>
      </c>
      <c r="J110" s="9">
        <v>100.97222222222223</v>
      </c>
      <c r="K110" s="9">
        <v>17.944444444444443</v>
      </c>
      <c r="L110" s="9">
        <v>0</v>
      </c>
      <c r="M110" s="9">
        <v>0</v>
      </c>
      <c r="N110" s="9">
        <v>0</v>
      </c>
      <c r="O110" s="9">
        <v>95.1</v>
      </c>
      <c r="P110" s="17">
        <v>32.294444444444444</v>
      </c>
      <c r="R110" s="7"/>
      <c r="S110" s="7"/>
      <c r="T110" s="7"/>
      <c r="U110" s="7"/>
      <c r="V110" s="29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x14ac:dyDescent="0.25">
      <c r="A111" s="8" t="s">
        <v>95</v>
      </c>
      <c r="B111" s="9">
        <v>49.68888888888889</v>
      </c>
      <c r="C111" s="9">
        <v>49.555555555555557</v>
      </c>
      <c r="D111" s="9">
        <v>50</v>
      </c>
      <c r="E111" s="9">
        <v>49.155555555555559</v>
      </c>
      <c r="F111" s="9">
        <v>51</v>
      </c>
      <c r="G111" s="9">
        <v>50</v>
      </c>
      <c r="H111" s="9">
        <v>52.55</v>
      </c>
      <c r="I111" s="9">
        <v>32.799999999999997</v>
      </c>
      <c r="J111" s="9">
        <v>35.31666666666667</v>
      </c>
      <c r="K111" s="9">
        <v>0</v>
      </c>
      <c r="L111" s="9">
        <v>0</v>
      </c>
      <c r="M111" s="9">
        <v>0</v>
      </c>
      <c r="N111" s="9">
        <v>0</v>
      </c>
      <c r="O111" s="9">
        <v>12.244444444444444</v>
      </c>
      <c r="P111" s="17">
        <v>0</v>
      </c>
      <c r="R111" s="7"/>
      <c r="S111" s="7"/>
      <c r="T111" s="7"/>
      <c r="U111" s="7"/>
      <c r="V111" s="29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x14ac:dyDescent="0.25">
      <c r="A112" s="8" t="s">
        <v>122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71.233333333333334</v>
      </c>
      <c r="L112" s="9">
        <v>86.411111111111111</v>
      </c>
      <c r="M112" s="9">
        <v>68.594444444444449</v>
      </c>
      <c r="N112" s="9">
        <v>54.68888888888889</v>
      </c>
      <c r="O112" s="9">
        <v>24.661111111111111</v>
      </c>
      <c r="P112" s="17">
        <v>0</v>
      </c>
      <c r="R112" s="7"/>
      <c r="S112" s="7"/>
      <c r="T112" s="7"/>
      <c r="U112" s="7"/>
      <c r="V112" s="29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x14ac:dyDescent="0.25">
      <c r="A113" s="8" t="s">
        <v>92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15.433333333333334</v>
      </c>
      <c r="L113" s="9">
        <v>15.016666666666667</v>
      </c>
      <c r="M113" s="9">
        <v>10.983333333333333</v>
      </c>
      <c r="N113" s="9">
        <v>7.9833333333333334</v>
      </c>
      <c r="O113" s="9">
        <v>12.95</v>
      </c>
      <c r="P113" s="17">
        <v>0</v>
      </c>
      <c r="R113" s="7"/>
      <c r="S113" s="7"/>
      <c r="T113" s="7"/>
      <c r="U113" s="7"/>
      <c r="V113" s="29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x14ac:dyDescent="0.25">
      <c r="A114" s="11" t="s">
        <v>121</v>
      </c>
      <c r="B114" s="12">
        <v>0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131.00555555555556</v>
      </c>
      <c r="M114" s="12">
        <v>126.69444444444444</v>
      </c>
      <c r="N114" s="12">
        <v>98.25555555555556</v>
      </c>
      <c r="O114" s="12">
        <v>4.4888888888888889</v>
      </c>
      <c r="P114" s="43">
        <v>0</v>
      </c>
      <c r="R114" s="7"/>
      <c r="S114" s="7"/>
      <c r="T114" s="7"/>
      <c r="U114" s="7"/>
      <c r="V114" s="29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x14ac:dyDescent="0.25">
      <c r="A115" s="8" t="s">
        <v>66</v>
      </c>
      <c r="B115" s="9">
        <v>139.32222222222222</v>
      </c>
      <c r="C115" s="9">
        <v>106.58888888888889</v>
      </c>
      <c r="D115" s="9">
        <v>135.84444444444443</v>
      </c>
      <c r="E115" s="9">
        <v>131.78888888888889</v>
      </c>
      <c r="F115" s="9">
        <v>142.6888888888889</v>
      </c>
      <c r="G115" s="9">
        <v>164.4</v>
      </c>
      <c r="H115" s="9">
        <v>172.12222222222223</v>
      </c>
      <c r="I115" s="9">
        <v>211.83333333333334</v>
      </c>
      <c r="J115" s="9">
        <v>248.72777777777779</v>
      </c>
      <c r="K115" s="9">
        <v>205</v>
      </c>
      <c r="L115" s="9">
        <v>114.36666666666666</v>
      </c>
      <c r="M115" s="9">
        <v>91.266666666666666</v>
      </c>
      <c r="N115" s="9">
        <v>33.538888888888891</v>
      </c>
      <c r="O115" s="9">
        <v>197.9111111111111</v>
      </c>
      <c r="P115" s="17">
        <v>9.7333333333333325</v>
      </c>
      <c r="R115" s="7"/>
      <c r="S115" s="7"/>
      <c r="T115" s="7"/>
      <c r="U115" s="7"/>
      <c r="V115" s="29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x14ac:dyDescent="0.25">
      <c r="A116" s="8" t="s">
        <v>51</v>
      </c>
      <c r="B116" s="9">
        <v>49.288888888888891</v>
      </c>
      <c r="C116" s="9">
        <v>47.95</v>
      </c>
      <c r="D116" s="9">
        <v>49.005555555555553</v>
      </c>
      <c r="E116" s="9">
        <v>48.8</v>
      </c>
      <c r="F116" s="9">
        <v>50.05</v>
      </c>
      <c r="G116" s="9">
        <v>44.955555555555556</v>
      </c>
      <c r="H116" s="9">
        <v>48.25</v>
      </c>
      <c r="I116" s="9">
        <v>46.861111111111114</v>
      </c>
      <c r="J116" s="9">
        <v>39.06666666666667</v>
      </c>
      <c r="K116" s="9">
        <v>30.9</v>
      </c>
      <c r="L116" s="9">
        <v>0</v>
      </c>
      <c r="M116" s="9">
        <v>0</v>
      </c>
      <c r="N116" s="9">
        <v>0</v>
      </c>
      <c r="O116" s="9">
        <v>34.905555555555559</v>
      </c>
      <c r="P116" s="17">
        <v>7.2333333333333334</v>
      </c>
      <c r="R116" s="7"/>
      <c r="S116" s="7"/>
      <c r="T116" s="7"/>
      <c r="U116" s="7"/>
      <c r="V116" s="29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x14ac:dyDescent="0.25">
      <c r="A117" s="8" t="s">
        <v>39</v>
      </c>
      <c r="B117" s="9">
        <v>87.277777777777771</v>
      </c>
      <c r="C117" s="9">
        <v>104</v>
      </c>
      <c r="D117" s="9">
        <v>76.522222222222226</v>
      </c>
      <c r="E117" s="9">
        <v>86.205555555555549</v>
      </c>
      <c r="F117" s="9">
        <v>87.36666666666666</v>
      </c>
      <c r="G117" s="9">
        <v>105.76666666666667</v>
      </c>
      <c r="H117" s="9">
        <v>85.955555555555549</v>
      </c>
      <c r="I117" s="9">
        <v>80.161111111111111</v>
      </c>
      <c r="J117" s="9">
        <v>35.077777777777776</v>
      </c>
      <c r="K117" s="9">
        <v>0</v>
      </c>
      <c r="L117" s="9">
        <v>0</v>
      </c>
      <c r="M117" s="9">
        <v>0</v>
      </c>
      <c r="N117" s="9">
        <v>0</v>
      </c>
      <c r="O117" s="9">
        <v>60.81111111111111</v>
      </c>
      <c r="P117" s="17">
        <v>38.027777777777779</v>
      </c>
      <c r="R117" s="7"/>
      <c r="S117" s="7"/>
      <c r="T117" s="7"/>
      <c r="U117" s="7"/>
      <c r="V117" s="29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x14ac:dyDescent="0.25">
      <c r="A118" s="8" t="s">
        <v>80</v>
      </c>
      <c r="B118" s="9">
        <v>42.088888888888889</v>
      </c>
      <c r="C118" s="9">
        <v>27.522222222222222</v>
      </c>
      <c r="D118" s="9">
        <v>28.233333333333334</v>
      </c>
      <c r="E118" s="9">
        <v>14.083333333333334</v>
      </c>
      <c r="F118" s="9">
        <v>26.68888888888889</v>
      </c>
      <c r="G118" s="9">
        <v>21.183333333333334</v>
      </c>
      <c r="H118" s="9">
        <v>21.411111111111111</v>
      </c>
      <c r="I118" s="9">
        <v>18.833333333333332</v>
      </c>
      <c r="J118" s="9">
        <v>24.638888888888889</v>
      </c>
      <c r="K118" s="9">
        <v>25.288888888888888</v>
      </c>
      <c r="L118" s="9">
        <v>21.816666666666666</v>
      </c>
      <c r="M118" s="9">
        <v>21.505555555555556</v>
      </c>
      <c r="N118" s="9">
        <v>20.5</v>
      </c>
      <c r="O118" s="9">
        <v>54.81666666666667</v>
      </c>
      <c r="P118" s="17">
        <v>1.7555555555555555</v>
      </c>
      <c r="R118" s="7"/>
      <c r="S118" s="7"/>
      <c r="T118" s="7"/>
      <c r="U118" s="7"/>
      <c r="V118" s="29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x14ac:dyDescent="0.25">
      <c r="A119" s="8" t="s">
        <v>56</v>
      </c>
      <c r="B119" s="9">
        <v>50</v>
      </c>
      <c r="C119" s="9">
        <v>51</v>
      </c>
      <c r="D119" s="9">
        <v>49.87222222222222</v>
      </c>
      <c r="E119" s="9">
        <v>51.8</v>
      </c>
      <c r="F119" s="9">
        <v>49.922222222222224</v>
      </c>
      <c r="G119" s="9">
        <v>70.533333333333331</v>
      </c>
      <c r="H119" s="9">
        <v>49.194444444444443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30.505555555555556</v>
      </c>
      <c r="P119" s="17">
        <v>0.9</v>
      </c>
      <c r="R119" s="7"/>
      <c r="S119" s="7"/>
      <c r="T119" s="7"/>
      <c r="U119" s="7"/>
      <c r="V119" s="29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ht="15.75" thickBot="1" x14ac:dyDescent="0.3">
      <c r="A120" s="14" t="s">
        <v>72</v>
      </c>
      <c r="B120" s="15">
        <v>74.022222222222226</v>
      </c>
      <c r="C120" s="15">
        <v>68.938888888888883</v>
      </c>
      <c r="D120" s="15">
        <v>59.694444444444443</v>
      </c>
      <c r="E120" s="15">
        <v>62.861111111111114</v>
      </c>
      <c r="F120" s="15">
        <v>67.338888888888889</v>
      </c>
      <c r="G120" s="15">
        <v>46.81111111111111</v>
      </c>
      <c r="H120" s="15">
        <v>48.68333333333333</v>
      </c>
      <c r="I120" s="15">
        <v>37.677777777777777</v>
      </c>
      <c r="J120" s="15">
        <v>37.105555555555554</v>
      </c>
      <c r="K120" s="15">
        <v>0</v>
      </c>
      <c r="L120" s="15">
        <v>0</v>
      </c>
      <c r="M120" s="15">
        <v>0</v>
      </c>
      <c r="N120" s="15">
        <v>0</v>
      </c>
      <c r="O120" s="15">
        <v>48.244444444444447</v>
      </c>
      <c r="P120" s="18">
        <v>13.572222222222223</v>
      </c>
      <c r="R120" s="7"/>
      <c r="S120" s="7"/>
      <c r="T120" s="7"/>
      <c r="U120" s="7"/>
      <c r="V120" s="29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ht="16.5" thickTop="1" thickBot="1" x14ac:dyDescent="0.3">
      <c r="A121" s="19" t="s">
        <v>123</v>
      </c>
      <c r="B121" s="23">
        <f>SUM(B45:B120)</f>
        <v>3667.3888888888891</v>
      </c>
      <c r="C121" s="23">
        <f t="shared" ref="C121:O121" si="1">SUM(C45:C120)</f>
        <v>3648.6944444444448</v>
      </c>
      <c r="D121" s="23">
        <f t="shared" si="1"/>
        <v>3622.7111111111103</v>
      </c>
      <c r="E121" s="23">
        <f t="shared" si="1"/>
        <v>3538.155555555556</v>
      </c>
      <c r="F121" s="23">
        <f t="shared" si="1"/>
        <v>3549.5055555555568</v>
      </c>
      <c r="G121" s="23">
        <f t="shared" si="1"/>
        <v>3525.9833333333336</v>
      </c>
      <c r="H121" s="23">
        <f t="shared" si="1"/>
        <v>3479.1833333333338</v>
      </c>
      <c r="I121" s="23">
        <f t="shared" si="1"/>
        <v>3105.2722222222224</v>
      </c>
      <c r="J121" s="23">
        <f t="shared" si="1"/>
        <v>2815.8944444444446</v>
      </c>
      <c r="K121" s="23">
        <f t="shared" si="1"/>
        <v>2572.1499999999992</v>
      </c>
      <c r="L121" s="23">
        <f t="shared" si="1"/>
        <v>1911.8555555555552</v>
      </c>
      <c r="M121" s="23">
        <f t="shared" si="1"/>
        <v>1634.4666666666665</v>
      </c>
      <c r="N121" s="23">
        <f t="shared" si="1"/>
        <v>1225.4055555555556</v>
      </c>
      <c r="O121" s="23">
        <f t="shared" si="1"/>
        <v>3674.0000000000009</v>
      </c>
      <c r="P121" s="30">
        <f>SUM(P45:P120)</f>
        <v>449.27777777777771</v>
      </c>
    </row>
    <row r="122" spans="1:31" s="33" customFormat="1" ht="15.75" thickBot="1" x14ac:dyDescent="0.3">
      <c r="A122" s="32" t="s">
        <v>124</v>
      </c>
      <c r="B122" s="23">
        <f>B44</f>
        <v>43410.888888888891</v>
      </c>
      <c r="C122" s="23">
        <f t="shared" ref="C122:P122" si="2">C44</f>
        <v>44346.461111111115</v>
      </c>
      <c r="D122" s="23">
        <f t="shared" si="2"/>
        <v>43598.855555555558</v>
      </c>
      <c r="E122" s="23">
        <f t="shared" si="2"/>
        <v>42185.177777777782</v>
      </c>
      <c r="F122" s="23">
        <f t="shared" si="2"/>
        <v>41572.233333333344</v>
      </c>
      <c r="G122" s="23">
        <f t="shared" si="2"/>
        <v>41208.677777777782</v>
      </c>
      <c r="H122" s="23">
        <f t="shared" si="2"/>
        <v>40198.400000000016</v>
      </c>
      <c r="I122" s="23">
        <f t="shared" si="2"/>
        <v>39476.48333333333</v>
      </c>
      <c r="J122" s="23">
        <f t="shared" si="2"/>
        <v>38020.411111111112</v>
      </c>
      <c r="K122" s="23">
        <f t="shared" si="2"/>
        <v>37398.25</v>
      </c>
      <c r="L122" s="23">
        <f t="shared" si="2"/>
        <v>37402.422222222238</v>
      </c>
      <c r="M122" s="23">
        <f t="shared" si="2"/>
        <v>35842.35</v>
      </c>
      <c r="N122" s="23">
        <f t="shared" si="2"/>
        <v>33149.872222222228</v>
      </c>
      <c r="O122" s="23">
        <f t="shared" si="2"/>
        <v>45623.011111111096</v>
      </c>
      <c r="P122" s="24">
        <f t="shared" si="2"/>
        <v>13955.455555555558</v>
      </c>
    </row>
    <row r="123" spans="1:31" ht="15.75" thickBot="1" x14ac:dyDescent="0.3">
      <c r="A123" s="20" t="s">
        <v>54</v>
      </c>
      <c r="B123" s="21">
        <v>0.52777777777777779</v>
      </c>
      <c r="C123" s="21">
        <v>0.3611111111111111</v>
      </c>
      <c r="D123" s="21">
        <v>0.51111111111111107</v>
      </c>
      <c r="E123" s="21">
        <v>0.18333333333333332</v>
      </c>
      <c r="F123" s="21">
        <v>1.3611111111111112</v>
      </c>
      <c r="G123" s="21">
        <v>0.26111111111111113</v>
      </c>
      <c r="H123" s="21">
        <v>0.18333333333333332</v>
      </c>
      <c r="I123" s="21">
        <v>0.23333333333333334</v>
      </c>
      <c r="J123" s="21">
        <v>0.33333333333333331</v>
      </c>
      <c r="K123" s="21">
        <v>0.29444444444444445</v>
      </c>
      <c r="L123" s="21">
        <v>0.37777777777777777</v>
      </c>
      <c r="M123" s="21">
        <v>0.66111111111111109</v>
      </c>
      <c r="N123" s="21">
        <v>1.3388888888888888</v>
      </c>
      <c r="O123" s="21">
        <v>239.30555555555554</v>
      </c>
      <c r="P123" s="22">
        <v>0.99444444444444446</v>
      </c>
    </row>
    <row r="124" spans="1:31" s="35" customFormat="1" ht="16.5" thickTop="1" thickBot="1" x14ac:dyDescent="0.3">
      <c r="A124" s="34" t="s">
        <v>125</v>
      </c>
      <c r="B124" s="25">
        <f>SUM(B121:B123)</f>
        <v>47078.805555555562</v>
      </c>
      <c r="C124" s="25">
        <f t="shared" ref="C124:P124" si="3">SUM(C121:C123)</f>
        <v>47995.51666666667</v>
      </c>
      <c r="D124" s="25">
        <f t="shared" si="3"/>
        <v>47222.077777777777</v>
      </c>
      <c r="E124" s="25">
        <f t="shared" si="3"/>
        <v>45723.51666666667</v>
      </c>
      <c r="F124" s="25">
        <f t="shared" si="3"/>
        <v>45123.100000000013</v>
      </c>
      <c r="G124" s="25">
        <f t="shared" si="3"/>
        <v>44734.922222222223</v>
      </c>
      <c r="H124" s="25">
        <f t="shared" si="3"/>
        <v>43677.766666666685</v>
      </c>
      <c r="I124" s="25">
        <f t="shared" si="3"/>
        <v>42581.988888888882</v>
      </c>
      <c r="J124" s="25">
        <f t="shared" si="3"/>
        <v>40836.638888888891</v>
      </c>
      <c r="K124" s="25">
        <f t="shared" si="3"/>
        <v>39970.694444444445</v>
      </c>
      <c r="L124" s="25">
        <f t="shared" si="3"/>
        <v>39314.655555555575</v>
      </c>
      <c r="M124" s="25">
        <f t="shared" si="3"/>
        <v>37477.477777777778</v>
      </c>
      <c r="N124" s="25">
        <f t="shared" si="3"/>
        <v>34376.616666666669</v>
      </c>
      <c r="O124" s="25">
        <f t="shared" si="3"/>
        <v>49536.316666666651</v>
      </c>
      <c r="P124" s="26">
        <f t="shared" si="3"/>
        <v>14405.72777777778</v>
      </c>
    </row>
    <row r="125" spans="1:31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 s="31"/>
    </row>
    <row r="126" spans="1:3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 s="31"/>
    </row>
    <row r="127" spans="1:31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 s="31"/>
    </row>
    <row r="128" spans="1:3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 s="31"/>
    </row>
    <row r="129" spans="1:16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 s="31"/>
    </row>
    <row r="130" spans="1:16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 s="31"/>
    </row>
    <row r="131" spans="1:16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 s="31"/>
    </row>
    <row r="132" spans="1:16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 s="31"/>
    </row>
    <row r="133" spans="1:16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 s="31"/>
    </row>
    <row r="134" spans="1:16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 s="31"/>
    </row>
    <row r="135" spans="1:16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 s="31"/>
    </row>
    <row r="136" spans="1:16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 s="31"/>
    </row>
    <row r="137" spans="1:16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 s="31"/>
    </row>
    <row r="138" spans="1:16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 s="31"/>
    </row>
    <row r="139" spans="1:16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 s="31"/>
    </row>
    <row r="140" spans="1:16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 s="31"/>
    </row>
    <row r="141" spans="1:16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 s="31"/>
    </row>
    <row r="142" spans="1:16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 s="31"/>
    </row>
    <row r="143" spans="1:16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 s="31"/>
    </row>
    <row r="144" spans="1:16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 s="31"/>
    </row>
    <row r="145" spans="1:16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 s="31"/>
    </row>
    <row r="146" spans="1:16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 s="31"/>
    </row>
    <row r="147" spans="1:16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 s="31"/>
    </row>
    <row r="148" spans="1:16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 s="31"/>
    </row>
    <row r="149" spans="1:16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 s="31"/>
    </row>
    <row r="150" spans="1:16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 s="31"/>
    </row>
    <row r="151" spans="1:16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 s="31"/>
    </row>
    <row r="152" spans="1:16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 s="31"/>
    </row>
    <row r="153" spans="1:16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 s="31"/>
    </row>
    <row r="154" spans="1:16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 s="31"/>
    </row>
    <row r="155" spans="1:16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 s="31"/>
    </row>
    <row r="156" spans="1:16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 s="31"/>
    </row>
    <row r="157" spans="1:16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 s="31"/>
    </row>
    <row r="158" spans="1:16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 s="31"/>
    </row>
    <row r="159" spans="1:16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 s="31"/>
    </row>
    <row r="160" spans="1:16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 s="31"/>
    </row>
    <row r="161" spans="1:16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 s="31"/>
    </row>
    <row r="162" spans="1:16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 s="31"/>
    </row>
    <row r="163" spans="1:16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 s="31"/>
    </row>
    <row r="164" spans="1:16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 s="31"/>
    </row>
    <row r="165" spans="1:16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 s="31"/>
    </row>
    <row r="166" spans="1:16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 s="31"/>
    </row>
    <row r="167" spans="1:16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 s="31"/>
    </row>
    <row r="168" spans="1:16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 s="31"/>
    </row>
    <row r="169" spans="1:16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 s="31"/>
    </row>
    <row r="170" spans="1:16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 s="31"/>
    </row>
    <row r="171" spans="1:16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 s="31"/>
    </row>
  </sheetData>
  <mergeCells count="1">
    <mergeCell ref="O1:P1"/>
  </mergeCells>
  <pageMargins left="0.7" right="0.54031249999999997" top="0.75" bottom="0.75" header="0.3" footer="0.3"/>
  <pageSetup scale="91" orientation="landscape" r:id="rId1"/>
  <headerFooter>
    <oddHeader>&amp;C&amp;"-,Bold"Average Daily Membership (ADM) by District, FY 2011</oddHeader>
    <oddFooter>&amp;LData Source: USOE Warehouse
Data and Statistics</oddFooter>
  </headerFooter>
  <rowBreaks count="3" manualBreakCount="3">
    <brk id="44" max="16383" man="1"/>
    <brk id="74" max="16383" man="1"/>
    <brk id="109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YE2011_LEA_Totals_20110708</vt:lpstr>
      <vt:lpstr>YE2011_LEA_Totals_20110708!Print_Titles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Campbell, Kristin</dc:creator>
  <cp:lastModifiedBy>Joey DeFilippis</cp:lastModifiedBy>
  <cp:lastPrinted>2011-12-14T15:32:02Z</cp:lastPrinted>
  <dcterms:created xsi:type="dcterms:W3CDTF">2011-11-25T21:49:27Z</dcterms:created>
  <dcterms:modified xsi:type="dcterms:W3CDTF">2011-12-14T15:57:17Z</dcterms:modified>
</cp:coreProperties>
</file>