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0455" yWindow="0" windowWidth="8790" windowHeight="11490"/>
  </bookViews>
  <sheets>
    <sheet name="CVC by Year and Quarter" sheetId="1" r:id="rId1"/>
    <sheet name="Corporate VC Sectors" sheetId="5" r:id="rId2"/>
    <sheet name="Clean Tech &amp; Corporate VC" sheetId="6" r:id="rId3"/>
    <sheet name="Corporate VC Deal Stages" sheetId="7" r:id="rId4"/>
  </sheets>
  <externalReferences>
    <externalReference r:id="rId5"/>
  </externalReferences>
  <definedNames>
    <definedName name="million">'[1]Total US by Qtr &amp; Year'!$A$3</definedName>
    <definedName name="_xlnm.Print_Area" localSheetId="3">'Corporate VC Deal Stages'!$A$1:$J$11</definedName>
    <definedName name="_xlnm.Print_Area" localSheetId="0">'CVC by Year and Quarter'!$A$1:$I$52</definedName>
  </definedNames>
  <calcPr calcId="125725"/>
</workbook>
</file>

<file path=xl/calcChain.xml><?xml version="1.0" encoding="utf-8"?>
<calcChain xmlns="http://schemas.openxmlformats.org/spreadsheetml/2006/main">
  <c r="E13" i="6"/>
  <c r="B13"/>
  <c r="E6"/>
  <c r="B6"/>
  <c r="C8" s="1"/>
  <c r="C4" i="7"/>
  <c r="I20" i="5"/>
  <c r="I19"/>
  <c r="I18"/>
  <c r="I17"/>
  <c r="I16"/>
  <c r="I15"/>
  <c r="I14"/>
  <c r="I13"/>
  <c r="I12"/>
  <c r="I11"/>
  <c r="I10"/>
  <c r="I9"/>
  <c r="I8"/>
  <c r="I7"/>
  <c r="I6"/>
  <c r="I5"/>
  <c r="F20"/>
  <c r="F19"/>
  <c r="F18"/>
  <c r="F17"/>
  <c r="F16"/>
  <c r="F15"/>
  <c r="F14"/>
  <c r="F13"/>
  <c r="F12"/>
  <c r="F11"/>
  <c r="F10"/>
  <c r="F9"/>
  <c r="F8"/>
  <c r="F7"/>
  <c r="F6"/>
  <c r="I50" i="1"/>
  <c r="F50"/>
  <c r="E50"/>
  <c r="D50"/>
  <c r="I49"/>
  <c r="I48"/>
  <c r="I47"/>
  <c r="I46"/>
  <c r="I45"/>
  <c r="I44"/>
  <c r="I43"/>
  <c r="I42"/>
  <c r="I41"/>
  <c r="I40"/>
  <c r="F49"/>
  <c r="E49"/>
  <c r="F48"/>
  <c r="E48"/>
  <c r="F47"/>
  <c r="E47"/>
  <c r="F46"/>
  <c r="E46"/>
  <c r="F45"/>
  <c r="E45"/>
  <c r="D49"/>
  <c r="D48"/>
  <c r="D47"/>
  <c r="D46"/>
  <c r="D45"/>
  <c r="D44"/>
  <c r="D43"/>
  <c r="D42"/>
  <c r="D41"/>
  <c r="D40"/>
  <c r="D39"/>
  <c r="D38"/>
  <c r="D37"/>
  <c r="D36"/>
  <c r="D35"/>
  <c r="G8" i="7"/>
  <c r="E8"/>
  <c r="D8"/>
  <c r="B8"/>
  <c r="J7"/>
  <c r="I7"/>
  <c r="H7"/>
  <c r="F7"/>
  <c r="C7"/>
  <c r="J6"/>
  <c r="I6"/>
  <c r="H6"/>
  <c r="F6"/>
  <c r="C6"/>
  <c r="J5"/>
  <c r="I5"/>
  <c r="H5"/>
  <c r="F5"/>
  <c r="C5"/>
  <c r="J4"/>
  <c r="I4"/>
  <c r="H4"/>
  <c r="F4"/>
  <c r="E14" i="6"/>
  <c r="B14"/>
  <c r="B15"/>
  <c r="F8"/>
  <c r="F4" i="5"/>
  <c r="C20"/>
  <c r="C19"/>
  <c r="C18"/>
  <c r="C17"/>
  <c r="C15"/>
  <c r="C14"/>
  <c r="C13"/>
  <c r="C12"/>
  <c r="C11"/>
  <c r="C10"/>
  <c r="C9"/>
  <c r="C8"/>
  <c r="C7"/>
  <c r="C6"/>
  <c r="C5"/>
  <c r="C4"/>
  <c r="F44" i="1"/>
  <c r="E44"/>
  <c r="F43"/>
  <c r="E43"/>
  <c r="F42"/>
  <c r="E42"/>
  <c r="F41"/>
  <c r="E41"/>
  <c r="F40"/>
  <c r="E40"/>
  <c r="F39"/>
  <c r="E39"/>
  <c r="F38"/>
  <c r="E38"/>
  <c r="F37"/>
  <c r="E37"/>
  <c r="F36"/>
  <c r="E36"/>
  <c r="F35"/>
  <c r="E35"/>
  <c r="F34"/>
  <c r="E34"/>
  <c r="F33"/>
  <c r="E33"/>
  <c r="F32"/>
  <c r="E32"/>
  <c r="F31"/>
  <c r="E31"/>
  <c r="F30"/>
  <c r="E30"/>
  <c r="F29"/>
  <c r="E29"/>
  <c r="F28"/>
  <c r="E28"/>
  <c r="F27"/>
  <c r="E27"/>
  <c r="F20"/>
  <c r="F19"/>
  <c r="F18"/>
  <c r="F17"/>
  <c r="F16"/>
  <c r="F15"/>
  <c r="F14"/>
  <c r="F13"/>
  <c r="F12"/>
  <c r="F11"/>
  <c r="F10"/>
  <c r="F9"/>
  <c r="F8"/>
  <c r="F7"/>
  <c r="F6"/>
  <c r="F5"/>
  <c r="F4"/>
  <c r="F3"/>
  <c r="E20"/>
  <c r="E19"/>
  <c r="E18"/>
  <c r="E17"/>
  <c r="E16"/>
  <c r="E15"/>
  <c r="E14"/>
  <c r="E13"/>
  <c r="E12"/>
  <c r="E11"/>
  <c r="E10"/>
  <c r="E9"/>
  <c r="E8"/>
  <c r="E7"/>
  <c r="E6"/>
  <c r="E5"/>
  <c r="E4"/>
  <c r="E3"/>
  <c r="A14" i="6"/>
  <c r="J20" i="5"/>
  <c r="J19"/>
  <c r="J18"/>
  <c r="J17"/>
  <c r="J15"/>
  <c r="J14"/>
  <c r="J13"/>
  <c r="J12"/>
  <c r="J11"/>
  <c r="J10"/>
  <c r="J9"/>
  <c r="J8"/>
  <c r="J7"/>
  <c r="J6"/>
  <c r="J5"/>
  <c r="J4"/>
  <c r="I4"/>
  <c r="I20" i="1"/>
  <c r="D20"/>
  <c r="D8" i="6"/>
  <c r="D7"/>
  <c r="G21" i="5"/>
  <c r="H21" s="1"/>
  <c r="E21"/>
  <c r="D21"/>
  <c r="B21"/>
  <c r="I19" i="1"/>
  <c r="D19"/>
  <c r="D18"/>
  <c r="I39"/>
  <c r="I38"/>
  <c r="I37"/>
  <c r="I36"/>
  <c r="I35"/>
  <c r="I34"/>
  <c r="I33"/>
  <c r="I32"/>
  <c r="I31"/>
  <c r="I30"/>
  <c r="I29"/>
  <c r="I28"/>
  <c r="I27"/>
  <c r="D34"/>
  <c r="D33"/>
  <c r="D32"/>
  <c r="D31"/>
  <c r="D30"/>
  <c r="D29"/>
  <c r="D28"/>
  <c r="D27"/>
  <c r="I18"/>
  <c r="I17"/>
  <c r="I16"/>
  <c r="I15"/>
  <c r="I14"/>
  <c r="I13"/>
  <c r="I12"/>
  <c r="I11"/>
  <c r="I10"/>
  <c r="I9"/>
  <c r="I8"/>
  <c r="I7"/>
  <c r="I6"/>
  <c r="I5"/>
  <c r="I4"/>
  <c r="I3"/>
  <c r="D17"/>
  <c r="D16"/>
  <c r="D15"/>
  <c r="D14"/>
  <c r="D13"/>
  <c r="D12"/>
  <c r="D11"/>
  <c r="D10"/>
  <c r="D9"/>
  <c r="D8"/>
  <c r="D7"/>
  <c r="D6"/>
  <c r="D5"/>
  <c r="D4"/>
  <c r="D3"/>
  <c r="J21" i="5" l="1"/>
  <c r="I8" i="7"/>
  <c r="C8"/>
  <c r="J8"/>
  <c r="E15" i="6"/>
  <c r="F8" i="7"/>
  <c r="H8"/>
  <c r="F21" i="5"/>
  <c r="H4"/>
  <c r="C21"/>
  <c r="I21"/>
  <c r="H6"/>
  <c r="H8"/>
  <c r="H10"/>
  <c r="H12"/>
  <c r="H14"/>
  <c r="H18"/>
  <c r="H20"/>
  <c r="H5"/>
  <c r="H7"/>
  <c r="H9"/>
  <c r="H11"/>
  <c r="H13"/>
  <c r="H15"/>
  <c r="H17"/>
  <c r="H19"/>
  <c r="C7" i="6"/>
  <c r="C6"/>
  <c r="G8"/>
  <c r="G7"/>
  <c r="F6"/>
  <c r="F7"/>
</calcChain>
</file>

<file path=xl/sharedStrings.xml><?xml version="1.0" encoding="utf-8"?>
<sst xmlns="http://schemas.openxmlformats.org/spreadsheetml/2006/main" count="129" uniqueCount="107">
  <si>
    <t>Year</t>
  </si>
  <si>
    <t>Count of All Venture Capital Deals</t>
  </si>
  <si>
    <t>Number of Deals with CVC Involvement</t>
  </si>
  <si>
    <t>Calculated Percentage of Deals with Corporate VC Involvement</t>
  </si>
  <si>
    <t>$M Average Amount of CVC Participation</t>
  </si>
  <si>
    <t>Total VC Investment $M</t>
  </si>
  <si>
    <t>Total CVC Investment $M</t>
  </si>
  <si>
    <t>Calculated Percentage of Dollars Coming from CVCs</t>
  </si>
  <si>
    <t>$M Average Amount of All VC Deals</t>
  </si>
  <si>
    <t>Source:  PricewaterhouseCoopers/National Venture Capital Association MoneyTree™ Report, Data:  Thomson Reuters</t>
  </si>
  <si>
    <t>Recent Quarters</t>
  </si>
  <si>
    <t>1995</t>
  </si>
  <si>
    <t>1996</t>
  </si>
  <si>
    <t>1997</t>
  </si>
  <si>
    <t>1998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</si>
  <si>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</si>
  <si>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</si>
  <si>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</si>
  <si>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</si>
  <si>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</si>
  <si>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</si>
  <si>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</si>
  <si>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</si>
  <si>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</si>
  <si>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MoneyTree Sector</t>
  </si>
  <si>
    <t>Total # Sector Deals</t>
  </si>
  <si>
    <t>Average $M Per Deal</t>
  </si>
  <si>
    <t># Deals with CVC Participation</t>
  </si>
  <si>
    <t>Avg. CVC investment in Those Rounds Participated In</t>
  </si>
  <si>
    <t>$ CVC Investment</t>
  </si>
  <si>
    <t>Biotechnology</t>
  </si>
  <si>
    <t>Business Products and Services</t>
  </si>
  <si>
    <t>Computers and Peripherals</t>
  </si>
  <si>
    <t>Consumer Products and Services</t>
  </si>
  <si>
    <t>Electronics/Instrumentation</t>
  </si>
  <si>
    <t>Financial Services</t>
  </si>
  <si>
    <t>Healthcare Services</t>
  </si>
  <si>
    <t>Industrial/Energy</t>
  </si>
  <si>
    <t>IT Services</t>
  </si>
  <si>
    <t>Media and Entertainment</t>
  </si>
  <si>
    <t>Medical Devices and Equipment</t>
  </si>
  <si>
    <t>Networking and Equipment</t>
  </si>
  <si>
    <t>Retailing/Distribution</t>
  </si>
  <si>
    <t>Semiconductors</t>
  </si>
  <si>
    <t>Software</t>
  </si>
  <si>
    <t>Telecommunications</t>
  </si>
  <si>
    <t>Total $M Invested in that Sector by All VC Types</t>
  </si>
  <si>
    <t>1999</t>
  </si>
  <si>
    <t>2000</t>
  </si>
  <si>
    <t>2010</t>
  </si>
  <si>
    <t>All sectors - US Venture Capital</t>
  </si>
  <si>
    <t>Total # Deals</t>
  </si>
  <si>
    <t>% of Total Deals</t>
  </si>
  <si>
    <t>$M Invested</t>
  </si>
  <si>
    <t>% of Total Investment</t>
  </si>
  <si>
    <t xml:space="preserve">  </t>
  </si>
  <si>
    <t>% of Clean Tech deals</t>
  </si>
  <si>
    <t>% of Clean Tech $</t>
  </si>
  <si>
    <t>Q1 2007</t>
  </si>
  <si>
    <t>Q2 2007</t>
  </si>
  <si>
    <t>Q3 2007</t>
  </si>
  <si>
    <t>Q4 2007</t>
  </si>
  <si>
    <t>Q1 2008</t>
  </si>
  <si>
    <t>Q2 2008</t>
  </si>
  <si>
    <t>Q3 2008</t>
  </si>
  <si>
    <t>Q4 2008</t>
  </si>
  <si>
    <t>Q1 2009</t>
  </si>
  <si>
    <t>Q2 2009</t>
  </si>
  <si>
    <t>Q3 2009</t>
  </si>
  <si>
    <t>Q4 2009</t>
  </si>
  <si>
    <t>Q1 2010</t>
  </si>
  <si>
    <t>Q2 2010</t>
  </si>
  <si>
    <t>Q3 2010</t>
  </si>
  <si>
    <t>Q4 2010</t>
  </si>
  <si>
    <t>Q1 2011</t>
  </si>
  <si>
    <t>Q2 2011</t>
  </si>
  <si>
    <t>Q3 2011</t>
  </si>
  <si>
    <t>% of CVC Investment $</t>
  </si>
  <si>
    <t>Q4 2011</t>
  </si>
  <si>
    <t>Q1 2012</t>
  </si>
  <si>
    <t>% of Deals with CVC Involvement</t>
  </si>
  <si>
    <t>CVC % of $ In Sector</t>
  </si>
  <si>
    <t>Clean Technology Deals Only</t>
  </si>
  <si>
    <t>Corporate VC Investment Deals  in Clean Technology companies</t>
  </si>
  <si>
    <t>Total Corporate VC Investment</t>
  </si>
  <si>
    <t>Chart #1</t>
  </si>
  <si>
    <t>Chart #2</t>
  </si>
  <si>
    <t># Deals</t>
  </si>
  <si>
    <t>% of Total CVC Investment Going to Clean Tech</t>
  </si>
  <si>
    <t>Recent Quarterly Investment</t>
  </si>
  <si>
    <t>Q2 2012</t>
  </si>
  <si>
    <t>Q3 2012</t>
  </si>
  <si>
    <t>Other*</t>
  </si>
  <si>
    <t>Seed</t>
  </si>
  <si>
    <t>Early Stage</t>
  </si>
  <si>
    <t>Expansion</t>
  </si>
  <si>
    <t>Later Stage</t>
  </si>
  <si>
    <t>Company Stage as of Investment Round</t>
  </si>
  <si>
    <t>Total $M Invested in that Stage by All VC Types</t>
  </si>
  <si>
    <t>Corporate Venture Capital Group Investment Analysis 1995 Through Q4 2012</t>
  </si>
  <si>
    <t>Q4 2012</t>
  </si>
  <si>
    <t>Total Venture Capital and Corporate Venture Capital by Sector  - Last Year</t>
  </si>
  <si>
    <t>01/01/2012- 12/31/2012</t>
  </si>
  <si>
    <t>Total Venture Capital and Corporate Venture Capital in Clean Tech Deals - Last Year</t>
  </si>
  <si>
    <t>Total Venture Capital and Corporate Venture Capital by Deal Stage - Last Year</t>
  </si>
  <si>
    <t>01/01/2012-12/31/2012</t>
  </si>
  <si>
    <t>CVC % of $ In Stage Category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</si>
</sst>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43" formatCode="_(* #,##0.00_);_(* \(#,##0.00\);_(* &quot;-&quot;??_);_(@_)"/>
    <numFmt numFmtId="164" formatCode="0.0%"/>
    <numFmt numFmtId="165" formatCode="#,##0.0"/>
    <numFmt numFmtId="166" formatCode="&quot;$&quot;#,##0.00"/>
    <numFmt numFmtId="167" formatCode="_(* #,##0_);_(* \(#,##0\);_(* &quot;-&quot;??_);_(@_)"/>
  </numFmts>
  <fonts count="1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u val="doubleAccounting"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</font>
    <font>
      <u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47"/>
        <bgColor indexed="9"/>
      </patternFill>
    </fill>
    <fill>
      <patternFill patternType="solid">
        <fgColor indexed="47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9"/>
      </patternFill>
    </fill>
    <fill>
      <patternFill patternType="solid">
        <fgColor rgb="FF92D050"/>
        <bgColor indexed="9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5" fillId="0" borderId="0" applyNumberFormat="0" applyBorder="0" applyAlignment="0" applyProtection="0">
      <alignment vertical="top"/>
      <protection locked="0"/>
    </xf>
    <xf numFmtId="0" fontId="9" fillId="0" borderId="0"/>
    <xf numFmtId="0" fontId="4" fillId="0" borderId="0"/>
    <xf numFmtId="43" fontId="4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32">
    <xf numFmtId="0" fontId="0" fillId="0" borderId="0" xfId="0" applyFont="1">
      <alignment vertical="top"/>
      <protection locked="0"/>
    </xf>
    <xf numFmtId="0" fontId="2" fillId="0" borderId="0" xfId="1" applyFont="1" applyAlignment="1">
      <alignment horizontal="left"/>
      <protection locked="0"/>
    </xf>
    <xf numFmtId="0" fontId="0" fillId="0" borderId="0" xfId="1" applyFont="1" applyAlignment="1">
      <alignment horizontal="left" vertical="top" wrapText="1"/>
      <protection locked="0"/>
    </xf>
    <xf numFmtId="0" fontId="0" fillId="0" borderId="0" xfId="1" applyFont="1">
      <alignment vertical="top"/>
      <protection locked="0"/>
    </xf>
    <xf numFmtId="0" fontId="2" fillId="0" borderId="1" xfId="1" applyFont="1" applyBorder="1" applyAlignment="1">
      <alignment horizontal="center" wrapText="1"/>
      <protection locked="0"/>
    </xf>
    <xf numFmtId="0" fontId="3" fillId="0" borderId="0" xfId="1" applyFont="1" applyAlignment="1">
      <alignment horizontal="left" vertical="top"/>
      <protection locked="0"/>
    </xf>
    <xf numFmtId="0" fontId="5" fillId="0" borderId="0" xfId="1" applyFont="1">
      <alignment vertical="top"/>
      <protection locked="0"/>
    </xf>
    <xf numFmtId="0" fontId="1" fillId="0" borderId="0" xfId="1" applyFont="1" applyAlignment="1">
      <alignment horizontal="left" vertical="top" wrapText="1"/>
      <protection locked="0"/>
    </xf>
    <xf numFmtId="0" fontId="2" fillId="2" borderId="1" xfId="1" applyFont="1" applyFill="1" applyBorder="1" applyAlignment="1">
      <alignment horizontal="center" wrapText="1"/>
      <protection locked="0"/>
    </xf>
    <xf numFmtId="166" fontId="4" fillId="3" borderId="0" xfId="1" applyNumberFormat="1" applyFont="1" applyFill="1" applyBorder="1" applyAlignment="1" applyProtection="1"/>
    <xf numFmtId="0" fontId="7" fillId="0" borderId="0" xfId="1" applyFont="1" applyAlignment="1">
      <alignment horizontal="left" vertical="top" wrapText="1"/>
      <protection locked="0"/>
    </xf>
    <xf numFmtId="0" fontId="7" fillId="0" borderId="0" xfId="1" applyFont="1">
      <alignment vertical="top"/>
      <protection locked="0"/>
    </xf>
    <xf numFmtId="0" fontId="0" fillId="0" borderId="0" xfId="0" applyAlignment="1" applyProtection="1"/>
    <xf numFmtId="0" fontId="8" fillId="0" borderId="0" xfId="0" applyNumberFormat="1" applyFont="1" applyFill="1" applyBorder="1" applyAlignment="1" applyProtection="1"/>
    <xf numFmtId="0" fontId="8" fillId="0" borderId="0" xfId="0" applyNumberFormat="1" applyFont="1" applyFill="1" applyBorder="1" applyAlignment="1" applyProtection="1">
      <alignment horizontal="center" wrapText="1"/>
    </xf>
    <xf numFmtId="167" fontId="0" fillId="0" borderId="0" xfId="1" applyNumberFormat="1" applyFont="1" applyAlignment="1" applyProtection="1"/>
    <xf numFmtId="43" fontId="4" fillId="0" borderId="0" xfId="1" applyNumberFormat="1" applyFont="1" applyFill="1" applyBorder="1" applyAlignment="1" applyProtection="1">
      <alignment horizontal="right"/>
    </xf>
    <xf numFmtId="0" fontId="5" fillId="0" borderId="0" xfId="0" applyFont="1">
      <alignment vertical="top"/>
      <protection locked="0"/>
    </xf>
    <xf numFmtId="165" fontId="5" fillId="0" borderId="0" xfId="1" applyNumberFormat="1">
      <alignment vertical="top"/>
      <protection locked="0"/>
    </xf>
    <xf numFmtId="10" fontId="5" fillId="0" borderId="0" xfId="2" applyNumberFormat="1" applyBorder="1" applyAlignment="1" applyProtection="1">
      <alignment horizontal="right"/>
    </xf>
    <xf numFmtId="0" fontId="8" fillId="4" borderId="0" xfId="0" applyNumberFormat="1" applyFont="1" applyFill="1" applyBorder="1" applyAlignment="1" applyProtection="1">
      <alignment horizontal="center" wrapText="1"/>
    </xf>
    <xf numFmtId="167" fontId="0" fillId="4" borderId="0" xfId="1" applyNumberFormat="1" applyFont="1" applyFill="1" applyAlignment="1" applyProtection="1"/>
    <xf numFmtId="0" fontId="0" fillId="0" borderId="0" xfId="0" applyFont="1" applyFill="1">
      <alignment vertical="top"/>
      <protection locked="0"/>
    </xf>
    <xf numFmtId="167" fontId="0" fillId="0" borderId="0" xfId="1" applyNumberFormat="1" applyFont="1" applyFill="1" applyAlignment="1" applyProtection="1"/>
    <xf numFmtId="164" fontId="5" fillId="0" borderId="0" xfId="2" applyNumberFormat="1" applyBorder="1" applyAlignment="1" applyProtection="1">
      <alignment horizontal="right"/>
    </xf>
    <xf numFmtId="164" fontId="5" fillId="0" borderId="0" xfId="2" applyNumberFormat="1" applyFill="1" applyBorder="1" applyAlignment="1" applyProtection="1">
      <alignment horizontal="right"/>
    </xf>
    <xf numFmtId="164" fontId="4" fillId="0" borderId="0" xfId="1" applyNumberFormat="1" applyFont="1" applyFill="1" applyBorder="1" applyAlignment="1" applyProtection="1">
      <alignment horizontal="right"/>
    </xf>
    <xf numFmtId="0" fontId="4" fillId="0" borderId="0" xfId="4" applyFont="1"/>
    <xf numFmtId="166" fontId="5" fillId="0" borderId="0" xfId="1" applyNumberFormat="1" applyBorder="1" applyAlignment="1" applyProtection="1">
      <alignment horizontal="right"/>
    </xf>
    <xf numFmtId="166" fontId="5" fillId="0" borderId="0" xfId="1" applyNumberFormat="1">
      <alignment vertical="top"/>
      <protection locked="0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4" fillId="0" borderId="0" xfId="4"/>
    <xf numFmtId="4" fontId="4" fillId="0" borderId="0" xfId="4" applyNumberFormat="1" applyFont="1" applyFill="1" applyBorder="1" applyAlignment="1" applyProtection="1">
      <alignment horizontal="right"/>
    </xf>
    <xf numFmtId="4" fontId="4" fillId="0" borderId="0" xfId="4" applyNumberFormat="1" applyFont="1" applyFill="1" applyBorder="1" applyAlignment="1" applyProtection="1">
      <alignment horizontal="right"/>
    </xf>
    <xf numFmtId="0" fontId="5" fillId="0" borderId="0" xfId="1" applyFont="1" applyAlignment="1">
      <alignment horizontal="left" vertical="top" wrapText="1"/>
      <protection locked="0"/>
    </xf>
    <xf numFmtId="0" fontId="4" fillId="0" borderId="0" xfId="4"/>
    <xf numFmtId="0" fontId="2" fillId="0" borderId="0" xfId="0" applyFont="1">
      <alignment vertical="top"/>
      <protection locked="0"/>
    </xf>
    <xf numFmtId="0" fontId="2" fillId="0" borderId="0" xfId="0" quotePrefix="1" applyFont="1">
      <alignment vertical="top"/>
      <protection locked="0"/>
    </xf>
    <xf numFmtId="4" fontId="5" fillId="0" borderId="0" xfId="1" applyNumberFormat="1" applyAlignment="1" applyProtection="1"/>
    <xf numFmtId="166" fontId="10" fillId="0" borderId="0" xfId="1" applyNumberFormat="1" applyFont="1" applyBorder="1" applyAlignment="1" applyProtection="1">
      <alignment horizontal="right"/>
    </xf>
    <xf numFmtId="4" fontId="10" fillId="0" borderId="0" xfId="1" applyNumberFormat="1" applyFont="1" applyAlignment="1" applyProtection="1"/>
    <xf numFmtId="8" fontId="4" fillId="4" borderId="0" xfId="1" applyNumberFormat="1" applyFont="1" applyFill="1" applyBorder="1" applyAlignment="1" applyProtection="1">
      <alignment horizontal="right"/>
    </xf>
    <xf numFmtId="8" fontId="4" fillId="4" borderId="0" xfId="1" quotePrefix="1" applyNumberFormat="1" applyFont="1" applyFill="1" applyBorder="1" applyAlignment="1" applyProtection="1">
      <alignment horizontal="right"/>
    </xf>
    <xf numFmtId="0" fontId="3" fillId="0" borderId="0" xfId="1" applyFont="1" applyFill="1" applyAlignment="1">
      <alignment horizontal="left" vertical="top"/>
      <protection locked="0"/>
    </xf>
    <xf numFmtId="0" fontId="0" fillId="0" borderId="0" xfId="0" applyFill="1" applyAlignment="1" applyProtection="1"/>
    <xf numFmtId="164" fontId="0" fillId="0" borderId="0" xfId="1" applyNumberFormat="1" applyFont="1" applyFill="1">
      <alignment vertical="top"/>
      <protection locked="0"/>
    </xf>
    <xf numFmtId="166" fontId="4" fillId="0" borderId="0" xfId="1" applyNumberFormat="1" applyFont="1" applyFill="1" applyBorder="1" applyAlignment="1" applyProtection="1"/>
    <xf numFmtId="165" fontId="5" fillId="0" borderId="0" xfId="1" applyNumberFormat="1" applyFill="1" applyBorder="1" applyAlignment="1" applyProtection="1">
      <alignment horizontal="right"/>
    </xf>
    <xf numFmtId="0" fontId="7" fillId="0" borderId="0" xfId="1" applyFont="1" applyFill="1">
      <alignment vertical="top"/>
      <protection locked="0"/>
    </xf>
    <xf numFmtId="0" fontId="7" fillId="0" borderId="0" xfId="1" applyFont="1" applyFill="1" applyAlignment="1">
      <alignment horizontal="left" vertical="top" wrapText="1"/>
      <protection locked="0"/>
    </xf>
    <xf numFmtId="0" fontId="1" fillId="0" borderId="0" xfId="1" applyFont="1" applyFill="1" applyAlignment="1">
      <alignment horizontal="left" vertical="top" wrapText="1"/>
      <protection locked="0"/>
    </xf>
    <xf numFmtId="3" fontId="6" fillId="0" borderId="0" xfId="1" applyNumberFormat="1" applyFont="1" applyFill="1" applyAlignment="1" applyProtection="1"/>
    <xf numFmtId="164" fontId="6" fillId="0" borderId="0" xfId="1" applyNumberFormat="1" applyFont="1" applyFill="1" applyAlignment="1" applyProtection="1"/>
    <xf numFmtId="166" fontId="6" fillId="0" borderId="0" xfId="1" applyNumberFormat="1" applyFont="1" applyFill="1" applyAlignment="1" applyProtection="1"/>
    <xf numFmtId="165" fontId="5" fillId="0" borderId="0" xfId="1" applyNumberFormat="1" applyFill="1" applyBorder="1" applyAlignment="1" applyProtection="1"/>
    <xf numFmtId="164" fontId="6" fillId="0" borderId="0" xfId="1" applyNumberFormat="1" applyFont="1" applyFill="1">
      <alignment vertical="top"/>
      <protection locked="0"/>
    </xf>
    <xf numFmtId="0" fontId="6" fillId="0" borderId="0" xfId="1" applyFont="1" applyFill="1">
      <alignment vertical="top"/>
      <protection locked="0"/>
    </xf>
    <xf numFmtId="0" fontId="5" fillId="0" borderId="0" xfId="1" applyFont="1" applyFill="1" applyAlignment="1">
      <alignment horizontal="left" vertical="top" wrapText="1"/>
      <protection locked="0"/>
    </xf>
    <xf numFmtId="3" fontId="0" fillId="0" borderId="0" xfId="1" applyNumberFormat="1" applyFont="1" applyFill="1" applyAlignment="1" applyProtection="1"/>
    <xf numFmtId="0" fontId="4" fillId="0" borderId="0" xfId="4" applyFill="1"/>
    <xf numFmtId="0" fontId="9" fillId="0" borderId="0" xfId="3"/>
    <xf numFmtId="3" fontId="5" fillId="0" borderId="0" xfId="1" applyNumberFormat="1" applyAlignment="1" applyProtection="1"/>
    <xf numFmtId="3" fontId="5" fillId="0" borderId="0" xfId="1" applyNumberFormat="1">
      <alignment vertical="top"/>
      <protection locked="0"/>
    </xf>
    <xf numFmtId="0" fontId="8" fillId="5" borderId="0" xfId="0" applyNumberFormat="1" applyFont="1" applyFill="1" applyBorder="1" applyAlignment="1" applyProtection="1">
      <alignment horizontal="center" wrapText="1"/>
    </xf>
    <xf numFmtId="164" fontId="5" fillId="5" borderId="0" xfId="2" applyNumberFormat="1" applyFill="1">
      <alignment vertical="top"/>
      <protection locked="0"/>
    </xf>
    <xf numFmtId="164" fontId="10" fillId="5" borderId="0" xfId="2" applyNumberFormat="1" applyFont="1" applyFill="1">
      <alignment vertical="top"/>
      <protection locked="0"/>
    </xf>
    <xf numFmtId="0" fontId="8" fillId="6" borderId="0" xfId="0" applyNumberFormat="1" applyFont="1" applyFill="1" applyBorder="1" applyAlignment="1" applyProtection="1">
      <alignment horizontal="center" wrapText="1"/>
    </xf>
    <xf numFmtId="0" fontId="8" fillId="7" borderId="0" xfId="0" applyNumberFormat="1" applyFont="1" applyFill="1" applyBorder="1" applyAlignment="1" applyProtection="1">
      <alignment horizontal="center" wrapText="1"/>
    </xf>
    <xf numFmtId="164" fontId="5" fillId="7" borderId="0" xfId="2" applyNumberFormat="1" applyFill="1">
      <alignment vertical="top"/>
      <protection locked="0"/>
    </xf>
    <xf numFmtId="164" fontId="10" fillId="7" borderId="0" xfId="2" applyNumberFormat="1" applyFont="1" applyFill="1">
      <alignment vertical="top"/>
      <protection locked="0"/>
    </xf>
    <xf numFmtId="0" fontId="5" fillId="0" borderId="0" xfId="0" applyFont="1" applyAlignment="1" applyProtection="1"/>
    <xf numFmtId="0" fontId="0" fillId="0" borderId="0" xfId="0" applyFont="1" applyAlignment="1" applyProtection="1"/>
    <xf numFmtId="167" fontId="0" fillId="7" borderId="0" xfId="1" applyNumberFormat="1" applyFont="1" applyFill="1" applyAlignment="1" applyProtection="1"/>
    <xf numFmtId="164" fontId="5" fillId="7" borderId="0" xfId="2" applyNumberFormat="1" applyFill="1" applyBorder="1" applyAlignment="1" applyProtection="1">
      <alignment horizontal="right"/>
    </xf>
    <xf numFmtId="8" fontId="4" fillId="0" borderId="0" xfId="1" applyNumberFormat="1" applyFont="1" applyFill="1" applyBorder="1" applyAlignment="1" applyProtection="1">
      <alignment horizontal="right"/>
    </xf>
    <xf numFmtId="0" fontId="2" fillId="7" borderId="0" xfId="0" applyNumberFormat="1" applyFont="1" applyFill="1" applyBorder="1" applyAlignment="1" applyProtection="1">
      <alignment horizontal="center" wrapText="1"/>
    </xf>
    <xf numFmtId="8" fontId="5" fillId="7" borderId="0" xfId="1" applyNumberFormat="1" applyFont="1" applyFill="1" applyBorder="1" applyAlignment="1" applyProtection="1">
      <alignment horizontal="right"/>
    </xf>
    <xf numFmtId="164" fontId="5" fillId="7" borderId="0" xfId="2" applyNumberFormat="1" applyFont="1" applyFill="1" applyBorder="1" applyAlignment="1" applyProtection="1">
      <alignment horizontal="right"/>
    </xf>
    <xf numFmtId="0" fontId="2" fillId="0" borderId="0" xfId="1" applyFont="1" applyFill="1" applyAlignment="1">
      <alignment horizontal="left" vertical="top"/>
      <protection locked="0"/>
    </xf>
    <xf numFmtId="0" fontId="2" fillId="8" borderId="1" xfId="1" applyFont="1" applyFill="1" applyBorder="1" applyAlignment="1">
      <alignment horizontal="center" wrapText="1"/>
      <protection locked="0"/>
    </xf>
    <xf numFmtId="0" fontId="2" fillId="10" borderId="1" xfId="1" applyFont="1" applyFill="1" applyBorder="1" applyAlignment="1">
      <alignment horizontal="center" wrapText="1"/>
      <protection locked="0"/>
    </xf>
    <xf numFmtId="165" fontId="4" fillId="5" borderId="0" xfId="4" applyNumberFormat="1" applyFont="1" applyFill="1" applyBorder="1" applyAlignment="1" applyProtection="1">
      <alignment horizontal="right"/>
    </xf>
    <xf numFmtId="165" fontId="5" fillId="5" borderId="0" xfId="1" applyNumberFormat="1" applyFill="1" applyBorder="1" applyAlignment="1" applyProtection="1">
      <alignment horizontal="right"/>
    </xf>
    <xf numFmtId="164" fontId="0" fillId="10" borderId="0" xfId="1" applyNumberFormat="1" applyFont="1" applyFill="1">
      <alignment vertical="top"/>
      <protection locked="0"/>
    </xf>
    <xf numFmtId="3" fontId="0" fillId="9" borderId="0" xfId="1" applyNumberFormat="1" applyFont="1" applyFill="1" applyAlignment="1" applyProtection="1"/>
    <xf numFmtId="164" fontId="0" fillId="8" borderId="0" xfId="1" applyNumberFormat="1" applyFont="1" applyFill="1">
      <alignment vertical="top"/>
      <protection locked="0"/>
    </xf>
    <xf numFmtId="0" fontId="2" fillId="11" borderId="1" xfId="1" applyFont="1" applyFill="1" applyBorder="1" applyAlignment="1">
      <alignment horizontal="center" wrapText="1"/>
      <protection locked="0"/>
    </xf>
    <xf numFmtId="3" fontId="0" fillId="12" borderId="0" xfId="1" applyNumberFormat="1" applyFont="1" applyFill="1" applyAlignment="1" applyProtection="1"/>
    <xf numFmtId="167" fontId="4" fillId="12" borderId="0" xfId="5" applyNumberFormat="1" applyFont="1" applyFill="1"/>
    <xf numFmtId="164" fontId="0" fillId="11" borderId="0" xfId="1" applyNumberFormat="1" applyFont="1" applyFill="1">
      <alignment vertical="top"/>
      <protection locked="0"/>
    </xf>
    <xf numFmtId="3" fontId="1" fillId="12" borderId="0" xfId="1" applyNumberFormat="1" applyFont="1" applyFill="1" applyAlignment="1" applyProtection="1"/>
    <xf numFmtId="3" fontId="5" fillId="12" borderId="0" xfId="1" applyNumberFormat="1" applyFont="1" applyFill="1" applyAlignment="1" applyProtection="1"/>
    <xf numFmtId="0" fontId="5" fillId="12" borderId="0" xfId="1" applyFont="1" applyFill="1" applyAlignment="1" applyProtection="1"/>
    <xf numFmtId="0" fontId="7" fillId="12" borderId="0" xfId="1" applyFont="1" applyFill="1" applyAlignment="1" applyProtection="1"/>
    <xf numFmtId="3" fontId="7" fillId="12" borderId="0" xfId="1" applyNumberFormat="1" applyFont="1" applyFill="1" applyAlignment="1" applyProtection="1"/>
    <xf numFmtId="165" fontId="5" fillId="5" borderId="1" xfId="1" applyNumberFormat="1" applyFill="1" applyBorder="1" applyAlignment="1">
      <alignment horizontal="center" wrapText="1"/>
      <protection locked="0"/>
    </xf>
    <xf numFmtId="165" fontId="5" fillId="5" borderId="0" xfId="1" applyNumberFormat="1" applyFill="1" applyBorder="1" applyAlignment="1" applyProtection="1"/>
    <xf numFmtId="165" fontId="5" fillId="5" borderId="0" xfId="1" applyNumberFormat="1" applyFill="1" applyAlignment="1" applyProtection="1"/>
    <xf numFmtId="165" fontId="5" fillId="5" borderId="0" xfId="1" applyNumberFormat="1" applyFont="1" applyFill="1" applyAlignment="1" applyProtection="1"/>
    <xf numFmtId="165" fontId="5" fillId="5" borderId="0" xfId="1" applyNumberFormat="1" applyFill="1">
      <alignment vertical="top"/>
      <protection locked="0"/>
    </xf>
    <xf numFmtId="3" fontId="5" fillId="6" borderId="0" xfId="1" applyNumberFormat="1" applyFill="1" applyAlignment="1" applyProtection="1"/>
    <xf numFmtId="166" fontId="5" fillId="6" borderId="0" xfId="1" applyNumberFormat="1" applyFill="1" applyBorder="1" applyAlignment="1" applyProtection="1">
      <alignment horizontal="right"/>
    </xf>
    <xf numFmtId="4" fontId="5" fillId="6" borderId="0" xfId="1" applyNumberFormat="1" applyFill="1" applyAlignment="1" applyProtection="1"/>
    <xf numFmtId="4" fontId="10" fillId="6" borderId="0" xfId="1" applyNumberFormat="1" applyFont="1" applyFill="1" applyAlignment="1" applyProtection="1"/>
    <xf numFmtId="0" fontId="8" fillId="9" borderId="0" xfId="0" applyNumberFormat="1" applyFont="1" applyFill="1" applyBorder="1" applyAlignment="1" applyProtection="1">
      <alignment horizontal="center" wrapText="1"/>
    </xf>
    <xf numFmtId="164" fontId="5" fillId="9" borderId="0" xfId="2" applyNumberFormat="1" applyFill="1">
      <alignment vertical="top"/>
      <protection locked="0"/>
    </xf>
    <xf numFmtId="164" fontId="10" fillId="9" borderId="0" xfId="2" applyNumberFormat="1" applyFont="1" applyFill="1">
      <alignment vertical="top"/>
      <protection locked="0"/>
    </xf>
    <xf numFmtId="3" fontId="10" fillId="0" borderId="0" xfId="1" applyNumberFormat="1" applyFont="1" applyAlignment="1" applyProtection="1"/>
    <xf numFmtId="3" fontId="10" fillId="6" borderId="0" xfId="1" applyNumberFormat="1" applyFont="1" applyFill="1" applyAlignment="1" applyProtection="1"/>
    <xf numFmtId="166" fontId="10" fillId="6" borderId="0" xfId="1" applyNumberFormat="1" applyFont="1" applyFill="1" applyBorder="1" applyAlignment="1" applyProtection="1">
      <alignment horizontal="right"/>
    </xf>
    <xf numFmtId="0" fontId="9" fillId="0" borderId="0" xfId="3" applyFill="1"/>
    <xf numFmtId="165" fontId="8" fillId="0" borderId="0" xfId="0" applyNumberFormat="1" applyFont="1" applyFill="1" applyBorder="1" applyAlignment="1" applyProtection="1">
      <alignment horizontal="center" wrapText="1"/>
    </xf>
    <xf numFmtId="0" fontId="9" fillId="0" borderId="0" xfId="3"/>
    <xf numFmtId="165" fontId="0" fillId="0" borderId="0" xfId="0" applyNumberFormat="1" applyFont="1">
      <alignment vertical="top"/>
      <protection locked="0"/>
    </xf>
    <xf numFmtId="165" fontId="5" fillId="0" borderId="0" xfId="1" applyNumberFormat="1" applyAlignment="1" applyProtection="1"/>
    <xf numFmtId="165" fontId="10" fillId="0" borderId="0" xfId="1" applyNumberFormat="1" applyFont="1" applyAlignment="1" applyProtection="1"/>
    <xf numFmtId="165" fontId="4" fillId="0" borderId="0" xfId="1" applyNumberFormat="1" applyFont="1" applyFill="1" applyBorder="1" applyAlignment="1" applyProtection="1">
      <alignment horizontal="right"/>
    </xf>
    <xf numFmtId="165" fontId="8" fillId="6" borderId="0" xfId="0" applyNumberFormat="1" applyFont="1" applyFill="1" applyBorder="1" applyAlignment="1" applyProtection="1">
      <alignment horizontal="center" wrapText="1"/>
    </xf>
    <xf numFmtId="165" fontId="5" fillId="6" borderId="0" xfId="1" applyNumberFormat="1" applyFill="1" applyAlignment="1" applyProtection="1"/>
    <xf numFmtId="165" fontId="10" fillId="6" borderId="0" xfId="1" applyNumberFormat="1" applyFont="1" applyFill="1" applyAlignment="1" applyProtection="1"/>
    <xf numFmtId="0" fontId="2" fillId="0" borderId="0" xfId="0" quotePrefix="1" applyFont="1" applyFill="1">
      <alignment vertical="top"/>
      <protection locked="0"/>
    </xf>
    <xf numFmtId="0" fontId="4" fillId="0" borderId="0" xfId="4"/>
    <xf numFmtId="0" fontId="9" fillId="0" borderId="0" xfId="0" applyNumberFormat="1" applyFont="1" applyFill="1" applyBorder="1" applyAlignment="1" applyProtection="1">
      <alignment wrapText="1"/>
    </xf>
    <xf numFmtId="0" fontId="5" fillId="0" borderId="0" xfId="0" applyFont="1" applyAlignment="1" applyProtection="1">
      <alignment wrapText="1"/>
    </xf>
    <xf numFmtId="0" fontId="4" fillId="4" borderId="0" xfId="0" applyNumberFormat="1" applyFont="1" applyFill="1" applyBorder="1" applyAlignment="1" applyProtection="1">
      <alignment vertical="top" wrapText="1"/>
    </xf>
    <xf numFmtId="164" fontId="5" fillId="0" borderId="0" xfId="2" applyNumberFormat="1" applyBorder="1" applyAlignment="1" applyProtection="1">
      <alignment horizontal="right" vertical="top"/>
    </xf>
    <xf numFmtId="8" fontId="4" fillId="4" borderId="0" xfId="1" applyNumberFormat="1" applyFont="1" applyFill="1" applyBorder="1" applyAlignment="1" applyProtection="1">
      <alignment horizontal="right" vertical="top"/>
    </xf>
    <xf numFmtId="164" fontId="5" fillId="0" borderId="0" xfId="2" applyNumberFormat="1" applyFill="1" applyBorder="1" applyAlignment="1" applyProtection="1">
      <alignment horizontal="right" vertical="top"/>
    </xf>
    <xf numFmtId="164" fontId="4" fillId="0" borderId="0" xfId="1" applyNumberFormat="1" applyFont="1" applyFill="1" applyBorder="1" applyAlignment="1" applyProtection="1">
      <alignment horizontal="right" vertical="top"/>
    </xf>
    <xf numFmtId="3" fontId="0" fillId="0" borderId="0" xfId="0" applyNumberFormat="1" applyFont="1">
      <alignment vertical="top"/>
      <protection locked="0"/>
    </xf>
  </cellXfs>
  <cellStyles count="7">
    <cellStyle name="Comma" xfId="1" builtinId="3"/>
    <cellStyle name="Comma 2" xfId="5"/>
    <cellStyle name="Normal" xfId="0" builtinId="0"/>
    <cellStyle name="Normal 2" xfId="3"/>
    <cellStyle name="Normal 3" xfId="4"/>
    <cellStyle name="Percent" xfId="2" builtinId="5"/>
    <cellStyle name="Percent 2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VCA%20Local/MoneyTree%202008%20Q4/xxxJST%20scratchpad%20NatlAggSpreadsheetQ4_2008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 US by Qtr &amp; Year"/>
      <sheetName val="by Stage of Dev"/>
      <sheetName val="by Industry"/>
      <sheetName val="Internet-Specific"/>
      <sheetName val="Cleantech"/>
      <sheetName val="First Sequence by Stage of Dev"/>
      <sheetName val="First Sequence by Industry"/>
    </sheetNames>
    <sheetDataSet>
      <sheetData sheetId="0">
        <row r="3">
          <cell r="A3">
            <v>1000000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T52"/>
  <sheetViews>
    <sheetView tabSelected="1" showOutlineSymbols="0" zoomScale="115" zoomScaleNormal="115" workbookViewId="0">
      <selection activeCell="A21" sqref="A21"/>
    </sheetView>
  </sheetViews>
  <sheetFormatPr defaultRowHeight="12.75"/>
  <cols>
    <col min="1" max="9" width="13" customWidth="1"/>
  </cols>
  <sheetData>
    <row r="1" spans="1:14">
      <c r="A1" s="1" t="s">
        <v>99</v>
      </c>
      <c r="B1" s="3"/>
      <c r="C1" s="3"/>
      <c r="E1" s="3"/>
      <c r="F1" s="3"/>
      <c r="G1" s="3"/>
      <c r="H1" s="3"/>
    </row>
    <row r="2" spans="1:14" ht="76.5">
      <c r="A2" s="4" t="s">
        <v>0</v>
      </c>
      <c r="B2" s="81" t="s">
        <v>1</v>
      </c>
      <c r="C2" s="81" t="s">
        <v>2</v>
      </c>
      <c r="D2" s="81" t="s">
        <v>3</v>
      </c>
      <c r="E2" s="8" t="s">
        <v>8</v>
      </c>
      <c r="F2" s="8" t="s">
        <v>4</v>
      </c>
      <c r="G2" s="82" t="s">
        <v>5</v>
      </c>
      <c r="H2" s="82" t="s">
        <v>6</v>
      </c>
      <c r="I2" s="82" t="s">
        <v>7</v>
      </c>
    </row>
    <row r="3" spans="1:14">
      <c r="A3" s="2" t="s">
        <v>11</v>
      </c>
      <c r="B3" s="86">
        <v>1894</v>
      </c>
      <c r="C3" s="124">
        <v>145</v>
      </c>
      <c r="D3" s="87">
        <f t="shared" ref="D3:D17" si="0">C3/B3</f>
        <v>7.6557550158394938E-2</v>
      </c>
      <c r="E3" s="9">
        <f>G3/B3</f>
        <v>4.2305308342133054</v>
      </c>
      <c r="F3" s="9">
        <f>H3/C3</f>
        <v>3.0103165517241379</v>
      </c>
      <c r="G3" s="83">
        <v>8012.6253999999999</v>
      </c>
      <c r="H3" s="84">
        <v>436.49590000000001</v>
      </c>
      <c r="I3" s="85">
        <f t="shared" ref="I3:I20" si="1">H3/G3</f>
        <v>5.4476014815318836E-2</v>
      </c>
      <c r="L3" s="33"/>
      <c r="M3" s="35"/>
      <c r="N3" s="34"/>
    </row>
    <row r="4" spans="1:14">
      <c r="A4" s="2" t="s">
        <v>12</v>
      </c>
      <c r="B4" s="86">
        <v>2637</v>
      </c>
      <c r="C4" s="124">
        <v>224</v>
      </c>
      <c r="D4" s="87">
        <f t="shared" si="0"/>
        <v>8.4945013272658326E-2</v>
      </c>
      <c r="E4" s="9">
        <f t="shared" ref="E4:E20" si="2">G4/B4</f>
        <v>4.3008930602957909</v>
      </c>
      <c r="F4" s="9">
        <f t="shared" ref="F4:F20" si="3">H4/C4</f>
        <v>3.032889285714286</v>
      </c>
      <c r="G4" s="83">
        <v>11341.455</v>
      </c>
      <c r="H4" s="84">
        <v>679.36720000000003</v>
      </c>
      <c r="I4" s="85">
        <f t="shared" si="1"/>
        <v>5.9901238421348937E-2</v>
      </c>
      <c r="L4" s="33"/>
      <c r="M4" s="35"/>
      <c r="N4" s="34"/>
    </row>
    <row r="5" spans="1:14">
      <c r="A5" s="2" t="s">
        <v>13</v>
      </c>
      <c r="B5" s="86">
        <v>3222</v>
      </c>
      <c r="C5" s="124">
        <v>346</v>
      </c>
      <c r="D5" s="87">
        <f t="shared" si="0"/>
        <v>0.10738671632526381</v>
      </c>
      <c r="E5" s="9">
        <f t="shared" si="2"/>
        <v>4.6477064866542515</v>
      </c>
      <c r="F5" s="9">
        <f t="shared" si="3"/>
        <v>2.734593930635838</v>
      </c>
      <c r="G5" s="83">
        <v>14974.9103</v>
      </c>
      <c r="H5" s="84">
        <v>946.16949999999997</v>
      </c>
      <c r="I5" s="85">
        <f t="shared" si="1"/>
        <v>6.3183650589212548E-2</v>
      </c>
      <c r="L5" s="33"/>
      <c r="M5" s="35"/>
      <c r="N5" s="34"/>
    </row>
    <row r="6" spans="1:14">
      <c r="A6" s="2" t="s">
        <v>14</v>
      </c>
      <c r="B6" s="86">
        <v>3733</v>
      </c>
      <c r="C6" s="124">
        <v>501</v>
      </c>
      <c r="D6" s="87">
        <f t="shared" si="0"/>
        <v>0.1342084114653094</v>
      </c>
      <c r="E6" s="9">
        <f t="shared" si="2"/>
        <v>5.7622574069113313</v>
      </c>
      <c r="F6" s="9">
        <f t="shared" si="3"/>
        <v>3.4367383233532935</v>
      </c>
      <c r="G6" s="83">
        <v>21510.5069</v>
      </c>
      <c r="H6" s="84">
        <v>1721.8059000000001</v>
      </c>
      <c r="I6" s="85">
        <f t="shared" si="1"/>
        <v>8.0044877975423256E-2</v>
      </c>
      <c r="L6" s="33"/>
      <c r="M6" s="35"/>
      <c r="N6" s="34"/>
    </row>
    <row r="7" spans="1:14">
      <c r="A7" s="2" t="s">
        <v>47</v>
      </c>
      <c r="B7" s="86">
        <v>5605</v>
      </c>
      <c r="C7" s="124">
        <v>1190</v>
      </c>
      <c r="D7" s="87">
        <f t="shared" si="0"/>
        <v>0.21231043710972347</v>
      </c>
      <c r="E7" s="9">
        <f t="shared" si="2"/>
        <v>9.8055752542372883</v>
      </c>
      <c r="F7" s="9">
        <f t="shared" si="3"/>
        <v>6.2490649579831938</v>
      </c>
      <c r="G7" s="83">
        <v>54960.249300000003</v>
      </c>
      <c r="H7" s="84">
        <v>7436.3873000000003</v>
      </c>
      <c r="I7" s="85">
        <f t="shared" si="1"/>
        <v>0.13530483203248497</v>
      </c>
      <c r="L7" s="33"/>
      <c r="M7" s="35"/>
      <c r="N7" s="34"/>
    </row>
    <row r="8" spans="1:14">
      <c r="A8" s="2" t="s">
        <v>48</v>
      </c>
      <c r="B8" s="86">
        <v>8042</v>
      </c>
      <c r="C8" s="124">
        <v>1963</v>
      </c>
      <c r="D8" s="87">
        <f t="shared" si="0"/>
        <v>0.24409350907734395</v>
      </c>
      <c r="E8" s="9">
        <f t="shared" si="2"/>
        <v>13.081982516786869</v>
      </c>
      <c r="F8" s="9">
        <f t="shared" si="3"/>
        <v>7.6426706062149776</v>
      </c>
      <c r="G8" s="83">
        <v>105205.3034</v>
      </c>
      <c r="H8" s="84">
        <v>15002.562400000001</v>
      </c>
      <c r="I8" s="85">
        <f t="shared" si="1"/>
        <v>0.14260271977885861</v>
      </c>
      <c r="L8" s="33"/>
      <c r="M8" s="35"/>
      <c r="N8" s="34"/>
    </row>
    <row r="9" spans="1:14">
      <c r="A9" s="2" t="s">
        <v>15</v>
      </c>
      <c r="B9" s="86">
        <v>4591</v>
      </c>
      <c r="C9" s="124">
        <v>964</v>
      </c>
      <c r="D9" s="87">
        <f t="shared" si="0"/>
        <v>0.20997604007841428</v>
      </c>
      <c r="E9" s="9">
        <f t="shared" si="2"/>
        <v>8.9249039642779362</v>
      </c>
      <c r="F9" s="9">
        <f t="shared" si="3"/>
        <v>4.7589622406639007</v>
      </c>
      <c r="G9" s="83">
        <v>40974.234100000001</v>
      </c>
      <c r="H9" s="84">
        <v>4587.6396000000004</v>
      </c>
      <c r="I9" s="85">
        <f t="shared" si="1"/>
        <v>0.11196401106128302</v>
      </c>
      <c r="L9" s="33"/>
      <c r="M9" s="35"/>
      <c r="N9" s="34"/>
    </row>
    <row r="10" spans="1:14">
      <c r="A10" s="2" t="s">
        <v>16</v>
      </c>
      <c r="B10" s="86">
        <v>3202</v>
      </c>
      <c r="C10" s="124">
        <v>546</v>
      </c>
      <c r="D10" s="87">
        <f t="shared" si="0"/>
        <v>0.17051842598376016</v>
      </c>
      <c r="E10" s="9">
        <f t="shared" si="2"/>
        <v>6.9109897251717669</v>
      </c>
      <c r="F10" s="9">
        <f t="shared" si="3"/>
        <v>3.493584065934066</v>
      </c>
      <c r="G10" s="83">
        <v>22128.989099999999</v>
      </c>
      <c r="H10" s="84">
        <v>1907.4969000000001</v>
      </c>
      <c r="I10" s="85">
        <f t="shared" si="1"/>
        <v>8.6199007617568948E-2</v>
      </c>
      <c r="L10" s="33"/>
      <c r="M10" s="35"/>
      <c r="N10" s="34"/>
    </row>
    <row r="11" spans="1:14">
      <c r="A11" s="2" t="s">
        <v>17</v>
      </c>
      <c r="B11" s="86">
        <v>3020</v>
      </c>
      <c r="C11" s="124">
        <v>434</v>
      </c>
      <c r="D11" s="87">
        <f t="shared" si="0"/>
        <v>0.14370860927152318</v>
      </c>
      <c r="E11" s="9">
        <f t="shared" si="2"/>
        <v>6.51643178807947</v>
      </c>
      <c r="F11" s="9">
        <f t="shared" si="3"/>
        <v>2.942365207373272</v>
      </c>
      <c r="G11" s="83">
        <v>19679.624</v>
      </c>
      <c r="H11" s="84">
        <v>1276.9865</v>
      </c>
      <c r="I11" s="85">
        <f t="shared" si="1"/>
        <v>6.4888765151204106E-2</v>
      </c>
      <c r="L11" s="33"/>
      <c r="M11" s="35"/>
      <c r="N11" s="34"/>
    </row>
    <row r="12" spans="1:14">
      <c r="A12" s="2" t="s">
        <v>18</v>
      </c>
      <c r="B12" s="86">
        <v>3217</v>
      </c>
      <c r="C12" s="124">
        <v>533</v>
      </c>
      <c r="D12" s="87">
        <f t="shared" si="0"/>
        <v>0.16568231271370842</v>
      </c>
      <c r="E12" s="9">
        <f t="shared" si="2"/>
        <v>7.222602113770594</v>
      </c>
      <c r="F12" s="9">
        <f t="shared" si="3"/>
        <v>2.8802834896810507</v>
      </c>
      <c r="G12" s="83">
        <v>23235.111000000001</v>
      </c>
      <c r="H12" s="84">
        <v>1535.1911</v>
      </c>
      <c r="I12" s="85">
        <f t="shared" si="1"/>
        <v>6.6072036410757831E-2</v>
      </c>
      <c r="L12" s="33"/>
      <c r="M12" s="35"/>
      <c r="N12" s="34"/>
    </row>
    <row r="13" spans="1:14">
      <c r="A13" s="2" t="s">
        <v>19</v>
      </c>
      <c r="B13" s="86">
        <v>3300</v>
      </c>
      <c r="C13" s="124">
        <v>544</v>
      </c>
      <c r="D13" s="87">
        <f t="shared" si="0"/>
        <v>0.16484848484848486</v>
      </c>
      <c r="E13" s="9">
        <f t="shared" si="2"/>
        <v>7.1552893333333332</v>
      </c>
      <c r="F13" s="9">
        <f t="shared" si="3"/>
        <v>2.8062965073529411</v>
      </c>
      <c r="G13" s="83">
        <v>23612.4548</v>
      </c>
      <c r="H13" s="84">
        <v>1526.6252999999999</v>
      </c>
      <c r="I13" s="85">
        <f t="shared" si="1"/>
        <v>6.4653392158108017E-2</v>
      </c>
      <c r="L13" s="33"/>
      <c r="M13" s="35"/>
      <c r="N13" s="34"/>
    </row>
    <row r="14" spans="1:14">
      <c r="A14" s="2" t="s">
        <v>20</v>
      </c>
      <c r="B14" s="86">
        <v>3885</v>
      </c>
      <c r="C14" s="124">
        <v>789</v>
      </c>
      <c r="D14" s="87">
        <f t="shared" si="0"/>
        <v>0.20308880308880309</v>
      </c>
      <c r="E14" s="9">
        <f t="shared" si="2"/>
        <v>7.1061026512226517</v>
      </c>
      <c r="F14" s="9">
        <f t="shared" si="3"/>
        <v>3.2216571609632445</v>
      </c>
      <c r="G14" s="83">
        <v>27607.2088</v>
      </c>
      <c r="H14" s="84">
        <v>2541.8874999999998</v>
      </c>
      <c r="I14" s="85">
        <f t="shared" si="1"/>
        <v>9.207332470351004E-2</v>
      </c>
      <c r="L14" s="33"/>
      <c r="M14" s="35"/>
      <c r="N14" s="34"/>
    </row>
    <row r="15" spans="1:14">
      <c r="A15" s="2" t="s">
        <v>21</v>
      </c>
      <c r="B15" s="86">
        <v>4212</v>
      </c>
      <c r="C15" s="124">
        <v>793</v>
      </c>
      <c r="D15" s="87">
        <f t="shared" si="0"/>
        <v>0.18827160493827161</v>
      </c>
      <c r="E15" s="9">
        <f t="shared" si="2"/>
        <v>7.5676814339981009</v>
      </c>
      <c r="F15" s="9">
        <f t="shared" si="3"/>
        <v>3.2251680958385878</v>
      </c>
      <c r="G15" s="83">
        <v>31875.074199999999</v>
      </c>
      <c r="H15" s="84">
        <v>2557.5583000000001</v>
      </c>
      <c r="I15" s="85">
        <f t="shared" si="1"/>
        <v>8.0236936358253255E-2</v>
      </c>
      <c r="L15" s="33"/>
      <c r="M15" s="35"/>
      <c r="N15" s="34"/>
    </row>
    <row r="16" spans="1:14" s="6" customFormat="1">
      <c r="A16" s="7" t="s">
        <v>22</v>
      </c>
      <c r="B16" s="86">
        <v>4168</v>
      </c>
      <c r="C16" s="124">
        <v>878</v>
      </c>
      <c r="D16" s="87">
        <f t="shared" si="0"/>
        <v>0.21065259117082533</v>
      </c>
      <c r="E16" s="9">
        <f t="shared" si="2"/>
        <v>7.1848963051823418</v>
      </c>
      <c r="F16" s="9">
        <f t="shared" si="3"/>
        <v>3.0409191343963555</v>
      </c>
      <c r="G16" s="83">
        <v>29946.647799999999</v>
      </c>
      <c r="H16" s="84">
        <v>2669.9270000000001</v>
      </c>
      <c r="I16" s="85">
        <f t="shared" si="1"/>
        <v>8.9156122509311389E-2</v>
      </c>
      <c r="L16" s="33"/>
      <c r="M16" s="35"/>
      <c r="N16" s="34"/>
    </row>
    <row r="17" spans="1:14" s="11" customFormat="1">
      <c r="A17" s="10" t="s">
        <v>23</v>
      </c>
      <c r="B17" s="86">
        <v>3141</v>
      </c>
      <c r="C17" s="124">
        <v>394</v>
      </c>
      <c r="D17" s="87">
        <f t="shared" si="0"/>
        <v>0.12543775867558102</v>
      </c>
      <c r="E17" s="9">
        <f t="shared" si="2"/>
        <v>6.4894727475326333</v>
      </c>
      <c r="F17" s="9">
        <f t="shared" si="3"/>
        <v>3.3476441624365485</v>
      </c>
      <c r="G17" s="83">
        <v>20383.4339</v>
      </c>
      <c r="H17" s="84">
        <v>1318.9718</v>
      </c>
      <c r="I17" s="85">
        <f t="shared" si="1"/>
        <v>6.4708027433984031E-2</v>
      </c>
      <c r="L17" s="33"/>
      <c r="M17" s="35"/>
      <c r="N17" s="34"/>
    </row>
    <row r="18" spans="1:14" s="11" customFormat="1">
      <c r="A18" s="10" t="s">
        <v>49</v>
      </c>
      <c r="B18" s="86">
        <v>3624</v>
      </c>
      <c r="C18" s="124">
        <v>452</v>
      </c>
      <c r="D18" s="87">
        <f>C18/B18</f>
        <v>0.12472406181015452</v>
      </c>
      <c r="E18" s="9">
        <f t="shared" si="2"/>
        <v>6.434601324503312</v>
      </c>
      <c r="F18" s="9">
        <f t="shared" si="3"/>
        <v>4.1519654867256639</v>
      </c>
      <c r="G18" s="83">
        <v>23318.995200000001</v>
      </c>
      <c r="H18" s="84">
        <v>1876.6884</v>
      </c>
      <c r="I18" s="85">
        <f t="shared" si="1"/>
        <v>8.0478956486083927E-2</v>
      </c>
      <c r="L18" s="33"/>
      <c r="M18" s="35"/>
      <c r="N18" s="34"/>
    </row>
    <row r="19" spans="1:14" s="11" customFormat="1">
      <c r="A19" s="36">
        <v>2011</v>
      </c>
      <c r="B19" s="86">
        <v>3943</v>
      </c>
      <c r="C19" s="124">
        <v>557</v>
      </c>
      <c r="D19" s="87">
        <f>C19/B19</f>
        <v>0.141262997717474</v>
      </c>
      <c r="E19" s="9">
        <f t="shared" si="2"/>
        <v>7.4765008369261983</v>
      </c>
      <c r="F19" s="9">
        <f t="shared" si="3"/>
        <v>3.9694994614003587</v>
      </c>
      <c r="G19" s="83">
        <v>29479.842799999999</v>
      </c>
      <c r="H19" s="84">
        <v>2211.0111999999999</v>
      </c>
      <c r="I19" s="85">
        <f t="shared" si="1"/>
        <v>7.5000779854904789E-2</v>
      </c>
      <c r="L19" s="33"/>
      <c r="M19" s="35"/>
      <c r="N19" s="34"/>
    </row>
    <row r="20" spans="1:14" s="11" customFormat="1">
      <c r="A20" s="36">
        <v>2012</v>
      </c>
      <c r="B20" s="86">
        <v>3715</v>
      </c>
      <c r="C20" s="124">
        <v>565</v>
      </c>
      <c r="D20" s="87">
        <f>C20/B20</f>
        <v>0.15208613728129206</v>
      </c>
      <c r="E20" s="9">
        <f t="shared" si="2"/>
        <v>7.1407389771197849</v>
      </c>
      <c r="F20" s="9">
        <f t="shared" si="3"/>
        <v>3.8555854867256638</v>
      </c>
      <c r="G20" s="83">
        <v>26527.845300000001</v>
      </c>
      <c r="H20" s="84">
        <v>2178.4058</v>
      </c>
      <c r="I20" s="85">
        <f t="shared" si="1"/>
        <v>8.2117705956314513E-2</v>
      </c>
      <c r="L20" s="37"/>
      <c r="M20" s="35"/>
      <c r="N20" s="35"/>
    </row>
    <row r="21" spans="1:14" s="50" customFormat="1">
      <c r="A21" s="59"/>
      <c r="B21" s="60"/>
      <c r="C21" s="60"/>
      <c r="D21" s="47"/>
      <c r="E21" s="48"/>
      <c r="F21" s="48"/>
      <c r="G21" s="49"/>
      <c r="H21" s="49"/>
      <c r="I21" s="47"/>
      <c r="L21" s="61"/>
      <c r="M21" s="35"/>
      <c r="N21" s="35"/>
    </row>
    <row r="22" spans="1:14" s="50" customFormat="1">
      <c r="A22" s="45" t="s">
        <v>9</v>
      </c>
      <c r="B22" s="46"/>
      <c r="C22" s="46"/>
      <c r="D22" s="47"/>
      <c r="E22" s="48"/>
      <c r="F22" s="48"/>
      <c r="G22" s="49"/>
      <c r="H22" s="49"/>
      <c r="I22" s="47"/>
    </row>
    <row r="23" spans="1:14" s="50" customFormat="1">
      <c r="A23" s="51"/>
      <c r="B23" s="46"/>
      <c r="C23" s="46"/>
      <c r="D23" s="47"/>
      <c r="E23" s="48"/>
      <c r="F23" s="48"/>
      <c r="G23" s="49"/>
      <c r="H23" s="49"/>
      <c r="I23" s="47"/>
    </row>
    <row r="24" spans="1:14" s="58" customFormat="1" ht="15">
      <c r="A24" s="52"/>
      <c r="B24" s="53"/>
      <c r="C24" s="53"/>
      <c r="D24" s="54"/>
      <c r="E24" s="55"/>
      <c r="F24" s="55"/>
      <c r="G24" s="56"/>
      <c r="H24" s="56"/>
      <c r="I24" s="57"/>
    </row>
    <row r="25" spans="1:14">
      <c r="A25" s="80" t="s">
        <v>89</v>
      </c>
      <c r="B25" s="2"/>
      <c r="C25" s="3"/>
      <c r="E25" s="3"/>
      <c r="F25" s="3"/>
      <c r="G25" s="18"/>
      <c r="H25" s="18"/>
    </row>
    <row r="26" spans="1:14" ht="76.5">
      <c r="A26" s="4" t="s">
        <v>10</v>
      </c>
      <c r="B26" s="88" t="s">
        <v>1</v>
      </c>
      <c r="C26" s="88" t="s">
        <v>2</v>
      </c>
      <c r="D26" s="88" t="s">
        <v>3</v>
      </c>
      <c r="E26" s="8" t="s">
        <v>8</v>
      </c>
      <c r="F26" s="8" t="s">
        <v>4</v>
      </c>
      <c r="G26" s="97" t="s">
        <v>5</v>
      </c>
      <c r="H26" s="97" t="s">
        <v>6</v>
      </c>
      <c r="I26" s="82" t="s">
        <v>7</v>
      </c>
    </row>
    <row r="27" spans="1:14" ht="15" customHeight="1">
      <c r="A27" s="37" t="s">
        <v>58</v>
      </c>
      <c r="B27" s="89">
        <v>906</v>
      </c>
      <c r="C27" s="90">
        <v>199</v>
      </c>
      <c r="D27" s="91">
        <f t="shared" ref="D27:D50" si="4">C27/B27</f>
        <v>0.2196467991169978</v>
      </c>
      <c r="E27" s="9">
        <f>G27/B27</f>
        <v>8.1817294701986754</v>
      </c>
      <c r="F27" s="9">
        <f>H27/C27</f>
        <v>3.9620798994974873</v>
      </c>
      <c r="G27" s="98">
        <v>7412.6468999999997</v>
      </c>
      <c r="H27" s="84">
        <v>788.45389999999998</v>
      </c>
      <c r="I27" s="85">
        <f t="shared" ref="I27:I50" si="5">H27/G27</f>
        <v>0.1063660404490601</v>
      </c>
      <c r="K27" s="30"/>
      <c r="L27" s="31"/>
      <c r="M27" s="32"/>
    </row>
    <row r="28" spans="1:14" ht="15" customHeight="1">
      <c r="A28" s="37" t="s">
        <v>59</v>
      </c>
      <c r="B28" s="89">
        <v>1113</v>
      </c>
      <c r="C28" s="90">
        <v>231</v>
      </c>
      <c r="D28" s="91">
        <f t="shared" si="4"/>
        <v>0.20754716981132076</v>
      </c>
      <c r="E28" s="9">
        <f t="shared" ref="E28:E44" si="6">G28/B28</f>
        <v>7.0375362982929017</v>
      </c>
      <c r="F28" s="9">
        <f t="shared" ref="F28:F44" si="7">H28/C28</f>
        <v>3.0339238095238095</v>
      </c>
      <c r="G28" s="98">
        <v>7832.7779</v>
      </c>
      <c r="H28" s="84">
        <v>700.83640000000003</v>
      </c>
      <c r="I28" s="85">
        <f t="shared" si="5"/>
        <v>8.9474820931664617E-2</v>
      </c>
      <c r="K28" s="30"/>
      <c r="L28" s="31"/>
      <c r="M28" s="32"/>
    </row>
    <row r="29" spans="1:14" ht="15" customHeight="1">
      <c r="A29" s="37" t="s">
        <v>60</v>
      </c>
      <c r="B29" s="89">
        <v>1048</v>
      </c>
      <c r="C29" s="90">
        <v>164</v>
      </c>
      <c r="D29" s="91">
        <f t="shared" si="4"/>
        <v>0.15648854961832062</v>
      </c>
      <c r="E29" s="9">
        <f t="shared" si="6"/>
        <v>7.8367886450381681</v>
      </c>
      <c r="F29" s="9">
        <f t="shared" si="7"/>
        <v>3.0498884146341463</v>
      </c>
      <c r="G29" s="98">
        <v>8212.9544999999998</v>
      </c>
      <c r="H29" s="84">
        <v>500.18169999999998</v>
      </c>
      <c r="I29" s="85">
        <f t="shared" si="5"/>
        <v>6.0901554976348644E-2</v>
      </c>
      <c r="K29" s="30"/>
      <c r="L29" s="31"/>
      <c r="M29" s="32"/>
    </row>
    <row r="30" spans="1:14" ht="15" customHeight="1">
      <c r="A30" s="37" t="s">
        <v>61</v>
      </c>
      <c r="B30" s="89">
        <v>1145</v>
      </c>
      <c r="C30" s="90">
        <v>199</v>
      </c>
      <c r="D30" s="91">
        <f t="shared" si="4"/>
        <v>0.17379912663755459</v>
      </c>
      <c r="E30" s="9">
        <f t="shared" si="6"/>
        <v>7.3508252401746725</v>
      </c>
      <c r="F30" s="9">
        <f t="shared" si="7"/>
        <v>2.8547050251256283</v>
      </c>
      <c r="G30" s="98">
        <v>8416.6949000000004</v>
      </c>
      <c r="H30" s="84">
        <v>568.08630000000005</v>
      </c>
      <c r="I30" s="85">
        <f t="shared" si="5"/>
        <v>6.7495175570638777E-2</v>
      </c>
      <c r="K30" s="30"/>
      <c r="L30" s="31"/>
      <c r="M30" s="32"/>
    </row>
    <row r="31" spans="1:14" ht="15" customHeight="1">
      <c r="A31" s="37" t="s">
        <v>62</v>
      </c>
      <c r="B31" s="89">
        <v>1055</v>
      </c>
      <c r="C31" s="90">
        <v>231</v>
      </c>
      <c r="D31" s="91">
        <f t="shared" si="4"/>
        <v>0.21895734597156399</v>
      </c>
      <c r="E31" s="9">
        <f t="shared" si="6"/>
        <v>7.6630916587677724</v>
      </c>
      <c r="F31" s="9">
        <f t="shared" si="7"/>
        <v>3.0024160173160173</v>
      </c>
      <c r="G31" s="98">
        <v>8084.5617000000002</v>
      </c>
      <c r="H31" s="84">
        <v>693.55809999999997</v>
      </c>
      <c r="I31" s="85">
        <f t="shared" si="5"/>
        <v>8.5787965474986724E-2</v>
      </c>
      <c r="K31" s="30"/>
      <c r="L31" s="31"/>
      <c r="M31" s="32"/>
    </row>
    <row r="32" spans="1:14" ht="15" customHeight="1">
      <c r="A32" s="37" t="s">
        <v>63</v>
      </c>
      <c r="B32" s="89">
        <v>1104</v>
      </c>
      <c r="C32" s="90">
        <v>228</v>
      </c>
      <c r="D32" s="91">
        <f t="shared" si="4"/>
        <v>0.20652173913043478</v>
      </c>
      <c r="E32" s="9">
        <f t="shared" si="6"/>
        <v>7.2735914855072465</v>
      </c>
      <c r="F32" s="9">
        <f t="shared" si="7"/>
        <v>2.8742592105263158</v>
      </c>
      <c r="G32" s="98">
        <v>8030.0450000000001</v>
      </c>
      <c r="H32" s="84">
        <v>655.33109999999999</v>
      </c>
      <c r="I32" s="85">
        <f t="shared" si="5"/>
        <v>8.1609891351791919E-2</v>
      </c>
      <c r="K32" s="30"/>
      <c r="L32" s="31"/>
      <c r="M32" s="32"/>
    </row>
    <row r="33" spans="1:13" ht="15" customHeight="1">
      <c r="A33" s="37" t="s">
        <v>64</v>
      </c>
      <c r="B33" s="89">
        <v>1046</v>
      </c>
      <c r="C33" s="90">
        <v>251</v>
      </c>
      <c r="D33" s="91">
        <f t="shared" si="4"/>
        <v>0.23996175908221798</v>
      </c>
      <c r="E33" s="9">
        <f t="shared" si="6"/>
        <v>7.2896598470363285</v>
      </c>
      <c r="F33" s="9">
        <f t="shared" si="7"/>
        <v>3.2920270916334662</v>
      </c>
      <c r="G33" s="98">
        <v>7624.9841999999999</v>
      </c>
      <c r="H33" s="84">
        <v>826.29880000000003</v>
      </c>
      <c r="I33" s="85">
        <f t="shared" si="5"/>
        <v>0.10836728028892179</v>
      </c>
      <c r="K33" s="30"/>
      <c r="L33" s="31"/>
      <c r="M33" s="32"/>
    </row>
    <row r="34" spans="1:13" ht="15" customHeight="1">
      <c r="A34" s="37" t="s">
        <v>65</v>
      </c>
      <c r="B34" s="89">
        <v>963</v>
      </c>
      <c r="C34" s="90">
        <v>168</v>
      </c>
      <c r="D34" s="91">
        <f t="shared" si="4"/>
        <v>0.17445482866043613</v>
      </c>
      <c r="E34" s="9">
        <f t="shared" si="6"/>
        <v>6.4455419522326061</v>
      </c>
      <c r="F34" s="9">
        <f t="shared" si="7"/>
        <v>2.9448749999999997</v>
      </c>
      <c r="G34" s="98">
        <v>6207.0568999999996</v>
      </c>
      <c r="H34" s="84">
        <v>494.73899999999998</v>
      </c>
      <c r="I34" s="85">
        <f t="shared" si="5"/>
        <v>7.9705890886871036E-2</v>
      </c>
      <c r="K34" s="30"/>
      <c r="L34" s="31"/>
      <c r="M34" s="32"/>
    </row>
    <row r="35" spans="1:13" ht="15" customHeight="1">
      <c r="A35" s="37" t="s">
        <v>66</v>
      </c>
      <c r="B35" s="92">
        <v>678</v>
      </c>
      <c r="C35" s="90">
        <v>95</v>
      </c>
      <c r="D35" s="91">
        <f t="shared" si="4"/>
        <v>0.14011799410029499</v>
      </c>
      <c r="E35" s="9">
        <f t="shared" si="6"/>
        <v>5.673414306784661</v>
      </c>
      <c r="F35" s="9">
        <f t="shared" si="7"/>
        <v>2.3431231578947367</v>
      </c>
      <c r="G35" s="98">
        <v>3846.5749000000001</v>
      </c>
      <c r="H35" s="84">
        <v>222.5967</v>
      </c>
      <c r="I35" s="85">
        <f t="shared" si="5"/>
        <v>5.7868806870236683E-2</v>
      </c>
      <c r="K35" s="30"/>
      <c r="L35" s="31"/>
      <c r="M35" s="32"/>
    </row>
    <row r="36" spans="1:13" ht="15" customHeight="1">
      <c r="A36" s="37" t="s">
        <v>67</v>
      </c>
      <c r="B36" s="93">
        <v>762</v>
      </c>
      <c r="C36" s="90">
        <v>97</v>
      </c>
      <c r="D36" s="91">
        <f t="shared" si="4"/>
        <v>0.12729658792650919</v>
      </c>
      <c r="E36" s="9">
        <f t="shared" si="6"/>
        <v>6.8632758530183731</v>
      </c>
      <c r="F36" s="9">
        <f t="shared" si="7"/>
        <v>3.6201216494845361</v>
      </c>
      <c r="G36" s="98">
        <v>5229.8162000000002</v>
      </c>
      <c r="H36" s="84">
        <v>351.15179999999998</v>
      </c>
      <c r="I36" s="85">
        <f t="shared" si="5"/>
        <v>6.7144195239595597E-2</v>
      </c>
      <c r="K36" s="30"/>
      <c r="L36" s="31"/>
      <c r="M36" s="32"/>
    </row>
    <row r="37" spans="1:13" ht="15" customHeight="1">
      <c r="A37" s="37" t="s">
        <v>68</v>
      </c>
      <c r="B37" s="93">
        <v>761</v>
      </c>
      <c r="C37" s="90">
        <v>80</v>
      </c>
      <c r="D37" s="91">
        <f t="shared" si="4"/>
        <v>0.10512483574244415</v>
      </c>
      <c r="E37" s="9">
        <f t="shared" si="6"/>
        <v>7.0876396846254925</v>
      </c>
      <c r="F37" s="9">
        <f t="shared" si="7"/>
        <v>3.5516312499999998</v>
      </c>
      <c r="G37" s="98">
        <v>5393.6938</v>
      </c>
      <c r="H37" s="84">
        <v>284.13049999999998</v>
      </c>
      <c r="I37" s="85">
        <f t="shared" si="5"/>
        <v>5.2678277732414097E-2</v>
      </c>
      <c r="K37" s="30"/>
      <c r="L37" s="31"/>
      <c r="M37" s="32"/>
    </row>
    <row r="38" spans="1:13" ht="15" customHeight="1">
      <c r="A38" s="37" t="s">
        <v>69</v>
      </c>
      <c r="B38" s="94">
        <v>940</v>
      </c>
      <c r="C38" s="90">
        <v>122</v>
      </c>
      <c r="D38" s="91">
        <f t="shared" si="4"/>
        <v>0.12978723404255318</v>
      </c>
      <c r="E38" s="9">
        <f t="shared" si="6"/>
        <v>6.2907968085106383</v>
      </c>
      <c r="F38" s="9">
        <f t="shared" si="7"/>
        <v>3.7794491803278691</v>
      </c>
      <c r="G38" s="98">
        <v>5913.3490000000002</v>
      </c>
      <c r="H38" s="84">
        <v>461.09280000000001</v>
      </c>
      <c r="I38" s="85">
        <f t="shared" si="5"/>
        <v>7.7974900517456355E-2</v>
      </c>
      <c r="K38" s="30"/>
      <c r="L38" s="31"/>
      <c r="M38" s="32"/>
    </row>
    <row r="39" spans="1:13" ht="15" customHeight="1">
      <c r="A39" s="37" t="s">
        <v>70</v>
      </c>
      <c r="B39" s="95">
        <v>817</v>
      </c>
      <c r="C39" s="90">
        <v>97</v>
      </c>
      <c r="D39" s="91">
        <f t="shared" si="4"/>
        <v>0.11872705018359853</v>
      </c>
      <c r="E39" s="9">
        <f t="shared" si="6"/>
        <v>6.2030991432068543</v>
      </c>
      <c r="F39" s="9">
        <f t="shared" si="7"/>
        <v>3.8306855670103093</v>
      </c>
      <c r="G39" s="98">
        <v>5067.9319999999998</v>
      </c>
      <c r="H39" s="84">
        <v>371.57650000000001</v>
      </c>
      <c r="I39" s="85">
        <f t="shared" si="5"/>
        <v>7.3319156610625408E-2</v>
      </c>
      <c r="K39" s="30"/>
      <c r="L39" s="31"/>
      <c r="M39" s="32"/>
    </row>
    <row r="40" spans="1:13" ht="15" customHeight="1">
      <c r="A40" s="37" t="s">
        <v>71</v>
      </c>
      <c r="B40" s="96">
        <v>1020</v>
      </c>
      <c r="C40" s="90">
        <v>117</v>
      </c>
      <c r="D40" s="91">
        <f t="shared" si="4"/>
        <v>0.11470588235294117</v>
      </c>
      <c r="E40" s="9">
        <f t="shared" si="6"/>
        <v>7.010620294117647</v>
      </c>
      <c r="F40" s="9">
        <f t="shared" si="7"/>
        <v>5.4175589743589745</v>
      </c>
      <c r="G40" s="98">
        <v>7150.8326999999999</v>
      </c>
      <c r="H40" s="84">
        <v>633.85440000000006</v>
      </c>
      <c r="I40" s="85">
        <f t="shared" si="5"/>
        <v>8.8640641809449694E-2</v>
      </c>
      <c r="K40" s="30"/>
      <c r="L40" s="31"/>
      <c r="M40" s="32"/>
    </row>
    <row r="41" spans="1:13" ht="15" customHeight="1">
      <c r="A41" s="37" t="s">
        <v>72</v>
      </c>
      <c r="B41" s="95">
        <v>881</v>
      </c>
      <c r="C41" s="90">
        <v>109</v>
      </c>
      <c r="D41" s="91">
        <f t="shared" si="4"/>
        <v>0.12372304199772985</v>
      </c>
      <c r="E41" s="9">
        <f t="shared" si="6"/>
        <v>6.1660155505107825</v>
      </c>
      <c r="F41" s="9">
        <f t="shared" si="7"/>
        <v>4.1218715596330275</v>
      </c>
      <c r="G41" s="98">
        <v>5432.2596999999996</v>
      </c>
      <c r="H41" s="84">
        <v>449.28399999999999</v>
      </c>
      <c r="I41" s="85">
        <f t="shared" si="5"/>
        <v>8.2706649683924355E-2</v>
      </c>
      <c r="K41" s="30"/>
      <c r="L41" s="31"/>
      <c r="M41" s="32"/>
    </row>
    <row r="42" spans="1:13" ht="15" customHeight="1">
      <c r="A42" s="37" t="s">
        <v>73</v>
      </c>
      <c r="B42" s="96">
        <v>906</v>
      </c>
      <c r="C42" s="90">
        <v>129</v>
      </c>
      <c r="D42" s="91">
        <f t="shared" si="4"/>
        <v>0.14238410596026491</v>
      </c>
      <c r="E42" s="9">
        <f t="shared" si="6"/>
        <v>6.2560384105960267</v>
      </c>
      <c r="F42" s="9">
        <f t="shared" si="7"/>
        <v>3.271112403100775</v>
      </c>
      <c r="G42" s="99">
        <v>5667.9708000000001</v>
      </c>
      <c r="H42" s="84">
        <v>421.9735</v>
      </c>
      <c r="I42" s="85">
        <f t="shared" si="5"/>
        <v>7.4448778035342028E-2</v>
      </c>
      <c r="K42" s="30"/>
      <c r="L42" s="31"/>
      <c r="M42" s="32"/>
    </row>
    <row r="43" spans="1:13" s="17" customFormat="1" ht="15" customHeight="1">
      <c r="A43" s="37" t="s">
        <v>74</v>
      </c>
      <c r="B43" s="93">
        <v>898</v>
      </c>
      <c r="C43" s="90">
        <v>115</v>
      </c>
      <c r="D43" s="91">
        <f t="shared" si="4"/>
        <v>0.12806236080178174</v>
      </c>
      <c r="E43" s="9">
        <f t="shared" si="6"/>
        <v>7.2758037861915366</v>
      </c>
      <c r="F43" s="9">
        <f t="shared" si="7"/>
        <v>3.6375895652173909</v>
      </c>
      <c r="G43" s="99">
        <v>6533.6718000000001</v>
      </c>
      <c r="H43" s="84">
        <v>418.32279999999997</v>
      </c>
      <c r="I43" s="85">
        <f t="shared" si="5"/>
        <v>6.4025683077622603E-2</v>
      </c>
      <c r="K43" s="27"/>
      <c r="L43" s="32"/>
      <c r="M43" s="32"/>
    </row>
    <row r="44" spans="1:13" ht="15" customHeight="1">
      <c r="A44" s="37" t="s">
        <v>75</v>
      </c>
      <c r="B44" s="93">
        <v>1074</v>
      </c>
      <c r="C44" s="90">
        <v>157</v>
      </c>
      <c r="D44" s="91">
        <f t="shared" si="4"/>
        <v>0.14618249534450653</v>
      </c>
      <c r="E44" s="9">
        <f t="shared" si="6"/>
        <v>7.5861548417132223</v>
      </c>
      <c r="F44" s="9">
        <f t="shared" si="7"/>
        <v>4.5463732484076438</v>
      </c>
      <c r="G44" s="99">
        <v>8147.5303000000004</v>
      </c>
      <c r="H44" s="84">
        <v>713.78060000000005</v>
      </c>
      <c r="I44" s="85">
        <f t="shared" si="5"/>
        <v>8.7606989322887213E-2</v>
      </c>
      <c r="K44" s="30"/>
      <c r="L44" s="31"/>
      <c r="M44" s="32"/>
    </row>
    <row r="45" spans="1:13" ht="15" customHeight="1">
      <c r="A45" s="37" t="s">
        <v>76</v>
      </c>
      <c r="B45" s="93">
        <v>1001</v>
      </c>
      <c r="C45" s="90">
        <v>149</v>
      </c>
      <c r="D45" s="91">
        <f t="shared" si="4"/>
        <v>0.14885114885114886</v>
      </c>
      <c r="E45" s="9">
        <f t="shared" ref="E45:E50" si="8">G45/B45</f>
        <v>7.4059281718281715</v>
      </c>
      <c r="F45" s="9">
        <f t="shared" ref="F45:F50" si="9">H45/C45</f>
        <v>3.7077496644295302</v>
      </c>
      <c r="G45" s="100">
        <v>7413.3341</v>
      </c>
      <c r="H45" s="100">
        <v>552.4547</v>
      </c>
      <c r="I45" s="85">
        <f t="shared" si="5"/>
        <v>7.4521759379494304E-2</v>
      </c>
    </row>
    <row r="46" spans="1:13">
      <c r="A46" s="2" t="s">
        <v>78</v>
      </c>
      <c r="B46" s="93">
        <v>970</v>
      </c>
      <c r="C46" s="90">
        <v>136</v>
      </c>
      <c r="D46" s="91">
        <f t="shared" si="4"/>
        <v>0.14020618556701031</v>
      </c>
      <c r="E46" s="9">
        <f t="shared" si="8"/>
        <v>7.6137181443298969</v>
      </c>
      <c r="F46" s="9">
        <f t="shared" si="9"/>
        <v>3.870978676470588</v>
      </c>
      <c r="G46" s="101">
        <v>7385.3065999999999</v>
      </c>
      <c r="H46" s="98">
        <v>526.45309999999995</v>
      </c>
      <c r="I46" s="85">
        <f t="shared" si="5"/>
        <v>7.128385164131168E-2</v>
      </c>
    </row>
    <row r="47" spans="1:13">
      <c r="A47" s="2" t="s">
        <v>79</v>
      </c>
      <c r="B47" s="93">
        <v>858</v>
      </c>
      <c r="C47" s="90">
        <v>143</v>
      </c>
      <c r="D47" s="91">
        <f t="shared" si="4"/>
        <v>0.16666666666666666</v>
      </c>
      <c r="E47" s="9">
        <f t="shared" si="8"/>
        <v>7.246786363636363</v>
      </c>
      <c r="F47" s="9">
        <f t="shared" si="9"/>
        <v>3.6141951048951046</v>
      </c>
      <c r="G47" s="101">
        <v>6217.7426999999998</v>
      </c>
      <c r="H47" s="98">
        <v>516.82989999999995</v>
      </c>
      <c r="I47" s="85">
        <f t="shared" si="5"/>
        <v>8.3121789520174252E-2</v>
      </c>
    </row>
    <row r="48" spans="1:13">
      <c r="A48" s="2" t="s">
        <v>90</v>
      </c>
      <c r="B48" s="93">
        <v>957</v>
      </c>
      <c r="C48" s="90">
        <v>147</v>
      </c>
      <c r="D48" s="91">
        <f t="shared" si="4"/>
        <v>0.15360501567398119</v>
      </c>
      <c r="E48" s="9">
        <f t="shared" si="8"/>
        <v>7.5487861024033434</v>
      </c>
      <c r="F48" s="9">
        <f t="shared" si="9"/>
        <v>3.7362306122448983</v>
      </c>
      <c r="G48" s="101">
        <v>7224.1882999999998</v>
      </c>
      <c r="H48" s="98">
        <v>549.22590000000002</v>
      </c>
      <c r="I48" s="85">
        <f t="shared" si="5"/>
        <v>7.6025966820383137E-2</v>
      </c>
    </row>
    <row r="49" spans="1:20">
      <c r="A49" s="36" t="s">
        <v>91</v>
      </c>
      <c r="B49" s="93">
        <v>919</v>
      </c>
      <c r="C49" s="90">
        <v>134</v>
      </c>
      <c r="D49" s="91">
        <f t="shared" si="4"/>
        <v>0.14581066376496191</v>
      </c>
      <c r="E49" s="9">
        <f t="shared" si="8"/>
        <v>7.1803737758433082</v>
      </c>
      <c r="F49" s="9">
        <f t="shared" si="9"/>
        <v>5.0372634328358208</v>
      </c>
      <c r="G49" s="101">
        <v>6598.7635</v>
      </c>
      <c r="H49" s="98">
        <v>674.99329999999998</v>
      </c>
      <c r="I49" s="85">
        <f t="shared" si="5"/>
        <v>0.10229087616187486</v>
      </c>
    </row>
    <row r="50" spans="1:20">
      <c r="A50" s="36" t="s">
        <v>100</v>
      </c>
      <c r="B50" s="93">
        <v>981</v>
      </c>
      <c r="C50" s="90">
        <v>141</v>
      </c>
      <c r="D50" s="91">
        <f t="shared" si="4"/>
        <v>0.14373088685015289</v>
      </c>
      <c r="E50" s="9">
        <f t="shared" si="8"/>
        <v>6.6127938837920492</v>
      </c>
      <c r="F50" s="9">
        <f t="shared" si="9"/>
        <v>3.1018205673758863</v>
      </c>
      <c r="G50" s="101">
        <v>6487.1508000000003</v>
      </c>
      <c r="H50" s="98">
        <v>437.35669999999999</v>
      </c>
      <c r="I50" s="85">
        <f t="shared" si="5"/>
        <v>6.7418919874654371E-2</v>
      </c>
      <c r="J50" s="131"/>
      <c r="K50" s="131"/>
      <c r="L50" s="131"/>
      <c r="M50" s="131"/>
      <c r="N50" s="131"/>
      <c r="O50" s="131"/>
      <c r="P50" s="131"/>
      <c r="Q50" s="131"/>
      <c r="R50" s="131"/>
      <c r="S50" s="131"/>
      <c r="T50" s="131"/>
    </row>
    <row r="51" spans="1:20">
      <c r="A51" s="2"/>
      <c r="B51" s="2"/>
    </row>
    <row r="52" spans="1:20">
      <c r="A52" s="5" t="s">
        <v>9</v>
      </c>
      <c r="B52" s="1"/>
    </row>
  </sheetData>
  <phoneticPr fontId="0" type="noConversion"/>
  <pageMargins left="0.75" right="0.75" top="1" bottom="1" header="0.5" footer="0.5"/>
  <pageSetup fitToHeight="7" orientation="landscape" horizontalDpi="0" verticalDpi="0" r:id="rId1"/>
  <headerFooter alignWithMargins="0"/>
  <ignoredErrors>
    <ignoredError sqref="I27:I39 D27:D34 I3:I20 D3:D20 D35:D50 I40:I5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4"/>
  <sheetViews>
    <sheetView zoomScale="130" zoomScaleNormal="130" workbookViewId="0">
      <selection activeCell="A12" sqref="A12"/>
    </sheetView>
  </sheetViews>
  <sheetFormatPr defaultRowHeight="12.75"/>
  <cols>
    <col min="1" max="1" width="29.7109375" customWidth="1"/>
    <col min="2" max="7" width="12.5703125" customWidth="1"/>
    <col min="8" max="10" width="12.28515625" customWidth="1"/>
  </cols>
  <sheetData>
    <row r="1" spans="1:10">
      <c r="A1" s="38" t="s">
        <v>101</v>
      </c>
    </row>
    <row r="2" spans="1:10">
      <c r="A2" s="122" t="s">
        <v>105</v>
      </c>
    </row>
    <row r="3" spans="1:10" ht="76.5">
      <c r="A3" s="13" t="s">
        <v>24</v>
      </c>
      <c r="B3" s="14" t="s">
        <v>25</v>
      </c>
      <c r="C3" s="14" t="s">
        <v>26</v>
      </c>
      <c r="D3" s="14" t="s">
        <v>46</v>
      </c>
      <c r="E3" s="68" t="s">
        <v>27</v>
      </c>
      <c r="F3" s="68" t="s">
        <v>28</v>
      </c>
      <c r="G3" s="68" t="s">
        <v>29</v>
      </c>
      <c r="H3" s="65" t="s">
        <v>77</v>
      </c>
      <c r="I3" s="106" t="s">
        <v>80</v>
      </c>
      <c r="J3" s="69" t="s">
        <v>81</v>
      </c>
    </row>
    <row r="4" spans="1:10">
      <c r="A4" s="62" t="s">
        <v>30</v>
      </c>
      <c r="B4" s="63">
        <v>467</v>
      </c>
      <c r="C4" s="28">
        <f>D4/B4</f>
        <v>8.8867012847965743</v>
      </c>
      <c r="D4" s="40">
        <v>4150.0895</v>
      </c>
      <c r="E4" s="102">
        <v>91</v>
      </c>
      <c r="F4" s="103">
        <f>G4/E4</f>
        <v>4.9917824175824181</v>
      </c>
      <c r="G4" s="104">
        <v>454.25220000000002</v>
      </c>
      <c r="H4" s="66">
        <f>G4/G21</f>
        <v>0.20852505897420462</v>
      </c>
      <c r="I4" s="107">
        <f>E4/B4</f>
        <v>0.19486081370449679</v>
      </c>
      <c r="J4" s="70">
        <f>G4/D4</f>
        <v>0.10945600088865554</v>
      </c>
    </row>
    <row r="5" spans="1:10">
      <c r="A5" s="62" t="s">
        <v>31</v>
      </c>
      <c r="B5" s="63">
        <v>36</v>
      </c>
      <c r="C5" s="28">
        <f t="shared" ref="C5:C21" si="0">D5/B5</f>
        <v>2.7242111111111114</v>
      </c>
      <c r="D5" s="40">
        <v>98.071600000000004</v>
      </c>
      <c r="E5" s="102">
        <v>9.9999999999999998E-17</v>
      </c>
      <c r="F5" s="103">
        <v>0</v>
      </c>
      <c r="G5" s="104">
        <v>1.0000000000000001E-5</v>
      </c>
      <c r="H5" s="66">
        <f t="shared" ref="H5:H21" si="1">G5/$G$21</f>
        <v>4.5905129127432871E-9</v>
      </c>
      <c r="I5" s="107">
        <f t="shared" ref="I5:I20" si="2">E5/B5</f>
        <v>2.7777777777777778E-18</v>
      </c>
      <c r="J5" s="70">
        <f t="shared" ref="J5:J21" si="3">G5/D5</f>
        <v>1.0196631848567782E-7</v>
      </c>
    </row>
    <row r="6" spans="1:10">
      <c r="A6" s="62" t="s">
        <v>32</v>
      </c>
      <c r="B6" s="63">
        <v>48</v>
      </c>
      <c r="C6" s="28">
        <f t="shared" si="0"/>
        <v>9.4380645833333343</v>
      </c>
      <c r="D6" s="40">
        <v>453.02710000000002</v>
      </c>
      <c r="E6" s="102">
        <v>9</v>
      </c>
      <c r="F6" s="103">
        <f t="shared" ref="F5:F20" si="4">G6/E6</f>
        <v>1.4974222222222222</v>
      </c>
      <c r="G6" s="104">
        <v>13.476800000000001</v>
      </c>
      <c r="H6" s="66">
        <f t="shared" si="1"/>
        <v>6.1865424422458733E-3</v>
      </c>
      <c r="I6" s="107">
        <f t="shared" si="2"/>
        <v>0.1875</v>
      </c>
      <c r="J6" s="70">
        <f t="shared" si="3"/>
        <v>2.974833072900054E-2</v>
      </c>
    </row>
    <row r="7" spans="1:10">
      <c r="A7" s="62" t="s">
        <v>33</v>
      </c>
      <c r="B7" s="63">
        <v>158</v>
      </c>
      <c r="C7" s="28">
        <f t="shared" si="0"/>
        <v>7.6297898734177219</v>
      </c>
      <c r="D7" s="40">
        <v>1205.5068000000001</v>
      </c>
      <c r="E7" s="102">
        <v>10</v>
      </c>
      <c r="F7" s="103">
        <f t="shared" si="4"/>
        <v>1.3629200000000001</v>
      </c>
      <c r="G7" s="104">
        <v>13.629200000000001</v>
      </c>
      <c r="H7" s="66">
        <f t="shared" si="1"/>
        <v>6.2565018590360812E-3</v>
      </c>
      <c r="I7" s="107">
        <f t="shared" si="2"/>
        <v>6.3291139240506333E-2</v>
      </c>
      <c r="J7" s="70">
        <f t="shared" si="3"/>
        <v>1.1305784421954318E-2</v>
      </c>
    </row>
    <row r="8" spans="1:10">
      <c r="A8" s="62" t="s">
        <v>34</v>
      </c>
      <c r="B8" s="63">
        <v>50</v>
      </c>
      <c r="C8" s="28">
        <f t="shared" si="0"/>
        <v>4.8058999999999994</v>
      </c>
      <c r="D8" s="40">
        <v>240.29499999999999</v>
      </c>
      <c r="E8" s="102">
        <v>7</v>
      </c>
      <c r="F8" s="103">
        <f t="shared" si="4"/>
        <v>3.1536428571428572</v>
      </c>
      <c r="G8" s="104">
        <v>22.075500000000002</v>
      </c>
      <c r="H8" s="66">
        <f t="shared" si="1"/>
        <v>1.0133786780526444E-2</v>
      </c>
      <c r="I8" s="107">
        <f t="shared" si="2"/>
        <v>0.14000000000000001</v>
      </c>
      <c r="J8" s="70">
        <f t="shared" si="3"/>
        <v>9.1868328512869607E-2</v>
      </c>
    </row>
    <row r="9" spans="1:10">
      <c r="A9" s="62" t="s">
        <v>35</v>
      </c>
      <c r="B9" s="63">
        <v>45</v>
      </c>
      <c r="C9" s="28">
        <f t="shared" si="0"/>
        <v>6.3070222222222219</v>
      </c>
      <c r="D9" s="40">
        <v>283.81599999999997</v>
      </c>
      <c r="E9" s="102">
        <v>3</v>
      </c>
      <c r="F9" s="103">
        <f t="shared" si="4"/>
        <v>3.1555666666666666</v>
      </c>
      <c r="G9" s="104">
        <v>9.4666999999999994</v>
      </c>
      <c r="H9" s="66">
        <f t="shared" si="1"/>
        <v>4.3457008591066869E-3</v>
      </c>
      <c r="I9" s="107">
        <f t="shared" si="2"/>
        <v>6.6666666666666666E-2</v>
      </c>
      <c r="J9" s="70">
        <f t="shared" si="3"/>
        <v>3.335506102545311E-2</v>
      </c>
    </row>
    <row r="10" spans="1:10">
      <c r="A10" s="62" t="s">
        <v>36</v>
      </c>
      <c r="B10" s="63">
        <v>44</v>
      </c>
      <c r="C10" s="28">
        <f t="shared" si="0"/>
        <v>7.0502750000000001</v>
      </c>
      <c r="D10" s="40">
        <v>310.21210000000002</v>
      </c>
      <c r="E10" s="102">
        <v>8</v>
      </c>
      <c r="F10" s="103">
        <f t="shared" si="4"/>
        <v>5.5139374999999999</v>
      </c>
      <c r="G10" s="104">
        <v>44.111499999999999</v>
      </c>
      <c r="H10" s="66">
        <f t="shared" si="1"/>
        <v>2.0249441035047548E-2</v>
      </c>
      <c r="I10" s="107">
        <f t="shared" si="2"/>
        <v>0.18181818181818182</v>
      </c>
      <c r="J10" s="70">
        <f t="shared" si="3"/>
        <v>0.14219787042478355</v>
      </c>
    </row>
    <row r="11" spans="1:10">
      <c r="A11" s="62" t="s">
        <v>37</v>
      </c>
      <c r="B11" s="63">
        <v>244</v>
      </c>
      <c r="C11" s="28">
        <f t="shared" si="0"/>
        <v>11.444127049180329</v>
      </c>
      <c r="D11" s="40">
        <v>2792.3670000000002</v>
      </c>
      <c r="E11" s="102">
        <v>50</v>
      </c>
      <c r="F11" s="103">
        <f t="shared" si="4"/>
        <v>4.9004899999999996</v>
      </c>
      <c r="G11" s="104">
        <v>245.02449999999999</v>
      </c>
      <c r="H11" s="66">
        <f t="shared" si="1"/>
        <v>0.11247881311884675</v>
      </c>
      <c r="I11" s="107">
        <f t="shared" si="2"/>
        <v>0.20491803278688525</v>
      </c>
      <c r="J11" s="70">
        <f t="shared" si="3"/>
        <v>8.7747957199035789E-2</v>
      </c>
    </row>
    <row r="12" spans="1:10">
      <c r="A12" s="62" t="s">
        <v>38</v>
      </c>
      <c r="B12" s="63">
        <v>313</v>
      </c>
      <c r="C12" s="28">
        <f t="shared" si="0"/>
        <v>6.3552575079872202</v>
      </c>
      <c r="D12" s="40">
        <v>1989.1956</v>
      </c>
      <c r="E12" s="102">
        <v>42</v>
      </c>
      <c r="F12" s="103">
        <f t="shared" si="4"/>
        <v>5.7701190476190476</v>
      </c>
      <c r="G12" s="104">
        <v>242.345</v>
      </c>
      <c r="H12" s="66">
        <f t="shared" si="1"/>
        <v>0.11124878518387718</v>
      </c>
      <c r="I12" s="107">
        <f t="shared" si="2"/>
        <v>0.13418530351437699</v>
      </c>
      <c r="J12" s="70">
        <f t="shared" si="3"/>
        <v>0.1218306535566437</v>
      </c>
    </row>
    <row r="13" spans="1:10">
      <c r="A13" s="62" t="s">
        <v>39</v>
      </c>
      <c r="B13" s="63">
        <v>393</v>
      </c>
      <c r="C13" s="28">
        <f t="shared" si="0"/>
        <v>4.7625936386768446</v>
      </c>
      <c r="D13" s="40">
        <v>1871.6993</v>
      </c>
      <c r="E13" s="102">
        <v>58</v>
      </c>
      <c r="F13" s="103">
        <f t="shared" si="4"/>
        <v>1.9439310344827587</v>
      </c>
      <c r="G13" s="104">
        <v>112.748</v>
      </c>
      <c r="H13" s="66">
        <f t="shared" si="1"/>
        <v>5.1757114988598016E-2</v>
      </c>
      <c r="I13" s="107">
        <f t="shared" si="2"/>
        <v>0.1475826972010178</v>
      </c>
      <c r="J13" s="70">
        <f t="shared" si="3"/>
        <v>6.0238308578733774E-2</v>
      </c>
    </row>
    <row r="14" spans="1:10">
      <c r="A14" s="62" t="s">
        <v>40</v>
      </c>
      <c r="B14" s="63">
        <v>316</v>
      </c>
      <c r="C14" s="28">
        <f t="shared" si="0"/>
        <v>7.8084708860759493</v>
      </c>
      <c r="D14" s="40">
        <v>2467.4767999999999</v>
      </c>
      <c r="E14" s="102">
        <v>40</v>
      </c>
      <c r="F14" s="103">
        <f t="shared" si="4"/>
        <v>4.5197200000000004</v>
      </c>
      <c r="G14" s="104">
        <v>180.78880000000001</v>
      </c>
      <c r="H14" s="66">
        <f t="shared" si="1"/>
        <v>8.2991332087936354E-2</v>
      </c>
      <c r="I14" s="107">
        <f t="shared" si="2"/>
        <v>0.12658227848101267</v>
      </c>
      <c r="J14" s="70">
        <f t="shared" si="3"/>
        <v>7.3268692941712774E-2</v>
      </c>
    </row>
    <row r="15" spans="1:10">
      <c r="A15" s="62" t="s">
        <v>41</v>
      </c>
      <c r="B15" s="63">
        <v>38</v>
      </c>
      <c r="C15" s="28">
        <f t="shared" si="0"/>
        <v>8.313055263157894</v>
      </c>
      <c r="D15" s="40">
        <v>315.89609999999999</v>
      </c>
      <c r="E15" s="102">
        <v>7</v>
      </c>
      <c r="F15" s="103">
        <f t="shared" si="4"/>
        <v>3.3600857142857143</v>
      </c>
      <c r="G15" s="104">
        <v>23.520600000000002</v>
      </c>
      <c r="H15" s="66">
        <f t="shared" si="1"/>
        <v>1.0797161801546976E-2</v>
      </c>
      <c r="I15" s="107">
        <f t="shared" si="2"/>
        <v>0.18421052631578946</v>
      </c>
      <c r="J15" s="70">
        <f t="shared" si="3"/>
        <v>7.4456759675095713E-2</v>
      </c>
    </row>
    <row r="16" spans="1:10">
      <c r="A16" s="62" t="s">
        <v>92</v>
      </c>
      <c r="B16" s="63">
        <v>28</v>
      </c>
      <c r="C16" s="28">
        <v>0</v>
      </c>
      <c r="D16" s="40">
        <v>52.759900000000002</v>
      </c>
      <c r="E16" s="102">
        <v>1</v>
      </c>
      <c r="F16" s="103">
        <f t="shared" si="4"/>
        <v>5</v>
      </c>
      <c r="G16" s="104">
        <v>5</v>
      </c>
      <c r="H16" s="66">
        <v>0</v>
      </c>
      <c r="I16" s="107">
        <f t="shared" si="2"/>
        <v>3.5714285714285712E-2</v>
      </c>
      <c r="J16" s="70">
        <v>0</v>
      </c>
    </row>
    <row r="17" spans="1:10">
      <c r="A17" s="62" t="s">
        <v>42</v>
      </c>
      <c r="B17" s="63">
        <v>59</v>
      </c>
      <c r="C17" s="28">
        <f t="shared" si="0"/>
        <v>8.4448101694915252</v>
      </c>
      <c r="D17" s="40">
        <v>498.24380000000002</v>
      </c>
      <c r="E17" s="102">
        <v>9</v>
      </c>
      <c r="F17" s="103">
        <f t="shared" si="4"/>
        <v>5.8012444444444444</v>
      </c>
      <c r="G17" s="104">
        <v>52.211199999999998</v>
      </c>
      <c r="H17" s="66">
        <f t="shared" si="1"/>
        <v>2.3967618778982229E-2</v>
      </c>
      <c r="I17" s="107">
        <f t="shared" si="2"/>
        <v>0.15254237288135594</v>
      </c>
      <c r="J17" s="70">
        <f t="shared" si="3"/>
        <v>0.10479046603289392</v>
      </c>
    </row>
    <row r="18" spans="1:10">
      <c r="A18" s="62" t="s">
        <v>43</v>
      </c>
      <c r="B18" s="63">
        <v>108</v>
      </c>
      <c r="C18" s="28">
        <f t="shared" si="0"/>
        <v>8.5773250000000001</v>
      </c>
      <c r="D18" s="40">
        <v>926.35109999999997</v>
      </c>
      <c r="E18" s="102">
        <v>18</v>
      </c>
      <c r="F18" s="103">
        <f t="shared" si="4"/>
        <v>6.1295833333333327</v>
      </c>
      <c r="G18" s="104">
        <v>110.3325</v>
      </c>
      <c r="H18" s="66">
        <f t="shared" si="1"/>
        <v>5.0648276594524866E-2</v>
      </c>
      <c r="I18" s="107">
        <f t="shared" si="2"/>
        <v>0.16666666666666666</v>
      </c>
      <c r="J18" s="70">
        <f t="shared" si="3"/>
        <v>0.11910440868478485</v>
      </c>
    </row>
    <row r="19" spans="1:10">
      <c r="A19" s="62" t="s">
        <v>44</v>
      </c>
      <c r="B19" s="63">
        <v>1274</v>
      </c>
      <c r="C19" s="28">
        <f t="shared" si="0"/>
        <v>6.5082271585557301</v>
      </c>
      <c r="D19" s="40">
        <v>8291.4814000000006</v>
      </c>
      <c r="E19" s="102">
        <v>195</v>
      </c>
      <c r="F19" s="103">
        <f t="shared" si="4"/>
        <v>3.1005061538461538</v>
      </c>
      <c r="G19" s="104">
        <v>604.59870000000001</v>
      </c>
      <c r="H19" s="66">
        <f t="shared" si="1"/>
        <v>0.27754181393778049</v>
      </c>
      <c r="I19" s="107">
        <f t="shared" si="2"/>
        <v>0.15306122448979592</v>
      </c>
      <c r="J19" s="70">
        <f t="shared" si="3"/>
        <v>7.2918055391163264E-2</v>
      </c>
    </row>
    <row r="20" spans="1:10">
      <c r="A20" s="62" t="s">
        <v>45</v>
      </c>
      <c r="B20" s="109">
        <v>94</v>
      </c>
      <c r="C20" s="41">
        <f t="shared" si="0"/>
        <v>6.1846404255319145</v>
      </c>
      <c r="D20" s="42">
        <v>581.35619999999994</v>
      </c>
      <c r="E20" s="110">
        <v>17</v>
      </c>
      <c r="F20" s="103">
        <f t="shared" si="4"/>
        <v>2.6367411764705881</v>
      </c>
      <c r="G20" s="105">
        <v>44.824599999999997</v>
      </c>
      <c r="H20" s="67">
        <f t="shared" si="1"/>
        <v>2.0576790510855272E-2</v>
      </c>
      <c r="I20" s="108">
        <f t="shared" si="2"/>
        <v>0.18085106382978725</v>
      </c>
      <c r="J20" s="71">
        <f t="shared" si="3"/>
        <v>7.7103503841534679E-2</v>
      </c>
    </row>
    <row r="21" spans="1:10">
      <c r="A21" s="12"/>
      <c r="B21" s="63">
        <f>SUM(B4:B20)</f>
        <v>3715</v>
      </c>
      <c r="C21" s="28">
        <f t="shared" si="0"/>
        <v>7.140738977119784</v>
      </c>
      <c r="D21" s="40">
        <f>SUM(D4:D20)</f>
        <v>26527.845299999997</v>
      </c>
      <c r="E21" s="102">
        <f>SUM(E4:E20)</f>
        <v>565</v>
      </c>
      <c r="F21" s="103">
        <f t="shared" ref="F5:F21" si="5">G21/E21</f>
        <v>3.8555855044247793</v>
      </c>
      <c r="G21" s="104">
        <f>SUM(G4:G20)</f>
        <v>2178.4058100000002</v>
      </c>
      <c r="H21" s="66">
        <f t="shared" si="1"/>
        <v>1</v>
      </c>
      <c r="I21" s="107">
        <f t="shared" ref="I5:I21" si="6">E21/B21</f>
        <v>0.15208613728129206</v>
      </c>
      <c r="J21" s="70">
        <f t="shared" si="3"/>
        <v>8.2117706333276919E-2</v>
      </c>
    </row>
    <row r="22" spans="1:10">
      <c r="B22" s="15"/>
      <c r="D22" s="16"/>
      <c r="E22" s="64"/>
      <c r="F22" s="29"/>
    </row>
    <row r="23" spans="1:10">
      <c r="A23" s="112"/>
    </row>
    <row r="24" spans="1:10">
      <c r="A24" s="5" t="s">
        <v>9</v>
      </c>
    </row>
  </sheetData>
  <pageMargins left="0.7" right="0.7" top="0.75" bottom="0.75" header="0.3" footer="0.3"/>
  <pageSetup orientation="portrait" horizontalDpi="0" verticalDpi="0" r:id="rId1"/>
  <ignoredErrors>
    <ignoredError sqref="H5:H15 I4 J5:J15 H17:H21 I21:J21 J17:J20 I5:I20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zoomScale="145" zoomScaleNormal="145" workbookViewId="0">
      <selection activeCell="A4" sqref="A4"/>
    </sheetView>
  </sheetViews>
  <sheetFormatPr defaultRowHeight="12.75"/>
  <cols>
    <col min="1" max="1" width="42.28515625" customWidth="1"/>
    <col min="2" max="8" width="17.5703125" customWidth="1"/>
  </cols>
  <sheetData>
    <row r="1" spans="1:8">
      <c r="A1" s="38" t="s">
        <v>103</v>
      </c>
    </row>
    <row r="2" spans="1:8">
      <c r="A2" s="39" t="s">
        <v>102</v>
      </c>
      <c r="F2" s="22"/>
    </row>
    <row r="3" spans="1:8">
      <c r="A3" s="39"/>
      <c r="F3" s="22"/>
    </row>
    <row r="4" spans="1:8">
      <c r="A4" s="38" t="s">
        <v>85</v>
      </c>
      <c r="F4" s="22"/>
    </row>
    <row r="5" spans="1:8" ht="25.5">
      <c r="A5" s="13" t="s">
        <v>24</v>
      </c>
      <c r="B5" s="20" t="s">
        <v>51</v>
      </c>
      <c r="C5" s="14" t="s">
        <v>52</v>
      </c>
      <c r="D5" s="14" t="s">
        <v>56</v>
      </c>
      <c r="E5" s="20" t="s">
        <v>53</v>
      </c>
      <c r="F5" s="14" t="s">
        <v>54</v>
      </c>
      <c r="G5" s="14" t="s">
        <v>57</v>
      </c>
      <c r="H5" s="14"/>
    </row>
    <row r="6" spans="1:8">
      <c r="A6" s="12" t="s">
        <v>50</v>
      </c>
      <c r="B6" s="21">
        <f>'CVC by Year and Quarter'!B20</f>
        <v>3715</v>
      </c>
      <c r="C6" s="24">
        <f>B6/$B$6</f>
        <v>1</v>
      </c>
      <c r="D6" s="24"/>
      <c r="E6" s="44">
        <f>'CVC by Year and Quarter'!G20</f>
        <v>26527.845300000001</v>
      </c>
      <c r="F6" s="25">
        <f>E6/$E$6</f>
        <v>1</v>
      </c>
      <c r="G6" s="26"/>
      <c r="H6" s="16"/>
    </row>
    <row r="7" spans="1:8">
      <c r="A7" s="72" t="s">
        <v>82</v>
      </c>
      <c r="B7" s="21">
        <v>512</v>
      </c>
      <c r="C7" s="24">
        <f>B7/$B$6</f>
        <v>0.13781965006729474</v>
      </c>
      <c r="D7" s="24">
        <f>B7/$B$7</f>
        <v>1</v>
      </c>
      <c r="E7" s="43">
        <v>3579.9529000000002</v>
      </c>
      <c r="F7" s="25">
        <f>E7/$E$6</f>
        <v>0.1349507605881583</v>
      </c>
      <c r="G7" s="26">
        <f>E7/$E$7</f>
        <v>1</v>
      </c>
      <c r="H7" s="16"/>
    </row>
    <row r="8" spans="1:8" ht="25.5">
      <c r="A8" s="125" t="s">
        <v>83</v>
      </c>
      <c r="B8" s="126">
        <v>65</v>
      </c>
      <c r="C8" s="127">
        <f>B8/$B$6</f>
        <v>1.7496635262449527E-2</v>
      </c>
      <c r="D8" s="127">
        <f>B8/$B$7</f>
        <v>0.126953125</v>
      </c>
      <c r="E8" s="128">
        <v>372.94659999999999</v>
      </c>
      <c r="F8" s="129">
        <f>E8/$E$6</f>
        <v>1.4058684215864301E-2</v>
      </c>
      <c r="G8" s="130">
        <f>E8/$E$7</f>
        <v>0.10417639852189116</v>
      </c>
      <c r="H8" s="16"/>
    </row>
    <row r="9" spans="1:8">
      <c r="A9" s="72"/>
      <c r="B9" s="23"/>
      <c r="C9" s="25"/>
      <c r="D9" s="25"/>
      <c r="E9" s="76"/>
      <c r="F9" s="25"/>
      <c r="G9" s="26"/>
      <c r="H9" s="16"/>
    </row>
    <row r="10" spans="1:8">
      <c r="A10" s="72"/>
      <c r="B10" s="23"/>
      <c r="C10" s="25"/>
      <c r="D10" s="25"/>
      <c r="E10" s="76"/>
      <c r="F10" s="25"/>
      <c r="G10" s="26"/>
      <c r="H10" s="16"/>
    </row>
    <row r="11" spans="1:8">
      <c r="A11" s="72" t="s">
        <v>86</v>
      </c>
      <c r="B11" s="23"/>
      <c r="C11" s="25"/>
      <c r="D11" s="25"/>
      <c r="E11" s="76"/>
      <c r="F11" s="25"/>
      <c r="G11" s="26"/>
      <c r="H11" s="16"/>
    </row>
    <row r="12" spans="1:8">
      <c r="A12" s="12"/>
      <c r="B12" s="69" t="s">
        <v>87</v>
      </c>
      <c r="C12" s="24" t="s">
        <v>55</v>
      </c>
      <c r="D12" s="24"/>
      <c r="E12" s="77" t="s">
        <v>53</v>
      </c>
      <c r="F12" s="25"/>
      <c r="G12" s="26"/>
      <c r="H12" s="16"/>
    </row>
    <row r="13" spans="1:8">
      <c r="A13" s="73" t="s">
        <v>84</v>
      </c>
      <c r="B13" s="74">
        <f>'CVC by Year and Quarter'!C20</f>
        <v>565</v>
      </c>
      <c r="C13" s="19"/>
      <c r="D13" s="19"/>
      <c r="E13" s="78">
        <f>'CVC by Year and Quarter'!H20</f>
        <v>2178.4058</v>
      </c>
      <c r="F13" s="23"/>
      <c r="G13" s="16"/>
      <c r="H13" s="16"/>
    </row>
    <row r="14" spans="1:8">
      <c r="A14" s="73" t="str">
        <f>A8</f>
        <v>Corporate VC Investment Deals  in Clean Technology companies</v>
      </c>
      <c r="B14" s="74">
        <f>B8</f>
        <v>65</v>
      </c>
      <c r="C14" s="73"/>
      <c r="D14" s="73"/>
      <c r="E14" s="78">
        <f>E8</f>
        <v>372.94659999999999</v>
      </c>
      <c r="F14" s="73"/>
      <c r="G14" s="73"/>
    </row>
    <row r="15" spans="1:8">
      <c r="A15" s="72" t="s">
        <v>88</v>
      </c>
      <c r="B15" s="75">
        <f>B14/B13</f>
        <v>0.11504424778761062</v>
      </c>
      <c r="C15" s="73"/>
      <c r="D15" s="73"/>
      <c r="E15" s="79">
        <f>E14/E13</f>
        <v>0.1712016190922738</v>
      </c>
      <c r="F15" s="73"/>
      <c r="G15" s="73"/>
    </row>
    <row r="17" spans="1:1">
      <c r="A17" s="5" t="s">
        <v>9</v>
      </c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zoomScale="160" zoomScaleNormal="160" workbookViewId="0">
      <selection activeCell="J4" sqref="J4"/>
    </sheetView>
  </sheetViews>
  <sheetFormatPr defaultRowHeight="12.75"/>
  <cols>
    <col min="1" max="1" width="15.5703125" customWidth="1"/>
    <col min="2" max="3" width="11" customWidth="1"/>
    <col min="4" max="4" width="11" style="115" customWidth="1"/>
    <col min="5" max="6" width="13.7109375" customWidth="1"/>
    <col min="7" max="7" width="13.7109375" style="115" customWidth="1"/>
    <col min="8" max="10" width="13.7109375" customWidth="1"/>
  </cols>
  <sheetData>
    <row r="1" spans="1:10">
      <c r="A1" s="38" t="s">
        <v>104</v>
      </c>
    </row>
    <row r="2" spans="1:10">
      <c r="A2" s="122" t="s">
        <v>105</v>
      </c>
    </row>
    <row r="3" spans="1:10" ht="63.75">
      <c r="A3" s="14" t="s">
        <v>97</v>
      </c>
      <c r="B3" s="14" t="s">
        <v>51</v>
      </c>
      <c r="C3" s="14" t="s">
        <v>26</v>
      </c>
      <c r="D3" s="113" t="s">
        <v>98</v>
      </c>
      <c r="E3" s="68" t="s">
        <v>27</v>
      </c>
      <c r="F3" s="68" t="s">
        <v>28</v>
      </c>
      <c r="G3" s="119" t="s">
        <v>29</v>
      </c>
      <c r="H3" s="65" t="s">
        <v>77</v>
      </c>
      <c r="I3" s="106" t="s">
        <v>80</v>
      </c>
      <c r="J3" s="69" t="s">
        <v>106</v>
      </c>
    </row>
    <row r="4" spans="1:10">
      <c r="A4" s="114" t="s">
        <v>93</v>
      </c>
      <c r="B4" s="123">
        <v>276</v>
      </c>
      <c r="C4" s="28">
        <f t="shared" ref="C4:C8" si="0">D4/B4</f>
        <v>2.6289271739130435</v>
      </c>
      <c r="D4" s="116">
        <v>725.58389999999997</v>
      </c>
      <c r="E4" s="102">
        <v>28</v>
      </c>
      <c r="F4" s="103">
        <f>G4/E4</f>
        <v>2.3885214285714289</v>
      </c>
      <c r="G4" s="120">
        <v>66.878600000000006</v>
      </c>
      <c r="H4" s="66">
        <f>G4/G8</f>
        <v>3.0700707829551321E-2</v>
      </c>
      <c r="I4" s="107">
        <f>E4/B4</f>
        <v>0.10144927536231885</v>
      </c>
      <c r="J4" s="70">
        <f>G4/D4</f>
        <v>9.2172111316141392E-2</v>
      </c>
    </row>
    <row r="5" spans="1:10">
      <c r="A5" s="114" t="s">
        <v>94</v>
      </c>
      <c r="B5" s="123">
        <v>1643</v>
      </c>
      <c r="C5" s="28">
        <f t="shared" si="0"/>
        <v>4.7181263542300664</v>
      </c>
      <c r="D5" s="116">
        <v>7751.8815999999997</v>
      </c>
      <c r="E5" s="102">
        <v>227</v>
      </c>
      <c r="F5" s="103">
        <f t="shared" ref="F5:F8" si="1">G5/E5</f>
        <v>2.2490488986784141</v>
      </c>
      <c r="G5" s="120">
        <v>510.53410000000002</v>
      </c>
      <c r="H5" s="66">
        <f>G5/$G$8</f>
        <v>0.23436133892041602</v>
      </c>
      <c r="I5" s="107">
        <f t="shared" ref="I5:I8" si="2">E5/B5</f>
        <v>0.13816189896530737</v>
      </c>
      <c r="J5" s="70">
        <f t="shared" ref="J5:J8" si="3">G5/D5</f>
        <v>6.5859377934771354E-2</v>
      </c>
    </row>
    <row r="6" spans="1:10">
      <c r="A6" s="114" t="s">
        <v>95</v>
      </c>
      <c r="B6" s="123">
        <v>964</v>
      </c>
      <c r="C6" s="28">
        <f t="shared" si="0"/>
        <v>9.7688635892116178</v>
      </c>
      <c r="D6" s="116">
        <v>9417.1844999999994</v>
      </c>
      <c r="E6" s="102">
        <v>172</v>
      </c>
      <c r="F6" s="103">
        <f t="shared" si="1"/>
        <v>5.3464790697674411</v>
      </c>
      <c r="G6" s="120">
        <v>919.59439999999995</v>
      </c>
      <c r="H6" s="66">
        <f>G6/$G$8</f>
        <v>0.42214099870648525</v>
      </c>
      <c r="I6" s="107">
        <f t="shared" si="2"/>
        <v>0.17842323651452283</v>
      </c>
      <c r="J6" s="70">
        <f t="shared" si="3"/>
        <v>9.7650672555050819E-2</v>
      </c>
    </row>
    <row r="7" spans="1:10">
      <c r="A7" s="114" t="s">
        <v>96</v>
      </c>
      <c r="B7" s="123">
        <v>832</v>
      </c>
      <c r="C7" s="41">
        <f t="shared" si="0"/>
        <v>10.376436658653846</v>
      </c>
      <c r="D7" s="117">
        <v>8633.1952999999994</v>
      </c>
      <c r="E7" s="110">
        <v>138</v>
      </c>
      <c r="F7" s="111">
        <f t="shared" si="1"/>
        <v>4.9376717391304341</v>
      </c>
      <c r="G7" s="121">
        <v>681.39869999999996</v>
      </c>
      <c r="H7" s="67">
        <f>G7/$G$8</f>
        <v>0.31279695454354739</v>
      </c>
      <c r="I7" s="108">
        <f t="shared" si="2"/>
        <v>0.16586538461538461</v>
      </c>
      <c r="J7" s="71">
        <f t="shared" si="3"/>
        <v>7.892775227730571E-2</v>
      </c>
    </row>
    <row r="8" spans="1:10">
      <c r="A8" s="12"/>
      <c r="B8" s="63">
        <f>SUM(B4:B7)</f>
        <v>3715</v>
      </c>
      <c r="C8" s="28">
        <f t="shared" si="0"/>
        <v>7.1407389771197849</v>
      </c>
      <c r="D8" s="116">
        <f>SUM(D4:D7)</f>
        <v>26527.845300000001</v>
      </c>
      <c r="E8" s="102">
        <f>SUM(E4:E7)</f>
        <v>565</v>
      </c>
      <c r="F8" s="103">
        <f t="shared" si="1"/>
        <v>3.8555854867256638</v>
      </c>
      <c r="G8" s="120">
        <f>SUM(G4:G7)</f>
        <v>2178.4058</v>
      </c>
      <c r="H8" s="66">
        <f>G8/$G$8</f>
        <v>1</v>
      </c>
      <c r="I8" s="107">
        <f t="shared" si="2"/>
        <v>0.15208613728129206</v>
      </c>
      <c r="J8" s="70">
        <f t="shared" si="3"/>
        <v>8.2117705956314513E-2</v>
      </c>
    </row>
    <row r="9" spans="1:10">
      <c r="B9" s="15"/>
      <c r="D9" s="118"/>
      <c r="E9" s="64"/>
      <c r="F9" s="29"/>
    </row>
    <row r="11" spans="1:10">
      <c r="A11" s="5" t="s">
        <v>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CVC by Year and Quarter</vt:lpstr>
      <vt:lpstr>Corporate VC Sectors</vt:lpstr>
      <vt:lpstr>Clean Tech &amp; Corporate VC</vt:lpstr>
      <vt:lpstr>Corporate VC Deal Stages</vt:lpstr>
      <vt:lpstr>'Corporate VC Deal Stages'!Print_Area</vt:lpstr>
      <vt:lpstr>'CVC by Year and Quarter'!Print_Area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Taylor</cp:lastModifiedBy>
  <cp:lastPrinted>2010-10-22T17:53:29Z</cp:lastPrinted>
  <dcterms:created xsi:type="dcterms:W3CDTF">2011-08-17T22:20:21Z</dcterms:created>
  <dcterms:modified xsi:type="dcterms:W3CDTF">2013-01-29T16:05:38Z</dcterms:modified>
</cp:coreProperties>
</file>