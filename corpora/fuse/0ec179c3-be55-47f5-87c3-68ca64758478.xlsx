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9435" windowHeight="1240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F18" i="1"/>
  <c r="F154"/>
  <c r="F155"/>
  <c r="F156"/>
  <c r="F153" l="1"/>
  <c r="F85"/>
  <c r="F390"/>
  <c r="F389"/>
  <c r="F388"/>
  <c r="F387"/>
  <c r="F409"/>
  <c r="F408"/>
  <c r="F407"/>
  <c r="F406"/>
  <c r="F405"/>
  <c r="F404"/>
  <c r="F403"/>
  <c r="F402"/>
  <c r="F401"/>
  <c r="F400"/>
  <c r="F399"/>
  <c r="F398"/>
  <c r="F397"/>
  <c r="F396"/>
  <c r="F395"/>
  <c r="F394"/>
  <c r="F393"/>
  <c r="F392"/>
  <c r="F391"/>
  <c r="F386"/>
  <c r="F385"/>
  <c r="F384"/>
  <c r="F383"/>
  <c r="F382"/>
  <c r="F381"/>
  <c r="F380"/>
  <c r="F379"/>
  <c r="F378"/>
  <c r="F377"/>
  <c r="F376"/>
  <c r="F375"/>
  <c r="F374"/>
  <c r="F373"/>
  <c r="F372"/>
  <c r="F371"/>
  <c r="F370"/>
  <c r="F369"/>
  <c r="F368"/>
  <c r="F367"/>
  <c r="F366"/>
  <c r="F365"/>
  <c r="F364"/>
  <c r="F363"/>
  <c r="F362"/>
  <c r="F361"/>
  <c r="F360"/>
  <c r="F359"/>
  <c r="F358"/>
  <c r="F357"/>
  <c r="F356"/>
  <c r="F355"/>
  <c r="F354"/>
  <c r="F353"/>
  <c r="F352"/>
  <c r="F351"/>
  <c r="F287"/>
  <c r="F286"/>
  <c r="F11"/>
  <c r="F12"/>
  <c r="F6"/>
  <c r="F7"/>
  <c r="F8"/>
  <c r="F9"/>
  <c r="F10"/>
  <c r="F13"/>
  <c r="F15"/>
  <c r="F16"/>
  <c r="F17"/>
  <c r="F19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6"/>
  <c r="F77"/>
  <c r="F78"/>
  <c r="F79"/>
  <c r="F80"/>
  <c r="F81"/>
  <c r="F82"/>
  <c r="F83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31"/>
  <c r="F132"/>
  <c r="F133"/>
  <c r="F134"/>
  <c r="F135"/>
  <c r="F136"/>
  <c r="F137"/>
  <c r="F138"/>
  <c r="F139"/>
  <c r="F140"/>
  <c r="F141"/>
  <c r="F142"/>
  <c r="F144"/>
  <c r="F145"/>
  <c r="F146"/>
  <c r="F147"/>
  <c r="F148"/>
  <c r="F149"/>
  <c r="F150"/>
  <c r="F151"/>
  <c r="F152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2"/>
  <c r="F243"/>
  <c r="F244"/>
  <c r="F245"/>
  <c r="F246"/>
  <c r="F247"/>
  <c r="F248"/>
  <c r="F249"/>
  <c r="F250"/>
  <c r="F251"/>
  <c r="F252"/>
  <c r="F253"/>
  <c r="F254"/>
  <c r="F255"/>
  <c r="F256"/>
  <c r="F257"/>
  <c r="F258"/>
  <c r="F259"/>
  <c r="F260"/>
  <c r="F261"/>
  <c r="F262"/>
  <c r="F263"/>
  <c r="F264"/>
  <c r="F265"/>
  <c r="F266"/>
  <c r="F267"/>
  <c r="F268"/>
  <c r="F269"/>
  <c r="F270"/>
  <c r="F271"/>
  <c r="F272"/>
  <c r="F273"/>
  <c r="F274"/>
  <c r="F275"/>
  <c r="F277"/>
  <c r="F278"/>
  <c r="F279"/>
  <c r="F280"/>
  <c r="F281"/>
  <c r="F282"/>
  <c r="F283"/>
  <c r="F284"/>
  <c r="F285"/>
  <c r="F288"/>
  <c r="F289"/>
  <c r="F290"/>
  <c r="F292"/>
  <c r="F293"/>
  <c r="F294"/>
  <c r="F295"/>
  <c r="F296"/>
  <c r="F297"/>
  <c r="F302"/>
  <c r="F303"/>
  <c r="F304"/>
  <c r="F305"/>
  <c r="F306"/>
  <c r="F307"/>
  <c r="F308"/>
  <c r="F309"/>
  <c r="F310"/>
  <c r="F311"/>
  <c r="F312"/>
  <c r="F313"/>
  <c r="F314"/>
  <c r="F315"/>
  <c r="F316"/>
  <c r="F317"/>
  <c r="F318"/>
  <c r="F319"/>
  <c r="F320"/>
  <c r="F321"/>
  <c r="F322"/>
  <c r="F323"/>
  <c r="F324"/>
  <c r="F325"/>
  <c r="F326"/>
  <c r="F327"/>
  <c r="F328"/>
  <c r="F329"/>
  <c r="F330"/>
  <c r="F331"/>
  <c r="F332"/>
  <c r="F333"/>
  <c r="F334"/>
  <c r="F335"/>
  <c r="F336"/>
  <c r="F337"/>
  <c r="F338"/>
  <c r="F339"/>
  <c r="F340"/>
  <c r="F341"/>
  <c r="F342"/>
  <c r="F343"/>
  <c r="F344"/>
  <c r="F345"/>
  <c r="F346"/>
  <c r="F347"/>
  <c r="F348"/>
  <c r="F349"/>
  <c r="F299"/>
  <c r="F300"/>
  <c r="F5"/>
</calcChain>
</file>

<file path=xl/sharedStrings.xml><?xml version="1.0" encoding="utf-8"?>
<sst xmlns="http://schemas.openxmlformats.org/spreadsheetml/2006/main" count="446" uniqueCount="444">
  <si>
    <t>WATER &amp; SEWER SUPPLIES</t>
  </si>
  <si>
    <t>ITEM</t>
  </si>
  <si>
    <t>QTY</t>
  </si>
  <si>
    <t>DESCRIPTION</t>
  </si>
  <si>
    <t xml:space="preserve"> UNIT PRICE </t>
  </si>
  <si>
    <t xml:space="preserve"> EXTENSION </t>
  </si>
  <si>
    <t>¾” Close Brass Nipple</t>
  </si>
  <si>
    <t>¾” X 3 Brass Nipple</t>
  </si>
  <si>
    <t>¾” X 6 Brass Nipple</t>
  </si>
  <si>
    <t>1 X 1 Brass Nipple</t>
  </si>
  <si>
    <t>1 X 3 Brass Nipple</t>
  </si>
  <si>
    <t>1 X 6 Brass Nipple</t>
  </si>
  <si>
    <t>1 ½ X 2 Brass Nipple</t>
  </si>
  <si>
    <t>1 ½” X 3 Brass Nipple</t>
  </si>
  <si>
    <t>1 ½” X 6 Brass Nipple</t>
  </si>
  <si>
    <t>2 X 3 Brass Nipple</t>
  </si>
  <si>
    <t>2 X 6 Brass Nipple</t>
  </si>
  <si>
    <t>2 X 12 Brass Nipple</t>
  </si>
  <si>
    <t>¾” Brass Street 90</t>
  </si>
  <si>
    <t>1" Brass Street 90</t>
  </si>
  <si>
    <t>1 ½”  Brass Street 90</t>
  </si>
  <si>
    <t>2" Brass Street 90</t>
  </si>
  <si>
    <t>¾” Brass 90</t>
  </si>
  <si>
    <t>1" Brass 90</t>
  </si>
  <si>
    <t>1 ½” Brass 90</t>
  </si>
  <si>
    <t>2" Brass 90</t>
  </si>
  <si>
    <t>¾” Brass Tee</t>
  </si>
  <si>
    <t>1” Brass Tee</t>
  </si>
  <si>
    <t>1 ¼” Brass Tee</t>
  </si>
  <si>
    <t>1 ½” Brass Tee</t>
  </si>
  <si>
    <t>2" Brass Tee</t>
  </si>
  <si>
    <t>1 ½” Female Coupling</t>
  </si>
  <si>
    <t>2" Female Coupling</t>
  </si>
  <si>
    <t>249 </t>
  </si>
  <si>
    <t>232 </t>
  </si>
  <si>
    <t>231 </t>
  </si>
  <si>
    <t>230 </t>
  </si>
  <si>
    <t>250 </t>
  </si>
  <si>
    <t>233 </t>
  </si>
  <si>
    <t>237 </t>
  </si>
  <si>
    <t>252 </t>
  </si>
  <si>
    <t>240 </t>
  </si>
  <si>
    <t>239 </t>
  </si>
  <si>
    <t>269 </t>
  </si>
  <si>
    <t>227 </t>
  </si>
  <si>
    <t>225 </t>
  </si>
  <si>
    <t>224 </t>
  </si>
  <si>
    <t>226 </t>
  </si>
  <si>
    <t>244 </t>
  </si>
  <si>
    <t>229 </t>
  </si>
  <si>
    <t>228 </t>
  </si>
  <si>
    <t>255 </t>
  </si>
  <si>
    <t>262 </t>
  </si>
  <si>
    <t>263 </t>
  </si>
  <si>
    <t>256 </t>
  </si>
  <si>
    <t>257 </t>
  </si>
  <si>
    <t>258 </t>
  </si>
  <si>
    <t>4” X ¾” Tapping Saddle</t>
  </si>
  <si>
    <t>6” X ¾” Service Saddle</t>
  </si>
  <si>
    <t>6” X 1” Service Saddle</t>
  </si>
  <si>
    <t>6” X 2” Tapping Saddle</t>
  </si>
  <si>
    <t>8” X ¾” Tapping Saddle</t>
  </si>
  <si>
    <t>8” X 1" Tapping Saddle</t>
  </si>
  <si>
    <t>8” X 1 ½” Tapping Saddle</t>
  </si>
  <si>
    <t>8” X 2” Tapping Saddle</t>
  </si>
  <si>
    <t>12” X 1” Tapping Saddle</t>
  </si>
  <si>
    <t>12” X 1 ½” Tapping Saddle</t>
  </si>
  <si>
    <t>12” X 2” Tapping Saddle</t>
  </si>
  <si>
    <t>24” X 2” Tapping Saddle</t>
  </si>
  <si>
    <t>4" Adapter (Clay-Clay)</t>
  </si>
  <si>
    <t>4" Adapter (Clay-Iron)</t>
  </si>
  <si>
    <t>4" Adapter (Iron-Iron)</t>
  </si>
  <si>
    <t>6" Adapter (Clay-Clay)</t>
  </si>
  <si>
    <t>6" Adapter (Clay-Iron)</t>
  </si>
  <si>
    <t>6" Adapter (Iron-Iron)</t>
  </si>
  <si>
    <t>8" Adapter (Clay-Clay)</t>
  </si>
  <si>
    <t>8" Adapter (Clay-Iron)</t>
  </si>
  <si>
    <t>8" Adapter (Iron-Iron)</t>
  </si>
  <si>
    <t>10” Adapter (Clay-Iron)</t>
  </si>
  <si>
    <t>10” Adapter (Iron-Iron)</t>
  </si>
  <si>
    <t>12” Adapter (Clay-Clay)</t>
  </si>
  <si>
    <t>12” Adapter (Clay-Iron)</t>
  </si>
  <si>
    <t>12” Adapter (Iron-Iron)</t>
  </si>
  <si>
    <t>15” Adapter (Clay-Clay)</t>
  </si>
  <si>
    <t>15” Adapter (Clay-Iron)</t>
  </si>
  <si>
    <t>15” Adapter (Iron-Iron)</t>
  </si>
  <si>
    <t>18” Adapter (Clay-Iron)</t>
  </si>
  <si>
    <t>21” Adapter (Clay-Iron)</t>
  </si>
  <si>
    <t>24” Adapter (Clay-Iron)</t>
  </si>
  <si>
    <t>27” Adapter (Clay-Iron)</t>
  </si>
  <si>
    <t>4” X 3” Donut</t>
  </si>
  <si>
    <t>8” X 6” Donut</t>
  </si>
  <si>
    <t>4" Sewer Donuts</t>
  </si>
  <si>
    <t>6" Sewer Donuts</t>
  </si>
  <si>
    <t>8" Sewer Donuts</t>
  </si>
  <si>
    <t>10” Sewer Donuts</t>
  </si>
  <si>
    <t>18” Sewer Donuts</t>
  </si>
  <si>
    <t>21” Sewer Donuts</t>
  </si>
  <si>
    <t>24” Sewer Donuts</t>
  </si>
  <si>
    <t>27” Sewer Donuts</t>
  </si>
  <si>
    <t>33” Sewer Donuts (Iron Adapter)</t>
  </si>
  <si>
    <t>Sanitary Clean-Outs</t>
  </si>
  <si>
    <t>4" Lateral Clean-Out w/ Lid (Cast Iron)</t>
  </si>
  <si>
    <t>Manhole Riser Rings Concrete 2”</t>
  </si>
  <si>
    <t>Manhole Riser Rings Concrete 3”</t>
  </si>
  <si>
    <t>24” Bolt-down Manhole Ring w/ no lid</t>
  </si>
  <si>
    <t>24” Manhole Ring &amp; Cover (Cast Iron)</t>
  </si>
  <si>
    <t>24" Bolt-down Manhole Ring &amp; Cover</t>
  </si>
  <si>
    <t>4" Service Saddle</t>
  </si>
  <si>
    <t>6" Service Saddle</t>
  </si>
  <si>
    <t>4” Air Test Pressure Cap</t>
  </si>
  <si>
    <t>4” Glue 22.5 Bend</t>
  </si>
  <si>
    <t>4” Glue 45 Bend</t>
  </si>
  <si>
    <t>4” Heavy Duty Clamps</t>
  </si>
  <si>
    <t>12” Clay Donut on PVC to PVC Pipe</t>
  </si>
  <si>
    <t>15” X 18” Reducer</t>
  </si>
  <si>
    <t>24” Adapter</t>
  </si>
  <si>
    <t>27” Adapter</t>
  </si>
  <si>
    <t>Main Line Cleanouts Casting Risers</t>
  </si>
  <si>
    <t>Main Line Cleanout Lids</t>
  </si>
  <si>
    <t>Steel Plates 4X4 M/H Cut Out</t>
  </si>
  <si>
    <t>6” X 12” MJ Solid Sleeves w/ Mega Lug Style and Acc. Pack</t>
  </si>
  <si>
    <t>8” X 12” MJ Solid Sleeve w/ Mega Lug and Acc. Pack</t>
  </si>
  <si>
    <t>12” X 12” MJ Solid Sleeve w/ Mega Lug and Acc. Pack</t>
  </si>
  <si>
    <t>16” X 15” C153 DI MJ Solid Sleeve  w/ Mega Lug and Acc. Pack</t>
  </si>
  <si>
    <t>20” X 15” C153 DI MJ Solid Sleeve  w/ Mega Lug and Acc. Pack</t>
  </si>
  <si>
    <t>24” X 15” C153 DI MJ Solid Sleeve  w/ Mega Lug and Acc. Pack</t>
  </si>
  <si>
    <t>647 </t>
  </si>
  <si>
    <t>4” Mega Lug w/ Bolts and Gaskets</t>
  </si>
  <si>
    <t>6" Mega Lug w/ Bolts and Gaskets</t>
  </si>
  <si>
    <t>8” Mega Lug w/ Bolts and Gaskets</t>
  </si>
  <si>
    <t>12” Mega Lug w/ Bolts and Gaskets</t>
  </si>
  <si>
    <t>16” Mega Lug w/ Bolts and Gasket</t>
  </si>
  <si>
    <t>18” Mega Lug w/ Bolts and Gasket</t>
  </si>
  <si>
    <t>20” Mega Lug w/ Bolts and Gasket</t>
  </si>
  <si>
    <t>24” Mega Lug w/ Bolts and Gasket</t>
  </si>
  <si>
    <t>6" Retainer Gland (Solid) Iron &amp; PVC Style</t>
  </si>
  <si>
    <t>8" Retainer Gland (Solid) Iron &amp; PVC Style</t>
  </si>
  <si>
    <t>12" Retainer Gland (Solid) Iron &amp; PVC Style</t>
  </si>
  <si>
    <t>6" Retainer Gland (Split)</t>
  </si>
  <si>
    <t>8" Retainer Gland (Split)</t>
  </si>
  <si>
    <t>12" Retainer Gland (Split)</t>
  </si>
  <si>
    <t>4” Cut In Sleeve w/ Mega Lug and Acc. Pack</t>
  </si>
  <si>
    <t>6" Cut In Sleeve w/ Mega Lug and Acc. Pack</t>
  </si>
  <si>
    <t>8" Cut In Sleeve w/ Mega Lug and Acc. Pack</t>
  </si>
  <si>
    <t>12" Cut In Sleeve w/ Mega Lug and Acc. Pack</t>
  </si>
  <si>
    <t>6" Anchor Coupling w/ Mega Lug and Acc. Pack</t>
  </si>
  <si>
    <t>6" X 22 ½° Bend (MJ) w/ Mega Lug and Acc. Pack</t>
  </si>
  <si>
    <t>All Fittings with Mega Lug Style, Accessory Pack and Flange Gasket w/ Stainless Steel Bolts</t>
  </si>
  <si>
    <t>12" X 22 ½° Bend (MJ) w/ Mega Lug and Acc. Pack</t>
  </si>
  <si>
    <t>4” X 45° Bend (MJ) w/ Mega Lug and Acc. Pack</t>
  </si>
  <si>
    <t>6” X 45° Bend (MJ) w/ Mega Lug and Acc. Pack</t>
  </si>
  <si>
    <t>8” X 45° Bend (MJ) w/ Mega Lug and Acc. Pack</t>
  </si>
  <si>
    <t>12" X 45° Bend (MJ) w/ Mega Lug and Acc. Pack</t>
  </si>
  <si>
    <t>6” X 90° Bend (MJ) w/ Mega Lug and Acc. Pack</t>
  </si>
  <si>
    <t>6" X 6" Stainless Steel Tapping Sleeve Including Stainless Steel Bolt Sets</t>
  </si>
  <si>
    <t>8" X 6" Stainless Steel Tapping Sleeve Including Stainless Steel Bolt Sets</t>
  </si>
  <si>
    <t>8" X 8" Stainless Steel Tapping Sleeve Including Stainless Steel Bolt Sets</t>
  </si>
  <si>
    <t>12" X 6" Stainless Steel Tapping Sleeve Including Stainless Steel Bolt Sets</t>
  </si>
  <si>
    <t>12" X 8" Stainless Steel Tapping Sleeve Including Stainless Steel Bolt Sets</t>
  </si>
  <si>
    <t>12" X 12" Stainless Steel Tapping Sleeve Including Stainless Steel Bolt Sets</t>
  </si>
  <si>
    <t>8" X 6" MJ Reducers (Ductile Iron) w/ Mega Lug and Acc. Pack</t>
  </si>
  <si>
    <t>6" X 6" Tee MJ X FL (Ductile Iron) w/ Mega Lug Bolts &amp; Flange Gasket</t>
  </si>
  <si>
    <t>8” X 6” Tee MJ X FL (Ductile Iron) w/ Mega Lug Bolts &amp; Flange Gasket</t>
  </si>
  <si>
    <t>8" X 8" Tee MJ X FL (Ductile Iron) w/ Mega Lug Bolts &amp; Flange Gasket</t>
  </si>
  <si>
    <t>12" X 6" Tee MJ X FL (Ductile Iron) w/ Mega Lug Bolts &amp; Flange Gasket</t>
  </si>
  <si>
    <t>12" X 8" Tee MJ X FL (Ductile Iron) w/ Mega Lug Bolts &amp; Flange Gasket</t>
  </si>
  <si>
    <t>12" X 12" Tee MJ X FL (Ductile Iron) w/ Mega Lug Bolts &amp; Flange Gasket</t>
  </si>
  <si>
    <t>6” X 6” Tee MJ (Ductile Iron) w/ Mega Lug Bolts and Gasket</t>
  </si>
  <si>
    <t>8" X 6" Tee MJ (Ductile Iron) w/ Mega Lug Bolts and Gasket</t>
  </si>
  <si>
    <t>8" X 8" Tee MJ (Ductile Iron) w/ Mega Lug Bolts and Gasket</t>
  </si>
  <si>
    <t>12" X 6" Tee MJ (Ductile Iron) w/ Mega Lug Bolts and Gaskets</t>
  </si>
  <si>
    <t>12" X 8" Tee MJ (Ductile Iron) w/ Mega Lug Bolts and Gaskets</t>
  </si>
  <si>
    <t>12" X 12" Tee MJ (Ductile Iron) w/ Mega Lug Bolts and Gaskets</t>
  </si>
  <si>
    <t>6” Blind Flange w/ Mega Lug Bolts and Gaskets</t>
  </si>
  <si>
    <r>
      <t>8” Blind Flange</t>
    </r>
    <r>
      <rPr>
        <b/>
        <sz val="9"/>
        <color indexed="8"/>
        <rFont val="Times New Roman"/>
        <family val="1"/>
      </rPr>
      <t xml:space="preserve"> </t>
    </r>
    <r>
      <rPr>
        <sz val="9"/>
        <color indexed="8"/>
        <rFont val="Times New Roman"/>
        <family val="1"/>
      </rPr>
      <t>w/ Mega Lug Bolts and Gaskets</t>
    </r>
  </si>
  <si>
    <t>12” Blind Flange w/ Mega Lug Bolts and Gaskets</t>
  </si>
  <si>
    <t>6" MJ Caps w/ Mega Lug Bolts and Gaskets</t>
  </si>
  <si>
    <t>8" MJ Caps w/ Mega Lug Bolts and Gaskets</t>
  </si>
  <si>
    <t>12" MJ Caps w/ Mega Lug Bolts and Gaskets</t>
  </si>
  <si>
    <t>6" Solid Plug MJ</t>
  </si>
  <si>
    <t>8" Solid Plug MJ</t>
  </si>
  <si>
    <t>12" Solid Plug MJ</t>
  </si>
  <si>
    <t>6" Solid Plug with 2" Tap</t>
  </si>
  <si>
    <t>8" Solid Plug with 2" Tap</t>
  </si>
  <si>
    <t>12" Solid Plug with 2" Tap</t>
  </si>
  <si>
    <t>8 Millimeter Thickness Rolls of Polyrap in "SHEET ROLLS" ONLY</t>
  </si>
  <si>
    <t>4’ Valve Operating Stem Extensions</t>
  </si>
  <si>
    <t>7' Valve Operating Stem Extensions</t>
  </si>
  <si>
    <t>Stainless Steel Bolt &amp; Nut Set for Flange Fittings 6 Set ¾” X 3 ¼”</t>
  </si>
  <si>
    <t>Stainless Steel Bolt &amp; Nut Set for Flange Fittings 8 Set ¾” X 3 ½”</t>
  </si>
  <si>
    <t>Stainless Steel Bolt &amp; Nut Set for Flange Fittings 12 Set 7/8” X 4"</t>
  </si>
  <si>
    <t xml:space="preserve">T – bolts 5 ½” , 6” , 7”  </t>
  </si>
  <si>
    <t>4” Accessory Pack MJ (Bolts and Gasket)</t>
  </si>
  <si>
    <t>6” Accessory Pack MJ (Bolts and Gasket)</t>
  </si>
  <si>
    <t>8” Accessory Pack MJ (Bolts and Gasket)</t>
  </si>
  <si>
    <t>12” Accessory Pack MJ (Bolts and Gasket)</t>
  </si>
  <si>
    <t>1/8” Thick Roll of Red Gasket Material</t>
  </si>
  <si>
    <t>24” Rubber MJ Gland Gasket</t>
  </si>
  <si>
    <t>4" Transition  Gaskets</t>
  </si>
  <si>
    <t>6" Transition Gaskets</t>
  </si>
  <si>
    <t>8" Transition Gaskets</t>
  </si>
  <si>
    <t>6" Flange Gaskets</t>
  </si>
  <si>
    <t>8" Flange Gaskets</t>
  </si>
  <si>
    <t>4" MJ X FL Gate Valve w/ Mega Lug w/ Acc. and Flange Gasket and Bolts</t>
  </si>
  <si>
    <t>6" MJ X FL Gate Valve w/ Mega Lug w/ Acc. and Flange Gasket and Bolts</t>
  </si>
  <si>
    <t>8" MJ X FL Gate Valve w/ Mega Lug w/ Acc. and Flange Gasket and Bolts</t>
  </si>
  <si>
    <t>12" MJ X FL Gate Valve w/ Mega Lug w/ Acc. and Flange Gasket and Bolts</t>
  </si>
  <si>
    <t>4"  MJ x MJ Gate Valve w/ Mega Lug w/ Acc.</t>
  </si>
  <si>
    <t>6"  MJ X MJ Gate Valve w/ Mega Lug w/ Acc.</t>
  </si>
  <si>
    <t>8" MJ X MJ Gate Valve w/ Mega Lug w/ Acc.</t>
  </si>
  <si>
    <t>12" MJ X MJ Gate Valve w/ Mega Lug w/ Acc.</t>
  </si>
  <si>
    <t>Clow Medallion FH with Retaining Gland Pack (Mega Lug Type) 5’ Bury</t>
  </si>
  <si>
    <t>Clow Fire Hydrant Repair Kit</t>
  </si>
  <si>
    <t>Clow 6” Fire Hydrant Extension Kit</t>
  </si>
  <si>
    <t>Clow 1 Ft. Fire Hydrant Extension Kit</t>
  </si>
  <si>
    <t>Clow 2 Ft. Fire Hydrant Extension Kit</t>
  </si>
  <si>
    <t>Kennedy "Guardian" Fire Hydrant Repair Kits</t>
  </si>
  <si>
    <t>Kennedy “Guardian” 6” Fire Hydrant Extension Kits</t>
  </si>
  <si>
    <t>Kennedy "Guardian" 1 Ft. Fire Hydrant Extension Kits</t>
  </si>
  <si>
    <t>Kennedy "Guardian" 2 Ft. Fire Hydrant Extension Kits</t>
  </si>
  <si>
    <t>M &amp; H Dresser Model # 919 &amp; 929    Fire Hydrant Repair Kits</t>
  </si>
  <si>
    <t>157 </t>
  </si>
  <si>
    <t>M &amp; H Dresser Model #919 &amp; 929 1 Ft. Fire Hydrant Extension Kits</t>
  </si>
  <si>
    <t>M &amp; H Dresser Model #919 &amp; 929 2 Ft. Fire Hydrant Extension Kits</t>
  </si>
  <si>
    <t>Waterous Fire Hydrant Repair Kits</t>
  </si>
  <si>
    <t>Waterous 6” Fire Hydrant Extension Kits</t>
  </si>
  <si>
    <t>Waterous 1 Ft. Fire Hydrant Extension Kits</t>
  </si>
  <si>
    <t>Waterous 2 Ft. Fire Hydrant Extension Kits</t>
  </si>
  <si>
    <t>Mueller Fire Hydrant Repair Kits</t>
  </si>
  <si>
    <t>Mueller 1 ft. Fire Hydrant Extension Kit</t>
  </si>
  <si>
    <t>Mueller 2 ft. Fire Hydrant Extension Kit</t>
  </si>
  <si>
    <t>Neoprene Rubber Seats for Clow (Medallion)</t>
  </si>
  <si>
    <t>Neoprene Rubber Seats for Waterous (Pacer)</t>
  </si>
  <si>
    <t>Neoprene Rubber Seats for Mueller (Improved &amp; Centurion)</t>
  </si>
  <si>
    <t>Neoprene Rubber Seats for Kennedy (Guardian)</t>
  </si>
  <si>
    <t>Neoprene Rubber Seats for M &amp; H Dresser (919 &amp; 929)</t>
  </si>
  <si>
    <t>Clow Operating Nut Thrust Bearings</t>
  </si>
  <si>
    <t>Mueller Friction Rings</t>
  </si>
  <si>
    <t>Shorty Cast Iron Valve Box</t>
  </si>
  <si>
    <t>24" Valve Stack</t>
  </si>
  <si>
    <t>36" Valve Stack</t>
  </si>
  <si>
    <t>Valve Box Lids Only</t>
  </si>
  <si>
    <t>Shorty Stack Valve Lid</t>
  </si>
  <si>
    <t>2 1/2" Valve Stack Extensions</t>
  </si>
  <si>
    <t>Small PVC Meter Can  18” x 14” (No Lid)</t>
  </si>
  <si>
    <t>Large PVC Meter Can 24” x 18”  (No Lid)</t>
  </si>
  <si>
    <t>???</t>
  </si>
  <si>
    <t>PVC Meter Can 28” x 18”  (No Lid)</t>
  </si>
  <si>
    <t>#34A Cover (12” lid) only</t>
  </si>
  <si>
    <t>#55A Cover (20” lid) only</t>
  </si>
  <si>
    <t>Water Meter Manhole Lid &amp; Ring Only</t>
  </si>
  <si>
    <t>(60 Ft. rolls) 3/4" Copper Tubing</t>
  </si>
  <si>
    <t>(60 Ft. rolls) 1" Copper Tubing</t>
  </si>
  <si>
    <t>(60 Ft. rolls) 1 1/2" Copper Tubing</t>
  </si>
  <si>
    <t>(60 Ft. rolls) 2" Copper Tubing</t>
  </si>
  <si>
    <t>3/4" Quest Tubing</t>
  </si>
  <si>
    <t>1" Quest Tubing</t>
  </si>
  <si>
    <t>4” X 3” PVC CT Adaptor</t>
  </si>
  <si>
    <t>4” X 3” PVC Coupling</t>
  </si>
  <si>
    <t>4" Coupling Bell X Bell</t>
  </si>
  <si>
    <t>4" 22.5 Bends Bell X Bell</t>
  </si>
  <si>
    <t>4" 45 Bend Bell X Bell</t>
  </si>
  <si>
    <t>4” 90 Bends Bell X Bell</t>
  </si>
  <si>
    <t>4" 22.5 Bends Bell X Spicket</t>
  </si>
  <si>
    <t>4" 45 Bend Bell X Spicket</t>
  </si>
  <si>
    <t>6” Coupling Bell X Bell</t>
  </si>
  <si>
    <t>6" 22.5 Bend Bell X Bell</t>
  </si>
  <si>
    <t>6" 45 Bend Bell X Bell</t>
  </si>
  <si>
    <t>6” 90 Bend Bell X Bell</t>
  </si>
  <si>
    <t>6" 22.5 Bend Bell X Spigot</t>
  </si>
  <si>
    <t>6" 45 Bend Bell X Spigot</t>
  </si>
  <si>
    <t>8” Coupling Bell X Bell</t>
  </si>
  <si>
    <t>8” 45 Bends Bell X Bell</t>
  </si>
  <si>
    <t>12” Coupling Bell X Bell</t>
  </si>
  <si>
    <t>12” GPK Coupling</t>
  </si>
  <si>
    <t>10” 90 Bend</t>
  </si>
  <si>
    <t>12” 22.5 Bend</t>
  </si>
  <si>
    <t>12” 90 Bend</t>
  </si>
  <si>
    <t>15” 90 Bend</t>
  </si>
  <si>
    <t>4” PVC Caps</t>
  </si>
  <si>
    <t>4" PVC Wye</t>
  </si>
  <si>
    <t>6" PVC Wye</t>
  </si>
  <si>
    <t>12” X 4” T-Wye</t>
  </si>
  <si>
    <t>6” X 6” SDR - 35 Tee</t>
  </si>
  <si>
    <t>8” X 4” SDR – 35 Tee</t>
  </si>
  <si>
    <t>8” X 6” SDR – 35 Tee</t>
  </si>
  <si>
    <t>8” X 8” SDR – 35 Tee</t>
  </si>
  <si>
    <t>10” X 4” SDR – 35 Tee</t>
  </si>
  <si>
    <t>8” X 4” Wye SDR – 35</t>
  </si>
  <si>
    <t>8” X 6” Wye SDR - 35</t>
  </si>
  <si>
    <t>4" PVC Tee Wye</t>
  </si>
  <si>
    <t>6" PVC Tee Wye</t>
  </si>
  <si>
    <t>6” X 4” SDR - 35 Tee Wye</t>
  </si>
  <si>
    <t>8” X 4” SDR – 35 Tee Wye</t>
  </si>
  <si>
    <t>8” X 6” SDR – 35 Tee Wye</t>
  </si>
  <si>
    <t>4” Lateral Cleanout w/ Lid (Cast Iron)</t>
  </si>
  <si>
    <t>4" PVC Cleanouts with lids</t>
  </si>
  <si>
    <t>4" PVC Lateral Cleanouts w/ Lid</t>
  </si>
  <si>
    <t>4” PVC Lids and Bolts Only</t>
  </si>
  <si>
    <t>8” X 4” PVC Saddle</t>
  </si>
  <si>
    <t>8” X 6” PVC Saddle</t>
  </si>
  <si>
    <t>10” X 4” PVC Saddle</t>
  </si>
  <si>
    <t>10” X 6” PVC Saddle</t>
  </si>
  <si>
    <t>15” X 4” PVC Saddle</t>
  </si>
  <si>
    <t>10” PVC to 8” PVC Bell</t>
  </si>
  <si>
    <t>HTH Chlorine 5lb</t>
  </si>
  <si>
    <t>Pipe Lube - Blue Quart Size</t>
  </si>
  <si>
    <t xml:space="preserve">Total </t>
  </si>
  <si>
    <t xml:space="preserve">VENDOR COMMENTS </t>
  </si>
  <si>
    <t>SPL</t>
  </si>
  <si>
    <r>
      <t>6” PI Plug SDR - 35</t>
    </r>
    <r>
      <rPr>
        <b/>
        <sz val="9"/>
        <color indexed="10"/>
        <rFont val="Times New Roman"/>
        <family val="1"/>
      </rPr>
      <t xml:space="preserve"> (wing nut style)</t>
    </r>
  </si>
  <si>
    <r>
      <t>8” PI Plug SDR - 35</t>
    </r>
    <r>
      <rPr>
        <sz val="9"/>
        <color indexed="10"/>
        <rFont val="Times New Roman"/>
        <family val="1"/>
      </rPr>
      <t xml:space="preserve"> </t>
    </r>
    <r>
      <rPr>
        <b/>
        <sz val="9"/>
        <color indexed="10"/>
        <rFont val="Times New Roman"/>
        <family val="1"/>
      </rPr>
      <t>(wing nut style)</t>
    </r>
  </si>
  <si>
    <t>Category 6: Tapping Saddles</t>
  </si>
  <si>
    <t>Category 8: Water Repair parts</t>
  </si>
  <si>
    <t>Category 10: Meter Boxes &amp; Cans</t>
  </si>
  <si>
    <t>Small (Galvinized) 34AMeter Can  18” x 14”  (No Lid)</t>
  </si>
  <si>
    <t>Large( Galvanized) 55AMeter Can         24” x 18”  (No Lid)</t>
  </si>
  <si>
    <t>Category 11: Type Soft Copper</t>
  </si>
  <si>
    <t>Category 12: Miscellaneous Water</t>
  </si>
  <si>
    <t>Category 13:  PVC Sewer Fittings</t>
  </si>
  <si>
    <t>Category 14: Miscellaneous Sewer</t>
  </si>
  <si>
    <t>639 </t>
  </si>
  <si>
    <t xml:space="preserve">656  </t>
  </si>
  <si>
    <t xml:space="preserve">24”x3” cast iron riser ring </t>
  </si>
  <si>
    <t xml:space="preserve">24”x2 1/2” cast iron riser ring </t>
  </si>
  <si>
    <t xml:space="preserve">24”x3” plastic riser ring ( straight) </t>
  </si>
  <si>
    <t xml:space="preserve">24”x2 1/2” plastic riser ring (tapered) </t>
  </si>
  <si>
    <r>
      <t xml:space="preserve">Category 7: Meter Connections (Ford only) </t>
    </r>
    <r>
      <rPr>
        <b/>
        <sz val="9"/>
        <color indexed="10"/>
        <rFont val="Times New Roman"/>
        <family val="1"/>
      </rPr>
      <t>(Must Be Lead Free)</t>
    </r>
  </si>
  <si>
    <r>
      <t xml:space="preserve">Category 1: Conpression Couplings &amp; Tees </t>
    </r>
    <r>
      <rPr>
        <b/>
        <sz val="9"/>
        <color indexed="10"/>
        <rFont val="Times New Roman"/>
        <family val="1"/>
      </rPr>
      <t xml:space="preserve">- </t>
    </r>
    <r>
      <rPr>
        <b/>
        <sz val="9"/>
        <color indexed="8"/>
        <rFont val="Times New Roman"/>
        <family val="1"/>
      </rPr>
      <t xml:space="preserve"> </t>
    </r>
    <r>
      <rPr>
        <b/>
        <sz val="9"/>
        <color indexed="10"/>
        <rFont val="Times New Roman"/>
        <family val="1"/>
      </rPr>
      <t>Ford Only</t>
    </r>
    <r>
      <rPr>
        <b/>
        <sz val="9"/>
        <color indexed="8"/>
        <rFont val="Times New Roman"/>
        <family val="1"/>
      </rPr>
      <t xml:space="preserve"> </t>
    </r>
    <r>
      <rPr>
        <b/>
        <sz val="9"/>
        <color indexed="10"/>
        <rFont val="Times New Roman"/>
        <family val="1"/>
      </rPr>
      <t>(Must Be Lead Free)</t>
    </r>
  </si>
  <si>
    <r>
      <t>Category 4: Curb stops &amp; Corporation Stops</t>
    </r>
    <r>
      <rPr>
        <b/>
        <sz val="9"/>
        <color indexed="10"/>
        <rFont val="Times New Roman"/>
        <family val="1"/>
      </rPr>
      <t xml:space="preserve"> -  </t>
    </r>
    <r>
      <rPr>
        <b/>
        <sz val="9"/>
        <color indexed="10"/>
        <rFont val="Times New Roman"/>
        <family val="1"/>
      </rPr>
      <t>Ford Only (Must Be Lead Free)</t>
    </r>
  </si>
  <si>
    <r>
      <t xml:space="preserve">¾” Curb Stop </t>
    </r>
    <r>
      <rPr>
        <sz val="9"/>
        <color indexed="10"/>
        <rFont val="Times New Roman"/>
        <family val="1"/>
      </rPr>
      <t xml:space="preserve"> B41-333W-G-NL</t>
    </r>
  </si>
  <si>
    <r>
      <t xml:space="preserve">1" Curb Stop  </t>
    </r>
    <r>
      <rPr>
        <sz val="9"/>
        <color indexed="10"/>
        <rFont val="Times New Roman"/>
        <family val="1"/>
      </rPr>
      <t>B41-444W-G-NL</t>
    </r>
  </si>
  <si>
    <r>
      <t xml:space="preserve">1 ½” Curb Stop </t>
    </r>
    <r>
      <rPr>
        <sz val="9"/>
        <color indexed="10"/>
        <rFont val="Times New Roman"/>
        <family val="1"/>
      </rPr>
      <t xml:space="preserve"> B41-666W-G-NL</t>
    </r>
  </si>
  <si>
    <r>
      <t xml:space="preserve">2" Curb Stop  </t>
    </r>
    <r>
      <rPr>
        <sz val="9"/>
        <color indexed="10"/>
        <rFont val="Times New Roman"/>
        <family val="1"/>
      </rPr>
      <t>B41-777W-G-NL</t>
    </r>
  </si>
  <si>
    <r>
      <t xml:space="preserve">¾” Corp. Stop  </t>
    </r>
    <r>
      <rPr>
        <sz val="9"/>
        <color indexed="10"/>
        <rFont val="Times New Roman"/>
        <family val="1"/>
      </rPr>
      <t>F1000-3-G-NL</t>
    </r>
  </si>
  <si>
    <r>
      <t xml:space="preserve">1" Corp. Stop  </t>
    </r>
    <r>
      <rPr>
        <sz val="9"/>
        <color indexed="10"/>
        <rFont val="Times New Roman"/>
        <family val="1"/>
      </rPr>
      <t>F1000-4-G-NL</t>
    </r>
  </si>
  <si>
    <r>
      <t xml:space="preserve">1 ½” Corp. Stop  </t>
    </r>
    <r>
      <rPr>
        <sz val="9"/>
        <color indexed="10"/>
        <rFont val="Times New Roman"/>
        <family val="1"/>
      </rPr>
      <t>FB1000-6-G-NL</t>
    </r>
  </si>
  <si>
    <r>
      <t xml:space="preserve">2" Corp. Stop  </t>
    </r>
    <r>
      <rPr>
        <sz val="9"/>
        <color indexed="10"/>
        <rFont val="Times New Roman"/>
        <family val="1"/>
      </rPr>
      <t>FB1000-7-G-NL</t>
    </r>
  </si>
  <si>
    <t>16” X 15”  262  SS CLAMP   SMITH BLAIR ONLY</t>
  </si>
  <si>
    <t>16” X 20”  262 SS CLAMP  SMITH BLAIR ONLY</t>
  </si>
  <si>
    <t>16” X 30”  262 SS CLAMP  SMITH BLAIR ONLY</t>
  </si>
  <si>
    <t>18” X 12” 263 SS CLAMP  SMITH BLAIR ONLY</t>
  </si>
  <si>
    <t>18” X 15” 263 SS CLAMP   SMITH BLAIR ONLY</t>
  </si>
  <si>
    <t>18” X 30” 263 SS CLAMP   SMITH BLAIR ONLY</t>
  </si>
  <si>
    <t>20” X 15” 263 SS CLAMP   SMITH BLAIR ONLY</t>
  </si>
  <si>
    <t>20” X 20” 263 SS CLAMP  SMITH BLAIR ONLY</t>
  </si>
  <si>
    <t>20” X 30” 263 SS CLAMP   SMITH BLAIR ONLY</t>
  </si>
  <si>
    <t>24” X 15” 263 SS CLAMP   SMITH BLAIR ONLY</t>
  </si>
  <si>
    <t>24” X 20” 263 SS CLAMP   SMITH BLAIR ONLY</t>
  </si>
  <si>
    <t>24” X 30” 263 SS CLAMP   SMITH BLAIR ONLY</t>
  </si>
  <si>
    <t>All- 317 Series Double Strap Epoxy Coated  C. C Threads (Ford Or Smith/Blair Only)</t>
  </si>
  <si>
    <t>VENDOR PART NUMBER - REQUIRED</t>
  </si>
  <si>
    <r>
      <t>¾”  Comp. Coupling</t>
    </r>
    <r>
      <rPr>
        <sz val="9"/>
        <color rgb="FFFF0000"/>
        <rFont val="Times New Roman"/>
        <family val="1"/>
      </rPr>
      <t xml:space="preserve"> - C4433G-NL</t>
    </r>
  </si>
  <si>
    <r>
      <t>1" Comp. Coupling</t>
    </r>
    <r>
      <rPr>
        <sz val="9"/>
        <color rgb="FFFF0000"/>
        <rFont val="Times New Roman"/>
        <family val="1"/>
      </rPr>
      <t xml:space="preserve"> - C4444G-NL</t>
    </r>
  </si>
  <si>
    <r>
      <t>1 ¼” Comp. Coupling</t>
    </r>
    <r>
      <rPr>
        <sz val="9"/>
        <color rgb="FFFF0000"/>
        <rFont val="Times New Roman"/>
        <family val="1"/>
      </rPr>
      <t xml:space="preserve"> - C4455G-NL</t>
    </r>
  </si>
  <si>
    <r>
      <t>1 ½” Comp. Coupling</t>
    </r>
    <r>
      <rPr>
        <sz val="9"/>
        <color rgb="FFFF0000"/>
        <rFont val="Times New Roman"/>
        <family val="1"/>
      </rPr>
      <t xml:space="preserve"> - C4466G-NL</t>
    </r>
  </si>
  <si>
    <r>
      <t>2” Comp. Coupling</t>
    </r>
    <r>
      <rPr>
        <sz val="9"/>
        <color rgb="FFFF0000"/>
        <rFont val="Times New Roman"/>
        <family val="1"/>
      </rPr>
      <t xml:space="preserve"> - C4477G-NL</t>
    </r>
  </si>
  <si>
    <r>
      <t>¾” X ¾” X ¾” Comp. Tee</t>
    </r>
    <r>
      <rPr>
        <sz val="9"/>
        <color rgb="FFFF0000"/>
        <rFont val="Times New Roman"/>
        <family val="1"/>
      </rPr>
      <t xml:space="preserve"> - T444-333G-NL</t>
    </r>
  </si>
  <si>
    <r>
      <t>3/4" x 3/4" x 1" Comp. Tee</t>
    </r>
    <r>
      <rPr>
        <sz val="9"/>
        <color rgb="FFFF0000"/>
        <rFont val="Times New Roman"/>
        <family val="1"/>
      </rPr>
      <t xml:space="preserve"> - T444-443G-NL</t>
    </r>
  </si>
  <si>
    <r>
      <t>1" x 1" x 1" Comp. Tee</t>
    </r>
    <r>
      <rPr>
        <sz val="9"/>
        <color rgb="FFFF0000"/>
        <rFont val="Times New Roman"/>
        <family val="1"/>
      </rPr>
      <t xml:space="preserve"> - T444-444G-NL</t>
    </r>
  </si>
  <si>
    <r>
      <t>1” X 1” X ¾” Comp. Tee</t>
    </r>
    <r>
      <rPr>
        <sz val="9"/>
        <color rgb="FFFF0000"/>
        <rFont val="Times New Roman"/>
        <family val="1"/>
      </rPr>
      <t xml:space="preserve"> - T444-334G-NL</t>
    </r>
  </si>
  <si>
    <r>
      <t xml:space="preserve">Category 2: Cast Couplings </t>
    </r>
    <r>
      <rPr>
        <b/>
        <sz val="9"/>
        <color rgb="FFFF0000"/>
        <rFont val="Times New Roman"/>
        <family val="1"/>
      </rPr>
      <t xml:space="preserve"> FORD ONLY</t>
    </r>
  </si>
  <si>
    <r>
      <t xml:space="preserve">¾” Cast Couplings </t>
    </r>
    <r>
      <rPr>
        <sz val="9"/>
        <color rgb="FFFF0000"/>
        <rFont val="Times New Roman"/>
        <family val="1"/>
      </rPr>
      <t xml:space="preserve"> - FC3-105-5</t>
    </r>
  </si>
  <si>
    <r>
      <t>1" Cast Couplings</t>
    </r>
    <r>
      <rPr>
        <sz val="9"/>
        <color rgb="FFFF0000"/>
        <rFont val="Times New Roman"/>
        <family val="1"/>
      </rPr>
      <t xml:space="preserve"> - FC3-132-5</t>
    </r>
  </si>
  <si>
    <r>
      <t>1 ¼” Cast Couplings</t>
    </r>
    <r>
      <rPr>
        <sz val="9"/>
        <color rgb="FFFF0000"/>
        <rFont val="Times New Roman"/>
        <family val="1"/>
      </rPr>
      <t xml:space="preserve"> - FC3-166-5</t>
    </r>
  </si>
  <si>
    <t>1 1/2" Cast Coupling - FC3-190-5</t>
  </si>
  <si>
    <r>
      <t>2" Cast Coupling</t>
    </r>
    <r>
      <rPr>
        <sz val="9"/>
        <color rgb="FFFF0000"/>
        <rFont val="Times New Roman"/>
        <family val="1"/>
      </rPr>
      <t xml:space="preserve"> - FC3-238-5</t>
    </r>
  </si>
  <si>
    <r>
      <t xml:space="preserve">Category 3: Brass Fittings </t>
    </r>
    <r>
      <rPr>
        <b/>
        <sz val="9"/>
        <color indexed="10"/>
        <rFont val="Times New Roman"/>
        <family val="1"/>
      </rPr>
      <t>-</t>
    </r>
    <r>
      <rPr>
        <b/>
        <sz val="9"/>
        <color indexed="10"/>
        <rFont val="Times New Roman"/>
        <family val="1"/>
      </rPr>
      <t xml:space="preserve">  (Must Be Lead Free)</t>
    </r>
  </si>
  <si>
    <r>
      <t>1 X 1 ¼” Brass Bushing</t>
    </r>
    <r>
      <rPr>
        <sz val="9"/>
        <color rgb="FFFF0000"/>
        <rFont val="Times New Roman"/>
        <family val="1"/>
      </rPr>
      <t xml:space="preserve"> - C18-45-NL</t>
    </r>
  </si>
  <si>
    <r>
      <t>1 ½” X 3/4 Brass Bushing</t>
    </r>
    <r>
      <rPr>
        <sz val="9"/>
        <color rgb="FFFF0000"/>
        <rFont val="Times New Roman"/>
        <family val="1"/>
      </rPr>
      <t xml:space="preserve"> - C18-36-NL</t>
    </r>
  </si>
  <si>
    <r>
      <t>1 ½” X 1 Brass Bushing</t>
    </r>
    <r>
      <rPr>
        <sz val="9"/>
        <color rgb="FFFF0000"/>
        <rFont val="Times New Roman"/>
        <family val="1"/>
      </rPr>
      <t xml:space="preserve"> - C18-46-NL</t>
    </r>
  </si>
  <si>
    <r>
      <t>1 ½” X 2 Brass Bushing</t>
    </r>
    <r>
      <rPr>
        <sz val="9"/>
        <color rgb="FFFF0000"/>
        <rFont val="Times New Roman"/>
        <family val="1"/>
      </rPr>
      <t xml:space="preserve"> - C18-67-NL</t>
    </r>
  </si>
  <si>
    <r>
      <t>2 X 1 Brass Bushing</t>
    </r>
    <r>
      <rPr>
        <sz val="9"/>
        <color rgb="FFFF0000"/>
        <rFont val="Times New Roman"/>
        <family val="1"/>
      </rPr>
      <t xml:space="preserve"> - C18-47-NL</t>
    </r>
  </si>
  <si>
    <r>
      <t>2 X ¾” Brass Bushing</t>
    </r>
    <r>
      <rPr>
        <sz val="9"/>
        <color rgb="FFFF0000"/>
        <rFont val="Times New Roman"/>
        <family val="1"/>
      </rPr>
      <t xml:space="preserve"> - C18-37-NL</t>
    </r>
  </si>
  <si>
    <r>
      <t>1 X ¾” Brass Bushing</t>
    </r>
    <r>
      <rPr>
        <sz val="9"/>
        <color rgb="FFFF0000"/>
        <rFont val="Times New Roman"/>
        <family val="1"/>
      </rPr>
      <t xml:space="preserve"> - C18-34-NL</t>
    </r>
  </si>
  <si>
    <r>
      <t>¾” Solid Plug Brass C.C. Threads</t>
    </r>
    <r>
      <rPr>
        <sz val="9"/>
        <color rgb="FFFF0000"/>
        <rFont val="Times New Roman"/>
        <family val="1"/>
      </rPr>
      <t xml:space="preserve"> - CSP-3-A-NL</t>
    </r>
  </si>
  <si>
    <r>
      <t>1" Solid Plug Brass C.C. Threads</t>
    </r>
    <r>
      <rPr>
        <sz val="9"/>
        <color rgb="FFFF0000"/>
        <rFont val="Times New Roman"/>
        <family val="1"/>
      </rPr>
      <t xml:space="preserve"> - CSP-4-A-NL</t>
    </r>
  </si>
  <si>
    <r>
      <t>¾” Two Part Union</t>
    </r>
    <r>
      <rPr>
        <sz val="9"/>
        <color rgb="FFFF0000"/>
        <rFont val="Times New Roman"/>
        <family val="1"/>
      </rPr>
      <t xml:space="preserve"> - CS22-33-NL</t>
    </r>
  </si>
  <si>
    <r>
      <t>1” Two Part Union</t>
    </r>
    <r>
      <rPr>
        <sz val="9"/>
        <color rgb="FFFF0000"/>
        <rFont val="Times New Roman"/>
        <family val="1"/>
      </rPr>
      <t xml:space="preserve"> - CS22-44-NL</t>
    </r>
  </si>
  <si>
    <r>
      <t xml:space="preserve">1 ½” Two Part Union </t>
    </r>
    <r>
      <rPr>
        <sz val="9"/>
        <color rgb="FFFF0000"/>
        <rFont val="Times New Roman"/>
        <family val="1"/>
      </rPr>
      <t>- CS22-66-NL</t>
    </r>
  </si>
  <si>
    <r>
      <t>2" Two Part Union</t>
    </r>
    <r>
      <rPr>
        <sz val="9"/>
        <color rgb="FFFF0000"/>
        <rFont val="Times New Roman"/>
        <family val="1"/>
      </rPr>
      <t>- CS22-77-NL</t>
    </r>
  </si>
  <si>
    <r>
      <t>¾” Male Adapter Coupling</t>
    </r>
    <r>
      <rPr>
        <sz val="9"/>
        <color rgb="FFFF0000"/>
        <rFont val="Times New Roman"/>
        <family val="1"/>
      </rPr>
      <t xml:space="preserve"> - C84-33-G-NL</t>
    </r>
  </si>
  <si>
    <r>
      <t>1" Male Adapter Coupling</t>
    </r>
    <r>
      <rPr>
        <sz val="9"/>
        <color rgb="FFFF0000"/>
        <rFont val="Times New Roman"/>
        <family val="1"/>
      </rPr>
      <t xml:space="preserve"> - C84-44-G-NL</t>
    </r>
  </si>
  <si>
    <r>
      <t>1 ½” Male Adapter Coupling</t>
    </r>
    <r>
      <rPr>
        <sz val="9"/>
        <color rgb="FFFF0000"/>
        <rFont val="Times New Roman"/>
        <family val="1"/>
      </rPr>
      <t xml:space="preserve"> - C84-66-G-NL</t>
    </r>
  </si>
  <si>
    <r>
      <t>2" Male Adapter Coupling</t>
    </r>
    <r>
      <rPr>
        <sz val="9"/>
        <color rgb="FFFF0000"/>
        <rFont val="Times New Roman"/>
        <family val="1"/>
      </rPr>
      <t xml:space="preserve"> - C84-77-G-NL</t>
    </r>
  </si>
  <si>
    <r>
      <t xml:space="preserve">¾” x 1” Bushing  C.C. Threads    </t>
    </r>
    <r>
      <rPr>
        <sz val="9"/>
        <color rgb="FFFF0000"/>
        <rFont val="Times New Roman"/>
        <family val="1"/>
      </rPr>
      <t>BBAA-43-NL</t>
    </r>
    <r>
      <rPr>
        <sz val="9"/>
        <color rgb="FF000000"/>
        <rFont val="Times New Roman"/>
        <family val="1"/>
      </rPr>
      <t xml:space="preserve">                                  </t>
    </r>
  </si>
  <si>
    <r>
      <t xml:space="preserve">1” Female Coupling </t>
    </r>
    <r>
      <rPr>
        <sz val="9"/>
        <color rgb="FFFF0000"/>
        <rFont val="Times New Roman"/>
        <family val="1"/>
      </rPr>
      <t>- C14-33G-NL</t>
    </r>
    <r>
      <rPr>
        <sz val="9"/>
        <color rgb="FF000000"/>
        <rFont val="Times New Roman"/>
        <family val="1"/>
      </rPr>
      <t xml:space="preserve">                            </t>
    </r>
  </si>
  <si>
    <r>
      <t>¾” Female Coupling</t>
    </r>
    <r>
      <rPr>
        <sz val="9"/>
        <color rgb="FFFF0000"/>
        <rFont val="Times New Roman"/>
        <family val="1"/>
      </rPr>
      <t xml:space="preserve"> </t>
    </r>
  </si>
  <si>
    <r>
      <t>¾” Female Adapter</t>
    </r>
    <r>
      <rPr>
        <sz val="9"/>
        <color rgb="FFFF0000"/>
        <rFont val="Times New Roman"/>
        <family val="1"/>
      </rPr>
      <t xml:space="preserve"> - C14-33G-NL</t>
    </r>
  </si>
  <si>
    <r>
      <t xml:space="preserve">1" Female Adapter - </t>
    </r>
    <r>
      <rPr>
        <sz val="9"/>
        <color rgb="FFFF0000"/>
        <rFont val="Times New Roman"/>
        <family val="1"/>
      </rPr>
      <t>C14-44-G-NL</t>
    </r>
  </si>
  <si>
    <r>
      <t>¾” Brass Compression 90%</t>
    </r>
    <r>
      <rPr>
        <sz val="9"/>
        <color rgb="FFFF0000"/>
        <rFont val="Times New Roman"/>
        <family val="1"/>
      </rPr>
      <t xml:space="preserve"> - L44-33G-NL</t>
    </r>
  </si>
  <si>
    <r>
      <t>1” Brass Compression 90%</t>
    </r>
    <r>
      <rPr>
        <sz val="9"/>
        <color rgb="FFFF0000"/>
        <rFont val="Times New Roman"/>
        <family val="1"/>
      </rPr>
      <t xml:space="preserve"> - L44-44G-NL</t>
    </r>
  </si>
  <si>
    <r>
      <t>1 ¼” Brass Compression 90%</t>
    </r>
    <r>
      <rPr>
        <sz val="9"/>
        <color rgb="FFFF0000"/>
        <rFont val="Times New Roman"/>
        <family val="1"/>
      </rPr>
      <t xml:space="preserve"> - L44-55G-NL</t>
    </r>
  </si>
  <si>
    <r>
      <t>1 ½” Brass Compression 90%</t>
    </r>
    <r>
      <rPr>
        <sz val="9"/>
        <color rgb="FFFF0000"/>
        <rFont val="Times New Roman"/>
        <family val="1"/>
      </rPr>
      <t xml:space="preserve"> - L44-66G-NL</t>
    </r>
  </si>
  <si>
    <r>
      <t>2” Brass Compression 90%</t>
    </r>
    <r>
      <rPr>
        <sz val="9"/>
        <color rgb="FFFF0000"/>
        <rFont val="Times New Roman"/>
        <family val="1"/>
      </rPr>
      <t xml:space="preserve"> - L44-77G-NL</t>
    </r>
  </si>
  <si>
    <r>
      <t>Full Circle Clamp 2" x 6"</t>
    </r>
    <r>
      <rPr>
        <sz val="9"/>
        <color rgb="FFFF0000"/>
        <rFont val="Times New Roman"/>
        <family val="1"/>
      </rPr>
      <t xml:space="preserve"> - FS1-263-75</t>
    </r>
  </si>
  <si>
    <r>
      <t>Single Panel Clamp for Pipe 4” X 12” O.D. of 4.80</t>
    </r>
    <r>
      <rPr>
        <sz val="9"/>
        <color rgb="FFFF0000"/>
        <rFont val="Times New Roman"/>
        <family val="1"/>
      </rPr>
      <t xml:space="preserve"> - FS1-480-125</t>
    </r>
  </si>
  <si>
    <r>
      <t>Single Panel Clamp for Pipe 4” X 12” X ¾” O.D. of 4.80</t>
    </r>
    <r>
      <rPr>
        <sz val="9"/>
        <color rgb="FFFF0000"/>
        <rFont val="Times New Roman"/>
        <family val="1"/>
      </rPr>
      <t>- FSI-480-125CC3</t>
    </r>
  </si>
  <si>
    <r>
      <t xml:space="preserve">Single Panel Clamp for Pipe 6” X 12" O.D.      </t>
    </r>
    <r>
      <rPr>
        <sz val="9"/>
        <color rgb="FFFF0000"/>
        <rFont val="Times New Roman"/>
        <family val="1"/>
      </rPr>
      <t>- FS1-724-125</t>
    </r>
  </si>
  <si>
    <r>
      <t xml:space="preserve">Single Panel Clamp for Pipe 4” X 20” X 1” O.D. o </t>
    </r>
    <r>
      <rPr>
        <sz val="9"/>
        <color rgb="FFFF0000"/>
        <rFont val="Times New Roman"/>
        <family val="1"/>
      </rPr>
      <t>FS1-48020-CC3</t>
    </r>
  </si>
  <si>
    <r>
      <t xml:space="preserve">Single Panel Clamp for Pipe  4” X 20" O.D.         </t>
    </r>
    <r>
      <rPr>
        <sz val="9"/>
        <color rgb="FFFF0000"/>
        <rFont val="Times New Roman"/>
        <family val="1"/>
      </rPr>
      <t xml:space="preserve"> -FS1-480-20</t>
    </r>
  </si>
  <si>
    <r>
      <t xml:space="preserve">Single Panel Clamp for Pipe 4” X 12” X 1" O.D.   </t>
    </r>
    <r>
      <rPr>
        <sz val="9"/>
        <color rgb="FFFF0000"/>
        <rFont val="Times New Roman"/>
        <family val="1"/>
      </rPr>
      <t xml:space="preserve"> FS1-480-125-CC4</t>
    </r>
  </si>
  <si>
    <r>
      <t xml:space="preserve">Single Panel Clamp for Pipe 6” X 12” X ¾” O.D. </t>
    </r>
    <r>
      <rPr>
        <sz val="9"/>
        <color rgb="FFFF0000"/>
        <rFont val="Times New Roman"/>
        <family val="1"/>
      </rPr>
      <t xml:space="preserve"> FS1-725-CC3</t>
    </r>
  </si>
  <si>
    <r>
      <t>Single Panel Clamp for Pipe 6” X 12” X 1" O.D. of 6.90</t>
    </r>
    <r>
      <rPr>
        <sz val="9"/>
        <color rgb="FFFF0000"/>
        <rFont val="Times New Roman"/>
        <family val="1"/>
      </rPr>
      <t xml:space="preserve"> - FSI-724-CC4</t>
    </r>
  </si>
  <si>
    <r>
      <t xml:space="preserve">Single Panel Clamp for Pipe  6” X 12” X 1 ½” O.D. </t>
    </r>
    <r>
      <rPr>
        <sz val="9"/>
        <color rgb="FFFF0000"/>
        <rFont val="Times New Roman"/>
        <family val="1"/>
      </rPr>
      <t xml:space="preserve"> - FS1-724-CC6</t>
    </r>
  </si>
  <si>
    <r>
      <t xml:space="preserve">Single Panel Clamp for Pipe 6” X 12” X 2” O.D. </t>
    </r>
    <r>
      <rPr>
        <sz val="9"/>
        <color rgb="FFFF0000"/>
        <rFont val="Times New Roman"/>
        <family val="1"/>
      </rPr>
      <t>FS1-724-CC7</t>
    </r>
  </si>
  <si>
    <r>
      <t xml:space="preserve">Single Panel Clamp for Pipe 6” X 20" O.D.      </t>
    </r>
    <r>
      <rPr>
        <sz val="9"/>
        <color rgb="FFFF0000"/>
        <rFont val="Times New Roman"/>
        <family val="1"/>
      </rPr>
      <t>FS1-724-20</t>
    </r>
  </si>
  <si>
    <r>
      <t xml:space="preserve">Single Panel Clamp for Pipe  6” X 20” X ¾”    </t>
    </r>
    <r>
      <rPr>
        <sz val="9"/>
        <color rgb="FFFF0000"/>
        <rFont val="Times New Roman"/>
        <family val="1"/>
      </rPr>
      <t>FS1-724-20-CC3</t>
    </r>
  </si>
  <si>
    <r>
      <t xml:space="preserve">Single Panel Clamp for Pipe  6” X 20” X 1" O.D. </t>
    </r>
    <r>
      <rPr>
        <sz val="9"/>
        <color rgb="FFFF0000"/>
        <rFont val="Times New Roman"/>
        <family val="1"/>
      </rPr>
      <t>FS1-724-CC4</t>
    </r>
  </si>
  <si>
    <r>
      <t xml:space="preserve">Single Panel Clamp for Pipe 8” X 12" O.D     . </t>
    </r>
    <r>
      <rPr>
        <sz val="9"/>
        <color rgb="FFFF0000"/>
        <rFont val="Times New Roman"/>
        <family val="1"/>
      </rPr>
      <t>FS1-939-125</t>
    </r>
  </si>
  <si>
    <r>
      <t xml:space="preserve">Single Panel Clamp for Pipe  8” x 12” X ¾” for O.D. </t>
    </r>
    <r>
      <rPr>
        <sz val="9"/>
        <color rgb="FFFF0000"/>
        <rFont val="Times New Roman"/>
        <family val="1"/>
      </rPr>
      <t>FS1-939-125-CC3</t>
    </r>
  </si>
  <si>
    <r>
      <t xml:space="preserve">Single Panel Clamp for Pipe 8” X 12” X 1" O.D. </t>
    </r>
    <r>
      <rPr>
        <sz val="9"/>
        <color rgb="FFFF0000"/>
        <rFont val="Times New Roman"/>
        <family val="1"/>
      </rPr>
      <t>FS1-939-125-CC4</t>
    </r>
  </si>
  <si>
    <r>
      <t xml:space="preserve">Single Panel Clamp for Pipe 8” X 12” X 2" O.D. </t>
    </r>
    <r>
      <rPr>
        <sz val="9"/>
        <color rgb="FFFF0000"/>
        <rFont val="Times New Roman"/>
        <family val="1"/>
      </rPr>
      <t>FSI-939-125-CC7</t>
    </r>
  </si>
  <si>
    <r>
      <t xml:space="preserve">Single Panel Clamp for Pipe 8” X 20" O.D.      </t>
    </r>
    <r>
      <rPr>
        <sz val="9"/>
        <color rgb="FFFF0000"/>
        <rFont val="Times New Roman"/>
        <family val="1"/>
      </rPr>
      <t>FS1-939--20</t>
    </r>
  </si>
  <si>
    <r>
      <t>Single Panel Clamp for Pipe 8” X 20” X ¾” O.D.</t>
    </r>
    <r>
      <rPr>
        <sz val="9"/>
        <color rgb="FFFF0000"/>
        <rFont val="Times New Roman"/>
        <family val="1"/>
      </rPr>
      <t>FS1-939-20-CC3</t>
    </r>
  </si>
  <si>
    <r>
      <t xml:space="preserve">Single Panel Clamp for Pipe 8” X 20” X 1" O.D. </t>
    </r>
    <r>
      <rPr>
        <sz val="9"/>
        <color rgb="FFFF0000"/>
        <rFont val="Times New Roman"/>
        <family val="1"/>
      </rPr>
      <t>FS1-939-20-CC4</t>
    </r>
  </si>
  <si>
    <r>
      <t>Single Panel Clamp for Pipe 8” X 20” X 1 ½” O.D.</t>
    </r>
    <r>
      <rPr>
        <sz val="9"/>
        <color rgb="FFFF0000"/>
        <rFont val="Times New Roman"/>
        <family val="1"/>
      </rPr>
      <t>FS1-939-CC6</t>
    </r>
  </si>
  <si>
    <r>
      <t xml:space="preserve">Single Panel Clamp for Pipe 12” X 12" O.D     </t>
    </r>
    <r>
      <rPr>
        <sz val="9"/>
        <color rgb="FFFF0000"/>
        <rFont val="Times New Roman"/>
        <family val="1"/>
      </rPr>
      <t>FS1-1350-125</t>
    </r>
  </si>
  <si>
    <r>
      <t xml:space="preserve">Single Panel Clamp for Pipe 12” X 12” X ¾” O.D </t>
    </r>
    <r>
      <rPr>
        <sz val="9"/>
        <color rgb="FFFF0000"/>
        <rFont val="Times New Roman"/>
        <family val="1"/>
      </rPr>
      <t xml:space="preserve">FS1-1350-125-CC3. </t>
    </r>
  </si>
  <si>
    <r>
      <t xml:space="preserve">Single Panel Clamp for Pipe 12” X 12” X 1" O.D. </t>
    </r>
    <r>
      <rPr>
        <sz val="9"/>
        <color rgb="FFFF0000"/>
        <rFont val="Times New Roman"/>
        <family val="1"/>
      </rPr>
      <t>FS1-1350-125-CC4</t>
    </r>
  </si>
  <si>
    <r>
      <t xml:space="preserve">Single Panel Clamp for Pipe  12” X 12” X 1 ½”     </t>
    </r>
    <r>
      <rPr>
        <sz val="9"/>
        <color rgb="FFFF0000"/>
        <rFont val="Times New Roman"/>
        <family val="1"/>
      </rPr>
      <t>FS1-1350-125-CC6</t>
    </r>
  </si>
  <si>
    <r>
      <t xml:space="preserve">Single Panel Clamp for Pipe  12” X 12” X 2" O.D.  </t>
    </r>
    <r>
      <rPr>
        <sz val="9"/>
        <color rgb="FFFF0000"/>
        <rFont val="Times New Roman"/>
        <family val="1"/>
      </rPr>
      <t>FS1-1350-125-CC7</t>
    </r>
  </si>
  <si>
    <r>
      <t xml:space="preserve">Single Panel Clamp for Pipe 12” X 20"  O.D.       </t>
    </r>
    <r>
      <rPr>
        <sz val="9"/>
        <color rgb="FFFF0000"/>
        <rFont val="Times New Roman"/>
        <family val="1"/>
      </rPr>
      <t>FS1-1350-20</t>
    </r>
  </si>
  <si>
    <r>
      <t xml:space="preserve">Single Panel Clamp for Pipe 12” X 20” X ¾” O.D. </t>
    </r>
    <r>
      <rPr>
        <sz val="9"/>
        <color rgb="FFFF0000"/>
        <rFont val="Times New Roman"/>
        <family val="1"/>
      </rPr>
      <t>FS1-1350-20-CC4</t>
    </r>
  </si>
  <si>
    <r>
      <t xml:space="preserve">Single Panel Clamp for Pipe 12” X 20” X 1" O.D. </t>
    </r>
    <r>
      <rPr>
        <sz val="9"/>
        <color rgb="FFFF0000"/>
        <rFont val="Times New Roman"/>
        <family val="1"/>
      </rPr>
      <t>FS1-1350-20-CC4</t>
    </r>
  </si>
  <si>
    <r>
      <t xml:space="preserve">Single Panel Clamp for Pipe  12” X 20” X 1 ½” </t>
    </r>
    <r>
      <rPr>
        <sz val="9"/>
        <color rgb="FFFF0000"/>
        <rFont val="Times New Roman"/>
        <family val="1"/>
      </rPr>
      <t>FS1-1350-20-CC6</t>
    </r>
  </si>
  <si>
    <r>
      <t xml:space="preserve">Single Panel Clamp for Pipe  12” X 20” X 2" O.D. </t>
    </r>
    <r>
      <rPr>
        <sz val="9"/>
        <color rgb="FFFF0000"/>
        <rFont val="Times New Roman"/>
        <family val="1"/>
      </rPr>
      <t>FS1-1350-20-CC7</t>
    </r>
  </si>
  <si>
    <r>
      <t>¾” Meter Loops with Dual Checks</t>
    </r>
    <r>
      <rPr>
        <sz val="9"/>
        <color rgb="FFFF0000"/>
        <rFont val="Times New Roman"/>
        <family val="1"/>
      </rPr>
      <t xml:space="preserve">          - VHH72-9W-11-33-NL</t>
    </r>
  </si>
  <si>
    <r>
      <t xml:space="preserve">1" Meter Loops with Dual Checks               </t>
    </r>
    <r>
      <rPr>
        <sz val="9"/>
        <color rgb="FFFF0000"/>
        <rFont val="Times New Roman"/>
        <family val="1"/>
      </rPr>
      <t>VHH74-12W-11-44-NL</t>
    </r>
  </si>
  <si>
    <r>
      <t>5/8” X ¾” Meter Riser (7" Riser)</t>
    </r>
    <r>
      <rPr>
        <sz val="9"/>
        <color rgb="FFFF0000"/>
        <rFont val="Times New Roman"/>
        <family val="1"/>
      </rPr>
      <t xml:space="preserve"> V42-7W-NL</t>
    </r>
  </si>
  <si>
    <r>
      <t xml:space="preserve">¾” Ford Meter Loop Nuts  </t>
    </r>
    <r>
      <rPr>
        <sz val="9"/>
        <color rgb="FFFF0000"/>
        <rFont val="Times New Roman"/>
        <family val="1"/>
      </rPr>
      <t>-CSSUN1-33-NL</t>
    </r>
  </si>
  <si>
    <r>
      <t xml:space="preserve">1" Ford Meter Loop Nuts </t>
    </r>
    <r>
      <rPr>
        <sz val="9"/>
        <color rgb="FFFF0000"/>
        <rFont val="Times New Roman"/>
        <family val="1"/>
      </rPr>
      <t>- CSSUN1-34-NL</t>
    </r>
  </si>
  <si>
    <r>
      <t>¾” Angle Stops for Meter Loops</t>
    </r>
    <r>
      <rPr>
        <sz val="9"/>
        <color rgb="FFFF0000"/>
        <rFont val="Times New Roman"/>
        <family val="1"/>
      </rPr>
      <t xml:space="preserve"> - </t>
    </r>
    <r>
      <rPr>
        <sz val="9"/>
        <color rgb="FF000000"/>
        <rFont val="Times New Roman"/>
        <family val="1"/>
      </rPr>
      <t xml:space="preserve">                </t>
    </r>
    <r>
      <rPr>
        <sz val="9"/>
        <color rgb="FFFF0000"/>
        <rFont val="Times New Roman"/>
        <family val="1"/>
      </rPr>
      <t>KV13-332W</t>
    </r>
    <r>
      <rPr>
        <sz val="9"/>
        <color rgb="FF000000"/>
        <rFont val="Times New Roman"/>
        <family val="1"/>
      </rPr>
      <t xml:space="preserve"> </t>
    </r>
    <r>
      <rPr>
        <sz val="9"/>
        <color rgb="FFFF0000"/>
        <rFont val="Times New Roman"/>
        <family val="1"/>
      </rPr>
      <t xml:space="preserve">-NL </t>
    </r>
    <r>
      <rPr>
        <sz val="9"/>
        <color rgb="FF000000"/>
        <rFont val="Times New Roman"/>
        <family val="1"/>
      </rPr>
      <t xml:space="preserve">                            </t>
    </r>
  </si>
  <si>
    <r>
      <t xml:space="preserve">1” Angle Stops for Meter Loops              </t>
    </r>
    <r>
      <rPr>
        <sz val="9"/>
        <color rgb="FFFF0000"/>
        <rFont val="Times New Roman"/>
        <family val="1"/>
      </rPr>
      <t>KV13444W</t>
    </r>
    <r>
      <rPr>
        <sz val="9"/>
        <color rgb="FF000000"/>
        <rFont val="Times New Roman"/>
        <family val="1"/>
      </rPr>
      <t xml:space="preserve"> </t>
    </r>
    <r>
      <rPr>
        <sz val="9"/>
        <color rgb="FFFF0000"/>
        <rFont val="Times New Roman"/>
        <family val="1"/>
      </rPr>
      <t>-NL</t>
    </r>
    <r>
      <rPr>
        <sz val="9"/>
        <color rgb="FF000000"/>
        <rFont val="Times New Roman"/>
        <family val="1"/>
      </rPr>
      <t xml:space="preserve">                              </t>
    </r>
  </si>
  <si>
    <t>2" Flanged Key Meter Valve                         Part # FV 13777W-NL</t>
  </si>
  <si>
    <t>2" Meter Flange Coupling                             Part # LF3177/90-NL</t>
  </si>
  <si>
    <t>1 1/2" Meter Flanged Coupling                     Part  #LF3166/90 -NL</t>
  </si>
  <si>
    <t>1 1/2" Flanged Key Meter Valve                   Part # FV13666W-NL</t>
  </si>
  <si>
    <r>
      <t xml:space="preserve">2" Meter Loops  </t>
    </r>
    <r>
      <rPr>
        <sz val="9"/>
        <color rgb="FFFF0000"/>
        <rFont val="Times New Roman"/>
        <family val="1"/>
      </rPr>
      <t>(FULLY ASSEMBLED )   FV13777W/LF3177/90/NIP-NL</t>
    </r>
  </si>
  <si>
    <r>
      <t>1 ½” Meter Loops</t>
    </r>
    <r>
      <rPr>
        <sz val="9"/>
        <color rgb="FFFF0000"/>
        <rFont val="Times New Roman"/>
        <family val="1"/>
      </rPr>
      <t xml:space="preserve">  (  FULLY ASSEMBLED ) FV13666/90/NIP-NL</t>
    </r>
  </si>
  <si>
    <r>
      <t xml:space="preserve">Category 5: Stainless Steel Repair Clamps - </t>
    </r>
    <r>
      <rPr>
        <b/>
        <sz val="9"/>
        <color rgb="FFFF0000"/>
        <rFont val="Times New Roman"/>
        <family val="1"/>
      </rPr>
      <t>(</t>
    </r>
    <r>
      <rPr>
        <b/>
        <sz val="9"/>
        <color rgb="FF000000"/>
        <rFont val="Times New Roman"/>
        <family val="1"/>
      </rPr>
      <t xml:space="preserve"> </t>
    </r>
    <r>
      <rPr>
        <b/>
        <sz val="9"/>
        <color rgb="FFFF0000"/>
        <rFont val="Times New Roman"/>
        <family val="1"/>
      </rPr>
      <t>6 ' THROUGH 12" FORD ONLY) ,( 16" THROUGH 36" SMITH/BLAIR ONLY)</t>
    </r>
  </si>
  <si>
    <r>
      <t xml:space="preserve">Category 9: Gate Valves &amp; Fire Hydrants  </t>
    </r>
    <r>
      <rPr>
        <b/>
        <sz val="9"/>
        <color rgb="FFFF0000"/>
        <rFont val="Times New Roman"/>
        <family val="1"/>
      </rPr>
      <t>(Mueller, Waterous, Kennedy, American-Darling, Clow, J&amp;S- VALVES ONLY)</t>
    </r>
  </si>
  <si>
    <t>NOTE TO BIDDERS: WHERE PART NUMBERS ARE PROVIDED BY THE CITY - ONLY THOSE PARTS WILL BE ACCEPTED; PLEASE ONLY BID THOSE PARTS ONLY; PLEASE PROVIDE BRANDS AS WELL</t>
  </si>
</sst>
</file>

<file path=xl/styles.xml><?xml version="1.0" encoding="utf-8"?>
<styleSheet xmlns="http://schemas.openxmlformats.org/spreadsheetml/2006/main">
  <numFmts count="3">
    <numFmt numFmtId="44" formatCode="_(&quot;$&quot;* #,##0.00_);_(&quot;$&quot;* \(#,##0.00\);_(&quot;$&quot;* &quot;-&quot;??_);_(@_)"/>
    <numFmt numFmtId="164" formatCode="_(&quot;$&quot;* #,##0.00000_);_(&quot;$&quot;* \(#,##0.00000\);_(&quot;$&quot;* &quot;-&quot;?????_);_(@_)"/>
    <numFmt numFmtId="165" formatCode="&quot;$&quot;#,##0.00000"/>
  </numFmts>
  <fonts count="18">
    <font>
      <sz val="11"/>
      <color theme="1"/>
      <name val="Calibri"/>
      <family val="2"/>
      <scheme val="minor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10"/>
      <name val="Times New Roman"/>
      <family val="1"/>
    </font>
    <font>
      <b/>
      <sz val="9"/>
      <color indexed="10"/>
      <name val="Times New Roman"/>
      <family val="1"/>
    </font>
    <font>
      <sz val="11"/>
      <color theme="1"/>
      <name val="Calibri"/>
      <family val="2"/>
      <scheme val="minor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10"/>
      <color theme="1"/>
      <name val="Times New Roman"/>
      <family val="1"/>
    </font>
    <font>
      <b/>
      <sz val="12"/>
      <color rgb="FF000000"/>
      <name val="Times New Roman"/>
      <family val="1"/>
    </font>
    <font>
      <sz val="9"/>
      <color theme="1"/>
      <name val="Times New Roman"/>
      <family val="1"/>
    </font>
    <font>
      <b/>
      <sz val="9"/>
      <color rgb="FFFF0000"/>
      <name val="Times New Roman"/>
      <family val="1"/>
    </font>
    <font>
      <b/>
      <sz val="11"/>
      <color rgb="FFFF0000"/>
      <name val="Calibri"/>
      <family val="2"/>
      <scheme val="minor"/>
    </font>
    <font>
      <b/>
      <sz val="14"/>
      <color rgb="FF000000"/>
      <name val="Calibri"/>
      <family val="2"/>
    </font>
    <font>
      <sz val="9"/>
      <name val="Times New Roman"/>
      <family val="1"/>
    </font>
    <font>
      <b/>
      <sz val="8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8D8D8"/>
        <bgColor rgb="FF000000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 applyProtection="1">
      <alignment horizontal="left"/>
    </xf>
    <xf numFmtId="0" fontId="0" fillId="0" borderId="0" xfId="0" applyProtection="1"/>
    <xf numFmtId="164" fontId="5" fillId="0" borderId="0" xfId="1" applyNumberFormat="1" applyFont="1"/>
    <xf numFmtId="0" fontId="6" fillId="0" borderId="1" xfId="0" applyFont="1" applyBorder="1" applyAlignment="1" applyProtection="1">
      <alignment horizontal="left"/>
    </xf>
    <xf numFmtId="0" fontId="7" fillId="0" borderId="1" xfId="0" applyFont="1" applyBorder="1" applyAlignment="1" applyProtection="1">
      <alignment horizontal="center"/>
    </xf>
    <xf numFmtId="0" fontId="7" fillId="0" borderId="1" xfId="0" applyFont="1" applyBorder="1" applyAlignment="1" applyProtection="1">
      <alignment wrapText="1"/>
    </xf>
    <xf numFmtId="165" fontId="7" fillId="0" borderId="1" xfId="0" applyNumberFormat="1" applyFont="1" applyBorder="1" applyAlignment="1" applyProtection="1">
      <alignment horizontal="center"/>
      <protection locked="0"/>
    </xf>
    <xf numFmtId="164" fontId="7" fillId="0" borderId="1" xfId="1" applyNumberFormat="1" applyFont="1" applyBorder="1" applyAlignment="1" applyProtection="1">
      <alignment horizontal="center"/>
    </xf>
    <xf numFmtId="165" fontId="7" fillId="0" borderId="1" xfId="0" applyNumberFormat="1" applyFont="1" applyBorder="1" applyProtection="1">
      <protection locked="0"/>
    </xf>
    <xf numFmtId="0" fontId="7" fillId="0" borderId="1" xfId="0" applyFont="1" applyBorder="1" applyAlignment="1" applyProtection="1">
      <alignment horizontal="center" wrapText="1"/>
    </xf>
    <xf numFmtId="0" fontId="6" fillId="2" borderId="1" xfId="0" applyFont="1" applyFill="1" applyBorder="1" applyAlignment="1" applyProtection="1">
      <alignment horizontal="left"/>
    </xf>
    <xf numFmtId="0" fontId="7" fillId="2" borderId="1" xfId="0" applyFont="1" applyFill="1" applyBorder="1" applyAlignment="1" applyProtection="1">
      <alignment horizontal="center"/>
    </xf>
    <xf numFmtId="165" fontId="7" fillId="2" borderId="1" xfId="0" applyNumberFormat="1" applyFont="1" applyFill="1" applyBorder="1" applyProtection="1">
      <protection locked="0"/>
    </xf>
    <xf numFmtId="0" fontId="7" fillId="2" borderId="1" xfId="0" applyFont="1" applyFill="1" applyBorder="1" applyAlignment="1" applyProtection="1">
      <alignment wrapText="1"/>
    </xf>
    <xf numFmtId="0" fontId="7" fillId="0" borderId="1" xfId="0" applyFont="1" applyBorder="1" applyAlignment="1" applyProtection="1">
      <alignment horizontal="justify" wrapText="1"/>
    </xf>
    <xf numFmtId="165" fontId="6" fillId="0" borderId="1" xfId="0" applyNumberFormat="1" applyFont="1" applyBorder="1" applyProtection="1">
      <protection locked="0"/>
    </xf>
    <xf numFmtId="0" fontId="8" fillId="0" borderId="1" xfId="0" applyFont="1" applyBorder="1" applyAlignment="1" applyProtection="1">
      <alignment horizontal="left"/>
    </xf>
    <xf numFmtId="0" fontId="8" fillId="0" borderId="1" xfId="0" applyFont="1" applyBorder="1" applyProtection="1"/>
    <xf numFmtId="165" fontId="8" fillId="0" borderId="1" xfId="0" applyNumberFormat="1" applyFont="1" applyBorder="1" applyProtection="1">
      <protection locked="0"/>
    </xf>
    <xf numFmtId="0" fontId="8" fillId="0" borderId="1" xfId="0" applyFont="1" applyBorder="1" applyAlignment="1" applyProtection="1">
      <alignment wrapText="1"/>
    </xf>
    <xf numFmtId="0" fontId="0" fillId="0" borderId="0" xfId="0" applyAlignment="1" applyProtection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 applyProtection="1">
      <alignment wrapText="1"/>
      <protection locked="0"/>
    </xf>
    <xf numFmtId="0" fontId="0" fillId="0" borderId="0" xfId="0" applyAlignment="1">
      <alignment wrapText="1"/>
    </xf>
    <xf numFmtId="0" fontId="9" fillId="0" borderId="2" xfId="0" applyFont="1" applyBorder="1" applyAlignment="1" applyProtection="1"/>
    <xf numFmtId="0" fontId="8" fillId="0" borderId="2" xfId="0" applyFont="1" applyBorder="1" applyAlignment="1" applyProtection="1">
      <alignment wrapText="1"/>
    </xf>
    <xf numFmtId="0" fontId="8" fillId="0" borderId="2" xfId="0" applyFont="1" applyBorder="1" applyProtection="1">
      <protection locked="0"/>
    </xf>
    <xf numFmtId="0" fontId="0" fillId="0" borderId="2" xfId="0" applyBorder="1" applyAlignment="1" applyProtection="1">
      <alignment wrapText="1"/>
      <protection locked="0"/>
    </xf>
    <xf numFmtId="0" fontId="0" fillId="0" borderId="1" xfId="0" applyBorder="1" applyAlignment="1" applyProtection="1">
      <alignment horizontal="left"/>
    </xf>
    <xf numFmtId="0" fontId="0" fillId="0" borderId="1" xfId="0" applyBorder="1" applyProtection="1"/>
    <xf numFmtId="0" fontId="0" fillId="0" borderId="1" xfId="0" applyBorder="1" applyAlignment="1" applyProtection="1">
      <alignment wrapText="1"/>
    </xf>
    <xf numFmtId="0" fontId="0" fillId="0" borderId="1" xfId="0" applyBorder="1"/>
    <xf numFmtId="164" fontId="5" fillId="0" borderId="1" xfId="1" applyNumberFormat="1" applyFont="1" applyBorder="1"/>
    <xf numFmtId="0" fontId="7" fillId="0" borderId="1" xfId="0" applyFont="1" applyFill="1" applyBorder="1" applyAlignment="1" applyProtection="1">
      <alignment wrapText="1"/>
    </xf>
    <xf numFmtId="0" fontId="10" fillId="0" borderId="3" xfId="0" applyFont="1" applyFill="1" applyBorder="1" applyAlignment="1">
      <alignment wrapText="1"/>
    </xf>
    <xf numFmtId="0" fontId="10" fillId="0" borderId="4" xfId="0" applyFont="1" applyFill="1" applyBorder="1" applyAlignment="1">
      <alignment wrapText="1"/>
    </xf>
    <xf numFmtId="0" fontId="7" fillId="0" borderId="3" xfId="0" applyFont="1" applyFill="1" applyBorder="1" applyAlignment="1">
      <alignment wrapText="1"/>
    </xf>
    <xf numFmtId="164" fontId="8" fillId="0" borderId="2" xfId="1" applyNumberFormat="1" applyFont="1" applyBorder="1" applyProtection="1"/>
    <xf numFmtId="0" fontId="6" fillId="0" borderId="2" xfId="0" applyFont="1" applyBorder="1" applyAlignment="1" applyProtection="1">
      <alignment horizontal="left"/>
    </xf>
    <xf numFmtId="0" fontId="7" fillId="0" borderId="2" xfId="0" applyFont="1" applyBorder="1" applyAlignment="1" applyProtection="1">
      <alignment horizontal="center"/>
    </xf>
    <xf numFmtId="0" fontId="7" fillId="0" borderId="2" xfId="0" applyFont="1" applyBorder="1" applyAlignment="1" applyProtection="1">
      <alignment horizontal="center" wrapText="1"/>
    </xf>
    <xf numFmtId="0" fontId="7" fillId="0" borderId="2" xfId="0" applyFont="1" applyBorder="1" applyAlignment="1" applyProtection="1">
      <alignment wrapText="1"/>
    </xf>
    <xf numFmtId="165" fontId="7" fillId="0" borderId="2" xfId="0" applyNumberFormat="1" applyFont="1" applyBorder="1" applyProtection="1">
      <protection locked="0"/>
    </xf>
    <xf numFmtId="164" fontId="7" fillId="0" borderId="2" xfId="1" applyNumberFormat="1" applyFont="1" applyBorder="1" applyAlignment="1" applyProtection="1">
      <alignment horizontal="center"/>
    </xf>
    <xf numFmtId="0" fontId="13" fillId="0" borderId="1" xfId="0" applyFont="1" applyBorder="1" applyAlignment="1" applyProtection="1">
      <alignment horizontal="center"/>
    </xf>
    <xf numFmtId="165" fontId="7" fillId="0" borderId="4" xfId="0" applyNumberFormat="1" applyFont="1" applyBorder="1" applyProtection="1">
      <protection locked="0"/>
    </xf>
    <xf numFmtId="165" fontId="7" fillId="2" borderId="4" xfId="0" applyNumberFormat="1" applyFont="1" applyFill="1" applyBorder="1" applyProtection="1">
      <protection locked="0"/>
    </xf>
    <xf numFmtId="0" fontId="7" fillId="0" borderId="1" xfId="0" applyFont="1" applyBorder="1" applyAlignment="1" applyProtection="1">
      <alignment horizontal="left" wrapText="1"/>
    </xf>
    <xf numFmtId="0" fontId="14" fillId="0" borderId="1" xfId="0" applyFont="1" applyBorder="1" applyAlignment="1" applyProtection="1">
      <alignment horizontal="center" wrapText="1"/>
    </xf>
    <xf numFmtId="0" fontId="14" fillId="0" borderId="1" xfId="0" applyFont="1" applyBorder="1" applyAlignment="1" applyProtection="1">
      <alignment wrapText="1"/>
    </xf>
    <xf numFmtId="0" fontId="7" fillId="2" borderId="1" xfId="0" applyFont="1" applyFill="1" applyBorder="1" applyAlignment="1" applyProtection="1">
      <alignment horizontal="left" wrapText="1"/>
    </xf>
    <xf numFmtId="0" fontId="14" fillId="2" borderId="1" xfId="0" applyFont="1" applyFill="1" applyBorder="1" applyAlignment="1" applyProtection="1">
      <alignment horizontal="center" wrapText="1"/>
    </xf>
    <xf numFmtId="0" fontId="14" fillId="2" borderId="1" xfId="0" applyFont="1" applyFill="1" applyBorder="1" applyAlignment="1" applyProtection="1">
      <alignment wrapText="1"/>
    </xf>
    <xf numFmtId="0" fontId="6" fillId="0" borderId="1" xfId="0" applyFont="1" applyFill="1" applyBorder="1" applyAlignment="1" applyProtection="1">
      <alignment horizontal="left"/>
    </xf>
    <xf numFmtId="0" fontId="11" fillId="0" borderId="1" xfId="0" applyFont="1" applyBorder="1" applyAlignment="1" applyProtection="1">
      <alignment horizontal="left"/>
    </xf>
    <xf numFmtId="0" fontId="11" fillId="0" borderId="1" xfId="0" applyFont="1" applyBorder="1" applyAlignment="1" applyProtection="1">
      <alignment horizontal="center"/>
    </xf>
    <xf numFmtId="0" fontId="11" fillId="0" borderId="1" xfId="0" applyFont="1" applyBorder="1" applyAlignment="1" applyProtection="1">
      <alignment horizontal="center" wrapText="1"/>
    </xf>
    <xf numFmtId="0" fontId="11" fillId="0" borderId="1" xfId="0" applyFont="1" applyBorder="1" applyAlignment="1" applyProtection="1">
      <alignment wrapText="1"/>
    </xf>
    <xf numFmtId="165" fontId="11" fillId="0" borderId="1" xfId="0" applyNumberFormat="1" applyFont="1" applyBorder="1" applyProtection="1">
      <protection locked="0"/>
    </xf>
    <xf numFmtId="164" fontId="11" fillId="0" borderId="1" xfId="1" applyNumberFormat="1" applyFont="1" applyBorder="1" applyAlignment="1" applyProtection="1">
      <alignment horizontal="center"/>
    </xf>
    <xf numFmtId="0" fontId="12" fillId="0" borderId="1" xfId="0" applyFont="1" applyBorder="1" applyAlignment="1" applyProtection="1">
      <alignment wrapText="1"/>
      <protection locked="0"/>
    </xf>
    <xf numFmtId="0" fontId="6" fillId="5" borderId="1" xfId="0" applyFont="1" applyFill="1" applyBorder="1" applyAlignment="1" applyProtection="1">
      <alignment horizontal="left"/>
    </xf>
    <xf numFmtId="0" fontId="6" fillId="5" borderId="1" xfId="0" applyFont="1" applyFill="1" applyBorder="1" applyProtection="1"/>
    <xf numFmtId="0" fontId="6" fillId="5" borderId="1" xfId="0" applyFont="1" applyFill="1" applyBorder="1" applyAlignment="1" applyProtection="1">
      <alignment horizontal="center"/>
    </xf>
    <xf numFmtId="0" fontId="6" fillId="5" borderId="1" xfId="0" applyFont="1" applyFill="1" applyBorder="1" applyAlignment="1" applyProtection="1">
      <alignment horizontal="center" wrapText="1"/>
    </xf>
    <xf numFmtId="164" fontId="6" fillId="5" borderId="1" xfId="1" applyNumberFormat="1" applyFont="1" applyFill="1" applyBorder="1" applyAlignment="1" applyProtection="1">
      <alignment horizontal="center"/>
    </xf>
    <xf numFmtId="164" fontId="11" fillId="5" borderId="1" xfId="1" applyNumberFormat="1" applyFont="1" applyFill="1" applyBorder="1" applyAlignment="1" applyProtection="1">
      <alignment horizontal="center"/>
    </xf>
    <xf numFmtId="164" fontId="7" fillId="0" borderId="1" xfId="1" applyNumberFormat="1" applyFont="1" applyBorder="1" applyAlignment="1" applyProtection="1">
      <alignment horizontal="center"/>
      <protection locked="0"/>
    </xf>
    <xf numFmtId="164" fontId="7" fillId="0" borderId="2" xfId="1" applyNumberFormat="1" applyFont="1" applyBorder="1" applyAlignment="1" applyProtection="1">
      <alignment horizontal="center"/>
      <protection locked="0"/>
    </xf>
    <xf numFmtId="164" fontId="11" fillId="0" borderId="1" xfId="1" applyNumberFormat="1" applyFont="1" applyBorder="1" applyAlignment="1" applyProtection="1">
      <alignment horizontal="center"/>
      <protection locked="0"/>
    </xf>
    <xf numFmtId="0" fontId="17" fillId="0" borderId="1" xfId="0" applyFont="1" applyBorder="1" applyAlignment="1" applyProtection="1">
      <alignment wrapText="1"/>
    </xf>
    <xf numFmtId="0" fontId="6" fillId="3" borderId="5" xfId="0" applyFont="1" applyFill="1" applyBorder="1" applyAlignment="1" applyProtection="1">
      <alignment horizontal="center"/>
    </xf>
    <xf numFmtId="0" fontId="6" fillId="3" borderId="6" xfId="0" applyFont="1" applyFill="1" applyBorder="1" applyAlignment="1" applyProtection="1">
      <alignment horizontal="center"/>
    </xf>
    <xf numFmtId="0" fontId="6" fillId="3" borderId="4" xfId="0" applyFont="1" applyFill="1" applyBorder="1" applyAlignment="1" applyProtection="1">
      <alignment horizontal="center"/>
    </xf>
    <xf numFmtId="0" fontId="6" fillId="3" borderId="5" xfId="0" applyFont="1" applyFill="1" applyBorder="1" applyAlignment="1" applyProtection="1">
      <alignment horizontal="center"/>
      <protection locked="0"/>
    </xf>
    <xf numFmtId="0" fontId="6" fillId="3" borderId="6" xfId="0" applyFont="1" applyFill="1" applyBorder="1" applyAlignment="1" applyProtection="1">
      <alignment horizontal="center"/>
      <protection locked="0"/>
    </xf>
    <xf numFmtId="0" fontId="6" fillId="3" borderId="4" xfId="0" applyFont="1" applyFill="1" applyBorder="1" applyAlignment="1" applyProtection="1">
      <alignment horizontal="center"/>
      <protection locked="0"/>
    </xf>
    <xf numFmtId="0" fontId="13" fillId="0" borderId="1" xfId="0" applyFont="1" applyBorder="1" applyAlignment="1" applyProtection="1">
      <alignment horizontal="center"/>
    </xf>
    <xf numFmtId="0" fontId="16" fillId="4" borderId="5" xfId="0" applyFont="1" applyFill="1" applyBorder="1" applyAlignment="1" applyProtection="1">
      <alignment horizontal="center"/>
    </xf>
    <xf numFmtId="0" fontId="16" fillId="4" borderId="6" xfId="0" applyFont="1" applyFill="1" applyBorder="1" applyAlignment="1" applyProtection="1">
      <alignment horizontal="center"/>
    </xf>
    <xf numFmtId="0" fontId="16" fillId="4" borderId="4" xfId="0" applyFont="1" applyFill="1" applyBorder="1" applyAlignment="1" applyProtection="1">
      <alignment horizontal="center"/>
    </xf>
    <xf numFmtId="0" fontId="15" fillId="4" borderId="5" xfId="0" applyFont="1" applyFill="1" applyBorder="1" applyAlignment="1" applyProtection="1">
      <alignment horizontal="center" wrapText="1"/>
    </xf>
    <xf numFmtId="0" fontId="15" fillId="4" borderId="6" xfId="0" applyFont="1" applyFill="1" applyBorder="1" applyAlignment="1" applyProtection="1">
      <alignment horizontal="center" wrapText="1"/>
    </xf>
    <xf numFmtId="0" fontId="15" fillId="4" borderId="4" xfId="0" applyFont="1" applyFill="1" applyBorder="1" applyAlignment="1" applyProtection="1">
      <alignment horizontal="center" wrapText="1"/>
    </xf>
    <xf numFmtId="0" fontId="6" fillId="3" borderId="7" xfId="0" applyFont="1" applyFill="1" applyBorder="1" applyAlignment="1" applyProtection="1">
      <alignment horizontal="center"/>
    </xf>
    <xf numFmtId="0" fontId="6" fillId="3" borderId="8" xfId="0" applyFont="1" applyFill="1" applyBorder="1" applyAlignment="1" applyProtection="1">
      <alignment horizontal="center"/>
    </xf>
    <xf numFmtId="0" fontId="6" fillId="3" borderId="3" xfId="0" applyFont="1" applyFill="1" applyBorder="1" applyAlignment="1" applyProtection="1">
      <alignment horizontal="center"/>
    </xf>
    <xf numFmtId="0" fontId="11" fillId="5" borderId="5" xfId="0" applyFont="1" applyFill="1" applyBorder="1" applyAlignment="1" applyProtection="1">
      <alignment horizontal="center" wrapText="1"/>
    </xf>
    <xf numFmtId="0" fontId="11" fillId="5" borderId="6" xfId="0" applyFont="1" applyFill="1" applyBorder="1" applyAlignment="1" applyProtection="1">
      <alignment horizontal="center" wrapText="1"/>
    </xf>
    <xf numFmtId="0" fontId="11" fillId="5" borderId="4" xfId="0" applyFont="1" applyFill="1" applyBorder="1" applyAlignment="1" applyProtection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11"/>
  <sheetViews>
    <sheetView tabSelected="1" zoomScaleNormal="100" workbookViewId="0">
      <selection activeCell="E5" sqref="E5"/>
    </sheetView>
  </sheetViews>
  <sheetFormatPr defaultRowHeight="15"/>
  <cols>
    <col min="1" max="1" width="8.140625" style="1" customWidth="1"/>
    <col min="2" max="2" width="5.28515625" style="2" bestFit="1" customWidth="1"/>
    <col min="3" max="3" width="4.7109375" style="2" bestFit="1" customWidth="1"/>
    <col min="4" max="4" width="35" style="21" customWidth="1"/>
    <col min="5" max="5" width="11.42578125" bestFit="1" customWidth="1"/>
    <col min="6" max="6" width="11.85546875" style="3" bestFit="1" customWidth="1"/>
    <col min="7" max="7" width="32.85546875" style="3" bestFit="1" customWidth="1"/>
    <col min="8" max="8" width="25" style="24" customWidth="1"/>
  </cols>
  <sheetData>
    <row r="1" spans="1:8" ht="19.5" thickBot="1">
      <c r="A1" s="78" t="s">
        <v>0</v>
      </c>
      <c r="B1" s="78"/>
      <c r="C1" s="78"/>
      <c r="D1" s="78"/>
      <c r="E1" s="78"/>
      <c r="F1" s="78"/>
      <c r="G1" s="45"/>
      <c r="H1" s="22"/>
    </row>
    <row r="2" spans="1:8" ht="24.75" customHeight="1" thickBot="1">
      <c r="A2" s="62" t="s">
        <v>310</v>
      </c>
      <c r="B2" s="63" t="s">
        <v>1</v>
      </c>
      <c r="C2" s="64" t="s">
        <v>2</v>
      </c>
      <c r="D2" s="88" t="s">
        <v>443</v>
      </c>
      <c r="E2" s="89"/>
      <c r="F2" s="89"/>
      <c r="G2" s="89"/>
      <c r="H2" s="90"/>
    </row>
    <row r="3" spans="1:8" ht="15.75" thickBot="1">
      <c r="A3" s="62"/>
      <c r="B3" s="64"/>
      <c r="C3" s="64"/>
      <c r="D3" s="65" t="s">
        <v>3</v>
      </c>
      <c r="E3" s="64" t="s">
        <v>4</v>
      </c>
      <c r="F3" s="66" t="s">
        <v>5</v>
      </c>
      <c r="G3" s="67" t="s">
        <v>352</v>
      </c>
      <c r="H3" s="65" t="s">
        <v>309</v>
      </c>
    </row>
    <row r="4" spans="1:8" ht="15.75" thickBot="1">
      <c r="A4" s="72" t="s">
        <v>329</v>
      </c>
      <c r="B4" s="73"/>
      <c r="C4" s="73"/>
      <c r="D4" s="73"/>
      <c r="E4" s="73"/>
      <c r="F4" s="73"/>
      <c r="G4" s="73"/>
      <c r="H4" s="74"/>
    </row>
    <row r="5" spans="1:8" ht="15.75" thickBot="1">
      <c r="A5" s="4">
        <v>571</v>
      </c>
      <c r="B5" s="5">
        <v>1</v>
      </c>
      <c r="C5" s="5">
        <v>100</v>
      </c>
      <c r="D5" s="6" t="s">
        <v>353</v>
      </c>
      <c r="E5" s="7"/>
      <c r="F5" s="8">
        <f>E5*C5</f>
        <v>0</v>
      </c>
      <c r="G5" s="68"/>
      <c r="H5" s="23"/>
    </row>
    <row r="6" spans="1:8" ht="15.75" thickBot="1">
      <c r="A6" s="4">
        <v>569</v>
      </c>
      <c r="B6" s="5">
        <v>2</v>
      </c>
      <c r="C6" s="5">
        <v>35</v>
      </c>
      <c r="D6" s="6" t="s">
        <v>354</v>
      </c>
      <c r="E6" s="7"/>
      <c r="F6" s="8">
        <f t="shared" ref="F6:F74" si="0">E6*C6</f>
        <v>0</v>
      </c>
      <c r="G6" s="68"/>
      <c r="H6" s="23"/>
    </row>
    <row r="7" spans="1:8" ht="15.75" thickBot="1">
      <c r="A7" s="4">
        <v>568</v>
      </c>
      <c r="B7" s="5">
        <v>3</v>
      </c>
      <c r="C7" s="5">
        <v>2</v>
      </c>
      <c r="D7" s="6" t="s">
        <v>355</v>
      </c>
      <c r="E7" s="7"/>
      <c r="F7" s="8">
        <f t="shared" si="0"/>
        <v>0</v>
      </c>
      <c r="G7" s="68"/>
      <c r="H7" s="23"/>
    </row>
    <row r="8" spans="1:8" ht="15.75" thickBot="1">
      <c r="A8" s="4">
        <v>567</v>
      </c>
      <c r="B8" s="5">
        <v>4</v>
      </c>
      <c r="C8" s="5">
        <v>5</v>
      </c>
      <c r="D8" s="6" t="s">
        <v>356</v>
      </c>
      <c r="E8" s="7"/>
      <c r="F8" s="8">
        <f t="shared" si="0"/>
        <v>0</v>
      </c>
      <c r="G8" s="68"/>
      <c r="H8" s="23"/>
    </row>
    <row r="9" spans="1:8" ht="15.75" thickBot="1">
      <c r="A9" s="4">
        <v>570</v>
      </c>
      <c r="B9" s="5">
        <v>5</v>
      </c>
      <c r="C9" s="5">
        <v>15</v>
      </c>
      <c r="D9" s="6" t="s">
        <v>357</v>
      </c>
      <c r="E9" s="7"/>
      <c r="F9" s="8">
        <f t="shared" si="0"/>
        <v>0</v>
      </c>
      <c r="G9" s="68"/>
      <c r="H9" s="23"/>
    </row>
    <row r="10" spans="1:8" ht="15.75" thickBot="1">
      <c r="A10" s="4">
        <v>574</v>
      </c>
      <c r="B10" s="5">
        <v>6</v>
      </c>
      <c r="C10" s="5">
        <v>2</v>
      </c>
      <c r="D10" s="6" t="s">
        <v>358</v>
      </c>
      <c r="E10" s="9"/>
      <c r="F10" s="8">
        <f t="shared" si="0"/>
        <v>0</v>
      </c>
      <c r="G10" s="68"/>
      <c r="H10" s="23"/>
    </row>
    <row r="11" spans="1:8" ht="15.75" thickBot="1">
      <c r="A11" s="4">
        <v>2490</v>
      </c>
      <c r="B11" s="5">
        <v>7</v>
      </c>
      <c r="C11" s="5">
        <v>2</v>
      </c>
      <c r="D11" s="6" t="s">
        <v>359</v>
      </c>
      <c r="E11" s="9"/>
      <c r="F11" s="8">
        <f t="shared" si="0"/>
        <v>0</v>
      </c>
      <c r="G11" s="68"/>
      <c r="H11" s="23"/>
    </row>
    <row r="12" spans="1:8" ht="15.75" thickBot="1">
      <c r="A12" s="4">
        <v>2489</v>
      </c>
      <c r="B12" s="5">
        <v>8</v>
      </c>
      <c r="C12" s="5">
        <v>2</v>
      </c>
      <c r="D12" s="6" t="s">
        <v>360</v>
      </c>
      <c r="E12" s="9"/>
      <c r="F12" s="8">
        <f t="shared" si="0"/>
        <v>0</v>
      </c>
      <c r="G12" s="68"/>
      <c r="H12" s="23"/>
    </row>
    <row r="13" spans="1:8" ht="15.75" thickBot="1">
      <c r="A13" s="4">
        <v>572</v>
      </c>
      <c r="B13" s="5">
        <v>9</v>
      </c>
      <c r="C13" s="5">
        <v>2</v>
      </c>
      <c r="D13" s="6" t="s">
        <v>361</v>
      </c>
      <c r="E13" s="9"/>
      <c r="F13" s="8">
        <f t="shared" si="0"/>
        <v>0</v>
      </c>
      <c r="G13" s="68"/>
      <c r="H13" s="23"/>
    </row>
    <row r="14" spans="1:8" ht="15.75" thickBot="1">
      <c r="A14" s="72" t="s">
        <v>362</v>
      </c>
      <c r="B14" s="73"/>
      <c r="C14" s="73"/>
      <c r="D14" s="73"/>
      <c r="E14" s="73"/>
      <c r="F14" s="73"/>
      <c r="G14" s="73"/>
      <c r="H14" s="74"/>
    </row>
    <row r="15" spans="1:8" ht="15.75" thickBot="1">
      <c r="A15" s="4">
        <v>566</v>
      </c>
      <c r="B15" s="5">
        <v>9</v>
      </c>
      <c r="C15" s="5">
        <v>10</v>
      </c>
      <c r="D15" s="6" t="s">
        <v>363</v>
      </c>
      <c r="E15" s="9"/>
      <c r="F15" s="8">
        <f t="shared" si="0"/>
        <v>0</v>
      </c>
      <c r="G15" s="68"/>
      <c r="H15" s="23"/>
    </row>
    <row r="16" spans="1:8" ht="15.75" thickBot="1">
      <c r="A16" s="4">
        <v>564</v>
      </c>
      <c r="B16" s="5">
        <v>10</v>
      </c>
      <c r="C16" s="5">
        <v>5</v>
      </c>
      <c r="D16" s="6" t="s">
        <v>364</v>
      </c>
      <c r="E16" s="9"/>
      <c r="F16" s="8">
        <f t="shared" si="0"/>
        <v>0</v>
      </c>
      <c r="G16" s="68"/>
      <c r="H16" s="23"/>
    </row>
    <row r="17" spans="1:8" ht="15.75" thickBot="1">
      <c r="A17" s="4">
        <v>568</v>
      </c>
      <c r="B17" s="5">
        <v>11</v>
      </c>
      <c r="C17" s="5">
        <v>5</v>
      </c>
      <c r="D17" s="6" t="s">
        <v>365</v>
      </c>
      <c r="E17" s="9"/>
      <c r="F17" s="8">
        <f t="shared" si="0"/>
        <v>0</v>
      </c>
      <c r="G17" s="68"/>
      <c r="H17" s="23"/>
    </row>
    <row r="18" spans="1:8" ht="15.75" thickBot="1">
      <c r="A18" s="55">
        <v>562</v>
      </c>
      <c r="B18" s="5"/>
      <c r="C18" s="5">
        <v>5</v>
      </c>
      <c r="D18" s="71" t="s">
        <v>366</v>
      </c>
      <c r="E18" s="9"/>
      <c r="F18" s="8">
        <f t="shared" si="0"/>
        <v>0</v>
      </c>
      <c r="G18" s="68"/>
      <c r="H18" s="23"/>
    </row>
    <row r="19" spans="1:8" ht="15.75" thickBot="1">
      <c r="A19" s="4">
        <v>565</v>
      </c>
      <c r="B19" s="5">
        <v>12</v>
      </c>
      <c r="C19" s="5">
        <v>10</v>
      </c>
      <c r="D19" s="6" t="s">
        <v>367</v>
      </c>
      <c r="E19" s="9"/>
      <c r="F19" s="8">
        <f t="shared" si="0"/>
        <v>0</v>
      </c>
      <c r="G19" s="68"/>
      <c r="H19" s="23"/>
    </row>
    <row r="20" spans="1:8" ht="15.75" thickBot="1">
      <c r="A20" s="72" t="s">
        <v>368</v>
      </c>
      <c r="B20" s="73"/>
      <c r="C20" s="73"/>
      <c r="D20" s="73"/>
      <c r="E20" s="73"/>
      <c r="F20" s="73"/>
      <c r="G20" s="73"/>
      <c r="H20" s="74"/>
    </row>
    <row r="21" spans="1:8" ht="15.75" thickBot="1">
      <c r="A21" s="4">
        <v>56</v>
      </c>
      <c r="B21" s="5">
        <v>13</v>
      </c>
      <c r="C21" s="5">
        <v>100</v>
      </c>
      <c r="D21" s="6" t="s">
        <v>6</v>
      </c>
      <c r="E21" s="9"/>
      <c r="F21" s="8">
        <f t="shared" si="0"/>
        <v>0</v>
      </c>
      <c r="G21" s="68"/>
      <c r="H21" s="23"/>
    </row>
    <row r="22" spans="1:8" ht="15.75" thickBot="1">
      <c r="A22" s="4">
        <v>44</v>
      </c>
      <c r="B22" s="5">
        <v>14</v>
      </c>
      <c r="C22" s="5">
        <v>150</v>
      </c>
      <c r="D22" s="6" t="s">
        <v>7</v>
      </c>
      <c r="E22" s="9"/>
      <c r="F22" s="8">
        <f t="shared" si="0"/>
        <v>0</v>
      </c>
      <c r="G22" s="68"/>
      <c r="H22" s="23"/>
    </row>
    <row r="23" spans="1:8" ht="15.75" thickBot="1">
      <c r="A23" s="4">
        <v>45</v>
      </c>
      <c r="B23" s="5">
        <v>15</v>
      </c>
      <c r="C23" s="5">
        <v>180</v>
      </c>
      <c r="D23" s="6" t="s">
        <v>8</v>
      </c>
      <c r="E23" s="9"/>
      <c r="F23" s="8">
        <f t="shared" si="0"/>
        <v>0</v>
      </c>
      <c r="G23" s="68"/>
      <c r="H23" s="23"/>
    </row>
    <row r="24" spans="1:8" ht="15.75" thickBot="1">
      <c r="A24" s="4">
        <v>55</v>
      </c>
      <c r="B24" s="5">
        <v>16</v>
      </c>
      <c r="C24" s="5">
        <v>20</v>
      </c>
      <c r="D24" s="6" t="s">
        <v>9</v>
      </c>
      <c r="E24" s="9"/>
      <c r="F24" s="8">
        <f t="shared" si="0"/>
        <v>0</v>
      </c>
      <c r="G24" s="68"/>
      <c r="H24" s="23"/>
    </row>
    <row r="25" spans="1:8" ht="15.75" thickBot="1">
      <c r="A25" s="4">
        <v>40</v>
      </c>
      <c r="B25" s="5">
        <v>17</v>
      </c>
      <c r="C25" s="5">
        <v>50</v>
      </c>
      <c r="D25" s="6" t="s">
        <v>10</v>
      </c>
      <c r="E25" s="9"/>
      <c r="F25" s="8">
        <f t="shared" si="0"/>
        <v>0</v>
      </c>
      <c r="G25" s="68"/>
      <c r="H25" s="23"/>
    </row>
    <row r="26" spans="1:8" ht="15.75" thickBot="1">
      <c r="A26" s="4">
        <v>41</v>
      </c>
      <c r="B26" s="5">
        <v>18</v>
      </c>
      <c r="C26" s="5">
        <v>10</v>
      </c>
      <c r="D26" s="6" t="s">
        <v>11</v>
      </c>
      <c r="E26" s="9"/>
      <c r="F26" s="8">
        <f t="shared" si="0"/>
        <v>0</v>
      </c>
      <c r="G26" s="68"/>
      <c r="H26" s="23"/>
    </row>
    <row r="27" spans="1:8" ht="15.75" thickBot="1">
      <c r="A27" s="4">
        <v>94</v>
      </c>
      <c r="B27" s="5">
        <v>19</v>
      </c>
      <c r="C27" s="5">
        <v>5</v>
      </c>
      <c r="D27" s="6" t="s">
        <v>12</v>
      </c>
      <c r="E27" s="9"/>
      <c r="F27" s="8">
        <f t="shared" si="0"/>
        <v>0</v>
      </c>
      <c r="G27" s="68"/>
      <c r="H27" s="23"/>
    </row>
    <row r="28" spans="1:8" ht="15.75" thickBot="1">
      <c r="A28" s="4">
        <v>38</v>
      </c>
      <c r="B28" s="5">
        <v>20</v>
      </c>
      <c r="C28" s="5">
        <v>15</v>
      </c>
      <c r="D28" s="6" t="s">
        <v>13</v>
      </c>
      <c r="E28" s="9"/>
      <c r="F28" s="8">
        <f t="shared" si="0"/>
        <v>0</v>
      </c>
      <c r="G28" s="68"/>
      <c r="H28" s="23"/>
    </row>
    <row r="29" spans="1:8" ht="15.75" thickBot="1">
      <c r="A29" s="4">
        <v>39</v>
      </c>
      <c r="B29" s="5">
        <v>21</v>
      </c>
      <c r="C29" s="5">
        <v>5</v>
      </c>
      <c r="D29" s="6" t="s">
        <v>14</v>
      </c>
      <c r="E29" s="9"/>
      <c r="F29" s="8">
        <f t="shared" si="0"/>
        <v>0</v>
      </c>
      <c r="G29" s="68"/>
      <c r="H29" s="23"/>
    </row>
    <row r="30" spans="1:8" ht="15.75" thickBot="1">
      <c r="A30" s="4">
        <v>43</v>
      </c>
      <c r="B30" s="5">
        <v>22</v>
      </c>
      <c r="C30" s="5">
        <v>100</v>
      </c>
      <c r="D30" s="6" t="s">
        <v>15</v>
      </c>
      <c r="E30" s="9"/>
      <c r="F30" s="8">
        <f t="shared" si="0"/>
        <v>0</v>
      </c>
      <c r="G30" s="68"/>
      <c r="H30" s="23"/>
    </row>
    <row r="31" spans="1:8" ht="15.75" thickBot="1">
      <c r="A31" s="4">
        <v>46</v>
      </c>
      <c r="B31" s="5">
        <v>23</v>
      </c>
      <c r="C31" s="5">
        <v>10</v>
      </c>
      <c r="D31" s="6" t="s">
        <v>16</v>
      </c>
      <c r="E31" s="9"/>
      <c r="F31" s="8">
        <f t="shared" si="0"/>
        <v>0</v>
      </c>
      <c r="G31" s="68"/>
      <c r="H31" s="23"/>
    </row>
    <row r="32" spans="1:8" ht="15.75" thickBot="1">
      <c r="A32" s="4">
        <v>42</v>
      </c>
      <c r="B32" s="5">
        <v>24</v>
      </c>
      <c r="C32" s="5">
        <v>10</v>
      </c>
      <c r="D32" s="6" t="s">
        <v>17</v>
      </c>
      <c r="E32" s="9"/>
      <c r="F32" s="8">
        <f t="shared" si="0"/>
        <v>0</v>
      </c>
      <c r="G32" s="68"/>
      <c r="H32" s="23"/>
    </row>
    <row r="33" spans="1:8" ht="15.75" thickBot="1">
      <c r="A33" s="4">
        <v>2472</v>
      </c>
      <c r="B33" s="5">
        <v>25</v>
      </c>
      <c r="C33" s="5">
        <v>25</v>
      </c>
      <c r="D33" s="6" t="s">
        <v>386</v>
      </c>
      <c r="E33" s="9"/>
      <c r="F33" s="8">
        <f t="shared" si="0"/>
        <v>0</v>
      </c>
      <c r="G33" s="68"/>
      <c r="H33" s="23"/>
    </row>
    <row r="34" spans="1:8" ht="15.75" thickBot="1">
      <c r="A34" s="4">
        <v>34</v>
      </c>
      <c r="B34" s="5">
        <v>26</v>
      </c>
      <c r="C34" s="5">
        <v>250</v>
      </c>
      <c r="D34" s="6" t="s">
        <v>375</v>
      </c>
      <c r="E34" s="9"/>
      <c r="F34" s="8">
        <f t="shared" si="0"/>
        <v>0</v>
      </c>
      <c r="G34" s="68"/>
      <c r="H34" s="23"/>
    </row>
    <row r="35" spans="1:8" ht="15.75" thickBot="1">
      <c r="A35" s="4">
        <v>33</v>
      </c>
      <c r="B35" s="5">
        <v>27</v>
      </c>
      <c r="C35" s="5">
        <v>2</v>
      </c>
      <c r="D35" s="6" t="s">
        <v>369</v>
      </c>
      <c r="E35" s="9"/>
      <c r="F35" s="8">
        <f t="shared" si="0"/>
        <v>0</v>
      </c>
      <c r="G35" s="68"/>
      <c r="H35" s="23"/>
    </row>
    <row r="36" spans="1:8" ht="15.75" thickBot="1">
      <c r="A36" s="4">
        <v>32</v>
      </c>
      <c r="B36" s="5">
        <v>28</v>
      </c>
      <c r="C36" s="5">
        <v>2</v>
      </c>
      <c r="D36" s="6" t="s">
        <v>370</v>
      </c>
      <c r="E36" s="9"/>
      <c r="F36" s="8">
        <f t="shared" si="0"/>
        <v>0</v>
      </c>
      <c r="G36" s="68"/>
      <c r="H36" s="23"/>
    </row>
    <row r="37" spans="1:8" ht="15.75" thickBot="1">
      <c r="A37" s="4">
        <v>30</v>
      </c>
      <c r="B37" s="5">
        <v>29</v>
      </c>
      <c r="C37" s="5">
        <v>2</v>
      </c>
      <c r="D37" s="6" t="s">
        <v>371</v>
      </c>
      <c r="E37" s="9"/>
      <c r="F37" s="8">
        <f t="shared" si="0"/>
        <v>0</v>
      </c>
      <c r="G37" s="68"/>
      <c r="H37" s="23"/>
    </row>
    <row r="38" spans="1:8" ht="15.75" thickBot="1">
      <c r="A38" s="4">
        <v>31</v>
      </c>
      <c r="B38" s="5">
        <v>30</v>
      </c>
      <c r="C38" s="5">
        <v>5</v>
      </c>
      <c r="D38" s="6" t="s">
        <v>372</v>
      </c>
      <c r="E38" s="9"/>
      <c r="F38" s="8">
        <f t="shared" si="0"/>
        <v>0</v>
      </c>
      <c r="G38" s="68"/>
      <c r="H38" s="23"/>
    </row>
    <row r="39" spans="1:8" ht="15.75" thickBot="1">
      <c r="A39" s="4">
        <v>36</v>
      </c>
      <c r="B39" s="5">
        <v>31</v>
      </c>
      <c r="C39" s="5">
        <v>5</v>
      </c>
      <c r="D39" s="6" t="s">
        <v>374</v>
      </c>
      <c r="E39" s="9"/>
      <c r="F39" s="8">
        <f t="shared" si="0"/>
        <v>0</v>
      </c>
      <c r="G39" s="68"/>
      <c r="H39" s="23"/>
    </row>
    <row r="40" spans="1:8" ht="15.75" thickBot="1">
      <c r="A40" s="4">
        <v>35</v>
      </c>
      <c r="B40" s="5">
        <v>32</v>
      </c>
      <c r="C40" s="5">
        <v>20</v>
      </c>
      <c r="D40" s="6" t="s">
        <v>373</v>
      </c>
      <c r="E40" s="9"/>
      <c r="F40" s="8">
        <f t="shared" si="0"/>
        <v>0</v>
      </c>
      <c r="G40" s="68"/>
      <c r="H40" s="23"/>
    </row>
    <row r="41" spans="1:8" ht="15.75" thickBot="1">
      <c r="A41" s="4">
        <v>50</v>
      </c>
      <c r="B41" s="5">
        <v>33</v>
      </c>
      <c r="C41" s="5">
        <v>5</v>
      </c>
      <c r="D41" s="6" t="s">
        <v>18</v>
      </c>
      <c r="E41" s="9"/>
      <c r="F41" s="8">
        <f t="shared" si="0"/>
        <v>0</v>
      </c>
      <c r="G41" s="68"/>
      <c r="H41" s="23"/>
    </row>
    <row r="42" spans="1:8" ht="15.75" thickBot="1">
      <c r="A42" s="4">
        <v>49</v>
      </c>
      <c r="B42" s="5">
        <v>34</v>
      </c>
      <c r="C42" s="5">
        <v>5</v>
      </c>
      <c r="D42" s="6" t="s">
        <v>19</v>
      </c>
      <c r="E42" s="9"/>
      <c r="F42" s="8">
        <f t="shared" si="0"/>
        <v>0</v>
      </c>
      <c r="G42" s="68"/>
      <c r="H42" s="23"/>
    </row>
    <row r="43" spans="1:8" ht="15.75" thickBot="1">
      <c r="A43" s="4">
        <v>47</v>
      </c>
      <c r="B43" s="5">
        <v>35</v>
      </c>
      <c r="C43" s="5">
        <v>5</v>
      </c>
      <c r="D43" s="6" t="s">
        <v>20</v>
      </c>
      <c r="E43" s="9"/>
      <c r="F43" s="8">
        <f t="shared" si="0"/>
        <v>0</v>
      </c>
      <c r="G43" s="68"/>
      <c r="H43" s="23"/>
    </row>
    <row r="44" spans="1:8" ht="15.75" thickBot="1">
      <c r="A44" s="4">
        <v>48</v>
      </c>
      <c r="B44" s="5">
        <v>36</v>
      </c>
      <c r="C44" s="5">
        <v>2</v>
      </c>
      <c r="D44" s="6" t="s">
        <v>21</v>
      </c>
      <c r="E44" s="9"/>
      <c r="F44" s="8">
        <f t="shared" si="0"/>
        <v>0</v>
      </c>
      <c r="G44" s="68"/>
      <c r="H44" s="23"/>
    </row>
    <row r="45" spans="1:8" ht="25.5" thickBot="1">
      <c r="A45" s="4">
        <v>88</v>
      </c>
      <c r="B45" s="5">
        <v>37</v>
      </c>
      <c r="C45" s="5">
        <v>2</v>
      </c>
      <c r="D45" s="6" t="s">
        <v>376</v>
      </c>
      <c r="E45" s="9"/>
      <c r="F45" s="8">
        <f t="shared" si="0"/>
        <v>0</v>
      </c>
      <c r="G45" s="68"/>
      <c r="H45" s="23"/>
    </row>
    <row r="46" spans="1:8" ht="25.5" thickBot="1">
      <c r="A46" s="4">
        <v>87</v>
      </c>
      <c r="B46" s="5">
        <v>38</v>
      </c>
      <c r="C46" s="5">
        <v>10</v>
      </c>
      <c r="D46" s="6" t="s">
        <v>377</v>
      </c>
      <c r="E46" s="9"/>
      <c r="F46" s="8">
        <f t="shared" si="0"/>
        <v>0</v>
      </c>
      <c r="G46" s="68"/>
      <c r="H46" s="23"/>
    </row>
    <row r="47" spans="1:8" ht="15.75" thickBot="1">
      <c r="A47" s="4">
        <v>29</v>
      </c>
      <c r="B47" s="5">
        <v>39</v>
      </c>
      <c r="C47" s="5">
        <v>30</v>
      </c>
      <c r="D47" s="6" t="s">
        <v>22</v>
      </c>
      <c r="E47" s="9"/>
      <c r="F47" s="8">
        <f t="shared" si="0"/>
        <v>0</v>
      </c>
      <c r="G47" s="68"/>
      <c r="H47" s="23"/>
    </row>
    <row r="48" spans="1:8" ht="15.75" thickBot="1">
      <c r="A48" s="4">
        <v>27</v>
      </c>
      <c r="B48" s="5">
        <v>40</v>
      </c>
      <c r="C48" s="5">
        <v>5</v>
      </c>
      <c r="D48" s="6" t="s">
        <v>23</v>
      </c>
      <c r="E48" s="9"/>
      <c r="F48" s="8">
        <f t="shared" si="0"/>
        <v>0</v>
      </c>
      <c r="G48" s="68"/>
      <c r="H48" s="23"/>
    </row>
    <row r="49" spans="1:8" ht="15.75" thickBot="1">
      <c r="A49" s="4">
        <v>26</v>
      </c>
      <c r="B49" s="5">
        <v>41</v>
      </c>
      <c r="C49" s="5">
        <v>5</v>
      </c>
      <c r="D49" s="6" t="s">
        <v>24</v>
      </c>
      <c r="E49" s="9"/>
      <c r="F49" s="8">
        <f t="shared" si="0"/>
        <v>0</v>
      </c>
      <c r="G49" s="68"/>
      <c r="H49" s="23"/>
    </row>
    <row r="50" spans="1:8" ht="15.75" thickBot="1">
      <c r="A50" s="4">
        <v>28</v>
      </c>
      <c r="B50" s="5">
        <v>42</v>
      </c>
      <c r="C50" s="5">
        <v>5</v>
      </c>
      <c r="D50" s="6" t="s">
        <v>25</v>
      </c>
      <c r="E50" s="9"/>
      <c r="F50" s="8">
        <f t="shared" si="0"/>
        <v>0</v>
      </c>
      <c r="G50" s="68"/>
      <c r="H50" s="23"/>
    </row>
    <row r="51" spans="1:8" ht="15.75" thickBot="1">
      <c r="A51" s="4">
        <v>53</v>
      </c>
      <c r="B51" s="5">
        <v>43</v>
      </c>
      <c r="C51" s="5">
        <v>5</v>
      </c>
      <c r="D51" s="6" t="s">
        <v>26</v>
      </c>
      <c r="E51" s="9"/>
      <c r="F51" s="8">
        <f t="shared" si="0"/>
        <v>0</v>
      </c>
      <c r="G51" s="68"/>
      <c r="H51" s="23"/>
    </row>
    <row r="52" spans="1:8" ht="15.75" thickBot="1">
      <c r="A52" s="4">
        <v>104</v>
      </c>
      <c r="B52" s="5">
        <v>44</v>
      </c>
      <c r="C52" s="5">
        <v>5</v>
      </c>
      <c r="D52" s="6" t="s">
        <v>27</v>
      </c>
      <c r="E52" s="9"/>
      <c r="F52" s="8">
        <f t="shared" si="0"/>
        <v>0</v>
      </c>
      <c r="G52" s="68"/>
      <c r="H52" s="23"/>
    </row>
    <row r="53" spans="1:8" ht="15.75" thickBot="1">
      <c r="A53" s="4">
        <v>52</v>
      </c>
      <c r="B53" s="5">
        <v>45</v>
      </c>
      <c r="C53" s="5">
        <v>2</v>
      </c>
      <c r="D53" s="6" t="s">
        <v>28</v>
      </c>
      <c r="E53" s="9"/>
      <c r="F53" s="8">
        <f t="shared" si="0"/>
        <v>0</v>
      </c>
      <c r="G53" s="68"/>
      <c r="H53" s="23"/>
    </row>
    <row r="54" spans="1:8" ht="15.75" thickBot="1">
      <c r="A54" s="4">
        <v>51</v>
      </c>
      <c r="B54" s="5">
        <v>46</v>
      </c>
      <c r="C54" s="5">
        <v>2</v>
      </c>
      <c r="D54" s="6" t="s">
        <v>29</v>
      </c>
      <c r="E54" s="9"/>
      <c r="F54" s="8">
        <f t="shared" si="0"/>
        <v>0</v>
      </c>
      <c r="G54" s="68"/>
      <c r="H54" s="23"/>
    </row>
    <row r="55" spans="1:8" ht="15.75" thickBot="1">
      <c r="A55" s="4">
        <v>54</v>
      </c>
      <c r="B55" s="5">
        <v>47</v>
      </c>
      <c r="C55" s="5">
        <v>5</v>
      </c>
      <c r="D55" s="6" t="s">
        <v>30</v>
      </c>
      <c r="E55" s="9"/>
      <c r="F55" s="8">
        <f t="shared" si="0"/>
        <v>0</v>
      </c>
      <c r="G55" s="68"/>
      <c r="H55" s="23"/>
    </row>
    <row r="56" spans="1:8" ht="15.75" thickBot="1">
      <c r="A56" s="4">
        <v>57</v>
      </c>
      <c r="B56" s="5">
        <v>48</v>
      </c>
      <c r="C56" s="5">
        <v>5</v>
      </c>
      <c r="D56" s="6" t="s">
        <v>378</v>
      </c>
      <c r="E56" s="9"/>
      <c r="F56" s="8">
        <f t="shared" si="0"/>
        <v>0</v>
      </c>
      <c r="G56" s="68"/>
      <c r="H56" s="23"/>
    </row>
    <row r="57" spans="1:8" ht="15.75" thickBot="1">
      <c r="A57" s="4">
        <v>89</v>
      </c>
      <c r="B57" s="5">
        <v>49</v>
      </c>
      <c r="C57" s="5">
        <v>5</v>
      </c>
      <c r="D57" s="6" t="s">
        <v>379</v>
      </c>
      <c r="E57" s="9"/>
      <c r="F57" s="8">
        <f t="shared" si="0"/>
        <v>0</v>
      </c>
      <c r="G57" s="68"/>
      <c r="H57" s="23"/>
    </row>
    <row r="58" spans="1:8" ht="15.75" thickBot="1">
      <c r="A58" s="4">
        <v>90</v>
      </c>
      <c r="B58" s="5">
        <v>50</v>
      </c>
      <c r="C58" s="5">
        <v>2</v>
      </c>
      <c r="D58" s="6" t="s">
        <v>380</v>
      </c>
      <c r="E58" s="9"/>
      <c r="F58" s="8">
        <f t="shared" si="0"/>
        <v>0</v>
      </c>
      <c r="G58" s="68"/>
      <c r="H58" s="23"/>
    </row>
    <row r="59" spans="1:8" ht="15.75" thickBot="1">
      <c r="A59" s="4">
        <v>91</v>
      </c>
      <c r="B59" s="5">
        <v>51</v>
      </c>
      <c r="C59" s="5">
        <v>2</v>
      </c>
      <c r="D59" s="6" t="s">
        <v>381</v>
      </c>
      <c r="E59" s="9"/>
      <c r="F59" s="8">
        <f t="shared" si="0"/>
        <v>0</v>
      </c>
      <c r="G59" s="68"/>
      <c r="H59" s="23"/>
    </row>
    <row r="60" spans="1:8" ht="15.75" thickBot="1">
      <c r="A60" s="4">
        <v>72</v>
      </c>
      <c r="B60" s="5">
        <v>52</v>
      </c>
      <c r="C60" s="5">
        <v>60</v>
      </c>
      <c r="D60" s="6" t="s">
        <v>382</v>
      </c>
      <c r="E60" s="9"/>
      <c r="F60" s="8">
        <f t="shared" si="0"/>
        <v>0</v>
      </c>
      <c r="G60" s="68"/>
      <c r="H60" s="23"/>
    </row>
    <row r="61" spans="1:8" ht="15.75" thickBot="1">
      <c r="A61" s="4">
        <v>75</v>
      </c>
      <c r="B61" s="5">
        <v>53</v>
      </c>
      <c r="C61" s="5">
        <v>20</v>
      </c>
      <c r="D61" s="6" t="s">
        <v>383</v>
      </c>
      <c r="E61" s="7"/>
      <c r="F61" s="8">
        <f t="shared" si="0"/>
        <v>0</v>
      </c>
      <c r="G61" s="68"/>
      <c r="H61" s="23"/>
    </row>
    <row r="62" spans="1:8" ht="15.75" thickBot="1">
      <c r="A62" s="4">
        <v>73</v>
      </c>
      <c r="B62" s="5">
        <v>54</v>
      </c>
      <c r="C62" s="5">
        <v>5</v>
      </c>
      <c r="D62" s="6" t="s">
        <v>384</v>
      </c>
      <c r="E62" s="9"/>
      <c r="F62" s="8">
        <f t="shared" si="0"/>
        <v>0</v>
      </c>
      <c r="G62" s="68"/>
      <c r="H62" s="23"/>
    </row>
    <row r="63" spans="1:8" ht="15.75" thickBot="1">
      <c r="A63" s="4">
        <v>74</v>
      </c>
      <c r="B63" s="5">
        <v>55</v>
      </c>
      <c r="C63" s="5">
        <v>5</v>
      </c>
      <c r="D63" s="6" t="s">
        <v>385</v>
      </c>
      <c r="E63" s="9"/>
      <c r="F63" s="8">
        <f t="shared" si="0"/>
        <v>0</v>
      </c>
      <c r="G63" s="68"/>
      <c r="H63" s="23"/>
    </row>
    <row r="64" spans="1:8" ht="15.75" thickBot="1">
      <c r="A64" s="4">
        <v>100</v>
      </c>
      <c r="B64" s="5">
        <v>56</v>
      </c>
      <c r="C64" s="5">
        <v>50</v>
      </c>
      <c r="D64" s="6" t="s">
        <v>388</v>
      </c>
      <c r="E64" s="9"/>
      <c r="F64" s="8">
        <f t="shared" si="0"/>
        <v>0</v>
      </c>
      <c r="G64" s="68"/>
      <c r="H64" s="23"/>
    </row>
    <row r="65" spans="1:8" ht="15.75" thickBot="1">
      <c r="A65" s="4">
        <v>101</v>
      </c>
      <c r="B65" s="5">
        <v>57</v>
      </c>
      <c r="C65" s="5">
        <v>10</v>
      </c>
      <c r="D65" s="6" t="s">
        <v>387</v>
      </c>
      <c r="E65" s="9"/>
      <c r="F65" s="8">
        <f t="shared" si="0"/>
        <v>0</v>
      </c>
      <c r="G65" s="68"/>
      <c r="H65" s="23"/>
    </row>
    <row r="66" spans="1:8" ht="15.75" thickBot="1">
      <c r="A66" s="4">
        <v>68</v>
      </c>
      <c r="B66" s="5">
        <v>58</v>
      </c>
      <c r="C66" s="5">
        <v>2</v>
      </c>
      <c r="D66" s="6" t="s">
        <v>31</v>
      </c>
      <c r="E66" s="9"/>
      <c r="F66" s="8">
        <f t="shared" si="0"/>
        <v>0</v>
      </c>
      <c r="G66" s="68"/>
      <c r="H66" s="23"/>
    </row>
    <row r="67" spans="1:8" ht="15.75" thickBot="1">
      <c r="A67" s="4">
        <v>69</v>
      </c>
      <c r="B67" s="5">
        <v>59</v>
      </c>
      <c r="C67" s="5">
        <v>5</v>
      </c>
      <c r="D67" s="6" t="s">
        <v>32</v>
      </c>
      <c r="E67" s="9"/>
      <c r="F67" s="8">
        <f t="shared" si="0"/>
        <v>0</v>
      </c>
      <c r="G67" s="68"/>
      <c r="H67" s="23"/>
    </row>
    <row r="68" spans="1:8" ht="15.75" thickBot="1">
      <c r="A68" s="4">
        <v>67</v>
      </c>
      <c r="B68" s="5">
        <v>60</v>
      </c>
      <c r="C68" s="5">
        <v>20</v>
      </c>
      <c r="D68" s="6" t="s">
        <v>389</v>
      </c>
      <c r="E68" s="9"/>
      <c r="F68" s="8">
        <f t="shared" si="0"/>
        <v>0</v>
      </c>
      <c r="G68" s="68"/>
      <c r="H68" s="23"/>
    </row>
    <row r="69" spans="1:8" ht="15.75" thickBot="1">
      <c r="A69" s="4">
        <v>66</v>
      </c>
      <c r="B69" s="5">
        <v>61</v>
      </c>
      <c r="C69" s="5">
        <v>10</v>
      </c>
      <c r="D69" s="6" t="s">
        <v>390</v>
      </c>
      <c r="E69" s="9"/>
      <c r="F69" s="8">
        <f t="shared" si="0"/>
        <v>0</v>
      </c>
      <c r="G69" s="68"/>
      <c r="H69" s="23"/>
    </row>
    <row r="70" spans="1:8" ht="15.75" thickBot="1">
      <c r="A70" s="4">
        <v>95</v>
      </c>
      <c r="B70" s="5">
        <v>62</v>
      </c>
      <c r="C70" s="10">
        <v>10</v>
      </c>
      <c r="D70" s="6" t="s">
        <v>391</v>
      </c>
      <c r="E70" s="7"/>
      <c r="F70" s="8">
        <f t="shared" si="0"/>
        <v>0</v>
      </c>
      <c r="G70" s="68"/>
      <c r="H70" s="23"/>
    </row>
    <row r="71" spans="1:8" ht="15.75" thickBot="1">
      <c r="A71" s="4">
        <v>96</v>
      </c>
      <c r="B71" s="5">
        <v>63</v>
      </c>
      <c r="C71" s="10">
        <v>5</v>
      </c>
      <c r="D71" s="6" t="s">
        <v>392</v>
      </c>
      <c r="E71" s="7"/>
      <c r="F71" s="8">
        <f t="shared" si="0"/>
        <v>0</v>
      </c>
      <c r="G71" s="68"/>
      <c r="H71" s="23"/>
    </row>
    <row r="72" spans="1:8" ht="15.75" thickBot="1">
      <c r="A72" s="4">
        <v>2657</v>
      </c>
      <c r="B72" s="5">
        <v>64</v>
      </c>
      <c r="C72" s="10">
        <v>5</v>
      </c>
      <c r="D72" s="6" t="s">
        <v>393</v>
      </c>
      <c r="E72" s="9"/>
      <c r="F72" s="8">
        <f t="shared" si="0"/>
        <v>0</v>
      </c>
      <c r="G72" s="68"/>
      <c r="H72" s="23"/>
    </row>
    <row r="73" spans="1:8" ht="15.75" thickBot="1">
      <c r="A73" s="4">
        <v>26</v>
      </c>
      <c r="B73" s="5">
        <v>65</v>
      </c>
      <c r="C73" s="10">
        <v>2</v>
      </c>
      <c r="D73" s="6" t="s">
        <v>394</v>
      </c>
      <c r="E73" s="9"/>
      <c r="F73" s="8">
        <f t="shared" si="0"/>
        <v>0</v>
      </c>
      <c r="G73" s="68"/>
      <c r="H73" s="23"/>
    </row>
    <row r="74" spans="1:8" ht="15.75" thickBot="1">
      <c r="A74" s="4">
        <v>28</v>
      </c>
      <c r="B74" s="5">
        <v>66</v>
      </c>
      <c r="C74" s="10">
        <v>2</v>
      </c>
      <c r="D74" s="6" t="s">
        <v>395</v>
      </c>
      <c r="E74" s="9"/>
      <c r="F74" s="8">
        <f t="shared" si="0"/>
        <v>0</v>
      </c>
      <c r="G74" s="68"/>
      <c r="H74" s="23"/>
    </row>
    <row r="75" spans="1:8" ht="15.75" thickBot="1">
      <c r="A75" s="72" t="s">
        <v>330</v>
      </c>
      <c r="B75" s="73"/>
      <c r="C75" s="73"/>
      <c r="D75" s="73"/>
      <c r="E75" s="73"/>
      <c r="F75" s="73"/>
      <c r="G75" s="73"/>
      <c r="H75" s="74"/>
    </row>
    <row r="76" spans="1:8" ht="15.75" thickBot="1">
      <c r="A76" s="4">
        <v>65</v>
      </c>
      <c r="B76" s="5">
        <v>67</v>
      </c>
      <c r="C76" s="5">
        <v>25</v>
      </c>
      <c r="D76" s="6" t="s">
        <v>331</v>
      </c>
      <c r="E76" s="9"/>
      <c r="F76" s="8">
        <f t="shared" ref="F76:F139" si="1">E76*C76</f>
        <v>0</v>
      </c>
      <c r="G76" s="68"/>
      <c r="H76" s="23"/>
    </row>
    <row r="77" spans="1:8" ht="15.75" thickBot="1">
      <c r="A77" s="4">
        <v>63</v>
      </c>
      <c r="B77" s="5">
        <v>68</v>
      </c>
      <c r="C77" s="5">
        <v>325</v>
      </c>
      <c r="D77" s="6" t="s">
        <v>332</v>
      </c>
      <c r="E77" s="9"/>
      <c r="F77" s="8">
        <f t="shared" si="1"/>
        <v>0</v>
      </c>
      <c r="G77" s="68"/>
      <c r="H77" s="23"/>
    </row>
    <row r="78" spans="1:8" ht="15.75" thickBot="1">
      <c r="A78" s="4">
        <v>62</v>
      </c>
      <c r="B78" s="5">
        <v>69</v>
      </c>
      <c r="C78" s="5">
        <v>5</v>
      </c>
      <c r="D78" s="6" t="s">
        <v>333</v>
      </c>
      <c r="E78" s="9"/>
      <c r="F78" s="8">
        <f t="shared" si="1"/>
        <v>0</v>
      </c>
      <c r="G78" s="68"/>
      <c r="H78" s="23"/>
    </row>
    <row r="79" spans="1:8" ht="15.75" thickBot="1">
      <c r="A79" s="4">
        <v>64</v>
      </c>
      <c r="B79" s="5">
        <v>70</v>
      </c>
      <c r="C79" s="5">
        <v>20</v>
      </c>
      <c r="D79" s="6" t="s">
        <v>334</v>
      </c>
      <c r="E79" s="9"/>
      <c r="F79" s="8">
        <f t="shared" si="1"/>
        <v>0</v>
      </c>
      <c r="G79" s="68"/>
      <c r="H79" s="23"/>
    </row>
    <row r="80" spans="1:8" ht="15.75" thickBot="1">
      <c r="A80" s="4">
        <v>60</v>
      </c>
      <c r="B80" s="5">
        <v>71</v>
      </c>
      <c r="C80" s="5">
        <v>20</v>
      </c>
      <c r="D80" s="6" t="s">
        <v>335</v>
      </c>
      <c r="E80" s="9"/>
      <c r="F80" s="8">
        <f t="shared" si="1"/>
        <v>0</v>
      </c>
      <c r="G80" s="68"/>
      <c r="H80" s="23"/>
    </row>
    <row r="81" spans="1:8" ht="15.75" thickBot="1">
      <c r="A81" s="4">
        <v>58</v>
      </c>
      <c r="B81" s="5">
        <v>72</v>
      </c>
      <c r="C81" s="5">
        <v>325</v>
      </c>
      <c r="D81" s="6" t="s">
        <v>336</v>
      </c>
      <c r="E81" s="9"/>
      <c r="F81" s="8">
        <f t="shared" si="1"/>
        <v>0</v>
      </c>
      <c r="G81" s="68"/>
      <c r="H81" s="23"/>
    </row>
    <row r="82" spans="1:8" ht="15.75" thickBot="1">
      <c r="A82" s="4">
        <v>61</v>
      </c>
      <c r="B82" s="5">
        <v>73</v>
      </c>
      <c r="C82" s="5">
        <v>5</v>
      </c>
      <c r="D82" s="6" t="s">
        <v>337</v>
      </c>
      <c r="E82" s="9"/>
      <c r="F82" s="8">
        <f t="shared" si="1"/>
        <v>0</v>
      </c>
      <c r="G82" s="68"/>
      <c r="H82" s="23"/>
    </row>
    <row r="83" spans="1:8" ht="15.75" thickBot="1">
      <c r="A83" s="4">
        <v>59</v>
      </c>
      <c r="B83" s="5">
        <v>74</v>
      </c>
      <c r="C83" s="5">
        <v>35</v>
      </c>
      <c r="D83" s="6" t="s">
        <v>338</v>
      </c>
      <c r="E83" s="9"/>
      <c r="F83" s="8">
        <f t="shared" si="1"/>
        <v>0</v>
      </c>
      <c r="G83" s="68"/>
      <c r="H83" s="23"/>
    </row>
    <row r="84" spans="1:8" ht="15.75" thickBot="1">
      <c r="A84" s="72" t="s">
        <v>441</v>
      </c>
      <c r="B84" s="73"/>
      <c r="C84" s="73"/>
      <c r="D84" s="73"/>
      <c r="E84" s="73"/>
      <c r="F84" s="73"/>
      <c r="G84" s="73"/>
      <c r="H84" s="74"/>
    </row>
    <row r="85" spans="1:8" ht="15.75" thickBot="1">
      <c r="A85" s="4">
        <v>2651</v>
      </c>
      <c r="B85" s="5">
        <v>75</v>
      </c>
      <c r="C85" s="5">
        <v>5</v>
      </c>
      <c r="D85" s="6" t="s">
        <v>396</v>
      </c>
      <c r="E85" s="9"/>
      <c r="F85" s="8">
        <f>E85*C85</f>
        <v>0</v>
      </c>
      <c r="G85" s="68"/>
      <c r="H85" s="23"/>
    </row>
    <row r="86" spans="1:8" ht="25.5" customHeight="1" thickBot="1">
      <c r="A86" s="4">
        <v>245</v>
      </c>
      <c r="B86" s="5">
        <v>76</v>
      </c>
      <c r="C86" s="5">
        <v>5</v>
      </c>
      <c r="D86" s="6" t="s">
        <v>397</v>
      </c>
      <c r="E86" s="9"/>
      <c r="F86" s="8">
        <f t="shared" si="1"/>
        <v>0</v>
      </c>
      <c r="G86" s="68"/>
      <c r="H86" s="23"/>
    </row>
    <row r="87" spans="1:8" ht="25.5" customHeight="1" thickBot="1">
      <c r="A87" s="4">
        <v>247</v>
      </c>
      <c r="B87" s="5">
        <v>77</v>
      </c>
      <c r="C87" s="5">
        <v>5</v>
      </c>
      <c r="D87" s="6" t="s">
        <v>398</v>
      </c>
      <c r="E87" s="9"/>
      <c r="F87" s="8">
        <f t="shared" si="1"/>
        <v>0</v>
      </c>
      <c r="G87" s="68"/>
      <c r="H87" s="23"/>
    </row>
    <row r="88" spans="1:8" ht="25.5" customHeight="1" thickBot="1">
      <c r="A88" s="4">
        <v>246</v>
      </c>
      <c r="B88" s="5">
        <v>78</v>
      </c>
      <c r="C88" s="5">
        <v>5</v>
      </c>
      <c r="D88" s="6" t="s">
        <v>402</v>
      </c>
      <c r="E88" s="9"/>
      <c r="F88" s="8">
        <f t="shared" si="1"/>
        <v>0</v>
      </c>
      <c r="G88" s="68"/>
      <c r="H88" s="23"/>
    </row>
    <row r="89" spans="1:8" ht="25.5" customHeight="1" thickBot="1">
      <c r="A89" s="4">
        <v>248</v>
      </c>
      <c r="B89" s="5">
        <v>79</v>
      </c>
      <c r="C89" s="5">
        <v>5</v>
      </c>
      <c r="D89" s="6" t="s">
        <v>401</v>
      </c>
      <c r="E89" s="9"/>
      <c r="F89" s="8">
        <f t="shared" si="1"/>
        <v>0</v>
      </c>
      <c r="G89" s="68"/>
      <c r="H89" s="23"/>
    </row>
    <row r="90" spans="1:8" ht="25.5" customHeight="1" thickBot="1">
      <c r="A90" s="4">
        <v>576</v>
      </c>
      <c r="B90" s="5">
        <v>80</v>
      </c>
      <c r="C90" s="5">
        <v>2</v>
      </c>
      <c r="D90" s="6" t="s">
        <v>400</v>
      </c>
      <c r="E90" s="9"/>
      <c r="F90" s="8">
        <f t="shared" si="1"/>
        <v>0</v>
      </c>
      <c r="G90" s="68"/>
      <c r="H90" s="23"/>
    </row>
    <row r="91" spans="1:8" ht="25.5" customHeight="1" thickBot="1">
      <c r="A91" s="4" t="s">
        <v>33</v>
      </c>
      <c r="B91" s="5">
        <v>81</v>
      </c>
      <c r="C91" s="5">
        <v>75</v>
      </c>
      <c r="D91" s="6" t="s">
        <v>399</v>
      </c>
      <c r="E91" s="9"/>
      <c r="F91" s="8">
        <f t="shared" si="1"/>
        <v>0</v>
      </c>
      <c r="G91" s="68"/>
      <c r="H91" s="23"/>
    </row>
    <row r="92" spans="1:8" ht="25.5" customHeight="1" thickBot="1">
      <c r="A92" s="4" t="s">
        <v>34</v>
      </c>
      <c r="B92" s="5">
        <v>82</v>
      </c>
      <c r="C92" s="5">
        <v>5</v>
      </c>
      <c r="D92" s="6" t="s">
        <v>403</v>
      </c>
      <c r="E92" s="9"/>
      <c r="F92" s="8">
        <f t="shared" si="1"/>
        <v>0</v>
      </c>
      <c r="G92" s="68"/>
      <c r="H92" s="23"/>
    </row>
    <row r="93" spans="1:8" ht="25.5" customHeight="1" thickBot="1">
      <c r="A93" s="4" t="s">
        <v>35</v>
      </c>
      <c r="B93" s="5">
        <v>83</v>
      </c>
      <c r="C93" s="5">
        <v>20</v>
      </c>
      <c r="D93" s="6" t="s">
        <v>404</v>
      </c>
      <c r="E93" s="9"/>
      <c r="F93" s="8">
        <f t="shared" si="1"/>
        <v>0</v>
      </c>
      <c r="G93" s="68"/>
      <c r="H93" s="23"/>
    </row>
    <row r="94" spans="1:8" ht="25.5" customHeight="1" thickBot="1">
      <c r="A94" s="4" t="s">
        <v>36</v>
      </c>
      <c r="B94" s="5">
        <v>84</v>
      </c>
      <c r="C94" s="5">
        <v>2</v>
      </c>
      <c r="D94" s="6" t="s">
        <v>405</v>
      </c>
      <c r="E94" s="9"/>
      <c r="F94" s="8">
        <f t="shared" si="1"/>
        <v>0</v>
      </c>
      <c r="G94" s="68"/>
      <c r="H94" s="23"/>
    </row>
    <row r="95" spans="1:8" ht="25.5" customHeight="1" thickBot="1">
      <c r="A95" s="4">
        <v>268</v>
      </c>
      <c r="B95" s="5">
        <v>85</v>
      </c>
      <c r="C95" s="5">
        <v>5</v>
      </c>
      <c r="D95" s="6" t="s">
        <v>406</v>
      </c>
      <c r="E95" s="9"/>
      <c r="F95" s="8">
        <f t="shared" si="1"/>
        <v>0</v>
      </c>
      <c r="G95" s="68"/>
      <c r="H95" s="23"/>
    </row>
    <row r="96" spans="1:8" ht="25.5" customHeight="1" thickBot="1">
      <c r="A96" s="4" t="s">
        <v>37</v>
      </c>
      <c r="B96" s="5">
        <v>86</v>
      </c>
      <c r="C96" s="5">
        <v>35</v>
      </c>
      <c r="D96" s="6" t="s">
        <v>407</v>
      </c>
      <c r="E96" s="9"/>
      <c r="F96" s="8">
        <f t="shared" si="1"/>
        <v>0</v>
      </c>
      <c r="G96" s="68"/>
      <c r="H96" s="23"/>
    </row>
    <row r="97" spans="1:8" ht="25.5" customHeight="1" thickBot="1">
      <c r="A97" s="4" t="s">
        <v>34</v>
      </c>
      <c r="B97" s="5">
        <v>87</v>
      </c>
      <c r="C97" s="5">
        <v>5</v>
      </c>
      <c r="D97" s="6" t="s">
        <v>408</v>
      </c>
      <c r="E97" s="9"/>
      <c r="F97" s="8">
        <f t="shared" si="1"/>
        <v>0</v>
      </c>
      <c r="G97" s="68"/>
      <c r="H97" s="23"/>
    </row>
    <row r="98" spans="1:8" ht="25.5" customHeight="1" thickBot="1">
      <c r="A98" s="4" t="s">
        <v>38</v>
      </c>
      <c r="B98" s="5">
        <v>88</v>
      </c>
      <c r="C98" s="5">
        <v>10</v>
      </c>
      <c r="D98" s="6" t="s">
        <v>409</v>
      </c>
      <c r="E98" s="9"/>
      <c r="F98" s="8">
        <f t="shared" si="1"/>
        <v>0</v>
      </c>
      <c r="G98" s="68"/>
      <c r="H98" s="23"/>
    </row>
    <row r="99" spans="1:8" ht="25.5" customHeight="1" thickBot="1">
      <c r="A99" s="4">
        <v>251</v>
      </c>
      <c r="B99" s="5">
        <v>89</v>
      </c>
      <c r="C99" s="5">
        <v>100</v>
      </c>
      <c r="D99" s="6" t="s">
        <v>410</v>
      </c>
      <c r="E99" s="9"/>
      <c r="F99" s="8">
        <f t="shared" si="1"/>
        <v>0</v>
      </c>
      <c r="G99" s="68"/>
      <c r="H99" s="23"/>
    </row>
    <row r="100" spans="1:8" ht="25.5" customHeight="1" thickBot="1">
      <c r="A100" s="4">
        <v>238</v>
      </c>
      <c r="B100" s="5">
        <v>90</v>
      </c>
      <c r="C100" s="5">
        <v>2</v>
      </c>
      <c r="D100" s="6" t="s">
        <v>411</v>
      </c>
      <c r="E100" s="9"/>
      <c r="F100" s="8">
        <f t="shared" si="1"/>
        <v>0</v>
      </c>
      <c r="G100" s="68"/>
      <c r="H100" s="23"/>
    </row>
    <row r="101" spans="1:8" ht="25.5" customHeight="1" thickBot="1">
      <c r="A101" s="4">
        <v>236</v>
      </c>
      <c r="B101" s="5">
        <v>91</v>
      </c>
      <c r="C101" s="5">
        <v>10</v>
      </c>
      <c r="D101" s="6" t="s">
        <v>412</v>
      </c>
      <c r="E101" s="9"/>
      <c r="F101" s="8">
        <f t="shared" si="1"/>
        <v>0</v>
      </c>
      <c r="G101" s="68"/>
      <c r="H101" s="23"/>
    </row>
    <row r="102" spans="1:8" ht="25.5" customHeight="1" thickBot="1">
      <c r="A102" s="4" t="s">
        <v>39</v>
      </c>
      <c r="B102" s="5">
        <v>92</v>
      </c>
      <c r="C102" s="5">
        <v>5</v>
      </c>
      <c r="D102" s="6" t="s">
        <v>413</v>
      </c>
      <c r="E102" s="9"/>
      <c r="F102" s="8">
        <f t="shared" si="1"/>
        <v>0</v>
      </c>
      <c r="G102" s="68"/>
      <c r="H102" s="23"/>
    </row>
    <row r="103" spans="1:8" ht="25.5" customHeight="1" thickBot="1">
      <c r="A103" s="4" t="s">
        <v>40</v>
      </c>
      <c r="B103" s="5">
        <v>93</v>
      </c>
      <c r="C103" s="5">
        <v>50</v>
      </c>
      <c r="D103" s="6" t="s">
        <v>414</v>
      </c>
      <c r="E103" s="9"/>
      <c r="F103" s="8">
        <f t="shared" si="1"/>
        <v>0</v>
      </c>
      <c r="G103" s="68"/>
      <c r="H103" s="23"/>
    </row>
    <row r="104" spans="1:8" ht="25.5" customHeight="1" thickBot="1">
      <c r="A104" s="4" t="s">
        <v>41</v>
      </c>
      <c r="B104" s="5">
        <v>94</v>
      </c>
      <c r="C104" s="5">
        <v>2</v>
      </c>
      <c r="D104" s="6" t="s">
        <v>415</v>
      </c>
      <c r="E104" s="9"/>
      <c r="F104" s="8">
        <f t="shared" si="1"/>
        <v>0</v>
      </c>
      <c r="G104" s="68"/>
      <c r="H104" s="23"/>
    </row>
    <row r="105" spans="1:8" ht="25.5" customHeight="1" thickBot="1">
      <c r="A105" s="4" t="s">
        <v>42</v>
      </c>
      <c r="B105" s="5">
        <v>95</v>
      </c>
      <c r="C105" s="5">
        <v>10</v>
      </c>
      <c r="D105" s="6" t="s">
        <v>416</v>
      </c>
      <c r="E105" s="9"/>
      <c r="F105" s="8">
        <f t="shared" si="1"/>
        <v>0</v>
      </c>
      <c r="G105" s="68"/>
      <c r="H105" s="23"/>
    </row>
    <row r="106" spans="1:8" ht="25.5" customHeight="1" thickBot="1">
      <c r="A106" s="4" t="s">
        <v>43</v>
      </c>
      <c r="B106" s="5">
        <v>96</v>
      </c>
      <c r="C106" s="5">
        <v>2</v>
      </c>
      <c r="D106" s="6" t="s">
        <v>417</v>
      </c>
      <c r="E106" s="9"/>
      <c r="F106" s="8">
        <f t="shared" si="1"/>
        <v>0</v>
      </c>
      <c r="G106" s="68"/>
      <c r="H106" s="23"/>
    </row>
    <row r="107" spans="1:8" ht="25.5" thickBot="1">
      <c r="A107" s="4">
        <v>243</v>
      </c>
      <c r="B107" s="5">
        <v>97</v>
      </c>
      <c r="C107" s="5">
        <v>20</v>
      </c>
      <c r="D107" s="6" t="s">
        <v>418</v>
      </c>
      <c r="E107" s="9"/>
      <c r="F107" s="8">
        <f t="shared" si="1"/>
        <v>0</v>
      </c>
      <c r="G107" s="68"/>
      <c r="H107" s="23"/>
    </row>
    <row r="108" spans="1:8" ht="25.5" thickBot="1">
      <c r="A108" s="4" t="s">
        <v>44</v>
      </c>
      <c r="B108" s="5">
        <v>98</v>
      </c>
      <c r="C108" s="5">
        <v>2</v>
      </c>
      <c r="D108" s="6" t="s">
        <v>419</v>
      </c>
      <c r="E108" s="9"/>
      <c r="F108" s="8">
        <f t="shared" si="1"/>
        <v>0</v>
      </c>
      <c r="G108" s="68"/>
      <c r="H108" s="23"/>
    </row>
    <row r="109" spans="1:8" ht="25.5" thickBot="1">
      <c r="A109" s="4" t="s">
        <v>45</v>
      </c>
      <c r="B109" s="5">
        <v>99</v>
      </c>
      <c r="C109" s="5">
        <v>5</v>
      </c>
      <c r="D109" s="6" t="s">
        <v>420</v>
      </c>
      <c r="E109" s="9"/>
      <c r="F109" s="8">
        <f t="shared" si="1"/>
        <v>0</v>
      </c>
      <c r="G109" s="68"/>
      <c r="H109" s="23"/>
    </row>
    <row r="110" spans="1:8" ht="25.5" thickBot="1">
      <c r="A110" s="4" t="s">
        <v>46</v>
      </c>
      <c r="B110" s="5">
        <v>100</v>
      </c>
      <c r="C110" s="5">
        <v>2</v>
      </c>
      <c r="D110" s="6" t="s">
        <v>421</v>
      </c>
      <c r="E110" s="9"/>
      <c r="F110" s="8">
        <f t="shared" si="1"/>
        <v>0</v>
      </c>
      <c r="G110" s="68"/>
      <c r="H110" s="23"/>
    </row>
    <row r="111" spans="1:8" ht="25.5" thickBot="1">
      <c r="A111" s="4" t="s">
        <v>47</v>
      </c>
      <c r="B111" s="5">
        <v>101</v>
      </c>
      <c r="C111" s="5">
        <v>2</v>
      </c>
      <c r="D111" s="6" t="s">
        <v>422</v>
      </c>
      <c r="E111" s="9"/>
      <c r="F111" s="8">
        <f t="shared" si="1"/>
        <v>0</v>
      </c>
      <c r="G111" s="68"/>
      <c r="H111" s="23"/>
    </row>
    <row r="112" spans="1:8" ht="25.5" thickBot="1">
      <c r="A112" s="4" t="s">
        <v>48</v>
      </c>
      <c r="B112" s="5">
        <v>102</v>
      </c>
      <c r="C112" s="5">
        <v>20</v>
      </c>
      <c r="D112" s="6" t="s">
        <v>423</v>
      </c>
      <c r="E112" s="9"/>
      <c r="F112" s="8">
        <f t="shared" si="1"/>
        <v>0</v>
      </c>
      <c r="G112" s="68"/>
      <c r="H112" s="23"/>
    </row>
    <row r="113" spans="1:8" ht="25.5" thickBot="1">
      <c r="A113" s="4" t="s">
        <v>49</v>
      </c>
      <c r="B113" s="5">
        <v>103</v>
      </c>
      <c r="C113" s="5">
        <v>2</v>
      </c>
      <c r="D113" s="6" t="s">
        <v>424</v>
      </c>
      <c r="E113" s="9"/>
      <c r="F113" s="8">
        <f t="shared" si="1"/>
        <v>0</v>
      </c>
      <c r="G113" s="68"/>
      <c r="H113" s="23"/>
    </row>
    <row r="114" spans="1:8" ht="25.5" thickBot="1">
      <c r="A114" s="4" t="s">
        <v>50</v>
      </c>
      <c r="B114" s="5">
        <v>104</v>
      </c>
      <c r="C114" s="5">
        <v>10</v>
      </c>
      <c r="D114" s="6" t="s">
        <v>425</v>
      </c>
      <c r="E114" s="9"/>
      <c r="F114" s="8">
        <f t="shared" si="1"/>
        <v>0</v>
      </c>
      <c r="G114" s="68"/>
      <c r="H114" s="23"/>
    </row>
    <row r="115" spans="1:8" ht="25.5" thickBot="1">
      <c r="A115" s="4">
        <v>271</v>
      </c>
      <c r="B115" s="5">
        <v>105</v>
      </c>
      <c r="C115" s="5">
        <v>5</v>
      </c>
      <c r="D115" s="6" t="s">
        <v>426</v>
      </c>
      <c r="E115" s="9"/>
      <c r="F115" s="8">
        <f t="shared" si="1"/>
        <v>0</v>
      </c>
      <c r="G115" s="68"/>
      <c r="H115" s="23"/>
    </row>
    <row r="116" spans="1:8" ht="25.5" thickBot="1">
      <c r="A116" s="39">
        <v>272</v>
      </c>
      <c r="B116" s="40">
        <v>106</v>
      </c>
      <c r="C116" s="40">
        <v>1</v>
      </c>
      <c r="D116" s="42" t="s">
        <v>427</v>
      </c>
      <c r="E116" s="9"/>
      <c r="F116" s="8">
        <f t="shared" si="1"/>
        <v>0</v>
      </c>
      <c r="G116" s="68"/>
      <c r="H116" s="23"/>
    </row>
    <row r="117" spans="1:8" ht="25.5" thickBot="1">
      <c r="A117" s="48">
        <v>253</v>
      </c>
      <c r="B117" s="49">
        <v>107</v>
      </c>
      <c r="C117" s="49">
        <v>1</v>
      </c>
      <c r="D117" s="50" t="s">
        <v>339</v>
      </c>
      <c r="E117" s="46"/>
      <c r="F117" s="8">
        <f t="shared" si="1"/>
        <v>0</v>
      </c>
      <c r="G117" s="68"/>
      <c r="H117" s="23"/>
    </row>
    <row r="118" spans="1:8" ht="25.5" thickBot="1">
      <c r="A118" s="48">
        <v>254</v>
      </c>
      <c r="B118" s="49">
        <v>108</v>
      </c>
      <c r="C118" s="49">
        <v>3</v>
      </c>
      <c r="D118" s="50" t="s">
        <v>340</v>
      </c>
      <c r="E118" s="46"/>
      <c r="F118" s="8">
        <f t="shared" si="1"/>
        <v>0</v>
      </c>
      <c r="G118" s="68"/>
      <c r="H118" s="23"/>
    </row>
    <row r="119" spans="1:8" ht="25.5" thickBot="1">
      <c r="A119" s="48" t="s">
        <v>51</v>
      </c>
      <c r="B119" s="49">
        <v>109</v>
      </c>
      <c r="C119" s="49">
        <v>3</v>
      </c>
      <c r="D119" s="50" t="s">
        <v>341</v>
      </c>
      <c r="E119" s="46"/>
      <c r="F119" s="8">
        <f t="shared" si="1"/>
        <v>0</v>
      </c>
      <c r="G119" s="68"/>
      <c r="H119" s="23"/>
    </row>
    <row r="120" spans="1:8" ht="25.5" thickBot="1">
      <c r="A120" s="48" t="s">
        <v>52</v>
      </c>
      <c r="B120" s="49">
        <v>110</v>
      </c>
      <c r="C120" s="49">
        <v>1</v>
      </c>
      <c r="D120" s="50" t="s">
        <v>342</v>
      </c>
      <c r="E120" s="46"/>
      <c r="F120" s="8">
        <f t="shared" si="1"/>
        <v>0</v>
      </c>
      <c r="G120" s="68"/>
      <c r="H120" s="23"/>
    </row>
    <row r="121" spans="1:8" ht="25.5" thickBot="1">
      <c r="A121" s="48" t="s">
        <v>53</v>
      </c>
      <c r="B121" s="49">
        <v>111</v>
      </c>
      <c r="C121" s="49">
        <v>1</v>
      </c>
      <c r="D121" s="50" t="s">
        <v>343</v>
      </c>
      <c r="E121" s="46"/>
      <c r="F121" s="8">
        <f t="shared" si="1"/>
        <v>0</v>
      </c>
      <c r="G121" s="68"/>
      <c r="H121" s="23"/>
    </row>
    <row r="122" spans="1:8" ht="25.5" thickBot="1">
      <c r="A122" s="48">
        <v>261</v>
      </c>
      <c r="B122" s="49">
        <v>112</v>
      </c>
      <c r="C122" s="49">
        <v>1</v>
      </c>
      <c r="D122" s="50" t="s">
        <v>344</v>
      </c>
      <c r="E122" s="46"/>
      <c r="F122" s="8">
        <f t="shared" si="1"/>
        <v>0</v>
      </c>
      <c r="G122" s="68"/>
      <c r="H122" s="23"/>
    </row>
    <row r="123" spans="1:8" ht="25.5" thickBot="1">
      <c r="A123" s="48" t="s">
        <v>54</v>
      </c>
      <c r="B123" s="49">
        <v>113</v>
      </c>
      <c r="C123" s="49">
        <v>1</v>
      </c>
      <c r="D123" s="50" t="s">
        <v>345</v>
      </c>
      <c r="E123" s="46"/>
      <c r="F123" s="8">
        <f t="shared" si="1"/>
        <v>0</v>
      </c>
      <c r="G123" s="68"/>
      <c r="H123" s="23"/>
    </row>
    <row r="124" spans="1:8" ht="25.5" thickBot="1">
      <c r="A124" s="48" t="s">
        <v>55</v>
      </c>
      <c r="B124" s="49">
        <v>114</v>
      </c>
      <c r="C124" s="49">
        <v>1</v>
      </c>
      <c r="D124" s="50" t="s">
        <v>346</v>
      </c>
      <c r="E124" s="46"/>
      <c r="F124" s="8">
        <f t="shared" si="1"/>
        <v>0</v>
      </c>
      <c r="G124" s="68"/>
      <c r="H124" s="23"/>
    </row>
    <row r="125" spans="1:8" ht="25.5" thickBot="1">
      <c r="A125" s="48" t="s">
        <v>56</v>
      </c>
      <c r="B125" s="49">
        <v>115</v>
      </c>
      <c r="C125" s="49">
        <v>1</v>
      </c>
      <c r="D125" s="50" t="s">
        <v>347</v>
      </c>
      <c r="E125" s="46"/>
      <c r="F125" s="8">
        <f t="shared" si="1"/>
        <v>0</v>
      </c>
      <c r="G125" s="68"/>
      <c r="H125" s="23"/>
    </row>
    <row r="126" spans="1:8" ht="25.5" thickBot="1">
      <c r="A126" s="48">
        <v>259</v>
      </c>
      <c r="B126" s="49">
        <v>116</v>
      </c>
      <c r="C126" s="49">
        <v>1</v>
      </c>
      <c r="D126" s="50" t="s">
        <v>348</v>
      </c>
      <c r="E126" s="46"/>
      <c r="F126" s="8">
        <f t="shared" si="1"/>
        <v>0</v>
      </c>
      <c r="G126" s="68"/>
      <c r="H126" s="23"/>
    </row>
    <row r="127" spans="1:8" ht="25.5" thickBot="1">
      <c r="A127" s="48">
        <v>260</v>
      </c>
      <c r="B127" s="49">
        <v>117</v>
      </c>
      <c r="C127" s="49">
        <v>2</v>
      </c>
      <c r="D127" s="50" t="s">
        <v>349</v>
      </c>
      <c r="E127" s="46"/>
      <c r="F127" s="8">
        <f t="shared" si="1"/>
        <v>0</v>
      </c>
      <c r="G127" s="68"/>
      <c r="H127" s="23"/>
    </row>
    <row r="128" spans="1:8" ht="25.5" thickBot="1">
      <c r="A128" s="51">
        <v>266</v>
      </c>
      <c r="B128" s="49">
        <v>118</v>
      </c>
      <c r="C128" s="52">
        <v>2</v>
      </c>
      <c r="D128" s="53" t="s">
        <v>350</v>
      </c>
      <c r="E128" s="47"/>
      <c r="F128" s="8">
        <f t="shared" si="1"/>
        <v>0</v>
      </c>
      <c r="G128" s="68"/>
      <c r="H128" s="23"/>
    </row>
    <row r="129" spans="1:8" ht="15.75" thickBot="1">
      <c r="A129" s="85" t="s">
        <v>313</v>
      </c>
      <c r="B129" s="86"/>
      <c r="C129" s="86"/>
      <c r="D129" s="86"/>
      <c r="E129" s="73"/>
      <c r="F129" s="73"/>
      <c r="G129" s="73"/>
      <c r="H129" s="74"/>
    </row>
    <row r="130" spans="1:8" ht="15.75" thickBot="1">
      <c r="A130" s="79" t="s">
        <v>351</v>
      </c>
      <c r="B130" s="80"/>
      <c r="C130" s="80"/>
      <c r="D130" s="80"/>
      <c r="E130" s="80"/>
      <c r="F130" s="80"/>
      <c r="G130" s="80"/>
      <c r="H130" s="81"/>
    </row>
    <row r="131" spans="1:8" ht="15.75" thickBot="1">
      <c r="A131" s="4">
        <v>584</v>
      </c>
      <c r="B131" s="5">
        <v>119</v>
      </c>
      <c r="C131" s="5">
        <v>5</v>
      </c>
      <c r="D131" s="6" t="s">
        <v>57</v>
      </c>
      <c r="E131" s="9"/>
      <c r="F131" s="8">
        <f t="shared" si="1"/>
        <v>0</v>
      </c>
      <c r="G131" s="68"/>
      <c r="H131" s="23"/>
    </row>
    <row r="132" spans="1:8" ht="15.75" thickBot="1">
      <c r="A132" s="4">
        <v>588</v>
      </c>
      <c r="B132" s="5">
        <v>120</v>
      </c>
      <c r="C132" s="5">
        <v>2</v>
      </c>
      <c r="D132" s="6" t="s">
        <v>58</v>
      </c>
      <c r="E132" s="9"/>
      <c r="F132" s="8">
        <f t="shared" si="1"/>
        <v>0</v>
      </c>
      <c r="G132" s="68"/>
      <c r="H132" s="23"/>
    </row>
    <row r="133" spans="1:8" ht="15.75" thickBot="1">
      <c r="A133" s="4">
        <v>586</v>
      </c>
      <c r="B133" s="5">
        <v>121</v>
      </c>
      <c r="C133" s="5">
        <v>125</v>
      </c>
      <c r="D133" s="6" t="s">
        <v>59</v>
      </c>
      <c r="E133" s="9"/>
      <c r="F133" s="8">
        <f t="shared" si="1"/>
        <v>0</v>
      </c>
      <c r="G133" s="68"/>
      <c r="H133" s="23"/>
    </row>
    <row r="134" spans="1:8" ht="15.75" thickBot="1">
      <c r="A134" s="4">
        <v>587</v>
      </c>
      <c r="B134" s="5">
        <v>122</v>
      </c>
      <c r="C134" s="5">
        <v>2</v>
      </c>
      <c r="D134" s="6" t="s">
        <v>60</v>
      </c>
      <c r="E134" s="9"/>
      <c r="F134" s="8">
        <f t="shared" si="1"/>
        <v>0</v>
      </c>
      <c r="G134" s="68"/>
      <c r="H134" s="23"/>
    </row>
    <row r="135" spans="1:8" ht="15.75" thickBot="1">
      <c r="A135" s="4">
        <v>592</v>
      </c>
      <c r="B135" s="5">
        <v>123</v>
      </c>
      <c r="C135" s="5">
        <v>5</v>
      </c>
      <c r="D135" s="6" t="s">
        <v>61</v>
      </c>
      <c r="E135" s="9"/>
      <c r="F135" s="8">
        <f t="shared" si="1"/>
        <v>0</v>
      </c>
      <c r="G135" s="68"/>
      <c r="H135" s="23"/>
    </row>
    <row r="136" spans="1:8" ht="15.75" thickBot="1">
      <c r="A136" s="4">
        <v>590</v>
      </c>
      <c r="B136" s="5">
        <v>124</v>
      </c>
      <c r="C136" s="5">
        <v>75</v>
      </c>
      <c r="D136" s="6" t="s">
        <v>62</v>
      </c>
      <c r="E136" s="9"/>
      <c r="F136" s="8">
        <f t="shared" si="1"/>
        <v>0</v>
      </c>
      <c r="G136" s="68"/>
      <c r="H136" s="23"/>
    </row>
    <row r="137" spans="1:8" ht="15.75" thickBot="1">
      <c r="A137" s="4">
        <v>589</v>
      </c>
      <c r="B137" s="5">
        <v>125</v>
      </c>
      <c r="C137" s="5">
        <v>2</v>
      </c>
      <c r="D137" s="6" t="s">
        <v>63</v>
      </c>
      <c r="E137" s="9"/>
      <c r="F137" s="8">
        <f t="shared" si="1"/>
        <v>0</v>
      </c>
      <c r="G137" s="68"/>
      <c r="H137" s="23"/>
    </row>
    <row r="138" spans="1:8" ht="15.75" thickBot="1">
      <c r="A138" s="4">
        <v>591</v>
      </c>
      <c r="B138" s="5">
        <v>126</v>
      </c>
      <c r="C138" s="5">
        <v>15</v>
      </c>
      <c r="D138" s="6" t="s">
        <v>64</v>
      </c>
      <c r="E138" s="9"/>
      <c r="F138" s="8">
        <f t="shared" si="1"/>
        <v>0</v>
      </c>
      <c r="G138" s="68"/>
      <c r="H138" s="23"/>
    </row>
    <row r="139" spans="1:8" ht="15.75" thickBot="1">
      <c r="A139" s="4">
        <v>579</v>
      </c>
      <c r="B139" s="5">
        <v>127</v>
      </c>
      <c r="C139" s="5">
        <v>50</v>
      </c>
      <c r="D139" s="6" t="s">
        <v>65</v>
      </c>
      <c r="E139" s="9"/>
      <c r="F139" s="8">
        <f t="shared" si="1"/>
        <v>0</v>
      </c>
      <c r="G139" s="68"/>
      <c r="H139" s="23"/>
    </row>
    <row r="140" spans="1:8" ht="15.75" thickBot="1">
      <c r="A140" s="4">
        <v>578</v>
      </c>
      <c r="B140" s="5">
        <v>128</v>
      </c>
      <c r="C140" s="5">
        <v>2</v>
      </c>
      <c r="D140" s="6" t="s">
        <v>66</v>
      </c>
      <c r="E140" s="9"/>
      <c r="F140" s="8">
        <f t="shared" ref="F140:F150" si="2">E140*C140</f>
        <v>0</v>
      </c>
      <c r="G140" s="68"/>
      <c r="H140" s="23"/>
    </row>
    <row r="141" spans="1:8" ht="15.75" thickBot="1">
      <c r="A141" s="4">
        <v>580</v>
      </c>
      <c r="B141" s="5">
        <v>129</v>
      </c>
      <c r="C141" s="5">
        <v>5</v>
      </c>
      <c r="D141" s="6" t="s">
        <v>67</v>
      </c>
      <c r="E141" s="9"/>
      <c r="F141" s="8">
        <f t="shared" si="2"/>
        <v>0</v>
      </c>
      <c r="G141" s="68"/>
      <c r="H141" s="23"/>
    </row>
    <row r="142" spans="1:8" ht="15.75" thickBot="1">
      <c r="A142" s="4">
        <v>2650</v>
      </c>
      <c r="B142" s="5">
        <v>130</v>
      </c>
      <c r="C142" s="5">
        <v>2</v>
      </c>
      <c r="D142" s="6" t="s">
        <v>68</v>
      </c>
      <c r="E142" s="9"/>
      <c r="F142" s="8">
        <f t="shared" si="2"/>
        <v>0</v>
      </c>
      <c r="G142" s="68"/>
      <c r="H142" s="23"/>
    </row>
    <row r="143" spans="1:8" ht="15.75" thickBot="1">
      <c r="A143" s="72" t="s">
        <v>328</v>
      </c>
      <c r="B143" s="73"/>
      <c r="C143" s="73"/>
      <c r="D143" s="73"/>
      <c r="E143" s="73"/>
      <c r="F143" s="73"/>
      <c r="G143" s="73"/>
      <c r="H143" s="74"/>
    </row>
    <row r="144" spans="1:8" ht="25.5" thickBot="1">
      <c r="A144" s="4">
        <v>79</v>
      </c>
      <c r="B144" s="5">
        <v>131</v>
      </c>
      <c r="C144" s="5">
        <v>300</v>
      </c>
      <c r="D144" s="6" t="s">
        <v>428</v>
      </c>
      <c r="E144" s="9"/>
      <c r="F144" s="8">
        <f t="shared" si="2"/>
        <v>0</v>
      </c>
      <c r="G144" s="68"/>
      <c r="H144" s="23"/>
    </row>
    <row r="145" spans="1:8" ht="25.5" thickBot="1">
      <c r="A145" s="4">
        <v>78</v>
      </c>
      <c r="B145" s="5">
        <v>132</v>
      </c>
      <c r="C145" s="5">
        <v>50</v>
      </c>
      <c r="D145" s="6" t="s">
        <v>429</v>
      </c>
      <c r="E145" s="9"/>
      <c r="F145" s="8">
        <f t="shared" si="2"/>
        <v>0</v>
      </c>
      <c r="G145" s="68"/>
      <c r="H145" s="23"/>
    </row>
    <row r="146" spans="1:8" ht="25.5" thickBot="1">
      <c r="A146" s="4">
        <v>76</v>
      </c>
      <c r="B146" s="5">
        <v>133</v>
      </c>
      <c r="C146" s="5">
        <v>20</v>
      </c>
      <c r="D146" s="6" t="s">
        <v>440</v>
      </c>
      <c r="E146" s="9"/>
      <c r="F146" s="8">
        <f t="shared" si="2"/>
        <v>0</v>
      </c>
      <c r="G146" s="68"/>
      <c r="H146" s="23"/>
    </row>
    <row r="147" spans="1:8" ht="25.5" thickBot="1">
      <c r="A147" s="4">
        <v>77</v>
      </c>
      <c r="B147" s="5">
        <v>134</v>
      </c>
      <c r="C147" s="5">
        <v>100</v>
      </c>
      <c r="D147" s="6" t="s">
        <v>439</v>
      </c>
      <c r="E147" s="9"/>
      <c r="F147" s="8">
        <f t="shared" si="2"/>
        <v>0</v>
      </c>
      <c r="G147" s="68"/>
      <c r="H147" s="23"/>
    </row>
    <row r="148" spans="1:8" ht="15.75" thickBot="1">
      <c r="A148" s="4">
        <v>86</v>
      </c>
      <c r="B148" s="5">
        <v>135</v>
      </c>
      <c r="C148" s="5">
        <v>50</v>
      </c>
      <c r="D148" s="6" t="s">
        <v>430</v>
      </c>
      <c r="E148" s="9"/>
      <c r="F148" s="8">
        <f t="shared" si="2"/>
        <v>0</v>
      </c>
      <c r="G148" s="68"/>
      <c r="H148" s="23"/>
    </row>
    <row r="149" spans="1:8" ht="15.75" thickBot="1">
      <c r="A149" s="4">
        <v>70</v>
      </c>
      <c r="B149" s="5">
        <v>136</v>
      </c>
      <c r="C149" s="5">
        <v>250</v>
      </c>
      <c r="D149" s="6" t="s">
        <v>431</v>
      </c>
      <c r="E149" s="9"/>
      <c r="F149" s="8">
        <f t="shared" si="2"/>
        <v>0</v>
      </c>
      <c r="G149" s="68"/>
      <c r="H149" s="23"/>
    </row>
    <row r="150" spans="1:8" ht="15.75" thickBot="1">
      <c r="A150" s="4">
        <v>71</v>
      </c>
      <c r="B150" s="5">
        <v>137</v>
      </c>
      <c r="C150" s="5">
        <v>25</v>
      </c>
      <c r="D150" s="6" t="s">
        <v>432</v>
      </c>
      <c r="E150" s="9"/>
      <c r="F150" s="8">
        <f t="shared" si="2"/>
        <v>0</v>
      </c>
      <c r="G150" s="68"/>
      <c r="H150" s="23"/>
    </row>
    <row r="151" spans="1:8" ht="25.5" thickBot="1">
      <c r="A151" s="4">
        <v>2478</v>
      </c>
      <c r="B151" s="5">
        <v>138</v>
      </c>
      <c r="C151" s="10">
        <v>25</v>
      </c>
      <c r="D151" s="6" t="s">
        <v>433</v>
      </c>
      <c r="E151" s="9"/>
      <c r="F151" s="8">
        <f t="shared" ref="F151:F219" si="3">E151*C151</f>
        <v>0</v>
      </c>
      <c r="G151" s="68"/>
      <c r="H151" s="23"/>
    </row>
    <row r="152" spans="1:8" ht="25.5" thickBot="1">
      <c r="A152" s="39">
        <v>2479</v>
      </c>
      <c r="B152" s="40">
        <v>139</v>
      </c>
      <c r="C152" s="41">
        <v>10</v>
      </c>
      <c r="D152" s="42" t="s">
        <v>434</v>
      </c>
      <c r="E152" s="43"/>
      <c r="F152" s="44">
        <f t="shared" si="3"/>
        <v>0</v>
      </c>
      <c r="G152" s="69"/>
      <c r="H152" s="28"/>
    </row>
    <row r="153" spans="1:8" ht="25.5" thickBot="1">
      <c r="A153" s="55">
        <v>2883</v>
      </c>
      <c r="B153" s="56"/>
      <c r="C153" s="57">
        <v>15</v>
      </c>
      <c r="D153" s="58" t="s">
        <v>435</v>
      </c>
      <c r="E153" s="59"/>
      <c r="F153" s="60">
        <f t="shared" si="3"/>
        <v>0</v>
      </c>
      <c r="G153" s="70"/>
      <c r="H153" s="61"/>
    </row>
    <row r="154" spans="1:8" ht="25.5" thickBot="1">
      <c r="A154" s="55">
        <v>2884</v>
      </c>
      <c r="B154" s="56"/>
      <c r="C154" s="57">
        <v>15</v>
      </c>
      <c r="D154" s="58" t="s">
        <v>436</v>
      </c>
      <c r="E154" s="59"/>
      <c r="F154" s="60">
        <f t="shared" si="3"/>
        <v>0</v>
      </c>
      <c r="G154" s="70"/>
      <c r="H154" s="61"/>
    </row>
    <row r="155" spans="1:8" ht="25.5" thickBot="1">
      <c r="A155" s="55">
        <v>2885</v>
      </c>
      <c r="B155" s="56"/>
      <c r="C155" s="57">
        <v>15</v>
      </c>
      <c r="D155" s="58" t="s">
        <v>437</v>
      </c>
      <c r="E155" s="59"/>
      <c r="F155" s="60">
        <f t="shared" si="3"/>
        <v>0</v>
      </c>
      <c r="G155" s="70"/>
      <c r="H155" s="61"/>
    </row>
    <row r="156" spans="1:8" ht="25.5" thickBot="1">
      <c r="A156" s="55">
        <v>2886</v>
      </c>
      <c r="B156" s="56"/>
      <c r="C156" s="57">
        <v>15</v>
      </c>
      <c r="D156" s="58" t="s">
        <v>438</v>
      </c>
      <c r="E156" s="59"/>
      <c r="F156" s="60">
        <f t="shared" si="3"/>
        <v>0</v>
      </c>
      <c r="G156" s="70"/>
      <c r="H156" s="61"/>
    </row>
    <row r="157" spans="1:8" ht="15.75" thickBot="1">
      <c r="A157" s="85" t="s">
        <v>314</v>
      </c>
      <c r="B157" s="86"/>
      <c r="C157" s="86"/>
      <c r="D157" s="86"/>
      <c r="E157" s="86"/>
      <c r="F157" s="86"/>
      <c r="G157" s="86"/>
      <c r="H157" s="87"/>
    </row>
    <row r="158" spans="1:8" ht="25.5" customHeight="1" thickBot="1">
      <c r="A158" s="4">
        <v>650</v>
      </c>
      <c r="B158" s="5">
        <v>140</v>
      </c>
      <c r="C158" s="5">
        <v>15</v>
      </c>
      <c r="D158" s="6" t="s">
        <v>121</v>
      </c>
      <c r="E158" s="9"/>
      <c r="F158" s="8">
        <f t="shared" si="3"/>
        <v>0</v>
      </c>
      <c r="G158" s="68"/>
      <c r="H158" s="23"/>
    </row>
    <row r="159" spans="1:8" ht="25.5" customHeight="1" thickBot="1">
      <c r="A159" s="4">
        <v>651</v>
      </c>
      <c r="B159" s="5">
        <v>141</v>
      </c>
      <c r="C159" s="5">
        <v>15</v>
      </c>
      <c r="D159" s="6" t="s">
        <v>122</v>
      </c>
      <c r="E159" s="9"/>
      <c r="F159" s="8">
        <f t="shared" si="3"/>
        <v>0</v>
      </c>
      <c r="G159" s="68"/>
      <c r="H159" s="23"/>
    </row>
    <row r="160" spans="1:8" ht="25.5" customHeight="1" thickBot="1">
      <c r="A160" s="4">
        <v>649</v>
      </c>
      <c r="B160" s="5">
        <v>142</v>
      </c>
      <c r="C160" s="5">
        <v>10</v>
      </c>
      <c r="D160" s="6" t="s">
        <v>123</v>
      </c>
      <c r="E160" s="9"/>
      <c r="F160" s="8">
        <f t="shared" si="3"/>
        <v>0</v>
      </c>
      <c r="G160" s="68"/>
      <c r="H160" s="23"/>
    </row>
    <row r="161" spans="1:8" ht="25.5" customHeight="1" thickBot="1">
      <c r="A161" s="4">
        <v>652</v>
      </c>
      <c r="B161" s="5">
        <v>143</v>
      </c>
      <c r="C161" s="5">
        <v>2</v>
      </c>
      <c r="D161" s="6" t="s">
        <v>124</v>
      </c>
      <c r="E161" s="9"/>
      <c r="F161" s="8">
        <f t="shared" si="3"/>
        <v>0</v>
      </c>
      <c r="G161" s="68"/>
      <c r="H161" s="23"/>
    </row>
    <row r="162" spans="1:8" ht="25.5" customHeight="1" thickBot="1">
      <c r="A162" s="4">
        <v>653</v>
      </c>
      <c r="B162" s="5">
        <v>144</v>
      </c>
      <c r="C162" s="5">
        <v>2</v>
      </c>
      <c r="D162" s="6" t="s">
        <v>125</v>
      </c>
      <c r="E162" s="9"/>
      <c r="F162" s="8">
        <f t="shared" si="3"/>
        <v>0</v>
      </c>
      <c r="G162" s="68"/>
      <c r="H162" s="23"/>
    </row>
    <row r="163" spans="1:8" ht="25.5" customHeight="1" thickBot="1">
      <c r="A163" s="4">
        <v>654</v>
      </c>
      <c r="B163" s="5">
        <v>145</v>
      </c>
      <c r="C163" s="5">
        <v>5</v>
      </c>
      <c r="D163" s="6" t="s">
        <v>126</v>
      </c>
      <c r="E163" s="9"/>
      <c r="F163" s="8">
        <f t="shared" si="3"/>
        <v>0</v>
      </c>
      <c r="G163" s="68"/>
      <c r="H163" s="23"/>
    </row>
    <row r="164" spans="1:8" ht="15.75" thickBot="1">
      <c r="A164" s="4" t="s">
        <v>127</v>
      </c>
      <c r="B164" s="5">
        <v>146</v>
      </c>
      <c r="C164" s="5">
        <v>2</v>
      </c>
      <c r="D164" s="15" t="s">
        <v>128</v>
      </c>
      <c r="E164" s="9"/>
      <c r="F164" s="8">
        <f t="shared" si="3"/>
        <v>0</v>
      </c>
      <c r="G164" s="68"/>
      <c r="H164" s="23"/>
    </row>
    <row r="165" spans="1:8" ht="15.75" thickBot="1">
      <c r="A165" s="4">
        <v>632</v>
      </c>
      <c r="B165" s="5">
        <v>147</v>
      </c>
      <c r="C165" s="5">
        <v>25</v>
      </c>
      <c r="D165" s="6" t="s">
        <v>129</v>
      </c>
      <c r="E165" s="9"/>
      <c r="F165" s="8">
        <f t="shared" si="3"/>
        <v>0</v>
      </c>
      <c r="G165" s="68"/>
      <c r="H165" s="23"/>
    </row>
    <row r="166" spans="1:8" ht="15.75" thickBot="1">
      <c r="A166" s="4">
        <v>676</v>
      </c>
      <c r="B166" s="5">
        <v>148</v>
      </c>
      <c r="C166" s="5">
        <v>25</v>
      </c>
      <c r="D166" s="6" t="s">
        <v>130</v>
      </c>
      <c r="E166" s="9"/>
      <c r="F166" s="8">
        <f t="shared" si="3"/>
        <v>0</v>
      </c>
      <c r="G166" s="68"/>
      <c r="H166" s="23"/>
    </row>
    <row r="167" spans="1:8" ht="15.75" thickBot="1">
      <c r="A167" s="4">
        <v>679</v>
      </c>
      <c r="B167" s="5">
        <v>149</v>
      </c>
      <c r="C167" s="5">
        <v>10</v>
      </c>
      <c r="D167" s="15" t="s">
        <v>131</v>
      </c>
      <c r="E167" s="9"/>
      <c r="F167" s="8">
        <f t="shared" si="3"/>
        <v>0</v>
      </c>
      <c r="G167" s="68"/>
      <c r="H167" s="23"/>
    </row>
    <row r="168" spans="1:8" ht="15.75" thickBot="1">
      <c r="A168" s="4">
        <v>2648</v>
      </c>
      <c r="B168" s="5">
        <v>150</v>
      </c>
      <c r="C168" s="5">
        <v>2</v>
      </c>
      <c r="D168" s="15" t="s">
        <v>132</v>
      </c>
      <c r="E168" s="9"/>
      <c r="F168" s="8">
        <f t="shared" si="3"/>
        <v>0</v>
      </c>
      <c r="G168" s="68"/>
      <c r="H168" s="23"/>
    </row>
    <row r="169" spans="1:8" ht="15.75" thickBot="1">
      <c r="A169" s="4">
        <v>2653</v>
      </c>
      <c r="B169" s="5">
        <v>151</v>
      </c>
      <c r="C169" s="5">
        <v>5</v>
      </c>
      <c r="D169" s="15" t="s">
        <v>133</v>
      </c>
      <c r="E169" s="9"/>
      <c r="F169" s="8">
        <f t="shared" si="3"/>
        <v>0</v>
      </c>
      <c r="G169" s="68"/>
      <c r="H169" s="23"/>
    </row>
    <row r="170" spans="1:8" ht="15.75" thickBot="1">
      <c r="A170" s="4">
        <v>2649</v>
      </c>
      <c r="B170" s="5">
        <v>152</v>
      </c>
      <c r="C170" s="5">
        <v>5</v>
      </c>
      <c r="D170" s="15" t="s">
        <v>134</v>
      </c>
      <c r="E170" s="9"/>
      <c r="F170" s="8">
        <f t="shared" si="3"/>
        <v>0</v>
      </c>
      <c r="G170" s="68"/>
      <c r="H170" s="23"/>
    </row>
    <row r="171" spans="1:8" ht="15.75" thickBot="1">
      <c r="A171" s="4">
        <v>2654</v>
      </c>
      <c r="B171" s="5">
        <v>153</v>
      </c>
      <c r="C171" s="5">
        <v>5</v>
      </c>
      <c r="D171" s="15" t="s">
        <v>135</v>
      </c>
      <c r="E171" s="9"/>
      <c r="F171" s="8">
        <f t="shared" si="3"/>
        <v>0</v>
      </c>
      <c r="G171" s="68"/>
      <c r="H171" s="23"/>
    </row>
    <row r="172" spans="1:8" ht="25.5" customHeight="1" thickBot="1">
      <c r="A172" s="4">
        <v>641</v>
      </c>
      <c r="B172" s="5">
        <v>154</v>
      </c>
      <c r="C172" s="5">
        <v>2</v>
      </c>
      <c r="D172" s="6" t="s">
        <v>136</v>
      </c>
      <c r="E172" s="9"/>
      <c r="F172" s="8">
        <f t="shared" si="3"/>
        <v>0</v>
      </c>
      <c r="G172" s="68"/>
      <c r="H172" s="23"/>
    </row>
    <row r="173" spans="1:8" ht="25.5" customHeight="1" thickBot="1">
      <c r="A173" s="4">
        <v>643</v>
      </c>
      <c r="B173" s="5">
        <v>155</v>
      </c>
      <c r="C173" s="5">
        <v>2</v>
      </c>
      <c r="D173" s="6" t="s">
        <v>137</v>
      </c>
      <c r="E173" s="9"/>
      <c r="F173" s="8">
        <f t="shared" si="3"/>
        <v>0</v>
      </c>
      <c r="G173" s="68"/>
      <c r="H173" s="23"/>
    </row>
    <row r="174" spans="1:8" ht="25.5" customHeight="1" thickBot="1">
      <c r="A174" s="4">
        <v>642</v>
      </c>
      <c r="B174" s="5">
        <v>156</v>
      </c>
      <c r="C174" s="5">
        <v>2</v>
      </c>
      <c r="D174" s="6" t="s">
        <v>138</v>
      </c>
      <c r="E174" s="9"/>
      <c r="F174" s="8">
        <f t="shared" si="3"/>
        <v>0</v>
      </c>
      <c r="G174" s="68"/>
      <c r="H174" s="23"/>
    </row>
    <row r="175" spans="1:8" ht="15.75" thickBot="1">
      <c r="A175" s="4">
        <v>645</v>
      </c>
      <c r="B175" s="5">
        <v>157</v>
      </c>
      <c r="C175" s="5">
        <v>2</v>
      </c>
      <c r="D175" s="6" t="s">
        <v>139</v>
      </c>
      <c r="E175" s="9"/>
      <c r="F175" s="8">
        <f t="shared" si="3"/>
        <v>0</v>
      </c>
      <c r="G175" s="68"/>
      <c r="H175" s="23"/>
    </row>
    <row r="176" spans="1:8" ht="15.75" thickBot="1">
      <c r="A176" s="4">
        <v>46</v>
      </c>
      <c r="B176" s="5">
        <v>158</v>
      </c>
      <c r="C176" s="5">
        <v>2</v>
      </c>
      <c r="D176" s="6" t="s">
        <v>140</v>
      </c>
      <c r="E176" s="9"/>
      <c r="F176" s="8">
        <f t="shared" si="3"/>
        <v>0</v>
      </c>
      <c r="G176" s="68"/>
      <c r="H176" s="23"/>
    </row>
    <row r="177" spans="1:8" ht="15.75" thickBot="1">
      <c r="A177" s="4">
        <v>644</v>
      </c>
      <c r="B177" s="5">
        <v>159</v>
      </c>
      <c r="C177" s="5">
        <v>2</v>
      </c>
      <c r="D177" s="6" t="s">
        <v>141</v>
      </c>
      <c r="E177" s="9"/>
      <c r="F177" s="8">
        <f t="shared" si="3"/>
        <v>0</v>
      </c>
      <c r="G177" s="68"/>
      <c r="H177" s="23"/>
    </row>
    <row r="178" spans="1:8" ht="25.5" customHeight="1" thickBot="1">
      <c r="A178" s="4">
        <v>1291</v>
      </c>
      <c r="B178" s="5">
        <v>160</v>
      </c>
      <c r="C178" s="5">
        <v>2</v>
      </c>
      <c r="D178" s="6" t="s">
        <v>142</v>
      </c>
      <c r="E178" s="9"/>
      <c r="F178" s="8">
        <f t="shared" si="3"/>
        <v>0</v>
      </c>
      <c r="G178" s="68"/>
      <c r="H178" s="23"/>
    </row>
    <row r="179" spans="1:8" ht="25.5" customHeight="1" thickBot="1">
      <c r="A179" s="4">
        <v>622</v>
      </c>
      <c r="B179" s="5">
        <v>161</v>
      </c>
      <c r="C179" s="5">
        <v>2</v>
      </c>
      <c r="D179" s="6" t="s">
        <v>143</v>
      </c>
      <c r="E179" s="9"/>
      <c r="F179" s="8">
        <f t="shared" si="3"/>
        <v>0</v>
      </c>
      <c r="G179" s="68"/>
      <c r="H179" s="23"/>
    </row>
    <row r="180" spans="1:8" ht="25.5" customHeight="1" thickBot="1">
      <c r="A180" s="4">
        <v>623</v>
      </c>
      <c r="B180" s="5">
        <v>162</v>
      </c>
      <c r="C180" s="5">
        <v>2</v>
      </c>
      <c r="D180" s="6" t="s">
        <v>144</v>
      </c>
      <c r="E180" s="9"/>
      <c r="F180" s="8">
        <f t="shared" si="3"/>
        <v>0</v>
      </c>
      <c r="G180" s="68"/>
      <c r="H180" s="23"/>
    </row>
    <row r="181" spans="1:8" ht="25.5" customHeight="1" thickBot="1">
      <c r="A181" s="4">
        <v>621</v>
      </c>
      <c r="B181" s="5">
        <v>163</v>
      </c>
      <c r="C181" s="5">
        <v>2</v>
      </c>
      <c r="D181" s="6" t="s">
        <v>145</v>
      </c>
      <c r="E181" s="9"/>
      <c r="F181" s="8">
        <f t="shared" si="3"/>
        <v>0</v>
      </c>
      <c r="G181" s="68"/>
      <c r="H181" s="23"/>
    </row>
    <row r="182" spans="1:8" ht="25.5" customHeight="1" thickBot="1">
      <c r="A182" s="4">
        <v>560</v>
      </c>
      <c r="B182" s="5">
        <v>164</v>
      </c>
      <c r="C182" s="5">
        <v>5</v>
      </c>
      <c r="D182" s="6" t="s">
        <v>146</v>
      </c>
      <c r="E182" s="9"/>
      <c r="F182" s="8">
        <f t="shared" si="3"/>
        <v>0</v>
      </c>
      <c r="G182" s="68"/>
      <c r="H182" s="23"/>
    </row>
    <row r="183" spans="1:8" ht="25.5" thickBot="1">
      <c r="A183" s="4">
        <v>611</v>
      </c>
      <c r="B183" s="5">
        <v>165</v>
      </c>
      <c r="C183" s="5">
        <v>5</v>
      </c>
      <c r="D183" s="6" t="s">
        <v>147</v>
      </c>
      <c r="E183" s="9"/>
      <c r="F183" s="8">
        <f t="shared" si="3"/>
        <v>0</v>
      </c>
      <c r="G183" s="68"/>
      <c r="H183" s="23"/>
    </row>
    <row r="184" spans="1:8" ht="15.75" customHeight="1" thickBot="1">
      <c r="A184" s="82" t="s">
        <v>148</v>
      </c>
      <c r="B184" s="83"/>
      <c r="C184" s="83"/>
      <c r="D184" s="83"/>
      <c r="E184" s="83"/>
      <c r="F184" s="83"/>
      <c r="G184" s="83"/>
      <c r="H184" s="84"/>
    </row>
    <row r="185" spans="1:8" ht="25.5" thickBot="1">
      <c r="A185" s="4">
        <v>607</v>
      </c>
      <c r="B185" s="5">
        <v>166</v>
      </c>
      <c r="C185" s="5">
        <v>2</v>
      </c>
      <c r="D185" s="6" t="s">
        <v>149</v>
      </c>
      <c r="E185" s="9"/>
      <c r="F185" s="8">
        <f t="shared" si="3"/>
        <v>0</v>
      </c>
      <c r="G185" s="68"/>
      <c r="H185" s="23"/>
    </row>
    <row r="186" spans="1:8" ht="25.5" thickBot="1">
      <c r="A186" s="4">
        <v>1288</v>
      </c>
      <c r="B186" s="5">
        <v>167</v>
      </c>
      <c r="C186" s="5">
        <v>2</v>
      </c>
      <c r="D186" s="6" t="s">
        <v>150</v>
      </c>
      <c r="E186" s="9"/>
      <c r="F186" s="8">
        <f t="shared" si="3"/>
        <v>0</v>
      </c>
      <c r="G186" s="68"/>
      <c r="H186" s="23"/>
    </row>
    <row r="187" spans="1:8" ht="25.5" thickBot="1">
      <c r="A187" s="4">
        <v>612</v>
      </c>
      <c r="B187" s="5">
        <v>168</v>
      </c>
      <c r="C187" s="5">
        <v>5</v>
      </c>
      <c r="D187" s="6" t="s">
        <v>151</v>
      </c>
      <c r="E187" s="9"/>
      <c r="F187" s="8">
        <f t="shared" si="3"/>
        <v>0</v>
      </c>
      <c r="G187" s="68"/>
      <c r="H187" s="23"/>
    </row>
    <row r="188" spans="1:8" ht="25.5" thickBot="1">
      <c r="A188" s="4">
        <v>616</v>
      </c>
      <c r="B188" s="5">
        <v>169</v>
      </c>
      <c r="C188" s="5">
        <v>5</v>
      </c>
      <c r="D188" s="6" t="s">
        <v>152</v>
      </c>
      <c r="E188" s="9"/>
      <c r="F188" s="8">
        <f t="shared" si="3"/>
        <v>0</v>
      </c>
      <c r="G188" s="68"/>
      <c r="H188" s="23"/>
    </row>
    <row r="189" spans="1:8" ht="25.5" thickBot="1">
      <c r="A189" s="4">
        <v>608</v>
      </c>
      <c r="B189" s="5">
        <v>170</v>
      </c>
      <c r="C189" s="5">
        <v>2</v>
      </c>
      <c r="D189" s="6" t="s">
        <v>153</v>
      </c>
      <c r="E189" s="9"/>
      <c r="F189" s="8">
        <f t="shared" si="3"/>
        <v>0</v>
      </c>
      <c r="G189" s="68"/>
      <c r="H189" s="23"/>
    </row>
    <row r="190" spans="1:8" ht="25.5" thickBot="1">
      <c r="A190" s="4">
        <v>613</v>
      </c>
      <c r="B190" s="5">
        <v>171</v>
      </c>
      <c r="C190" s="5">
        <v>2</v>
      </c>
      <c r="D190" s="6" t="s">
        <v>154</v>
      </c>
      <c r="E190" s="9"/>
      <c r="F190" s="8">
        <f t="shared" si="3"/>
        <v>0</v>
      </c>
      <c r="G190" s="68"/>
      <c r="H190" s="23"/>
    </row>
    <row r="191" spans="1:8" ht="25.5" thickBot="1">
      <c r="A191" s="4">
        <v>661</v>
      </c>
      <c r="B191" s="5">
        <v>172</v>
      </c>
      <c r="C191" s="5">
        <v>3</v>
      </c>
      <c r="D191" s="6" t="s">
        <v>155</v>
      </c>
      <c r="E191" s="9"/>
      <c r="F191" s="8">
        <f t="shared" si="3"/>
        <v>0</v>
      </c>
      <c r="G191" s="68"/>
      <c r="H191" s="23"/>
    </row>
    <row r="192" spans="1:8" ht="25.5" thickBot="1">
      <c r="A192" s="4">
        <v>662</v>
      </c>
      <c r="B192" s="5">
        <v>173</v>
      </c>
      <c r="C192" s="5">
        <v>3</v>
      </c>
      <c r="D192" s="6" t="s">
        <v>156</v>
      </c>
      <c r="E192" s="9"/>
      <c r="F192" s="8">
        <f t="shared" si="3"/>
        <v>0</v>
      </c>
      <c r="G192" s="68"/>
      <c r="H192" s="23"/>
    </row>
    <row r="193" spans="1:8" ht="25.5" thickBot="1">
      <c r="A193" s="4">
        <v>663</v>
      </c>
      <c r="B193" s="5">
        <v>174</v>
      </c>
      <c r="C193" s="5">
        <v>2</v>
      </c>
      <c r="D193" s="6" t="s">
        <v>157</v>
      </c>
      <c r="E193" s="9"/>
      <c r="F193" s="8">
        <f t="shared" si="3"/>
        <v>0</v>
      </c>
      <c r="G193" s="68"/>
      <c r="H193" s="23"/>
    </row>
    <row r="194" spans="1:8" ht="25.5" thickBot="1">
      <c r="A194" s="4">
        <v>659</v>
      </c>
      <c r="B194" s="5">
        <v>175</v>
      </c>
      <c r="C194" s="5">
        <v>2</v>
      </c>
      <c r="D194" s="6" t="s">
        <v>158</v>
      </c>
      <c r="E194" s="9"/>
      <c r="F194" s="8">
        <f t="shared" si="3"/>
        <v>0</v>
      </c>
      <c r="G194" s="68"/>
      <c r="H194" s="23"/>
    </row>
    <row r="195" spans="1:8" ht="25.5" thickBot="1">
      <c r="A195" s="4">
        <v>660</v>
      </c>
      <c r="B195" s="5">
        <v>176</v>
      </c>
      <c r="C195" s="5">
        <v>2</v>
      </c>
      <c r="D195" s="6" t="s">
        <v>159</v>
      </c>
      <c r="E195" s="9"/>
      <c r="F195" s="8">
        <f t="shared" si="3"/>
        <v>0</v>
      </c>
      <c r="G195" s="68"/>
      <c r="H195" s="23"/>
    </row>
    <row r="196" spans="1:8" ht="25.5" thickBot="1">
      <c r="A196" s="4">
        <v>658</v>
      </c>
      <c r="B196" s="5">
        <v>177</v>
      </c>
      <c r="C196" s="5">
        <v>2</v>
      </c>
      <c r="D196" s="6" t="s">
        <v>160</v>
      </c>
      <c r="E196" s="9"/>
      <c r="F196" s="8">
        <f t="shared" si="3"/>
        <v>0</v>
      </c>
      <c r="G196" s="68"/>
      <c r="H196" s="23"/>
    </row>
    <row r="197" spans="1:8" ht="25.5" thickBot="1">
      <c r="A197" s="4">
        <v>640</v>
      </c>
      <c r="B197" s="5">
        <v>178</v>
      </c>
      <c r="C197" s="5">
        <v>2</v>
      </c>
      <c r="D197" s="6" t="s">
        <v>161</v>
      </c>
      <c r="E197" s="9"/>
      <c r="F197" s="8">
        <f t="shared" si="3"/>
        <v>0</v>
      </c>
      <c r="G197" s="68"/>
      <c r="H197" s="23"/>
    </row>
    <row r="198" spans="1:8" ht="25.5" thickBot="1">
      <c r="A198" s="4">
        <v>673</v>
      </c>
      <c r="B198" s="5">
        <v>179</v>
      </c>
      <c r="C198" s="5">
        <v>10</v>
      </c>
      <c r="D198" s="6" t="s">
        <v>162</v>
      </c>
      <c r="E198" s="9"/>
      <c r="F198" s="8">
        <f t="shared" si="3"/>
        <v>0</v>
      </c>
      <c r="G198" s="68"/>
      <c r="H198" s="23"/>
    </row>
    <row r="199" spans="1:8" ht="25.5" thickBot="1">
      <c r="A199" s="4">
        <v>624</v>
      </c>
      <c r="B199" s="5">
        <v>180</v>
      </c>
      <c r="C199" s="5">
        <v>10</v>
      </c>
      <c r="D199" s="6" t="s">
        <v>163</v>
      </c>
      <c r="E199" s="9"/>
      <c r="F199" s="8">
        <f t="shared" si="3"/>
        <v>0</v>
      </c>
      <c r="G199" s="68"/>
      <c r="H199" s="23"/>
    </row>
    <row r="200" spans="1:8" ht="25.5" thickBot="1">
      <c r="A200" s="4">
        <v>674</v>
      </c>
      <c r="B200" s="5">
        <v>181</v>
      </c>
      <c r="C200" s="5">
        <v>5</v>
      </c>
      <c r="D200" s="6" t="s">
        <v>164</v>
      </c>
      <c r="E200" s="9"/>
      <c r="F200" s="8">
        <f t="shared" si="3"/>
        <v>0</v>
      </c>
      <c r="G200" s="68"/>
      <c r="H200" s="23"/>
    </row>
    <row r="201" spans="1:8" ht="25.5" thickBot="1">
      <c r="A201" s="4">
        <v>671</v>
      </c>
      <c r="B201" s="5">
        <v>182</v>
      </c>
      <c r="C201" s="5">
        <v>5</v>
      </c>
      <c r="D201" s="6" t="s">
        <v>165</v>
      </c>
      <c r="E201" s="9"/>
      <c r="F201" s="8">
        <f t="shared" si="3"/>
        <v>0</v>
      </c>
      <c r="G201" s="68"/>
      <c r="H201" s="23"/>
    </row>
    <row r="202" spans="1:8" ht="25.5" thickBot="1">
      <c r="A202" s="4">
        <v>672</v>
      </c>
      <c r="B202" s="5">
        <v>183</v>
      </c>
      <c r="C202" s="5">
        <v>5</v>
      </c>
      <c r="D202" s="6" t="s">
        <v>166</v>
      </c>
      <c r="E202" s="9"/>
      <c r="F202" s="8">
        <f t="shared" si="3"/>
        <v>0</v>
      </c>
      <c r="G202" s="68"/>
      <c r="H202" s="23"/>
    </row>
    <row r="203" spans="1:8" ht="25.5" thickBot="1">
      <c r="A203" s="4">
        <v>670</v>
      </c>
      <c r="B203" s="5">
        <v>184</v>
      </c>
      <c r="C203" s="5">
        <v>5</v>
      </c>
      <c r="D203" s="6" t="s">
        <v>167</v>
      </c>
      <c r="E203" s="9"/>
      <c r="F203" s="8">
        <f t="shared" si="3"/>
        <v>0</v>
      </c>
      <c r="G203" s="68"/>
      <c r="H203" s="23"/>
    </row>
    <row r="204" spans="1:8" ht="25.5" thickBot="1">
      <c r="A204" s="4">
        <v>667</v>
      </c>
      <c r="B204" s="5">
        <v>185</v>
      </c>
      <c r="C204" s="5">
        <v>5</v>
      </c>
      <c r="D204" s="6" t="s">
        <v>168</v>
      </c>
      <c r="E204" s="9"/>
      <c r="F204" s="8">
        <f t="shared" si="3"/>
        <v>0</v>
      </c>
      <c r="G204" s="68"/>
      <c r="H204" s="23"/>
    </row>
    <row r="205" spans="1:8" ht="25.5" thickBot="1">
      <c r="A205" s="4">
        <v>668</v>
      </c>
      <c r="B205" s="5">
        <v>186</v>
      </c>
      <c r="C205" s="5">
        <v>5</v>
      </c>
      <c r="D205" s="6" t="s">
        <v>169</v>
      </c>
      <c r="E205" s="9"/>
      <c r="F205" s="8">
        <f t="shared" si="3"/>
        <v>0</v>
      </c>
      <c r="G205" s="68"/>
      <c r="H205" s="23"/>
    </row>
    <row r="206" spans="1:8" ht="25.5" thickBot="1">
      <c r="A206" s="4">
        <v>669</v>
      </c>
      <c r="B206" s="5">
        <v>187</v>
      </c>
      <c r="C206" s="5">
        <v>10</v>
      </c>
      <c r="D206" s="6" t="s">
        <v>170</v>
      </c>
      <c r="E206" s="9"/>
      <c r="F206" s="8">
        <f t="shared" si="3"/>
        <v>0</v>
      </c>
      <c r="G206" s="68"/>
      <c r="H206" s="23"/>
    </row>
    <row r="207" spans="1:8" ht="25.5" customHeight="1" thickBot="1">
      <c r="A207" s="4">
        <v>665</v>
      </c>
      <c r="B207" s="5">
        <v>188</v>
      </c>
      <c r="C207" s="5">
        <v>5</v>
      </c>
      <c r="D207" s="6" t="s">
        <v>171</v>
      </c>
      <c r="E207" s="9"/>
      <c r="F207" s="8">
        <f t="shared" si="3"/>
        <v>0</v>
      </c>
      <c r="G207" s="68"/>
      <c r="H207" s="23"/>
    </row>
    <row r="208" spans="1:8" ht="25.5" customHeight="1" thickBot="1">
      <c r="A208" s="4">
        <v>666</v>
      </c>
      <c r="B208" s="5">
        <v>189</v>
      </c>
      <c r="C208" s="5">
        <v>5</v>
      </c>
      <c r="D208" s="6" t="s">
        <v>172</v>
      </c>
      <c r="E208" s="9"/>
      <c r="F208" s="8">
        <f t="shared" si="3"/>
        <v>0</v>
      </c>
      <c r="G208" s="68"/>
      <c r="H208" s="23"/>
    </row>
    <row r="209" spans="1:8" ht="25.5" customHeight="1" thickBot="1">
      <c r="A209" s="4">
        <v>664</v>
      </c>
      <c r="B209" s="5">
        <v>190</v>
      </c>
      <c r="C209" s="5">
        <v>5</v>
      </c>
      <c r="D209" s="6" t="s">
        <v>173</v>
      </c>
      <c r="E209" s="9"/>
      <c r="F209" s="8">
        <f t="shared" si="3"/>
        <v>0</v>
      </c>
      <c r="G209" s="68"/>
      <c r="H209" s="23"/>
    </row>
    <row r="210" spans="1:8" ht="25.5" customHeight="1" thickBot="1">
      <c r="A210" s="4">
        <v>681</v>
      </c>
      <c r="B210" s="5">
        <v>191</v>
      </c>
      <c r="C210" s="5">
        <v>2</v>
      </c>
      <c r="D210" s="6" t="s">
        <v>174</v>
      </c>
      <c r="E210" s="9"/>
      <c r="F210" s="8">
        <f t="shared" si="3"/>
        <v>0</v>
      </c>
      <c r="G210" s="68"/>
      <c r="H210" s="23"/>
    </row>
    <row r="211" spans="1:8" ht="15.75" thickBot="1">
      <c r="A211" s="4">
        <v>2655</v>
      </c>
      <c r="B211" s="5">
        <v>192</v>
      </c>
      <c r="C211" s="5">
        <v>2</v>
      </c>
      <c r="D211" s="6" t="s">
        <v>175</v>
      </c>
      <c r="E211" s="9"/>
      <c r="F211" s="8">
        <f t="shared" si="3"/>
        <v>0</v>
      </c>
      <c r="G211" s="68"/>
      <c r="H211" s="23"/>
    </row>
    <row r="212" spans="1:8" ht="25.5" thickBot="1">
      <c r="A212" s="4">
        <v>2656</v>
      </c>
      <c r="B212" s="5">
        <v>193</v>
      </c>
      <c r="C212" s="5">
        <v>2</v>
      </c>
      <c r="D212" s="6" t="s">
        <v>176</v>
      </c>
      <c r="E212" s="9"/>
      <c r="F212" s="8">
        <f t="shared" si="3"/>
        <v>0</v>
      </c>
      <c r="G212" s="68"/>
      <c r="H212" s="23"/>
    </row>
    <row r="213" spans="1:8" ht="25.5" customHeight="1" thickBot="1">
      <c r="A213" s="4">
        <v>619</v>
      </c>
      <c r="B213" s="5">
        <v>194</v>
      </c>
      <c r="C213" s="5">
        <v>15</v>
      </c>
      <c r="D213" s="6" t="s">
        <v>177</v>
      </c>
      <c r="E213" s="9"/>
      <c r="F213" s="8">
        <f t="shared" si="3"/>
        <v>0</v>
      </c>
      <c r="G213" s="68"/>
      <c r="H213" s="23"/>
    </row>
    <row r="214" spans="1:8" ht="25.5" customHeight="1" thickBot="1">
      <c r="A214" s="4">
        <v>620</v>
      </c>
      <c r="B214" s="5">
        <v>195</v>
      </c>
      <c r="C214" s="5">
        <v>15</v>
      </c>
      <c r="D214" s="6" t="s">
        <v>178</v>
      </c>
      <c r="E214" s="9"/>
      <c r="F214" s="8">
        <f t="shared" si="3"/>
        <v>0</v>
      </c>
      <c r="G214" s="68"/>
      <c r="H214" s="23"/>
    </row>
    <row r="215" spans="1:8" ht="25.5" customHeight="1" thickBot="1">
      <c r="A215" s="4">
        <v>618</v>
      </c>
      <c r="B215" s="5">
        <v>196</v>
      </c>
      <c r="C215" s="5">
        <v>5</v>
      </c>
      <c r="D215" s="6" t="s">
        <v>179</v>
      </c>
      <c r="E215" s="9"/>
      <c r="F215" s="8">
        <f t="shared" si="3"/>
        <v>0</v>
      </c>
      <c r="G215" s="68"/>
      <c r="H215" s="23"/>
    </row>
    <row r="216" spans="1:8" ht="15.75" thickBot="1">
      <c r="A216" s="4">
        <v>648</v>
      </c>
      <c r="B216" s="5">
        <v>197</v>
      </c>
      <c r="C216" s="5">
        <v>10</v>
      </c>
      <c r="D216" s="6" t="s">
        <v>180</v>
      </c>
      <c r="E216" s="9"/>
      <c r="F216" s="8">
        <f t="shared" si="3"/>
        <v>0</v>
      </c>
      <c r="G216" s="68"/>
      <c r="H216" s="23"/>
    </row>
    <row r="217" spans="1:8" ht="15.75" thickBot="1">
      <c r="A217" s="4">
        <v>637</v>
      </c>
      <c r="B217" s="5">
        <v>198</v>
      </c>
      <c r="C217" s="5">
        <v>20</v>
      </c>
      <c r="D217" s="6" t="s">
        <v>181</v>
      </c>
      <c r="E217" s="9"/>
      <c r="F217" s="8">
        <f t="shared" si="3"/>
        <v>0</v>
      </c>
      <c r="G217" s="68"/>
      <c r="H217" s="23"/>
    </row>
    <row r="218" spans="1:8" ht="15.75" thickBot="1">
      <c r="A218" s="4">
        <v>633</v>
      </c>
      <c r="B218" s="5">
        <v>199</v>
      </c>
      <c r="C218" s="5">
        <v>10</v>
      </c>
      <c r="D218" s="6" t="s">
        <v>182</v>
      </c>
      <c r="E218" s="9"/>
      <c r="F218" s="8">
        <f t="shared" si="3"/>
        <v>0</v>
      </c>
      <c r="G218" s="68"/>
      <c r="H218" s="23"/>
    </row>
    <row r="219" spans="1:8" ht="15.75" thickBot="1">
      <c r="A219" s="4">
        <v>636</v>
      </c>
      <c r="B219" s="5">
        <v>200</v>
      </c>
      <c r="C219" s="5">
        <v>2</v>
      </c>
      <c r="D219" s="6" t="s">
        <v>183</v>
      </c>
      <c r="E219" s="9"/>
      <c r="F219" s="8">
        <f t="shared" si="3"/>
        <v>0</v>
      </c>
      <c r="G219" s="68"/>
      <c r="H219" s="23"/>
    </row>
    <row r="220" spans="1:8" ht="15.75" thickBot="1">
      <c r="A220" s="4">
        <v>638</v>
      </c>
      <c r="B220" s="5">
        <v>201</v>
      </c>
      <c r="C220" s="5">
        <v>2</v>
      </c>
      <c r="D220" s="6" t="s">
        <v>184</v>
      </c>
      <c r="E220" s="9"/>
      <c r="F220" s="8">
        <f t="shared" ref="F220:F287" si="4">E220*C220</f>
        <v>0</v>
      </c>
      <c r="G220" s="68"/>
      <c r="H220" s="23"/>
    </row>
    <row r="221" spans="1:8" ht="15.75" thickBot="1">
      <c r="A221" s="4">
        <v>634</v>
      </c>
      <c r="B221" s="5">
        <v>202</v>
      </c>
      <c r="C221" s="5">
        <v>2</v>
      </c>
      <c r="D221" s="6" t="s">
        <v>185</v>
      </c>
      <c r="E221" s="9"/>
      <c r="F221" s="8">
        <f t="shared" si="4"/>
        <v>0</v>
      </c>
      <c r="G221" s="68"/>
      <c r="H221" s="23"/>
    </row>
    <row r="222" spans="1:8" ht="25.5" thickBot="1">
      <c r="A222" s="4" t="s">
        <v>322</v>
      </c>
      <c r="B222" s="5">
        <v>203</v>
      </c>
      <c r="C222" s="5">
        <v>5</v>
      </c>
      <c r="D222" s="6" t="s">
        <v>186</v>
      </c>
      <c r="E222" s="9"/>
      <c r="F222" s="8">
        <f t="shared" si="4"/>
        <v>0</v>
      </c>
      <c r="G222" s="68"/>
      <c r="H222" s="23"/>
    </row>
    <row r="223" spans="1:8" ht="15.75" thickBot="1">
      <c r="A223" s="4">
        <v>2659</v>
      </c>
      <c r="B223" s="5">
        <v>204</v>
      </c>
      <c r="C223" s="5">
        <v>5</v>
      </c>
      <c r="D223" s="6" t="s">
        <v>187</v>
      </c>
      <c r="E223" s="9"/>
      <c r="F223" s="8">
        <f t="shared" si="4"/>
        <v>0</v>
      </c>
      <c r="G223" s="68"/>
      <c r="H223" s="23"/>
    </row>
    <row r="224" spans="1:8" ht="15.75" thickBot="1">
      <c r="A224" s="4">
        <v>675</v>
      </c>
      <c r="B224" s="5">
        <v>205</v>
      </c>
      <c r="C224" s="5">
        <v>2</v>
      </c>
      <c r="D224" s="6" t="s">
        <v>188</v>
      </c>
      <c r="E224" s="9"/>
      <c r="F224" s="8">
        <f t="shared" si="4"/>
        <v>0</v>
      </c>
      <c r="G224" s="68"/>
      <c r="H224" s="23"/>
    </row>
    <row r="225" spans="1:8" ht="25.5" thickBot="1">
      <c r="A225" s="4" t="s">
        <v>323</v>
      </c>
      <c r="B225" s="5">
        <v>206</v>
      </c>
      <c r="C225" s="5">
        <v>15</v>
      </c>
      <c r="D225" s="6" t="s">
        <v>189</v>
      </c>
      <c r="E225" s="9"/>
      <c r="F225" s="8">
        <f t="shared" si="4"/>
        <v>0</v>
      </c>
      <c r="G225" s="68"/>
      <c r="H225" s="23"/>
    </row>
    <row r="226" spans="1:8" ht="25.5" thickBot="1">
      <c r="A226" s="4">
        <v>657</v>
      </c>
      <c r="B226" s="5">
        <v>207</v>
      </c>
      <c r="C226" s="5">
        <v>15</v>
      </c>
      <c r="D226" s="6" t="s">
        <v>190</v>
      </c>
      <c r="E226" s="9"/>
      <c r="F226" s="8">
        <f t="shared" si="4"/>
        <v>0</v>
      </c>
      <c r="G226" s="68"/>
      <c r="H226" s="23"/>
    </row>
    <row r="227" spans="1:8" ht="25.5" thickBot="1">
      <c r="A227" s="4">
        <v>655</v>
      </c>
      <c r="B227" s="5">
        <v>208</v>
      </c>
      <c r="C227" s="5">
        <v>2</v>
      </c>
      <c r="D227" s="6" t="s">
        <v>191</v>
      </c>
      <c r="E227" s="9"/>
      <c r="F227" s="8">
        <f t="shared" si="4"/>
        <v>0</v>
      </c>
      <c r="G227" s="68"/>
      <c r="H227" s="23"/>
    </row>
    <row r="228" spans="1:8" ht="15.75" thickBot="1">
      <c r="A228" s="4">
        <v>2483</v>
      </c>
      <c r="B228" s="5">
        <v>209</v>
      </c>
      <c r="C228" s="5">
        <v>5</v>
      </c>
      <c r="D228" s="6" t="s">
        <v>192</v>
      </c>
      <c r="E228" s="9"/>
      <c r="F228" s="8">
        <f t="shared" si="4"/>
        <v>0</v>
      </c>
      <c r="G228" s="68"/>
      <c r="H228" s="23"/>
    </row>
    <row r="229" spans="1:8" ht="25.5" customHeight="1" thickBot="1">
      <c r="A229" s="4">
        <v>1283</v>
      </c>
      <c r="B229" s="5">
        <v>210</v>
      </c>
      <c r="C229" s="10">
        <v>5</v>
      </c>
      <c r="D229" s="6" t="s">
        <v>193</v>
      </c>
      <c r="E229" s="9"/>
      <c r="F229" s="8">
        <f t="shared" si="4"/>
        <v>0</v>
      </c>
      <c r="G229" s="68"/>
      <c r="H229" s="23"/>
    </row>
    <row r="230" spans="1:8" ht="25.5" customHeight="1" thickBot="1">
      <c r="A230" s="4">
        <v>1284</v>
      </c>
      <c r="B230" s="5">
        <v>211</v>
      </c>
      <c r="C230" s="10">
        <v>10</v>
      </c>
      <c r="D230" s="6" t="s">
        <v>194</v>
      </c>
      <c r="E230" s="9"/>
      <c r="F230" s="8">
        <f t="shared" si="4"/>
        <v>0</v>
      </c>
      <c r="G230" s="68"/>
      <c r="H230" s="23"/>
    </row>
    <row r="231" spans="1:8" ht="25.5" customHeight="1" thickBot="1">
      <c r="A231" s="4">
        <v>1285</v>
      </c>
      <c r="B231" s="5">
        <v>212</v>
      </c>
      <c r="C231" s="10">
        <v>10</v>
      </c>
      <c r="D231" s="6" t="s">
        <v>195</v>
      </c>
      <c r="E231" s="9"/>
      <c r="F231" s="8">
        <f t="shared" si="4"/>
        <v>0</v>
      </c>
      <c r="G231" s="68"/>
      <c r="H231" s="23"/>
    </row>
    <row r="232" spans="1:8" ht="25.5" customHeight="1" thickBot="1">
      <c r="A232" s="4">
        <v>1276</v>
      </c>
      <c r="B232" s="5">
        <v>213</v>
      </c>
      <c r="C232" s="10">
        <v>5</v>
      </c>
      <c r="D232" s="6" t="s">
        <v>196</v>
      </c>
      <c r="E232" s="16"/>
      <c r="F232" s="8">
        <f t="shared" si="4"/>
        <v>0</v>
      </c>
      <c r="G232" s="68"/>
      <c r="H232" s="23"/>
    </row>
    <row r="233" spans="1:8" ht="15.75" thickBot="1">
      <c r="A233" s="4">
        <v>2658</v>
      </c>
      <c r="B233" s="5">
        <v>214</v>
      </c>
      <c r="C233" s="10">
        <v>5</v>
      </c>
      <c r="D233" s="6" t="s">
        <v>197</v>
      </c>
      <c r="E233" s="16"/>
      <c r="F233" s="8">
        <f t="shared" si="4"/>
        <v>0</v>
      </c>
      <c r="G233" s="68"/>
      <c r="H233" s="23"/>
    </row>
    <row r="234" spans="1:8" ht="15.75" thickBot="1">
      <c r="A234" s="4">
        <v>2652</v>
      </c>
      <c r="B234" s="5">
        <v>215</v>
      </c>
      <c r="C234" s="10">
        <v>2</v>
      </c>
      <c r="D234" s="6" t="s">
        <v>198</v>
      </c>
      <c r="E234" s="16"/>
      <c r="F234" s="8">
        <f t="shared" si="4"/>
        <v>0</v>
      </c>
      <c r="G234" s="68"/>
      <c r="H234" s="23"/>
    </row>
    <row r="235" spans="1:8" ht="15.75" thickBot="1">
      <c r="A235" s="4">
        <v>340</v>
      </c>
      <c r="B235" s="5">
        <v>216</v>
      </c>
      <c r="C235" s="10">
        <v>5</v>
      </c>
      <c r="D235" s="6" t="s">
        <v>199</v>
      </c>
      <c r="E235" s="9"/>
      <c r="F235" s="8">
        <f t="shared" si="4"/>
        <v>0</v>
      </c>
      <c r="G235" s="68"/>
      <c r="H235" s="23"/>
    </row>
    <row r="236" spans="1:8" ht="15.75" thickBot="1">
      <c r="A236" s="4">
        <v>341</v>
      </c>
      <c r="B236" s="5">
        <v>217</v>
      </c>
      <c r="C236" s="10">
        <v>5</v>
      </c>
      <c r="D236" s="6" t="s">
        <v>200</v>
      </c>
      <c r="E236" s="9"/>
      <c r="F236" s="8">
        <f t="shared" si="4"/>
        <v>0</v>
      </c>
      <c r="G236" s="68"/>
      <c r="H236" s="23"/>
    </row>
    <row r="237" spans="1:8" ht="15.75" thickBot="1">
      <c r="A237" s="4">
        <v>342</v>
      </c>
      <c r="B237" s="5">
        <v>218</v>
      </c>
      <c r="C237" s="10">
        <v>5</v>
      </c>
      <c r="D237" s="6" t="s">
        <v>201</v>
      </c>
      <c r="E237" s="9"/>
      <c r="F237" s="8">
        <f t="shared" si="4"/>
        <v>0</v>
      </c>
      <c r="G237" s="68"/>
      <c r="H237" s="23"/>
    </row>
    <row r="238" spans="1:8" ht="15.75" thickBot="1">
      <c r="A238" s="4">
        <v>2660</v>
      </c>
      <c r="B238" s="5">
        <v>219</v>
      </c>
      <c r="C238" s="10">
        <v>2</v>
      </c>
      <c r="D238" s="6" t="s">
        <v>202</v>
      </c>
      <c r="E238" s="9"/>
      <c r="F238" s="8">
        <f t="shared" si="4"/>
        <v>0</v>
      </c>
      <c r="G238" s="68"/>
      <c r="H238" s="23"/>
    </row>
    <row r="239" spans="1:8" ht="15.75" thickBot="1">
      <c r="A239" s="4">
        <v>2661</v>
      </c>
      <c r="B239" s="5">
        <v>220</v>
      </c>
      <c r="C239" s="10">
        <v>2</v>
      </c>
      <c r="D239" s="6" t="s">
        <v>203</v>
      </c>
      <c r="E239" s="9"/>
      <c r="F239" s="8">
        <f t="shared" si="4"/>
        <v>0</v>
      </c>
      <c r="G239" s="68"/>
      <c r="H239" s="23"/>
    </row>
    <row r="240" spans="1:8" ht="15.75" thickBot="1">
      <c r="A240" s="4">
        <v>2662</v>
      </c>
      <c r="B240" s="5">
        <v>221</v>
      </c>
      <c r="C240" s="10">
        <v>2</v>
      </c>
      <c r="D240" s="6" t="s">
        <v>203</v>
      </c>
      <c r="E240" s="9"/>
      <c r="F240" s="8">
        <f t="shared" si="4"/>
        <v>0</v>
      </c>
      <c r="G240" s="68"/>
      <c r="H240" s="23"/>
    </row>
    <row r="241" spans="1:8" ht="15.75" thickBot="1">
      <c r="A241" s="72" t="s">
        <v>442</v>
      </c>
      <c r="B241" s="73"/>
      <c r="C241" s="73"/>
      <c r="D241" s="73"/>
      <c r="E241" s="73"/>
      <c r="F241" s="73"/>
      <c r="G241" s="73"/>
      <c r="H241" s="74"/>
    </row>
    <row r="242" spans="1:8" ht="25.5" thickBot="1">
      <c r="A242" s="4">
        <v>1293</v>
      </c>
      <c r="B242" s="5">
        <v>222</v>
      </c>
      <c r="C242" s="5">
        <v>2</v>
      </c>
      <c r="D242" s="6" t="s">
        <v>204</v>
      </c>
      <c r="E242" s="9"/>
      <c r="F242" s="8">
        <f t="shared" si="4"/>
        <v>0</v>
      </c>
      <c r="G242" s="68"/>
      <c r="H242" s="23"/>
    </row>
    <row r="243" spans="1:8" ht="25.5" thickBot="1">
      <c r="A243" s="4">
        <v>1873</v>
      </c>
      <c r="B243" s="5">
        <v>223</v>
      </c>
      <c r="C243" s="5">
        <v>14</v>
      </c>
      <c r="D243" s="6" t="s">
        <v>205</v>
      </c>
      <c r="E243" s="9"/>
      <c r="F243" s="8">
        <f t="shared" si="4"/>
        <v>0</v>
      </c>
      <c r="G243" s="68"/>
      <c r="H243" s="23"/>
    </row>
    <row r="244" spans="1:8" ht="25.5" thickBot="1">
      <c r="A244" s="4">
        <v>629</v>
      </c>
      <c r="B244" s="5">
        <v>224</v>
      </c>
      <c r="C244" s="5">
        <v>10</v>
      </c>
      <c r="D244" s="6" t="s">
        <v>206</v>
      </c>
      <c r="E244" s="9"/>
      <c r="F244" s="8">
        <f t="shared" si="4"/>
        <v>0</v>
      </c>
      <c r="G244" s="68"/>
      <c r="H244" s="23"/>
    </row>
    <row r="245" spans="1:8" ht="25.5" thickBot="1">
      <c r="A245" s="4">
        <v>630</v>
      </c>
      <c r="B245" s="5">
        <v>225</v>
      </c>
      <c r="C245" s="5">
        <v>5</v>
      </c>
      <c r="D245" s="6" t="s">
        <v>207</v>
      </c>
      <c r="E245" s="9"/>
      <c r="F245" s="8">
        <f t="shared" si="4"/>
        <v>0</v>
      </c>
      <c r="G245" s="68"/>
      <c r="H245" s="23"/>
    </row>
    <row r="246" spans="1:8" ht="15.75" thickBot="1">
      <c r="A246" s="4">
        <v>626</v>
      </c>
      <c r="B246" s="5">
        <v>226</v>
      </c>
      <c r="C246" s="5">
        <v>2</v>
      </c>
      <c r="D246" s="6" t="s">
        <v>208</v>
      </c>
      <c r="E246" s="9"/>
      <c r="F246" s="8">
        <f t="shared" si="4"/>
        <v>0</v>
      </c>
      <c r="G246" s="68"/>
      <c r="H246" s="23"/>
    </row>
    <row r="247" spans="1:8" ht="15.75" thickBot="1">
      <c r="A247" s="4">
        <v>628</v>
      </c>
      <c r="B247" s="5">
        <v>227</v>
      </c>
      <c r="C247" s="5">
        <v>10</v>
      </c>
      <c r="D247" s="6" t="s">
        <v>209</v>
      </c>
      <c r="E247" s="9"/>
      <c r="F247" s="8">
        <f t="shared" si="4"/>
        <v>0</v>
      </c>
      <c r="G247" s="68"/>
      <c r="H247" s="23"/>
    </row>
    <row r="248" spans="1:8" ht="15.75" thickBot="1">
      <c r="A248" s="4">
        <v>631</v>
      </c>
      <c r="B248" s="5">
        <v>228</v>
      </c>
      <c r="C248" s="5">
        <v>14</v>
      </c>
      <c r="D248" s="6" t="s">
        <v>210</v>
      </c>
      <c r="E248" s="9"/>
      <c r="F248" s="8">
        <f t="shared" si="4"/>
        <v>0</v>
      </c>
      <c r="G248" s="68"/>
      <c r="H248" s="23"/>
    </row>
    <row r="249" spans="1:8" ht="15.75" thickBot="1">
      <c r="A249" s="4">
        <v>625</v>
      </c>
      <c r="B249" s="5">
        <v>229</v>
      </c>
      <c r="C249" s="5">
        <v>5</v>
      </c>
      <c r="D249" s="6" t="s">
        <v>211</v>
      </c>
      <c r="E249" s="9"/>
      <c r="F249" s="8">
        <f t="shared" si="4"/>
        <v>0</v>
      </c>
      <c r="G249" s="68"/>
      <c r="H249" s="23"/>
    </row>
    <row r="250" spans="1:8" ht="25.5" customHeight="1" thickBot="1">
      <c r="A250" s="4">
        <v>169</v>
      </c>
      <c r="B250" s="5">
        <v>230</v>
      </c>
      <c r="C250" s="5">
        <v>1</v>
      </c>
      <c r="D250" s="6" t="s">
        <v>212</v>
      </c>
      <c r="E250" s="9"/>
      <c r="F250" s="8">
        <f t="shared" si="4"/>
        <v>0</v>
      </c>
      <c r="G250" s="68"/>
      <c r="H250" s="23"/>
    </row>
    <row r="251" spans="1:8" ht="15.75" thickBot="1">
      <c r="A251" s="4">
        <v>174</v>
      </c>
      <c r="B251" s="5">
        <v>231</v>
      </c>
      <c r="C251" s="5">
        <v>5</v>
      </c>
      <c r="D251" s="6" t="s">
        <v>213</v>
      </c>
      <c r="E251" s="9"/>
      <c r="F251" s="8">
        <f t="shared" si="4"/>
        <v>0</v>
      </c>
      <c r="G251" s="68"/>
      <c r="H251" s="23"/>
    </row>
    <row r="252" spans="1:8" ht="15.75" thickBot="1">
      <c r="A252" s="4">
        <v>2645</v>
      </c>
      <c r="B252" s="5">
        <v>232</v>
      </c>
      <c r="C252" s="5">
        <v>5</v>
      </c>
      <c r="D252" s="6" t="s">
        <v>214</v>
      </c>
      <c r="E252" s="9"/>
      <c r="F252" s="8">
        <f t="shared" si="4"/>
        <v>0</v>
      </c>
      <c r="G252" s="68"/>
      <c r="H252" s="23"/>
    </row>
    <row r="253" spans="1:8" ht="15.75" thickBot="1">
      <c r="A253" s="4">
        <v>175</v>
      </c>
      <c r="B253" s="5">
        <v>233</v>
      </c>
      <c r="C253" s="5">
        <v>2</v>
      </c>
      <c r="D253" s="6" t="s">
        <v>215</v>
      </c>
      <c r="E253" s="9"/>
      <c r="F253" s="8">
        <f t="shared" si="4"/>
        <v>0</v>
      </c>
      <c r="G253" s="68"/>
      <c r="H253" s="23"/>
    </row>
    <row r="254" spans="1:8" ht="15.75" thickBot="1">
      <c r="A254" s="4">
        <v>176</v>
      </c>
      <c r="B254" s="5">
        <v>234</v>
      </c>
      <c r="C254" s="5">
        <v>2</v>
      </c>
      <c r="D254" s="6" t="s">
        <v>216</v>
      </c>
      <c r="E254" s="9"/>
      <c r="F254" s="8">
        <f t="shared" si="4"/>
        <v>0</v>
      </c>
      <c r="G254" s="68"/>
      <c r="H254" s="23"/>
    </row>
    <row r="255" spans="1:8" ht="25.5" customHeight="1" thickBot="1">
      <c r="A255" s="4">
        <v>164</v>
      </c>
      <c r="B255" s="5">
        <v>235</v>
      </c>
      <c r="C255" s="5">
        <v>2</v>
      </c>
      <c r="D255" s="6" t="s">
        <v>217</v>
      </c>
      <c r="E255" s="9"/>
      <c r="F255" s="8">
        <f t="shared" si="4"/>
        <v>0</v>
      </c>
      <c r="G255" s="68"/>
      <c r="H255" s="23"/>
    </row>
    <row r="256" spans="1:8" ht="25.5" customHeight="1" thickBot="1">
      <c r="A256" s="4">
        <v>177</v>
      </c>
      <c r="B256" s="5">
        <v>236</v>
      </c>
      <c r="C256" s="5">
        <v>2</v>
      </c>
      <c r="D256" s="6" t="s">
        <v>218</v>
      </c>
      <c r="E256" s="9"/>
      <c r="F256" s="8">
        <f t="shared" si="4"/>
        <v>0</v>
      </c>
      <c r="G256" s="68"/>
      <c r="H256" s="23"/>
    </row>
    <row r="257" spans="1:8" ht="25.5" customHeight="1" thickBot="1">
      <c r="A257" s="4">
        <v>155</v>
      </c>
      <c r="B257" s="5">
        <v>237</v>
      </c>
      <c r="C257" s="5">
        <v>2</v>
      </c>
      <c r="D257" s="6" t="s">
        <v>219</v>
      </c>
      <c r="E257" s="9"/>
      <c r="F257" s="8">
        <f t="shared" si="4"/>
        <v>0</v>
      </c>
      <c r="G257" s="68"/>
      <c r="H257" s="23"/>
    </row>
    <row r="258" spans="1:8" ht="25.5" customHeight="1" thickBot="1">
      <c r="A258" s="4">
        <v>156</v>
      </c>
      <c r="B258" s="5">
        <v>238</v>
      </c>
      <c r="C258" s="5">
        <v>2</v>
      </c>
      <c r="D258" s="6" t="s">
        <v>220</v>
      </c>
      <c r="E258" s="9"/>
      <c r="F258" s="8">
        <f t="shared" si="4"/>
        <v>0</v>
      </c>
      <c r="G258" s="68"/>
      <c r="H258" s="23"/>
    </row>
    <row r="259" spans="1:8" ht="25.5" thickBot="1">
      <c r="A259" s="4">
        <v>165</v>
      </c>
      <c r="B259" s="5">
        <v>239</v>
      </c>
      <c r="C259" s="5">
        <v>2</v>
      </c>
      <c r="D259" s="6" t="s">
        <v>221</v>
      </c>
      <c r="E259" s="9"/>
      <c r="F259" s="8">
        <f t="shared" si="4"/>
        <v>0</v>
      </c>
      <c r="G259" s="68"/>
      <c r="H259" s="23"/>
    </row>
    <row r="260" spans="1:8" ht="25.5" thickBot="1">
      <c r="A260" s="4" t="s">
        <v>222</v>
      </c>
      <c r="B260" s="5">
        <v>240</v>
      </c>
      <c r="C260" s="5">
        <v>2</v>
      </c>
      <c r="D260" s="6" t="s">
        <v>223</v>
      </c>
      <c r="E260" s="9"/>
      <c r="F260" s="8">
        <f t="shared" si="4"/>
        <v>0</v>
      </c>
      <c r="G260" s="68"/>
      <c r="H260" s="23"/>
    </row>
    <row r="261" spans="1:8" ht="25.5" thickBot="1">
      <c r="A261" s="4">
        <v>158</v>
      </c>
      <c r="B261" s="5">
        <v>241</v>
      </c>
      <c r="C261" s="5">
        <v>2</v>
      </c>
      <c r="D261" s="6" t="s">
        <v>224</v>
      </c>
      <c r="E261" s="9"/>
      <c r="F261" s="8">
        <f t="shared" si="4"/>
        <v>0</v>
      </c>
      <c r="G261" s="68"/>
      <c r="H261" s="23"/>
    </row>
    <row r="262" spans="1:8" ht="15.75" thickBot="1">
      <c r="A262" s="4">
        <v>167</v>
      </c>
      <c r="B262" s="5">
        <v>242</v>
      </c>
      <c r="C262" s="5">
        <v>30</v>
      </c>
      <c r="D262" s="6" t="s">
        <v>225</v>
      </c>
      <c r="E262" s="9"/>
      <c r="F262" s="8">
        <f t="shared" si="4"/>
        <v>0</v>
      </c>
      <c r="G262" s="68"/>
      <c r="H262" s="23"/>
    </row>
    <row r="263" spans="1:8" ht="15.75" thickBot="1">
      <c r="A263" s="4">
        <v>178</v>
      </c>
      <c r="B263" s="5">
        <v>243</v>
      </c>
      <c r="C263" s="5">
        <v>2</v>
      </c>
      <c r="D263" s="6" t="s">
        <v>226</v>
      </c>
      <c r="E263" s="9"/>
      <c r="F263" s="8">
        <f t="shared" si="4"/>
        <v>0</v>
      </c>
      <c r="G263" s="68"/>
      <c r="H263" s="23"/>
    </row>
    <row r="264" spans="1:8" ht="15.75" thickBot="1">
      <c r="A264" s="4">
        <v>161</v>
      </c>
      <c r="B264" s="5">
        <v>244</v>
      </c>
      <c r="C264" s="5">
        <v>2</v>
      </c>
      <c r="D264" s="6" t="s">
        <v>227</v>
      </c>
      <c r="E264" s="9"/>
      <c r="F264" s="8">
        <f t="shared" si="4"/>
        <v>0</v>
      </c>
      <c r="G264" s="68"/>
      <c r="H264" s="23"/>
    </row>
    <row r="265" spans="1:8" ht="15.75" thickBot="1">
      <c r="A265" s="4">
        <v>162</v>
      </c>
      <c r="B265" s="5">
        <v>245</v>
      </c>
      <c r="C265" s="5">
        <v>2</v>
      </c>
      <c r="D265" s="6" t="s">
        <v>228</v>
      </c>
      <c r="E265" s="9"/>
      <c r="F265" s="8">
        <f t="shared" si="4"/>
        <v>0</v>
      </c>
      <c r="G265" s="68"/>
      <c r="H265" s="23"/>
    </row>
    <row r="266" spans="1:8" ht="15.75" thickBot="1">
      <c r="A266" s="4">
        <v>166</v>
      </c>
      <c r="B266" s="5">
        <v>246</v>
      </c>
      <c r="C266" s="5">
        <v>75</v>
      </c>
      <c r="D266" s="6" t="s">
        <v>229</v>
      </c>
      <c r="E266" s="9"/>
      <c r="F266" s="8">
        <f t="shared" si="4"/>
        <v>0</v>
      </c>
      <c r="G266" s="68"/>
      <c r="H266" s="23"/>
    </row>
    <row r="267" spans="1:8" ht="15.75" thickBot="1">
      <c r="A267" s="4">
        <v>159</v>
      </c>
      <c r="B267" s="5">
        <v>247</v>
      </c>
      <c r="C267" s="5">
        <v>5</v>
      </c>
      <c r="D267" s="6" t="s">
        <v>230</v>
      </c>
      <c r="E267" s="9"/>
      <c r="F267" s="8">
        <f t="shared" si="4"/>
        <v>0</v>
      </c>
      <c r="G267" s="68"/>
      <c r="H267" s="23"/>
    </row>
    <row r="268" spans="1:8" ht="15.75" thickBot="1">
      <c r="A268" s="4">
        <v>160</v>
      </c>
      <c r="B268" s="5">
        <v>248</v>
      </c>
      <c r="C268" s="5">
        <v>2</v>
      </c>
      <c r="D268" s="6" t="s">
        <v>231</v>
      </c>
      <c r="E268" s="9"/>
      <c r="F268" s="8">
        <f t="shared" si="4"/>
        <v>0</v>
      </c>
      <c r="G268" s="68"/>
      <c r="H268" s="23"/>
    </row>
    <row r="269" spans="1:8" ht="15.75" thickBot="1">
      <c r="A269" s="4">
        <v>1271</v>
      </c>
      <c r="B269" s="5">
        <v>249</v>
      </c>
      <c r="C269" s="5">
        <v>5</v>
      </c>
      <c r="D269" s="6" t="s">
        <v>232</v>
      </c>
      <c r="E269" s="9"/>
      <c r="F269" s="8">
        <f t="shared" si="4"/>
        <v>0</v>
      </c>
      <c r="G269" s="68"/>
      <c r="H269" s="23"/>
    </row>
    <row r="270" spans="1:8" ht="15.75" thickBot="1">
      <c r="A270" s="4">
        <v>173</v>
      </c>
      <c r="B270" s="5">
        <v>250</v>
      </c>
      <c r="C270" s="5">
        <v>5</v>
      </c>
      <c r="D270" s="6" t="s">
        <v>233</v>
      </c>
      <c r="E270" s="9"/>
      <c r="F270" s="8">
        <f t="shared" si="4"/>
        <v>0</v>
      </c>
      <c r="G270" s="68"/>
      <c r="H270" s="23"/>
    </row>
    <row r="271" spans="1:8" ht="25.5" thickBot="1">
      <c r="A271" s="4">
        <v>172</v>
      </c>
      <c r="B271" s="5">
        <v>251</v>
      </c>
      <c r="C271" s="5">
        <v>25</v>
      </c>
      <c r="D271" s="6" t="s">
        <v>234</v>
      </c>
      <c r="E271" s="9"/>
      <c r="F271" s="8">
        <f t="shared" si="4"/>
        <v>0</v>
      </c>
      <c r="G271" s="68"/>
      <c r="H271" s="23"/>
    </row>
    <row r="272" spans="1:8" ht="15.75" thickBot="1">
      <c r="A272" s="4">
        <v>170</v>
      </c>
      <c r="B272" s="5">
        <v>252</v>
      </c>
      <c r="C272" s="5">
        <v>2</v>
      </c>
      <c r="D272" s="6" t="s">
        <v>235</v>
      </c>
      <c r="E272" s="9"/>
      <c r="F272" s="8">
        <f t="shared" si="4"/>
        <v>0</v>
      </c>
      <c r="G272" s="68"/>
      <c r="H272" s="23"/>
    </row>
    <row r="273" spans="1:8" ht="25.5" thickBot="1">
      <c r="A273" s="4">
        <v>171</v>
      </c>
      <c r="B273" s="5">
        <v>253</v>
      </c>
      <c r="C273" s="5">
        <v>2</v>
      </c>
      <c r="D273" s="6" t="s">
        <v>236</v>
      </c>
      <c r="E273" s="9"/>
      <c r="F273" s="8">
        <f t="shared" si="4"/>
        <v>0</v>
      </c>
      <c r="G273" s="68"/>
      <c r="H273" s="23"/>
    </row>
    <row r="274" spans="1:8" ht="15.75" thickBot="1">
      <c r="A274" s="4">
        <v>2480</v>
      </c>
      <c r="B274" s="5">
        <v>254</v>
      </c>
      <c r="C274" s="5">
        <v>5</v>
      </c>
      <c r="D274" s="6" t="s">
        <v>237</v>
      </c>
      <c r="E274" s="9"/>
      <c r="F274" s="8">
        <f t="shared" si="4"/>
        <v>0</v>
      </c>
      <c r="G274" s="68"/>
      <c r="H274" s="23"/>
    </row>
    <row r="275" spans="1:8" ht="15.75" thickBot="1">
      <c r="A275" s="4">
        <v>2481</v>
      </c>
      <c r="B275" s="5">
        <v>255</v>
      </c>
      <c r="C275" s="5">
        <v>5</v>
      </c>
      <c r="D275" s="6" t="s">
        <v>238</v>
      </c>
      <c r="E275" s="9"/>
      <c r="F275" s="8">
        <f t="shared" si="4"/>
        <v>0</v>
      </c>
      <c r="G275" s="68"/>
      <c r="H275" s="23"/>
    </row>
    <row r="276" spans="1:8" ht="15.75" thickBot="1">
      <c r="A276" s="72" t="s">
        <v>315</v>
      </c>
      <c r="B276" s="73"/>
      <c r="C276" s="73"/>
      <c r="D276" s="73"/>
      <c r="E276" s="73"/>
      <c r="F276" s="73"/>
      <c r="G276" s="73"/>
      <c r="H276" s="74"/>
    </row>
    <row r="277" spans="1:8" ht="15.75" thickBot="1">
      <c r="A277" s="4">
        <v>556</v>
      </c>
      <c r="B277" s="5">
        <v>256</v>
      </c>
      <c r="C277" s="5">
        <v>75</v>
      </c>
      <c r="D277" s="6" t="s">
        <v>239</v>
      </c>
      <c r="E277" s="9"/>
      <c r="F277" s="8">
        <f t="shared" si="4"/>
        <v>0</v>
      </c>
      <c r="G277" s="68"/>
      <c r="H277" s="23"/>
    </row>
    <row r="278" spans="1:8" ht="15.75" thickBot="1">
      <c r="A278" s="4">
        <v>557</v>
      </c>
      <c r="B278" s="5">
        <v>257</v>
      </c>
      <c r="C278" s="5">
        <v>10</v>
      </c>
      <c r="D278" s="6" t="s">
        <v>240</v>
      </c>
      <c r="E278" s="9"/>
      <c r="F278" s="8">
        <f t="shared" si="4"/>
        <v>0</v>
      </c>
      <c r="G278" s="68"/>
      <c r="H278" s="23"/>
    </row>
    <row r="279" spans="1:8" ht="15.75" thickBot="1">
      <c r="A279" s="4">
        <v>558</v>
      </c>
      <c r="B279" s="5">
        <v>258</v>
      </c>
      <c r="C279" s="5">
        <v>5</v>
      </c>
      <c r="D279" s="6" t="s">
        <v>241</v>
      </c>
      <c r="E279" s="9"/>
      <c r="F279" s="8">
        <f t="shared" si="4"/>
        <v>0</v>
      </c>
      <c r="G279" s="68"/>
      <c r="H279" s="23"/>
    </row>
    <row r="280" spans="1:8" ht="15.75" thickBot="1">
      <c r="A280" s="4">
        <v>343</v>
      </c>
      <c r="B280" s="5">
        <v>259</v>
      </c>
      <c r="C280" s="5">
        <v>5</v>
      </c>
      <c r="D280" s="6" t="s">
        <v>242</v>
      </c>
      <c r="E280" s="9"/>
      <c r="F280" s="8">
        <f t="shared" si="4"/>
        <v>0</v>
      </c>
      <c r="G280" s="68"/>
      <c r="H280" s="23"/>
    </row>
    <row r="281" spans="1:8" ht="15.75" thickBot="1">
      <c r="A281" s="4">
        <v>594</v>
      </c>
      <c r="B281" s="5">
        <v>260</v>
      </c>
      <c r="C281" s="5">
        <v>15</v>
      </c>
      <c r="D281" s="6" t="s">
        <v>243</v>
      </c>
      <c r="E281" s="9"/>
      <c r="F281" s="8">
        <f t="shared" si="4"/>
        <v>0</v>
      </c>
      <c r="G281" s="68"/>
      <c r="H281" s="23"/>
    </row>
    <row r="282" spans="1:8" ht="15.75" thickBot="1">
      <c r="A282" s="4">
        <v>559</v>
      </c>
      <c r="B282" s="5">
        <v>261</v>
      </c>
      <c r="C282" s="5">
        <v>25</v>
      </c>
      <c r="D282" s="6" t="s">
        <v>244</v>
      </c>
      <c r="E282" s="9"/>
      <c r="F282" s="8">
        <f t="shared" si="4"/>
        <v>0</v>
      </c>
      <c r="G282" s="68"/>
      <c r="H282" s="23"/>
    </row>
    <row r="283" spans="1:8" ht="15.75" thickBot="1">
      <c r="A283" s="4">
        <v>2643</v>
      </c>
      <c r="B283" s="5">
        <v>262</v>
      </c>
      <c r="C283" s="5">
        <v>250</v>
      </c>
      <c r="D283" s="6" t="s">
        <v>245</v>
      </c>
      <c r="E283" s="9"/>
      <c r="F283" s="8">
        <f t="shared" si="4"/>
        <v>0</v>
      </c>
      <c r="G283" s="68"/>
      <c r="H283" s="23"/>
    </row>
    <row r="284" spans="1:8" ht="15.75" thickBot="1">
      <c r="A284" s="4">
        <v>2644</v>
      </c>
      <c r="B284" s="5">
        <v>263</v>
      </c>
      <c r="C284" s="5">
        <v>50</v>
      </c>
      <c r="D284" s="6" t="s">
        <v>246</v>
      </c>
      <c r="E284" s="9"/>
      <c r="F284" s="8">
        <f t="shared" si="4"/>
        <v>0</v>
      </c>
      <c r="G284" s="68"/>
      <c r="H284" s="23"/>
    </row>
    <row r="285" spans="1:8" ht="15.75" thickBot="1">
      <c r="A285" s="4" t="s">
        <v>247</v>
      </c>
      <c r="B285" s="5">
        <v>264</v>
      </c>
      <c r="C285" s="5">
        <v>25</v>
      </c>
      <c r="D285" s="6" t="s">
        <v>248</v>
      </c>
      <c r="E285" s="9"/>
      <c r="F285" s="8">
        <f t="shared" si="4"/>
        <v>0</v>
      </c>
      <c r="G285" s="68"/>
      <c r="H285" s="23"/>
    </row>
    <row r="286" spans="1:8" ht="25.5" thickBot="1">
      <c r="A286" s="4">
        <v>204</v>
      </c>
      <c r="B286" s="5">
        <v>265</v>
      </c>
      <c r="C286" s="5">
        <v>25</v>
      </c>
      <c r="D286" s="6" t="s">
        <v>317</v>
      </c>
      <c r="E286" s="9"/>
      <c r="F286" s="8">
        <f t="shared" si="4"/>
        <v>0</v>
      </c>
      <c r="G286" s="68"/>
      <c r="H286" s="23"/>
    </row>
    <row r="287" spans="1:8" ht="25.5" thickBot="1">
      <c r="A287" s="4">
        <v>205</v>
      </c>
      <c r="B287" s="5">
        <v>266</v>
      </c>
      <c r="C287" s="5">
        <v>25</v>
      </c>
      <c r="D287" s="6" t="s">
        <v>316</v>
      </c>
      <c r="E287" s="9"/>
      <c r="F287" s="8">
        <f t="shared" si="4"/>
        <v>0</v>
      </c>
      <c r="G287" s="68"/>
      <c r="H287" s="23"/>
    </row>
    <row r="288" spans="1:8" ht="15.75" thickBot="1">
      <c r="A288" s="4">
        <v>206</v>
      </c>
      <c r="B288" s="5">
        <v>267</v>
      </c>
      <c r="C288" s="5">
        <v>25</v>
      </c>
      <c r="D288" s="6" t="s">
        <v>249</v>
      </c>
      <c r="E288" s="9"/>
      <c r="F288" s="8">
        <f t="shared" ref="F288:F300" si="5">E288*C288</f>
        <v>0</v>
      </c>
      <c r="G288" s="68"/>
      <c r="H288" s="23"/>
    </row>
    <row r="289" spans="1:8" ht="15.75" thickBot="1">
      <c r="A289" s="4">
        <v>207</v>
      </c>
      <c r="B289" s="5">
        <v>268</v>
      </c>
      <c r="C289" s="5">
        <v>25</v>
      </c>
      <c r="D289" s="6" t="s">
        <v>250</v>
      </c>
      <c r="E289" s="9"/>
      <c r="F289" s="8">
        <f t="shared" si="5"/>
        <v>0</v>
      </c>
      <c r="G289" s="68"/>
      <c r="H289" s="23"/>
    </row>
    <row r="290" spans="1:8" ht="15.75" thickBot="1">
      <c r="A290" s="4">
        <v>344</v>
      </c>
      <c r="B290" s="5">
        <v>269</v>
      </c>
      <c r="C290" s="5">
        <v>5</v>
      </c>
      <c r="D290" s="6" t="s">
        <v>251</v>
      </c>
      <c r="E290" s="9"/>
      <c r="F290" s="8">
        <f t="shared" si="5"/>
        <v>0</v>
      </c>
      <c r="G290" s="68"/>
      <c r="H290" s="23"/>
    </row>
    <row r="291" spans="1:8" ht="15.75" thickBot="1">
      <c r="A291" s="72" t="s">
        <v>318</v>
      </c>
      <c r="B291" s="73"/>
      <c r="C291" s="73"/>
      <c r="D291" s="73"/>
      <c r="E291" s="73"/>
      <c r="F291" s="73"/>
      <c r="G291" s="73"/>
      <c r="H291" s="74"/>
    </row>
    <row r="292" spans="1:8" ht="15.75" thickBot="1">
      <c r="A292" s="4">
        <v>553</v>
      </c>
      <c r="B292" s="5">
        <v>270</v>
      </c>
      <c r="C292" s="5">
        <v>750</v>
      </c>
      <c r="D292" s="6" t="s">
        <v>252</v>
      </c>
      <c r="E292" s="9"/>
      <c r="F292" s="8">
        <f t="shared" si="5"/>
        <v>0</v>
      </c>
      <c r="G292" s="68"/>
      <c r="H292" s="23"/>
    </row>
    <row r="293" spans="1:8" ht="15.75" thickBot="1">
      <c r="A293" s="4">
        <v>551</v>
      </c>
      <c r="B293" s="5">
        <v>271</v>
      </c>
      <c r="C293" s="5">
        <v>7500</v>
      </c>
      <c r="D293" s="6" t="s">
        <v>253</v>
      </c>
      <c r="E293" s="9"/>
      <c r="F293" s="8">
        <f t="shared" si="5"/>
        <v>0</v>
      </c>
      <c r="G293" s="68"/>
      <c r="H293" s="23"/>
    </row>
    <row r="294" spans="1:8" ht="15.75" thickBot="1">
      <c r="A294" s="4">
        <v>550</v>
      </c>
      <c r="B294" s="5">
        <v>272</v>
      </c>
      <c r="C294" s="5">
        <v>100</v>
      </c>
      <c r="D294" s="6" t="s">
        <v>254</v>
      </c>
      <c r="E294" s="9"/>
      <c r="F294" s="8">
        <f t="shared" si="5"/>
        <v>0</v>
      </c>
      <c r="G294" s="68"/>
      <c r="H294" s="23"/>
    </row>
    <row r="295" spans="1:8" ht="15.75" thickBot="1">
      <c r="A295" s="4">
        <v>552</v>
      </c>
      <c r="B295" s="5">
        <v>273</v>
      </c>
      <c r="C295" s="5">
        <v>600</v>
      </c>
      <c r="D295" s="6" t="s">
        <v>255</v>
      </c>
      <c r="E295" s="9"/>
      <c r="F295" s="8">
        <f t="shared" si="5"/>
        <v>0</v>
      </c>
      <c r="G295" s="68"/>
      <c r="H295" s="23"/>
    </row>
    <row r="296" spans="1:8" ht="15.75" thickBot="1">
      <c r="A296" s="4">
        <v>555</v>
      </c>
      <c r="B296" s="5">
        <v>274</v>
      </c>
      <c r="C296" s="5">
        <v>100</v>
      </c>
      <c r="D296" s="6" t="s">
        <v>256</v>
      </c>
      <c r="E296" s="9"/>
      <c r="F296" s="8">
        <f t="shared" si="5"/>
        <v>0</v>
      </c>
      <c r="G296" s="68"/>
      <c r="H296" s="23"/>
    </row>
    <row r="297" spans="1:8" ht="15.75" thickBot="1">
      <c r="A297" s="4">
        <v>554</v>
      </c>
      <c r="B297" s="5">
        <v>275</v>
      </c>
      <c r="C297" s="5">
        <v>100</v>
      </c>
      <c r="D297" s="6" t="s">
        <v>257</v>
      </c>
      <c r="E297" s="9"/>
      <c r="F297" s="8">
        <f t="shared" si="5"/>
        <v>0</v>
      </c>
      <c r="G297" s="68"/>
      <c r="H297" s="23"/>
    </row>
    <row r="298" spans="1:8" ht="15.75" thickBot="1">
      <c r="A298" s="72" t="s">
        <v>319</v>
      </c>
      <c r="B298" s="73"/>
      <c r="C298" s="73"/>
      <c r="D298" s="73"/>
      <c r="E298" s="73"/>
      <c r="F298" s="73"/>
      <c r="G298" s="73"/>
      <c r="H298" s="74"/>
    </row>
    <row r="299" spans="1:8" ht="15.75" thickBot="1">
      <c r="A299" s="4">
        <v>307</v>
      </c>
      <c r="B299" s="5">
        <v>276</v>
      </c>
      <c r="C299" s="5">
        <v>12</v>
      </c>
      <c r="D299" s="6" t="s">
        <v>306</v>
      </c>
      <c r="E299" s="9"/>
      <c r="F299" s="8">
        <f t="shared" si="5"/>
        <v>0</v>
      </c>
      <c r="G299" s="68"/>
      <c r="H299" s="23"/>
    </row>
    <row r="300" spans="1:8" ht="15.75" thickBot="1">
      <c r="A300" s="4">
        <v>605</v>
      </c>
      <c r="B300" s="5">
        <v>277</v>
      </c>
      <c r="C300" s="5">
        <v>10</v>
      </c>
      <c r="D300" s="6" t="s">
        <v>307</v>
      </c>
      <c r="E300" s="9"/>
      <c r="F300" s="8">
        <f t="shared" si="5"/>
        <v>0</v>
      </c>
      <c r="G300" s="68"/>
      <c r="H300" s="23"/>
    </row>
    <row r="301" spans="1:8" ht="15.75" thickBot="1">
      <c r="A301" s="75" t="s">
        <v>320</v>
      </c>
      <c r="B301" s="76"/>
      <c r="C301" s="76"/>
      <c r="D301" s="76"/>
      <c r="E301" s="76"/>
      <c r="F301" s="76"/>
      <c r="G301" s="76"/>
      <c r="H301" s="77"/>
    </row>
    <row r="302" spans="1:8" ht="15.75" thickBot="1">
      <c r="A302" s="4">
        <v>2557</v>
      </c>
      <c r="B302" s="5">
        <v>278</v>
      </c>
      <c r="C302" s="5">
        <v>2</v>
      </c>
      <c r="D302" s="6" t="s">
        <v>258</v>
      </c>
      <c r="E302" s="9"/>
      <c r="F302" s="8">
        <f t="shared" ref="F302:F349" si="6">E302*C302</f>
        <v>0</v>
      </c>
      <c r="G302" s="68"/>
      <c r="H302" s="23"/>
    </row>
    <row r="303" spans="1:8" ht="15.75" thickBot="1">
      <c r="A303" s="4">
        <v>2551</v>
      </c>
      <c r="B303" s="5">
        <v>279</v>
      </c>
      <c r="C303" s="5">
        <v>2</v>
      </c>
      <c r="D303" s="6" t="s">
        <v>259</v>
      </c>
      <c r="E303" s="9"/>
      <c r="F303" s="8">
        <f t="shared" si="6"/>
        <v>0</v>
      </c>
      <c r="G303" s="68"/>
      <c r="H303" s="23"/>
    </row>
    <row r="304" spans="1:8" ht="15.75" thickBot="1">
      <c r="A304" s="4">
        <v>352</v>
      </c>
      <c r="B304" s="5">
        <v>280</v>
      </c>
      <c r="C304" s="5">
        <v>5</v>
      </c>
      <c r="D304" s="6" t="s">
        <v>260</v>
      </c>
      <c r="E304" s="9"/>
      <c r="F304" s="8">
        <f t="shared" si="6"/>
        <v>0</v>
      </c>
      <c r="G304" s="68"/>
      <c r="H304" s="23"/>
    </row>
    <row r="305" spans="1:8" ht="15.75" thickBot="1">
      <c r="A305" s="4">
        <v>285</v>
      </c>
      <c r="B305" s="5">
        <v>281</v>
      </c>
      <c r="C305" s="5">
        <v>10</v>
      </c>
      <c r="D305" s="6" t="s">
        <v>261</v>
      </c>
      <c r="E305" s="9"/>
      <c r="F305" s="8">
        <f t="shared" si="6"/>
        <v>0</v>
      </c>
      <c r="G305" s="68"/>
      <c r="H305" s="23"/>
    </row>
    <row r="306" spans="1:8" ht="15.75" thickBot="1">
      <c r="A306" s="4">
        <v>286</v>
      </c>
      <c r="B306" s="5">
        <v>282</v>
      </c>
      <c r="C306" s="5">
        <v>10</v>
      </c>
      <c r="D306" s="6" t="s">
        <v>262</v>
      </c>
      <c r="E306" s="9"/>
      <c r="F306" s="8">
        <f t="shared" si="6"/>
        <v>0</v>
      </c>
      <c r="G306" s="68"/>
      <c r="H306" s="23"/>
    </row>
    <row r="307" spans="1:8" ht="15.75" thickBot="1">
      <c r="A307" s="4">
        <v>2553</v>
      </c>
      <c r="B307" s="5">
        <v>283</v>
      </c>
      <c r="C307" s="5">
        <v>2</v>
      </c>
      <c r="D307" s="6" t="s">
        <v>263</v>
      </c>
      <c r="E307" s="9"/>
      <c r="F307" s="8">
        <f t="shared" si="6"/>
        <v>0</v>
      </c>
      <c r="G307" s="68"/>
      <c r="H307" s="23"/>
    </row>
    <row r="308" spans="1:8" ht="15.75" thickBot="1">
      <c r="A308" s="4">
        <v>289</v>
      </c>
      <c r="B308" s="5">
        <v>284</v>
      </c>
      <c r="C308" s="5">
        <v>15</v>
      </c>
      <c r="D308" s="6" t="s">
        <v>264</v>
      </c>
      <c r="E308" s="9"/>
      <c r="F308" s="8">
        <f t="shared" si="6"/>
        <v>0</v>
      </c>
      <c r="G308" s="68"/>
      <c r="H308" s="23"/>
    </row>
    <row r="309" spans="1:8" ht="15.75" thickBot="1">
      <c r="A309" s="4">
        <v>290</v>
      </c>
      <c r="B309" s="5">
        <v>285</v>
      </c>
      <c r="C309" s="5">
        <v>12</v>
      </c>
      <c r="D309" s="6" t="s">
        <v>265</v>
      </c>
      <c r="E309" s="9"/>
      <c r="F309" s="8">
        <f t="shared" si="6"/>
        <v>0</v>
      </c>
      <c r="G309" s="68"/>
      <c r="H309" s="23"/>
    </row>
    <row r="310" spans="1:8" ht="15.75" thickBot="1">
      <c r="A310" s="4">
        <v>2560</v>
      </c>
      <c r="B310" s="5">
        <v>286</v>
      </c>
      <c r="C310" s="5">
        <v>2</v>
      </c>
      <c r="D310" s="6" t="s">
        <v>266</v>
      </c>
      <c r="E310" s="9"/>
      <c r="F310" s="8">
        <f t="shared" si="6"/>
        <v>0</v>
      </c>
      <c r="G310" s="68"/>
      <c r="H310" s="23"/>
    </row>
    <row r="311" spans="1:8" ht="15.75" thickBot="1">
      <c r="A311" s="4">
        <v>287</v>
      </c>
      <c r="B311" s="5">
        <v>287</v>
      </c>
      <c r="C311" s="5">
        <v>2</v>
      </c>
      <c r="D311" s="6" t="s">
        <v>267</v>
      </c>
      <c r="E311" s="9"/>
      <c r="F311" s="8">
        <f t="shared" si="6"/>
        <v>0</v>
      </c>
      <c r="G311" s="68"/>
      <c r="H311" s="23"/>
    </row>
    <row r="312" spans="1:8" ht="15.75" thickBot="1">
      <c r="A312" s="4">
        <v>288</v>
      </c>
      <c r="B312" s="5">
        <v>288</v>
      </c>
      <c r="C312" s="5">
        <v>2</v>
      </c>
      <c r="D312" s="6" t="s">
        <v>268</v>
      </c>
      <c r="E312" s="9"/>
      <c r="F312" s="8">
        <f t="shared" si="6"/>
        <v>0</v>
      </c>
      <c r="G312" s="68"/>
      <c r="H312" s="23"/>
    </row>
    <row r="313" spans="1:8" ht="15.75" thickBot="1">
      <c r="A313" s="4">
        <v>2561</v>
      </c>
      <c r="B313" s="5">
        <v>289</v>
      </c>
      <c r="C313" s="5">
        <v>10</v>
      </c>
      <c r="D313" s="6" t="s">
        <v>269</v>
      </c>
      <c r="E313" s="9"/>
      <c r="F313" s="8">
        <f t="shared" si="6"/>
        <v>0</v>
      </c>
      <c r="G313" s="68"/>
      <c r="H313" s="23"/>
    </row>
    <row r="314" spans="1:8" ht="15.75" thickBot="1">
      <c r="A314" s="4">
        <v>291</v>
      </c>
      <c r="B314" s="5">
        <v>290</v>
      </c>
      <c r="C314" s="5">
        <v>10</v>
      </c>
      <c r="D314" s="6" t="s">
        <v>270</v>
      </c>
      <c r="E314" s="9"/>
      <c r="F314" s="8">
        <f t="shared" si="6"/>
        <v>0</v>
      </c>
      <c r="G314" s="68"/>
      <c r="H314" s="23"/>
    </row>
    <row r="315" spans="1:8" ht="15.75" thickBot="1">
      <c r="A315" s="4">
        <v>292</v>
      </c>
      <c r="B315" s="5">
        <v>291</v>
      </c>
      <c r="C315" s="5">
        <v>2</v>
      </c>
      <c r="D315" s="6" t="s">
        <v>271</v>
      </c>
      <c r="E315" s="9"/>
      <c r="F315" s="8">
        <f t="shared" si="6"/>
        <v>0</v>
      </c>
      <c r="G315" s="68"/>
      <c r="H315" s="23"/>
    </row>
    <row r="316" spans="1:8" ht="15.75" thickBot="1">
      <c r="A316" s="4">
        <v>2607</v>
      </c>
      <c r="B316" s="5">
        <v>292</v>
      </c>
      <c r="C316" s="5">
        <v>2</v>
      </c>
      <c r="D316" s="6" t="s">
        <v>272</v>
      </c>
      <c r="E316" s="9"/>
      <c r="F316" s="8">
        <f t="shared" si="6"/>
        <v>0</v>
      </c>
      <c r="G316" s="68"/>
      <c r="H316" s="23"/>
    </row>
    <row r="317" spans="1:8" ht="15.75" thickBot="1">
      <c r="A317" s="4">
        <v>2608</v>
      </c>
      <c r="B317" s="5">
        <v>293</v>
      </c>
      <c r="C317" s="5">
        <v>2</v>
      </c>
      <c r="D317" s="6" t="s">
        <v>273</v>
      </c>
      <c r="E317" s="9"/>
      <c r="F317" s="8">
        <f t="shared" si="6"/>
        <v>0</v>
      </c>
      <c r="G317" s="68"/>
      <c r="H317" s="23"/>
    </row>
    <row r="318" spans="1:8" ht="15.75" thickBot="1">
      <c r="A318" s="4">
        <v>2585</v>
      </c>
      <c r="B318" s="5">
        <v>294</v>
      </c>
      <c r="C318" s="5">
        <v>2</v>
      </c>
      <c r="D318" s="6" t="s">
        <v>274</v>
      </c>
      <c r="E318" s="9"/>
      <c r="F318" s="8">
        <f t="shared" si="6"/>
        <v>0</v>
      </c>
      <c r="G318" s="68"/>
      <c r="H318" s="23"/>
    </row>
    <row r="319" spans="1:8" ht="15.75" thickBot="1">
      <c r="A319" s="4">
        <v>2586</v>
      </c>
      <c r="B319" s="5">
        <v>295</v>
      </c>
      <c r="C319" s="5">
        <v>2</v>
      </c>
      <c r="D319" s="6" t="s">
        <v>275</v>
      </c>
      <c r="E319" s="9"/>
      <c r="F319" s="8">
        <f t="shared" si="6"/>
        <v>0</v>
      </c>
      <c r="G319" s="68"/>
      <c r="H319" s="23"/>
    </row>
    <row r="320" spans="1:8" ht="15.75" thickBot="1">
      <c r="A320" s="4">
        <v>2619</v>
      </c>
      <c r="B320" s="5">
        <v>296</v>
      </c>
      <c r="C320" s="5">
        <v>2</v>
      </c>
      <c r="D320" s="6" t="s">
        <v>276</v>
      </c>
      <c r="E320" s="9"/>
      <c r="F320" s="8">
        <f t="shared" si="6"/>
        <v>0</v>
      </c>
      <c r="G320" s="68"/>
      <c r="H320" s="23"/>
    </row>
    <row r="321" spans="1:8" ht="15.75" thickBot="1">
      <c r="A321" s="4">
        <v>2588</v>
      </c>
      <c r="B321" s="5">
        <v>297</v>
      </c>
      <c r="C321" s="5">
        <v>2</v>
      </c>
      <c r="D321" s="6" t="s">
        <v>277</v>
      </c>
      <c r="E321" s="9"/>
      <c r="F321" s="8">
        <f t="shared" si="6"/>
        <v>0</v>
      </c>
      <c r="G321" s="68"/>
      <c r="H321" s="23"/>
    </row>
    <row r="322" spans="1:8" ht="15.75" thickBot="1">
      <c r="A322" s="4">
        <v>2589</v>
      </c>
      <c r="B322" s="5">
        <v>298</v>
      </c>
      <c r="C322" s="5">
        <v>2</v>
      </c>
      <c r="D322" s="6" t="s">
        <v>278</v>
      </c>
      <c r="E322" s="9"/>
      <c r="F322" s="8">
        <f t="shared" si="6"/>
        <v>0</v>
      </c>
      <c r="G322" s="68"/>
      <c r="H322" s="23"/>
    </row>
    <row r="323" spans="1:8" ht="15.75" thickBot="1">
      <c r="A323" s="4">
        <v>1593</v>
      </c>
      <c r="B323" s="5">
        <v>299</v>
      </c>
      <c r="C323" s="5">
        <v>2</v>
      </c>
      <c r="D323" s="6" t="s">
        <v>279</v>
      </c>
      <c r="E323" s="9"/>
      <c r="F323" s="8">
        <f t="shared" si="6"/>
        <v>0</v>
      </c>
      <c r="G323" s="68"/>
      <c r="H323" s="23"/>
    </row>
    <row r="324" spans="1:8" ht="15.75" thickBot="1">
      <c r="A324" s="4">
        <v>360</v>
      </c>
      <c r="B324" s="5">
        <v>300</v>
      </c>
      <c r="C324" s="5">
        <v>5</v>
      </c>
      <c r="D324" s="6" t="s">
        <v>280</v>
      </c>
      <c r="E324" s="9"/>
      <c r="F324" s="8">
        <f t="shared" si="6"/>
        <v>0</v>
      </c>
      <c r="G324" s="68"/>
      <c r="H324" s="23"/>
    </row>
    <row r="325" spans="1:8" ht="15.75" thickBot="1">
      <c r="A325" s="4">
        <v>345</v>
      </c>
      <c r="B325" s="5">
        <v>301</v>
      </c>
      <c r="C325" s="5">
        <v>5</v>
      </c>
      <c r="D325" s="6" t="s">
        <v>281</v>
      </c>
      <c r="E325" s="9"/>
      <c r="F325" s="8">
        <f t="shared" si="6"/>
        <v>0</v>
      </c>
      <c r="G325" s="68"/>
      <c r="H325" s="23"/>
    </row>
    <row r="326" spans="1:8" ht="15.75" thickBot="1">
      <c r="A326" s="4">
        <v>346</v>
      </c>
      <c r="B326" s="5">
        <v>302</v>
      </c>
      <c r="C326" s="5">
        <v>5</v>
      </c>
      <c r="D326" s="6" t="s">
        <v>282</v>
      </c>
      <c r="E326" s="9"/>
      <c r="F326" s="8">
        <f t="shared" si="6"/>
        <v>0</v>
      </c>
      <c r="G326" s="68"/>
      <c r="H326" s="23"/>
    </row>
    <row r="327" spans="1:8" ht="15.75" thickBot="1">
      <c r="A327" s="4">
        <v>2584</v>
      </c>
      <c r="B327" s="5">
        <v>303</v>
      </c>
      <c r="C327" s="5">
        <v>2</v>
      </c>
      <c r="D327" s="6" t="s">
        <v>283</v>
      </c>
      <c r="E327" s="9"/>
      <c r="F327" s="8">
        <f t="shared" si="6"/>
        <v>0</v>
      </c>
      <c r="G327" s="68"/>
      <c r="H327" s="23"/>
    </row>
    <row r="328" spans="1:8" ht="15.75" thickBot="1">
      <c r="A328" s="4">
        <v>331</v>
      </c>
      <c r="B328" s="5">
        <v>304</v>
      </c>
      <c r="C328" s="5">
        <v>5</v>
      </c>
      <c r="D328" s="6" t="s">
        <v>284</v>
      </c>
      <c r="E328" s="9"/>
      <c r="F328" s="8">
        <f t="shared" si="6"/>
        <v>0</v>
      </c>
      <c r="G328" s="68"/>
      <c r="H328" s="23"/>
    </row>
    <row r="329" spans="1:8" ht="15.75" thickBot="1">
      <c r="A329" s="4">
        <v>332</v>
      </c>
      <c r="B329" s="5">
        <v>305</v>
      </c>
      <c r="C329" s="5">
        <v>5</v>
      </c>
      <c r="D329" s="6" t="s">
        <v>285</v>
      </c>
      <c r="E329" s="9"/>
      <c r="F329" s="8">
        <f t="shared" si="6"/>
        <v>0</v>
      </c>
      <c r="G329" s="68"/>
      <c r="H329" s="23"/>
    </row>
    <row r="330" spans="1:8" ht="15.75" thickBot="1">
      <c r="A330" s="4">
        <v>333</v>
      </c>
      <c r="B330" s="5">
        <v>306</v>
      </c>
      <c r="C330" s="5">
        <v>5</v>
      </c>
      <c r="D330" s="6" t="s">
        <v>286</v>
      </c>
      <c r="E330" s="9"/>
      <c r="F330" s="8">
        <f t="shared" si="6"/>
        <v>0</v>
      </c>
      <c r="G330" s="68"/>
      <c r="H330" s="23"/>
    </row>
    <row r="331" spans="1:8" ht="15.75" thickBot="1">
      <c r="A331" s="4">
        <v>334</v>
      </c>
      <c r="B331" s="5">
        <v>307</v>
      </c>
      <c r="C331" s="5">
        <v>5</v>
      </c>
      <c r="D331" s="6" t="s">
        <v>287</v>
      </c>
      <c r="E331" s="9"/>
      <c r="F331" s="8">
        <f t="shared" si="6"/>
        <v>0</v>
      </c>
      <c r="G331" s="68"/>
      <c r="H331" s="23"/>
    </row>
    <row r="332" spans="1:8" ht="15.75" thickBot="1">
      <c r="A332" s="4">
        <v>2620</v>
      </c>
      <c r="B332" s="5">
        <v>308</v>
      </c>
      <c r="C332" s="5">
        <v>2</v>
      </c>
      <c r="D332" s="6" t="s">
        <v>288</v>
      </c>
      <c r="E332" s="9"/>
      <c r="F332" s="8">
        <f t="shared" si="6"/>
        <v>0</v>
      </c>
      <c r="G332" s="68"/>
      <c r="H332" s="23"/>
    </row>
    <row r="333" spans="1:8" ht="15.75" thickBot="1">
      <c r="A333" s="4">
        <v>2613</v>
      </c>
      <c r="B333" s="5">
        <v>309</v>
      </c>
      <c r="C333" s="5">
        <v>2</v>
      </c>
      <c r="D333" s="6" t="s">
        <v>289</v>
      </c>
      <c r="E333" s="9"/>
      <c r="F333" s="8">
        <f t="shared" si="6"/>
        <v>0</v>
      </c>
      <c r="G333" s="68"/>
      <c r="H333" s="23"/>
    </row>
    <row r="334" spans="1:8" ht="15.75" thickBot="1">
      <c r="A334" s="4">
        <v>2610</v>
      </c>
      <c r="B334" s="5">
        <v>310</v>
      </c>
      <c r="C334" s="5">
        <v>2</v>
      </c>
      <c r="D334" s="6" t="s">
        <v>290</v>
      </c>
      <c r="E334" s="9"/>
      <c r="F334" s="8">
        <f t="shared" si="6"/>
        <v>0</v>
      </c>
      <c r="G334" s="68"/>
      <c r="H334" s="23"/>
    </row>
    <row r="335" spans="1:8" ht="15.75" thickBot="1">
      <c r="A335" s="4">
        <v>335</v>
      </c>
      <c r="B335" s="5">
        <v>311</v>
      </c>
      <c r="C335" s="5">
        <v>10</v>
      </c>
      <c r="D335" s="6" t="s">
        <v>291</v>
      </c>
      <c r="E335" s="9"/>
      <c r="F335" s="8">
        <f t="shared" si="6"/>
        <v>0</v>
      </c>
      <c r="G335" s="68"/>
      <c r="H335" s="23"/>
    </row>
    <row r="336" spans="1:8" ht="15.75" thickBot="1">
      <c r="A336" s="4">
        <v>336</v>
      </c>
      <c r="B336" s="5">
        <v>312</v>
      </c>
      <c r="C336" s="5">
        <v>5</v>
      </c>
      <c r="D336" s="6" t="s">
        <v>292</v>
      </c>
      <c r="E336" s="9"/>
      <c r="F336" s="8">
        <f t="shared" si="6"/>
        <v>0</v>
      </c>
      <c r="G336" s="68"/>
      <c r="H336" s="23"/>
    </row>
    <row r="337" spans="1:8" ht="15.75" thickBot="1">
      <c r="A337" s="4">
        <v>2562</v>
      </c>
      <c r="B337" s="5">
        <v>313</v>
      </c>
      <c r="C337" s="5">
        <v>5</v>
      </c>
      <c r="D337" s="6" t="s">
        <v>293</v>
      </c>
      <c r="E337" s="9"/>
      <c r="F337" s="8">
        <f t="shared" si="6"/>
        <v>0</v>
      </c>
      <c r="G337" s="68"/>
      <c r="H337" s="23"/>
    </row>
    <row r="338" spans="1:8" ht="15.75" thickBot="1">
      <c r="A338" s="4">
        <v>338</v>
      </c>
      <c r="B338" s="5">
        <v>314</v>
      </c>
      <c r="C338" s="5">
        <v>5</v>
      </c>
      <c r="D338" s="6" t="s">
        <v>294</v>
      </c>
      <c r="E338" s="9"/>
      <c r="F338" s="8">
        <f t="shared" si="6"/>
        <v>0</v>
      </c>
      <c r="G338" s="68"/>
      <c r="H338" s="23"/>
    </row>
    <row r="339" spans="1:8" ht="15.75" thickBot="1">
      <c r="A339" s="4">
        <v>339</v>
      </c>
      <c r="B339" s="5">
        <v>315</v>
      </c>
      <c r="C339" s="5">
        <v>5</v>
      </c>
      <c r="D339" s="6" t="s">
        <v>295</v>
      </c>
      <c r="E339" s="9"/>
      <c r="F339" s="8">
        <f t="shared" si="6"/>
        <v>0</v>
      </c>
      <c r="G339" s="68"/>
      <c r="H339" s="23"/>
    </row>
    <row r="340" spans="1:8" ht="15.75" customHeight="1" thickBot="1">
      <c r="A340" s="4">
        <v>299</v>
      </c>
      <c r="B340" s="5">
        <v>316</v>
      </c>
      <c r="C340" s="5">
        <v>20</v>
      </c>
      <c r="D340" s="6" t="s">
        <v>296</v>
      </c>
      <c r="E340" s="9"/>
      <c r="F340" s="8">
        <f t="shared" si="6"/>
        <v>0</v>
      </c>
      <c r="G340" s="68"/>
      <c r="H340" s="23"/>
    </row>
    <row r="341" spans="1:8" ht="15.75" thickBot="1">
      <c r="A341" s="4">
        <v>300</v>
      </c>
      <c r="B341" s="5">
        <v>317</v>
      </c>
      <c r="C341" s="5">
        <v>20</v>
      </c>
      <c r="D341" s="6" t="s">
        <v>297</v>
      </c>
      <c r="E341" s="9"/>
      <c r="F341" s="8">
        <f t="shared" si="6"/>
        <v>0</v>
      </c>
      <c r="G341" s="68"/>
      <c r="H341" s="23"/>
    </row>
    <row r="342" spans="1:8" ht="15.75" thickBot="1">
      <c r="A342" s="4">
        <v>301</v>
      </c>
      <c r="B342" s="5">
        <v>318</v>
      </c>
      <c r="C342" s="5">
        <v>20</v>
      </c>
      <c r="D342" s="6" t="s">
        <v>298</v>
      </c>
      <c r="E342" s="9"/>
      <c r="F342" s="8">
        <f t="shared" si="6"/>
        <v>0</v>
      </c>
      <c r="G342" s="68"/>
      <c r="H342" s="23"/>
    </row>
    <row r="343" spans="1:8" ht="15.75" thickBot="1">
      <c r="A343" s="4">
        <v>2558</v>
      </c>
      <c r="B343" s="5">
        <v>319</v>
      </c>
      <c r="C343" s="5">
        <v>5</v>
      </c>
      <c r="D343" s="6" t="s">
        <v>299</v>
      </c>
      <c r="E343" s="9"/>
      <c r="F343" s="8">
        <f t="shared" si="6"/>
        <v>0</v>
      </c>
      <c r="G343" s="68"/>
      <c r="H343" s="23"/>
    </row>
    <row r="344" spans="1:8" ht="15.75" thickBot="1">
      <c r="A344" s="4">
        <v>2611</v>
      </c>
      <c r="B344" s="5">
        <v>320</v>
      </c>
      <c r="C344" s="5">
        <v>2</v>
      </c>
      <c r="D344" s="6" t="s">
        <v>300</v>
      </c>
      <c r="E344" s="9"/>
      <c r="F344" s="8">
        <f t="shared" si="6"/>
        <v>0</v>
      </c>
      <c r="G344" s="68"/>
      <c r="H344" s="23"/>
    </row>
    <row r="345" spans="1:8" ht="15.75" thickBot="1">
      <c r="A345" s="4">
        <v>2612</v>
      </c>
      <c r="B345" s="5">
        <v>321</v>
      </c>
      <c r="C345" s="5">
        <v>2</v>
      </c>
      <c r="D345" s="6" t="s">
        <v>301</v>
      </c>
      <c r="E345" s="9"/>
      <c r="F345" s="8">
        <f t="shared" si="6"/>
        <v>0</v>
      </c>
      <c r="G345" s="68"/>
      <c r="H345" s="23"/>
    </row>
    <row r="346" spans="1:8" ht="15.75" thickBot="1">
      <c r="A346" s="4">
        <v>2617</v>
      </c>
      <c r="B346" s="5">
        <v>322</v>
      </c>
      <c r="C346" s="5">
        <v>2</v>
      </c>
      <c r="D346" s="6" t="s">
        <v>302</v>
      </c>
      <c r="E346" s="9"/>
      <c r="F346" s="8">
        <f t="shared" si="6"/>
        <v>0</v>
      </c>
      <c r="G346" s="68"/>
      <c r="H346" s="23"/>
    </row>
    <row r="347" spans="1:8" ht="15.75" thickBot="1">
      <c r="A347" s="4">
        <v>2621</v>
      </c>
      <c r="B347" s="5">
        <v>323</v>
      </c>
      <c r="C347" s="5">
        <v>2</v>
      </c>
      <c r="D347" s="6" t="s">
        <v>303</v>
      </c>
      <c r="E347" s="9"/>
      <c r="F347" s="8">
        <f t="shared" si="6"/>
        <v>0</v>
      </c>
      <c r="G347" s="68"/>
      <c r="H347" s="23"/>
    </row>
    <row r="348" spans="1:8" ht="15.75" thickBot="1">
      <c r="A348" s="4">
        <v>2595</v>
      </c>
      <c r="B348" s="5">
        <v>324</v>
      </c>
      <c r="C348" s="5">
        <v>2</v>
      </c>
      <c r="D348" s="6" t="s">
        <v>304</v>
      </c>
      <c r="E348" s="9"/>
      <c r="F348" s="8">
        <f t="shared" si="6"/>
        <v>0</v>
      </c>
      <c r="G348" s="68"/>
      <c r="H348" s="23"/>
    </row>
    <row r="349" spans="1:8" ht="15.75" thickBot="1">
      <c r="A349" s="4">
        <v>2618</v>
      </c>
      <c r="B349" s="5">
        <v>325</v>
      </c>
      <c r="C349" s="5">
        <v>2</v>
      </c>
      <c r="D349" s="6" t="s">
        <v>305</v>
      </c>
      <c r="E349" s="9"/>
      <c r="F349" s="8">
        <f t="shared" si="6"/>
        <v>0</v>
      </c>
      <c r="G349" s="68"/>
      <c r="H349" s="23"/>
    </row>
    <row r="350" spans="1:8" ht="15.75" thickBot="1">
      <c r="A350" s="72" t="s">
        <v>321</v>
      </c>
      <c r="B350" s="73"/>
      <c r="C350" s="73"/>
      <c r="D350" s="73"/>
      <c r="E350" s="73"/>
      <c r="F350" s="73"/>
      <c r="G350" s="73"/>
      <c r="H350" s="74"/>
    </row>
    <row r="351" spans="1:8" ht="15.75" thickBot="1">
      <c r="A351" s="4">
        <v>293</v>
      </c>
      <c r="B351" s="5">
        <v>326</v>
      </c>
      <c r="C351" s="5">
        <v>2</v>
      </c>
      <c r="D351" s="6" t="s">
        <v>69</v>
      </c>
      <c r="E351" s="9"/>
      <c r="F351" s="8">
        <f t="shared" ref="F351:F390" si="7">E351*C351</f>
        <v>0</v>
      </c>
      <c r="G351" s="68"/>
      <c r="H351" s="23"/>
    </row>
    <row r="352" spans="1:8" ht="15.75" thickBot="1">
      <c r="A352" s="4">
        <v>296</v>
      </c>
      <c r="B352" s="5">
        <v>327</v>
      </c>
      <c r="C352" s="5">
        <v>100</v>
      </c>
      <c r="D352" s="6" t="s">
        <v>70</v>
      </c>
      <c r="E352" s="9"/>
      <c r="F352" s="8">
        <f t="shared" si="7"/>
        <v>0</v>
      </c>
      <c r="G352" s="68"/>
      <c r="H352" s="23"/>
    </row>
    <row r="353" spans="1:8" ht="15.75" thickBot="1">
      <c r="A353" s="4">
        <v>308</v>
      </c>
      <c r="B353" s="5">
        <v>328</v>
      </c>
      <c r="C353" s="5">
        <v>100</v>
      </c>
      <c r="D353" s="6" t="s">
        <v>71</v>
      </c>
      <c r="E353" s="9"/>
      <c r="F353" s="8">
        <f t="shared" si="7"/>
        <v>0</v>
      </c>
      <c r="G353" s="68"/>
      <c r="H353" s="23"/>
    </row>
    <row r="354" spans="1:8" ht="15.75" thickBot="1">
      <c r="A354" s="4">
        <v>294</v>
      </c>
      <c r="B354" s="5">
        <v>329</v>
      </c>
      <c r="C354" s="5">
        <v>2</v>
      </c>
      <c r="D354" s="6" t="s">
        <v>72</v>
      </c>
      <c r="E354" s="9"/>
      <c r="F354" s="8">
        <f t="shared" si="7"/>
        <v>0</v>
      </c>
      <c r="G354" s="68"/>
      <c r="H354" s="23"/>
    </row>
    <row r="355" spans="1:8" ht="15.75" thickBot="1">
      <c r="A355" s="4">
        <v>297</v>
      </c>
      <c r="B355" s="5">
        <v>330</v>
      </c>
      <c r="C355" s="5">
        <v>30</v>
      </c>
      <c r="D355" s="6" t="s">
        <v>73</v>
      </c>
      <c r="E355" s="9"/>
      <c r="F355" s="8">
        <f t="shared" si="7"/>
        <v>0</v>
      </c>
      <c r="G355" s="68"/>
      <c r="H355" s="23"/>
    </row>
    <row r="356" spans="1:8" ht="15.75" thickBot="1">
      <c r="A356" s="4">
        <v>309</v>
      </c>
      <c r="B356" s="5">
        <v>331</v>
      </c>
      <c r="C356" s="5">
        <v>15</v>
      </c>
      <c r="D356" s="6" t="s">
        <v>74</v>
      </c>
      <c r="E356" s="9"/>
      <c r="F356" s="8">
        <f t="shared" si="7"/>
        <v>0</v>
      </c>
      <c r="G356" s="68"/>
      <c r="H356" s="23"/>
    </row>
    <row r="357" spans="1:8" ht="15.75" thickBot="1">
      <c r="A357" s="4">
        <v>295</v>
      </c>
      <c r="B357" s="5">
        <v>332</v>
      </c>
      <c r="C357" s="5">
        <v>2</v>
      </c>
      <c r="D357" s="6" t="s">
        <v>75</v>
      </c>
      <c r="E357" s="9"/>
      <c r="F357" s="8">
        <f t="shared" si="7"/>
        <v>0</v>
      </c>
      <c r="G357" s="68"/>
      <c r="H357" s="23"/>
    </row>
    <row r="358" spans="1:8" ht="15.75" thickBot="1">
      <c r="A358" s="4">
        <v>298</v>
      </c>
      <c r="B358" s="5">
        <v>333</v>
      </c>
      <c r="C358" s="5">
        <v>10</v>
      </c>
      <c r="D358" s="6" t="s">
        <v>76</v>
      </c>
      <c r="E358" s="9"/>
      <c r="F358" s="8">
        <f t="shared" si="7"/>
        <v>0</v>
      </c>
      <c r="G358" s="68"/>
      <c r="H358" s="23"/>
    </row>
    <row r="359" spans="1:8" ht="15.75" thickBot="1">
      <c r="A359" s="4">
        <v>310</v>
      </c>
      <c r="B359" s="5">
        <v>334</v>
      </c>
      <c r="C359" s="5">
        <v>10</v>
      </c>
      <c r="D359" s="6" t="s">
        <v>77</v>
      </c>
      <c r="E359" s="9"/>
      <c r="F359" s="8">
        <f t="shared" si="7"/>
        <v>0</v>
      </c>
      <c r="G359" s="68"/>
      <c r="H359" s="23"/>
    </row>
    <row r="360" spans="1:8" ht="15.75" thickBot="1">
      <c r="A360" s="4">
        <v>2616</v>
      </c>
      <c r="B360" s="5">
        <v>335</v>
      </c>
      <c r="C360" s="5">
        <v>5</v>
      </c>
      <c r="D360" s="6" t="s">
        <v>78</v>
      </c>
      <c r="E360" s="9"/>
      <c r="F360" s="8">
        <f t="shared" si="7"/>
        <v>0</v>
      </c>
      <c r="G360" s="68"/>
      <c r="H360" s="23"/>
    </row>
    <row r="361" spans="1:8" ht="15.75" thickBot="1">
      <c r="A361" s="4">
        <v>2615</v>
      </c>
      <c r="B361" s="5">
        <v>336</v>
      </c>
      <c r="C361" s="5">
        <v>2</v>
      </c>
      <c r="D361" s="6" t="s">
        <v>79</v>
      </c>
      <c r="E361" s="9"/>
      <c r="F361" s="8">
        <f t="shared" si="7"/>
        <v>0</v>
      </c>
      <c r="G361" s="68"/>
      <c r="H361" s="23"/>
    </row>
    <row r="362" spans="1:8" ht="15.75" thickBot="1">
      <c r="A362" s="4">
        <v>2583</v>
      </c>
      <c r="B362" s="5">
        <v>337</v>
      </c>
      <c r="C362" s="5">
        <v>2</v>
      </c>
      <c r="D362" s="6" t="s">
        <v>80</v>
      </c>
      <c r="E362" s="9"/>
      <c r="F362" s="8">
        <f t="shared" si="7"/>
        <v>0</v>
      </c>
      <c r="G362" s="68"/>
      <c r="H362" s="23"/>
    </row>
    <row r="363" spans="1:8" ht="15.75" thickBot="1">
      <c r="A363" s="4">
        <v>2582</v>
      </c>
      <c r="B363" s="5">
        <v>338</v>
      </c>
      <c r="C363" s="5">
        <v>2</v>
      </c>
      <c r="D363" s="6" t="s">
        <v>81</v>
      </c>
      <c r="E363" s="9"/>
      <c r="F363" s="8">
        <f t="shared" si="7"/>
        <v>0</v>
      </c>
      <c r="G363" s="68"/>
      <c r="H363" s="23"/>
    </row>
    <row r="364" spans="1:8" ht="15.75" thickBot="1">
      <c r="A364" s="4">
        <v>2581</v>
      </c>
      <c r="B364" s="5">
        <v>339</v>
      </c>
      <c r="C364" s="5">
        <v>2</v>
      </c>
      <c r="D364" s="6" t="s">
        <v>82</v>
      </c>
      <c r="E364" s="9"/>
      <c r="F364" s="8">
        <f t="shared" si="7"/>
        <v>0</v>
      </c>
      <c r="G364" s="68"/>
      <c r="H364" s="23"/>
    </row>
    <row r="365" spans="1:8" ht="15.75" thickBot="1">
      <c r="A365" s="4">
        <v>2592</v>
      </c>
      <c r="B365" s="5">
        <v>340</v>
      </c>
      <c r="C365" s="5">
        <v>2</v>
      </c>
      <c r="D365" s="6" t="s">
        <v>83</v>
      </c>
      <c r="E365" s="9"/>
      <c r="F365" s="8">
        <f t="shared" si="7"/>
        <v>0</v>
      </c>
      <c r="G365" s="68"/>
      <c r="H365" s="23"/>
    </row>
    <row r="366" spans="1:8" ht="15.75" thickBot="1">
      <c r="A366" s="4">
        <v>2591</v>
      </c>
      <c r="B366" s="5">
        <v>341</v>
      </c>
      <c r="C366" s="5">
        <v>2</v>
      </c>
      <c r="D366" s="6" t="s">
        <v>84</v>
      </c>
      <c r="E366" s="9"/>
      <c r="F366" s="8">
        <f t="shared" si="7"/>
        <v>0</v>
      </c>
      <c r="G366" s="68"/>
      <c r="H366" s="23"/>
    </row>
    <row r="367" spans="1:8" ht="15.75" thickBot="1">
      <c r="A367" s="4">
        <v>2590</v>
      </c>
      <c r="B367" s="5">
        <v>342</v>
      </c>
      <c r="C367" s="5">
        <v>2</v>
      </c>
      <c r="D367" s="6" t="s">
        <v>85</v>
      </c>
      <c r="E367" s="9"/>
      <c r="F367" s="8">
        <f t="shared" si="7"/>
        <v>0</v>
      </c>
      <c r="G367" s="68"/>
      <c r="H367" s="23"/>
    </row>
    <row r="368" spans="1:8" ht="15.75" thickBot="1">
      <c r="A368" s="4">
        <v>2597</v>
      </c>
      <c r="B368" s="5">
        <v>343</v>
      </c>
      <c r="C368" s="5">
        <v>2</v>
      </c>
      <c r="D368" s="6" t="s">
        <v>86</v>
      </c>
      <c r="E368" s="9"/>
      <c r="F368" s="8">
        <f t="shared" si="7"/>
        <v>0</v>
      </c>
      <c r="G368" s="68"/>
      <c r="H368" s="23"/>
    </row>
    <row r="369" spans="1:8" ht="15.75" thickBot="1">
      <c r="A369" s="4">
        <v>2598</v>
      </c>
      <c r="B369" s="5">
        <v>344</v>
      </c>
      <c r="C369" s="5">
        <v>2</v>
      </c>
      <c r="D369" s="6" t="s">
        <v>87</v>
      </c>
      <c r="E369" s="9"/>
      <c r="F369" s="8">
        <f t="shared" si="7"/>
        <v>0</v>
      </c>
      <c r="G369" s="68"/>
      <c r="H369" s="23"/>
    </row>
    <row r="370" spans="1:8" ht="15.75" thickBot="1">
      <c r="A370" s="4">
        <v>2599</v>
      </c>
      <c r="B370" s="5">
        <v>345</v>
      </c>
      <c r="C370" s="5">
        <v>2</v>
      </c>
      <c r="D370" s="6" t="s">
        <v>88</v>
      </c>
      <c r="E370" s="9"/>
      <c r="F370" s="8">
        <f t="shared" si="7"/>
        <v>0</v>
      </c>
      <c r="G370" s="68"/>
      <c r="H370" s="23"/>
    </row>
    <row r="371" spans="1:8" ht="15.75" thickBot="1">
      <c r="A371" s="4">
        <v>2600</v>
      </c>
      <c r="B371" s="5">
        <v>346</v>
      </c>
      <c r="C371" s="5">
        <v>2</v>
      </c>
      <c r="D371" s="6" t="s">
        <v>89</v>
      </c>
      <c r="E371" s="9"/>
      <c r="F371" s="8">
        <f t="shared" si="7"/>
        <v>0</v>
      </c>
      <c r="G371" s="68"/>
      <c r="H371" s="23"/>
    </row>
    <row r="372" spans="1:8" ht="15.75" thickBot="1">
      <c r="A372" s="4">
        <v>2552</v>
      </c>
      <c r="B372" s="5">
        <v>347</v>
      </c>
      <c r="C372" s="5">
        <v>2</v>
      </c>
      <c r="D372" s="6" t="s">
        <v>90</v>
      </c>
      <c r="E372" s="9"/>
      <c r="F372" s="8">
        <f t="shared" si="7"/>
        <v>0</v>
      </c>
      <c r="G372" s="68"/>
      <c r="H372" s="23"/>
    </row>
    <row r="373" spans="1:8" ht="15.75" thickBot="1">
      <c r="A373" s="4">
        <v>2609</v>
      </c>
      <c r="B373" s="5">
        <v>348</v>
      </c>
      <c r="C373" s="5">
        <v>2</v>
      </c>
      <c r="D373" s="6" t="s">
        <v>91</v>
      </c>
      <c r="E373" s="9"/>
      <c r="F373" s="8">
        <f t="shared" si="7"/>
        <v>0</v>
      </c>
      <c r="G373" s="68"/>
      <c r="H373" s="23"/>
    </row>
    <row r="374" spans="1:8" ht="15.75" thickBot="1">
      <c r="A374" s="4">
        <v>326</v>
      </c>
      <c r="B374" s="5">
        <v>349</v>
      </c>
      <c r="C374" s="5">
        <v>20</v>
      </c>
      <c r="D374" s="6" t="s">
        <v>92</v>
      </c>
      <c r="E374" s="9"/>
      <c r="F374" s="8">
        <f t="shared" si="7"/>
        <v>0</v>
      </c>
      <c r="G374" s="68"/>
      <c r="H374" s="23"/>
    </row>
    <row r="375" spans="1:8" ht="15.75" thickBot="1">
      <c r="A375" s="4">
        <v>327</v>
      </c>
      <c r="B375" s="5">
        <v>350</v>
      </c>
      <c r="C375" s="5">
        <v>10</v>
      </c>
      <c r="D375" s="6" t="s">
        <v>93</v>
      </c>
      <c r="E375" s="9"/>
      <c r="F375" s="8">
        <f t="shared" si="7"/>
        <v>0</v>
      </c>
      <c r="G375" s="68"/>
      <c r="H375" s="23"/>
    </row>
    <row r="376" spans="1:8" ht="15.75" thickBot="1">
      <c r="A376" s="4">
        <v>328</v>
      </c>
      <c r="B376" s="5">
        <v>351</v>
      </c>
      <c r="C376" s="5">
        <v>5</v>
      </c>
      <c r="D376" s="6" t="s">
        <v>94</v>
      </c>
      <c r="E376" s="9"/>
      <c r="F376" s="8">
        <f t="shared" si="7"/>
        <v>0</v>
      </c>
      <c r="G376" s="68"/>
      <c r="H376" s="23"/>
    </row>
    <row r="377" spans="1:8" ht="15.75" thickBot="1">
      <c r="A377" s="4">
        <v>2614</v>
      </c>
      <c r="B377" s="5">
        <v>352</v>
      </c>
      <c r="C377" s="5">
        <v>2</v>
      </c>
      <c r="D377" s="6" t="s">
        <v>95</v>
      </c>
      <c r="E377" s="9"/>
      <c r="F377" s="8">
        <f t="shared" si="7"/>
        <v>0</v>
      </c>
      <c r="G377" s="68"/>
      <c r="H377" s="23"/>
    </row>
    <row r="378" spans="1:8" ht="15.75" thickBot="1">
      <c r="A378" s="4">
        <v>2596</v>
      </c>
      <c r="B378" s="5">
        <v>353</v>
      </c>
      <c r="C378" s="5">
        <v>2</v>
      </c>
      <c r="D378" s="6" t="s">
        <v>96</v>
      </c>
      <c r="E378" s="9"/>
      <c r="F378" s="8">
        <f t="shared" si="7"/>
        <v>0</v>
      </c>
      <c r="G378" s="68"/>
      <c r="H378" s="23"/>
    </row>
    <row r="379" spans="1:8" ht="15.75" thickBot="1">
      <c r="A379" s="4">
        <v>2602</v>
      </c>
      <c r="B379" s="5">
        <v>354</v>
      </c>
      <c r="C379" s="5">
        <v>2</v>
      </c>
      <c r="D379" s="6" t="s">
        <v>97</v>
      </c>
      <c r="E379" s="9"/>
      <c r="F379" s="8">
        <f t="shared" si="7"/>
        <v>0</v>
      </c>
      <c r="G379" s="68"/>
      <c r="H379" s="23"/>
    </row>
    <row r="380" spans="1:8" ht="15.75" thickBot="1">
      <c r="A380" s="4">
        <v>2601</v>
      </c>
      <c r="B380" s="5">
        <v>355</v>
      </c>
      <c r="C380" s="5">
        <v>2</v>
      </c>
      <c r="D380" s="6" t="s">
        <v>98</v>
      </c>
      <c r="E380" s="9"/>
      <c r="F380" s="8">
        <f t="shared" si="7"/>
        <v>0</v>
      </c>
      <c r="G380" s="68"/>
      <c r="H380" s="23"/>
    </row>
    <row r="381" spans="1:8" ht="15.75" thickBot="1">
      <c r="A381" s="4">
        <v>2603</v>
      </c>
      <c r="B381" s="5">
        <v>356</v>
      </c>
      <c r="C381" s="5">
        <v>2</v>
      </c>
      <c r="D381" s="6" t="s">
        <v>99</v>
      </c>
      <c r="E381" s="9"/>
      <c r="F381" s="8">
        <f t="shared" si="7"/>
        <v>0</v>
      </c>
      <c r="G381" s="68"/>
      <c r="H381" s="23"/>
    </row>
    <row r="382" spans="1:8" ht="15.75" thickBot="1">
      <c r="A382" s="4">
        <v>2604</v>
      </c>
      <c r="B382" s="5">
        <v>357</v>
      </c>
      <c r="C382" s="5">
        <v>2</v>
      </c>
      <c r="D382" s="6" t="s">
        <v>100</v>
      </c>
      <c r="E382" s="9"/>
      <c r="F382" s="8">
        <f t="shared" si="7"/>
        <v>0</v>
      </c>
      <c r="G382" s="68"/>
      <c r="H382" s="23"/>
    </row>
    <row r="383" spans="1:8" ht="15.75" thickBot="1">
      <c r="A383" s="4">
        <v>311</v>
      </c>
      <c r="B383" s="5">
        <v>358</v>
      </c>
      <c r="C383" s="5">
        <v>2</v>
      </c>
      <c r="D383" s="6" t="s">
        <v>101</v>
      </c>
      <c r="E383" s="9"/>
      <c r="F383" s="8">
        <f t="shared" si="7"/>
        <v>0</v>
      </c>
      <c r="G383" s="68"/>
      <c r="H383" s="23"/>
    </row>
    <row r="384" spans="1:8" ht="15.75" thickBot="1">
      <c r="A384" s="4">
        <v>301</v>
      </c>
      <c r="B384" s="5">
        <v>359</v>
      </c>
      <c r="C384" s="5">
        <v>2</v>
      </c>
      <c r="D384" s="6" t="s">
        <v>102</v>
      </c>
      <c r="E384" s="9"/>
      <c r="F384" s="8">
        <f t="shared" si="7"/>
        <v>0</v>
      </c>
      <c r="G384" s="68"/>
      <c r="H384" s="23"/>
    </row>
    <row r="385" spans="1:8" ht="15.75" thickBot="1">
      <c r="A385" s="11">
        <v>2571</v>
      </c>
      <c r="B385" s="5">
        <v>360</v>
      </c>
      <c r="C385" s="12">
        <v>20</v>
      </c>
      <c r="D385" s="14" t="s">
        <v>103</v>
      </c>
      <c r="E385" s="13"/>
      <c r="F385" s="8">
        <f t="shared" si="7"/>
        <v>0</v>
      </c>
      <c r="G385" s="68"/>
      <c r="H385" s="23"/>
    </row>
    <row r="386" spans="1:8" ht="15.75" thickBot="1">
      <c r="A386" s="4">
        <v>2570</v>
      </c>
      <c r="B386" s="5">
        <v>361</v>
      </c>
      <c r="C386" s="5">
        <v>25</v>
      </c>
      <c r="D386" s="34" t="s">
        <v>104</v>
      </c>
      <c r="E386" s="9"/>
      <c r="F386" s="8">
        <f t="shared" si="7"/>
        <v>0</v>
      </c>
      <c r="G386" s="68"/>
      <c r="H386" s="23"/>
    </row>
    <row r="387" spans="1:8" ht="15.75" thickBot="1">
      <c r="A387" s="4">
        <v>314</v>
      </c>
      <c r="B387" s="5">
        <v>362</v>
      </c>
      <c r="C387" s="5">
        <v>25</v>
      </c>
      <c r="D387" s="35" t="s">
        <v>325</v>
      </c>
      <c r="E387" s="9"/>
      <c r="F387" s="8">
        <f t="shared" si="7"/>
        <v>0</v>
      </c>
      <c r="G387" s="68"/>
      <c r="H387" s="23"/>
    </row>
    <row r="388" spans="1:8" ht="15.75" thickBot="1">
      <c r="A388" s="4">
        <v>315</v>
      </c>
      <c r="B388" s="5">
        <v>363</v>
      </c>
      <c r="C388" s="5">
        <v>25</v>
      </c>
      <c r="D388" s="36" t="s">
        <v>324</v>
      </c>
      <c r="E388" s="9"/>
      <c r="F388" s="8">
        <f t="shared" si="7"/>
        <v>0</v>
      </c>
      <c r="G388" s="68"/>
      <c r="H388" s="23"/>
    </row>
    <row r="389" spans="1:8" ht="15.75" thickBot="1">
      <c r="A389" s="4">
        <v>827</v>
      </c>
      <c r="B389" s="5">
        <v>364</v>
      </c>
      <c r="C389" s="5">
        <v>25</v>
      </c>
      <c r="D389" s="37" t="s">
        <v>326</v>
      </c>
      <c r="E389" s="9"/>
      <c r="F389" s="8">
        <f t="shared" si="7"/>
        <v>0</v>
      </c>
      <c r="G389" s="68"/>
      <c r="H389" s="23"/>
    </row>
    <row r="390" spans="1:8" ht="15.75" thickBot="1">
      <c r="A390" s="4">
        <v>2874</v>
      </c>
      <c r="B390" s="5">
        <v>365</v>
      </c>
      <c r="C390" s="5">
        <v>25</v>
      </c>
      <c r="D390" s="37" t="s">
        <v>327</v>
      </c>
      <c r="E390" s="9"/>
      <c r="F390" s="8">
        <f t="shared" si="7"/>
        <v>0</v>
      </c>
      <c r="G390" s="68"/>
      <c r="H390" s="23"/>
    </row>
    <row r="391" spans="1:8" ht="15.75" thickBot="1">
      <c r="A391" s="4">
        <v>2563</v>
      </c>
      <c r="B391" s="5">
        <v>366</v>
      </c>
      <c r="C391" s="5">
        <v>10</v>
      </c>
      <c r="D391" s="6" t="s">
        <v>105</v>
      </c>
      <c r="E391" s="9"/>
      <c r="F391" s="8">
        <f t="shared" ref="F391:F409" si="8">E391*C391</f>
        <v>0</v>
      </c>
      <c r="G391" s="68"/>
      <c r="H391" s="23"/>
    </row>
    <row r="392" spans="1:8" ht="15.75" thickBot="1">
      <c r="A392" s="4">
        <v>313</v>
      </c>
      <c r="B392" s="5">
        <v>367</v>
      </c>
      <c r="C392" s="5">
        <v>20</v>
      </c>
      <c r="D392" s="6" t="s">
        <v>106</v>
      </c>
      <c r="E392" s="9"/>
      <c r="F392" s="8">
        <f t="shared" si="8"/>
        <v>0</v>
      </c>
      <c r="G392" s="68"/>
      <c r="H392" s="23"/>
    </row>
    <row r="393" spans="1:8" ht="15.75" thickBot="1">
      <c r="A393" s="4">
        <v>316</v>
      </c>
      <c r="B393" s="5">
        <v>368</v>
      </c>
      <c r="C393" s="5">
        <v>5</v>
      </c>
      <c r="D393" s="6" t="s">
        <v>107</v>
      </c>
      <c r="E393" s="9"/>
      <c r="F393" s="8">
        <f t="shared" si="8"/>
        <v>0</v>
      </c>
      <c r="G393" s="68"/>
      <c r="H393" s="23"/>
    </row>
    <row r="394" spans="1:8" ht="15.75" thickBot="1">
      <c r="A394" s="4">
        <v>320</v>
      </c>
      <c r="B394" s="5">
        <v>369</v>
      </c>
      <c r="C394" s="5">
        <v>5</v>
      </c>
      <c r="D394" s="6" t="s">
        <v>108</v>
      </c>
      <c r="E394" s="9"/>
      <c r="F394" s="8">
        <f t="shared" si="8"/>
        <v>0</v>
      </c>
      <c r="G394" s="68"/>
      <c r="H394" s="23"/>
    </row>
    <row r="395" spans="1:8" ht="15.75" thickBot="1">
      <c r="A395" s="4">
        <v>321</v>
      </c>
      <c r="B395" s="5">
        <v>370</v>
      </c>
      <c r="C395" s="5">
        <v>5</v>
      </c>
      <c r="D395" s="6" t="s">
        <v>109</v>
      </c>
      <c r="E395" s="9"/>
      <c r="F395" s="8">
        <f t="shared" si="8"/>
        <v>0</v>
      </c>
      <c r="G395" s="68"/>
      <c r="H395" s="23"/>
    </row>
    <row r="396" spans="1:8" ht="15.75" thickBot="1">
      <c r="A396" s="4">
        <v>2554</v>
      </c>
      <c r="B396" s="5">
        <v>371</v>
      </c>
      <c r="C396" s="5">
        <v>2</v>
      </c>
      <c r="D396" s="6" t="s">
        <v>110</v>
      </c>
      <c r="E396" s="9"/>
      <c r="F396" s="8">
        <f t="shared" si="8"/>
        <v>0</v>
      </c>
      <c r="G396" s="68"/>
      <c r="H396" s="23"/>
    </row>
    <row r="397" spans="1:8" ht="15.75" thickBot="1">
      <c r="A397" s="4">
        <v>2555</v>
      </c>
      <c r="B397" s="5">
        <v>372</v>
      </c>
      <c r="C397" s="5">
        <v>2</v>
      </c>
      <c r="D397" s="6" t="s">
        <v>111</v>
      </c>
      <c r="E397" s="9"/>
      <c r="F397" s="8">
        <f t="shared" si="8"/>
        <v>0</v>
      </c>
      <c r="G397" s="68"/>
      <c r="H397" s="23"/>
    </row>
    <row r="398" spans="1:8" ht="15.75" thickBot="1">
      <c r="A398" s="4">
        <v>2556</v>
      </c>
      <c r="B398" s="5">
        <v>373</v>
      </c>
      <c r="C398" s="5">
        <v>2</v>
      </c>
      <c r="D398" s="6" t="s">
        <v>112</v>
      </c>
      <c r="E398" s="9"/>
      <c r="F398" s="8">
        <f t="shared" si="8"/>
        <v>0</v>
      </c>
      <c r="G398" s="68"/>
      <c r="H398" s="23"/>
    </row>
    <row r="399" spans="1:8" ht="15.75" thickBot="1">
      <c r="A399" s="4">
        <v>2559</v>
      </c>
      <c r="B399" s="5">
        <v>374</v>
      </c>
      <c r="C399" s="5">
        <v>2</v>
      </c>
      <c r="D399" s="6" t="s">
        <v>113</v>
      </c>
      <c r="E399" s="9"/>
      <c r="F399" s="8">
        <f t="shared" si="8"/>
        <v>0</v>
      </c>
      <c r="G399" s="68"/>
      <c r="H399" s="23"/>
    </row>
    <row r="400" spans="1:8" ht="15.75" thickBot="1">
      <c r="A400" s="54">
        <v>317</v>
      </c>
      <c r="B400" s="5">
        <v>375</v>
      </c>
      <c r="C400" s="5">
        <v>5</v>
      </c>
      <c r="D400" s="6" t="s">
        <v>311</v>
      </c>
      <c r="E400" s="9"/>
      <c r="F400" s="8">
        <f t="shared" si="8"/>
        <v>0</v>
      </c>
      <c r="G400" s="68"/>
      <c r="H400" s="23"/>
    </row>
    <row r="401" spans="1:8" ht="15.75" thickBot="1">
      <c r="A401" s="54">
        <v>318</v>
      </c>
      <c r="B401" s="5">
        <v>376</v>
      </c>
      <c r="C401" s="5">
        <v>5</v>
      </c>
      <c r="D401" s="6" t="s">
        <v>312</v>
      </c>
      <c r="E401" s="9"/>
      <c r="F401" s="8">
        <f t="shared" si="8"/>
        <v>0</v>
      </c>
      <c r="G401" s="68"/>
      <c r="H401" s="23"/>
    </row>
    <row r="402" spans="1:8" ht="15.75" thickBot="1">
      <c r="A402" s="4">
        <v>2587</v>
      </c>
      <c r="B402" s="5">
        <v>377</v>
      </c>
      <c r="C402" s="5">
        <v>2</v>
      </c>
      <c r="D402" s="6" t="s">
        <v>114</v>
      </c>
      <c r="E402" s="9"/>
      <c r="F402" s="8">
        <f t="shared" si="8"/>
        <v>0</v>
      </c>
      <c r="G402" s="68"/>
      <c r="H402" s="23"/>
    </row>
    <row r="403" spans="1:8" ht="15.75" thickBot="1">
      <c r="A403" s="4">
        <v>2594</v>
      </c>
      <c r="B403" s="5">
        <v>378</v>
      </c>
      <c r="C403" s="5">
        <v>2</v>
      </c>
      <c r="D403" s="6" t="s">
        <v>115</v>
      </c>
      <c r="E403" s="9"/>
      <c r="F403" s="8">
        <f t="shared" si="8"/>
        <v>0</v>
      </c>
      <c r="G403" s="68"/>
      <c r="H403" s="23"/>
    </row>
    <row r="404" spans="1:8" ht="15.75" thickBot="1">
      <c r="A404" s="4">
        <v>2606</v>
      </c>
      <c r="B404" s="5">
        <v>379</v>
      </c>
      <c r="C404" s="5">
        <v>2</v>
      </c>
      <c r="D404" s="6" t="s">
        <v>116</v>
      </c>
      <c r="E404" s="9"/>
      <c r="F404" s="8">
        <f t="shared" si="8"/>
        <v>0</v>
      </c>
      <c r="G404" s="68"/>
      <c r="H404" s="23"/>
    </row>
    <row r="405" spans="1:8" ht="15.75" thickBot="1">
      <c r="A405" s="4">
        <v>2605</v>
      </c>
      <c r="B405" s="5">
        <v>380</v>
      </c>
      <c r="C405" s="5">
        <v>2</v>
      </c>
      <c r="D405" s="6" t="s">
        <v>117</v>
      </c>
      <c r="E405" s="9"/>
      <c r="F405" s="8">
        <f t="shared" si="8"/>
        <v>0</v>
      </c>
      <c r="G405" s="68"/>
      <c r="H405" s="23"/>
    </row>
    <row r="406" spans="1:8" ht="15.75" thickBot="1">
      <c r="A406" s="4">
        <v>2565</v>
      </c>
      <c r="B406" s="5">
        <v>381</v>
      </c>
      <c r="C406" s="5">
        <v>2</v>
      </c>
      <c r="D406" s="6" t="s">
        <v>118</v>
      </c>
      <c r="E406" s="9"/>
      <c r="F406" s="8">
        <f t="shared" si="8"/>
        <v>0</v>
      </c>
      <c r="G406" s="68"/>
      <c r="H406" s="23"/>
    </row>
    <row r="407" spans="1:8" ht="15.75" thickBot="1">
      <c r="A407" s="4">
        <v>2566</v>
      </c>
      <c r="B407" s="5">
        <v>382</v>
      </c>
      <c r="C407" s="5">
        <v>5</v>
      </c>
      <c r="D407" s="6" t="s">
        <v>119</v>
      </c>
      <c r="E407" s="9"/>
      <c r="F407" s="8">
        <f t="shared" si="8"/>
        <v>0</v>
      </c>
      <c r="G407" s="68"/>
      <c r="H407" s="23"/>
    </row>
    <row r="408" spans="1:8" ht="15.75" thickBot="1">
      <c r="A408" s="4">
        <v>2567</v>
      </c>
      <c r="B408" s="5">
        <v>383</v>
      </c>
      <c r="C408" s="5">
        <v>2</v>
      </c>
      <c r="D408" s="6" t="s">
        <v>120</v>
      </c>
      <c r="E408" s="9"/>
      <c r="F408" s="8">
        <f t="shared" si="8"/>
        <v>0</v>
      </c>
      <c r="G408" s="68"/>
      <c r="H408" s="23"/>
    </row>
    <row r="409" spans="1:8" ht="15.75" thickBot="1">
      <c r="A409" s="17"/>
      <c r="B409" s="18"/>
      <c r="C409" s="18"/>
      <c r="D409" s="20"/>
      <c r="E409" s="19"/>
      <c r="F409" s="8">
        <f t="shared" si="8"/>
        <v>0</v>
      </c>
      <c r="G409" s="68"/>
      <c r="H409" s="23"/>
    </row>
    <row r="410" spans="1:8" ht="16.5" thickBot="1">
      <c r="A410" s="25" t="s">
        <v>308</v>
      </c>
      <c r="B410" s="25"/>
      <c r="C410" s="25"/>
      <c r="D410" s="26"/>
      <c r="E410" s="27"/>
      <c r="F410" s="38"/>
      <c r="G410" s="38"/>
      <c r="H410" s="28"/>
    </row>
    <row r="411" spans="1:8" ht="15.75" thickBot="1">
      <c r="A411" s="29"/>
      <c r="B411" s="30"/>
      <c r="C411" s="30"/>
      <c r="D411" s="31"/>
      <c r="E411" s="32"/>
      <c r="F411" s="33"/>
      <c r="G411" s="33"/>
      <c r="H411" s="22"/>
    </row>
  </sheetData>
  <sheetProtection password="D05D" sheet="1" objects="1" scenarios="1" formatCells="0" formatColumns="0" selectLockedCells="1"/>
  <protectedRanges>
    <protectedRange sqref="E5:E282 E284:E409" name="Range1"/>
  </protectedRanges>
  <mergeCells count="18">
    <mergeCell ref="A1:F1"/>
    <mergeCell ref="A130:H130"/>
    <mergeCell ref="A184:H184"/>
    <mergeCell ref="A4:H4"/>
    <mergeCell ref="A14:H14"/>
    <mergeCell ref="A20:H20"/>
    <mergeCell ref="A75:H75"/>
    <mergeCell ref="A84:H84"/>
    <mergeCell ref="A129:H129"/>
    <mergeCell ref="A143:H143"/>
    <mergeCell ref="A157:H157"/>
    <mergeCell ref="D2:H2"/>
    <mergeCell ref="A350:H350"/>
    <mergeCell ref="A241:H241"/>
    <mergeCell ref="A276:H276"/>
    <mergeCell ref="A291:H291"/>
    <mergeCell ref="A298:H298"/>
    <mergeCell ref="A301:H301"/>
  </mergeCells>
  <pageMargins left="0.7" right="0.7" top="0.75" bottom="0.75" header="0.3" footer="0.3"/>
  <pageSetup scale="95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Test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ewilliam</dc:creator>
  <cp:lastModifiedBy>ewilliam</cp:lastModifiedBy>
  <cp:lastPrinted>2012-08-28T16:49:10Z</cp:lastPrinted>
  <dcterms:created xsi:type="dcterms:W3CDTF">2011-10-04T20:55:13Z</dcterms:created>
  <dcterms:modified xsi:type="dcterms:W3CDTF">2013-04-19T15:54:57Z</dcterms:modified>
</cp:coreProperties>
</file>