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60" yWindow="-75" windowWidth="16920" windowHeight="14370" firstSheet="1" activeTab="2"/>
  </bookViews>
  <sheets>
    <sheet name="Estimate Process" sheetId="7" r:id="rId1"/>
    <sheet name="Title Sheet" sheetId="2" r:id="rId2"/>
    <sheet name="Erosion Control Estimate" sheetId="4" r:id="rId3"/>
    <sheet name="Grading Plan Estimate" sheetId="5" r:id="rId4"/>
    <sheet name="Improvment Plan Estimate" sheetId="6" r:id="rId5"/>
  </sheets>
  <definedNames>
    <definedName name="_xlnm.Print_Area" localSheetId="2">'Erosion Control Estimate'!$A$1:$E$66</definedName>
    <definedName name="_xlnm.Print_Area" localSheetId="0">'Estimate Process'!$A$1:$I$31</definedName>
    <definedName name="_xlnm.Print_Area" localSheetId="3">'Grading Plan Estimate'!$A$1:$E$235</definedName>
    <definedName name="_xlnm.Print_Area" localSheetId="4">'Improvment Plan Estimate'!$A$1:$E$289</definedName>
    <definedName name="_xlnm.Print_Area" localSheetId="1">'Title Sheet'!$A$1:$J$43</definedName>
    <definedName name="_xlnm.Print_Titles" localSheetId="2">'Erosion Control Estimate'!$1:$5</definedName>
  </definedNames>
  <calcPr calcId="125725"/>
</workbook>
</file>

<file path=xl/calcChain.xml><?xml version="1.0" encoding="utf-8"?>
<calcChain xmlns="http://schemas.openxmlformats.org/spreadsheetml/2006/main">
  <c r="E143" i="5"/>
  <c r="E142"/>
  <c r="E141"/>
  <c r="E140"/>
  <c r="E139"/>
  <c r="E138"/>
  <c r="E137"/>
  <c r="E136"/>
  <c r="E135"/>
  <c r="E134"/>
  <c r="E133"/>
  <c r="E132"/>
  <c r="E131"/>
  <c r="E130"/>
  <c r="E129"/>
  <c r="E128"/>
  <c r="E127"/>
  <c r="E126"/>
  <c r="E213" i="6"/>
  <c r="E214"/>
  <c r="E215"/>
  <c r="E216"/>
  <c r="E217"/>
  <c r="E168" i="5"/>
  <c r="E167"/>
  <c r="E166"/>
  <c r="E165"/>
  <c r="E164"/>
  <c r="E170" i="6"/>
  <c r="E269"/>
  <c r="E268"/>
  <c r="E169" i="5"/>
  <c r="E193"/>
  <c r="E119"/>
  <c r="E155" i="6"/>
  <c r="E226" i="5"/>
  <c r="E225"/>
  <c r="E213"/>
  <c r="E212"/>
  <c r="E211"/>
  <c r="E210"/>
  <c r="E209"/>
  <c r="E208"/>
  <c r="E207"/>
  <c r="E222"/>
  <c r="E221"/>
  <c r="E220"/>
  <c r="E219"/>
  <c r="E218"/>
  <c r="E217"/>
  <c r="E216"/>
  <c r="E206"/>
  <c r="E205"/>
  <c r="E204"/>
  <c r="E203"/>
  <c r="E202"/>
  <c r="E201"/>
  <c r="E200"/>
  <c r="E199"/>
  <c r="E190"/>
  <c r="E189"/>
  <c r="E192"/>
  <c r="E194"/>
  <c r="E188"/>
  <c r="E187"/>
  <c r="E186"/>
  <c r="E185"/>
  <c r="E184"/>
  <c r="E183"/>
  <c r="E182"/>
  <c r="E178"/>
  <c r="E177"/>
  <c r="E176"/>
  <c r="E175"/>
  <c r="E174"/>
  <c r="E173"/>
  <c r="E172"/>
  <c r="E171"/>
  <c r="E170"/>
  <c r="E123"/>
  <c r="E122"/>
  <c r="E120"/>
  <c r="E225" i="6"/>
  <c r="E224"/>
  <c r="E223"/>
  <c r="E222"/>
  <c r="E221"/>
  <c r="E220"/>
  <c r="E219"/>
  <c r="E218"/>
  <c r="E212"/>
  <c r="E211"/>
  <c r="E210"/>
  <c r="E209"/>
  <c r="E205"/>
  <c r="E204"/>
  <c r="E203"/>
  <c r="E202"/>
  <c r="E201"/>
  <c r="E200"/>
  <c r="E199"/>
  <c r="E198"/>
  <c r="E171"/>
  <c r="E169"/>
  <c r="E168"/>
  <c r="E167"/>
  <c r="E163"/>
  <c r="E162"/>
  <c r="E161"/>
  <c r="E160"/>
  <c r="E159"/>
  <c r="E158"/>
  <c r="E157"/>
  <c r="E156"/>
  <c r="E154"/>
  <c r="E153"/>
  <c r="E152"/>
  <c r="E151"/>
  <c r="E265"/>
  <c r="E264"/>
  <c r="E263"/>
  <c r="E262"/>
  <c r="E261"/>
  <c r="E258"/>
  <c r="E257"/>
  <c r="E256"/>
  <c r="E255"/>
  <c r="E254"/>
  <c r="E253"/>
  <c r="E252"/>
  <c r="E251"/>
  <c r="E248"/>
  <c r="E247"/>
  <c r="E246"/>
  <c r="E245"/>
  <c r="E244"/>
  <c r="E243"/>
  <c r="E238"/>
  <c r="E237"/>
  <c r="E236"/>
  <c r="E235"/>
  <c r="E234"/>
  <c r="E233"/>
  <c r="E232"/>
  <c r="E231"/>
  <c r="E230"/>
  <c r="E229"/>
  <c r="E228"/>
  <c r="E227"/>
  <c r="E226"/>
  <c r="E193"/>
  <c r="E192"/>
  <c r="E191"/>
  <c r="E190"/>
  <c r="E189"/>
  <c r="E188"/>
  <c r="E187"/>
  <c r="E186"/>
  <c r="E185"/>
  <c r="E184"/>
  <c r="E182"/>
  <c r="E181"/>
  <c r="E180"/>
  <c r="E179"/>
  <c r="E178"/>
  <c r="E177"/>
  <c r="E176"/>
  <c r="E146"/>
  <c r="E145"/>
  <c r="E144"/>
  <c r="E143"/>
  <c r="E142"/>
  <c r="E141"/>
  <c r="E140"/>
  <c r="E139"/>
  <c r="E138"/>
  <c r="E137"/>
  <c r="E136"/>
  <c r="E135"/>
  <c r="E134"/>
  <c r="E133"/>
  <c r="E130"/>
  <c r="E129"/>
  <c r="E127"/>
  <c r="E126"/>
  <c r="E125"/>
  <c r="E124"/>
  <c r="E121"/>
  <c r="E120"/>
  <c r="E119"/>
  <c r="E118"/>
  <c r="E117"/>
  <c r="E116"/>
  <c r="E115"/>
  <c r="E114"/>
  <c r="E113"/>
  <c r="E112"/>
  <c r="E111"/>
  <c r="E110"/>
  <c r="E109"/>
  <c r="E108"/>
  <c r="E107"/>
  <c r="E106"/>
  <c r="E105"/>
  <c r="E104"/>
  <c r="E101"/>
  <c r="E100"/>
  <c r="E99"/>
  <c r="E98"/>
  <c r="E97"/>
  <c r="E96"/>
  <c r="E95"/>
  <c r="E94"/>
  <c r="E93"/>
  <c r="E92"/>
  <c r="E91"/>
  <c r="E86"/>
  <c r="E85"/>
  <c r="E84"/>
  <c r="E80"/>
  <c r="E79"/>
  <c r="E78"/>
  <c r="E77"/>
  <c r="E76"/>
  <c r="E75"/>
  <c r="E74"/>
  <c r="E73"/>
  <c r="E72"/>
  <c r="E71"/>
  <c r="E70"/>
  <c r="E69"/>
  <c r="E68"/>
  <c r="E67"/>
  <c r="E66"/>
  <c r="E65"/>
  <c r="E64"/>
  <c r="E63"/>
  <c r="E62"/>
  <c r="E61"/>
  <c r="E60"/>
  <c r="E59"/>
  <c r="E58"/>
  <c r="E57"/>
  <c r="E56"/>
  <c r="E55"/>
  <c r="E54"/>
  <c r="E53"/>
  <c r="E52"/>
  <c r="E49"/>
  <c r="E48"/>
  <c r="E47"/>
  <c r="E46"/>
  <c r="E45"/>
  <c r="E44"/>
  <c r="E43"/>
  <c r="E39"/>
  <c r="E38"/>
  <c r="E37"/>
  <c r="E36"/>
  <c r="E35"/>
  <c r="E34"/>
  <c r="E33"/>
  <c r="E32"/>
  <c r="E31"/>
  <c r="E30"/>
  <c r="E25"/>
  <c r="E24"/>
  <c r="E23"/>
  <c r="E19"/>
  <c r="E18"/>
  <c r="E17"/>
  <c r="E14"/>
  <c r="E13"/>
  <c r="E12"/>
  <c r="E11"/>
  <c r="E10"/>
  <c r="E270" s="1"/>
  <c r="E191" i="5"/>
  <c r="E163"/>
  <c r="E162"/>
  <c r="E161"/>
  <c r="E160"/>
  <c r="E159"/>
  <c r="E158"/>
  <c r="E157"/>
  <c r="E156"/>
  <c r="E155"/>
  <c r="E154"/>
  <c r="E153"/>
  <c r="E152"/>
  <c r="E147"/>
  <c r="E118"/>
  <c r="E117"/>
  <c r="E116"/>
  <c r="E115"/>
  <c r="E114"/>
  <c r="E113"/>
  <c r="E112"/>
  <c r="E111"/>
  <c r="E110"/>
  <c r="E109"/>
  <c r="E108"/>
  <c r="E107"/>
  <c r="E98"/>
  <c r="E96"/>
  <c r="E95"/>
  <c r="E94"/>
  <c r="E93"/>
  <c r="E92"/>
  <c r="E91"/>
  <c r="E90"/>
  <c r="E89"/>
  <c r="E88"/>
  <c r="E87"/>
  <c r="E86"/>
  <c r="E85"/>
  <c r="E84"/>
  <c r="E83"/>
  <c r="E82"/>
  <c r="E81"/>
  <c r="E80"/>
  <c r="E79"/>
  <c r="E78"/>
  <c r="E77"/>
  <c r="E76"/>
  <c r="E75"/>
  <c r="E74"/>
  <c r="E73"/>
  <c r="E72"/>
  <c r="E71"/>
  <c r="E70"/>
  <c r="E69"/>
  <c r="E68"/>
  <c r="E67"/>
  <c r="E66"/>
  <c r="E63"/>
  <c r="E62"/>
  <c r="E61"/>
  <c r="E60"/>
  <c r="E59"/>
  <c r="E58"/>
  <c r="E57"/>
  <c r="E56"/>
  <c r="E55"/>
  <c r="E54"/>
  <c r="E41"/>
  <c r="E40"/>
  <c r="E39"/>
  <c r="E38"/>
  <c r="E37"/>
  <c r="E36"/>
  <c r="E35"/>
  <c r="E34"/>
  <c r="E33"/>
  <c r="E51"/>
  <c r="E50"/>
  <c r="E49"/>
  <c r="E48"/>
  <c r="E47"/>
  <c r="E46"/>
  <c r="E45"/>
  <c r="E44"/>
  <c r="E43"/>
  <c r="E42"/>
  <c r="E148"/>
  <c r="E28"/>
  <c r="E27"/>
  <c r="E26"/>
  <c r="E25"/>
  <c r="E24"/>
  <c r="E23"/>
  <c r="E22"/>
  <c r="E20"/>
  <c r="E19"/>
  <c r="E18"/>
  <c r="E16"/>
  <c r="E15"/>
  <c r="E14"/>
  <c r="E13"/>
  <c r="E12"/>
  <c r="E10"/>
  <c r="E9"/>
  <c r="E41" i="4"/>
  <c r="E52"/>
  <c r="E51"/>
  <c r="E50"/>
  <c r="E49"/>
  <c r="E48"/>
  <c r="E47"/>
  <c r="E46"/>
  <c r="E45"/>
  <c r="E44"/>
  <c r="E43"/>
  <c r="E42"/>
  <c r="E227" i="5" l="1"/>
  <c r="E99"/>
  <c r="E101" s="1"/>
  <c r="E54" i="4"/>
  <c r="E56" s="1"/>
  <c r="E58" s="1"/>
  <c r="J32" i="2" s="1"/>
  <c r="E272" i="6"/>
  <c r="E274" s="1"/>
  <c r="J36" i="2" s="1"/>
  <c r="E103" i="5" l="1"/>
  <c r="E229"/>
  <c r="E231" s="1"/>
  <c r="J39" i="2"/>
  <c r="E234" i="5" l="1"/>
  <c r="J28" i="2" s="1"/>
</calcChain>
</file>

<file path=xl/comments1.xml><?xml version="1.0" encoding="utf-8"?>
<comments xmlns="http://schemas.openxmlformats.org/spreadsheetml/2006/main">
  <authors>
    <author>mwagner</author>
  </authors>
  <commentList>
    <comment ref="A81" authorId="0">
      <text>
        <r>
          <rPr>
            <b/>
            <sz val="9"/>
            <color indexed="81"/>
            <rFont val="Tahoma"/>
            <family val="2"/>
          </rPr>
          <t>mwagner:</t>
        </r>
        <r>
          <rPr>
            <sz val="9"/>
            <color indexed="81"/>
            <rFont val="Tahoma"/>
            <family val="2"/>
          </rPr>
          <t xml:space="preserve">
</t>
        </r>
      </text>
    </comment>
    <comment ref="A131" authorId="0">
      <text>
        <r>
          <rPr>
            <b/>
            <sz val="9"/>
            <color indexed="81"/>
            <rFont val="Tahoma"/>
            <charset val="1"/>
          </rPr>
          <t>mwagner:</t>
        </r>
        <r>
          <rPr>
            <sz val="9"/>
            <color indexed="81"/>
            <rFont val="Tahoma"/>
            <charset val="1"/>
          </rPr>
          <t xml:space="preserve">
</t>
        </r>
      </text>
    </comment>
  </commentList>
</comments>
</file>

<file path=xl/sharedStrings.xml><?xml version="1.0" encoding="utf-8"?>
<sst xmlns="http://schemas.openxmlformats.org/spreadsheetml/2006/main" count="991" uniqueCount="400">
  <si>
    <t>CLEAR AND GRUB</t>
  </si>
  <si>
    <t>SF</t>
  </si>
  <si>
    <t>CONTAMINATED SOIL REMOVAL</t>
  </si>
  <si>
    <t>CY</t>
  </si>
  <si>
    <t>0-1,000</t>
  </si>
  <si>
    <t>1,001-20,000</t>
  </si>
  <si>
    <t>20,001-100,000</t>
  </si>
  <si>
    <t>EXCAVATE AND EXPORT</t>
  </si>
  <si>
    <t>100,001-350,000</t>
  </si>
  <si>
    <t>&gt;350,000</t>
  </si>
  <si>
    <t>EXCAVATE AND FILL</t>
  </si>
  <si>
    <t>0-1000</t>
  </si>
  <si>
    <t>&gt;20,000</t>
  </si>
  <si>
    <t>IMPORT AND FILL</t>
  </si>
  <si>
    <t>LF</t>
  </si>
  <si>
    <t>EA</t>
  </si>
  <si>
    <t>SUB DRAIN (4" DIAMETER)</t>
  </si>
  <si>
    <t>SUB DRAIN (6" DIAMETER)</t>
  </si>
  <si>
    <t>SUB DRAIN (8" DIAMETER)</t>
  </si>
  <si>
    <t>SUBDRAIN HEADWALL</t>
  </si>
  <si>
    <t>GRAVEL BAG</t>
  </si>
  <si>
    <t>JUTE BAG</t>
  </si>
  <si>
    <t>STRAW MAT</t>
  </si>
  <si>
    <t>STRAW BALES</t>
  </si>
  <si>
    <t>SILT FENCE</t>
  </si>
  <si>
    <t>FIBER ROLLS</t>
  </si>
  <si>
    <t>FIBER MATT</t>
  </si>
  <si>
    <t>HYDRO-SEED</t>
  </si>
  <si>
    <t>HYDRAULIC MULCH</t>
  </si>
  <si>
    <t>STABILIZED CONSTRUCTION ENTRANCE</t>
  </si>
  <si>
    <t>CONCRETE WASHOUT</t>
  </si>
  <si>
    <t>INLET PROTECTION (SEDIMENT)</t>
  </si>
  <si>
    <t>18" RCP STORM DRAIN</t>
  </si>
  <si>
    <t>24" RCP STORM DRAIN</t>
  </si>
  <si>
    <t>30" RCP STORM DRAIN</t>
  </si>
  <si>
    <t>36" RCP STORM DRAIN</t>
  </si>
  <si>
    <t>42" RCP STORM DRAIN</t>
  </si>
  <si>
    <t>48" RCP STORM DRAIN</t>
  </si>
  <si>
    <t>54" RCP STORM DRAIN</t>
  </si>
  <si>
    <t>60" RCP STORM DRAIN</t>
  </si>
  <si>
    <t>72" RCP STORM DRAIN</t>
  </si>
  <si>
    <t>18" RCP STORM DRAIN (WATER TIGHT JOINTS)</t>
  </si>
  <si>
    <t>36" RCP STORM DRAIN (WATER TIGHT JOINTS)</t>
  </si>
  <si>
    <t>42" RCP STORM DRAIN (WATER TIGHT JOINTS)</t>
  </si>
  <si>
    <t>48" RCP STORM DRAIN (WATER TIGHT JOINTS)</t>
  </si>
  <si>
    <t>54" RCP STORM DRAIN (WATER TIGHT JOINTS)</t>
  </si>
  <si>
    <t>60" RCP STORM DRAIN (WATER TIGHT JOINTS)</t>
  </si>
  <si>
    <t>72" RCP STORM DRAIN (WATER TIGHT JOINTS)</t>
  </si>
  <si>
    <t>24" RCP STORM DRAIN (WATER TIGHT JOINTS)</t>
  </si>
  <si>
    <t>MISCELLANEOUS PUBLIC DRAINAGE</t>
  </si>
  <si>
    <t>AC SPILLWAY (D-22)</t>
  </si>
  <si>
    <t>PCC BOX CULVERT</t>
  </si>
  <si>
    <t>CATCH BASIN, PER D-7 (TYPE F)</t>
  </si>
  <si>
    <t>CATCH BASIN, PER D-8 (TYPE G)</t>
  </si>
  <si>
    <t>CLEAN OUT, PER D-9 (TYPE A)</t>
  </si>
  <si>
    <t>CLEAN OUT, PER D-10 (TYPE B)</t>
  </si>
  <si>
    <t>CATCH BASIN, PER D-29 (TYPE I)</t>
  </si>
  <si>
    <t>CONCRETE (STRUCTURAL)</t>
  </si>
  <si>
    <t>CONCRETE LUG, PER D-63</t>
  </si>
  <si>
    <t>CONCRETE PIPE COLLAR, PER D-62</t>
  </si>
  <si>
    <t>CURB INLET, PER D-1 (TYPE A)</t>
  </si>
  <si>
    <t>CURB INLET, PER D-2 (TYPE B)</t>
  </si>
  <si>
    <t>CURB INLET, PER D-3 (TYPE C)</t>
  </si>
  <si>
    <t>CURB INLET, PER D-45 (TYPE J)</t>
  </si>
  <si>
    <t>CURB OUTLET, PER D-25 (TYPE A)</t>
  </si>
  <si>
    <t>CURB OUTLET-SIDEWALK UNDER DRAIN, PER D-27</t>
  </si>
  <si>
    <t>CURTAIN WALL, PER D-38</t>
  </si>
  <si>
    <t>CUTOFF WALL, PER D-72</t>
  </si>
  <si>
    <t>PCC DRAINAGE CHANNEL, PER D-70 &amp; 71</t>
  </si>
  <si>
    <t>DRAINAGE DITCH, PER D-75</t>
  </si>
  <si>
    <t>STRAIGHT HEAD WALL PER D-30&amp;31 (TYPE A)</t>
  </si>
  <si>
    <t>STRAIGHT HEAD WALL PER D-32&amp;33 (TYPE A-GRAVITY)</t>
  </si>
  <si>
    <t>WING/U TYPE HEAD WALL PER D-34/35A&amp;B (18" TO 36"/36" TO 60")</t>
  </si>
  <si>
    <t>WING/U TYPE HEAD WALL PER D-35A&amp;B (60" TO 84")</t>
  </si>
  <si>
    <t>L TYPE HEADWALL PER D-36 &amp; 37</t>
  </si>
  <si>
    <t>INLET APRON, PER D-39</t>
  </si>
  <si>
    <t>CONCRETE ENERGY DISSIPATER, PER D-41</t>
  </si>
  <si>
    <t>RIP RAP, PER D-40 (2 TON)</t>
  </si>
  <si>
    <t>RIP RAP, PER D-40 (0.25 - 1.0 TON)</t>
  </si>
  <si>
    <t>RIP RAP, PER D-40 (NO. 2 BACKING)</t>
  </si>
  <si>
    <t>CONNECT TO EXISTING S.D.</t>
  </si>
  <si>
    <t>LS</t>
  </si>
  <si>
    <t>PUBLIC CURB AND GUTTER</t>
  </si>
  <si>
    <t>CURB &amp; GUTTER REMOVAL</t>
  </si>
  <si>
    <t>MEDIAN CURB &amp; GUTTER, PER G-6 (TYPE B-1)</t>
  </si>
  <si>
    <t>MEDIAN CURB &amp; GUTTER, PER G-6 (TYPE B-2)</t>
  </si>
  <si>
    <t>6" CURB &amp; GUTTER PER G-2 (TYPE G)</t>
  </si>
  <si>
    <t>8" CURB &amp; GUTTER PER G-2 (TYPE G)</t>
  </si>
  <si>
    <t>6" CURB &amp; GUTTER PER G-2 (TYPE H)</t>
  </si>
  <si>
    <t>8" CURB &amp; GUTTER PER G-2 (TYPE H)</t>
  </si>
  <si>
    <t>ROLLED CURB, PER G-4</t>
  </si>
  <si>
    <t>4" AC BERM, PER G-5</t>
  </si>
  <si>
    <t>8" AC BERM, PER G-5</t>
  </si>
  <si>
    <t>6" AC BERM, PER G-5</t>
  </si>
  <si>
    <t>PUBLIC PAVEMENT</t>
  </si>
  <si>
    <t>AC PAVING (1" SURFACE)</t>
  </si>
  <si>
    <t>AC PAVING (2" SURFACE)</t>
  </si>
  <si>
    <t>AC PAVING (3" SURFACE)</t>
  </si>
  <si>
    <t>AC PAVING (4" SURFACE)</t>
  </si>
  <si>
    <t>AC PAVING (5" SURFACE)</t>
  </si>
  <si>
    <t>PCC PAVING (5" THICK)</t>
  </si>
  <si>
    <t>PCC PAVING (5.5" THICK)</t>
  </si>
  <si>
    <t>PCC PAVING (6" THICK)</t>
  </si>
  <si>
    <t>PCC PAVING (8" THICK)</t>
  </si>
  <si>
    <t>PCC PAVING (9" THICK)</t>
  </si>
  <si>
    <t>PAVING SUBGRADE PREPARATION</t>
  </si>
  <si>
    <t>AC PAVEMENT REMOVAL</t>
  </si>
  <si>
    <t>PUBLIC CURB RAMPS &amp; SIDEWALK</t>
  </si>
  <si>
    <t>SIDEWALK REMOVAL</t>
  </si>
  <si>
    <t>4" PCC SIDEWALK, PER G-7</t>
  </si>
  <si>
    <t>MISCELLANEOUS PUBLIC SURFACE IMPROVEMENTS</t>
  </si>
  <si>
    <t>CUT-OFF WALL @ END OF PAVEMENT, PER G-22 &amp; 23</t>
  </si>
  <si>
    <t>AC OVERLAY (1"-2")</t>
  </si>
  <si>
    <t>AC SLURRY SEAL</t>
  </si>
  <si>
    <t>ALLEY APRON, PER G-17</t>
  </si>
  <si>
    <t>ADJUST TO GRADE</t>
  </si>
  <si>
    <t>AGGREGATE BASE (AB)</t>
  </si>
  <si>
    <t>GRIND &amp; OVERLAY</t>
  </si>
  <si>
    <t>TRAFFIC CONTROLS</t>
  </si>
  <si>
    <t>DETECTOR LOOPS</t>
  </si>
  <si>
    <t>PULL BOX, RELOCATION</t>
  </si>
  <si>
    <t>REMOVE STRIPING</t>
  </si>
  <si>
    <t>TRAFFIC SIGNAL (2X2 INTERSECTION)</t>
  </si>
  <si>
    <t>TRAFFIC SIGNAL (4X2 INTERSECTION)</t>
  </si>
  <si>
    <t>TRAFFIC SIGNAL (4X4 INTERSECTION)</t>
  </si>
  <si>
    <t>TRAFFIC SIGNAL (4X6 INTERSECTION)</t>
  </si>
  <si>
    <t>TRAFFIC SIGNAL (6X6 INTERSECTION)</t>
  </si>
  <si>
    <t>TRAFFIC SIGNAL (8X6 INTERSECTION)</t>
  </si>
  <si>
    <t>TRAFFIC SIGNAL INTERCONNECTION</t>
  </si>
  <si>
    <t>MI</t>
  </si>
  <si>
    <t>PUBLIC WASTEWATER</t>
  </si>
  <si>
    <t>CONCRETE ANCHOR, PER S-9</t>
  </si>
  <si>
    <t>4" PRESSURE PVC SEWER</t>
  </si>
  <si>
    <t>6" PRESSURE PVC SEWER</t>
  </si>
  <si>
    <t>52" STEEL CASING</t>
  </si>
  <si>
    <t>60" STEEL CASING</t>
  </si>
  <si>
    <t>SEWER PUMP STATION</t>
  </si>
  <si>
    <t>PUBLIC WATER</t>
  </si>
  <si>
    <t>RELOCATE FIRE HYDRANT</t>
  </si>
  <si>
    <t>PUBLIC WATER VALVES</t>
  </si>
  <si>
    <t>4" GATE VALVE</t>
  </si>
  <si>
    <t>6" GATE VALVE</t>
  </si>
  <si>
    <t>8" GATE VALVE</t>
  </si>
  <si>
    <t>10" GATE VALVE</t>
  </si>
  <si>
    <t>12" GATE VALVE</t>
  </si>
  <si>
    <t>16" GATE VALVE</t>
  </si>
  <si>
    <t>20" GATE VALVE</t>
  </si>
  <si>
    <t>8" PRESSURE REDUCER W/BOX</t>
  </si>
  <si>
    <t>12" RCP STORM DRAIN</t>
  </si>
  <si>
    <t>4"-6" PVC STORM DRAIN</t>
  </si>
  <si>
    <t>8"-12" PVC STORM DRAIN</t>
  </si>
  <si>
    <t>15" PVC STORM DRAIN</t>
  </si>
  <si>
    <t>18" PVC STORM DRAIN</t>
  </si>
  <si>
    <t>24" PVC STORM DRAIN</t>
  </si>
  <si>
    <t>30" PVC STORM DRAIN</t>
  </si>
  <si>
    <t>36" PVC STORM DRAIN</t>
  </si>
  <si>
    <t>42" PVC STORM DRAIN</t>
  </si>
  <si>
    <t>48" PVC STORM DRAIN</t>
  </si>
  <si>
    <t>MISCELLANEOUS PRIVATE DRAINAGE</t>
  </si>
  <si>
    <t>CURB INLET, PER D-4 (TYPE D)</t>
  </si>
  <si>
    <t>RIP RAP, PER D-40 (0.25 - 1.00 TON)</t>
  </si>
  <si>
    <t>RIP RAP, PER D-40 (2.0 TON)</t>
  </si>
  <si>
    <t>RIP RAP, PER D-40 (4.0 TON)</t>
  </si>
  <si>
    <t>CDS UNIT (SMALL)</t>
  </si>
  <si>
    <t>CDS UNIT (MEDIUM)</t>
  </si>
  <si>
    <t>CDS UNIT (LARGE)</t>
  </si>
  <si>
    <t>BIO-SWALE</t>
  </si>
  <si>
    <t>12"X12" BOX INLET (PVT)</t>
  </si>
  <si>
    <t>18"X18" BOX INLET (PVT)</t>
  </si>
  <si>
    <t>24"X24" BOX INLET (PVT)</t>
  </si>
  <si>
    <t>FILTER INSERT</t>
  </si>
  <si>
    <t>3' RIBBON GUTTER</t>
  </si>
  <si>
    <t>6" CURB &amp; GUTTER, PER G-2 (TYPE G)</t>
  </si>
  <si>
    <t>8" CURB &amp; GUTTER, PER G-2 (TYPE G)</t>
  </si>
  <si>
    <t>6" CURB &amp; GUTTER, PER G-2 (TYPE H)</t>
  </si>
  <si>
    <t>8" CURB &amp; GUTTER, PER G-2 (TYPE H)</t>
  </si>
  <si>
    <t>6" OR 8" CURB PER G-1 (CURB ONLY)</t>
  </si>
  <si>
    <t>6" OR 8" CURB PER G-1 (CURB &amp; GUTTER)</t>
  </si>
  <si>
    <t>SEWER LOCKING COVER, PER M-4</t>
  </si>
  <si>
    <t>SEWER PUMP STATION (MULTIPLE UNITS)</t>
  </si>
  <si>
    <t>PUBLIC WATER SERVICE</t>
  </si>
  <si>
    <t>VEHICULAR BRIDGE</t>
  </si>
  <si>
    <t>PEDESTRIAN BRIDGE</t>
  </si>
  <si>
    <t>CRASH CUSHION (G.R.E.A.T.)</t>
  </si>
  <si>
    <t>EXCAVATION (FOR STRUCTURES)</t>
  </si>
  <si>
    <t>FENCE, PER M-6 (4' HIGH CHAIN LINK)</t>
  </si>
  <si>
    <t>FENCE, PER M-6 (5' HIGH CHAIN LINK)</t>
  </si>
  <si>
    <t>FENCE, PER M-6 (6' HIGH CHAIN LINK)</t>
  </si>
  <si>
    <t>GUARD RAIL METAL BEAM, PER M-3-38</t>
  </si>
  <si>
    <t>GUARD RAIL POST, PER M-9</t>
  </si>
  <si>
    <t>GUARD BARRICADE, PER M-9</t>
  </si>
  <si>
    <t>PCC MEDIAN BARRIER (TYPE 50)</t>
  </si>
  <si>
    <t>SAW  CUT EXISTING (AC/PCC)</t>
  </si>
  <si>
    <t>TRENCH SHORING (5'-10' DEEP)</t>
  </si>
  <si>
    <t>TRENCH SHORING (11'-15' DEEP)</t>
  </si>
  <si>
    <t>TRENCH SHORING (16'-20' DEEP)</t>
  </si>
  <si>
    <t>SURVEY MONUMENT, PER M-10</t>
  </si>
  <si>
    <t>MISCELLANEOUS PUBLIC ITEMS</t>
  </si>
  <si>
    <t>BIKE LANE SIGNING AND STRIPING</t>
  </si>
  <si>
    <t xml:space="preserve">PROJECT'S COST ESTIMATE </t>
  </si>
  <si>
    <t>FILE NO:</t>
  </si>
  <si>
    <t>PROJECT NAME:</t>
  </si>
  <si>
    <t>OWNER'S NAME:</t>
  </si>
  <si>
    <t>ADDRESS:</t>
  </si>
  <si>
    <t>PHONE #:</t>
  </si>
  <si>
    <t>(            )</t>
  </si>
  <si>
    <t>CONTACT PERSON:</t>
  </si>
  <si>
    <t>ENGINEER'S SIGNATURE</t>
  </si>
  <si>
    <t>RCE</t>
  </si>
  <si>
    <t>No. of Sheets:</t>
  </si>
  <si>
    <t>Erosion Control Estimate w/ 15% Contingency</t>
  </si>
  <si>
    <t>EROSION CONTROL</t>
  </si>
  <si>
    <t>ITEM DESCRIPTION</t>
  </si>
  <si>
    <t>QUANTITY</t>
  </si>
  <si>
    <t>COST</t>
  </si>
  <si>
    <t>SUBTOTAL:</t>
  </si>
  <si>
    <t>Contingencies - 15%:</t>
  </si>
  <si>
    <t>FOR SEAL</t>
  </si>
  <si>
    <t>STREET STRIPING</t>
  </si>
  <si>
    <t>IMPROVEMENT PLAN</t>
  </si>
  <si>
    <t>0-4000'</t>
  </si>
  <si>
    <t xml:space="preserve">&gt;4,000' </t>
  </si>
  <si>
    <t xml:space="preserve">&gt;5,000 </t>
  </si>
  <si>
    <t>0-5,000</t>
  </si>
  <si>
    <t>6" PVC SEWER MAIN, PER City S-2</t>
  </si>
  <si>
    <t>8" PVC SEWER MAIN, PER City S-2</t>
  </si>
  <si>
    <t>10" PVC SEWER MAIN, PER City S-2</t>
  </si>
  <si>
    <t>12" PVC SEWER MAIN, PER City S-2</t>
  </si>
  <si>
    <t>15" PVC SEWER MAIN, PER City S-2</t>
  </si>
  <si>
    <t>18" PVC SEWER MAIN, PER City S-2</t>
  </si>
  <si>
    <t>21" PVC SEWER MAIN, PER City S-2</t>
  </si>
  <si>
    <t>24" PVC SEWER MAIN, PER City S-2</t>
  </si>
  <si>
    <t>27" PVC SEWER MAIN, PER City S-2</t>
  </si>
  <si>
    <t>30" PVC SEWER MAIN, PER City S-2</t>
  </si>
  <si>
    <t>36" PVC SEWER MAIN, PER City S-2</t>
  </si>
  <si>
    <t>SEWER MANHOLE, PER CITY S-6 (3'X5')</t>
  </si>
  <si>
    <t>SEWER MANHOLE, PER CITY S-6 (3'X5' W/LOCKING COVER)</t>
  </si>
  <si>
    <t>SEWER MANHOLE, PER CITY S-6 (3'X5' W/LINER)</t>
  </si>
  <si>
    <t>SEWER MANHOLE, PER CITY S-6 (3'X5' W/LINER &amp; LOCKING COVER)</t>
  </si>
  <si>
    <t>SEWER MANHOLE, PER CITY S-5 (3'X4')</t>
  </si>
  <si>
    <t>SEWER MANHOLE, PER CITY S-5  (3'X4' W/LOCKING COVER)</t>
  </si>
  <si>
    <t>SEWER MANHOLE, PER CITY S-5  (3'X4' W/LINER</t>
  </si>
  <si>
    <t>19" STEEL CASING CITY S-8</t>
  </si>
  <si>
    <t>21" STEEL CASING CITY S-8</t>
  </si>
  <si>
    <t>24" STEEL CASING CITY S-8</t>
  </si>
  <si>
    <t>30" STEEL CASING CITY S-8</t>
  </si>
  <si>
    <t>33" STEEL CASING CITY S-8</t>
  </si>
  <si>
    <t>36" STEEL CASING CITY S-8</t>
  </si>
  <si>
    <t>39" STEEL CASING CITY S-8</t>
  </si>
  <si>
    <t>42" STEEL CASING CITY S-8</t>
  </si>
  <si>
    <t>48" STEEL CASING CITY S-8</t>
  </si>
  <si>
    <t>16" STEEL CASING CITY S-8</t>
  </si>
  <si>
    <t>CURB RAMPS, PER G27 (TYPE A &amp; B, NEW CONSTRUCTION)</t>
  </si>
  <si>
    <t>CURB RAMPS, ALLEY, PER G-31 (TYPE D)</t>
  </si>
  <si>
    <t>CURB RAMPS, PER G-28, G-29 (TYPE A-1, B-1 &amp; C, EXIST SIDEWALK)</t>
  </si>
  <si>
    <t>Improvement Plan Estimate w/ 15% Contingency</t>
  </si>
  <si>
    <t>COST ESTIMATE</t>
  </si>
  <si>
    <t>UNIT</t>
  </si>
  <si>
    <t>UNIT COST</t>
  </si>
  <si>
    <t>SECTION 1 - EARTHWORK</t>
  </si>
  <si>
    <t>PROJECT COST ESTIMATE PROCESS</t>
  </si>
  <si>
    <t>Name of the engineering firm processing the plans</t>
  </si>
  <si>
    <t>Name of the engineer of work or the contact person within the firm</t>
  </si>
  <si>
    <t>Contact person's phone number</t>
  </si>
  <si>
    <t>Contact person's e-mail address</t>
  </si>
  <si>
    <t>Contact person's fax number</t>
  </si>
  <si>
    <t xml:space="preserve">Plan Drawing Number: </t>
  </si>
  <si>
    <t>Engineer's Signature</t>
  </si>
  <si>
    <t>Total number of sheets included in each type of plan submitted</t>
  </si>
  <si>
    <t>CURB RAMPS, PER G-27 (TYPE A &amp; B NEW CONSTRUCTION)</t>
  </si>
  <si>
    <t>CURB RAMPS, PER G-28, G-29  (TYPE A-1 &amp; B-1 &amp; C, EXISTING SIDEWALK)</t>
  </si>
  <si>
    <t>4' PCC SIDEWALK, PER G-7</t>
  </si>
  <si>
    <t>&gt;5,000</t>
  </si>
  <si>
    <t>PRIVATE WATER VALVES</t>
  </si>
  <si>
    <t>PRIVATE WATER SERVICE</t>
  </si>
  <si>
    <t>SECTION 4 - MISCELLANEOUS PRIVATE ITEMS</t>
  </si>
  <si>
    <t>SECTION 3 - PUBLIC SURFACE IMPROVEMENTS</t>
  </si>
  <si>
    <t>DRIVEWAY, PER G-14A,B,C &amp; G-26</t>
  </si>
  <si>
    <t>PEDESTRIAN BARRICADE</t>
  </si>
  <si>
    <t>SECTION 2 - PUBLIC DRAINAGE</t>
  </si>
  <si>
    <t>STRAIGHT HEAD WALL PER D-30 &amp; 31 (TYPE A)</t>
  </si>
  <si>
    <t>BLOW-OFF ASSEMBLY, PER CITY W-2</t>
  </si>
  <si>
    <t>PULL BOX, PER (ALL TYPES)</t>
  </si>
  <si>
    <t>STREET LIGHT, E-2 L.P. SODIUM- PER CITY STANDARDS</t>
  </si>
  <si>
    <r>
      <t>STREET LIGHT,</t>
    </r>
    <r>
      <rPr>
        <sz val="11"/>
        <color indexed="10"/>
        <rFont val="Arial"/>
        <family val="2"/>
      </rPr>
      <t xml:space="preserve"> </t>
    </r>
    <r>
      <rPr>
        <sz val="11"/>
        <rFont val="Arial"/>
        <family val="2"/>
      </rPr>
      <t>E-2 H.P. SODIUM - PER CITY STANDARDS</t>
    </r>
  </si>
  <si>
    <t>MEDIAN PCC, (DECORATIVE)</t>
  </si>
  <si>
    <t>MEDIAN PCC, (STAMPED CONCRETE)</t>
  </si>
  <si>
    <t>MEDIAN PCC, (INTERLOCKING PAVERS)</t>
  </si>
  <si>
    <t>FAX #:</t>
  </si>
  <si>
    <t>ENGINEERING FIRM:</t>
  </si>
  <si>
    <t>E-MAIL ADDRESS:</t>
  </si>
  <si>
    <t>SHORING (FOR SYSTEMS UTILIZED TO EXCAVATE GROUND AND ARE NOT PART OF THE PERMANENT  FOUNDATION)</t>
  </si>
  <si>
    <t>SECTION 3 - PRIVATE CURB AND GUTTER, SIDEWALK AND CURB RAMP</t>
  </si>
  <si>
    <t>PRIVATE STORM DRAIN</t>
  </si>
  <si>
    <t>MASONRY RETAINING WALL (ALL WALLS OVER 4' IN HEIGHT)</t>
  </si>
  <si>
    <t>16" STEEL CASING PER CITY S-8</t>
  </si>
  <si>
    <t>19" STEEL CASING PER CITY S-8</t>
  </si>
  <si>
    <t>21" STEEL CASING PER CITY S-8</t>
  </si>
  <si>
    <t>24" STEEL CASING PER CITY S-8</t>
  </si>
  <si>
    <t>30" STEEL CASING PER CITY S-8</t>
  </si>
  <si>
    <t>33" STEEL CASING PER CITY S-8</t>
  </si>
  <si>
    <t>36" STEEL CASING CITY PER S-8</t>
  </si>
  <si>
    <t>39" STEEL CASING CITY PER S-8</t>
  </si>
  <si>
    <t>42" STEEL CASING PER CITY S-8</t>
  </si>
  <si>
    <t>48" STEEL CASING CITY PER S-8</t>
  </si>
  <si>
    <t>PRIVATE PVC WATER MAINS</t>
  </si>
  <si>
    <t>ALL STANDARD DRAWINGS ARE PER SAN DIEGO REGIONAL STANDARD DRAWING (SDRSD) UNLESS OTHERWISE NOTED AS CITY (CITY OF OCEANSIDE STANDARD DRAWING)</t>
  </si>
  <si>
    <t>4" PVC SEWER MAIN, PER City S-2</t>
  </si>
  <si>
    <t xml:space="preserve"> </t>
  </si>
  <si>
    <t>SECTION 2 - PRIVATE DRAINAGE</t>
  </si>
  <si>
    <t>AIR RELEASE VALVE, (1") PER CITY W-3</t>
  </si>
  <si>
    <t>AIR RELEASE VALVE, (2") PER CITY W-3</t>
  </si>
  <si>
    <t>FIRE HYDRANT ASSY PER CITY W-1( 2-WAY)</t>
  </si>
  <si>
    <t>FIRE HYDRANT ASSY PER CITY W-1( 3-WAY)</t>
  </si>
  <si>
    <t>THRUST BLOCK, PER CITY W-27</t>
  </si>
  <si>
    <t>4" PVC WATER MAIN PER WP-2</t>
  </si>
  <si>
    <t>6" PVC WATER MAIN PER WP-2</t>
  </si>
  <si>
    <t>8" PVC WATER MAIN PER WP-2</t>
  </si>
  <si>
    <t>10" PVC WATER MAIN PER WP-2</t>
  </si>
  <si>
    <t>12" PVC WATER MAIN PER WP-2</t>
  </si>
  <si>
    <t>16" PVC WATER MAIN PER WP-2</t>
  </si>
  <si>
    <t>20: PVC WATER MAIN PER WP-2</t>
  </si>
  <si>
    <t>GRADING PLAN</t>
  </si>
  <si>
    <t>PUBLIC STORM DRAIN</t>
  </si>
  <si>
    <t>CONCRETE LUG D-63</t>
  </si>
  <si>
    <t>CLASS II AGGREGATE BASE PAVING (6" SURFACE)</t>
  </si>
  <si>
    <t>CLASS II AGGREGATE BASE PAVING (8" SURFACE)</t>
  </si>
  <si>
    <t>CLASS II AGGREGATE BASE PAVING (12" SURFACE)</t>
  </si>
  <si>
    <t>CLASS II AGGREGATE BASE PAVING (14" SURFACE)</t>
  </si>
  <si>
    <t>CLASS II AGGREGATE BASE PAVING (16" SURFACE)</t>
  </si>
  <si>
    <t>CLASS II AGGREGATE BASE PAVING (18+" SURFACE)</t>
  </si>
  <si>
    <t>CROSS-GUTTER, PER G-12 &amp; 13, CITY M-8</t>
  </si>
  <si>
    <t>TRENCH RESURFACING, PER CITY M-2, M-3, A,B,C</t>
  </si>
  <si>
    <t>NARROW TRENCHING, CITY M-2, M-3, A,B,C</t>
  </si>
  <si>
    <t>STREET NAME SIGN, CITY T-3</t>
  </si>
  <si>
    <t>CONCRETE ANCHOR</t>
  </si>
  <si>
    <t>PUBLIC PVC WATER MAINS</t>
  </si>
  <si>
    <t>20" PVC WATER MAIN PER WP-2</t>
  </si>
  <si>
    <t xml:space="preserve">1" WTR SERV. PER CITY W-4  </t>
  </si>
  <si>
    <t xml:space="preserve">2" WTR SERV. PER CITY W-5  </t>
  </si>
  <si>
    <t>RETAINING WALL (ALL WALLS OVER 4' IN HEIGHT)</t>
  </si>
  <si>
    <t>STRAIGHT HEAD WALL PER D-32 &amp; 33 (TYPE A-GRAVITY)</t>
  </si>
  <si>
    <t>WING/U TYPE HEAD WALL PER D-34/35 A &amp; B (18" TO 36"/36" TO 60")</t>
  </si>
  <si>
    <t>WING/U TYPE HEAD WALL PER D-35 A &amp; B (60" TO 84")</t>
  </si>
  <si>
    <t>SEWER MANHOLE, PER CITY S-5  (3'X4' W/LINER &amp; LOCKING COVER)</t>
  </si>
  <si>
    <t>STREET SEWER LATERAL, PER CITY S-3 (4")</t>
  </si>
  <si>
    <t>STREET SEWER LATERAL, PER CITY S-3 (6")</t>
  </si>
  <si>
    <t>STREET SEWER LATERAL, PER CITY S-3 (8")</t>
  </si>
  <si>
    <t>ALLEY SEWER LATERAL, PER CITY S-3 (4")</t>
  </si>
  <si>
    <t>ALLEY SEWER LATERAL, PER CITY S-3 (6")</t>
  </si>
  <si>
    <t>SECTION 4- MISCELLANEOUS PUBLIC IMPROVEMENTS</t>
  </si>
  <si>
    <t>SECTION 5 - PUBLIC TRAFFIC</t>
  </si>
  <si>
    <t>SECTION 6 - PRIVATE WATER UTILITIES</t>
  </si>
  <si>
    <t>SECTION 6- PUBLIC WASTEWATER UTILITIES</t>
  </si>
  <si>
    <t>SECTION 5 - PRIVATE WASTEWATER UTILITIES</t>
  </si>
  <si>
    <t>SECTION 7- PUBLIC WATER UTILITIES</t>
  </si>
  <si>
    <t>DATE</t>
  </si>
  <si>
    <t>PRINT NAME</t>
  </si>
  <si>
    <t>EXP.</t>
  </si>
  <si>
    <t>APPROVED BY</t>
  </si>
  <si>
    <t>TITLE SHEET</t>
  </si>
  <si>
    <t>Engineer of work must stamp, sign, date, print name,  and add his/her RCE no. and expiration date</t>
  </si>
  <si>
    <t>Enter the approved project name per the conditions of approval for the project or the project title listed on the title block of the plans if no conditions exist</t>
  </si>
  <si>
    <t>Properties legal Owner/Developer name</t>
  </si>
  <si>
    <t>Owner's/Developer's mailing address</t>
  </si>
  <si>
    <t>Owner's/Developer's phone number</t>
  </si>
  <si>
    <t>Owner's/Developer's fax number</t>
  </si>
  <si>
    <t>Owner's/Developer's e-mail address</t>
  </si>
  <si>
    <t>Firm's mailing address</t>
  </si>
  <si>
    <t xml:space="preserve">Estimate w/ 15% Contingency: </t>
  </si>
  <si>
    <t>Total the cost of all items of work for a plan, including 15% contingency</t>
  </si>
  <si>
    <t>Enter the associated project numbers as it is shown on the conditions of approval for the project or as assigned by the engineering front counter if no conditions exist</t>
  </si>
  <si>
    <t>Enter the plan number for each type of plan associated with the cost estimate. Plan numbers are assigned by the front desk staff during the first submittal</t>
  </si>
  <si>
    <t>TOTAL OF SECTIONS 1 &amp; 2:</t>
  </si>
  <si>
    <t>15% Contingencies:</t>
  </si>
  <si>
    <t>Grading Plan Number:</t>
  </si>
  <si>
    <t>Erosion Control Plan Number:</t>
  </si>
  <si>
    <t>Improvement Plan Number:</t>
  </si>
  <si>
    <t xml:space="preserve">Earthwork and Drainage </t>
  </si>
  <si>
    <t>Total From Sections 1 &amp; 2</t>
  </si>
  <si>
    <t>(From Grading Plan Cost Estimate )</t>
  </si>
  <si>
    <t>Grading Plan Total Estimate w/ 15% Contingency</t>
  </si>
  <si>
    <t>MISCELLANEOUS PRIVATE DRAINAGE (CONTINUE):</t>
  </si>
  <si>
    <t>TOTAL OF SECTIONS 3-6:</t>
  </si>
  <si>
    <t>TOTAL COST OF GRADING PLAN:</t>
  </si>
  <si>
    <t>TOTAL COST ESTIMATE FOR IMPROVEMENT PLAN:</t>
  </si>
  <si>
    <t>SECTION 2 - PUBLIC DRAINAGE (CONTINUE):</t>
  </si>
  <si>
    <t>MISCELLANEOUS PUBLIC DRAINAGE (CONTINUE):</t>
  </si>
  <si>
    <t>SECTION 4- MISCELLANEOUS PUBLIC IMPROVEMENTS (CONTINUE):</t>
  </si>
  <si>
    <t>PUBLIC WASTEWATER (CONTINUE):</t>
  </si>
  <si>
    <t>TOTAL COST ESTIMATE EROSION CONTROL:</t>
  </si>
  <si>
    <t>A project cost estimate shall include; a title sheet, separate cost estimate for grading plan, improvement plan and erosion control plan.  Attached is the City standard Format for submitting project cost estimate. The attached form may not include all the items in proposed plans.</t>
  </si>
  <si>
    <t>The engineer of work is responsible for including all items of work on the associated plans, including those not shown on the estimate.  In the case where items are not shown, the engineer of work shall estimate the cost.</t>
  </si>
  <si>
    <t>When the project estimate has been approved the front counter staff will send a bond and fee letter to the Owner/Developer listing all fees and securities that are required to be paid and posted prior to approval and signing of the plans.</t>
  </si>
  <si>
    <t xml:space="preserve">On rare occasions there are Public Improvements included in the grading plan and there is no separate Improvement Plan for the project. The Public Improvement items should be shown separately on the Improvement Plan cost estimate. This total should be shown on the Public Improvement item on Title Sheet.  </t>
  </si>
  <si>
    <t>PRIVATE PAVEMENT</t>
  </si>
  <si>
    <r>
      <t xml:space="preserve">SEWER MANHOLE, PER </t>
    </r>
    <r>
      <rPr>
        <sz val="12"/>
        <rFont val="Arial Narrow"/>
        <family val="2"/>
      </rPr>
      <t>CITY S-5  (3'X4' W/LINER &amp; LOCKING COVER)</t>
    </r>
  </si>
  <si>
    <t>PRIVATE WASTEWATER CONTINUE</t>
  </si>
  <si>
    <t xml:space="preserve">EROSION CONTROL COST ESTIMATE </t>
  </si>
  <si>
    <t>Total Cost Estimate:</t>
  </si>
</sst>
</file>

<file path=xl/styles.xml><?xml version="1.0" encoding="utf-8"?>
<styleSheet xmlns="http://schemas.openxmlformats.org/spreadsheetml/2006/main">
  <numFmts count="2">
    <numFmt numFmtId="8" formatCode="&quot;$&quot;#,##0.00_);[Red]\(&quot;$&quot;#,##0.00\)"/>
    <numFmt numFmtId="164" formatCode="&quot;$&quot;#,##0.00"/>
  </numFmts>
  <fonts count="32">
    <font>
      <sz val="10"/>
      <name val="Arial"/>
    </font>
    <font>
      <sz val="8"/>
      <name val="Arial"/>
      <family val="2"/>
    </font>
    <font>
      <sz val="12"/>
      <name val="Arial"/>
      <family val="2"/>
    </font>
    <font>
      <b/>
      <i/>
      <u/>
      <sz val="12"/>
      <name val="Arial"/>
      <family val="2"/>
    </font>
    <font>
      <b/>
      <sz val="12"/>
      <name val="Arial"/>
      <family val="2"/>
    </font>
    <font>
      <sz val="12"/>
      <name val="Arial Narrow"/>
      <family val="2"/>
    </font>
    <font>
      <sz val="12"/>
      <name val="Arial"/>
      <family val="2"/>
    </font>
    <font>
      <u/>
      <sz val="16"/>
      <name val="Arial"/>
      <family val="2"/>
    </font>
    <font>
      <sz val="11"/>
      <name val="Arial"/>
      <family val="2"/>
    </font>
    <font>
      <sz val="14"/>
      <name val="Arial"/>
      <family val="2"/>
    </font>
    <font>
      <u/>
      <sz val="14"/>
      <name val="Arial"/>
      <family val="2"/>
    </font>
    <font>
      <sz val="10"/>
      <name val="Arial"/>
      <family val="2"/>
    </font>
    <font>
      <sz val="12"/>
      <color indexed="22"/>
      <name val="Arial"/>
      <family val="2"/>
    </font>
    <font>
      <sz val="9"/>
      <name val="Arial"/>
      <family val="2"/>
    </font>
    <font>
      <b/>
      <sz val="20"/>
      <name val="Arial"/>
      <family val="2"/>
    </font>
    <font>
      <b/>
      <sz val="10"/>
      <name val="Arial"/>
      <family val="2"/>
    </font>
    <font>
      <sz val="14"/>
      <color indexed="55"/>
      <name val="Arial"/>
      <family val="2"/>
    </font>
    <font>
      <b/>
      <sz val="11"/>
      <color indexed="56"/>
      <name val="Calibri"/>
      <family val="2"/>
    </font>
    <font>
      <b/>
      <u/>
      <sz val="11"/>
      <color indexed="56"/>
      <name val="Calibri"/>
      <family val="2"/>
    </font>
    <font>
      <b/>
      <sz val="11"/>
      <name val="Arial"/>
      <family val="2"/>
    </font>
    <font>
      <b/>
      <u val="double"/>
      <sz val="11"/>
      <name val="Arial"/>
      <family val="2"/>
    </font>
    <font>
      <sz val="11"/>
      <name val="Arial Narrow"/>
      <family val="2"/>
    </font>
    <font>
      <sz val="11"/>
      <color indexed="10"/>
      <name val="Arial"/>
      <family val="2"/>
    </font>
    <font>
      <b/>
      <u val="double"/>
      <sz val="12"/>
      <name val="Arial"/>
      <family val="2"/>
    </font>
    <font>
      <u/>
      <sz val="11"/>
      <name val="Arial"/>
      <family val="2"/>
    </font>
    <font>
      <sz val="11"/>
      <color theme="1"/>
      <name val="Arial"/>
      <family val="2"/>
    </font>
    <font>
      <sz val="12"/>
      <color theme="1"/>
      <name val="Arial"/>
      <family val="2"/>
    </font>
    <font>
      <sz val="9"/>
      <color indexed="81"/>
      <name val="Tahoma"/>
      <charset val="1"/>
    </font>
    <font>
      <b/>
      <sz val="9"/>
      <color indexed="81"/>
      <name val="Tahoma"/>
      <charset val="1"/>
    </font>
    <font>
      <sz val="9"/>
      <color indexed="81"/>
      <name val="Tahoma"/>
      <family val="2"/>
    </font>
    <font>
      <b/>
      <sz val="9"/>
      <color indexed="81"/>
      <name val="Tahoma"/>
      <family val="2"/>
    </font>
    <font>
      <b/>
      <i/>
      <u val="double"/>
      <sz val="12"/>
      <name val="Arial"/>
      <family val="2"/>
    </font>
  </fonts>
  <fills count="3">
    <fill>
      <patternFill patternType="none"/>
    </fill>
    <fill>
      <patternFill patternType="gray125"/>
    </fill>
    <fill>
      <patternFill patternType="solid">
        <fgColor indexed="22"/>
        <bgColor indexed="64"/>
      </patternFill>
    </fill>
  </fills>
  <borders count="45">
    <border>
      <left/>
      <right/>
      <top/>
      <bottom/>
      <diagonal/>
    </border>
    <border>
      <left/>
      <right/>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style="thin">
        <color indexed="64"/>
      </bottom>
      <diagonal/>
    </border>
    <border>
      <left/>
      <right/>
      <top style="thin">
        <color indexed="64"/>
      </top>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double">
        <color indexed="64"/>
      </left>
      <right style="medium">
        <color indexed="64"/>
      </right>
      <top style="double">
        <color indexed="64"/>
      </top>
      <bottom style="thick">
        <color indexed="64"/>
      </bottom>
      <diagonal/>
    </border>
    <border>
      <left style="medium">
        <color indexed="64"/>
      </left>
      <right style="medium">
        <color indexed="64"/>
      </right>
      <top style="double">
        <color indexed="64"/>
      </top>
      <bottom style="thick">
        <color indexed="64"/>
      </bottom>
      <diagonal/>
    </border>
    <border>
      <left style="medium">
        <color indexed="64"/>
      </left>
      <right style="double">
        <color indexed="64"/>
      </right>
      <top style="double">
        <color indexed="64"/>
      </top>
      <bottom style="thick">
        <color indexed="64"/>
      </bottom>
      <diagonal/>
    </border>
    <border>
      <left style="double">
        <color indexed="64"/>
      </left>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diagonal/>
    </border>
    <border>
      <left/>
      <right style="double">
        <color indexed="64"/>
      </right>
      <top/>
      <bottom style="thin">
        <color indexed="64"/>
      </bottom>
      <diagonal/>
    </border>
    <border>
      <left/>
      <right style="double">
        <color indexed="64"/>
      </right>
      <top/>
      <bottom/>
      <diagonal/>
    </border>
    <border>
      <left/>
      <right style="double">
        <color indexed="64"/>
      </right>
      <top/>
      <bottom style="double">
        <color indexed="64"/>
      </bottom>
      <diagonal/>
    </border>
    <border>
      <left/>
      <right/>
      <top style="thick">
        <color indexed="64"/>
      </top>
      <bottom/>
      <diagonal/>
    </border>
    <border>
      <left/>
      <right style="double">
        <color indexed="64"/>
      </right>
      <top style="thick">
        <color indexed="64"/>
      </top>
      <bottom/>
      <diagonal/>
    </border>
    <border>
      <left style="double">
        <color indexed="64"/>
      </left>
      <right style="thin">
        <color indexed="64"/>
      </right>
      <top style="thin">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thin">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right style="double">
        <color indexed="64"/>
      </right>
      <top style="thin">
        <color indexed="64"/>
      </top>
      <bottom style="thin">
        <color indexed="64"/>
      </bottom>
      <diagonal/>
    </border>
    <border>
      <left style="double">
        <color indexed="64"/>
      </left>
      <right/>
      <top style="thick">
        <color indexed="64"/>
      </top>
      <bottom/>
      <diagonal/>
    </border>
    <border>
      <left style="double">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s>
  <cellStyleXfs count="1">
    <xf numFmtId="0" fontId="0" fillId="0" borderId="0"/>
  </cellStyleXfs>
  <cellXfs count="293">
    <xf numFmtId="0" fontId="0" fillId="0" borderId="0" xfId="0"/>
    <xf numFmtId="0" fontId="2" fillId="0" borderId="0" xfId="0" applyFont="1"/>
    <xf numFmtId="0" fontId="2" fillId="0" borderId="0" xfId="0" applyFont="1" applyAlignment="1">
      <alignment horizontal="center"/>
    </xf>
    <xf numFmtId="0" fontId="2" fillId="0" borderId="1" xfId="0" applyFont="1" applyBorder="1"/>
    <xf numFmtId="0" fontId="2" fillId="0" borderId="1" xfId="0" applyFont="1" applyBorder="1" applyAlignment="1">
      <alignment horizontal="center"/>
    </xf>
    <xf numFmtId="0" fontId="2" fillId="0" borderId="0" xfId="0" applyFont="1" applyBorder="1" applyAlignment="1">
      <alignment horizontal="center"/>
    </xf>
    <xf numFmtId="0" fontId="2" fillId="0" borderId="0" xfId="0" applyFont="1" applyBorder="1"/>
    <xf numFmtId="0" fontId="2" fillId="0" borderId="3" xfId="0" applyFont="1" applyBorder="1"/>
    <xf numFmtId="0" fontId="2" fillId="0" borderId="4" xfId="0" applyFont="1" applyBorder="1"/>
    <xf numFmtId="0" fontId="2" fillId="0" borderId="5" xfId="0" applyFont="1" applyBorder="1" applyAlignment="1">
      <alignment horizontal="center"/>
    </xf>
    <xf numFmtId="0" fontId="2" fillId="0" borderId="0" xfId="0" applyFont="1" applyBorder="1" applyAlignment="1">
      <alignment horizontal="right"/>
    </xf>
    <xf numFmtId="0" fontId="2" fillId="0" borderId="5" xfId="0" applyFont="1" applyBorder="1"/>
    <xf numFmtId="8" fontId="2" fillId="0" borderId="5" xfId="0" applyNumberFormat="1" applyFont="1" applyBorder="1" applyAlignment="1">
      <alignment horizontal="right"/>
    </xf>
    <xf numFmtId="0" fontId="2" fillId="0" borderId="5" xfId="0" applyFont="1" applyBorder="1" applyAlignment="1">
      <alignment horizontal="right"/>
    </xf>
    <xf numFmtId="0" fontId="2" fillId="0" borderId="5" xfId="0" applyFont="1" applyFill="1" applyBorder="1" applyAlignment="1">
      <alignment horizontal="center"/>
    </xf>
    <xf numFmtId="0" fontId="2" fillId="0" borderId="6" xfId="0" applyFont="1" applyBorder="1"/>
    <xf numFmtId="0" fontId="5" fillId="0" borderId="4" xfId="0" applyFont="1" applyBorder="1"/>
    <xf numFmtId="0" fontId="2" fillId="0" borderId="7" xfId="0" applyFont="1" applyBorder="1"/>
    <xf numFmtId="0" fontId="2" fillId="0" borderId="2" xfId="0" applyFont="1" applyBorder="1"/>
    <xf numFmtId="0" fontId="2" fillId="0" borderId="8" xfId="0" applyFont="1" applyBorder="1"/>
    <xf numFmtId="8" fontId="2" fillId="0" borderId="8" xfId="0" applyNumberFormat="1" applyFont="1" applyBorder="1" applyAlignment="1">
      <alignment horizontal="right"/>
    </xf>
    <xf numFmtId="0" fontId="2" fillId="0" borderId="3" xfId="0" applyFont="1" applyBorder="1" applyAlignment="1">
      <alignment horizontal="right"/>
    </xf>
    <xf numFmtId="0" fontId="8" fillId="0" borderId="0" xfId="0" applyFont="1" applyAlignment="1">
      <alignment horizontal="center"/>
    </xf>
    <xf numFmtId="0" fontId="8" fillId="0" borderId="0" xfId="0" applyFont="1" applyAlignment="1">
      <alignment horizontal="right"/>
    </xf>
    <xf numFmtId="0" fontId="10" fillId="0" borderId="0" xfId="0" applyFont="1" applyAlignment="1">
      <alignment horizontal="center"/>
    </xf>
    <xf numFmtId="0" fontId="6" fillId="0" borderId="0" xfId="0" applyFont="1"/>
    <xf numFmtId="0" fontId="10" fillId="0" borderId="0" xfId="0" applyFont="1" applyBorder="1" applyAlignment="1">
      <alignment horizontal="center"/>
    </xf>
    <xf numFmtId="0" fontId="0" fillId="0" borderId="0" xfId="0" applyBorder="1"/>
    <xf numFmtId="0" fontId="0" fillId="0" borderId="9" xfId="0" applyBorder="1"/>
    <xf numFmtId="0" fontId="6" fillId="0" borderId="10" xfId="0" applyFont="1" applyBorder="1"/>
    <xf numFmtId="0" fontId="6" fillId="0" borderId="0" xfId="0" applyFont="1" applyBorder="1"/>
    <xf numFmtId="0" fontId="11" fillId="0" borderId="0" xfId="0" applyFont="1" applyAlignment="1">
      <alignment horizontal="left"/>
    </xf>
    <xf numFmtId="0" fontId="6" fillId="0" borderId="0" xfId="0" applyFont="1" applyAlignment="1">
      <alignment horizontal="right"/>
    </xf>
    <xf numFmtId="0" fontId="6" fillId="0" borderId="0" xfId="0" applyFont="1" applyBorder="1" applyAlignment="1">
      <alignment horizontal="right"/>
    </xf>
    <xf numFmtId="0" fontId="6" fillId="0" borderId="11" xfId="0" applyFont="1" applyBorder="1" applyAlignment="1">
      <alignment horizontal="right"/>
    </xf>
    <xf numFmtId="0" fontId="6" fillId="0" borderId="11" xfId="0" applyFont="1" applyBorder="1"/>
    <xf numFmtId="0" fontId="6" fillId="0" borderId="0" xfId="0" applyFont="1" applyAlignment="1">
      <alignment horizontal="left"/>
    </xf>
    <xf numFmtId="0" fontId="6" fillId="0" borderId="0" xfId="0" applyFont="1" applyAlignment="1"/>
    <xf numFmtId="0" fontId="6" fillId="0" borderId="11" xfId="0" applyFont="1" applyBorder="1" applyAlignment="1"/>
    <xf numFmtId="0" fontId="11" fillId="0" borderId="0" xfId="0" applyFont="1"/>
    <xf numFmtId="0" fontId="6" fillId="0" borderId="0" xfId="0" applyFont="1" applyBorder="1" applyAlignment="1">
      <alignment horizontal="center"/>
    </xf>
    <xf numFmtId="0" fontId="0" fillId="0" borderId="10" xfId="0" applyBorder="1"/>
    <xf numFmtId="0" fontId="8" fillId="0" borderId="0" xfId="0" applyFont="1" applyBorder="1" applyAlignment="1">
      <alignment horizontal="center"/>
    </xf>
    <xf numFmtId="0" fontId="8" fillId="0" borderId="0" xfId="0" applyFont="1"/>
    <xf numFmtId="0" fontId="6" fillId="0" borderId="0" xfId="0" applyFont="1" applyBorder="1" applyAlignment="1">
      <alignment horizontal="center" vertical="center"/>
    </xf>
    <xf numFmtId="0" fontId="6" fillId="0" borderId="9" xfId="0" applyFont="1" applyBorder="1"/>
    <xf numFmtId="0" fontId="13" fillId="0" borderId="0" xfId="0" applyFont="1" applyBorder="1" applyAlignment="1">
      <alignment horizontal="right"/>
    </xf>
    <xf numFmtId="0" fontId="9" fillId="0" borderId="0" xfId="0" applyFont="1" applyAlignment="1">
      <alignment horizontal="right"/>
    </xf>
    <xf numFmtId="0" fontId="4" fillId="2" borderId="12" xfId="0" applyFont="1" applyFill="1" applyBorder="1"/>
    <xf numFmtId="0" fontId="4" fillId="2" borderId="13" xfId="0" applyFont="1" applyFill="1" applyBorder="1" applyAlignment="1">
      <alignment horizontal="center"/>
    </xf>
    <xf numFmtId="4" fontId="4" fillId="2" borderId="14" xfId="0" applyNumberFormat="1" applyFont="1" applyFill="1" applyBorder="1" applyAlignment="1">
      <alignment horizontal="center"/>
    </xf>
    <xf numFmtId="0" fontId="15" fillId="0" borderId="0" xfId="0" applyFont="1" applyAlignment="1">
      <alignment horizontal="right"/>
    </xf>
    <xf numFmtId="4" fontId="15" fillId="0" borderId="0" xfId="0" applyNumberFormat="1" applyFont="1"/>
    <xf numFmtId="8" fontId="2" fillId="0" borderId="16" xfId="0" applyNumberFormat="1" applyFont="1" applyBorder="1"/>
    <xf numFmtId="0" fontId="4" fillId="2" borderId="13" xfId="0" applyFont="1" applyFill="1" applyBorder="1" applyAlignment="1">
      <alignment horizontal="center" wrapText="1"/>
    </xf>
    <xf numFmtId="0" fontId="12" fillId="0" borderId="0" xfId="0" applyFont="1" applyBorder="1" applyAlignment="1">
      <alignment horizontal="center" vertical="center"/>
    </xf>
    <xf numFmtId="8" fontId="2" fillId="0" borderId="3" xfId="0" applyNumberFormat="1" applyFont="1" applyBorder="1" applyAlignment="1">
      <alignment horizontal="right"/>
    </xf>
    <xf numFmtId="0" fontId="2" fillId="0" borderId="17" xfId="0" applyFont="1" applyBorder="1"/>
    <xf numFmtId="0" fontId="2" fillId="0" borderId="8" xfId="0" applyFont="1" applyBorder="1" applyAlignment="1">
      <alignment horizontal="center"/>
    </xf>
    <xf numFmtId="0" fontId="2" fillId="0" borderId="18" xfId="0" applyFont="1" applyBorder="1" applyAlignment="1">
      <alignment horizontal="right"/>
    </xf>
    <xf numFmtId="8" fontId="2" fillId="0" borderId="18" xfId="0" applyNumberFormat="1" applyFont="1" applyBorder="1" applyAlignment="1">
      <alignment horizontal="right"/>
    </xf>
    <xf numFmtId="0" fontId="2" fillId="0" borderId="20" xfId="0" applyFont="1" applyBorder="1" applyAlignment="1">
      <alignment horizontal="right"/>
    </xf>
    <xf numFmtId="0" fontId="2" fillId="0" borderId="20" xfId="0" applyFont="1" applyBorder="1"/>
    <xf numFmtId="0" fontId="2" fillId="0" borderId="8" xfId="0" applyFont="1" applyBorder="1" applyAlignment="1">
      <alignment horizontal="right"/>
    </xf>
    <xf numFmtId="0" fontId="10" fillId="0" borderId="10" xfId="0" applyFont="1" applyBorder="1" applyAlignment="1">
      <alignment horizontal="center"/>
    </xf>
    <xf numFmtId="0" fontId="8" fillId="0" borderId="10" xfId="0" applyFont="1" applyBorder="1" applyAlignment="1">
      <alignment horizontal="center"/>
    </xf>
    <xf numFmtId="0" fontId="0" fillId="0" borderId="10" xfId="0" applyBorder="1" applyAlignment="1"/>
    <xf numFmtId="0" fontId="16" fillId="0" borderId="0" xfId="0" applyFont="1" applyBorder="1" applyAlignment="1">
      <alignment horizontal="center" vertical="center"/>
    </xf>
    <xf numFmtId="0" fontId="17" fillId="0" borderId="0" xfId="0" applyFont="1"/>
    <xf numFmtId="0" fontId="6" fillId="0" borderId="4" xfId="0" applyFont="1" applyBorder="1"/>
    <xf numFmtId="0" fontId="2" fillId="0" borderId="25" xfId="0" applyFont="1" applyBorder="1"/>
    <xf numFmtId="0" fontId="2" fillId="0" borderId="27" xfId="0" applyFont="1" applyBorder="1"/>
    <xf numFmtId="0" fontId="15" fillId="0" borderId="0" xfId="0" applyFont="1" applyBorder="1" applyAlignment="1">
      <alignment horizontal="right"/>
    </xf>
    <xf numFmtId="0" fontId="15" fillId="0" borderId="25" xfId="0" applyFont="1" applyBorder="1"/>
    <xf numFmtId="0" fontId="8" fillId="0" borderId="25" xfId="0" applyFont="1" applyBorder="1"/>
    <xf numFmtId="0" fontId="18" fillId="0" borderId="25" xfId="0" applyFont="1" applyBorder="1"/>
    <xf numFmtId="0" fontId="2" fillId="0" borderId="26" xfId="0" applyFont="1" applyBorder="1"/>
    <xf numFmtId="0" fontId="2" fillId="0" borderId="21" xfId="0" applyFont="1" applyBorder="1"/>
    <xf numFmtId="0" fontId="6" fillId="0" borderId="8" xfId="0" applyFont="1" applyBorder="1"/>
    <xf numFmtId="0" fontId="6" fillId="0" borderId="2" xfId="0" applyFont="1" applyBorder="1"/>
    <xf numFmtId="0" fontId="7" fillId="0" borderId="0" xfId="0" applyFont="1" applyAlignment="1">
      <alignment horizontal="center"/>
    </xf>
    <xf numFmtId="0" fontId="9" fillId="0" borderId="0" xfId="0" applyFont="1" applyAlignment="1">
      <alignment horizontal="center"/>
    </xf>
    <xf numFmtId="0" fontId="11" fillId="0" borderId="10" xfId="0" applyFont="1" applyBorder="1"/>
    <xf numFmtId="0" fontId="11" fillId="0" borderId="0" xfId="0" applyFont="1" applyBorder="1"/>
    <xf numFmtId="0" fontId="9" fillId="0" borderId="0" xfId="0" applyFont="1" applyAlignment="1">
      <alignment horizontal="center" vertical="center"/>
    </xf>
    <xf numFmtId="0" fontId="9" fillId="0" borderId="34" xfId="0" applyFont="1" applyBorder="1"/>
    <xf numFmtId="0" fontId="9" fillId="0" borderId="35" xfId="0" applyFont="1" applyBorder="1"/>
    <xf numFmtId="4" fontId="9" fillId="0" borderId="36" xfId="0" applyNumberFormat="1" applyFont="1" applyBorder="1"/>
    <xf numFmtId="0" fontId="14" fillId="0" borderId="25" xfId="0" applyFont="1" applyBorder="1" applyAlignment="1">
      <alignment horizontal="centerContinuous"/>
    </xf>
    <xf numFmtId="0" fontId="0" fillId="0" borderId="0" xfId="0" applyBorder="1" applyAlignment="1">
      <alignment horizontal="centerContinuous"/>
    </xf>
    <xf numFmtId="4" fontId="0" fillId="0" borderId="20" xfId="0" applyNumberFormat="1" applyBorder="1" applyAlignment="1">
      <alignment horizontal="centerContinuous"/>
    </xf>
    <xf numFmtId="0" fontId="8" fillId="0" borderId="5" xfId="0" applyFont="1" applyBorder="1"/>
    <xf numFmtId="0" fontId="8" fillId="0" borderId="5" xfId="0" applyFont="1" applyBorder="1" applyAlignment="1">
      <alignment horizontal="center"/>
    </xf>
    <xf numFmtId="8" fontId="8" fillId="0" borderId="5" xfId="0" applyNumberFormat="1" applyFont="1" applyBorder="1" applyAlignment="1">
      <alignment horizontal="right"/>
    </xf>
    <xf numFmtId="8" fontId="8" fillId="0" borderId="16" xfId="0" applyNumberFormat="1" applyFont="1" applyBorder="1"/>
    <xf numFmtId="0" fontId="19" fillId="0" borderId="16" xfId="0" applyFont="1" applyBorder="1" applyAlignment="1">
      <alignment horizontal="right"/>
    </xf>
    <xf numFmtId="0" fontId="8" fillId="0" borderId="5" xfId="0" applyFont="1" applyBorder="1" applyAlignment="1">
      <alignment horizontal="right"/>
    </xf>
    <xf numFmtId="0" fontId="8" fillId="0" borderId="5" xfId="0" applyFont="1" applyBorder="1" applyAlignment="1"/>
    <xf numFmtId="0" fontId="8" fillId="0" borderId="24" xfId="0" applyFont="1" applyBorder="1"/>
    <xf numFmtId="0" fontId="8" fillId="0" borderId="5" xfId="0" applyFont="1" applyFill="1" applyBorder="1" applyAlignment="1">
      <alignment horizontal="center"/>
    </xf>
    <xf numFmtId="0" fontId="8" fillId="0" borderId="24" xfId="0" applyFont="1" applyBorder="1" applyAlignment="1">
      <alignment wrapText="1"/>
    </xf>
    <xf numFmtId="0" fontId="8" fillId="0" borderId="8" xfId="0" applyFont="1" applyBorder="1"/>
    <xf numFmtId="0" fontId="8" fillId="0" borderId="8" xfId="0" applyFont="1" applyBorder="1" applyAlignment="1">
      <alignment horizontal="center"/>
    </xf>
    <xf numFmtId="0" fontId="20" fillId="0" borderId="25" xfId="0" applyFont="1" applyBorder="1"/>
    <xf numFmtId="0" fontId="8" fillId="0" borderId="0" xfId="0" applyFont="1" applyBorder="1"/>
    <xf numFmtId="8" fontId="8" fillId="0" borderId="8" xfId="0" applyNumberFormat="1" applyFont="1" applyBorder="1" applyAlignment="1">
      <alignment horizontal="right"/>
    </xf>
    <xf numFmtId="0" fontId="8" fillId="0" borderId="2" xfId="0" applyFont="1" applyBorder="1"/>
    <xf numFmtId="0" fontId="8" fillId="0" borderId="2" xfId="0" applyFont="1" applyBorder="1" applyAlignment="1">
      <alignment horizontal="center"/>
    </xf>
    <xf numFmtId="8" fontId="8" fillId="0" borderId="3" xfId="0" applyNumberFormat="1" applyFont="1" applyBorder="1" applyAlignment="1">
      <alignment horizontal="right"/>
    </xf>
    <xf numFmtId="8" fontId="8" fillId="0" borderId="0" xfId="0" applyNumberFormat="1" applyFont="1" applyBorder="1" applyAlignment="1">
      <alignment horizontal="right"/>
    </xf>
    <xf numFmtId="8" fontId="8" fillId="0" borderId="20" xfId="0" applyNumberFormat="1" applyFont="1" applyBorder="1"/>
    <xf numFmtId="0" fontId="8" fillId="0" borderId="17" xfId="0" applyFont="1" applyBorder="1"/>
    <xf numFmtId="8" fontId="8" fillId="0" borderId="2" xfId="0" applyNumberFormat="1" applyFont="1" applyBorder="1" applyAlignment="1">
      <alignment horizontal="right"/>
    </xf>
    <xf numFmtId="0" fontId="8" fillId="0" borderId="26" xfId="0" applyFont="1" applyBorder="1"/>
    <xf numFmtId="0" fontId="8" fillId="0" borderId="1" xfId="0" applyFont="1" applyBorder="1"/>
    <xf numFmtId="0" fontId="8" fillId="0" borderId="21" xfId="0" applyFont="1" applyBorder="1"/>
    <xf numFmtId="8" fontId="8" fillId="0" borderId="19" xfId="0" applyNumberFormat="1" applyFont="1" applyBorder="1"/>
    <xf numFmtId="0" fontId="8" fillId="0" borderId="0" xfId="0" applyFont="1" applyBorder="1" applyAlignment="1">
      <alignment horizontal="center"/>
    </xf>
    <xf numFmtId="0" fontId="2" fillId="0" borderId="5" xfId="0" applyFont="1" applyBorder="1"/>
    <xf numFmtId="0" fontId="23" fillId="0" borderId="25" xfId="0" applyFont="1" applyBorder="1"/>
    <xf numFmtId="0" fontId="8" fillId="0" borderId="17" xfId="0" applyFont="1" applyBorder="1" applyAlignment="1">
      <alignment wrapText="1"/>
    </xf>
    <xf numFmtId="0" fontId="21" fillId="0" borderId="17" xfId="0" applyFont="1" applyBorder="1" applyAlignment="1">
      <alignment wrapText="1"/>
    </xf>
    <xf numFmtId="0" fontId="21" fillId="0" borderId="5" xfId="0" applyFont="1" applyBorder="1"/>
    <xf numFmtId="0" fontId="8" fillId="0" borderId="17" xfId="0" quotePrefix="1" applyFont="1" applyBorder="1"/>
    <xf numFmtId="0" fontId="8" fillId="0" borderId="17" xfId="0" applyFont="1" applyFill="1" applyBorder="1"/>
    <xf numFmtId="0" fontId="19" fillId="0" borderId="3" xfId="0" applyFont="1" applyBorder="1" applyAlignment="1">
      <alignment horizontal="right"/>
    </xf>
    <xf numFmtId="0" fontId="8" fillId="0" borderId="17" xfId="0" applyFont="1" applyBorder="1" applyAlignment="1">
      <alignment horizontal="right"/>
    </xf>
    <xf numFmtId="0" fontId="8" fillId="0" borderId="3" xfId="0" applyFont="1" applyBorder="1" applyAlignment="1">
      <alignment horizontal="right"/>
    </xf>
    <xf numFmtId="0" fontId="8" fillId="0" borderId="16" xfId="0" applyFont="1" applyBorder="1" applyAlignment="1">
      <alignment horizontal="right"/>
    </xf>
    <xf numFmtId="0" fontId="21" fillId="0" borderId="5" xfId="0" applyFont="1" applyBorder="1" applyAlignment="1">
      <alignment horizontal="center"/>
    </xf>
    <xf numFmtId="0" fontId="8" fillId="0" borderId="4" xfId="0" applyFont="1" applyBorder="1"/>
    <xf numFmtId="0" fontId="8" fillId="0" borderId="17" xfId="0" applyFont="1" applyBorder="1" applyAlignment="1">
      <alignment horizontal="left" wrapText="1"/>
    </xf>
    <xf numFmtId="0" fontId="8" fillId="0" borderId="0" xfId="0" applyFont="1" applyAlignment="1">
      <alignment vertical="center"/>
    </xf>
    <xf numFmtId="0" fontId="8" fillId="0" borderId="0" xfId="0" applyFont="1" applyAlignment="1">
      <alignment vertical="center"/>
    </xf>
    <xf numFmtId="0" fontId="24" fillId="0" borderId="0" xfId="0" applyFont="1" applyAlignment="1">
      <alignment horizontal="center" vertical="center"/>
    </xf>
    <xf numFmtId="0" fontId="8" fillId="0" borderId="0" xfId="0" applyFont="1" applyBorder="1" applyAlignment="1">
      <alignment vertical="center"/>
    </xf>
    <xf numFmtId="0" fontId="8" fillId="0" borderId="0" xfId="0" applyFont="1" applyAlignment="1">
      <alignment vertical="center" wrapText="1"/>
    </xf>
    <xf numFmtId="0" fontId="8" fillId="0" borderId="22" xfId="0" applyFont="1" applyBorder="1"/>
    <xf numFmtId="0" fontId="2" fillId="0" borderId="4" xfId="0" applyFont="1" applyBorder="1" applyAlignment="1">
      <alignment wrapText="1"/>
    </xf>
    <xf numFmtId="0" fontId="2" fillId="0" borderId="0" xfId="0" applyFont="1" applyBorder="1" applyAlignment="1">
      <alignment wrapText="1"/>
    </xf>
    <xf numFmtId="0" fontId="2" fillId="0" borderId="0" xfId="0" applyFont="1" applyAlignment="1">
      <alignment wrapText="1"/>
    </xf>
    <xf numFmtId="0" fontId="25" fillId="0" borderId="17" xfId="0" applyFont="1" applyBorder="1" applyAlignment="1">
      <alignment wrapText="1"/>
    </xf>
    <xf numFmtId="0" fontId="26" fillId="0" borderId="17" xfId="0" applyFont="1" applyBorder="1" applyAlignment="1">
      <alignment wrapText="1"/>
    </xf>
    <xf numFmtId="0" fontId="25" fillId="0" borderId="17" xfId="0" applyFont="1" applyBorder="1"/>
    <xf numFmtId="0" fontId="2" fillId="0" borderId="42" xfId="0" applyFont="1" applyBorder="1"/>
    <xf numFmtId="0" fontId="2" fillId="0" borderId="43" xfId="0" applyFont="1" applyBorder="1"/>
    <xf numFmtId="0" fontId="2" fillId="0" borderId="43" xfId="0" applyFont="1" applyFill="1" applyBorder="1" applyAlignment="1">
      <alignment horizontal="center"/>
    </xf>
    <xf numFmtId="8" fontId="2" fillId="0" borderId="43" xfId="0" applyNumberFormat="1" applyFont="1" applyBorder="1" applyAlignment="1">
      <alignment horizontal="right"/>
    </xf>
    <xf numFmtId="8" fontId="2" fillId="0" borderId="44" xfId="0" applyNumberFormat="1" applyFont="1" applyBorder="1"/>
    <xf numFmtId="0" fontId="2" fillId="0" borderId="34" xfId="0" applyFont="1" applyBorder="1"/>
    <xf numFmtId="0" fontId="2" fillId="0" borderId="35" xfId="0" applyFont="1" applyBorder="1"/>
    <xf numFmtId="0" fontId="2" fillId="0" borderId="36" xfId="0" applyFont="1" applyBorder="1"/>
    <xf numFmtId="164" fontId="15" fillId="0" borderId="20" xfId="0" applyNumberFormat="1" applyFont="1" applyBorder="1"/>
    <xf numFmtId="4" fontId="0" fillId="0" borderId="20" xfId="0" applyNumberFormat="1" applyBorder="1"/>
    <xf numFmtId="164" fontId="15" fillId="0" borderId="20" xfId="0" applyNumberFormat="1" applyFont="1" applyBorder="1" applyAlignment="1">
      <alignment horizontal="right"/>
    </xf>
    <xf numFmtId="0" fontId="0" fillId="0" borderId="1" xfId="0" applyBorder="1" applyAlignment="1">
      <alignment horizontal="center"/>
    </xf>
    <xf numFmtId="4" fontId="0" fillId="0" borderId="21" xfId="0" applyNumberFormat="1" applyBorder="1"/>
    <xf numFmtId="0" fontId="3" fillId="0" borderId="17" xfId="0" applyFont="1" applyBorder="1"/>
    <xf numFmtId="0" fontId="2" fillId="0" borderId="40" xfId="0" applyFont="1" applyBorder="1" applyAlignment="1">
      <alignment horizontal="right"/>
    </xf>
    <xf numFmtId="0" fontId="8" fillId="0" borderId="41" xfId="0" applyFont="1" applyFill="1" applyBorder="1"/>
    <xf numFmtId="0" fontId="8" fillId="0" borderId="15" xfId="0" applyFont="1" applyFill="1" applyBorder="1"/>
    <xf numFmtId="8" fontId="8" fillId="0" borderId="23" xfId="0" applyNumberFormat="1" applyFont="1" applyBorder="1"/>
    <xf numFmtId="8" fontId="8" fillId="0" borderId="22" xfId="0" applyNumberFormat="1" applyFont="1" applyBorder="1" applyAlignment="1">
      <alignment horizontal="right"/>
    </xf>
    <xf numFmtId="0" fontId="8" fillId="0" borderId="22" xfId="0" applyFont="1" applyBorder="1" applyAlignment="1">
      <alignment horizontal="center"/>
    </xf>
    <xf numFmtId="0" fontId="25" fillId="0" borderId="24" xfId="0" applyFont="1" applyBorder="1" applyAlignment="1">
      <alignment wrapText="1"/>
    </xf>
    <xf numFmtId="0" fontId="25" fillId="0" borderId="24" xfId="0" applyFont="1" applyBorder="1"/>
    <xf numFmtId="0" fontId="25" fillId="0" borderId="24" xfId="0" applyFont="1" applyBorder="1" applyAlignment="1">
      <alignment horizontal="left" wrapText="1"/>
    </xf>
    <xf numFmtId="0" fontId="8" fillId="0" borderId="0" xfId="0" applyFont="1" applyBorder="1" applyAlignment="1">
      <alignment horizontal="left"/>
    </xf>
    <xf numFmtId="0" fontId="8" fillId="0" borderId="0" xfId="0" applyFont="1" applyAlignment="1">
      <alignment horizontal="left" vertical="top"/>
    </xf>
    <xf numFmtId="0" fontId="8" fillId="0" borderId="0" xfId="0" applyFont="1" applyBorder="1" applyAlignment="1">
      <alignment horizontal="left" vertical="top"/>
    </xf>
    <xf numFmtId="0" fontId="8" fillId="0" borderId="0" xfId="0" applyFont="1" applyAlignment="1">
      <alignment horizontal="left" vertical="top" wrapText="1"/>
    </xf>
    <xf numFmtId="0" fontId="2" fillId="0" borderId="4" xfId="0" applyFont="1" applyFill="1" applyBorder="1"/>
    <xf numFmtId="0" fontId="2" fillId="0" borderId="0" xfId="0" applyFont="1" applyFill="1"/>
    <xf numFmtId="0" fontId="8" fillId="0" borderId="5" xfId="0" applyFont="1" applyFill="1" applyBorder="1"/>
    <xf numFmtId="8" fontId="8" fillId="0" borderId="3" xfId="0" applyNumberFormat="1" applyFont="1" applyFill="1" applyBorder="1" applyAlignment="1">
      <alignment horizontal="right"/>
    </xf>
    <xf numFmtId="8" fontId="8" fillId="0" borderId="16" xfId="0" applyNumberFormat="1" applyFont="1" applyFill="1" applyBorder="1"/>
    <xf numFmtId="0" fontId="8" fillId="0" borderId="4" xfId="0" applyFont="1" applyFill="1" applyBorder="1"/>
    <xf numFmtId="0" fontId="8" fillId="0" borderId="0" xfId="0" applyFont="1" applyFill="1"/>
    <xf numFmtId="0" fontId="8" fillId="0" borderId="8" xfId="0" applyFont="1" applyFill="1" applyBorder="1"/>
    <xf numFmtId="0" fontId="2" fillId="0" borderId="27" xfId="0" applyFont="1" applyFill="1" applyBorder="1"/>
    <xf numFmtId="0" fontId="2" fillId="0" borderId="8" xfId="0" applyFont="1" applyFill="1" applyBorder="1"/>
    <xf numFmtId="0" fontId="2" fillId="0" borderId="8" xfId="0" applyFont="1" applyFill="1" applyBorder="1" applyAlignment="1">
      <alignment horizontal="center"/>
    </xf>
    <xf numFmtId="0" fontId="15" fillId="0" borderId="8" xfId="0" applyFont="1" applyFill="1" applyBorder="1" applyAlignment="1">
      <alignment horizontal="right"/>
    </xf>
    <xf numFmtId="0" fontId="2" fillId="0" borderId="25" xfId="0" applyFont="1" applyFill="1" applyBorder="1"/>
    <xf numFmtId="0" fontId="2" fillId="0" borderId="0" xfId="0" applyFont="1" applyFill="1" applyBorder="1"/>
    <xf numFmtId="0" fontId="2" fillId="0" borderId="0" xfId="0" applyFont="1" applyFill="1" applyBorder="1" applyAlignment="1">
      <alignment horizontal="center"/>
    </xf>
    <xf numFmtId="0" fontId="0" fillId="0" borderId="0" xfId="0" applyFill="1" applyBorder="1"/>
    <xf numFmtId="0" fontId="3" fillId="0" borderId="25" xfId="0" applyFont="1" applyFill="1" applyBorder="1"/>
    <xf numFmtId="0" fontId="15" fillId="0" borderId="0" xfId="0" applyFont="1" applyFill="1" applyBorder="1" applyAlignment="1">
      <alignment horizontal="right"/>
    </xf>
    <xf numFmtId="0" fontId="2" fillId="0" borderId="1" xfId="0" applyFont="1" applyFill="1" applyBorder="1"/>
    <xf numFmtId="164" fontId="15" fillId="0" borderId="19" xfId="0" applyNumberFormat="1" applyFont="1" applyFill="1" applyBorder="1"/>
    <xf numFmtId="164" fontId="15" fillId="0" borderId="40" xfId="0" applyNumberFormat="1" applyFont="1" applyFill="1" applyBorder="1" applyAlignment="1">
      <alignment horizontal="right"/>
    </xf>
    <xf numFmtId="164" fontId="0" fillId="0" borderId="20" xfId="0" applyNumberFormat="1" applyFill="1" applyBorder="1" applyAlignment="1">
      <alignment horizontal="right"/>
    </xf>
    <xf numFmtId="164" fontId="15" fillId="0" borderId="19" xfId="0" applyNumberFormat="1" applyFont="1" applyFill="1" applyBorder="1" applyAlignment="1">
      <alignment horizontal="right"/>
    </xf>
    <xf numFmtId="0" fontId="0" fillId="0" borderId="2" xfId="0" applyBorder="1"/>
    <xf numFmtId="0" fontId="2" fillId="0" borderId="0" xfId="0" applyFont="1" applyAlignment="1">
      <alignment vertical="top"/>
    </xf>
    <xf numFmtId="164" fontId="0" fillId="0" borderId="10" xfId="0" applyNumberFormat="1" applyBorder="1"/>
    <xf numFmtId="0" fontId="3" fillId="0" borderId="15" xfId="0" applyFont="1" applyBorder="1"/>
    <xf numFmtId="0" fontId="2" fillId="0" borderId="2" xfId="0" applyFont="1" applyBorder="1" applyAlignment="1">
      <alignment horizontal="center"/>
    </xf>
    <xf numFmtId="0" fontId="2" fillId="0" borderId="2" xfId="0" applyFont="1" applyBorder="1" applyAlignment="1">
      <alignment horizontal="right"/>
    </xf>
    <xf numFmtId="0" fontId="2" fillId="0" borderId="19" xfId="0" applyFont="1" applyBorder="1" applyAlignment="1">
      <alignment horizontal="right"/>
    </xf>
    <xf numFmtId="0" fontId="2" fillId="0" borderId="4" xfId="0" applyFont="1" applyBorder="1" applyAlignment="1">
      <alignment horizontal="center"/>
    </xf>
    <xf numFmtId="0" fontId="2" fillId="0" borderId="4" xfId="0" applyFont="1" applyBorder="1" applyAlignment="1">
      <alignment horizontal="right"/>
    </xf>
    <xf numFmtId="0" fontId="2" fillId="0" borderId="20" xfId="0" applyFont="1" applyFill="1" applyBorder="1"/>
    <xf numFmtId="0" fontId="2" fillId="0" borderId="15" xfId="0" applyFont="1" applyBorder="1"/>
    <xf numFmtId="0" fontId="2" fillId="0" borderId="5" xfId="0" applyFont="1" applyBorder="1" applyAlignment="1">
      <alignment horizontal="right"/>
    </xf>
    <xf numFmtId="0" fontId="2" fillId="0" borderId="5" xfId="0" applyFont="1" applyBorder="1"/>
    <xf numFmtId="8" fontId="2" fillId="0" borderId="0" xfId="0" applyNumberFormat="1" applyFont="1" applyBorder="1" applyAlignment="1">
      <alignment horizontal="right"/>
    </xf>
    <xf numFmtId="8" fontId="2" fillId="0" borderId="20" xfId="0" applyNumberFormat="1" applyFont="1" applyBorder="1"/>
    <xf numFmtId="0" fontId="2" fillId="0" borderId="15" xfId="0" applyFont="1" applyFill="1" applyBorder="1"/>
    <xf numFmtId="8" fontId="2" fillId="0" borderId="2" xfId="0" applyNumberFormat="1" applyFont="1" applyBorder="1" applyAlignment="1">
      <alignment horizontal="right"/>
    </xf>
    <xf numFmtId="8" fontId="2" fillId="0" borderId="19" xfId="0" applyNumberFormat="1" applyFont="1" applyBorder="1"/>
    <xf numFmtId="0" fontId="2" fillId="0" borderId="24" xfId="0" applyFont="1" applyFill="1" applyBorder="1"/>
    <xf numFmtId="0" fontId="4" fillId="0" borderId="5" xfId="0" applyFont="1" applyBorder="1" applyAlignment="1">
      <alignment horizontal="right"/>
    </xf>
    <xf numFmtId="0" fontId="4" fillId="0" borderId="16" xfId="0" applyFont="1" applyBorder="1" applyAlignment="1">
      <alignment horizontal="right"/>
    </xf>
    <xf numFmtId="0" fontId="2" fillId="0" borderId="24" xfId="0" applyFont="1" applyBorder="1" applyAlignment="1">
      <alignment horizontal="right"/>
    </xf>
    <xf numFmtId="0" fontId="2" fillId="0" borderId="5" xfId="0" applyFont="1" applyBorder="1" applyAlignment="1"/>
    <xf numFmtId="0" fontId="2" fillId="0" borderId="24" xfId="0" applyFont="1" applyBorder="1"/>
    <xf numFmtId="0" fontId="2" fillId="0" borderId="18" xfId="0" applyFont="1" applyBorder="1"/>
    <xf numFmtId="0" fontId="4" fillId="0" borderId="25" xfId="0" applyFont="1" applyBorder="1"/>
    <xf numFmtId="0" fontId="3" fillId="0" borderId="24" xfId="0" applyFont="1" applyBorder="1"/>
    <xf numFmtId="0" fontId="2" fillId="0" borderId="16" xfId="0" applyFont="1" applyBorder="1"/>
    <xf numFmtId="0" fontId="2" fillId="0" borderId="37" xfId="0" applyFont="1" applyBorder="1"/>
    <xf numFmtId="0" fontId="2" fillId="0" borderId="38" xfId="0" applyFont="1" applyBorder="1"/>
    <xf numFmtId="0" fontId="2" fillId="0" borderId="38" xfId="0" applyFont="1" applyBorder="1" applyAlignment="1">
      <alignment horizontal="center"/>
    </xf>
    <xf numFmtId="8" fontId="2" fillId="0" borderId="38" xfId="0" applyNumberFormat="1" applyFont="1" applyBorder="1" applyAlignment="1">
      <alignment horizontal="right"/>
    </xf>
    <xf numFmtId="8" fontId="2" fillId="0" borderId="39" xfId="0" applyNumberFormat="1" applyFont="1" applyBorder="1"/>
    <xf numFmtId="0" fontId="2" fillId="0" borderId="24" xfId="0" applyFont="1" applyBorder="1" applyAlignment="1">
      <alignment wrapText="1"/>
    </xf>
    <xf numFmtId="0" fontId="2" fillId="0" borderId="27" xfId="0" applyFont="1" applyBorder="1" applyAlignment="1">
      <alignment wrapText="1"/>
    </xf>
    <xf numFmtId="8" fontId="2" fillId="0" borderId="18" xfId="0" applyNumberFormat="1" applyFont="1" applyBorder="1"/>
    <xf numFmtId="0" fontId="8" fillId="0" borderId="8" xfId="0" applyFont="1" applyBorder="1" applyAlignment="1">
      <alignment wrapText="1"/>
    </xf>
    <xf numFmtId="8" fontId="8" fillId="0" borderId="8" xfId="0" applyNumberFormat="1" applyFont="1" applyBorder="1"/>
    <xf numFmtId="0" fontId="3" fillId="0" borderId="25" xfId="0" applyFont="1" applyBorder="1"/>
    <xf numFmtId="0" fontId="5" fillId="0" borderId="24" xfId="0" applyFont="1" applyBorder="1" applyAlignment="1">
      <alignment wrapText="1"/>
    </xf>
    <xf numFmtId="0" fontId="4" fillId="0" borderId="8" xfId="0" applyFont="1" applyBorder="1" applyAlignment="1">
      <alignment horizontal="right"/>
    </xf>
    <xf numFmtId="164" fontId="4" fillId="0" borderId="18" xfId="0" applyNumberFormat="1" applyFont="1" applyBorder="1" applyAlignment="1">
      <alignment horizontal="right"/>
    </xf>
    <xf numFmtId="0" fontId="4" fillId="0" borderId="0" xfId="0" applyFont="1" applyBorder="1" applyAlignment="1">
      <alignment horizontal="right"/>
    </xf>
    <xf numFmtId="164" fontId="4" fillId="0" borderId="20" xfId="0" applyNumberFormat="1" applyFont="1" applyBorder="1" applyAlignment="1">
      <alignment horizontal="right"/>
    </xf>
    <xf numFmtId="0" fontId="31" fillId="0" borderId="25" xfId="0" applyFont="1" applyBorder="1"/>
    <xf numFmtId="0" fontId="2" fillId="0" borderId="19" xfId="0" applyFont="1" applyBorder="1"/>
    <xf numFmtId="0" fontId="2" fillId="0" borderId="24" xfId="0" applyFont="1" applyBorder="1" applyAlignment="1">
      <alignment vertical="center" wrapText="1"/>
    </xf>
    <xf numFmtId="0" fontId="2" fillId="0" borderId="27" xfId="0" applyFont="1" applyBorder="1" applyAlignment="1">
      <alignment horizontal="right"/>
    </xf>
    <xf numFmtId="0" fontId="2" fillId="0" borderId="17" xfId="0" applyFont="1" applyBorder="1" applyAlignment="1">
      <alignment wrapText="1"/>
    </xf>
    <xf numFmtId="0" fontId="2" fillId="0" borderId="5" xfId="0" applyFont="1" applyBorder="1" applyAlignment="1">
      <alignment wrapText="1"/>
    </xf>
    <xf numFmtId="0" fontId="2" fillId="0" borderId="5" xfId="0" applyFont="1" applyBorder="1" applyAlignment="1">
      <alignment horizontal="center" wrapText="1"/>
    </xf>
    <xf numFmtId="8" fontId="2" fillId="0" borderId="5" xfId="0" applyNumberFormat="1" applyFont="1" applyBorder="1" applyAlignment="1">
      <alignment horizontal="right" wrapText="1"/>
    </xf>
    <xf numFmtId="8" fontId="2" fillId="0" borderId="16" xfId="0" applyNumberFormat="1" applyFont="1" applyBorder="1" applyAlignment="1">
      <alignment wrapText="1"/>
    </xf>
    <xf numFmtId="0" fontId="26" fillId="0" borderId="24" xfId="0" applyFont="1" applyBorder="1" applyAlignment="1">
      <alignment wrapText="1"/>
    </xf>
    <xf numFmtId="0" fontId="26" fillId="0" borderId="17" xfId="0" applyFont="1" applyBorder="1"/>
    <xf numFmtId="0" fontId="2" fillId="0" borderId="17" xfId="0" applyFont="1" applyFill="1" applyBorder="1"/>
    <xf numFmtId="0" fontId="2" fillId="0" borderId="5" xfId="0" applyFont="1" applyFill="1" applyBorder="1"/>
    <xf numFmtId="8" fontId="2" fillId="0" borderId="3" xfId="0" applyNumberFormat="1" applyFont="1" applyFill="1" applyBorder="1" applyAlignment="1">
      <alignment horizontal="right"/>
    </xf>
    <xf numFmtId="8" fontId="2" fillId="0" borderId="16" xfId="0" applyNumberFormat="1" applyFont="1" applyFill="1" applyBorder="1"/>
    <xf numFmtId="164" fontId="2" fillId="0" borderId="20" xfId="0" applyNumberFormat="1" applyFont="1" applyBorder="1" applyAlignment="1">
      <alignment horizontal="right"/>
    </xf>
    <xf numFmtId="164" fontId="2" fillId="0" borderId="19" xfId="0" applyNumberFormat="1" applyFont="1" applyBorder="1" applyAlignment="1">
      <alignment horizontal="right"/>
    </xf>
    <xf numFmtId="164" fontId="4" fillId="0" borderId="19" xfId="0" applyNumberFormat="1" applyFont="1" applyBorder="1" applyAlignment="1">
      <alignment horizontal="right"/>
    </xf>
    <xf numFmtId="164" fontId="19" fillId="0" borderId="0" xfId="0" applyNumberFormat="1" applyFont="1" applyBorder="1" applyAlignment="1">
      <alignment horizontal="right"/>
    </xf>
    <xf numFmtId="0" fontId="8"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top" wrapText="1"/>
    </xf>
    <xf numFmtId="0" fontId="8" fillId="0" borderId="0" xfId="0" applyNumberFormat="1" applyFont="1" applyAlignment="1">
      <alignment horizontal="left" wrapText="1"/>
    </xf>
    <xf numFmtId="0" fontId="8" fillId="0" borderId="0" xfId="0" applyFont="1" applyAlignment="1">
      <alignment horizontal="left" vertical="top"/>
    </xf>
    <xf numFmtId="0" fontId="8" fillId="0" borderId="9" xfId="0" applyFont="1" applyBorder="1" applyAlignment="1">
      <alignment horizontal="left"/>
    </xf>
    <xf numFmtId="0" fontId="16" fillId="0" borderId="28" xfId="0" applyFont="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xf numFmtId="0" fontId="0" fillId="0" borderId="33" xfId="0" applyBorder="1" applyAlignment="1"/>
    <xf numFmtId="0" fontId="9" fillId="0" borderId="0" xfId="0" applyFont="1" applyAlignment="1">
      <alignment horizontal="center" vertical="center"/>
    </xf>
    <xf numFmtId="0" fontId="2" fillId="0" borderId="5" xfId="0" applyFont="1" applyBorder="1" applyAlignment="1">
      <alignment horizontal="right"/>
    </xf>
    <xf numFmtId="0" fontId="2" fillId="0" borderId="5" xfId="0" applyFont="1" applyBorder="1"/>
    <xf numFmtId="0" fontId="8" fillId="0" borderId="25" xfId="0" applyFont="1" applyBorder="1" applyAlignment="1">
      <alignment vertical="center" wrapText="1"/>
    </xf>
    <xf numFmtId="0" fontId="8" fillId="0" borderId="0" xfId="0" applyFont="1" applyBorder="1" applyAlignment="1">
      <alignment vertical="center"/>
    </xf>
    <xf numFmtId="0" fontId="8" fillId="0" borderId="20" xfId="0" applyFont="1" applyBorder="1" applyAlignment="1">
      <alignment vertical="center"/>
    </xf>
    <xf numFmtId="0" fontId="9" fillId="0" borderId="34" xfId="0" applyFont="1" applyBorder="1" applyAlignment="1">
      <alignment horizontal="center"/>
    </xf>
    <xf numFmtId="0" fontId="9" fillId="0" borderId="35" xfId="0" applyFont="1" applyBorder="1" applyAlignment="1">
      <alignment horizontal="center"/>
    </xf>
    <xf numFmtId="0" fontId="9" fillId="0" borderId="36" xfId="0" applyFont="1" applyBorder="1" applyAlignment="1">
      <alignment horizontal="center"/>
    </xf>
    <xf numFmtId="0" fontId="14" fillId="0" borderId="25" xfId="0" applyFont="1" applyBorder="1" applyAlignment="1">
      <alignment horizontal="center"/>
    </xf>
    <xf numFmtId="0" fontId="14" fillId="0" borderId="0" xfId="0" applyFont="1" applyBorder="1" applyAlignment="1">
      <alignment horizontal="center"/>
    </xf>
    <xf numFmtId="0" fontId="14" fillId="0" borderId="20" xfId="0" applyFont="1" applyBorder="1" applyAlignment="1">
      <alignment horizontal="center"/>
    </xf>
    <xf numFmtId="0" fontId="11" fillId="0" borderId="25" xfId="0" applyFont="1" applyBorder="1" applyAlignment="1">
      <alignment vertical="center" wrapText="1"/>
    </xf>
    <xf numFmtId="0" fontId="11" fillId="0" borderId="0" xfId="0" applyFont="1" applyBorder="1" applyAlignment="1">
      <alignment vertical="center" wrapText="1"/>
    </xf>
    <xf numFmtId="0" fontId="11" fillId="0" borderId="20" xfId="0" applyFont="1" applyBorder="1" applyAlignment="1">
      <alignment vertical="center" wrapText="1"/>
    </xf>
    <xf numFmtId="0" fontId="2" fillId="0" borderId="10" xfId="0" applyFont="1" applyBorder="1"/>
    <xf numFmtId="0" fontId="2" fillId="0" borderId="0" xfId="0" applyFont="1" applyAlignment="1">
      <alignment horizontal="right"/>
    </xf>
    <xf numFmtId="0" fontId="2" fillId="0" borderId="11" xfId="0" applyFont="1" applyBorder="1" applyAlignment="1">
      <alignment horizontal="right"/>
    </xf>
    <xf numFmtId="0" fontId="2" fillId="0" borderId="11" xfId="0" applyFont="1" applyBorder="1"/>
    <xf numFmtId="0" fontId="2" fillId="0" borderId="0" xfId="0" applyFont="1" applyAlignment="1">
      <alignment horizontal="left"/>
    </xf>
    <xf numFmtId="0" fontId="2" fillId="0" borderId="0" xfId="0" applyFont="1" applyAlignment="1"/>
    <xf numFmtId="0" fontId="2" fillId="0" borderId="11" xfId="0" applyFont="1" applyBorder="1" applyAlignment="1"/>
    <xf numFmtId="164" fontId="2" fillId="0" borderId="10"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P31"/>
  <sheetViews>
    <sheetView view="pageBreakPreview" topLeftCell="A7" zoomScaleNormal="100" zoomScaleSheetLayoutView="100" workbookViewId="0">
      <selection activeCell="A24" sqref="A24:I24"/>
    </sheetView>
  </sheetViews>
  <sheetFormatPr defaultRowHeight="12.75"/>
  <cols>
    <col min="1" max="1" width="26" customWidth="1"/>
  </cols>
  <sheetData>
    <row r="1" spans="1:15" ht="20.25">
      <c r="A1" s="258" t="s">
        <v>260</v>
      </c>
      <c r="B1" s="258"/>
      <c r="C1" s="258"/>
      <c r="D1" s="258"/>
      <c r="E1" s="258"/>
      <c r="F1" s="258"/>
      <c r="G1" s="258"/>
      <c r="H1" s="258"/>
      <c r="I1" s="258"/>
      <c r="J1" s="258"/>
      <c r="K1" s="80"/>
      <c r="L1" s="80"/>
      <c r="N1" s="22"/>
    </row>
    <row r="2" spans="1:15" ht="18">
      <c r="A2" s="259"/>
      <c r="B2" s="259"/>
      <c r="C2" s="259"/>
      <c r="D2" s="259"/>
      <c r="E2" s="259"/>
      <c r="F2" s="259"/>
      <c r="G2" s="259"/>
      <c r="H2" s="259"/>
      <c r="I2" s="259"/>
      <c r="J2" s="259"/>
      <c r="K2" s="81"/>
      <c r="L2" s="81"/>
      <c r="N2" s="22"/>
    </row>
    <row r="3" spans="1:15" ht="30" customHeight="1">
      <c r="A3" s="168" t="s">
        <v>201</v>
      </c>
      <c r="B3" s="260" t="s">
        <v>362</v>
      </c>
      <c r="C3" s="260"/>
      <c r="D3" s="260"/>
      <c r="E3" s="260"/>
      <c r="F3" s="260"/>
      <c r="G3" s="260"/>
      <c r="H3" s="260"/>
      <c r="I3" s="260"/>
      <c r="J3" s="134"/>
      <c r="K3" s="24"/>
      <c r="L3" s="24"/>
      <c r="M3" s="24"/>
      <c r="N3" s="24"/>
    </row>
    <row r="4" spans="1:15" ht="15" customHeight="1">
      <c r="A4" s="168"/>
      <c r="B4" s="170"/>
      <c r="C4" s="170"/>
      <c r="D4" s="170"/>
      <c r="E4" s="170"/>
      <c r="F4" s="170"/>
      <c r="G4" s="170"/>
      <c r="H4" s="170"/>
      <c r="I4" s="170"/>
      <c r="J4" s="134"/>
      <c r="K4" s="24"/>
      <c r="L4" s="24"/>
      <c r="M4" s="24"/>
      <c r="N4" s="24"/>
    </row>
    <row r="5" spans="1:15" s="1" customFormat="1" ht="30.75" customHeight="1">
      <c r="A5" s="168" t="s">
        <v>200</v>
      </c>
      <c r="B5" s="260" t="s">
        <v>371</v>
      </c>
      <c r="C5" s="260"/>
      <c r="D5" s="260"/>
      <c r="E5" s="260"/>
      <c r="F5" s="260"/>
      <c r="G5" s="260"/>
      <c r="H5" s="260"/>
      <c r="I5" s="260"/>
      <c r="J5" s="132"/>
      <c r="K5" s="6"/>
      <c r="L5" s="6"/>
      <c r="M5" s="6"/>
      <c r="N5" s="6"/>
      <c r="O5" s="6"/>
    </row>
    <row r="6" spans="1:15" s="1" customFormat="1" ht="15" customHeight="1">
      <c r="A6" s="168"/>
      <c r="B6" s="170"/>
      <c r="C6" s="170"/>
      <c r="D6" s="170"/>
      <c r="E6" s="170"/>
      <c r="F6" s="170"/>
      <c r="G6" s="170"/>
      <c r="H6" s="170"/>
      <c r="I6" s="170"/>
      <c r="J6" s="133"/>
      <c r="K6" s="6"/>
      <c r="L6" s="6"/>
      <c r="M6" s="6"/>
      <c r="N6" s="6"/>
      <c r="O6" s="6"/>
    </row>
    <row r="7" spans="1:15" s="1" customFormat="1" ht="15" customHeight="1">
      <c r="A7" s="168" t="s">
        <v>202</v>
      </c>
      <c r="B7" s="168" t="s">
        <v>363</v>
      </c>
      <c r="C7" s="168"/>
      <c r="D7" s="168"/>
      <c r="E7" s="168"/>
      <c r="F7" s="168"/>
      <c r="G7" s="168"/>
      <c r="H7" s="168"/>
      <c r="I7" s="168"/>
      <c r="J7" s="135"/>
      <c r="K7" s="6"/>
      <c r="L7" s="6"/>
      <c r="M7" s="6"/>
      <c r="N7" s="6"/>
      <c r="O7" s="6"/>
    </row>
    <row r="8" spans="1:15" s="1" customFormat="1" ht="15" customHeight="1">
      <c r="A8" s="168" t="s">
        <v>203</v>
      </c>
      <c r="B8" s="168" t="s">
        <v>364</v>
      </c>
      <c r="C8" s="168"/>
      <c r="D8" s="168"/>
      <c r="E8" s="168"/>
      <c r="F8" s="168"/>
      <c r="G8" s="168"/>
      <c r="H8" s="168"/>
      <c r="I8" s="168"/>
      <c r="J8" s="135"/>
      <c r="K8" s="6"/>
      <c r="L8" s="6"/>
      <c r="M8" s="6"/>
      <c r="N8" s="6"/>
      <c r="O8" s="6"/>
    </row>
    <row r="9" spans="1:15" s="1" customFormat="1" ht="15" customHeight="1">
      <c r="A9" s="168" t="s">
        <v>204</v>
      </c>
      <c r="B9" s="168" t="s">
        <v>365</v>
      </c>
      <c r="C9" s="168"/>
      <c r="D9" s="168"/>
      <c r="E9" s="168"/>
      <c r="F9" s="168"/>
      <c r="G9" s="168"/>
      <c r="H9" s="168"/>
      <c r="I9" s="168"/>
      <c r="J9" s="135"/>
      <c r="K9" s="6"/>
      <c r="L9" s="6"/>
      <c r="M9" s="6"/>
      <c r="N9" s="6"/>
      <c r="O9" s="6"/>
    </row>
    <row r="10" spans="1:15" s="1" customFormat="1" ht="15" customHeight="1">
      <c r="A10" s="168" t="s">
        <v>288</v>
      </c>
      <c r="B10" s="168" t="s">
        <v>366</v>
      </c>
      <c r="C10" s="168"/>
      <c r="D10" s="168"/>
      <c r="E10" s="168"/>
      <c r="F10" s="168"/>
      <c r="G10" s="168"/>
      <c r="H10" s="168"/>
      <c r="I10" s="168"/>
      <c r="J10" s="135"/>
      <c r="K10" s="6"/>
      <c r="L10" s="6"/>
      <c r="M10" s="6"/>
      <c r="N10" s="6"/>
      <c r="O10" s="6"/>
    </row>
    <row r="11" spans="1:15" s="1" customFormat="1" ht="15" customHeight="1">
      <c r="A11" s="168" t="s">
        <v>290</v>
      </c>
      <c r="B11" s="168" t="s">
        <v>367</v>
      </c>
      <c r="C11" s="168"/>
      <c r="D11" s="168"/>
      <c r="E11" s="168"/>
      <c r="F11" s="168"/>
      <c r="G11" s="168"/>
      <c r="H11" s="168"/>
      <c r="I11" s="168"/>
      <c r="J11" s="135"/>
      <c r="K11" s="6"/>
      <c r="L11" s="6"/>
      <c r="M11" s="6"/>
      <c r="N11" s="6"/>
      <c r="O11" s="6"/>
    </row>
    <row r="12" spans="1:15" s="1" customFormat="1" ht="15" customHeight="1">
      <c r="A12" s="168" t="s">
        <v>289</v>
      </c>
      <c r="B12" s="168" t="s">
        <v>261</v>
      </c>
      <c r="C12" s="168"/>
      <c r="D12" s="168"/>
      <c r="E12" s="168"/>
      <c r="F12" s="168"/>
      <c r="G12" s="168"/>
      <c r="H12" s="168"/>
      <c r="I12" s="168"/>
      <c r="J12" s="135"/>
      <c r="K12" s="6"/>
      <c r="L12" s="6"/>
      <c r="M12" s="6"/>
      <c r="N12" s="6"/>
      <c r="O12" s="6"/>
    </row>
    <row r="13" spans="1:15" s="1" customFormat="1" ht="15" customHeight="1">
      <c r="A13" s="168" t="s">
        <v>203</v>
      </c>
      <c r="B13" s="168" t="s">
        <v>368</v>
      </c>
      <c r="C13" s="168"/>
      <c r="D13" s="168"/>
      <c r="E13" s="168"/>
      <c r="F13" s="168"/>
      <c r="G13" s="168"/>
      <c r="H13" s="168"/>
      <c r="I13" s="168"/>
      <c r="J13" s="135"/>
      <c r="K13" s="6"/>
      <c r="L13" s="6"/>
      <c r="M13" s="6"/>
      <c r="N13" s="6"/>
      <c r="O13" s="6"/>
    </row>
    <row r="14" spans="1:15" s="1" customFormat="1" ht="15" customHeight="1">
      <c r="A14" s="168" t="s">
        <v>206</v>
      </c>
      <c r="B14" s="168" t="s">
        <v>262</v>
      </c>
      <c r="C14" s="168"/>
      <c r="D14" s="168"/>
      <c r="E14" s="168"/>
      <c r="F14" s="168"/>
      <c r="G14" s="168"/>
      <c r="H14" s="168"/>
      <c r="I14" s="168"/>
      <c r="J14" s="135"/>
      <c r="K14" s="6"/>
      <c r="L14" s="6"/>
      <c r="M14" s="6"/>
      <c r="N14" s="6"/>
      <c r="O14" s="6"/>
    </row>
    <row r="15" spans="1:15" s="1" customFormat="1" ht="15" customHeight="1">
      <c r="A15" s="168" t="s">
        <v>204</v>
      </c>
      <c r="B15" s="168" t="s">
        <v>263</v>
      </c>
      <c r="C15" s="168"/>
      <c r="D15" s="168"/>
      <c r="E15" s="168"/>
      <c r="F15" s="168"/>
      <c r="G15" s="168"/>
      <c r="H15" s="168"/>
      <c r="I15" s="168"/>
      <c r="J15" s="135"/>
      <c r="K15" s="6"/>
      <c r="L15" s="6"/>
      <c r="M15" s="6"/>
      <c r="N15" s="6"/>
      <c r="O15" s="6"/>
    </row>
    <row r="16" spans="1:15" s="1" customFormat="1" ht="15" customHeight="1">
      <c r="A16" s="168" t="s">
        <v>288</v>
      </c>
      <c r="B16" s="168" t="s">
        <v>265</v>
      </c>
      <c r="C16" s="168"/>
      <c r="D16" s="168"/>
      <c r="E16" s="168"/>
      <c r="F16" s="168"/>
      <c r="G16" s="168"/>
      <c r="H16" s="168"/>
      <c r="I16" s="168"/>
      <c r="J16" s="135"/>
      <c r="K16" s="6"/>
      <c r="L16" s="6"/>
      <c r="M16" s="6"/>
      <c r="N16" s="6"/>
      <c r="O16" s="6"/>
    </row>
    <row r="17" spans="1:16" s="1" customFormat="1" ht="15" customHeight="1">
      <c r="A17" s="168" t="s">
        <v>290</v>
      </c>
      <c r="B17" s="168" t="s">
        <v>264</v>
      </c>
      <c r="C17" s="168"/>
      <c r="D17" s="168"/>
      <c r="E17" s="168"/>
      <c r="F17" s="168"/>
      <c r="G17" s="168"/>
      <c r="H17" s="168"/>
      <c r="I17" s="168"/>
      <c r="J17" s="135"/>
      <c r="K17" s="6"/>
      <c r="L17" s="6"/>
      <c r="M17" s="6"/>
      <c r="N17" s="6"/>
      <c r="O17" s="6"/>
    </row>
    <row r="18" spans="1:16" s="1" customFormat="1" ht="29.25" customHeight="1">
      <c r="A18" s="169" t="s">
        <v>267</v>
      </c>
      <c r="B18" s="260" t="s">
        <v>361</v>
      </c>
      <c r="C18" s="260"/>
      <c r="D18" s="260"/>
      <c r="E18" s="260"/>
      <c r="F18" s="260"/>
      <c r="G18" s="260"/>
      <c r="H18" s="260"/>
      <c r="I18" s="260"/>
      <c r="J18" s="136"/>
      <c r="K18" s="6"/>
      <c r="L18" s="6"/>
      <c r="M18" s="6"/>
      <c r="N18" s="6"/>
      <c r="O18" s="6"/>
    </row>
    <row r="19" spans="1:16" ht="29.25" customHeight="1">
      <c r="A19" s="168" t="s">
        <v>266</v>
      </c>
      <c r="B19" s="260" t="s">
        <v>372</v>
      </c>
      <c r="C19" s="260"/>
      <c r="D19" s="260"/>
      <c r="E19" s="260"/>
      <c r="F19" s="260"/>
      <c r="G19" s="260"/>
      <c r="H19" s="260"/>
      <c r="I19" s="260"/>
      <c r="J19" s="136"/>
      <c r="K19" s="27"/>
      <c r="L19" s="44"/>
      <c r="M19" s="44"/>
    </row>
    <row r="20" spans="1:16" ht="15" customHeight="1">
      <c r="A20" s="168" t="s">
        <v>209</v>
      </c>
      <c r="B20" s="262" t="s">
        <v>268</v>
      </c>
      <c r="C20" s="262"/>
      <c r="D20" s="262"/>
      <c r="E20" s="262"/>
      <c r="F20" s="262"/>
      <c r="G20" s="262"/>
      <c r="H20" s="262"/>
      <c r="I20" s="262"/>
      <c r="J20" s="136"/>
      <c r="K20" s="27"/>
      <c r="L20" s="44"/>
      <c r="M20" s="44"/>
    </row>
    <row r="21" spans="1:16" ht="30" customHeight="1">
      <c r="A21" s="170" t="s">
        <v>369</v>
      </c>
      <c r="B21" s="261" t="s">
        <v>370</v>
      </c>
      <c r="C21" s="261"/>
      <c r="D21" s="261"/>
      <c r="E21" s="261"/>
      <c r="F21" s="261"/>
      <c r="G21" s="261"/>
      <c r="H21" s="261"/>
      <c r="I21" s="261"/>
      <c r="J21" s="136"/>
      <c r="K21" s="27"/>
      <c r="L21" s="44"/>
      <c r="M21" s="44"/>
    </row>
    <row r="22" spans="1:16" ht="15">
      <c r="J22" s="135"/>
      <c r="K22" s="27"/>
      <c r="L22" s="44"/>
      <c r="M22" s="44"/>
    </row>
    <row r="23" spans="1:16" ht="53.25" customHeight="1">
      <c r="A23" s="257" t="s">
        <v>391</v>
      </c>
      <c r="B23" s="257"/>
      <c r="C23" s="257"/>
      <c r="D23" s="257"/>
      <c r="E23" s="257"/>
      <c r="F23" s="257"/>
      <c r="G23" s="257"/>
      <c r="H23" s="257"/>
      <c r="I23" s="257"/>
      <c r="J23" s="133"/>
      <c r="K23" s="25"/>
      <c r="L23" s="30"/>
      <c r="M23" s="30"/>
      <c r="N23" s="27"/>
      <c r="O23" s="27"/>
    </row>
    <row r="24" spans="1:16" ht="68.25" customHeight="1">
      <c r="A24" s="257" t="s">
        <v>394</v>
      </c>
      <c r="B24" s="257"/>
      <c r="C24" s="257"/>
      <c r="D24" s="257"/>
      <c r="E24" s="257"/>
      <c r="F24" s="257"/>
      <c r="G24" s="257"/>
      <c r="H24" s="257"/>
      <c r="I24" s="257"/>
      <c r="J24" s="133"/>
      <c r="K24" s="25"/>
      <c r="L24" s="30"/>
      <c r="M24" s="30"/>
      <c r="N24" s="27"/>
      <c r="O24" s="27"/>
    </row>
    <row r="25" spans="1:16" ht="49.5" customHeight="1">
      <c r="A25" s="257" t="s">
        <v>392</v>
      </c>
      <c r="B25" s="257"/>
      <c r="C25" s="257"/>
      <c r="D25" s="257"/>
      <c r="E25" s="257"/>
      <c r="F25" s="257"/>
      <c r="G25" s="257"/>
      <c r="H25" s="257"/>
      <c r="I25" s="257"/>
      <c r="J25" s="133"/>
      <c r="K25" s="25"/>
      <c r="L25" s="30"/>
      <c r="M25" s="30"/>
      <c r="N25" s="27"/>
      <c r="O25" s="27"/>
    </row>
    <row r="26" spans="1:16" s="1" customFormat="1" ht="49.5" customHeight="1">
      <c r="A26" s="257" t="s">
        <v>393</v>
      </c>
      <c r="B26" s="257"/>
      <c r="C26" s="257"/>
      <c r="D26" s="257"/>
      <c r="E26" s="257"/>
      <c r="F26" s="257"/>
      <c r="G26" s="257"/>
      <c r="H26" s="257"/>
      <c r="I26" s="257"/>
      <c r="J26" s="104"/>
      <c r="K26" s="6"/>
      <c r="L26" s="6"/>
      <c r="M26" s="6"/>
      <c r="N26" s="6"/>
      <c r="O26" s="6"/>
      <c r="P26" s="6"/>
    </row>
    <row r="27" spans="1:16" s="1" customFormat="1" ht="15">
      <c r="A27" s="43"/>
      <c r="B27" s="43"/>
      <c r="C27" s="43"/>
      <c r="D27" s="43"/>
      <c r="E27" s="43"/>
      <c r="F27" s="43"/>
      <c r="G27" s="43"/>
      <c r="H27" s="43"/>
      <c r="I27" s="43"/>
      <c r="J27" s="104"/>
      <c r="K27" s="6"/>
      <c r="L27" s="6"/>
      <c r="M27" s="6"/>
      <c r="N27" s="6"/>
      <c r="O27" s="6"/>
      <c r="P27" s="6"/>
    </row>
    <row r="28" spans="1:16" ht="14.25">
      <c r="A28" s="43"/>
      <c r="B28" s="43"/>
      <c r="C28" s="43"/>
      <c r="D28" s="43"/>
      <c r="E28" s="43"/>
      <c r="F28" s="43"/>
      <c r="G28" s="43"/>
      <c r="H28" s="43"/>
      <c r="I28" s="43"/>
      <c r="J28" s="43"/>
    </row>
    <row r="29" spans="1:16" ht="14.25">
      <c r="A29" s="43"/>
      <c r="B29" s="43"/>
      <c r="C29" s="43"/>
      <c r="D29" s="43"/>
      <c r="E29" s="43"/>
      <c r="F29" s="43"/>
      <c r="G29" s="43"/>
      <c r="H29" s="43"/>
      <c r="I29" s="43"/>
      <c r="J29" s="43"/>
    </row>
    <row r="30" spans="1:16" ht="14.25">
      <c r="A30" s="43"/>
      <c r="B30" s="43"/>
      <c r="C30" s="43"/>
      <c r="D30" s="43"/>
      <c r="E30" s="43"/>
      <c r="F30" s="43"/>
      <c r="G30" s="43"/>
      <c r="H30" s="43"/>
      <c r="I30" s="43"/>
      <c r="J30" s="43"/>
    </row>
    <row r="31" spans="1:16" ht="14.25">
      <c r="A31" s="43"/>
      <c r="B31" s="43"/>
      <c r="C31" s="43"/>
      <c r="D31" s="43"/>
      <c r="E31" s="43"/>
      <c r="F31" s="43"/>
      <c r="G31" s="43"/>
      <c r="H31" s="43"/>
      <c r="I31" s="43"/>
      <c r="J31" s="43"/>
    </row>
  </sheetData>
  <mergeCells count="12">
    <mergeCell ref="A26:I26"/>
    <mergeCell ref="A1:J1"/>
    <mergeCell ref="A2:J2"/>
    <mergeCell ref="B3:I3"/>
    <mergeCell ref="B5:I5"/>
    <mergeCell ref="B18:I18"/>
    <mergeCell ref="B19:I19"/>
    <mergeCell ref="A23:I23"/>
    <mergeCell ref="B21:I21"/>
    <mergeCell ref="B20:I20"/>
    <mergeCell ref="A25:I25"/>
    <mergeCell ref="A24:I24"/>
  </mergeCells>
  <pageMargins left="0.25" right="0.25" top="0.25" bottom="0.25" header="0" footer="0"/>
  <pageSetup orientation="portrait" r:id="rId1"/>
  <headerFooter alignWithMargins="0"/>
</worksheet>
</file>

<file path=xl/worksheets/sheet2.xml><?xml version="1.0" encoding="utf-8"?>
<worksheet xmlns="http://schemas.openxmlformats.org/spreadsheetml/2006/main" xmlns:r="http://schemas.openxmlformats.org/officeDocument/2006/relationships">
  <dimension ref="A1:IV46"/>
  <sheetViews>
    <sheetView view="pageBreakPreview" topLeftCell="A7" zoomScaleNormal="100" zoomScaleSheetLayoutView="100" workbookViewId="0">
      <selection sqref="A1:J1"/>
    </sheetView>
  </sheetViews>
  <sheetFormatPr defaultRowHeight="12.75"/>
  <cols>
    <col min="7" max="7" width="8.140625" customWidth="1"/>
    <col min="10" max="10" width="10.140625" customWidth="1"/>
  </cols>
  <sheetData>
    <row r="1" spans="1:22" ht="18">
      <c r="A1" s="270" t="s">
        <v>199</v>
      </c>
      <c r="B1" s="270"/>
      <c r="C1" s="270"/>
      <c r="D1" s="270"/>
      <c r="E1" s="270"/>
      <c r="F1" s="270"/>
      <c r="G1" s="270"/>
      <c r="H1" s="270"/>
      <c r="I1" s="270"/>
      <c r="J1" s="270"/>
      <c r="K1" s="84"/>
      <c r="L1" s="81"/>
      <c r="M1" s="81"/>
      <c r="O1" s="22"/>
    </row>
    <row r="2" spans="1:22" ht="20.25">
      <c r="A2" s="258" t="s">
        <v>360</v>
      </c>
      <c r="B2" s="258"/>
      <c r="C2" s="258"/>
      <c r="D2" s="258"/>
      <c r="E2" s="258"/>
      <c r="F2" s="258"/>
      <c r="G2" s="258"/>
      <c r="H2" s="258"/>
      <c r="I2" s="258"/>
      <c r="J2" s="258"/>
      <c r="K2" s="84"/>
      <c r="L2" s="81"/>
      <c r="M2" s="81"/>
      <c r="O2" s="23"/>
    </row>
    <row r="3" spans="1:22" ht="11.25" customHeight="1">
      <c r="H3" s="24"/>
      <c r="I3" s="24"/>
      <c r="J3" s="24"/>
      <c r="K3" s="24"/>
      <c r="L3" s="24"/>
      <c r="M3" s="24"/>
      <c r="N3" s="24"/>
      <c r="O3" s="24"/>
    </row>
    <row r="4" spans="1:22" ht="18">
      <c r="A4" s="24"/>
      <c r="B4" s="24"/>
      <c r="C4" s="24"/>
      <c r="D4" s="24"/>
      <c r="E4" s="24"/>
      <c r="F4" s="25" t="s">
        <v>200</v>
      </c>
      <c r="G4" s="25"/>
      <c r="H4" s="64"/>
      <c r="I4" s="64"/>
      <c r="J4" s="41"/>
      <c r="L4" s="25"/>
      <c r="M4" s="26"/>
      <c r="N4" s="26"/>
      <c r="O4" s="26"/>
      <c r="R4" s="24"/>
      <c r="S4" s="26"/>
      <c r="T4" s="26"/>
      <c r="U4" s="26"/>
      <c r="V4" s="27"/>
    </row>
    <row r="5" spans="1:22" ht="18" customHeight="1">
      <c r="A5" s="39" t="s">
        <v>201</v>
      </c>
      <c r="B5" s="25"/>
      <c r="C5" s="25"/>
      <c r="D5" s="29"/>
      <c r="E5" s="29"/>
      <c r="F5" s="29"/>
      <c r="G5" s="29"/>
      <c r="H5" s="29"/>
      <c r="I5" s="29"/>
      <c r="J5" s="29"/>
      <c r="K5" s="30"/>
      <c r="L5" s="30"/>
      <c r="M5" s="30"/>
    </row>
    <row r="6" spans="1:22" ht="18" customHeight="1">
      <c r="A6" s="31" t="s">
        <v>202</v>
      </c>
      <c r="B6" s="32"/>
      <c r="C6" s="32"/>
      <c r="D6" s="33"/>
      <c r="E6" s="33"/>
      <c r="F6" s="30"/>
      <c r="G6" s="30"/>
      <c r="H6" s="30"/>
      <c r="I6" s="30"/>
      <c r="J6" s="30"/>
      <c r="K6" s="30"/>
      <c r="L6" s="30"/>
      <c r="M6" s="30"/>
    </row>
    <row r="7" spans="1:22" ht="18" customHeight="1">
      <c r="A7" s="31" t="s">
        <v>203</v>
      </c>
      <c r="B7" s="32"/>
      <c r="C7" s="32"/>
      <c r="D7" s="34"/>
      <c r="E7" s="34"/>
      <c r="F7" s="35"/>
      <c r="G7" s="35"/>
      <c r="H7" s="35"/>
      <c r="I7" s="35"/>
      <c r="J7" s="35"/>
      <c r="K7" s="30"/>
      <c r="L7" s="30"/>
      <c r="M7" s="30"/>
    </row>
    <row r="8" spans="1:22" ht="18" customHeight="1">
      <c r="A8" s="36"/>
      <c r="B8" s="37"/>
      <c r="C8" s="37"/>
      <c r="D8" s="38"/>
      <c r="E8" s="38"/>
      <c r="F8" s="35"/>
      <c r="G8" s="35"/>
      <c r="H8" s="35"/>
      <c r="I8" s="35"/>
      <c r="J8" s="35"/>
      <c r="K8" s="30"/>
      <c r="L8" s="30"/>
      <c r="M8" s="30"/>
    </row>
    <row r="9" spans="1:22" ht="18" customHeight="1">
      <c r="A9" s="31" t="s">
        <v>204</v>
      </c>
      <c r="D9" s="29" t="s">
        <v>205</v>
      </c>
      <c r="E9" s="41"/>
      <c r="F9" s="29"/>
      <c r="G9" s="29"/>
      <c r="H9" s="82"/>
      <c r="I9" s="82"/>
      <c r="J9" s="82"/>
      <c r="K9" s="83"/>
      <c r="L9" s="30"/>
      <c r="M9" s="55"/>
      <c r="N9" s="55"/>
      <c r="O9" s="55"/>
      <c r="P9" s="40"/>
    </row>
    <row r="10" spans="1:22" ht="18" customHeight="1">
      <c r="A10" s="31" t="s">
        <v>288</v>
      </c>
      <c r="B10" s="30"/>
      <c r="C10" s="27"/>
      <c r="D10" s="29" t="s">
        <v>205</v>
      </c>
      <c r="E10" s="82"/>
      <c r="F10" s="29"/>
      <c r="G10" s="29"/>
      <c r="H10" s="82"/>
      <c r="I10" s="82"/>
      <c r="J10" s="29"/>
      <c r="K10" s="30"/>
      <c r="L10" s="30"/>
      <c r="M10" s="55"/>
      <c r="N10" s="55"/>
      <c r="O10" s="55"/>
      <c r="P10" s="40"/>
    </row>
    <row r="11" spans="1:22" ht="18" customHeight="1">
      <c r="A11" s="31" t="s">
        <v>290</v>
      </c>
      <c r="B11" s="27"/>
      <c r="C11" s="27"/>
      <c r="D11" s="29"/>
      <c r="E11" s="41"/>
      <c r="F11" s="29"/>
      <c r="G11" s="29"/>
      <c r="H11" s="29"/>
      <c r="I11" s="29"/>
      <c r="J11" s="29"/>
      <c r="K11" s="30"/>
      <c r="L11" s="30"/>
      <c r="M11" s="55"/>
      <c r="N11" s="55"/>
      <c r="O11" s="55"/>
      <c r="P11" s="40"/>
    </row>
    <row r="12" spans="1:22" ht="18" customHeight="1">
      <c r="A12" s="31"/>
      <c r="B12" s="27"/>
      <c r="C12" s="27"/>
      <c r="D12" s="30"/>
      <c r="E12" s="27"/>
      <c r="F12" s="30"/>
      <c r="G12" s="30"/>
      <c r="H12" s="30"/>
      <c r="I12" s="30"/>
      <c r="J12" s="30"/>
      <c r="K12" s="30"/>
      <c r="L12" s="30"/>
      <c r="M12" s="55"/>
      <c r="N12" s="55"/>
      <c r="O12" s="55"/>
      <c r="P12" s="40"/>
    </row>
    <row r="13" spans="1:22" ht="18" customHeight="1">
      <c r="A13" s="31" t="s">
        <v>289</v>
      </c>
      <c r="B13" s="37"/>
      <c r="D13" s="32"/>
      <c r="E13" s="33"/>
      <c r="F13" s="30"/>
      <c r="G13" s="30"/>
      <c r="H13" s="30"/>
      <c r="I13" s="30"/>
      <c r="J13" s="30"/>
      <c r="K13" s="30"/>
      <c r="L13" s="30"/>
      <c r="M13" s="30"/>
    </row>
    <row r="14" spans="1:22" ht="18" customHeight="1">
      <c r="A14" s="31" t="s">
        <v>203</v>
      </c>
      <c r="B14" s="37"/>
      <c r="D14" s="34"/>
      <c r="E14" s="34"/>
      <c r="F14" s="35"/>
      <c r="G14" s="35"/>
      <c r="H14" s="35"/>
      <c r="I14" s="35"/>
      <c r="J14" s="35"/>
      <c r="K14" s="30"/>
      <c r="L14" s="30"/>
      <c r="M14" s="30"/>
    </row>
    <row r="15" spans="1:22" ht="18" customHeight="1">
      <c r="A15" s="39"/>
      <c r="B15" s="25"/>
      <c r="C15" s="25"/>
      <c r="D15" s="38"/>
      <c r="E15" s="35"/>
      <c r="F15" s="35"/>
      <c r="G15" s="35"/>
      <c r="H15" s="35"/>
      <c r="I15" s="35"/>
      <c r="J15" s="35"/>
      <c r="K15" s="30"/>
      <c r="L15" s="30"/>
      <c r="M15" s="55"/>
      <c r="N15" s="55"/>
      <c r="O15" s="55"/>
      <c r="P15" s="30"/>
    </row>
    <row r="16" spans="1:22" ht="18" customHeight="1">
      <c r="A16" s="31" t="s">
        <v>206</v>
      </c>
      <c r="B16" s="37"/>
      <c r="D16" s="34"/>
      <c r="E16" s="34"/>
      <c r="F16" s="35"/>
      <c r="G16" s="35"/>
      <c r="H16" s="35"/>
      <c r="I16" s="35"/>
      <c r="J16" s="35"/>
      <c r="K16" s="30"/>
      <c r="L16" s="30"/>
      <c r="M16" s="30"/>
    </row>
    <row r="17" spans="1:18" ht="18" customHeight="1">
      <c r="A17" s="31" t="s">
        <v>204</v>
      </c>
      <c r="D17" s="29" t="s">
        <v>205</v>
      </c>
      <c r="E17" s="41"/>
      <c r="F17" s="29"/>
      <c r="G17" s="29"/>
      <c r="H17" s="82"/>
      <c r="I17" s="82"/>
      <c r="J17" s="82"/>
      <c r="K17" s="30"/>
      <c r="L17" s="30"/>
      <c r="M17" s="55"/>
      <c r="N17" s="55"/>
      <c r="O17" s="55"/>
      <c r="P17" s="40"/>
    </row>
    <row r="18" spans="1:18" ht="18" customHeight="1">
      <c r="A18" s="31" t="s">
        <v>288</v>
      </c>
      <c r="B18" s="30"/>
      <c r="C18" s="27"/>
      <c r="D18" s="29" t="s">
        <v>205</v>
      </c>
      <c r="E18" s="82"/>
      <c r="F18" s="29"/>
      <c r="G18" s="29"/>
      <c r="H18" s="82"/>
      <c r="I18" s="82"/>
      <c r="J18" s="29"/>
      <c r="K18" s="30"/>
      <c r="L18" s="30"/>
      <c r="M18" s="55"/>
      <c r="N18" s="55"/>
      <c r="O18" s="55"/>
      <c r="P18" s="40"/>
    </row>
    <row r="19" spans="1:18" ht="18" customHeight="1">
      <c r="A19" s="31" t="s">
        <v>290</v>
      </c>
      <c r="B19" s="27"/>
      <c r="C19" s="27"/>
      <c r="D19" s="29"/>
      <c r="E19" s="41"/>
      <c r="F19" s="29"/>
      <c r="G19" s="29"/>
      <c r="H19" s="29"/>
      <c r="I19" s="29"/>
      <c r="J19" s="29"/>
      <c r="K19" s="30"/>
      <c r="L19" s="30"/>
      <c r="M19" s="55"/>
      <c r="N19" s="55"/>
      <c r="O19" s="55"/>
      <c r="P19" s="40"/>
    </row>
    <row r="20" spans="1:18" ht="18" customHeight="1">
      <c r="D20" s="30"/>
      <c r="E20" s="30"/>
      <c r="F20" s="25"/>
      <c r="G20" s="25"/>
      <c r="H20" s="25"/>
      <c r="I20" s="25"/>
      <c r="J20" s="25"/>
      <c r="K20" s="25"/>
      <c r="M20" s="55"/>
      <c r="N20" s="55"/>
      <c r="O20" s="55"/>
      <c r="P20" s="40"/>
    </row>
    <row r="21" spans="1:18" ht="18" customHeight="1">
      <c r="A21" s="264" t="s">
        <v>217</v>
      </c>
      <c r="B21" s="265"/>
      <c r="C21" s="67"/>
      <c r="D21" s="66"/>
      <c r="E21" s="65"/>
      <c r="F21" s="65"/>
      <c r="G21" s="65"/>
      <c r="H21" s="65"/>
      <c r="I21" s="65"/>
      <c r="J21" s="65"/>
      <c r="K21" s="30"/>
      <c r="L21" s="27"/>
      <c r="M21" s="55"/>
      <c r="N21" s="55"/>
      <c r="O21" s="55"/>
      <c r="P21" s="30"/>
    </row>
    <row r="22" spans="1:18" ht="18" customHeight="1">
      <c r="A22" s="266"/>
      <c r="B22" s="267"/>
      <c r="C22" s="67"/>
      <c r="D22" s="167" t="s">
        <v>207</v>
      </c>
      <c r="F22" s="42"/>
      <c r="G22" s="117"/>
      <c r="H22" s="117" t="s">
        <v>356</v>
      </c>
      <c r="I22" s="42"/>
      <c r="J22" s="42"/>
      <c r="K22" s="27"/>
      <c r="L22" s="27"/>
      <c r="M22" s="55"/>
      <c r="N22" s="55"/>
      <c r="O22" s="55"/>
    </row>
    <row r="23" spans="1:18" ht="18" customHeight="1">
      <c r="A23" s="266"/>
      <c r="B23" s="267"/>
      <c r="C23" s="67"/>
      <c r="K23" s="27"/>
      <c r="L23" s="27"/>
      <c r="M23" s="55"/>
      <c r="N23" s="55"/>
      <c r="O23" s="55"/>
    </row>
    <row r="24" spans="1:18" ht="18" customHeight="1">
      <c r="A24" s="268"/>
      <c r="B24" s="269"/>
      <c r="D24" s="41"/>
      <c r="E24" s="41"/>
      <c r="F24" s="41"/>
      <c r="G24" s="41"/>
      <c r="H24" s="29"/>
      <c r="I24" s="29"/>
      <c r="J24" s="29"/>
      <c r="K24" s="27"/>
      <c r="L24" s="27"/>
      <c r="M24" s="55"/>
      <c r="N24" s="55"/>
      <c r="O24" s="55"/>
    </row>
    <row r="25" spans="1:18" ht="18" customHeight="1">
      <c r="D25" s="263" t="s">
        <v>357</v>
      </c>
      <c r="E25" s="263"/>
      <c r="F25" s="42" t="s">
        <v>208</v>
      </c>
      <c r="G25" s="117"/>
      <c r="H25" s="117" t="s">
        <v>358</v>
      </c>
      <c r="I25" s="43"/>
      <c r="J25" s="43"/>
      <c r="K25" s="40"/>
      <c r="L25" s="27"/>
      <c r="M25" s="27"/>
      <c r="N25" s="27"/>
      <c r="P25" s="30"/>
      <c r="Q25" s="30"/>
      <c r="R25" s="30"/>
    </row>
    <row r="26" spans="1:18" ht="18" customHeight="1">
      <c r="K26" s="27"/>
      <c r="L26" s="27"/>
      <c r="M26" s="27"/>
      <c r="N26" s="27"/>
    </row>
    <row r="27" spans="1:18" ht="18" customHeight="1">
      <c r="A27" s="1" t="s">
        <v>375</v>
      </c>
      <c r="B27" s="25"/>
      <c r="C27" s="25"/>
      <c r="D27" s="25"/>
      <c r="E27" s="29"/>
      <c r="F27" s="29"/>
      <c r="G27" s="30"/>
      <c r="H27" s="27"/>
      <c r="I27" s="27"/>
      <c r="J27" s="27"/>
      <c r="K27" s="30"/>
      <c r="L27" s="27"/>
      <c r="M27" s="27"/>
      <c r="N27" s="27"/>
    </row>
    <row r="28" spans="1:18" ht="18" customHeight="1">
      <c r="A28" s="25" t="s">
        <v>209</v>
      </c>
      <c r="B28" s="25"/>
      <c r="C28" s="29"/>
      <c r="D28" s="25"/>
      <c r="E28" s="25"/>
      <c r="F28" s="25"/>
      <c r="G28" s="25"/>
      <c r="H28" s="27"/>
      <c r="I28" s="27"/>
      <c r="J28" s="196">
        <f>'Grading Plan Estimate'!E234</f>
        <v>0</v>
      </c>
      <c r="K28" s="27"/>
      <c r="L28" s="44"/>
      <c r="M28" s="44"/>
    </row>
    <row r="29" spans="1:18" ht="18" customHeight="1">
      <c r="A29" s="25"/>
      <c r="B29" s="25"/>
      <c r="C29" s="25"/>
      <c r="D29" s="30"/>
      <c r="E29" s="30"/>
      <c r="F29" s="30"/>
      <c r="G29" s="30"/>
      <c r="H29" s="28"/>
      <c r="I29" s="45"/>
      <c r="J29" s="46" t="s">
        <v>381</v>
      </c>
      <c r="K29" s="27"/>
      <c r="L29" s="44"/>
      <c r="M29" s="44"/>
    </row>
    <row r="30" spans="1:18" ht="18" customHeight="1">
      <c r="A30" s="25"/>
      <c r="B30" s="25"/>
      <c r="C30" s="25"/>
      <c r="D30" s="30"/>
      <c r="E30" s="30"/>
      <c r="F30" s="30"/>
      <c r="G30" s="30"/>
      <c r="H30" s="27"/>
      <c r="I30" s="30"/>
      <c r="J30" s="46"/>
      <c r="K30" s="46"/>
      <c r="L30" s="30"/>
      <c r="M30" s="30"/>
      <c r="N30" s="30"/>
      <c r="O30" s="27"/>
    </row>
    <row r="31" spans="1:18" ht="18" customHeight="1">
      <c r="A31" s="1" t="s">
        <v>376</v>
      </c>
      <c r="B31" s="25"/>
      <c r="C31" s="25"/>
      <c r="D31" s="30"/>
      <c r="E31" s="29"/>
      <c r="F31" s="29"/>
      <c r="G31" s="30"/>
      <c r="H31" s="27"/>
      <c r="I31" s="27"/>
      <c r="J31" s="27"/>
      <c r="K31" s="25"/>
      <c r="L31" s="30"/>
      <c r="M31" s="30"/>
      <c r="N31" s="27"/>
      <c r="O31" s="27"/>
    </row>
    <row r="32" spans="1:18" ht="18" customHeight="1">
      <c r="A32" s="25" t="s">
        <v>209</v>
      </c>
      <c r="B32" s="25"/>
      <c r="C32" s="29"/>
      <c r="D32" s="25"/>
      <c r="E32" s="25"/>
      <c r="F32" s="25"/>
      <c r="G32" s="25"/>
      <c r="H32" s="27"/>
      <c r="I32" s="27"/>
      <c r="J32" s="196">
        <f>'Erosion Control Estimate'!E58</f>
        <v>0</v>
      </c>
      <c r="K32" s="27"/>
      <c r="L32" s="44"/>
      <c r="M32" s="44"/>
      <c r="N32" s="27"/>
      <c r="O32" s="27"/>
    </row>
    <row r="33" spans="1:256" ht="18" customHeight="1">
      <c r="A33" s="25"/>
      <c r="B33" s="25"/>
      <c r="C33" s="25"/>
      <c r="D33" s="30"/>
      <c r="E33" s="30"/>
      <c r="F33" s="30"/>
      <c r="G33" s="30"/>
      <c r="H33" s="28"/>
      <c r="I33" s="45"/>
      <c r="J33" s="46" t="s">
        <v>210</v>
      </c>
      <c r="K33" s="27"/>
      <c r="L33" s="44"/>
      <c r="M33" s="44"/>
    </row>
    <row r="34" spans="1:256" ht="18" customHeight="1">
      <c r="B34" s="25"/>
      <c r="C34" s="25"/>
      <c r="D34" s="25"/>
      <c r="E34" s="25"/>
      <c r="F34" s="23"/>
      <c r="G34" s="23"/>
      <c r="H34" s="30"/>
      <c r="I34" s="30"/>
      <c r="J34" s="30"/>
      <c r="K34" s="46"/>
      <c r="L34" s="30"/>
      <c r="M34" s="30"/>
      <c r="N34" s="30"/>
      <c r="O34" s="27"/>
    </row>
    <row r="35" spans="1:256" ht="18" customHeight="1">
      <c r="A35" s="1" t="s">
        <v>377</v>
      </c>
      <c r="B35" s="25"/>
      <c r="C35" s="25"/>
      <c r="D35" s="25"/>
      <c r="E35" s="29"/>
      <c r="F35" s="29"/>
      <c r="G35" s="30"/>
      <c r="H35" s="30"/>
      <c r="I35" s="30"/>
      <c r="J35" s="30"/>
      <c r="K35" s="25"/>
      <c r="L35" s="30"/>
      <c r="M35" s="30"/>
      <c r="N35" s="27"/>
      <c r="O35" s="27"/>
    </row>
    <row r="36" spans="1:256" ht="18" customHeight="1">
      <c r="A36" s="25" t="s">
        <v>209</v>
      </c>
      <c r="B36" s="25"/>
      <c r="C36" s="29"/>
      <c r="D36" s="25"/>
      <c r="E36" s="25"/>
      <c r="F36" s="25"/>
      <c r="G36" s="25"/>
      <c r="H36" s="27"/>
      <c r="I36" s="27"/>
      <c r="J36" s="196">
        <f>'Improvment Plan Estimate'!E274</f>
        <v>0</v>
      </c>
      <c r="K36" s="30"/>
      <c r="L36" s="30"/>
      <c r="M36" s="30"/>
      <c r="N36" s="27"/>
      <c r="O36" s="27"/>
    </row>
    <row r="37" spans="1:256" ht="18" customHeight="1">
      <c r="A37" s="25"/>
      <c r="B37" s="25"/>
      <c r="C37" s="25"/>
      <c r="D37" s="30"/>
      <c r="E37" s="30"/>
      <c r="F37" s="30"/>
      <c r="G37" s="30"/>
      <c r="H37" s="28"/>
      <c r="I37" s="45"/>
      <c r="J37" s="46" t="s">
        <v>255</v>
      </c>
      <c r="K37" s="27"/>
      <c r="L37" s="44"/>
      <c r="M37" s="44"/>
    </row>
    <row r="38" spans="1:256" ht="18" customHeight="1">
      <c r="F38" s="30"/>
      <c r="G38" s="30"/>
      <c r="H38" s="25"/>
      <c r="I38" s="25"/>
      <c r="J38" s="25"/>
      <c r="K38" s="46"/>
      <c r="L38" s="30"/>
      <c r="M38" s="30"/>
      <c r="N38" s="30"/>
      <c r="O38" s="27"/>
    </row>
    <row r="39" spans="1:256" ht="18" customHeight="1">
      <c r="A39" s="1" t="s">
        <v>378</v>
      </c>
      <c r="B39" s="25"/>
      <c r="C39" s="30"/>
      <c r="D39" s="25"/>
      <c r="E39" s="25"/>
      <c r="F39" s="30"/>
      <c r="G39" s="30"/>
      <c r="H39" s="27"/>
      <c r="I39" s="27"/>
      <c r="J39" s="196">
        <f>'Grading Plan Estimate'!E103</f>
        <v>0</v>
      </c>
      <c r="K39" s="25"/>
      <c r="L39" s="25"/>
      <c r="M39" s="25"/>
      <c r="O39" s="27"/>
    </row>
    <row r="40" spans="1:256" ht="18" customHeight="1">
      <c r="A40" s="195" t="s">
        <v>380</v>
      </c>
      <c r="B40" s="25"/>
      <c r="C40" s="25"/>
      <c r="D40" s="30"/>
      <c r="E40" s="30"/>
      <c r="F40" s="30"/>
      <c r="G40" s="30"/>
      <c r="H40" s="28"/>
      <c r="I40" s="45"/>
      <c r="J40" s="46" t="s">
        <v>379</v>
      </c>
      <c r="K40" s="25"/>
      <c r="L40" s="25"/>
      <c r="M40" s="25"/>
      <c r="O40" s="27"/>
    </row>
    <row r="41" spans="1:256" ht="18" customHeight="1">
      <c r="A41" s="194"/>
      <c r="B41" s="194"/>
      <c r="C41" s="194"/>
      <c r="D41" s="194"/>
      <c r="E41" s="194"/>
      <c r="K41" s="46"/>
      <c r="L41" s="30"/>
      <c r="M41" s="30"/>
      <c r="N41" s="30"/>
      <c r="O41" s="27"/>
    </row>
    <row r="42" spans="1:256" ht="18" customHeight="1">
      <c r="A42" s="167" t="s">
        <v>359</v>
      </c>
      <c r="C42" s="117"/>
      <c r="D42" s="117"/>
      <c r="E42" s="117" t="s">
        <v>356</v>
      </c>
      <c r="F42" s="30"/>
      <c r="G42" s="30"/>
      <c r="H42" s="25"/>
      <c r="I42" s="25"/>
      <c r="J42" s="25"/>
      <c r="K42" s="32"/>
      <c r="L42" s="30"/>
      <c r="M42" s="30"/>
      <c r="N42" s="30"/>
      <c r="O42" s="30"/>
    </row>
    <row r="43" spans="1:256" ht="18" customHeight="1">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row>
    <row r="44" spans="1:256" ht="15">
      <c r="F44" s="30"/>
      <c r="G44" s="30"/>
      <c r="I44" s="30"/>
      <c r="J44" s="46"/>
      <c r="L44" s="27"/>
      <c r="M44" s="27"/>
      <c r="N44" s="27"/>
      <c r="O44" s="27"/>
    </row>
    <row r="45" spans="1:256" ht="18">
      <c r="B45" s="25"/>
      <c r="C45" s="25"/>
      <c r="D45" s="25"/>
      <c r="E45" s="25"/>
      <c r="F45" s="25"/>
      <c r="G45" s="25"/>
      <c r="J45" s="47"/>
    </row>
    <row r="46" spans="1:256" ht="15">
      <c r="A46" s="6"/>
      <c r="B46" s="6"/>
      <c r="C46" s="6"/>
      <c r="D46" s="6"/>
      <c r="E46" s="6"/>
      <c r="F46" s="6"/>
      <c r="G46" s="6"/>
      <c r="H46" s="6"/>
      <c r="I46" s="6"/>
      <c r="J46" s="6"/>
    </row>
  </sheetData>
  <mergeCells count="4">
    <mergeCell ref="D25:E25"/>
    <mergeCell ref="A21:B24"/>
    <mergeCell ref="A2:J2"/>
    <mergeCell ref="A1:J1"/>
  </mergeCells>
  <phoneticPr fontId="1" type="noConversion"/>
  <pageMargins left="0.75" right="0.5" top="0.5" bottom="0.5" header="0" footer="0"/>
  <pageSetup scale="95" orientation="portrait" r:id="rId1"/>
  <headerFooter alignWithMargins="0"/>
</worksheet>
</file>

<file path=xl/worksheets/sheet3.xml><?xml version="1.0" encoding="utf-8"?>
<worksheet xmlns="http://schemas.openxmlformats.org/spreadsheetml/2006/main" xmlns:r="http://schemas.openxmlformats.org/officeDocument/2006/relationships">
  <dimension ref="A1:J65"/>
  <sheetViews>
    <sheetView tabSelected="1" view="pageBreakPreview" topLeftCell="A22" zoomScaleNormal="100" zoomScaleSheetLayoutView="100" workbookViewId="0">
      <selection activeCell="K22" sqref="K22"/>
    </sheetView>
  </sheetViews>
  <sheetFormatPr defaultRowHeight="15"/>
  <cols>
    <col min="1" max="1" width="44.5703125" style="1" customWidth="1"/>
    <col min="2" max="2" width="15.85546875" style="1" customWidth="1"/>
    <col min="3" max="3" width="9.140625" style="1" customWidth="1"/>
    <col min="4" max="4" width="15.5703125" style="1" customWidth="1"/>
    <col min="5" max="5" width="18.140625" style="1" customWidth="1"/>
    <col min="6" max="9" width="9.140625" style="1" hidden="1" customWidth="1"/>
    <col min="10" max="16384" width="9.140625" style="1"/>
  </cols>
  <sheetData>
    <row r="1" spans="1:10" customFormat="1" ht="18">
      <c r="A1" s="270" t="s">
        <v>398</v>
      </c>
      <c r="B1" s="270"/>
      <c r="C1" s="270"/>
      <c r="D1" s="270"/>
      <c r="E1" s="270"/>
      <c r="F1" s="270"/>
      <c r="G1" s="270"/>
      <c r="H1" s="270"/>
      <c r="I1" s="270"/>
      <c r="J1" s="270"/>
    </row>
    <row r="2" spans="1:10" customFormat="1" ht="20.25">
      <c r="A2" s="258" t="s">
        <v>360</v>
      </c>
      <c r="B2" s="258"/>
      <c r="C2" s="258"/>
      <c r="D2" s="258"/>
      <c r="E2" s="258"/>
      <c r="F2" s="258"/>
      <c r="G2" s="258"/>
      <c r="H2" s="258"/>
      <c r="I2" s="258"/>
      <c r="J2" s="258"/>
    </row>
    <row r="3" spans="1:10" customFormat="1" ht="18">
      <c r="H3" s="24"/>
      <c r="I3" s="24"/>
      <c r="J3" s="24"/>
    </row>
    <row r="4" spans="1:10" customFormat="1" ht="18">
      <c r="A4" s="24"/>
      <c r="B4" s="24"/>
      <c r="C4" s="24"/>
      <c r="D4" s="24"/>
      <c r="E4" s="24"/>
      <c r="F4" s="1" t="s">
        <v>200</v>
      </c>
      <c r="G4" s="1"/>
      <c r="H4" s="64"/>
      <c r="I4" s="64"/>
      <c r="J4" s="41"/>
    </row>
    <row r="5" spans="1:10" customFormat="1">
      <c r="A5" s="39" t="s">
        <v>201</v>
      </c>
      <c r="B5" s="1"/>
      <c r="C5" s="1"/>
      <c r="D5" s="285"/>
      <c r="E5" s="285"/>
      <c r="F5" s="285"/>
      <c r="G5" s="285"/>
      <c r="H5" s="285"/>
      <c r="I5" s="285"/>
      <c r="J5" s="285"/>
    </row>
    <row r="6" spans="1:10">
      <c r="A6" s="31" t="s">
        <v>202</v>
      </c>
      <c r="B6" s="286"/>
      <c r="C6" s="286"/>
      <c r="D6" s="10"/>
      <c r="E6" s="10"/>
      <c r="F6" s="6"/>
      <c r="G6" s="6"/>
      <c r="H6" s="6"/>
      <c r="I6" s="6"/>
      <c r="J6" s="6"/>
    </row>
    <row r="7" spans="1:10">
      <c r="A7" s="31" t="s">
        <v>203</v>
      </c>
      <c r="B7" s="286"/>
      <c r="C7" s="286"/>
      <c r="D7" s="287"/>
      <c r="E7" s="287"/>
      <c r="F7" s="288"/>
      <c r="G7" s="288"/>
      <c r="H7" s="288"/>
      <c r="I7" s="288"/>
      <c r="J7" s="288"/>
    </row>
    <row r="8" spans="1:10">
      <c r="A8" s="289"/>
      <c r="B8" s="290"/>
      <c r="C8" s="290"/>
      <c r="D8" s="291"/>
      <c r="E8" s="291"/>
      <c r="F8" s="288"/>
      <c r="G8" s="288"/>
      <c r="H8" s="288"/>
      <c r="I8" s="288"/>
      <c r="J8" s="288"/>
    </row>
    <row r="9" spans="1:10">
      <c r="A9" s="31" t="s">
        <v>204</v>
      </c>
      <c r="B9"/>
      <c r="C9"/>
      <c r="D9" s="285" t="s">
        <v>205</v>
      </c>
      <c r="E9" s="41"/>
      <c r="F9" s="285"/>
      <c r="G9" s="285"/>
      <c r="H9" s="82"/>
      <c r="I9" s="82"/>
      <c r="J9" s="82"/>
    </row>
    <row r="10" spans="1:10">
      <c r="A10" s="31" t="s">
        <v>288</v>
      </c>
      <c r="B10" s="6"/>
      <c r="C10" s="27"/>
      <c r="D10" s="285" t="s">
        <v>205</v>
      </c>
      <c r="E10" s="82"/>
      <c r="F10" s="285"/>
      <c r="G10" s="285"/>
      <c r="H10" s="82"/>
      <c r="I10" s="82"/>
      <c r="J10" s="285"/>
    </row>
    <row r="11" spans="1:10">
      <c r="A11" s="31" t="s">
        <v>290</v>
      </c>
      <c r="B11" s="27"/>
      <c r="C11" s="27"/>
      <c r="D11" s="285"/>
      <c r="E11" s="41"/>
      <c r="F11" s="285"/>
      <c r="G11" s="285"/>
      <c r="H11" s="285"/>
      <c r="I11" s="285"/>
      <c r="J11" s="285"/>
    </row>
    <row r="12" spans="1:10">
      <c r="A12" s="31"/>
      <c r="B12" s="27"/>
      <c r="C12" s="27"/>
      <c r="D12" s="6"/>
      <c r="E12" s="27"/>
      <c r="F12" s="6"/>
      <c r="G12" s="6"/>
      <c r="H12" s="6"/>
      <c r="I12" s="6"/>
      <c r="J12" s="6"/>
    </row>
    <row r="13" spans="1:10">
      <c r="A13" s="31" t="s">
        <v>289</v>
      </c>
      <c r="B13" s="290"/>
      <c r="C13"/>
      <c r="D13" s="286"/>
      <c r="E13" s="10"/>
      <c r="F13" s="6"/>
      <c r="G13" s="6"/>
      <c r="H13" s="6"/>
      <c r="I13" s="6"/>
      <c r="J13" s="6"/>
    </row>
    <row r="14" spans="1:10">
      <c r="A14" s="31" t="s">
        <v>203</v>
      </c>
      <c r="B14" s="290"/>
      <c r="C14"/>
      <c r="D14" s="287"/>
      <c r="E14" s="287"/>
      <c r="F14" s="288"/>
      <c r="G14" s="288"/>
      <c r="H14" s="288"/>
      <c r="I14" s="288"/>
      <c r="J14" s="288"/>
    </row>
    <row r="15" spans="1:10">
      <c r="A15" s="39"/>
      <c r="D15" s="291"/>
      <c r="E15" s="288"/>
      <c r="F15" s="288"/>
      <c r="G15" s="288"/>
      <c r="H15" s="288"/>
      <c r="I15" s="288"/>
      <c r="J15" s="288"/>
    </row>
    <row r="16" spans="1:10">
      <c r="A16" s="31" t="s">
        <v>206</v>
      </c>
      <c r="B16" s="290"/>
      <c r="C16"/>
      <c r="D16" s="287"/>
      <c r="E16" s="287"/>
      <c r="F16" s="288"/>
      <c r="G16" s="288"/>
      <c r="H16" s="288"/>
      <c r="I16" s="288"/>
      <c r="J16" s="288"/>
    </row>
    <row r="17" spans="1:10">
      <c r="A17" s="31" t="s">
        <v>204</v>
      </c>
      <c r="B17"/>
      <c r="C17"/>
      <c r="D17" s="285" t="s">
        <v>205</v>
      </c>
      <c r="E17" s="41"/>
      <c r="F17" s="285"/>
      <c r="G17" s="285"/>
      <c r="H17" s="82"/>
      <c r="I17" s="82"/>
      <c r="J17" s="82"/>
    </row>
    <row r="18" spans="1:10">
      <c r="A18" s="31" t="s">
        <v>288</v>
      </c>
      <c r="B18" s="6"/>
      <c r="C18" s="27"/>
      <c r="D18" s="285" t="s">
        <v>205</v>
      </c>
      <c r="E18" s="82"/>
      <c r="F18" s="285"/>
      <c r="G18" s="285"/>
      <c r="H18" s="82"/>
      <c r="I18" s="82"/>
      <c r="J18" s="285"/>
    </row>
    <row r="19" spans="1:10">
      <c r="A19" s="31" t="s">
        <v>290</v>
      </c>
      <c r="B19" s="27"/>
      <c r="C19" s="27"/>
      <c r="D19" s="285"/>
      <c r="E19" s="41"/>
      <c r="F19" s="285"/>
      <c r="G19" s="285"/>
      <c r="H19" s="285"/>
      <c r="I19" s="285"/>
      <c r="J19" s="285"/>
    </row>
    <row r="20" spans="1:10">
      <c r="A20"/>
      <c r="B20"/>
      <c r="C20"/>
      <c r="D20" s="6"/>
      <c r="E20" s="6"/>
    </row>
    <row r="21" spans="1:10" ht="18">
      <c r="A21" s="264" t="s">
        <v>217</v>
      </c>
      <c r="B21" s="265"/>
      <c r="C21" s="67"/>
      <c r="D21" s="66"/>
      <c r="E21" s="65"/>
      <c r="F21" s="65"/>
      <c r="G21" s="65"/>
      <c r="H21" s="65"/>
      <c r="I21" s="65"/>
      <c r="J21" s="65"/>
    </row>
    <row r="22" spans="1:10" ht="18">
      <c r="A22" s="266"/>
      <c r="B22" s="267"/>
      <c r="C22" s="67"/>
      <c r="D22" s="167" t="s">
        <v>207</v>
      </c>
      <c r="E22"/>
      <c r="F22" s="117"/>
      <c r="G22" s="117"/>
      <c r="H22" s="117" t="s">
        <v>356</v>
      </c>
      <c r="I22" s="117"/>
      <c r="J22" s="117"/>
    </row>
    <row r="23" spans="1:10" ht="18">
      <c r="A23" s="266"/>
      <c r="B23" s="267"/>
      <c r="C23" s="67"/>
      <c r="D23"/>
      <c r="E23"/>
      <c r="F23"/>
      <c r="G23"/>
      <c r="H23"/>
      <c r="I23"/>
      <c r="J23"/>
    </row>
    <row r="24" spans="1:10">
      <c r="A24" s="268"/>
      <c r="B24" s="269"/>
      <c r="C24"/>
      <c r="D24" s="41"/>
      <c r="E24" s="41"/>
      <c r="F24" s="41"/>
      <c r="G24" s="41"/>
      <c r="H24" s="285"/>
      <c r="I24" s="285"/>
      <c r="J24" s="285"/>
    </row>
    <row r="25" spans="1:10">
      <c r="A25"/>
      <c r="B25"/>
      <c r="C25"/>
      <c r="D25" s="263" t="s">
        <v>357</v>
      </c>
      <c r="E25" s="263"/>
      <c r="F25" s="117" t="s">
        <v>208</v>
      </c>
      <c r="G25" s="117"/>
      <c r="H25" s="117" t="s">
        <v>358</v>
      </c>
      <c r="I25" s="43"/>
      <c r="J25" s="43"/>
    </row>
    <row r="26" spans="1:10">
      <c r="A26"/>
      <c r="B26"/>
      <c r="C26"/>
      <c r="D26"/>
      <c r="E26"/>
      <c r="F26"/>
      <c r="G26"/>
      <c r="H26"/>
      <c r="I26"/>
      <c r="J26"/>
    </row>
    <row r="27" spans="1:10">
      <c r="A27" s="1" t="s">
        <v>376</v>
      </c>
      <c r="D27" s="6"/>
      <c r="E27" s="285"/>
      <c r="G27" s="6"/>
      <c r="H27" s="27"/>
      <c r="I27" s="27"/>
      <c r="J27" s="27"/>
    </row>
    <row r="28" spans="1:10">
      <c r="A28" s="1" t="s">
        <v>209</v>
      </c>
      <c r="C28" s="285"/>
      <c r="H28"/>
      <c r="I28"/>
      <c r="J28"/>
    </row>
    <row r="29" spans="1:10">
      <c r="A29" s="1" t="s">
        <v>399</v>
      </c>
      <c r="D29" s="292">
        <v>0</v>
      </c>
      <c r="F29" s="6"/>
      <c r="G29" s="6"/>
      <c r="H29"/>
      <c r="I29"/>
      <c r="J29"/>
    </row>
    <row r="30" spans="1:10">
      <c r="J30" s="46"/>
    </row>
    <row r="31" spans="1:10">
      <c r="A31"/>
      <c r="B31"/>
      <c r="C31"/>
      <c r="D31"/>
      <c r="E31"/>
      <c r="F31"/>
      <c r="G31"/>
      <c r="H31"/>
      <c r="I31"/>
      <c r="J31"/>
    </row>
    <row r="32" spans="1:10">
      <c r="A32"/>
      <c r="B32"/>
      <c r="C32"/>
      <c r="D32"/>
      <c r="E32"/>
      <c r="F32"/>
      <c r="G32"/>
      <c r="H32"/>
      <c r="I32"/>
      <c r="J32"/>
    </row>
    <row r="33" spans="1:10">
      <c r="A33"/>
      <c r="B33"/>
      <c r="C33"/>
      <c r="D33"/>
      <c r="E33"/>
      <c r="F33"/>
      <c r="G33"/>
      <c r="H33"/>
      <c r="I33"/>
      <c r="J33"/>
    </row>
    <row r="34" spans="1:10">
      <c r="A34" s="194"/>
      <c r="B34" s="194"/>
      <c r="C34" s="194"/>
      <c r="D34" s="194"/>
      <c r="E34" s="194"/>
      <c r="F34" s="23"/>
      <c r="G34" s="23"/>
      <c r="H34" s="6"/>
      <c r="I34" s="6"/>
      <c r="J34" s="6"/>
    </row>
    <row r="35" spans="1:10" ht="15.75" thickBot="1">
      <c r="A35" s="167" t="s">
        <v>359</v>
      </c>
      <c r="B35"/>
      <c r="C35" s="117"/>
      <c r="D35" s="117"/>
      <c r="E35" s="117" t="s">
        <v>356</v>
      </c>
      <c r="F35"/>
      <c r="G35"/>
      <c r="H35"/>
      <c r="I35"/>
      <c r="J35"/>
    </row>
    <row r="36" spans="1:10" ht="18.75" thickTop="1">
      <c r="A36" s="85"/>
      <c r="B36" s="86"/>
      <c r="C36" s="86"/>
      <c r="D36" s="86"/>
      <c r="E36" s="87"/>
      <c r="F36"/>
      <c r="G36"/>
      <c r="H36"/>
      <c r="I36"/>
      <c r="J36"/>
    </row>
    <row r="37" spans="1:10" ht="26.25">
      <c r="A37" s="88" t="s">
        <v>256</v>
      </c>
      <c r="B37" s="89"/>
      <c r="C37" s="89"/>
      <c r="D37" s="89"/>
      <c r="E37" s="90"/>
      <c r="F37"/>
      <c r="G37"/>
      <c r="H37"/>
      <c r="I37"/>
      <c r="J37"/>
    </row>
    <row r="38" spans="1:10" ht="26.25">
      <c r="A38" s="88" t="s">
        <v>211</v>
      </c>
      <c r="B38" s="89"/>
      <c r="C38" s="89"/>
      <c r="D38" s="89"/>
      <c r="E38" s="90"/>
      <c r="F38"/>
      <c r="G38"/>
      <c r="H38"/>
      <c r="I38"/>
      <c r="J38"/>
    </row>
    <row r="39" spans="1:10" ht="27" thickBot="1">
      <c r="A39" s="88"/>
      <c r="B39" s="89"/>
      <c r="C39" s="89"/>
      <c r="D39" s="89"/>
      <c r="E39" s="90"/>
      <c r="F39"/>
      <c r="G39"/>
      <c r="H39"/>
      <c r="I39"/>
      <c r="J39"/>
    </row>
    <row r="40" spans="1:10" ht="17.25" thickTop="1" thickBot="1">
      <c r="A40" s="48" t="s">
        <v>212</v>
      </c>
      <c r="B40" s="49" t="s">
        <v>213</v>
      </c>
      <c r="C40" s="49" t="s">
        <v>257</v>
      </c>
      <c r="D40" s="49" t="s">
        <v>258</v>
      </c>
      <c r="E40" s="50" t="s">
        <v>214</v>
      </c>
      <c r="F40"/>
      <c r="G40"/>
      <c r="H40"/>
      <c r="I40"/>
      <c r="J40"/>
    </row>
    <row r="41" spans="1:10" ht="15.75" thickTop="1">
      <c r="A41" s="57" t="s">
        <v>20</v>
      </c>
      <c r="B41" s="118"/>
      <c r="C41" s="14" t="s">
        <v>15</v>
      </c>
      <c r="D41" s="12">
        <v>1.1000000000000001</v>
      </c>
      <c r="E41" s="53">
        <f>B41*D41</f>
        <v>0</v>
      </c>
      <c r="F41" s="8"/>
      <c r="G41" s="8"/>
      <c r="H41" s="8"/>
      <c r="I41" s="8"/>
    </row>
    <row r="42" spans="1:10">
      <c r="A42" s="57" t="s">
        <v>21</v>
      </c>
      <c r="B42" s="118"/>
      <c r="C42" s="14" t="s">
        <v>1</v>
      </c>
      <c r="D42" s="12">
        <v>0.4</v>
      </c>
      <c r="E42" s="53">
        <f t="shared" ref="E42:E52" si="0">B42*D42</f>
        <v>0</v>
      </c>
      <c r="F42" s="8"/>
      <c r="G42" s="8"/>
      <c r="H42" s="8"/>
      <c r="I42" s="8"/>
    </row>
    <row r="43" spans="1:10">
      <c r="A43" s="57" t="s">
        <v>22</v>
      </c>
      <c r="B43" s="118"/>
      <c r="C43" s="14" t="s">
        <v>1</v>
      </c>
      <c r="D43" s="12">
        <v>0.28000000000000003</v>
      </c>
      <c r="E43" s="53">
        <f t="shared" si="0"/>
        <v>0</v>
      </c>
      <c r="F43" s="8"/>
      <c r="G43" s="8"/>
      <c r="H43" s="8"/>
      <c r="I43" s="8"/>
    </row>
    <row r="44" spans="1:10">
      <c r="A44" s="57" t="s">
        <v>23</v>
      </c>
      <c r="B44" s="118"/>
      <c r="C44" s="14" t="s">
        <v>15</v>
      </c>
      <c r="D44" s="12">
        <v>5</v>
      </c>
      <c r="E44" s="53">
        <f t="shared" si="0"/>
        <v>0</v>
      </c>
      <c r="F44" s="8"/>
      <c r="G44" s="8"/>
      <c r="H44" s="8"/>
      <c r="I44" s="8"/>
    </row>
    <row r="45" spans="1:10">
      <c r="A45" s="57" t="s">
        <v>24</v>
      </c>
      <c r="B45" s="118"/>
      <c r="C45" s="14" t="s">
        <v>14</v>
      </c>
      <c r="D45" s="12">
        <v>1.6</v>
      </c>
      <c r="E45" s="53">
        <f t="shared" si="0"/>
        <v>0</v>
      </c>
      <c r="F45" s="8"/>
      <c r="G45" s="8"/>
      <c r="H45" s="8"/>
      <c r="I45" s="8"/>
    </row>
    <row r="46" spans="1:10">
      <c r="A46" s="57" t="s">
        <v>25</v>
      </c>
      <c r="B46" s="118"/>
      <c r="C46" s="14" t="s">
        <v>14</v>
      </c>
      <c r="D46" s="12">
        <v>2.25</v>
      </c>
      <c r="E46" s="53">
        <f t="shared" si="0"/>
        <v>0</v>
      </c>
      <c r="F46" s="8"/>
      <c r="G46" s="8"/>
      <c r="H46" s="8"/>
      <c r="I46" s="8"/>
    </row>
    <row r="47" spans="1:10">
      <c r="A47" s="57" t="s">
        <v>26</v>
      </c>
      <c r="B47" s="118"/>
      <c r="C47" s="14" t="s">
        <v>1</v>
      </c>
      <c r="D47" s="12">
        <v>0.4</v>
      </c>
      <c r="E47" s="53">
        <f t="shared" si="0"/>
        <v>0</v>
      </c>
      <c r="F47" s="8"/>
      <c r="G47" s="8"/>
      <c r="H47" s="8"/>
      <c r="I47" s="8"/>
    </row>
    <row r="48" spans="1:10">
      <c r="A48" s="57" t="s">
        <v>27</v>
      </c>
      <c r="B48" s="118"/>
      <c r="C48" s="14" t="s">
        <v>1</v>
      </c>
      <c r="D48" s="12">
        <v>0.2</v>
      </c>
      <c r="E48" s="53">
        <f t="shared" si="0"/>
        <v>0</v>
      </c>
      <c r="F48" s="8"/>
      <c r="G48" s="8"/>
      <c r="H48" s="8"/>
      <c r="I48" s="8"/>
    </row>
    <row r="49" spans="1:9">
      <c r="A49" s="57" t="s">
        <v>28</v>
      </c>
      <c r="B49" s="118"/>
      <c r="C49" s="14" t="s">
        <v>1</v>
      </c>
      <c r="D49" s="12">
        <v>0.3</v>
      </c>
      <c r="E49" s="53">
        <f t="shared" si="0"/>
        <v>0</v>
      </c>
      <c r="F49" s="8"/>
      <c r="G49" s="8"/>
      <c r="H49" s="8"/>
      <c r="I49" s="8"/>
    </row>
    <row r="50" spans="1:9">
      <c r="A50" s="57" t="s">
        <v>29</v>
      </c>
      <c r="B50" s="118"/>
      <c r="C50" s="14" t="s">
        <v>1</v>
      </c>
      <c r="D50" s="12">
        <v>5.25</v>
      </c>
      <c r="E50" s="53">
        <f t="shared" si="0"/>
        <v>0</v>
      </c>
      <c r="F50" s="8"/>
      <c r="G50" s="8"/>
      <c r="H50" s="8"/>
      <c r="I50" s="8"/>
    </row>
    <row r="51" spans="1:9">
      <c r="A51" s="57" t="s">
        <v>30</v>
      </c>
      <c r="B51" s="118"/>
      <c r="C51" s="14" t="s">
        <v>15</v>
      </c>
      <c r="D51" s="12">
        <v>500</v>
      </c>
      <c r="E51" s="53">
        <f t="shared" si="0"/>
        <v>0</v>
      </c>
      <c r="F51" s="8"/>
      <c r="G51" s="8"/>
      <c r="H51" s="8"/>
      <c r="I51" s="8"/>
    </row>
    <row r="52" spans="1:9" ht="15.75" thickBot="1">
      <c r="A52" s="144" t="s">
        <v>31</v>
      </c>
      <c r="B52" s="145"/>
      <c r="C52" s="146" t="s">
        <v>15</v>
      </c>
      <c r="D52" s="147">
        <v>150</v>
      </c>
      <c r="E52" s="148">
        <f t="shared" si="0"/>
        <v>0</v>
      </c>
      <c r="F52" s="8"/>
      <c r="G52" s="8"/>
      <c r="H52" s="8"/>
      <c r="I52" s="8"/>
    </row>
    <row r="53" spans="1:9" ht="15.75" thickTop="1">
      <c r="A53" s="149"/>
      <c r="B53" s="150"/>
      <c r="C53" s="150"/>
      <c r="D53" s="150"/>
      <c r="E53" s="151"/>
      <c r="F53" s="6"/>
      <c r="G53" s="6"/>
      <c r="H53" s="6"/>
      <c r="I53" s="6"/>
    </row>
    <row r="54" spans="1:9">
      <c r="A54" s="70"/>
      <c r="B54" s="6"/>
      <c r="C54" s="6"/>
      <c r="D54" s="72" t="s">
        <v>215</v>
      </c>
      <c r="E54" s="152">
        <f>SUM(E41:E52)</f>
        <v>0</v>
      </c>
    </row>
    <row r="55" spans="1:9">
      <c r="A55" s="70"/>
      <c r="B55" s="6"/>
      <c r="C55" s="6"/>
      <c r="D55" s="27"/>
      <c r="E55" s="153"/>
    </row>
    <row r="56" spans="1:9">
      <c r="A56" s="70"/>
      <c r="B56" s="6"/>
      <c r="C56" s="6"/>
      <c r="D56" s="72" t="s">
        <v>216</v>
      </c>
      <c r="E56" s="154">
        <f>SUM(E54*0.15)</f>
        <v>0</v>
      </c>
    </row>
    <row r="57" spans="1:9">
      <c r="A57" s="70"/>
      <c r="B57" s="6"/>
      <c r="C57" s="6"/>
      <c r="D57" s="27"/>
      <c r="E57" s="153"/>
    </row>
    <row r="58" spans="1:9">
      <c r="A58" s="70"/>
      <c r="B58" s="6"/>
      <c r="C58" s="6"/>
      <c r="D58" s="72" t="s">
        <v>390</v>
      </c>
      <c r="E58" s="152">
        <f>SUM(E54:E56)</f>
        <v>0</v>
      </c>
    </row>
    <row r="59" spans="1:9" ht="15.75" thickBot="1">
      <c r="A59" s="76"/>
      <c r="B59" s="3"/>
      <c r="C59" s="3"/>
      <c r="D59" s="155"/>
      <c r="E59" s="156"/>
    </row>
    <row r="60" spans="1:9" ht="15.75" thickTop="1">
      <c r="D60" s="51"/>
      <c r="E60"/>
    </row>
    <row r="61" spans="1:9">
      <c r="D61" s="51"/>
      <c r="E61" s="52"/>
    </row>
    <row r="62" spans="1:9">
      <c r="D62" s="51"/>
      <c r="E62" s="52"/>
    </row>
    <row r="64" spans="1:9" ht="15.75">
      <c r="A64" s="68"/>
    </row>
    <row r="65" spans="1:1" ht="15.75">
      <c r="A65" s="68"/>
    </row>
  </sheetData>
  <dataConsolidate/>
  <mergeCells count="4">
    <mergeCell ref="A1:J1"/>
    <mergeCell ref="A2:J2"/>
    <mergeCell ref="A21:B24"/>
    <mergeCell ref="D25:E25"/>
  </mergeCells>
  <phoneticPr fontId="1" type="noConversion"/>
  <pageMargins left="0.75" right="0.5" top="0.25" bottom="0.25" header="0" footer="0"/>
  <pageSetup scale="91" orientation="portrait" r:id="rId1"/>
  <headerFooter alignWithMargins="0">
    <oddFooter>&amp;CPage &amp;P of &amp;N</oddFooter>
  </headerFooter>
</worksheet>
</file>

<file path=xl/worksheets/sheet4.xml><?xml version="1.0" encoding="utf-8"?>
<worksheet xmlns="http://schemas.openxmlformats.org/spreadsheetml/2006/main" xmlns:r="http://schemas.openxmlformats.org/officeDocument/2006/relationships">
  <dimension ref="A1:X236"/>
  <sheetViews>
    <sheetView view="pageLayout" topLeftCell="A120" zoomScale="75" zoomScaleNormal="100" zoomScaleSheetLayoutView="100" zoomScalePageLayoutView="75" workbookViewId="0">
      <selection activeCell="A156" sqref="A156"/>
    </sheetView>
  </sheetViews>
  <sheetFormatPr defaultRowHeight="15"/>
  <cols>
    <col min="1" max="1" width="58.140625" style="1" customWidth="1"/>
    <col min="2" max="2" width="12.28515625" style="1" customWidth="1"/>
    <col min="3" max="3" width="8" style="1" customWidth="1"/>
    <col min="4" max="4" width="18.85546875" style="1" customWidth="1"/>
    <col min="5" max="5" width="22.85546875" style="1" customWidth="1"/>
    <col min="6" max="8" width="9.140625" style="1" hidden="1" customWidth="1"/>
    <col min="9" max="9" width="7.7109375" style="1" hidden="1" customWidth="1"/>
    <col min="10" max="16" width="9.140625" style="6"/>
    <col min="17" max="16384" width="9.140625" style="1"/>
  </cols>
  <sheetData>
    <row r="1" spans="1:16" customFormat="1" ht="18.75" thickTop="1">
      <c r="A1" s="276"/>
      <c r="B1" s="277"/>
      <c r="C1" s="277"/>
      <c r="D1" s="277"/>
      <c r="E1" s="278"/>
      <c r="J1" s="27"/>
      <c r="K1" s="27"/>
      <c r="L1" s="27"/>
      <c r="M1" s="27"/>
      <c r="N1" s="27"/>
      <c r="O1" s="27"/>
      <c r="P1" s="27"/>
    </row>
    <row r="2" spans="1:16" customFormat="1" ht="26.25">
      <c r="A2" s="88" t="s">
        <v>256</v>
      </c>
      <c r="B2" s="89"/>
      <c r="C2" s="89"/>
      <c r="D2" s="89"/>
      <c r="E2" s="90"/>
      <c r="J2" s="27"/>
      <c r="K2" s="27"/>
      <c r="L2" s="27"/>
      <c r="M2" s="27"/>
      <c r="N2" s="27"/>
      <c r="O2" s="27"/>
      <c r="P2" s="27"/>
    </row>
    <row r="3" spans="1:16" customFormat="1" ht="26.25">
      <c r="A3" s="88" t="s">
        <v>322</v>
      </c>
      <c r="B3" s="89"/>
      <c r="C3" s="89"/>
      <c r="D3" s="89"/>
      <c r="E3" s="90"/>
      <c r="J3" s="27"/>
      <c r="K3" s="27"/>
      <c r="L3" s="27"/>
      <c r="M3" s="27"/>
      <c r="N3" s="27"/>
      <c r="O3" s="27"/>
      <c r="P3" s="27"/>
    </row>
    <row r="4" spans="1:16" customFormat="1" ht="30" customHeight="1" thickBot="1">
      <c r="A4" s="273" t="s">
        <v>306</v>
      </c>
      <c r="B4" s="274"/>
      <c r="C4" s="274"/>
      <c r="D4" s="274"/>
      <c r="E4" s="275"/>
      <c r="J4" s="27"/>
      <c r="K4" s="27"/>
      <c r="L4" s="27"/>
      <c r="M4" s="27"/>
      <c r="N4" s="27"/>
      <c r="O4" s="27"/>
      <c r="P4" s="27"/>
    </row>
    <row r="5" spans="1:16" customFormat="1" ht="17.25" thickTop="1" thickBot="1">
      <c r="A5" s="48" t="s">
        <v>212</v>
      </c>
      <c r="B5" s="49" t="s">
        <v>213</v>
      </c>
      <c r="C5" s="49" t="s">
        <v>257</v>
      </c>
      <c r="D5" s="54" t="s">
        <v>258</v>
      </c>
      <c r="E5" s="50" t="s">
        <v>214</v>
      </c>
      <c r="J5" s="27"/>
      <c r="K5" s="27"/>
      <c r="L5" s="27"/>
      <c r="M5" s="27"/>
      <c r="N5" s="27"/>
      <c r="O5" s="27"/>
      <c r="P5" s="27"/>
    </row>
    <row r="6" spans="1:16" customFormat="1" thickTop="1">
      <c r="A6" s="159"/>
      <c r="B6" s="137"/>
      <c r="C6" s="163"/>
      <c r="D6" s="162"/>
      <c r="E6" s="161"/>
      <c r="J6" s="27"/>
      <c r="K6" s="27"/>
      <c r="L6" s="27"/>
      <c r="M6" s="27"/>
      <c r="N6" s="27"/>
      <c r="O6" s="27"/>
      <c r="P6" s="27"/>
    </row>
    <row r="7" spans="1:16" ht="15.75">
      <c r="A7" s="119" t="s">
        <v>259</v>
      </c>
      <c r="B7" s="6"/>
      <c r="C7" s="5"/>
      <c r="D7" s="207"/>
      <c r="E7" s="208"/>
    </row>
    <row r="8" spans="1:16">
      <c r="A8" s="209"/>
      <c r="B8" s="18"/>
      <c r="C8" s="198"/>
      <c r="D8" s="210"/>
      <c r="E8" s="211"/>
    </row>
    <row r="9" spans="1:16" s="6" customFormat="1">
      <c r="A9" s="212" t="s">
        <v>0</v>
      </c>
      <c r="B9" s="206"/>
      <c r="C9" s="9" t="s">
        <v>1</v>
      </c>
      <c r="D9" s="12">
        <v>0.45</v>
      </c>
      <c r="E9" s="53">
        <f>B9*D9</f>
        <v>0</v>
      </c>
      <c r="F9" s="15"/>
      <c r="G9" s="11"/>
      <c r="H9" s="11"/>
      <c r="I9" s="7"/>
    </row>
    <row r="10" spans="1:16" s="6" customFormat="1">
      <c r="A10" s="212" t="s">
        <v>2</v>
      </c>
      <c r="B10" s="206"/>
      <c r="C10" s="9" t="s">
        <v>3</v>
      </c>
      <c r="D10" s="12">
        <v>105</v>
      </c>
      <c r="E10" s="53">
        <f>B10*D10</f>
        <v>0</v>
      </c>
      <c r="F10" s="15"/>
      <c r="G10" s="11"/>
      <c r="H10" s="11"/>
      <c r="I10" s="7"/>
    </row>
    <row r="11" spans="1:16" s="6" customFormat="1" ht="15.75">
      <c r="A11" s="212" t="s">
        <v>7</v>
      </c>
      <c r="B11" s="206"/>
      <c r="C11" s="9" t="s">
        <v>308</v>
      </c>
      <c r="D11" s="213"/>
      <c r="E11" s="214" t="s">
        <v>308</v>
      </c>
      <c r="F11" s="15"/>
      <c r="G11" s="11"/>
      <c r="H11" s="11"/>
      <c r="I11" s="7"/>
    </row>
    <row r="12" spans="1:16" s="6" customFormat="1">
      <c r="A12" s="215" t="s">
        <v>4</v>
      </c>
      <c r="B12" s="205"/>
      <c r="C12" s="9" t="s">
        <v>3</v>
      </c>
      <c r="D12" s="12">
        <v>27.5</v>
      </c>
      <c r="E12" s="53">
        <f>B12*D12</f>
        <v>0</v>
      </c>
      <c r="F12" s="15"/>
      <c r="G12" s="11"/>
      <c r="H12" s="11"/>
      <c r="I12" s="21"/>
    </row>
    <row r="13" spans="1:16" s="6" customFormat="1">
      <c r="A13" s="215" t="s">
        <v>5</v>
      </c>
      <c r="B13" s="205"/>
      <c r="C13" s="9" t="s">
        <v>3</v>
      </c>
      <c r="D13" s="12">
        <v>22</v>
      </c>
      <c r="E13" s="53">
        <f>B13*D13</f>
        <v>0</v>
      </c>
      <c r="F13" s="15"/>
      <c r="G13" s="11"/>
      <c r="H13" s="11"/>
      <c r="I13" s="21"/>
    </row>
    <row r="14" spans="1:16" s="6" customFormat="1">
      <c r="A14" s="215" t="s">
        <v>6</v>
      </c>
      <c r="B14" s="216"/>
      <c r="C14" s="9" t="s">
        <v>3</v>
      </c>
      <c r="D14" s="12">
        <v>16.5</v>
      </c>
      <c r="E14" s="53">
        <f>B14*D14</f>
        <v>0</v>
      </c>
      <c r="F14" s="15"/>
      <c r="G14" s="11"/>
      <c r="H14" s="271"/>
      <c r="I14" s="272"/>
    </row>
    <row r="15" spans="1:16" s="6" customFormat="1">
      <c r="A15" s="215" t="s">
        <v>8</v>
      </c>
      <c r="B15" s="216"/>
      <c r="C15" s="9" t="s">
        <v>3</v>
      </c>
      <c r="D15" s="12">
        <v>11</v>
      </c>
      <c r="E15" s="53">
        <f>B15*D15</f>
        <v>0</v>
      </c>
      <c r="F15" s="15"/>
      <c r="G15" s="11"/>
      <c r="H15" s="271"/>
      <c r="I15" s="272"/>
    </row>
    <row r="16" spans="1:16" s="6" customFormat="1">
      <c r="A16" s="215" t="s">
        <v>9</v>
      </c>
      <c r="B16" s="205"/>
      <c r="C16" s="9" t="s">
        <v>3</v>
      </c>
      <c r="D16" s="12">
        <v>7.15</v>
      </c>
      <c r="E16" s="53">
        <f>B16*D16</f>
        <v>0</v>
      </c>
      <c r="F16" s="15"/>
      <c r="G16" s="11"/>
      <c r="H16" s="11"/>
      <c r="I16" s="21"/>
    </row>
    <row r="17" spans="1:16" ht="15.75">
      <c r="A17" s="217" t="s">
        <v>10</v>
      </c>
      <c r="B17" s="206"/>
      <c r="C17" s="9" t="s">
        <v>308</v>
      </c>
      <c r="D17" s="213"/>
      <c r="E17" s="214" t="s">
        <v>308</v>
      </c>
      <c r="F17" s="15"/>
      <c r="G17" s="11"/>
      <c r="H17" s="11"/>
      <c r="I17" s="7"/>
    </row>
    <row r="18" spans="1:16">
      <c r="A18" s="215" t="s">
        <v>11</v>
      </c>
      <c r="B18" s="206"/>
      <c r="C18" s="14" t="s">
        <v>3</v>
      </c>
      <c r="D18" s="12">
        <v>20</v>
      </c>
      <c r="E18" s="53">
        <f>B18*D18</f>
        <v>0</v>
      </c>
      <c r="F18" s="15"/>
      <c r="G18" s="11"/>
      <c r="H18" s="11"/>
      <c r="I18" s="7"/>
    </row>
    <row r="19" spans="1:16">
      <c r="A19" s="215" t="s">
        <v>5</v>
      </c>
      <c r="B19" s="216"/>
      <c r="C19" s="14" t="s">
        <v>3</v>
      </c>
      <c r="D19" s="12">
        <v>11.5</v>
      </c>
      <c r="E19" s="53">
        <f>B19*D19</f>
        <v>0</v>
      </c>
      <c r="F19" s="15"/>
      <c r="G19" s="11"/>
      <c r="H19" s="11"/>
      <c r="I19" s="21"/>
    </row>
    <row r="20" spans="1:16">
      <c r="A20" s="215" t="s">
        <v>12</v>
      </c>
      <c r="B20" s="206"/>
      <c r="C20" s="14" t="s">
        <v>3</v>
      </c>
      <c r="D20" s="12">
        <v>6.5</v>
      </c>
      <c r="E20" s="53">
        <f>B20*D20</f>
        <v>0</v>
      </c>
      <c r="F20" s="15"/>
      <c r="G20" s="11"/>
      <c r="H20" s="11"/>
      <c r="I20" s="7"/>
    </row>
    <row r="21" spans="1:16" ht="15.75">
      <c r="A21" s="217" t="s">
        <v>13</v>
      </c>
      <c r="B21" s="206"/>
      <c r="C21" s="9" t="s">
        <v>308</v>
      </c>
      <c r="D21" s="213"/>
      <c r="E21" s="214" t="s">
        <v>308</v>
      </c>
      <c r="F21" s="15"/>
      <c r="G21" s="11"/>
      <c r="H21" s="11"/>
      <c r="I21" s="7"/>
    </row>
    <row r="22" spans="1:16">
      <c r="A22" s="215" t="s">
        <v>11</v>
      </c>
      <c r="B22" s="206"/>
      <c r="C22" s="9" t="s">
        <v>3</v>
      </c>
      <c r="D22" s="12">
        <v>28</v>
      </c>
      <c r="E22" s="53">
        <f t="shared" ref="E22:E28" si="0">B22*D22</f>
        <v>0</v>
      </c>
      <c r="F22" s="15"/>
      <c r="G22" s="11"/>
      <c r="H22" s="11"/>
      <c r="I22" s="7"/>
    </row>
    <row r="23" spans="1:16">
      <c r="A23" s="215" t="s">
        <v>5</v>
      </c>
      <c r="B23" s="206"/>
      <c r="C23" s="9" t="s">
        <v>3</v>
      </c>
      <c r="D23" s="12">
        <v>22</v>
      </c>
      <c r="E23" s="53">
        <f t="shared" si="0"/>
        <v>0</v>
      </c>
      <c r="F23" s="15"/>
      <c r="G23" s="11"/>
      <c r="H23" s="11"/>
      <c r="I23" s="21"/>
    </row>
    <row r="24" spans="1:16">
      <c r="A24" s="215" t="s">
        <v>12</v>
      </c>
      <c r="B24" s="206"/>
      <c r="C24" s="9" t="s">
        <v>3</v>
      </c>
      <c r="D24" s="12">
        <v>12</v>
      </c>
      <c r="E24" s="53">
        <f t="shared" si="0"/>
        <v>0</v>
      </c>
      <c r="F24" s="15"/>
      <c r="G24" s="11"/>
      <c r="H24" s="11"/>
      <c r="I24" s="7"/>
    </row>
    <row r="25" spans="1:16">
      <c r="A25" s="217" t="s">
        <v>16</v>
      </c>
      <c r="B25" s="206"/>
      <c r="C25" s="9" t="s">
        <v>14</v>
      </c>
      <c r="D25" s="12">
        <v>28</v>
      </c>
      <c r="E25" s="53">
        <f t="shared" si="0"/>
        <v>0</v>
      </c>
      <c r="F25" s="6"/>
      <c r="G25" s="6"/>
      <c r="H25" s="6"/>
      <c r="I25" s="6"/>
    </row>
    <row r="26" spans="1:16">
      <c r="A26" s="217" t="s">
        <v>17</v>
      </c>
      <c r="B26" s="206"/>
      <c r="C26" s="9" t="s">
        <v>14</v>
      </c>
      <c r="D26" s="12">
        <v>30</v>
      </c>
      <c r="E26" s="53">
        <f t="shared" si="0"/>
        <v>0</v>
      </c>
      <c r="F26" s="6"/>
      <c r="G26" s="6"/>
      <c r="H26" s="6"/>
      <c r="I26" s="6"/>
    </row>
    <row r="27" spans="1:16">
      <c r="A27" s="217" t="s">
        <v>18</v>
      </c>
      <c r="B27" s="206"/>
      <c r="C27" s="9" t="s">
        <v>14</v>
      </c>
      <c r="D27" s="12">
        <v>35</v>
      </c>
      <c r="E27" s="53">
        <f t="shared" si="0"/>
        <v>0</v>
      </c>
      <c r="F27" s="6"/>
      <c r="G27" s="6"/>
      <c r="H27" s="6"/>
      <c r="I27" s="6"/>
    </row>
    <row r="28" spans="1:16">
      <c r="A28" s="217" t="s">
        <v>19</v>
      </c>
      <c r="B28" s="206"/>
      <c r="C28" s="9" t="s">
        <v>15</v>
      </c>
      <c r="D28" s="12">
        <v>2500</v>
      </c>
      <c r="E28" s="53">
        <f t="shared" si="0"/>
        <v>0</v>
      </c>
      <c r="F28" s="6"/>
      <c r="G28" s="6"/>
      <c r="H28" s="6"/>
      <c r="I28" s="6"/>
    </row>
    <row r="29" spans="1:16">
      <c r="A29" s="71"/>
      <c r="B29" s="19"/>
      <c r="C29" s="58"/>
      <c r="D29" s="63"/>
      <c r="E29" s="218"/>
    </row>
    <row r="30" spans="1:16" ht="16.5" thickBot="1">
      <c r="A30" s="119" t="s">
        <v>309</v>
      </c>
      <c r="B30" s="6"/>
      <c r="C30" s="5"/>
      <c r="D30" s="10"/>
      <c r="E30" s="61"/>
      <c r="F30" s="3"/>
      <c r="G30" s="3"/>
      <c r="H30" s="3"/>
      <c r="I30" s="3"/>
      <c r="J30" s="1"/>
      <c r="K30" s="1"/>
      <c r="L30" s="1"/>
      <c r="M30" s="1"/>
      <c r="N30" s="1"/>
      <c r="O30" s="1"/>
      <c r="P30" s="1"/>
    </row>
    <row r="31" spans="1:16" ht="16.5" thickTop="1">
      <c r="A31" s="219"/>
      <c r="B31" s="6"/>
      <c r="C31" s="5"/>
      <c r="D31" s="10"/>
      <c r="E31" s="61"/>
      <c r="F31" s="6"/>
      <c r="G31" s="6"/>
      <c r="H31" s="6"/>
      <c r="I31" s="6"/>
      <c r="J31" s="1"/>
      <c r="K31" s="1"/>
      <c r="L31" s="1"/>
      <c r="M31" s="1"/>
      <c r="N31" s="1"/>
      <c r="O31" s="1"/>
      <c r="P31" s="1"/>
    </row>
    <row r="32" spans="1:16">
      <c r="A32" s="220" t="s">
        <v>293</v>
      </c>
      <c r="B32" s="206"/>
      <c r="C32" s="9"/>
      <c r="D32" s="12"/>
      <c r="E32" s="221"/>
    </row>
    <row r="33" spans="1:9">
      <c r="A33" s="217" t="s">
        <v>149</v>
      </c>
      <c r="B33" s="206"/>
      <c r="C33" s="9" t="s">
        <v>14</v>
      </c>
      <c r="D33" s="12">
        <v>20</v>
      </c>
      <c r="E33" s="53">
        <f>B33*D33</f>
        <v>0</v>
      </c>
      <c r="F33" s="8"/>
      <c r="G33" s="8"/>
      <c r="H33" s="8"/>
      <c r="I33" s="8"/>
    </row>
    <row r="34" spans="1:9">
      <c r="A34" s="222" t="s">
        <v>150</v>
      </c>
      <c r="B34" s="223"/>
      <c r="C34" s="224" t="s">
        <v>14</v>
      </c>
      <c r="D34" s="225">
        <v>30</v>
      </c>
      <c r="E34" s="226">
        <f>B34*D34</f>
        <v>0</v>
      </c>
      <c r="F34" s="8"/>
      <c r="G34" s="8"/>
      <c r="H34" s="8"/>
      <c r="I34" s="8"/>
    </row>
    <row r="35" spans="1:9">
      <c r="A35" s="217" t="s">
        <v>151</v>
      </c>
      <c r="B35" s="206"/>
      <c r="C35" s="9" t="s">
        <v>14</v>
      </c>
      <c r="D35" s="12">
        <v>35</v>
      </c>
      <c r="E35" s="53">
        <f>B35*D35</f>
        <v>0</v>
      </c>
      <c r="F35" s="8"/>
      <c r="G35" s="8"/>
      <c r="H35" s="8"/>
      <c r="I35" s="8"/>
    </row>
    <row r="36" spans="1:9">
      <c r="A36" s="217" t="s">
        <v>152</v>
      </c>
      <c r="B36" s="206"/>
      <c r="C36" s="9" t="s">
        <v>14</v>
      </c>
      <c r="D36" s="12">
        <v>71</v>
      </c>
      <c r="E36" s="53">
        <f t="shared" ref="E36:E41" si="1">B36*D36</f>
        <v>0</v>
      </c>
      <c r="F36" s="8"/>
      <c r="G36" s="8"/>
      <c r="H36" s="8"/>
      <c r="I36" s="8"/>
    </row>
    <row r="37" spans="1:9">
      <c r="A37" s="217" t="s">
        <v>153</v>
      </c>
      <c r="B37" s="206"/>
      <c r="C37" s="9" t="s">
        <v>14</v>
      </c>
      <c r="D37" s="12">
        <v>80</v>
      </c>
      <c r="E37" s="53">
        <f t="shared" si="1"/>
        <v>0</v>
      </c>
      <c r="F37" s="8"/>
      <c r="G37" s="8"/>
      <c r="H37" s="8"/>
      <c r="I37" s="8"/>
    </row>
    <row r="38" spans="1:9">
      <c r="A38" s="217" t="s">
        <v>154</v>
      </c>
      <c r="B38" s="206"/>
      <c r="C38" s="9" t="s">
        <v>14</v>
      </c>
      <c r="D38" s="12">
        <v>91</v>
      </c>
      <c r="E38" s="53">
        <f t="shared" si="1"/>
        <v>0</v>
      </c>
      <c r="F38" s="8"/>
      <c r="G38" s="8"/>
      <c r="H38" s="8"/>
      <c r="I38" s="8"/>
    </row>
    <row r="39" spans="1:9">
      <c r="A39" s="217" t="s">
        <v>155</v>
      </c>
      <c r="B39" s="206"/>
      <c r="C39" s="9" t="s">
        <v>14</v>
      </c>
      <c r="D39" s="12">
        <v>105</v>
      </c>
      <c r="E39" s="53">
        <f t="shared" si="1"/>
        <v>0</v>
      </c>
      <c r="F39" s="8"/>
      <c r="G39" s="8"/>
      <c r="H39" s="8"/>
      <c r="I39" s="8"/>
    </row>
    <row r="40" spans="1:9">
      <c r="A40" s="217" t="s">
        <v>156</v>
      </c>
      <c r="B40" s="206"/>
      <c r="C40" s="9" t="s">
        <v>14</v>
      </c>
      <c r="D40" s="12">
        <v>120</v>
      </c>
      <c r="E40" s="53">
        <f t="shared" si="1"/>
        <v>0</v>
      </c>
      <c r="F40" s="8"/>
      <c r="G40" s="8"/>
      <c r="H40" s="8"/>
      <c r="I40" s="8"/>
    </row>
    <row r="41" spans="1:9">
      <c r="A41" s="217" t="s">
        <v>157</v>
      </c>
      <c r="B41" s="206"/>
      <c r="C41" s="9" t="s">
        <v>14</v>
      </c>
      <c r="D41" s="12">
        <v>135</v>
      </c>
      <c r="E41" s="53">
        <f t="shared" si="1"/>
        <v>0</v>
      </c>
      <c r="F41" s="8"/>
      <c r="G41" s="8"/>
      <c r="H41" s="8"/>
      <c r="I41" s="8"/>
    </row>
    <row r="42" spans="1:9" ht="14.25" customHeight="1">
      <c r="A42" s="217" t="s">
        <v>148</v>
      </c>
      <c r="B42" s="206"/>
      <c r="C42" s="9" t="s">
        <v>14</v>
      </c>
      <c r="D42" s="12">
        <v>60</v>
      </c>
      <c r="E42" s="53">
        <f t="shared" ref="E42:E51" si="2">B42*D42</f>
        <v>0</v>
      </c>
      <c r="F42" s="8"/>
      <c r="G42" s="8"/>
      <c r="H42" s="8"/>
      <c r="I42" s="8"/>
    </row>
    <row r="43" spans="1:9" ht="14.25" customHeight="1">
      <c r="A43" s="217" t="s">
        <v>32</v>
      </c>
      <c r="B43" s="206"/>
      <c r="C43" s="9" t="s">
        <v>14</v>
      </c>
      <c r="D43" s="12">
        <v>95</v>
      </c>
      <c r="E43" s="53">
        <f t="shared" si="2"/>
        <v>0</v>
      </c>
      <c r="F43" s="8"/>
      <c r="G43" s="8"/>
      <c r="H43" s="8"/>
      <c r="I43" s="8"/>
    </row>
    <row r="44" spans="1:9" ht="14.25" customHeight="1">
      <c r="A44" s="217" t="s">
        <v>33</v>
      </c>
      <c r="B44" s="206"/>
      <c r="C44" s="9" t="s">
        <v>14</v>
      </c>
      <c r="D44" s="12">
        <v>110</v>
      </c>
      <c r="E44" s="53">
        <f t="shared" si="2"/>
        <v>0</v>
      </c>
      <c r="F44" s="8"/>
      <c r="G44" s="8"/>
      <c r="H44" s="8"/>
      <c r="I44" s="8"/>
    </row>
    <row r="45" spans="1:9" ht="14.25" customHeight="1">
      <c r="A45" s="217" t="s">
        <v>34</v>
      </c>
      <c r="B45" s="206"/>
      <c r="C45" s="9" t="s">
        <v>14</v>
      </c>
      <c r="D45" s="12">
        <v>120</v>
      </c>
      <c r="E45" s="53">
        <f t="shared" si="2"/>
        <v>0</v>
      </c>
      <c r="F45" s="8"/>
      <c r="G45" s="8"/>
      <c r="H45" s="8"/>
      <c r="I45" s="8"/>
    </row>
    <row r="46" spans="1:9">
      <c r="A46" s="217" t="s">
        <v>35</v>
      </c>
      <c r="B46" s="206"/>
      <c r="C46" s="9" t="s">
        <v>14</v>
      </c>
      <c r="D46" s="12">
        <v>145</v>
      </c>
      <c r="E46" s="53">
        <f t="shared" si="2"/>
        <v>0</v>
      </c>
      <c r="F46" s="8"/>
      <c r="G46" s="8"/>
      <c r="H46" s="8"/>
      <c r="I46" s="8"/>
    </row>
    <row r="47" spans="1:9">
      <c r="A47" s="217" t="s">
        <v>36</v>
      </c>
      <c r="B47" s="206"/>
      <c r="C47" s="9" t="s">
        <v>14</v>
      </c>
      <c r="D47" s="12">
        <v>165</v>
      </c>
      <c r="E47" s="53">
        <f t="shared" si="2"/>
        <v>0</v>
      </c>
      <c r="F47" s="8"/>
      <c r="G47" s="8"/>
      <c r="H47" s="8"/>
      <c r="I47" s="8"/>
    </row>
    <row r="48" spans="1:9">
      <c r="A48" s="217" t="s">
        <v>37</v>
      </c>
      <c r="B48" s="206"/>
      <c r="C48" s="9" t="s">
        <v>14</v>
      </c>
      <c r="D48" s="12">
        <v>175</v>
      </c>
      <c r="E48" s="53">
        <f t="shared" si="2"/>
        <v>0</v>
      </c>
      <c r="F48" s="8"/>
      <c r="G48" s="8"/>
      <c r="H48" s="8"/>
      <c r="I48" s="8"/>
    </row>
    <row r="49" spans="1:9">
      <c r="A49" s="217" t="s">
        <v>38</v>
      </c>
      <c r="B49" s="206"/>
      <c r="C49" s="9" t="s">
        <v>14</v>
      </c>
      <c r="D49" s="12">
        <v>200</v>
      </c>
      <c r="E49" s="53">
        <f t="shared" si="2"/>
        <v>0</v>
      </c>
    </row>
    <row r="50" spans="1:9">
      <c r="A50" s="217" t="s">
        <v>39</v>
      </c>
      <c r="B50" s="206"/>
      <c r="C50" s="9" t="s">
        <v>14</v>
      </c>
      <c r="D50" s="12">
        <v>255</v>
      </c>
      <c r="E50" s="53">
        <f t="shared" si="2"/>
        <v>0</v>
      </c>
    </row>
    <row r="51" spans="1:9">
      <c r="A51" s="217" t="s">
        <v>40</v>
      </c>
      <c r="B51" s="206"/>
      <c r="C51" s="9" t="s">
        <v>14</v>
      </c>
      <c r="D51" s="12">
        <v>285</v>
      </c>
      <c r="E51" s="53">
        <f t="shared" si="2"/>
        <v>0</v>
      </c>
      <c r="F51" s="8"/>
      <c r="G51" s="8"/>
      <c r="H51" s="8"/>
      <c r="I51" s="8"/>
    </row>
    <row r="52" spans="1:9">
      <c r="A52" s="217"/>
      <c r="B52" s="206"/>
      <c r="C52" s="9"/>
      <c r="D52" s="205"/>
      <c r="E52" s="221"/>
      <c r="F52" s="8"/>
      <c r="G52" s="8"/>
      <c r="H52" s="8"/>
      <c r="I52" s="8"/>
    </row>
    <row r="53" spans="1:9">
      <c r="A53" s="220" t="s">
        <v>158</v>
      </c>
      <c r="B53" s="206"/>
      <c r="C53" s="9"/>
      <c r="D53" s="12"/>
      <c r="E53" s="221"/>
      <c r="F53" s="8"/>
      <c r="G53" s="8"/>
      <c r="H53" s="8"/>
      <c r="I53" s="8"/>
    </row>
    <row r="54" spans="1:9">
      <c r="A54" s="227" t="s">
        <v>50</v>
      </c>
      <c r="B54" s="206"/>
      <c r="C54" s="9" t="s">
        <v>15</v>
      </c>
      <c r="D54" s="12">
        <v>320</v>
      </c>
      <c r="E54" s="53">
        <f t="shared" ref="E54:E89" si="3">B54*D54</f>
        <v>0</v>
      </c>
      <c r="F54" s="8"/>
      <c r="G54" s="8"/>
      <c r="H54" s="8"/>
      <c r="I54" s="8"/>
    </row>
    <row r="55" spans="1:9">
      <c r="A55" s="227" t="s">
        <v>51</v>
      </c>
      <c r="B55" s="206"/>
      <c r="C55" s="9" t="s">
        <v>3</v>
      </c>
      <c r="D55" s="12">
        <v>1100</v>
      </c>
      <c r="E55" s="53">
        <f t="shared" si="3"/>
        <v>0</v>
      </c>
      <c r="F55" s="8"/>
      <c r="G55" s="8"/>
      <c r="H55" s="8"/>
      <c r="I55" s="8"/>
    </row>
    <row r="56" spans="1:9">
      <c r="A56" s="227" t="s">
        <v>52</v>
      </c>
      <c r="B56" s="206"/>
      <c r="C56" s="9" t="s">
        <v>15</v>
      </c>
      <c r="D56" s="12">
        <v>3550</v>
      </c>
      <c r="E56" s="53">
        <f t="shared" si="3"/>
        <v>0</v>
      </c>
      <c r="F56" s="8"/>
      <c r="G56" s="8"/>
      <c r="H56" s="8"/>
      <c r="I56" s="8"/>
    </row>
    <row r="57" spans="1:9">
      <c r="A57" s="227" t="s">
        <v>53</v>
      </c>
      <c r="B57" s="206"/>
      <c r="C57" s="9" t="s">
        <v>15</v>
      </c>
      <c r="D57" s="12">
        <v>3900</v>
      </c>
      <c r="E57" s="53">
        <f t="shared" si="3"/>
        <v>0</v>
      </c>
      <c r="F57" s="8"/>
      <c r="G57" s="8"/>
      <c r="H57" s="8"/>
      <c r="I57" s="8"/>
    </row>
    <row r="58" spans="1:9">
      <c r="A58" s="227" t="s">
        <v>54</v>
      </c>
      <c r="B58" s="206"/>
      <c r="C58" s="9" t="s">
        <v>15</v>
      </c>
      <c r="D58" s="12">
        <v>3980</v>
      </c>
      <c r="E58" s="53">
        <f t="shared" si="3"/>
        <v>0</v>
      </c>
      <c r="F58" s="8"/>
      <c r="G58" s="8"/>
      <c r="H58" s="8"/>
      <c r="I58" s="8"/>
    </row>
    <row r="59" spans="1:9" ht="15" customHeight="1">
      <c r="A59" s="227" t="s">
        <v>55</v>
      </c>
      <c r="B59" s="206"/>
      <c r="C59" s="9" t="s">
        <v>15</v>
      </c>
      <c r="D59" s="12">
        <v>4500</v>
      </c>
      <c r="E59" s="53">
        <f t="shared" si="3"/>
        <v>0</v>
      </c>
      <c r="F59" s="8"/>
      <c r="G59" s="8"/>
      <c r="H59" s="8"/>
      <c r="I59" s="8"/>
    </row>
    <row r="60" spans="1:9">
      <c r="A60" s="227" t="s">
        <v>56</v>
      </c>
      <c r="B60" s="206"/>
      <c r="C60" s="9" t="s">
        <v>15</v>
      </c>
      <c r="D60" s="12">
        <v>3850</v>
      </c>
      <c r="E60" s="53">
        <f t="shared" si="3"/>
        <v>0</v>
      </c>
      <c r="F60" s="8"/>
      <c r="G60" s="8"/>
      <c r="H60" s="8"/>
      <c r="I60" s="8"/>
    </row>
    <row r="61" spans="1:9">
      <c r="A61" s="100" t="s">
        <v>57</v>
      </c>
      <c r="B61" s="91"/>
      <c r="C61" s="92" t="s">
        <v>3</v>
      </c>
      <c r="D61" s="93">
        <v>550</v>
      </c>
      <c r="E61" s="94">
        <f t="shared" si="3"/>
        <v>0</v>
      </c>
      <c r="F61" s="8"/>
      <c r="G61" s="8"/>
      <c r="H61" s="8"/>
      <c r="I61" s="8"/>
    </row>
    <row r="62" spans="1:9" ht="18" customHeight="1">
      <c r="A62" s="100" t="s">
        <v>76</v>
      </c>
      <c r="B62" s="91"/>
      <c r="C62" s="92" t="s">
        <v>15</v>
      </c>
      <c r="D62" s="93">
        <v>8200</v>
      </c>
      <c r="E62" s="94">
        <f t="shared" si="3"/>
        <v>0</v>
      </c>
      <c r="F62" s="8"/>
      <c r="G62" s="8"/>
      <c r="H62" s="8"/>
      <c r="I62" s="8"/>
    </row>
    <row r="63" spans="1:9">
      <c r="A63" s="100" t="s">
        <v>58</v>
      </c>
      <c r="B63" s="91"/>
      <c r="C63" s="92" t="s">
        <v>15</v>
      </c>
      <c r="D63" s="93">
        <v>1200</v>
      </c>
      <c r="E63" s="94">
        <f t="shared" si="3"/>
        <v>0</v>
      </c>
      <c r="F63" s="8"/>
      <c r="G63" s="8"/>
      <c r="H63" s="8"/>
      <c r="I63" s="8"/>
    </row>
    <row r="64" spans="1:9">
      <c r="A64" s="230"/>
      <c r="B64" s="101"/>
      <c r="C64" s="102"/>
      <c r="D64" s="105"/>
      <c r="E64" s="231"/>
      <c r="F64" s="8"/>
      <c r="G64" s="8"/>
      <c r="H64" s="8"/>
      <c r="I64" s="8"/>
    </row>
    <row r="65" spans="1:9">
      <c r="A65" s="232" t="s">
        <v>382</v>
      </c>
      <c r="B65" s="6"/>
      <c r="C65" s="5"/>
      <c r="D65" s="207"/>
      <c r="E65" s="208"/>
      <c r="F65" s="8"/>
      <c r="G65" s="8"/>
      <c r="H65" s="8"/>
      <c r="I65" s="8"/>
    </row>
    <row r="66" spans="1:9">
      <c r="A66" s="227" t="s">
        <v>59</v>
      </c>
      <c r="B66" s="206"/>
      <c r="C66" s="9" t="s">
        <v>15</v>
      </c>
      <c r="D66" s="12">
        <v>2500</v>
      </c>
      <c r="E66" s="53">
        <f t="shared" si="3"/>
        <v>0</v>
      </c>
      <c r="F66" s="8"/>
      <c r="G66" s="8"/>
      <c r="H66" s="8"/>
      <c r="I66" s="8"/>
    </row>
    <row r="67" spans="1:9">
      <c r="A67" s="227" t="s">
        <v>60</v>
      </c>
      <c r="B67" s="206"/>
      <c r="C67" s="9" t="s">
        <v>15</v>
      </c>
      <c r="D67" s="12">
        <v>3850</v>
      </c>
      <c r="E67" s="53">
        <f t="shared" si="3"/>
        <v>0</v>
      </c>
      <c r="F67" s="8"/>
      <c r="G67" s="8"/>
      <c r="H67" s="8"/>
      <c r="I67" s="8"/>
    </row>
    <row r="68" spans="1:9">
      <c r="A68" s="227" t="s">
        <v>61</v>
      </c>
      <c r="B68" s="206"/>
      <c r="C68" s="9" t="s">
        <v>15</v>
      </c>
      <c r="D68" s="12">
        <v>3850</v>
      </c>
      <c r="E68" s="53">
        <f t="shared" si="3"/>
        <v>0</v>
      </c>
      <c r="F68" s="8"/>
      <c r="G68" s="8"/>
      <c r="H68" s="8"/>
      <c r="I68" s="8"/>
    </row>
    <row r="69" spans="1:9">
      <c r="A69" s="227" t="s">
        <v>62</v>
      </c>
      <c r="B69" s="206"/>
      <c r="C69" s="9" t="s">
        <v>15</v>
      </c>
      <c r="D69" s="12">
        <v>4500</v>
      </c>
      <c r="E69" s="53">
        <f t="shared" si="3"/>
        <v>0</v>
      </c>
      <c r="F69" s="8"/>
      <c r="G69" s="8"/>
      <c r="H69" s="8"/>
      <c r="I69" s="8"/>
    </row>
    <row r="70" spans="1:9">
      <c r="A70" s="227" t="s">
        <v>159</v>
      </c>
      <c r="B70" s="206"/>
      <c r="C70" s="9" t="s">
        <v>15</v>
      </c>
      <c r="D70" s="12">
        <v>3550</v>
      </c>
      <c r="E70" s="53">
        <f t="shared" si="3"/>
        <v>0</v>
      </c>
      <c r="F70" s="8"/>
      <c r="G70" s="8"/>
      <c r="H70" s="8"/>
      <c r="I70" s="8"/>
    </row>
    <row r="71" spans="1:9">
      <c r="A71" s="227" t="s">
        <v>63</v>
      </c>
      <c r="B71" s="206"/>
      <c r="C71" s="9" t="s">
        <v>15</v>
      </c>
      <c r="D71" s="12">
        <v>3550</v>
      </c>
      <c r="E71" s="53">
        <f t="shared" si="3"/>
        <v>0</v>
      </c>
      <c r="F71" s="8"/>
      <c r="G71" s="8"/>
      <c r="H71" s="8"/>
      <c r="I71" s="8"/>
    </row>
    <row r="72" spans="1:9">
      <c r="A72" s="227" t="s">
        <v>64</v>
      </c>
      <c r="B72" s="206"/>
      <c r="C72" s="9" t="s">
        <v>15</v>
      </c>
      <c r="D72" s="12">
        <v>2500</v>
      </c>
      <c r="E72" s="53">
        <f t="shared" si="3"/>
        <v>0</v>
      </c>
      <c r="F72" s="8"/>
      <c r="G72" s="8"/>
      <c r="H72" s="8"/>
      <c r="I72" s="8"/>
    </row>
    <row r="73" spans="1:9" ht="30">
      <c r="A73" s="227" t="s">
        <v>65</v>
      </c>
      <c r="B73" s="206"/>
      <c r="C73" s="9" t="s">
        <v>15</v>
      </c>
      <c r="D73" s="12">
        <v>500</v>
      </c>
      <c r="E73" s="53">
        <f t="shared" si="3"/>
        <v>0</v>
      </c>
      <c r="F73" s="8"/>
      <c r="G73" s="8"/>
      <c r="H73" s="8"/>
      <c r="I73" s="8"/>
    </row>
    <row r="74" spans="1:9">
      <c r="A74" s="227" t="s">
        <v>66</v>
      </c>
      <c r="B74" s="206"/>
      <c r="C74" s="9" t="s">
        <v>15</v>
      </c>
      <c r="D74" s="12">
        <v>600</v>
      </c>
      <c r="E74" s="53">
        <f t="shared" si="3"/>
        <v>0</v>
      </c>
      <c r="F74" s="8"/>
      <c r="G74" s="8"/>
      <c r="H74" s="8"/>
      <c r="I74" s="8"/>
    </row>
    <row r="75" spans="1:9">
      <c r="A75" s="227" t="s">
        <v>67</v>
      </c>
      <c r="B75" s="206"/>
      <c r="C75" s="9" t="s">
        <v>15</v>
      </c>
      <c r="D75" s="12">
        <v>475</v>
      </c>
      <c r="E75" s="53">
        <f t="shared" si="3"/>
        <v>0</v>
      </c>
      <c r="F75" s="8"/>
      <c r="G75" s="8"/>
      <c r="H75" s="8"/>
      <c r="I75" s="8"/>
    </row>
    <row r="76" spans="1:9">
      <c r="A76" s="227" t="s">
        <v>68</v>
      </c>
      <c r="B76" s="206"/>
      <c r="C76" s="9" t="s">
        <v>14</v>
      </c>
      <c r="D76" s="12">
        <v>650</v>
      </c>
      <c r="E76" s="53">
        <f t="shared" si="3"/>
        <v>0</v>
      </c>
      <c r="F76" s="8"/>
      <c r="G76" s="8"/>
      <c r="H76" s="8"/>
      <c r="I76" s="8"/>
    </row>
    <row r="77" spans="1:9">
      <c r="A77" s="227" t="s">
        <v>69</v>
      </c>
      <c r="B77" s="206"/>
      <c r="C77" s="9" t="s">
        <v>14</v>
      </c>
      <c r="D77" s="12">
        <v>15</v>
      </c>
      <c r="E77" s="53">
        <f t="shared" si="3"/>
        <v>0</v>
      </c>
      <c r="F77" s="8"/>
      <c r="G77" s="8"/>
      <c r="H77" s="8"/>
      <c r="I77" s="8"/>
    </row>
    <row r="78" spans="1:9">
      <c r="A78" s="227" t="s">
        <v>70</v>
      </c>
      <c r="B78" s="206"/>
      <c r="C78" s="9" t="s">
        <v>15</v>
      </c>
      <c r="D78" s="12">
        <v>3000</v>
      </c>
      <c r="E78" s="53">
        <f t="shared" si="3"/>
        <v>0</v>
      </c>
      <c r="F78" s="8"/>
      <c r="G78" s="8"/>
      <c r="H78" s="8"/>
      <c r="I78" s="8"/>
    </row>
    <row r="79" spans="1:9" ht="30">
      <c r="A79" s="227" t="s">
        <v>71</v>
      </c>
      <c r="B79" s="206"/>
      <c r="C79" s="9" t="s">
        <v>15</v>
      </c>
      <c r="D79" s="12">
        <v>2700</v>
      </c>
      <c r="E79" s="53">
        <f t="shared" si="3"/>
        <v>0</v>
      </c>
      <c r="F79" s="8"/>
      <c r="G79" s="8"/>
      <c r="H79" s="8"/>
      <c r="I79" s="8"/>
    </row>
    <row r="80" spans="1:9" ht="31.5">
      <c r="A80" s="233" t="s">
        <v>72</v>
      </c>
      <c r="B80" s="206"/>
      <c r="C80" s="9" t="s">
        <v>15</v>
      </c>
      <c r="D80" s="12">
        <v>4300</v>
      </c>
      <c r="E80" s="53">
        <f t="shared" si="3"/>
        <v>0</v>
      </c>
      <c r="F80" s="8"/>
      <c r="G80" s="8"/>
      <c r="H80" s="8"/>
      <c r="I80" s="8"/>
    </row>
    <row r="81" spans="1:24" ht="30">
      <c r="A81" s="227" t="s">
        <v>73</v>
      </c>
      <c r="B81" s="206"/>
      <c r="C81" s="9" t="s">
        <v>15</v>
      </c>
      <c r="D81" s="12">
        <v>4600</v>
      </c>
      <c r="E81" s="53">
        <f t="shared" si="3"/>
        <v>0</v>
      </c>
      <c r="F81" s="8"/>
      <c r="G81" s="8"/>
      <c r="H81" s="8"/>
      <c r="I81" s="8"/>
    </row>
    <row r="82" spans="1:24">
      <c r="A82" s="227" t="s">
        <v>74</v>
      </c>
      <c r="B82" s="206"/>
      <c r="C82" s="9" t="s">
        <v>15</v>
      </c>
      <c r="D82" s="12">
        <v>4100</v>
      </c>
      <c r="E82" s="53">
        <f t="shared" si="3"/>
        <v>0</v>
      </c>
      <c r="F82" s="8"/>
      <c r="G82" s="8"/>
      <c r="H82" s="8"/>
      <c r="I82" s="8"/>
    </row>
    <row r="83" spans="1:24">
      <c r="A83" s="227" t="s">
        <v>75</v>
      </c>
      <c r="B83" s="206"/>
      <c r="C83" s="9" t="s">
        <v>15</v>
      </c>
      <c r="D83" s="12">
        <v>1600</v>
      </c>
      <c r="E83" s="53">
        <f t="shared" si="3"/>
        <v>0</v>
      </c>
      <c r="F83" s="8"/>
      <c r="G83" s="8"/>
      <c r="H83" s="8"/>
      <c r="I83" s="8"/>
    </row>
    <row r="84" spans="1:24">
      <c r="A84" s="227" t="s">
        <v>77</v>
      </c>
      <c r="B84" s="206"/>
      <c r="C84" s="9" t="s">
        <v>15</v>
      </c>
      <c r="D84" s="12">
        <v>2500</v>
      </c>
      <c r="E84" s="53">
        <f t="shared" si="3"/>
        <v>0</v>
      </c>
      <c r="F84" s="8"/>
      <c r="G84" s="8"/>
      <c r="H84" s="8"/>
      <c r="I84" s="8"/>
    </row>
    <row r="85" spans="1:24">
      <c r="A85" s="227" t="s">
        <v>160</v>
      </c>
      <c r="B85" s="206"/>
      <c r="C85" s="9" t="s">
        <v>15</v>
      </c>
      <c r="D85" s="12">
        <v>2100</v>
      </c>
      <c r="E85" s="53">
        <f t="shared" si="3"/>
        <v>0</v>
      </c>
      <c r="F85" s="8"/>
      <c r="G85" s="8"/>
      <c r="H85" s="8"/>
      <c r="I85" s="8"/>
    </row>
    <row r="86" spans="1:24">
      <c r="A86" s="227" t="s">
        <v>79</v>
      </c>
      <c r="B86" s="206"/>
      <c r="C86" s="9" t="s">
        <v>15</v>
      </c>
      <c r="D86" s="12">
        <v>1750</v>
      </c>
      <c r="E86" s="53">
        <f t="shared" si="3"/>
        <v>0</v>
      </c>
      <c r="F86" s="8"/>
      <c r="G86" s="8"/>
      <c r="H86" s="8"/>
      <c r="I86" s="8"/>
    </row>
    <row r="87" spans="1:24">
      <c r="A87" s="227" t="s">
        <v>161</v>
      </c>
      <c r="B87" s="206"/>
      <c r="C87" s="9" t="s">
        <v>3</v>
      </c>
      <c r="D87" s="12">
        <v>180</v>
      </c>
      <c r="E87" s="53">
        <f t="shared" si="3"/>
        <v>0</v>
      </c>
      <c r="F87" s="8"/>
      <c r="G87" s="8"/>
      <c r="H87" s="8"/>
      <c r="I87" s="8"/>
    </row>
    <row r="88" spans="1:24">
      <c r="A88" s="227" t="s">
        <v>162</v>
      </c>
      <c r="B88" s="206"/>
      <c r="C88" s="9" t="s">
        <v>3</v>
      </c>
      <c r="D88" s="12">
        <v>200</v>
      </c>
      <c r="E88" s="53">
        <f t="shared" si="3"/>
        <v>0</v>
      </c>
      <c r="F88" s="8"/>
      <c r="G88" s="8"/>
      <c r="H88" s="8"/>
      <c r="I88" s="8"/>
    </row>
    <row r="89" spans="1:24">
      <c r="A89" s="227" t="s">
        <v>80</v>
      </c>
      <c r="B89" s="206"/>
      <c r="C89" s="9" t="s">
        <v>15</v>
      </c>
      <c r="D89" s="12">
        <v>1000</v>
      </c>
      <c r="E89" s="53">
        <f t="shared" si="3"/>
        <v>0</v>
      </c>
      <c r="F89" s="8"/>
      <c r="G89" s="8"/>
      <c r="H89" s="8"/>
      <c r="I89" s="8"/>
    </row>
    <row r="90" spans="1:24">
      <c r="A90" s="227" t="s">
        <v>163</v>
      </c>
      <c r="B90" s="206"/>
      <c r="C90" s="9" t="s">
        <v>15</v>
      </c>
      <c r="D90" s="12">
        <v>20000</v>
      </c>
      <c r="E90" s="53">
        <f>B90*D90</f>
        <v>0</v>
      </c>
      <c r="F90" s="8"/>
      <c r="G90" s="8"/>
      <c r="H90" s="8"/>
      <c r="I90" s="8"/>
    </row>
    <row r="91" spans="1:24">
      <c r="A91" s="227" t="s">
        <v>164</v>
      </c>
      <c r="B91" s="206"/>
      <c r="C91" s="9" t="s">
        <v>15</v>
      </c>
      <c r="D91" s="12">
        <v>35000</v>
      </c>
      <c r="E91" s="53">
        <f t="shared" ref="E91:E98" si="4">B91*D91</f>
        <v>0</v>
      </c>
      <c r="F91" s="8"/>
      <c r="G91" s="8"/>
      <c r="H91" s="8"/>
      <c r="I91" s="8"/>
    </row>
    <row r="92" spans="1:24">
      <c r="A92" s="227" t="s">
        <v>165</v>
      </c>
      <c r="B92" s="206"/>
      <c r="C92" s="9" t="s">
        <v>15</v>
      </c>
      <c r="D92" s="12">
        <v>70000</v>
      </c>
      <c r="E92" s="53">
        <f t="shared" si="4"/>
        <v>0</v>
      </c>
      <c r="F92" s="8"/>
      <c r="G92" s="8"/>
      <c r="H92" s="8"/>
      <c r="I92" s="8"/>
    </row>
    <row r="93" spans="1:24">
      <c r="A93" s="227" t="s">
        <v>166</v>
      </c>
      <c r="B93" s="206"/>
      <c r="C93" s="9" t="s">
        <v>14</v>
      </c>
      <c r="D93" s="12">
        <v>5.5</v>
      </c>
      <c r="E93" s="53">
        <f t="shared" si="4"/>
        <v>0</v>
      </c>
      <c r="F93" s="8"/>
      <c r="G93" s="8"/>
      <c r="H93" s="8"/>
      <c r="I93" s="8"/>
    </row>
    <row r="94" spans="1:24" s="79" customFormat="1">
      <c r="A94" s="227" t="s">
        <v>167</v>
      </c>
      <c r="B94" s="206"/>
      <c r="C94" s="9" t="s">
        <v>15</v>
      </c>
      <c r="D94" s="12">
        <v>1500</v>
      </c>
      <c r="E94" s="53">
        <f t="shared" si="4"/>
        <v>0</v>
      </c>
      <c r="F94" s="78"/>
      <c r="G94" s="78"/>
      <c r="H94" s="78"/>
      <c r="I94" s="78"/>
      <c r="J94" s="25"/>
      <c r="K94" s="25"/>
      <c r="L94" s="25"/>
      <c r="M94" s="30"/>
      <c r="N94" s="30"/>
      <c r="O94" s="30"/>
      <c r="P94" s="30"/>
      <c r="Q94" s="30"/>
      <c r="R94" s="30"/>
      <c r="S94" s="30"/>
      <c r="T94" s="30"/>
      <c r="U94" s="30"/>
      <c r="V94" s="30"/>
      <c r="W94" s="30"/>
      <c r="X94" s="30"/>
    </row>
    <row r="95" spans="1:24">
      <c r="A95" s="227" t="s">
        <v>168</v>
      </c>
      <c r="B95" s="206"/>
      <c r="C95" s="9" t="s">
        <v>15</v>
      </c>
      <c r="D95" s="12">
        <v>2500</v>
      </c>
      <c r="E95" s="53">
        <f t="shared" si="4"/>
        <v>0</v>
      </c>
    </row>
    <row r="96" spans="1:24">
      <c r="A96" s="227" t="s">
        <v>169</v>
      </c>
      <c r="B96" s="206"/>
      <c r="C96" s="9" t="s">
        <v>15</v>
      </c>
      <c r="D96" s="12">
        <v>2750</v>
      </c>
      <c r="E96" s="53">
        <f t="shared" si="4"/>
        <v>0</v>
      </c>
      <c r="F96" s="6"/>
      <c r="G96" s="6"/>
      <c r="H96" s="6"/>
      <c r="I96" s="6"/>
    </row>
    <row r="97" spans="1:11">
      <c r="A97" s="227" t="s">
        <v>170</v>
      </c>
      <c r="B97" s="206"/>
      <c r="C97" s="9" t="s">
        <v>15</v>
      </c>
      <c r="D97" s="12">
        <v>2500</v>
      </c>
      <c r="E97" s="53">
        <v>0</v>
      </c>
    </row>
    <row r="98" spans="1:11">
      <c r="A98" s="227" t="s">
        <v>171</v>
      </c>
      <c r="B98" s="206"/>
      <c r="C98" s="9" t="s">
        <v>14</v>
      </c>
      <c r="D98" s="12">
        <v>10</v>
      </c>
      <c r="E98" s="53">
        <f t="shared" si="4"/>
        <v>0</v>
      </c>
    </row>
    <row r="99" spans="1:11" ht="15.95" customHeight="1">
      <c r="A99" s="71"/>
      <c r="B99" s="19"/>
      <c r="C99" s="58"/>
      <c r="D99" s="234" t="s">
        <v>215</v>
      </c>
      <c r="E99" s="235">
        <f>SUM(E8:E97)</f>
        <v>0</v>
      </c>
      <c r="F99" s="8"/>
      <c r="G99" s="8"/>
      <c r="H99" s="8"/>
      <c r="I99" s="8"/>
    </row>
    <row r="100" spans="1:11" ht="15.95" customHeight="1">
      <c r="A100" s="70"/>
      <c r="B100" s="6"/>
      <c r="C100" s="5"/>
      <c r="D100" s="236"/>
      <c r="E100" s="237"/>
      <c r="F100" s="8"/>
      <c r="G100" s="8"/>
      <c r="H100" s="8"/>
      <c r="I100" s="8"/>
    </row>
    <row r="101" spans="1:11" ht="15.95" customHeight="1">
      <c r="A101" s="70"/>
      <c r="B101" s="6"/>
      <c r="C101" s="5"/>
      <c r="D101" s="236" t="s">
        <v>374</v>
      </c>
      <c r="E101" s="237">
        <f>E99*0.15</f>
        <v>0</v>
      </c>
      <c r="F101" s="8"/>
      <c r="G101" s="8"/>
      <c r="H101" s="8"/>
      <c r="I101" s="8"/>
    </row>
    <row r="102" spans="1:11" ht="15.95" customHeight="1">
      <c r="A102" s="70"/>
      <c r="B102" s="6"/>
      <c r="C102" s="5"/>
      <c r="D102" s="236"/>
      <c r="E102" s="235"/>
      <c r="F102" s="8"/>
      <c r="G102" s="8"/>
      <c r="H102" s="8"/>
      <c r="I102" s="8"/>
    </row>
    <row r="103" spans="1:11" ht="15.95" customHeight="1">
      <c r="A103" s="70"/>
      <c r="B103" s="6"/>
      <c r="C103" s="6"/>
      <c r="D103" s="236" t="s">
        <v>373</v>
      </c>
      <c r="E103" s="237">
        <f>E99+E101</f>
        <v>0</v>
      </c>
      <c r="F103" s="8"/>
      <c r="G103" s="8"/>
      <c r="H103" s="8"/>
      <c r="I103" s="8"/>
    </row>
    <row r="104" spans="1:11">
      <c r="A104" s="70"/>
      <c r="B104" s="6"/>
      <c r="C104" s="5"/>
      <c r="D104" s="207"/>
      <c r="E104" s="208"/>
      <c r="F104" s="8"/>
      <c r="G104" s="8"/>
      <c r="H104" s="8"/>
      <c r="I104" s="8"/>
    </row>
    <row r="105" spans="1:11">
      <c r="A105" s="238" t="s">
        <v>292</v>
      </c>
      <c r="B105" s="6"/>
      <c r="C105" s="5"/>
      <c r="D105" s="10"/>
      <c r="E105" s="62"/>
      <c r="F105" s="8"/>
      <c r="G105" s="8"/>
      <c r="H105" s="8"/>
      <c r="I105" s="8"/>
    </row>
    <row r="106" spans="1:11">
      <c r="A106" s="204"/>
      <c r="B106" s="18"/>
      <c r="C106" s="198"/>
      <c r="D106" s="199"/>
      <c r="E106" s="239"/>
      <c r="F106" s="8"/>
      <c r="G106" s="8"/>
      <c r="H106" s="8"/>
      <c r="I106" s="8"/>
    </row>
    <row r="107" spans="1:11" ht="15.75">
      <c r="A107" s="217" t="s">
        <v>84</v>
      </c>
      <c r="B107" s="206"/>
      <c r="C107" s="9" t="s">
        <v>14</v>
      </c>
      <c r="D107" s="12">
        <v>12</v>
      </c>
      <c r="E107" s="53">
        <f t="shared" ref="E107:E118" si="5">B107*D107</f>
        <v>0</v>
      </c>
      <c r="F107" s="8"/>
      <c r="G107" s="8"/>
      <c r="H107" s="8"/>
      <c r="I107" s="8"/>
      <c r="K107" s="256"/>
    </row>
    <row r="108" spans="1:11">
      <c r="A108" s="217" t="s">
        <v>85</v>
      </c>
      <c r="B108" s="206"/>
      <c r="C108" s="9" t="s">
        <v>14</v>
      </c>
      <c r="D108" s="12">
        <v>20</v>
      </c>
      <c r="E108" s="53">
        <f t="shared" si="5"/>
        <v>0</v>
      </c>
      <c r="F108" s="8"/>
      <c r="G108" s="8"/>
      <c r="H108" s="8"/>
      <c r="I108" s="8"/>
    </row>
    <row r="109" spans="1:11">
      <c r="A109" s="217" t="s">
        <v>172</v>
      </c>
      <c r="B109" s="206"/>
      <c r="C109" s="9" t="s">
        <v>14</v>
      </c>
      <c r="D109" s="12">
        <v>20</v>
      </c>
      <c r="E109" s="53">
        <f t="shared" si="5"/>
        <v>0</v>
      </c>
      <c r="F109" s="8"/>
      <c r="G109" s="8"/>
      <c r="H109" s="8"/>
      <c r="I109" s="8"/>
    </row>
    <row r="110" spans="1:11">
      <c r="A110" s="217" t="s">
        <v>173</v>
      </c>
      <c r="B110" s="206"/>
      <c r="C110" s="9" t="s">
        <v>14</v>
      </c>
      <c r="D110" s="12">
        <v>24</v>
      </c>
      <c r="E110" s="53">
        <f t="shared" si="5"/>
        <v>0</v>
      </c>
      <c r="F110" s="8"/>
      <c r="G110" s="8"/>
      <c r="H110" s="8"/>
      <c r="I110" s="8"/>
    </row>
    <row r="111" spans="1:11">
      <c r="A111" s="217" t="s">
        <v>174</v>
      </c>
      <c r="B111" s="206"/>
      <c r="C111" s="9" t="s">
        <v>14</v>
      </c>
      <c r="D111" s="12">
        <v>25</v>
      </c>
      <c r="E111" s="53">
        <f t="shared" si="5"/>
        <v>0</v>
      </c>
      <c r="F111" s="8"/>
      <c r="G111" s="8"/>
      <c r="H111" s="8"/>
      <c r="I111" s="8"/>
    </row>
    <row r="112" spans="1:11">
      <c r="A112" s="217" t="s">
        <v>175</v>
      </c>
      <c r="B112" s="206"/>
      <c r="C112" s="9" t="s">
        <v>14</v>
      </c>
      <c r="D112" s="12">
        <v>30</v>
      </c>
      <c r="E112" s="53">
        <f t="shared" si="5"/>
        <v>0</v>
      </c>
      <c r="F112" s="8"/>
      <c r="G112" s="8"/>
      <c r="H112" s="8"/>
      <c r="I112" s="8"/>
    </row>
    <row r="113" spans="1:16">
      <c r="A113" s="217" t="s">
        <v>90</v>
      </c>
      <c r="B113" s="206"/>
      <c r="C113" s="9" t="s">
        <v>14</v>
      </c>
      <c r="D113" s="12">
        <v>26</v>
      </c>
      <c r="E113" s="53">
        <f t="shared" si="5"/>
        <v>0</v>
      </c>
      <c r="F113" s="8"/>
      <c r="G113" s="8"/>
      <c r="H113" s="8"/>
      <c r="I113" s="8"/>
    </row>
    <row r="114" spans="1:16">
      <c r="A114" s="217" t="s">
        <v>91</v>
      </c>
      <c r="B114" s="206"/>
      <c r="C114" s="9" t="s">
        <v>14</v>
      </c>
      <c r="D114" s="12">
        <v>8</v>
      </c>
      <c r="E114" s="53">
        <f t="shared" si="5"/>
        <v>0</v>
      </c>
      <c r="F114" s="6"/>
      <c r="G114" s="6"/>
      <c r="H114" s="6"/>
      <c r="I114" s="6"/>
    </row>
    <row r="115" spans="1:16">
      <c r="A115" s="217" t="s">
        <v>93</v>
      </c>
      <c r="B115" s="206"/>
      <c r="C115" s="9" t="s">
        <v>14</v>
      </c>
      <c r="D115" s="12">
        <v>9.5</v>
      </c>
      <c r="E115" s="53">
        <f t="shared" si="5"/>
        <v>0</v>
      </c>
      <c r="F115" s="6"/>
      <c r="G115" s="6"/>
      <c r="H115" s="6"/>
      <c r="I115" s="6"/>
    </row>
    <row r="116" spans="1:16">
      <c r="A116" s="217" t="s">
        <v>92</v>
      </c>
      <c r="B116" s="206"/>
      <c r="C116" s="9" t="s">
        <v>14</v>
      </c>
      <c r="D116" s="12">
        <v>11</v>
      </c>
      <c r="E116" s="53">
        <f t="shared" si="5"/>
        <v>0</v>
      </c>
      <c r="F116" s="6"/>
      <c r="G116" s="6"/>
      <c r="H116" s="6"/>
      <c r="I116" s="6"/>
    </row>
    <row r="117" spans="1:16">
      <c r="A117" s="217" t="s">
        <v>176</v>
      </c>
      <c r="B117" s="206"/>
      <c r="C117" s="9" t="s">
        <v>14</v>
      </c>
      <c r="D117" s="12">
        <v>12</v>
      </c>
      <c r="E117" s="53">
        <f t="shared" si="5"/>
        <v>0</v>
      </c>
    </row>
    <row r="118" spans="1:16">
      <c r="A118" s="217" t="s">
        <v>177</v>
      </c>
      <c r="B118" s="206"/>
      <c r="C118" s="9" t="s">
        <v>14</v>
      </c>
      <c r="D118" s="12">
        <v>22</v>
      </c>
      <c r="E118" s="53">
        <f t="shared" si="5"/>
        <v>0</v>
      </c>
    </row>
    <row r="119" spans="1:16" ht="30">
      <c r="A119" s="227" t="s">
        <v>269</v>
      </c>
      <c r="B119" s="206"/>
      <c r="C119" s="9" t="s">
        <v>15</v>
      </c>
      <c r="D119" s="12">
        <v>1400</v>
      </c>
      <c r="E119" s="53">
        <f t="shared" ref="E119" si="6">B119*D119</f>
        <v>0</v>
      </c>
    </row>
    <row r="120" spans="1:16" ht="30">
      <c r="A120" s="240" t="s">
        <v>270</v>
      </c>
      <c r="B120" s="206"/>
      <c r="C120" s="9" t="s">
        <v>15</v>
      </c>
      <c r="D120" s="12">
        <v>2200</v>
      </c>
      <c r="E120" s="53">
        <f>B120*D120</f>
        <v>0</v>
      </c>
    </row>
    <row r="121" spans="1:16">
      <c r="A121" s="217" t="s">
        <v>271</v>
      </c>
      <c r="B121" s="206"/>
      <c r="C121" s="9"/>
      <c r="D121" s="12"/>
      <c r="E121" s="53"/>
    </row>
    <row r="122" spans="1:16" s="140" customFormat="1">
      <c r="A122" s="215" t="s">
        <v>223</v>
      </c>
      <c r="B122" s="206"/>
      <c r="C122" s="9" t="s">
        <v>1</v>
      </c>
      <c r="D122" s="12">
        <v>5</v>
      </c>
      <c r="E122" s="53">
        <f>B122*D122</f>
        <v>0</v>
      </c>
      <c r="F122" s="138"/>
      <c r="G122" s="138"/>
      <c r="H122" s="138"/>
      <c r="I122" s="138"/>
      <c r="J122" s="139"/>
      <c r="K122" s="139"/>
      <c r="L122" s="139"/>
      <c r="M122" s="139"/>
      <c r="N122" s="139"/>
      <c r="O122" s="139"/>
      <c r="P122" s="139"/>
    </row>
    <row r="123" spans="1:16">
      <c r="A123" s="215" t="s">
        <v>272</v>
      </c>
      <c r="B123" s="206"/>
      <c r="C123" s="9" t="s">
        <v>1</v>
      </c>
      <c r="D123" s="12">
        <v>4</v>
      </c>
      <c r="E123" s="53">
        <f>B123*D123</f>
        <v>0</v>
      </c>
      <c r="F123" s="15"/>
      <c r="G123" s="11"/>
      <c r="H123" s="11"/>
      <c r="I123" s="7"/>
    </row>
    <row r="124" spans="1:16">
      <c r="A124" s="241"/>
      <c r="B124" s="19"/>
      <c r="C124" s="58"/>
      <c r="D124" s="20"/>
      <c r="E124" s="229"/>
      <c r="F124" s="6"/>
      <c r="G124" s="6"/>
      <c r="H124" s="6"/>
      <c r="I124" s="6"/>
    </row>
    <row r="125" spans="1:16">
      <c r="A125" s="197" t="s">
        <v>395</v>
      </c>
      <c r="B125" s="18"/>
      <c r="C125" s="198"/>
      <c r="D125" s="199"/>
      <c r="E125" s="200"/>
      <c r="J125" s="1"/>
      <c r="K125" s="1"/>
      <c r="L125" s="1"/>
      <c r="M125" s="1"/>
      <c r="N125" s="1"/>
      <c r="O125" s="1"/>
      <c r="P125" s="1"/>
    </row>
    <row r="126" spans="1:16">
      <c r="A126" s="57" t="s">
        <v>95</v>
      </c>
      <c r="B126" s="206"/>
      <c r="C126" s="9" t="s">
        <v>1</v>
      </c>
      <c r="D126" s="56">
        <v>0.75</v>
      </c>
      <c r="E126" s="53">
        <f t="shared" ref="E126:E143" si="7">B126*D126</f>
        <v>0</v>
      </c>
      <c r="F126" s="8"/>
      <c r="G126" s="8"/>
      <c r="H126" s="8"/>
      <c r="I126" s="8"/>
      <c r="J126" s="1"/>
      <c r="K126" s="1"/>
      <c r="L126" s="1"/>
      <c r="M126" s="1"/>
      <c r="N126" s="1"/>
      <c r="O126" s="1"/>
      <c r="P126" s="1"/>
    </row>
    <row r="127" spans="1:16">
      <c r="A127" s="57" t="s">
        <v>96</v>
      </c>
      <c r="B127" s="206"/>
      <c r="C127" s="9" t="s">
        <v>1</v>
      </c>
      <c r="D127" s="56">
        <v>1</v>
      </c>
      <c r="E127" s="53">
        <f t="shared" si="7"/>
        <v>0</v>
      </c>
      <c r="F127" s="8"/>
      <c r="G127" s="8"/>
      <c r="H127" s="8"/>
      <c r="I127" s="8"/>
      <c r="J127" s="1"/>
      <c r="K127" s="1"/>
      <c r="L127" s="1"/>
      <c r="M127" s="1"/>
      <c r="N127" s="1"/>
      <c r="O127" s="1"/>
      <c r="P127" s="1"/>
    </row>
    <row r="128" spans="1:16">
      <c r="A128" s="57" t="s">
        <v>97</v>
      </c>
      <c r="B128" s="206"/>
      <c r="C128" s="9" t="s">
        <v>1</v>
      </c>
      <c r="D128" s="56">
        <v>1.3</v>
      </c>
      <c r="E128" s="53">
        <f t="shared" si="7"/>
        <v>0</v>
      </c>
      <c r="F128" s="8"/>
      <c r="G128" s="8"/>
      <c r="H128" s="8"/>
      <c r="I128" s="8"/>
      <c r="J128" s="1"/>
      <c r="K128" s="1"/>
      <c r="L128" s="1"/>
      <c r="M128" s="1"/>
      <c r="N128" s="1"/>
      <c r="O128" s="1"/>
      <c r="P128" s="1"/>
    </row>
    <row r="129" spans="1:16">
      <c r="A129" s="57" t="s">
        <v>98</v>
      </c>
      <c r="B129" s="206"/>
      <c r="C129" s="9" t="s">
        <v>1</v>
      </c>
      <c r="D129" s="56">
        <v>1.75</v>
      </c>
      <c r="E129" s="53">
        <f t="shared" si="7"/>
        <v>0</v>
      </c>
      <c r="F129" s="8"/>
      <c r="G129" s="8"/>
      <c r="H129" s="8"/>
      <c r="I129" s="8"/>
      <c r="J129" s="1"/>
      <c r="K129" s="1"/>
      <c r="L129" s="1"/>
      <c r="M129" s="1"/>
      <c r="N129" s="1"/>
      <c r="O129" s="1"/>
      <c r="P129" s="1"/>
    </row>
    <row r="130" spans="1:16">
      <c r="A130" s="57" t="s">
        <v>99</v>
      </c>
      <c r="B130" s="206"/>
      <c r="C130" s="9" t="s">
        <v>1</v>
      </c>
      <c r="D130" s="56">
        <v>2.15</v>
      </c>
      <c r="E130" s="53">
        <f t="shared" si="7"/>
        <v>0</v>
      </c>
      <c r="F130" s="8"/>
      <c r="G130" s="8"/>
      <c r="H130" s="8"/>
      <c r="I130" s="8"/>
      <c r="J130" s="1"/>
      <c r="K130" s="1"/>
      <c r="L130" s="1"/>
      <c r="M130" s="1"/>
      <c r="N130" s="1"/>
      <c r="O130" s="1"/>
      <c r="P130" s="1"/>
    </row>
    <row r="131" spans="1:16" ht="30">
      <c r="A131" s="242" t="s">
        <v>325</v>
      </c>
      <c r="B131" s="206"/>
      <c r="C131" s="9" t="s">
        <v>1</v>
      </c>
      <c r="D131" s="56">
        <v>1.05</v>
      </c>
      <c r="E131" s="53">
        <f t="shared" si="7"/>
        <v>0</v>
      </c>
      <c r="F131" s="8"/>
      <c r="G131" s="8"/>
      <c r="H131" s="8"/>
      <c r="I131" s="8"/>
      <c r="J131" s="1"/>
      <c r="K131" s="1"/>
      <c r="L131" s="1"/>
      <c r="M131" s="1"/>
      <c r="N131" s="1"/>
      <c r="O131" s="1"/>
      <c r="P131" s="1"/>
    </row>
    <row r="132" spans="1:16" ht="30">
      <c r="A132" s="242" t="s">
        <v>326</v>
      </c>
      <c r="B132" s="206"/>
      <c r="C132" s="9" t="s">
        <v>1</v>
      </c>
      <c r="D132" s="56">
        <v>1.25</v>
      </c>
      <c r="E132" s="53">
        <f t="shared" si="7"/>
        <v>0</v>
      </c>
      <c r="F132" s="8"/>
      <c r="G132" s="8"/>
      <c r="H132" s="8"/>
      <c r="I132" s="8"/>
      <c r="J132" s="1"/>
      <c r="K132" s="1"/>
      <c r="L132" s="1"/>
      <c r="M132" s="1"/>
      <c r="N132" s="1"/>
      <c r="O132" s="1"/>
      <c r="P132" s="1"/>
    </row>
    <row r="133" spans="1:16" ht="30">
      <c r="A133" s="242" t="s">
        <v>327</v>
      </c>
      <c r="B133" s="206"/>
      <c r="C133" s="9" t="s">
        <v>1</v>
      </c>
      <c r="D133" s="56">
        <v>1.6</v>
      </c>
      <c r="E133" s="53">
        <f t="shared" si="7"/>
        <v>0</v>
      </c>
      <c r="F133" s="8"/>
      <c r="G133" s="8"/>
      <c r="H133" s="8"/>
      <c r="I133" s="8"/>
      <c r="J133" s="1"/>
      <c r="K133" s="1"/>
      <c r="L133" s="1"/>
      <c r="M133" s="1"/>
      <c r="N133" s="1"/>
      <c r="O133" s="1"/>
      <c r="P133" s="1"/>
    </row>
    <row r="134" spans="1:16" ht="30">
      <c r="A134" s="242" t="s">
        <v>328</v>
      </c>
      <c r="B134" s="206"/>
      <c r="C134" s="9" t="s">
        <v>1</v>
      </c>
      <c r="D134" s="56">
        <v>1.65</v>
      </c>
      <c r="E134" s="53">
        <f t="shared" si="7"/>
        <v>0</v>
      </c>
      <c r="F134" s="8"/>
      <c r="G134" s="8"/>
      <c r="H134" s="8"/>
      <c r="I134" s="8"/>
      <c r="J134" s="1"/>
      <c r="K134" s="1"/>
      <c r="L134" s="1"/>
      <c r="M134" s="1"/>
      <c r="N134" s="1"/>
      <c r="O134" s="1"/>
      <c r="P134" s="1"/>
    </row>
    <row r="135" spans="1:16" ht="30">
      <c r="A135" s="242" t="s">
        <v>329</v>
      </c>
      <c r="B135" s="206"/>
      <c r="C135" s="9" t="s">
        <v>1</v>
      </c>
      <c r="D135" s="56">
        <v>1.75</v>
      </c>
      <c r="E135" s="53">
        <f t="shared" si="7"/>
        <v>0</v>
      </c>
      <c r="F135" s="8"/>
      <c r="G135" s="8"/>
      <c r="H135" s="8"/>
      <c r="I135" s="8"/>
      <c r="J135" s="1"/>
      <c r="K135" s="1"/>
      <c r="L135" s="1"/>
      <c r="M135" s="1"/>
      <c r="N135" s="1"/>
      <c r="O135" s="1"/>
      <c r="P135" s="1"/>
    </row>
    <row r="136" spans="1:16" ht="30">
      <c r="A136" s="242" t="s">
        <v>330</v>
      </c>
      <c r="B136" s="206"/>
      <c r="C136" s="9" t="s">
        <v>1</v>
      </c>
      <c r="D136" s="56">
        <v>1.85</v>
      </c>
      <c r="E136" s="53">
        <f t="shared" si="7"/>
        <v>0</v>
      </c>
      <c r="F136" s="8"/>
      <c r="G136" s="8"/>
      <c r="H136" s="8"/>
      <c r="I136" s="8"/>
      <c r="J136" s="1"/>
      <c r="K136" s="1"/>
      <c r="L136" s="1"/>
      <c r="M136" s="1"/>
      <c r="N136" s="1"/>
      <c r="O136" s="1"/>
      <c r="P136" s="1"/>
    </row>
    <row r="137" spans="1:16">
      <c r="A137" s="57" t="s">
        <v>100</v>
      </c>
      <c r="B137" s="206"/>
      <c r="C137" s="9" t="s">
        <v>1</v>
      </c>
      <c r="D137" s="56">
        <v>5</v>
      </c>
      <c r="E137" s="53">
        <f t="shared" si="7"/>
        <v>0</v>
      </c>
      <c r="F137" s="8"/>
      <c r="G137" s="8"/>
      <c r="H137" s="8"/>
      <c r="I137" s="8"/>
      <c r="J137" s="1"/>
      <c r="K137" s="1"/>
      <c r="L137" s="1"/>
      <c r="M137" s="1"/>
      <c r="N137" s="1"/>
      <c r="O137" s="1"/>
      <c r="P137" s="1"/>
    </row>
    <row r="138" spans="1:16">
      <c r="A138" s="57" t="s">
        <v>101</v>
      </c>
      <c r="B138" s="206"/>
      <c r="C138" s="9" t="s">
        <v>1</v>
      </c>
      <c r="D138" s="56">
        <v>5.5</v>
      </c>
      <c r="E138" s="53">
        <f t="shared" si="7"/>
        <v>0</v>
      </c>
      <c r="F138" s="8"/>
      <c r="G138" s="8"/>
      <c r="H138" s="8"/>
      <c r="I138" s="8"/>
      <c r="J138" s="1"/>
      <c r="K138" s="1"/>
      <c r="L138" s="1"/>
      <c r="M138" s="1"/>
      <c r="N138" s="1"/>
      <c r="O138" s="1"/>
      <c r="P138" s="1"/>
    </row>
    <row r="139" spans="1:16">
      <c r="A139" s="57" t="s">
        <v>102</v>
      </c>
      <c r="B139" s="206"/>
      <c r="C139" s="9" t="s">
        <v>1</v>
      </c>
      <c r="D139" s="56">
        <v>6</v>
      </c>
      <c r="E139" s="53">
        <f t="shared" si="7"/>
        <v>0</v>
      </c>
      <c r="F139" s="8"/>
      <c r="G139" s="8"/>
      <c r="H139" s="8"/>
      <c r="I139" s="8"/>
      <c r="J139" s="1"/>
      <c r="K139" s="1"/>
      <c r="L139" s="1"/>
      <c r="M139" s="1"/>
      <c r="N139" s="1"/>
      <c r="O139" s="1"/>
      <c r="P139" s="1"/>
    </row>
    <row r="140" spans="1:16">
      <c r="A140" s="57" t="s">
        <v>103</v>
      </c>
      <c r="B140" s="206"/>
      <c r="C140" s="9" t="s">
        <v>1</v>
      </c>
      <c r="D140" s="56">
        <v>6.5</v>
      </c>
      <c r="E140" s="53">
        <f t="shared" si="7"/>
        <v>0</v>
      </c>
      <c r="F140" s="8"/>
      <c r="G140" s="8"/>
      <c r="H140" s="8"/>
      <c r="I140" s="8"/>
      <c r="J140" s="1"/>
      <c r="K140" s="1"/>
      <c r="L140" s="1"/>
      <c r="M140" s="1"/>
      <c r="N140" s="1"/>
      <c r="O140" s="1"/>
      <c r="P140" s="1"/>
    </row>
    <row r="141" spans="1:16">
      <c r="A141" s="57" t="s">
        <v>104</v>
      </c>
      <c r="B141" s="206"/>
      <c r="C141" s="9" t="s">
        <v>1</v>
      </c>
      <c r="D141" s="56">
        <v>7.5</v>
      </c>
      <c r="E141" s="53">
        <f t="shared" si="7"/>
        <v>0</v>
      </c>
      <c r="F141" s="8"/>
      <c r="G141" s="8"/>
      <c r="H141" s="8"/>
      <c r="I141" s="8"/>
      <c r="J141" s="1"/>
      <c r="K141" s="1"/>
      <c r="L141" s="1"/>
      <c r="M141" s="1"/>
      <c r="N141" s="1"/>
      <c r="O141" s="1"/>
      <c r="P141" s="1"/>
    </row>
    <row r="142" spans="1:16">
      <c r="A142" s="57" t="s">
        <v>105</v>
      </c>
      <c r="B142" s="206"/>
      <c r="C142" s="9" t="s">
        <v>1</v>
      </c>
      <c r="D142" s="56">
        <v>0.5</v>
      </c>
      <c r="E142" s="53">
        <f t="shared" si="7"/>
        <v>0</v>
      </c>
      <c r="F142" s="8"/>
      <c r="G142" s="8"/>
      <c r="H142" s="8"/>
      <c r="I142" s="8"/>
      <c r="J142" s="1"/>
      <c r="K142" s="1"/>
      <c r="L142" s="1"/>
      <c r="M142" s="1"/>
      <c r="N142" s="1"/>
      <c r="O142" s="1"/>
      <c r="P142" s="1"/>
    </row>
    <row r="143" spans="1:16">
      <c r="A143" s="57" t="s">
        <v>106</v>
      </c>
      <c r="B143" s="206"/>
      <c r="C143" s="9" t="s">
        <v>1</v>
      </c>
      <c r="D143" s="56">
        <v>2</v>
      </c>
      <c r="E143" s="53">
        <f t="shared" si="7"/>
        <v>0</v>
      </c>
      <c r="F143" s="8"/>
      <c r="G143" s="8"/>
      <c r="H143" s="8"/>
      <c r="I143" s="8"/>
      <c r="J143" s="1"/>
      <c r="K143" s="1"/>
      <c r="L143" s="1"/>
      <c r="M143" s="1"/>
      <c r="N143" s="1"/>
      <c r="O143" s="1"/>
      <c r="P143" s="1"/>
    </row>
    <row r="144" spans="1:16">
      <c r="A144" s="71"/>
      <c r="B144" s="19"/>
      <c r="C144" s="58"/>
      <c r="D144" s="63"/>
      <c r="E144" s="218"/>
    </row>
    <row r="145" spans="1:16">
      <c r="A145" s="238" t="s">
        <v>275</v>
      </c>
      <c r="B145" s="6"/>
      <c r="C145" s="5"/>
      <c r="D145" s="10"/>
      <c r="E145" s="62"/>
    </row>
    <row r="146" spans="1:16">
      <c r="A146" s="238"/>
      <c r="B146" s="6"/>
      <c r="C146" s="5"/>
      <c r="D146" s="10"/>
      <c r="E146" s="62"/>
    </row>
    <row r="147" spans="1:16" ht="30">
      <c r="A147" s="227" t="s">
        <v>294</v>
      </c>
      <c r="B147" s="243"/>
      <c r="C147" s="244" t="s">
        <v>1</v>
      </c>
      <c r="D147" s="245">
        <v>29.65</v>
      </c>
      <c r="E147" s="246">
        <f t="shared" ref="E147" si="8">B147*D147</f>
        <v>0</v>
      </c>
    </row>
    <row r="148" spans="1:16" s="25" customFormat="1" ht="45">
      <c r="A148" s="227" t="s">
        <v>291</v>
      </c>
      <c r="B148" s="206"/>
      <c r="C148" s="9" t="s">
        <v>1</v>
      </c>
      <c r="D148" s="12">
        <v>25</v>
      </c>
      <c r="E148" s="53">
        <f>B148*D148</f>
        <v>0</v>
      </c>
      <c r="F148" s="69"/>
      <c r="G148" s="69"/>
      <c r="H148" s="69"/>
      <c r="I148" s="69"/>
      <c r="J148" s="30"/>
      <c r="K148" s="30"/>
      <c r="L148" s="30"/>
      <c r="M148" s="30"/>
      <c r="N148" s="30"/>
      <c r="O148" s="30"/>
      <c r="P148" s="30"/>
    </row>
    <row r="149" spans="1:16">
      <c r="A149" s="228"/>
      <c r="B149" s="19"/>
      <c r="C149" s="19"/>
      <c r="D149" s="19"/>
      <c r="E149" s="229"/>
      <c r="F149" s="6"/>
      <c r="G149" s="6"/>
      <c r="H149" s="6"/>
      <c r="I149" s="6"/>
    </row>
    <row r="150" spans="1:16">
      <c r="A150" s="238" t="s">
        <v>354</v>
      </c>
      <c r="B150" s="6"/>
      <c r="C150" s="5"/>
      <c r="D150" s="6"/>
      <c r="E150" s="62"/>
      <c r="F150" s="6"/>
      <c r="G150" s="6"/>
      <c r="H150" s="6"/>
      <c r="I150" s="6"/>
    </row>
    <row r="151" spans="1:16">
      <c r="A151" s="197"/>
      <c r="B151" s="18"/>
      <c r="C151" s="198"/>
      <c r="D151" s="18"/>
      <c r="E151" s="239"/>
      <c r="F151" s="6"/>
      <c r="G151" s="6"/>
      <c r="H151" s="6"/>
      <c r="I151" s="6"/>
    </row>
    <row r="152" spans="1:16" s="25" customFormat="1">
      <c r="A152" s="227" t="s">
        <v>131</v>
      </c>
      <c r="B152" s="206"/>
      <c r="C152" s="9" t="s">
        <v>14</v>
      </c>
      <c r="D152" s="12">
        <v>1262</v>
      </c>
      <c r="E152" s="53">
        <f t="shared" ref="E152:E155" si="9">B152*D152</f>
        <v>0</v>
      </c>
      <c r="F152" s="69"/>
      <c r="G152" s="69"/>
      <c r="H152" s="69"/>
      <c r="I152" s="69"/>
      <c r="J152" s="30"/>
      <c r="K152" s="30"/>
      <c r="L152" s="30"/>
      <c r="M152" s="30"/>
      <c r="N152" s="30"/>
      <c r="O152" s="30"/>
      <c r="P152" s="30"/>
    </row>
    <row r="153" spans="1:16" s="25" customFormat="1">
      <c r="A153" s="227" t="s">
        <v>235</v>
      </c>
      <c r="B153" s="206"/>
      <c r="C153" s="9" t="s">
        <v>15</v>
      </c>
      <c r="D153" s="12">
        <v>3585</v>
      </c>
      <c r="E153" s="53">
        <f t="shared" si="9"/>
        <v>0</v>
      </c>
      <c r="F153" s="69"/>
      <c r="G153" s="69"/>
      <c r="H153" s="69"/>
      <c r="I153" s="69"/>
      <c r="J153" s="30"/>
      <c r="K153" s="30"/>
      <c r="L153" s="30"/>
      <c r="M153" s="30"/>
      <c r="N153" s="30"/>
      <c r="O153" s="30"/>
      <c r="P153" s="30"/>
    </row>
    <row r="154" spans="1:16" s="25" customFormat="1" ht="30">
      <c r="A154" s="227" t="s">
        <v>236</v>
      </c>
      <c r="B154" s="206"/>
      <c r="C154" s="9" t="s">
        <v>15</v>
      </c>
      <c r="D154" s="12">
        <v>4407</v>
      </c>
      <c r="E154" s="53">
        <f t="shared" si="9"/>
        <v>0</v>
      </c>
      <c r="F154" s="69"/>
      <c r="G154" s="69"/>
      <c r="H154" s="69"/>
      <c r="I154" s="69"/>
      <c r="J154" s="30"/>
      <c r="K154" s="30"/>
      <c r="L154" s="30"/>
      <c r="M154" s="30"/>
      <c r="N154" s="30"/>
      <c r="O154" s="30"/>
      <c r="P154" s="30"/>
    </row>
    <row r="155" spans="1:16" s="25" customFormat="1">
      <c r="A155" s="227" t="s">
        <v>237</v>
      </c>
      <c r="B155" s="206"/>
      <c r="C155" s="9" t="s">
        <v>15</v>
      </c>
      <c r="D155" s="12">
        <v>5525</v>
      </c>
      <c r="E155" s="53">
        <f t="shared" si="9"/>
        <v>0</v>
      </c>
      <c r="F155" s="69"/>
      <c r="G155" s="69"/>
      <c r="H155" s="69"/>
      <c r="I155" s="69"/>
      <c r="J155" s="30"/>
      <c r="K155" s="30"/>
      <c r="L155" s="30"/>
      <c r="M155" s="30"/>
      <c r="N155" s="30"/>
      <c r="O155" s="30"/>
      <c r="P155" s="30"/>
    </row>
    <row r="156" spans="1:16" s="25" customFormat="1" ht="30">
      <c r="A156" s="227" t="s">
        <v>238</v>
      </c>
      <c r="B156" s="206"/>
      <c r="C156" s="9" t="s">
        <v>15</v>
      </c>
      <c r="D156" s="12">
        <v>6347</v>
      </c>
      <c r="E156" s="53">
        <f t="shared" ref="E156:E169" si="10">B156*D156</f>
        <v>0</v>
      </c>
      <c r="F156" s="69"/>
      <c r="G156" s="69"/>
      <c r="H156" s="69"/>
      <c r="I156" s="69"/>
      <c r="J156" s="30"/>
      <c r="K156" s="30"/>
      <c r="L156" s="30"/>
      <c r="M156" s="30"/>
      <c r="N156" s="30"/>
      <c r="O156" s="30"/>
      <c r="P156" s="30"/>
    </row>
    <row r="157" spans="1:16" s="25" customFormat="1">
      <c r="A157" s="227" t="s">
        <v>239</v>
      </c>
      <c r="B157" s="206"/>
      <c r="C157" s="9" t="s">
        <v>15</v>
      </c>
      <c r="D157" s="12">
        <v>3175</v>
      </c>
      <c r="E157" s="53">
        <f t="shared" si="10"/>
        <v>0</v>
      </c>
      <c r="F157" s="69"/>
      <c r="G157" s="69"/>
      <c r="H157" s="69"/>
      <c r="I157" s="69"/>
      <c r="J157" s="30"/>
      <c r="K157" s="30"/>
      <c r="L157" s="30"/>
      <c r="M157" s="30"/>
      <c r="N157" s="30"/>
      <c r="O157" s="30"/>
      <c r="P157" s="30"/>
    </row>
    <row r="158" spans="1:16" s="25" customFormat="1" ht="30">
      <c r="A158" s="227" t="s">
        <v>240</v>
      </c>
      <c r="B158" s="206"/>
      <c r="C158" s="9" t="s">
        <v>15</v>
      </c>
      <c r="D158" s="12">
        <v>4500</v>
      </c>
      <c r="E158" s="53">
        <f t="shared" si="10"/>
        <v>0</v>
      </c>
      <c r="F158" s="69"/>
      <c r="G158" s="69"/>
      <c r="H158" s="69"/>
      <c r="I158" s="69"/>
      <c r="J158" s="30"/>
      <c r="K158" s="30"/>
      <c r="L158" s="30"/>
      <c r="M158" s="30"/>
      <c r="N158" s="30"/>
      <c r="O158" s="30"/>
      <c r="P158" s="30"/>
    </row>
    <row r="159" spans="1:16" s="25" customFormat="1" ht="15" customHeight="1">
      <c r="A159" s="227" t="s">
        <v>241</v>
      </c>
      <c r="B159" s="206"/>
      <c r="C159" s="9" t="s">
        <v>15</v>
      </c>
      <c r="D159" s="12">
        <v>3997</v>
      </c>
      <c r="E159" s="53">
        <f t="shared" si="10"/>
        <v>0</v>
      </c>
      <c r="F159" s="69"/>
      <c r="G159" s="69"/>
      <c r="H159" s="69"/>
      <c r="I159" s="69"/>
      <c r="J159" s="30"/>
      <c r="K159" s="30"/>
      <c r="L159" s="30"/>
      <c r="M159" s="30"/>
      <c r="N159" s="30"/>
      <c r="O159" s="30"/>
      <c r="P159" s="30"/>
    </row>
    <row r="160" spans="1:16" s="25" customFormat="1" ht="15" customHeight="1">
      <c r="A160" s="227" t="s">
        <v>396</v>
      </c>
      <c r="B160" s="206"/>
      <c r="C160" s="9" t="s">
        <v>15</v>
      </c>
      <c r="D160" s="12">
        <v>5322</v>
      </c>
      <c r="E160" s="53">
        <f t="shared" si="10"/>
        <v>0</v>
      </c>
      <c r="F160" s="69"/>
      <c r="G160" s="69"/>
      <c r="H160" s="69"/>
      <c r="I160" s="69"/>
      <c r="J160" s="30"/>
      <c r="K160" s="30"/>
      <c r="L160" s="30"/>
      <c r="M160" s="30"/>
      <c r="N160" s="30"/>
      <c r="O160" s="30"/>
      <c r="P160" s="30"/>
    </row>
    <row r="161" spans="1:16" s="25" customFormat="1" ht="15" customHeight="1">
      <c r="A161" s="227" t="s">
        <v>178</v>
      </c>
      <c r="B161" s="206"/>
      <c r="C161" s="9" t="s">
        <v>15</v>
      </c>
      <c r="D161" s="12">
        <v>822.15</v>
      </c>
      <c r="E161" s="53">
        <f t="shared" si="10"/>
        <v>0</v>
      </c>
      <c r="F161" s="69"/>
      <c r="G161" s="69"/>
      <c r="H161" s="69"/>
      <c r="I161" s="69"/>
      <c r="J161" s="30"/>
      <c r="K161" s="30"/>
      <c r="L161" s="30"/>
      <c r="M161" s="30"/>
      <c r="N161" s="30"/>
      <c r="O161" s="30"/>
      <c r="P161" s="30"/>
    </row>
    <row r="162" spans="1:16" s="25" customFormat="1" ht="15" customHeight="1">
      <c r="A162" s="227" t="s">
        <v>132</v>
      </c>
      <c r="B162" s="206"/>
      <c r="C162" s="9" t="s">
        <v>15</v>
      </c>
      <c r="D162" s="12">
        <v>52.7</v>
      </c>
      <c r="E162" s="53">
        <f t="shared" si="10"/>
        <v>0</v>
      </c>
      <c r="F162" s="69"/>
      <c r="G162" s="69"/>
      <c r="H162" s="69"/>
      <c r="I162" s="69"/>
      <c r="J162" s="30"/>
      <c r="K162" s="30"/>
      <c r="L162" s="30"/>
      <c r="M162" s="30"/>
      <c r="N162" s="30"/>
      <c r="O162" s="30"/>
      <c r="P162" s="30"/>
    </row>
    <row r="163" spans="1:16" s="25" customFormat="1" ht="15" customHeight="1">
      <c r="A163" s="227" t="s">
        <v>133</v>
      </c>
      <c r="B163" s="206"/>
      <c r="C163" s="9" t="s">
        <v>15</v>
      </c>
      <c r="D163" s="12">
        <v>71.75</v>
      </c>
      <c r="E163" s="53">
        <f t="shared" si="10"/>
        <v>0</v>
      </c>
      <c r="F163" s="69"/>
      <c r="G163" s="69"/>
      <c r="H163" s="69"/>
      <c r="I163" s="69"/>
      <c r="J163" s="30"/>
      <c r="K163" s="30"/>
      <c r="L163" s="30"/>
      <c r="M163" s="30"/>
      <c r="N163" s="30"/>
      <c r="O163" s="30"/>
      <c r="P163" s="30"/>
    </row>
    <row r="164" spans="1:16" s="25" customFormat="1">
      <c r="A164" s="247" t="s">
        <v>345</v>
      </c>
      <c r="B164" s="206"/>
      <c r="C164" s="9" t="s">
        <v>15</v>
      </c>
      <c r="D164" s="12">
        <v>1335</v>
      </c>
      <c r="E164" s="53">
        <f t="shared" si="10"/>
        <v>0</v>
      </c>
      <c r="F164" s="69"/>
      <c r="G164" s="69"/>
      <c r="H164" s="69"/>
      <c r="I164" s="69"/>
      <c r="J164" s="30"/>
      <c r="K164" s="30"/>
      <c r="L164" s="30"/>
      <c r="M164" s="30"/>
      <c r="N164" s="30"/>
      <c r="O164" s="30"/>
      <c r="P164" s="30"/>
    </row>
    <row r="165" spans="1:16">
      <c r="A165" s="247" t="s">
        <v>346</v>
      </c>
      <c r="B165" s="206"/>
      <c r="C165" s="9" t="s">
        <v>15</v>
      </c>
      <c r="D165" s="12">
        <v>2510</v>
      </c>
      <c r="E165" s="53">
        <f t="shared" si="10"/>
        <v>0</v>
      </c>
      <c r="F165" s="8"/>
      <c r="G165" s="8"/>
      <c r="H165" s="8"/>
      <c r="I165" s="8"/>
    </row>
    <row r="166" spans="1:16">
      <c r="A166" s="247" t="s">
        <v>347</v>
      </c>
      <c r="B166" s="206"/>
      <c r="C166" s="9" t="s">
        <v>15</v>
      </c>
      <c r="D166" s="12">
        <v>3685</v>
      </c>
      <c r="E166" s="53">
        <f t="shared" si="10"/>
        <v>0</v>
      </c>
      <c r="F166" s="8"/>
      <c r="G166" s="8"/>
      <c r="H166" s="8"/>
      <c r="I166" s="8"/>
    </row>
    <row r="167" spans="1:16">
      <c r="A167" s="227" t="s">
        <v>348</v>
      </c>
      <c r="B167" s="206"/>
      <c r="C167" s="9" t="s">
        <v>15</v>
      </c>
      <c r="D167" s="12">
        <v>1117</v>
      </c>
      <c r="E167" s="53">
        <f t="shared" si="10"/>
        <v>0</v>
      </c>
      <c r="F167" s="8"/>
      <c r="G167" s="8"/>
      <c r="H167" s="8"/>
      <c r="I167" s="8"/>
    </row>
    <row r="168" spans="1:16">
      <c r="A168" s="227" t="s">
        <v>349</v>
      </c>
      <c r="B168" s="206"/>
      <c r="C168" s="9" t="s">
        <v>15</v>
      </c>
      <c r="D168" s="12">
        <v>1700</v>
      </c>
      <c r="E168" s="53">
        <f t="shared" si="10"/>
        <v>0</v>
      </c>
      <c r="F168" s="8"/>
      <c r="G168" s="8"/>
      <c r="H168" s="8"/>
      <c r="I168" s="8"/>
    </row>
    <row r="169" spans="1:16">
      <c r="A169" s="227" t="s">
        <v>307</v>
      </c>
      <c r="B169" s="206"/>
      <c r="C169" s="9" t="s">
        <v>14</v>
      </c>
      <c r="D169" s="12">
        <v>51.5</v>
      </c>
      <c r="E169" s="53">
        <f t="shared" si="10"/>
        <v>0</v>
      </c>
      <c r="F169" s="8"/>
      <c r="G169" s="8"/>
      <c r="H169" s="8"/>
      <c r="I169" s="8"/>
    </row>
    <row r="170" spans="1:16">
      <c r="A170" s="227" t="s">
        <v>224</v>
      </c>
      <c r="B170" s="206"/>
      <c r="C170" s="9" t="s">
        <v>14</v>
      </c>
      <c r="D170" s="12">
        <v>61.85</v>
      </c>
      <c r="E170" s="53">
        <f t="shared" ref="E170:E194" si="11">B170*D170</f>
        <v>0</v>
      </c>
      <c r="F170" s="8"/>
      <c r="G170" s="8"/>
      <c r="H170" s="8"/>
      <c r="I170" s="8"/>
    </row>
    <row r="171" spans="1:16">
      <c r="A171" s="227" t="s">
        <v>225</v>
      </c>
      <c r="B171" s="206"/>
      <c r="C171" s="9" t="s">
        <v>14</v>
      </c>
      <c r="D171" s="12">
        <v>72.2</v>
      </c>
      <c r="E171" s="53">
        <f t="shared" si="11"/>
        <v>0</v>
      </c>
      <c r="F171" s="8"/>
      <c r="G171" s="8"/>
      <c r="H171" s="8"/>
      <c r="I171" s="8"/>
    </row>
    <row r="172" spans="1:16">
      <c r="A172" s="227" t="s">
        <v>226</v>
      </c>
      <c r="B172" s="206"/>
      <c r="C172" s="9" t="s">
        <v>14</v>
      </c>
      <c r="D172" s="12">
        <v>80.430000000000007</v>
      </c>
      <c r="E172" s="53">
        <f t="shared" si="11"/>
        <v>0</v>
      </c>
      <c r="F172" s="8"/>
      <c r="G172" s="8"/>
      <c r="H172" s="8"/>
      <c r="I172" s="8"/>
    </row>
    <row r="173" spans="1:16">
      <c r="A173" s="227" t="s">
        <v>227</v>
      </c>
      <c r="B173" s="206"/>
      <c r="C173" s="9" t="s">
        <v>14</v>
      </c>
      <c r="D173" s="12">
        <v>88.65</v>
      </c>
      <c r="E173" s="53">
        <f t="shared" si="11"/>
        <v>0</v>
      </c>
      <c r="F173" s="8"/>
      <c r="G173" s="8"/>
      <c r="H173" s="8"/>
      <c r="I173" s="8"/>
    </row>
    <row r="174" spans="1:16">
      <c r="A174" s="227" t="s">
        <v>228</v>
      </c>
      <c r="B174" s="206"/>
      <c r="C174" s="9" t="s">
        <v>14</v>
      </c>
      <c r="D174" s="12">
        <v>97.9</v>
      </c>
      <c r="E174" s="53">
        <f t="shared" si="11"/>
        <v>0</v>
      </c>
      <c r="F174" s="8"/>
      <c r="G174" s="8"/>
      <c r="H174" s="8"/>
      <c r="I174" s="8"/>
    </row>
    <row r="175" spans="1:16">
      <c r="A175" s="227" t="s">
        <v>229</v>
      </c>
      <c r="B175" s="206"/>
      <c r="C175" s="9" t="s">
        <v>14</v>
      </c>
      <c r="D175" s="12">
        <v>108.05</v>
      </c>
      <c r="E175" s="53">
        <f t="shared" si="11"/>
        <v>0</v>
      </c>
      <c r="F175" s="8"/>
      <c r="G175" s="8"/>
      <c r="H175" s="8"/>
      <c r="I175" s="8"/>
    </row>
    <row r="176" spans="1:16">
      <c r="A176" s="227" t="s">
        <v>230</v>
      </c>
      <c r="B176" s="206"/>
      <c r="C176" s="9" t="s">
        <v>14</v>
      </c>
      <c r="D176" s="12">
        <v>117.25</v>
      </c>
      <c r="E176" s="53">
        <f t="shared" si="11"/>
        <v>0</v>
      </c>
      <c r="F176" s="8"/>
      <c r="G176" s="8"/>
      <c r="H176" s="8"/>
      <c r="I176" s="8"/>
      <c r="J176" s="1"/>
      <c r="K176" s="1"/>
      <c r="L176" s="1"/>
      <c r="M176" s="1"/>
      <c r="N176" s="1"/>
      <c r="O176" s="1"/>
      <c r="P176" s="1"/>
    </row>
    <row r="177" spans="1:16">
      <c r="A177" s="227" t="s">
        <v>231</v>
      </c>
      <c r="B177" s="206"/>
      <c r="C177" s="9" t="s">
        <v>14</v>
      </c>
      <c r="D177" s="12">
        <v>124.9</v>
      </c>
      <c r="E177" s="53">
        <f t="shared" si="11"/>
        <v>0</v>
      </c>
      <c r="F177" s="8"/>
      <c r="G177" s="8"/>
      <c r="H177" s="8"/>
      <c r="I177" s="8"/>
      <c r="J177" s="1"/>
      <c r="K177" s="1"/>
      <c r="L177" s="1"/>
      <c r="M177" s="1"/>
      <c r="N177" s="1"/>
      <c r="O177" s="1"/>
      <c r="P177" s="1"/>
    </row>
    <row r="178" spans="1:16">
      <c r="A178" s="227" t="s">
        <v>232</v>
      </c>
      <c r="B178" s="206"/>
      <c r="C178" s="9" t="s">
        <v>14</v>
      </c>
      <c r="D178" s="12">
        <v>133.1</v>
      </c>
      <c r="E178" s="53">
        <f t="shared" si="11"/>
        <v>0</v>
      </c>
      <c r="F178" s="8"/>
      <c r="G178" s="8"/>
      <c r="H178" s="8"/>
      <c r="I178" s="8"/>
      <c r="J178" s="1"/>
      <c r="K178" s="1"/>
      <c r="L178" s="1"/>
      <c r="M178" s="1"/>
      <c r="N178" s="1"/>
      <c r="O178" s="1"/>
      <c r="P178" s="1"/>
    </row>
    <row r="179" spans="1:16">
      <c r="A179" s="228"/>
      <c r="B179" s="19"/>
      <c r="C179" s="58"/>
      <c r="D179" s="20"/>
      <c r="E179" s="229"/>
      <c r="F179" s="8"/>
      <c r="G179" s="8"/>
      <c r="H179" s="8"/>
      <c r="I179" s="8"/>
      <c r="J179" s="1"/>
      <c r="K179" s="1"/>
      <c r="L179" s="1"/>
      <c r="M179" s="1"/>
      <c r="N179" s="1"/>
      <c r="O179" s="1"/>
      <c r="P179" s="1"/>
    </row>
    <row r="180" spans="1:16" s="25" customFormat="1">
      <c r="A180" s="238" t="s">
        <v>397</v>
      </c>
      <c r="B180" s="6"/>
      <c r="C180" s="5"/>
      <c r="D180" s="10"/>
      <c r="E180" s="62"/>
      <c r="F180" s="69"/>
      <c r="G180" s="69"/>
      <c r="H180" s="69"/>
      <c r="I180" s="69"/>
      <c r="J180" s="30"/>
      <c r="K180" s="30"/>
      <c r="L180" s="30"/>
      <c r="M180" s="30"/>
      <c r="N180" s="30"/>
      <c r="O180" s="30"/>
      <c r="P180" s="30"/>
    </row>
    <row r="181" spans="1:16" s="25" customFormat="1">
      <c r="A181" s="197"/>
      <c r="B181" s="18"/>
      <c r="C181" s="198"/>
      <c r="D181" s="199"/>
      <c r="E181" s="239"/>
      <c r="F181" s="69"/>
      <c r="G181" s="69"/>
      <c r="H181" s="69"/>
      <c r="I181" s="69"/>
      <c r="J181" s="30"/>
      <c r="K181" s="30"/>
      <c r="L181" s="30"/>
      <c r="M181" s="30"/>
      <c r="N181" s="30"/>
      <c r="O181" s="30"/>
      <c r="P181" s="30"/>
    </row>
    <row r="182" spans="1:16">
      <c r="A182" s="227" t="s">
        <v>233</v>
      </c>
      <c r="B182" s="206"/>
      <c r="C182" s="9" t="s">
        <v>14</v>
      </c>
      <c r="D182" s="12">
        <v>140.75</v>
      </c>
      <c r="E182" s="53">
        <f t="shared" si="11"/>
        <v>0</v>
      </c>
      <c r="F182" s="8"/>
      <c r="G182" s="8"/>
      <c r="H182" s="8"/>
      <c r="I182" s="8"/>
      <c r="J182" s="1"/>
      <c r="K182" s="1"/>
      <c r="L182" s="1"/>
      <c r="M182" s="1"/>
      <c r="N182" s="1"/>
      <c r="O182" s="1"/>
      <c r="P182" s="1"/>
    </row>
    <row r="183" spans="1:16">
      <c r="A183" s="227" t="s">
        <v>234</v>
      </c>
      <c r="B183" s="206"/>
      <c r="C183" s="9" t="s">
        <v>14</v>
      </c>
      <c r="D183" s="12">
        <v>156</v>
      </c>
      <c r="E183" s="53">
        <f t="shared" si="11"/>
        <v>0</v>
      </c>
      <c r="F183" s="8"/>
      <c r="G183" s="8"/>
      <c r="H183" s="8"/>
      <c r="I183" s="8"/>
      <c r="J183" s="1"/>
      <c r="K183" s="1"/>
      <c r="L183" s="1"/>
      <c r="M183" s="1"/>
      <c r="N183" s="1"/>
      <c r="O183" s="1"/>
      <c r="P183" s="1"/>
    </row>
    <row r="184" spans="1:16">
      <c r="A184" s="227" t="s">
        <v>295</v>
      </c>
      <c r="B184" s="206"/>
      <c r="C184" s="9" t="s">
        <v>14</v>
      </c>
      <c r="D184" s="56">
        <v>97.5</v>
      </c>
      <c r="E184" s="53">
        <f t="shared" si="11"/>
        <v>0</v>
      </c>
      <c r="F184" s="8"/>
      <c r="G184" s="8"/>
      <c r="H184" s="8"/>
      <c r="I184" s="8"/>
      <c r="J184" s="1"/>
      <c r="K184" s="1"/>
      <c r="L184" s="1"/>
      <c r="M184" s="1"/>
      <c r="N184" s="1"/>
      <c r="O184" s="1"/>
      <c r="P184" s="1"/>
    </row>
    <row r="185" spans="1:16">
      <c r="A185" s="227" t="s">
        <v>296</v>
      </c>
      <c r="B185" s="206"/>
      <c r="C185" s="9" t="s">
        <v>14</v>
      </c>
      <c r="D185" s="56">
        <v>125</v>
      </c>
      <c r="E185" s="53">
        <f t="shared" si="11"/>
        <v>0</v>
      </c>
      <c r="F185" s="8"/>
      <c r="G185" s="8"/>
      <c r="H185" s="8"/>
      <c r="I185" s="8"/>
      <c r="J185" s="1"/>
      <c r="K185" s="1"/>
      <c r="L185" s="1"/>
      <c r="M185" s="1"/>
      <c r="N185" s="1"/>
      <c r="O185" s="1"/>
      <c r="P185" s="1"/>
    </row>
    <row r="186" spans="1:16">
      <c r="A186" s="227" t="s">
        <v>297</v>
      </c>
      <c r="B186" s="206"/>
      <c r="C186" s="9" t="s">
        <v>14</v>
      </c>
      <c r="D186" s="56">
        <v>142</v>
      </c>
      <c r="E186" s="53">
        <f t="shared" si="11"/>
        <v>0</v>
      </c>
      <c r="F186" s="8"/>
      <c r="G186" s="8"/>
      <c r="H186" s="8"/>
      <c r="I186" s="8"/>
      <c r="J186" s="1"/>
      <c r="K186" s="1"/>
      <c r="L186" s="1"/>
      <c r="M186" s="1"/>
      <c r="N186" s="1"/>
      <c r="O186" s="1"/>
      <c r="P186" s="1"/>
    </row>
    <row r="187" spans="1:16">
      <c r="A187" s="227" t="s">
        <v>298</v>
      </c>
      <c r="B187" s="206"/>
      <c r="C187" s="9" t="s">
        <v>14</v>
      </c>
      <c r="D187" s="56">
        <v>161</v>
      </c>
      <c r="E187" s="53">
        <f t="shared" si="11"/>
        <v>0</v>
      </c>
      <c r="F187" s="8"/>
      <c r="G187" s="8"/>
      <c r="H187" s="8"/>
      <c r="I187" s="8"/>
      <c r="J187" s="1"/>
      <c r="K187" s="1"/>
      <c r="L187" s="1"/>
      <c r="M187" s="1"/>
      <c r="N187" s="1"/>
      <c r="O187" s="1"/>
      <c r="P187" s="1"/>
    </row>
    <row r="188" spans="1:16">
      <c r="A188" s="227" t="s">
        <v>299</v>
      </c>
      <c r="B188" s="206"/>
      <c r="C188" s="9" t="s">
        <v>14</v>
      </c>
      <c r="D188" s="56">
        <v>187</v>
      </c>
      <c r="E188" s="53">
        <f t="shared" si="11"/>
        <v>0</v>
      </c>
      <c r="F188" s="8"/>
      <c r="G188" s="8"/>
      <c r="H188" s="8"/>
      <c r="I188" s="8"/>
      <c r="J188" s="1"/>
      <c r="K188" s="1"/>
      <c r="L188" s="1"/>
      <c r="M188" s="1"/>
      <c r="N188" s="1"/>
      <c r="O188" s="1"/>
      <c r="P188" s="1"/>
    </row>
    <row r="189" spans="1:16">
      <c r="A189" s="227" t="s">
        <v>303</v>
      </c>
      <c r="B189" s="206"/>
      <c r="C189" s="9" t="s">
        <v>14</v>
      </c>
      <c r="D189" s="56">
        <v>259</v>
      </c>
      <c r="E189" s="53">
        <f>B189*D189</f>
        <v>0</v>
      </c>
      <c r="F189" s="6"/>
      <c r="G189" s="6"/>
      <c r="H189" s="6"/>
      <c r="I189" s="6"/>
    </row>
    <row r="190" spans="1:16" s="6" customFormat="1">
      <c r="A190" s="227" t="s">
        <v>304</v>
      </c>
      <c r="B190" s="206"/>
      <c r="C190" s="9" t="s">
        <v>14</v>
      </c>
      <c r="D190" s="56">
        <v>286</v>
      </c>
      <c r="E190" s="53">
        <f>B190*D190</f>
        <v>0</v>
      </c>
      <c r="F190" s="1"/>
      <c r="G190" s="1"/>
      <c r="H190" s="1"/>
      <c r="I190" s="1"/>
      <c r="J190" s="1"/>
      <c r="K190" s="1"/>
      <c r="L190" s="1"/>
    </row>
    <row r="191" spans="1:16" s="6" customFormat="1">
      <c r="A191" s="227" t="s">
        <v>179</v>
      </c>
      <c r="B191" s="206"/>
      <c r="C191" s="9" t="s">
        <v>15</v>
      </c>
      <c r="D191" s="12">
        <v>250000</v>
      </c>
      <c r="E191" s="53">
        <f>B191*D191</f>
        <v>0</v>
      </c>
      <c r="F191" s="8"/>
      <c r="G191" s="8"/>
      <c r="H191" s="8"/>
      <c r="I191" s="8"/>
      <c r="J191" s="1"/>
      <c r="K191" s="1"/>
      <c r="L191" s="1"/>
    </row>
    <row r="192" spans="1:16">
      <c r="A192" s="227" t="s">
        <v>302</v>
      </c>
      <c r="B192" s="206"/>
      <c r="C192" s="9" t="s">
        <v>14</v>
      </c>
      <c r="D192" s="56">
        <v>225</v>
      </c>
      <c r="E192" s="53">
        <f>B192*D192</f>
        <v>0</v>
      </c>
      <c r="F192" s="6"/>
      <c r="G192" s="6"/>
      <c r="H192" s="6"/>
      <c r="I192" s="6"/>
    </row>
    <row r="193" spans="1:16">
      <c r="A193" s="227" t="s">
        <v>300</v>
      </c>
      <c r="B193" s="206"/>
      <c r="C193" s="9" t="s">
        <v>14</v>
      </c>
      <c r="D193" s="56">
        <v>198</v>
      </c>
      <c r="E193" s="53">
        <f t="shared" ref="E193" si="12">B193*D193</f>
        <v>0</v>
      </c>
      <c r="F193" s="8"/>
      <c r="G193" s="8"/>
      <c r="H193" s="8"/>
      <c r="I193" s="8"/>
    </row>
    <row r="194" spans="1:16">
      <c r="A194" s="227" t="s">
        <v>301</v>
      </c>
      <c r="B194" s="206"/>
      <c r="C194" s="9" t="s">
        <v>14</v>
      </c>
      <c r="D194" s="56">
        <v>212</v>
      </c>
      <c r="E194" s="53">
        <f t="shared" si="11"/>
        <v>0</v>
      </c>
      <c r="F194" s="6"/>
      <c r="G194" s="6"/>
      <c r="H194" s="6"/>
      <c r="I194" s="6"/>
    </row>
    <row r="195" spans="1:16" s="6" customFormat="1">
      <c r="A195" s="70"/>
      <c r="B195" s="19"/>
      <c r="C195" s="58"/>
      <c r="D195" s="20"/>
      <c r="E195" s="229"/>
      <c r="F195" s="8"/>
      <c r="G195" s="8"/>
      <c r="H195" s="8"/>
      <c r="I195" s="8"/>
      <c r="J195" s="1"/>
      <c r="K195" s="1"/>
      <c r="L195" s="1"/>
    </row>
    <row r="196" spans="1:16" s="6" customFormat="1">
      <c r="A196" s="238" t="s">
        <v>352</v>
      </c>
      <c r="C196" s="5"/>
      <c r="D196" s="207"/>
      <c r="E196" s="208"/>
      <c r="F196" s="8"/>
      <c r="G196" s="8"/>
      <c r="H196" s="8"/>
      <c r="I196" s="8"/>
      <c r="J196" s="1"/>
      <c r="K196" s="1"/>
      <c r="L196" s="1"/>
    </row>
    <row r="197" spans="1:16" s="6" customFormat="1">
      <c r="A197" s="70"/>
      <c r="C197" s="5"/>
      <c r="D197" s="207"/>
      <c r="E197" s="208"/>
      <c r="F197" s="8"/>
      <c r="G197" s="8"/>
      <c r="H197" s="8"/>
      <c r="I197" s="8"/>
      <c r="J197" s="1"/>
      <c r="K197" s="1"/>
      <c r="L197" s="1"/>
    </row>
    <row r="198" spans="1:16" s="6" customFormat="1">
      <c r="A198" s="220" t="s">
        <v>273</v>
      </c>
      <c r="B198" s="206"/>
      <c r="C198" s="9"/>
      <c r="D198" s="56"/>
      <c r="E198" s="53"/>
      <c r="F198" s="8"/>
      <c r="G198" s="8"/>
      <c r="H198" s="8"/>
      <c r="I198" s="8"/>
      <c r="J198" s="1"/>
      <c r="K198" s="1"/>
      <c r="L198" s="1"/>
    </row>
    <row r="199" spans="1:16" s="6" customFormat="1">
      <c r="A199" s="242" t="s">
        <v>140</v>
      </c>
      <c r="B199" s="206"/>
      <c r="C199" s="9" t="s">
        <v>15</v>
      </c>
      <c r="D199" s="56">
        <v>550</v>
      </c>
      <c r="E199" s="53">
        <f t="shared" ref="E199:E206" si="13">B199*D199</f>
        <v>0</v>
      </c>
      <c r="F199" s="8"/>
      <c r="G199" s="8"/>
      <c r="H199" s="8"/>
      <c r="I199" s="8"/>
      <c r="J199" s="1"/>
      <c r="L199" s="1"/>
    </row>
    <row r="200" spans="1:16" s="6" customFormat="1">
      <c r="A200" s="242" t="s">
        <v>141</v>
      </c>
      <c r="B200" s="206"/>
      <c r="C200" s="9" t="s">
        <v>15</v>
      </c>
      <c r="D200" s="56">
        <v>1000</v>
      </c>
      <c r="E200" s="53">
        <f t="shared" si="13"/>
        <v>0</v>
      </c>
      <c r="F200" s="8"/>
      <c r="G200" s="8"/>
      <c r="H200" s="8"/>
      <c r="I200" s="8"/>
      <c r="J200" s="1"/>
      <c r="K200" s="1"/>
      <c r="L200" s="1"/>
    </row>
    <row r="201" spans="1:16" s="6" customFormat="1">
      <c r="A201" s="242" t="s">
        <v>142</v>
      </c>
      <c r="B201" s="206"/>
      <c r="C201" s="9" t="s">
        <v>15</v>
      </c>
      <c r="D201" s="56">
        <v>1800</v>
      </c>
      <c r="E201" s="53">
        <f t="shared" si="13"/>
        <v>0</v>
      </c>
      <c r="F201" s="8"/>
      <c r="G201" s="8"/>
      <c r="H201" s="8"/>
      <c r="I201" s="8"/>
      <c r="J201" s="1"/>
      <c r="K201" s="1"/>
      <c r="L201" s="1"/>
    </row>
    <row r="202" spans="1:16">
      <c r="A202" s="242" t="s">
        <v>143</v>
      </c>
      <c r="B202" s="206"/>
      <c r="C202" s="9" t="s">
        <v>15</v>
      </c>
      <c r="D202" s="56">
        <v>2850</v>
      </c>
      <c r="E202" s="53">
        <f t="shared" si="13"/>
        <v>0</v>
      </c>
      <c r="F202" s="8"/>
      <c r="G202" s="8"/>
      <c r="H202" s="8"/>
      <c r="I202" s="8"/>
      <c r="J202" s="1"/>
      <c r="K202" s="1"/>
      <c r="L202" s="1"/>
      <c r="M202" s="1"/>
      <c r="N202" s="1"/>
      <c r="O202" s="1"/>
      <c r="P202" s="1"/>
    </row>
    <row r="203" spans="1:16">
      <c r="A203" s="242" t="s">
        <v>144</v>
      </c>
      <c r="B203" s="206"/>
      <c r="C203" s="9" t="s">
        <v>15</v>
      </c>
      <c r="D203" s="56">
        <v>3700</v>
      </c>
      <c r="E203" s="53">
        <f t="shared" si="13"/>
        <v>0</v>
      </c>
      <c r="F203" s="8"/>
      <c r="G203" s="8"/>
      <c r="H203" s="8"/>
      <c r="I203" s="8"/>
      <c r="J203" s="1"/>
      <c r="K203" s="1"/>
      <c r="L203" s="1"/>
      <c r="M203" s="1"/>
      <c r="N203" s="1"/>
      <c r="O203" s="1"/>
      <c r="P203" s="1"/>
    </row>
    <row r="204" spans="1:16">
      <c r="A204" s="242" t="s">
        <v>145</v>
      </c>
      <c r="B204" s="206"/>
      <c r="C204" s="9" t="s">
        <v>15</v>
      </c>
      <c r="D204" s="56">
        <v>4650</v>
      </c>
      <c r="E204" s="53">
        <f t="shared" si="13"/>
        <v>0</v>
      </c>
      <c r="F204" s="8"/>
      <c r="G204" s="8"/>
      <c r="H204" s="8"/>
      <c r="I204" s="8"/>
      <c r="J204" s="1"/>
      <c r="K204" s="1"/>
      <c r="L204" s="1"/>
      <c r="M204" s="1"/>
      <c r="N204" s="1"/>
      <c r="O204" s="1"/>
      <c r="P204" s="1"/>
    </row>
    <row r="205" spans="1:16">
      <c r="A205" s="242" t="s">
        <v>146</v>
      </c>
      <c r="B205" s="206"/>
      <c r="C205" s="9" t="s">
        <v>15</v>
      </c>
      <c r="D205" s="56">
        <v>5900</v>
      </c>
      <c r="E205" s="53">
        <f t="shared" si="13"/>
        <v>0</v>
      </c>
      <c r="F205" s="8"/>
      <c r="G205" s="8"/>
      <c r="H205" s="8"/>
      <c r="I205" s="8"/>
      <c r="J205" s="1"/>
      <c r="K205" s="1"/>
      <c r="L205" s="1"/>
      <c r="M205" s="1"/>
      <c r="N205" s="1"/>
      <c r="O205" s="1"/>
      <c r="P205" s="1"/>
    </row>
    <row r="206" spans="1:16">
      <c r="A206" s="142" t="s">
        <v>147</v>
      </c>
      <c r="B206" s="206"/>
      <c r="C206" s="9" t="s">
        <v>15</v>
      </c>
      <c r="D206" s="56">
        <v>9820</v>
      </c>
      <c r="E206" s="53">
        <f t="shared" si="13"/>
        <v>0</v>
      </c>
      <c r="F206" s="8"/>
      <c r="G206" s="8"/>
      <c r="H206" s="8"/>
      <c r="I206" s="8"/>
      <c r="J206" s="1"/>
      <c r="K206" s="1"/>
      <c r="L206" s="1"/>
      <c r="M206" s="1"/>
      <c r="N206" s="1"/>
      <c r="O206" s="1"/>
      <c r="P206" s="1"/>
    </row>
    <row r="207" spans="1:16">
      <c r="A207" s="142" t="s">
        <v>310</v>
      </c>
      <c r="B207" s="206"/>
      <c r="C207" s="9" t="s">
        <v>15</v>
      </c>
      <c r="D207" s="56">
        <v>1550</v>
      </c>
      <c r="E207" s="53">
        <f t="shared" ref="E207:E213" si="14">B207*D207</f>
        <v>0</v>
      </c>
      <c r="F207" s="8"/>
      <c r="G207" s="8"/>
      <c r="H207" s="8"/>
      <c r="I207" s="8"/>
      <c r="J207" s="1"/>
      <c r="K207" s="1"/>
      <c r="L207" s="1"/>
      <c r="M207" s="1"/>
      <c r="N207" s="1"/>
      <c r="O207" s="1"/>
      <c r="P207" s="1"/>
    </row>
    <row r="208" spans="1:16">
      <c r="A208" s="142" t="s">
        <v>311</v>
      </c>
      <c r="B208" s="206"/>
      <c r="C208" s="9" t="s">
        <v>15</v>
      </c>
      <c r="D208" s="56">
        <v>2200</v>
      </c>
      <c r="E208" s="53">
        <f t="shared" si="14"/>
        <v>0</v>
      </c>
      <c r="F208" s="8"/>
      <c r="G208" s="8"/>
      <c r="H208" s="8"/>
      <c r="I208" s="8"/>
      <c r="J208" s="1"/>
      <c r="K208" s="1"/>
      <c r="L208" s="1"/>
      <c r="M208" s="1"/>
      <c r="N208" s="1"/>
      <c r="O208" s="1"/>
      <c r="P208" s="1"/>
    </row>
    <row r="209" spans="1:24" s="172" customFormat="1">
      <c r="A209" s="142" t="s">
        <v>281</v>
      </c>
      <c r="B209" s="206"/>
      <c r="C209" s="9" t="s">
        <v>15</v>
      </c>
      <c r="D209" s="56">
        <v>1875</v>
      </c>
      <c r="E209" s="53">
        <f t="shared" si="14"/>
        <v>0</v>
      </c>
      <c r="F209" s="171"/>
      <c r="G209" s="171"/>
      <c r="H209" s="171"/>
      <c r="I209" s="171"/>
    </row>
    <row r="210" spans="1:24" s="172" customFormat="1">
      <c r="A210" s="142" t="s">
        <v>138</v>
      </c>
      <c r="B210" s="206"/>
      <c r="C210" s="9" t="s">
        <v>15</v>
      </c>
      <c r="D210" s="56">
        <v>2200</v>
      </c>
      <c r="E210" s="53">
        <f t="shared" si="14"/>
        <v>0</v>
      </c>
      <c r="F210" s="171"/>
      <c r="G210" s="171"/>
      <c r="H210" s="171"/>
      <c r="I210" s="171"/>
    </row>
    <row r="211" spans="1:24" s="172" customFormat="1">
      <c r="A211" s="142" t="s">
        <v>312</v>
      </c>
      <c r="B211" s="206"/>
      <c r="C211" s="9" t="s">
        <v>15</v>
      </c>
      <c r="D211" s="56">
        <v>3500</v>
      </c>
      <c r="E211" s="53">
        <f t="shared" si="14"/>
        <v>0</v>
      </c>
      <c r="F211" s="171"/>
      <c r="G211" s="171"/>
      <c r="H211" s="171"/>
      <c r="I211" s="171"/>
    </row>
    <row r="212" spans="1:24">
      <c r="A212" s="142" t="s">
        <v>313</v>
      </c>
      <c r="B212" s="206"/>
      <c r="C212" s="9" t="s">
        <v>15</v>
      </c>
      <c r="D212" s="56">
        <v>4000</v>
      </c>
      <c r="E212" s="53">
        <f t="shared" si="14"/>
        <v>0</v>
      </c>
      <c r="F212" s="6"/>
      <c r="G212" s="6"/>
      <c r="H212" s="6"/>
      <c r="I212" s="6"/>
      <c r="J212" s="1"/>
      <c r="K212" s="1"/>
      <c r="L212" s="1"/>
      <c r="M212" s="1"/>
      <c r="N212" s="1"/>
      <c r="O212" s="1"/>
      <c r="P212" s="1"/>
    </row>
    <row r="213" spans="1:24" s="6" customFormat="1">
      <c r="A213" s="142" t="s">
        <v>314</v>
      </c>
      <c r="B213" s="206"/>
      <c r="C213" s="9" t="s">
        <v>1</v>
      </c>
      <c r="D213" s="56">
        <v>175</v>
      </c>
      <c r="E213" s="53">
        <f t="shared" si="14"/>
        <v>0</v>
      </c>
      <c r="F213" s="1"/>
      <c r="G213" s="1"/>
      <c r="H213" s="1"/>
      <c r="I213" s="1"/>
      <c r="J213" s="1"/>
      <c r="K213" s="1"/>
      <c r="L213" s="1"/>
    </row>
    <row r="214" spans="1:24">
      <c r="A214" s="57"/>
      <c r="B214" s="206"/>
      <c r="C214" s="9"/>
      <c r="D214" s="56"/>
      <c r="E214" s="53"/>
      <c r="F214" s="8"/>
      <c r="G214" s="8"/>
      <c r="H214" s="8"/>
      <c r="I214" s="8"/>
      <c r="J214" s="1"/>
      <c r="K214" s="1"/>
      <c r="L214" s="1"/>
      <c r="M214" s="1"/>
      <c r="N214" s="1"/>
      <c r="O214" s="1"/>
      <c r="P214" s="1"/>
    </row>
    <row r="215" spans="1:24">
      <c r="A215" s="232" t="s">
        <v>305</v>
      </c>
      <c r="B215" s="206"/>
      <c r="C215" s="9"/>
      <c r="D215" s="56"/>
      <c r="E215" s="53"/>
      <c r="F215" s="8"/>
      <c r="G215" s="8"/>
      <c r="H215" s="8"/>
      <c r="I215" s="8"/>
      <c r="J215" s="1"/>
      <c r="K215" s="1"/>
      <c r="L215" s="1"/>
      <c r="M215" s="1"/>
      <c r="N215" s="1"/>
      <c r="O215" s="1"/>
      <c r="P215" s="1"/>
    </row>
    <row r="216" spans="1:24">
      <c r="A216" s="248" t="s">
        <v>315</v>
      </c>
      <c r="B216" s="206"/>
      <c r="C216" s="9" t="s">
        <v>14</v>
      </c>
      <c r="D216" s="56">
        <v>38</v>
      </c>
      <c r="E216" s="53">
        <f t="shared" ref="E216:E222" si="15">B216*D216</f>
        <v>0</v>
      </c>
      <c r="F216" s="8"/>
      <c r="G216" s="8"/>
      <c r="H216" s="8"/>
      <c r="I216" s="8"/>
      <c r="J216" s="1"/>
      <c r="K216" s="1"/>
      <c r="L216" s="1"/>
      <c r="M216" s="1"/>
      <c r="N216" s="1"/>
      <c r="O216" s="1"/>
      <c r="P216" s="1"/>
    </row>
    <row r="217" spans="1:24">
      <c r="A217" s="248" t="s">
        <v>316</v>
      </c>
      <c r="B217" s="206"/>
      <c r="C217" s="9" t="s">
        <v>14</v>
      </c>
      <c r="D217" s="56">
        <v>50</v>
      </c>
      <c r="E217" s="53">
        <f t="shared" si="15"/>
        <v>0</v>
      </c>
      <c r="F217" s="8"/>
      <c r="G217" s="8"/>
      <c r="H217" s="8"/>
      <c r="I217" s="8"/>
      <c r="J217" s="1"/>
      <c r="K217" s="1"/>
      <c r="L217" s="1"/>
      <c r="M217" s="1"/>
      <c r="N217" s="1"/>
      <c r="O217" s="1"/>
      <c r="P217" s="1"/>
    </row>
    <row r="218" spans="1:24">
      <c r="A218" s="248" t="s">
        <v>317</v>
      </c>
      <c r="B218" s="206"/>
      <c r="C218" s="9" t="s">
        <v>14</v>
      </c>
      <c r="D218" s="56">
        <v>58</v>
      </c>
      <c r="E218" s="53">
        <f t="shared" si="15"/>
        <v>0</v>
      </c>
      <c r="F218" s="19"/>
      <c r="G218" s="19"/>
      <c r="H218" s="19"/>
      <c r="I218" s="19"/>
      <c r="J218" s="1"/>
      <c r="K218" s="1"/>
      <c r="L218" s="1"/>
      <c r="M218" s="1"/>
      <c r="N218" s="1"/>
      <c r="O218" s="1"/>
      <c r="P218" s="1"/>
    </row>
    <row r="219" spans="1:24">
      <c r="A219" s="248" t="s">
        <v>318</v>
      </c>
      <c r="B219" s="206"/>
      <c r="C219" s="9" t="s">
        <v>14</v>
      </c>
      <c r="D219" s="56">
        <v>63</v>
      </c>
      <c r="E219" s="53">
        <f t="shared" si="15"/>
        <v>0</v>
      </c>
      <c r="F219" s="18"/>
      <c r="G219" s="18"/>
      <c r="H219" s="18"/>
      <c r="I219" s="18"/>
      <c r="J219" s="1"/>
      <c r="K219" s="1"/>
      <c r="L219" s="1"/>
      <c r="M219" s="1"/>
      <c r="N219" s="1"/>
      <c r="O219" s="1"/>
      <c r="P219" s="1"/>
    </row>
    <row r="220" spans="1:24" s="25" customFormat="1">
      <c r="A220" s="248" t="s">
        <v>319</v>
      </c>
      <c r="B220" s="206"/>
      <c r="C220" s="9" t="s">
        <v>14</v>
      </c>
      <c r="D220" s="56">
        <v>70</v>
      </c>
      <c r="E220" s="53">
        <f t="shared" si="15"/>
        <v>0</v>
      </c>
      <c r="F220" s="69"/>
      <c r="G220" s="69"/>
      <c r="H220" s="69"/>
      <c r="I220" s="69"/>
    </row>
    <row r="221" spans="1:24" s="25" customFormat="1">
      <c r="A221" s="248" t="s">
        <v>320</v>
      </c>
      <c r="B221" s="206"/>
      <c r="C221" s="9" t="s">
        <v>14</v>
      </c>
      <c r="D221" s="56">
        <v>89</v>
      </c>
      <c r="E221" s="53">
        <f t="shared" si="15"/>
        <v>0</v>
      </c>
      <c r="F221" s="69"/>
      <c r="G221" s="69"/>
      <c r="H221" s="69"/>
      <c r="I221" s="69"/>
    </row>
    <row r="222" spans="1:24" s="25" customFormat="1">
      <c r="A222" s="248" t="s">
        <v>321</v>
      </c>
      <c r="B222" s="206"/>
      <c r="C222" s="9" t="s">
        <v>14</v>
      </c>
      <c r="D222" s="56">
        <v>100</v>
      </c>
      <c r="E222" s="53">
        <f t="shared" si="15"/>
        <v>0</v>
      </c>
      <c r="F222" s="69"/>
      <c r="G222" s="69"/>
      <c r="H222" s="69"/>
      <c r="I222" s="69"/>
    </row>
    <row r="223" spans="1:24" s="25" customFormat="1">
      <c r="A223" s="57"/>
      <c r="B223" s="206"/>
      <c r="C223" s="9"/>
      <c r="D223" s="56"/>
      <c r="E223" s="53"/>
      <c r="F223" s="69"/>
      <c r="G223" s="69"/>
      <c r="H223" s="69"/>
      <c r="I223" s="69"/>
    </row>
    <row r="224" spans="1:24" s="79" customFormat="1">
      <c r="A224" s="232" t="s">
        <v>274</v>
      </c>
      <c r="B224" s="206"/>
      <c r="C224" s="9"/>
      <c r="D224" s="56"/>
      <c r="E224" s="53"/>
      <c r="F224" s="78"/>
      <c r="G224" s="78"/>
      <c r="H224" s="78"/>
      <c r="I224" s="78"/>
      <c r="J224" s="25"/>
      <c r="K224" s="25"/>
      <c r="L224" s="25"/>
      <c r="M224" s="30"/>
      <c r="N224" s="30"/>
      <c r="O224" s="30"/>
      <c r="P224" s="30"/>
      <c r="Q224" s="30"/>
      <c r="R224" s="30"/>
      <c r="S224" s="30"/>
      <c r="T224" s="30"/>
      <c r="U224" s="30"/>
      <c r="V224" s="30"/>
      <c r="W224" s="30"/>
      <c r="X224" s="30"/>
    </row>
    <row r="225" spans="1:9">
      <c r="A225" s="249" t="s">
        <v>338</v>
      </c>
      <c r="B225" s="250"/>
      <c r="C225" s="14" t="s">
        <v>15</v>
      </c>
      <c r="D225" s="251">
        <v>2267</v>
      </c>
      <c r="E225" s="252">
        <f t="shared" ref="E225" si="16">B225*D225</f>
        <v>0</v>
      </c>
    </row>
    <row r="226" spans="1:9">
      <c r="A226" s="249" t="s">
        <v>339</v>
      </c>
      <c r="B226" s="250"/>
      <c r="C226" s="14" t="s">
        <v>15</v>
      </c>
      <c r="D226" s="251">
        <v>2453</v>
      </c>
      <c r="E226" s="252">
        <f>B226*D226</f>
        <v>0</v>
      </c>
    </row>
    <row r="227" spans="1:9" ht="15.75">
      <c r="A227" s="70"/>
      <c r="B227" s="6"/>
      <c r="C227" s="6"/>
      <c r="D227" s="236" t="s">
        <v>215</v>
      </c>
      <c r="E227" s="237">
        <f>SUM(E107:E226)</f>
        <v>0</v>
      </c>
    </row>
    <row r="228" spans="1:9">
      <c r="A228" s="70"/>
      <c r="B228" s="6"/>
      <c r="C228" s="6"/>
      <c r="D228" s="6"/>
      <c r="E228" s="253"/>
    </row>
    <row r="229" spans="1:9" ht="15.75">
      <c r="A229" s="70"/>
      <c r="B229" s="6"/>
      <c r="C229" s="6"/>
      <c r="D229" s="236" t="s">
        <v>216</v>
      </c>
      <c r="E229" s="237">
        <f>SUM(E227*0.15)</f>
        <v>0</v>
      </c>
    </row>
    <row r="230" spans="1:9">
      <c r="A230" s="70"/>
      <c r="B230" s="6"/>
      <c r="C230" s="6"/>
      <c r="D230" s="6"/>
      <c r="E230" s="254"/>
    </row>
    <row r="231" spans="1:9" ht="15.95" customHeight="1">
      <c r="A231" s="70"/>
      <c r="B231" s="6"/>
      <c r="C231" s="6"/>
      <c r="D231" s="236" t="s">
        <v>383</v>
      </c>
      <c r="E231" s="237">
        <f>E227+E229</f>
        <v>0</v>
      </c>
      <c r="F231" s="8"/>
      <c r="G231" s="8"/>
      <c r="H231" s="8"/>
      <c r="I231" s="8"/>
    </row>
    <row r="232" spans="1:9" ht="15.95" customHeight="1">
      <c r="A232" s="70"/>
      <c r="B232" s="6"/>
      <c r="C232" s="6"/>
      <c r="D232" s="236"/>
      <c r="E232" s="237"/>
      <c r="F232" s="6"/>
      <c r="G232" s="6"/>
      <c r="H232" s="6"/>
      <c r="I232" s="6"/>
    </row>
    <row r="233" spans="1:9" ht="15.95" customHeight="1">
      <c r="A233" s="70"/>
      <c r="B233" s="6"/>
      <c r="C233" s="6"/>
      <c r="D233" s="236"/>
      <c r="E233" s="255"/>
      <c r="F233" s="6"/>
      <c r="G233" s="6"/>
      <c r="H233" s="6"/>
      <c r="I233" s="6"/>
    </row>
    <row r="234" spans="1:9" ht="15.75">
      <c r="A234" s="70"/>
      <c r="B234" s="6"/>
      <c r="C234" s="6"/>
      <c r="D234" s="236" t="s">
        <v>384</v>
      </c>
      <c r="E234" s="237">
        <f>E231+E103</f>
        <v>0</v>
      </c>
    </row>
    <row r="235" spans="1:9" ht="15.75" thickBot="1">
      <c r="A235" s="113"/>
      <c r="B235" s="114"/>
      <c r="C235" s="114"/>
      <c r="D235" s="114"/>
      <c r="E235" s="115"/>
    </row>
    <row r="236" spans="1:9" ht="15.75" thickTop="1"/>
  </sheetData>
  <dataConsolidate/>
  <mergeCells count="4">
    <mergeCell ref="H14:I14"/>
    <mergeCell ref="H15:I15"/>
    <mergeCell ref="A4:E4"/>
    <mergeCell ref="A1:E1"/>
  </mergeCells>
  <phoneticPr fontId="1" type="noConversion"/>
  <pageMargins left="0.5" right="0.5" top="0.5" bottom="0.5" header="0" footer="0"/>
  <pageSetup scale="71" orientation="portrait" r:id="rId1"/>
  <headerFooter alignWithMargins="0">
    <oddFooter>&amp;CPage &amp;P of &amp;N</oddFooter>
  </headerFooter>
  <rowBreaks count="3" manualBreakCount="3">
    <brk id="64" max="4" man="1"/>
    <brk id="123" max="4" man="1"/>
    <brk id="178" max="4" man="1"/>
  </rowBreaks>
</worksheet>
</file>

<file path=xl/worksheets/sheet5.xml><?xml version="1.0" encoding="utf-8"?>
<worksheet xmlns="http://schemas.openxmlformats.org/spreadsheetml/2006/main" xmlns:r="http://schemas.openxmlformats.org/officeDocument/2006/relationships">
  <dimension ref="A1:X290"/>
  <sheetViews>
    <sheetView view="pageLayout" topLeftCell="A187" zoomScaleNormal="100" zoomScaleSheetLayoutView="100" workbookViewId="0">
      <selection activeCell="A118" sqref="A118"/>
    </sheetView>
  </sheetViews>
  <sheetFormatPr defaultRowHeight="15"/>
  <cols>
    <col min="1" max="1" width="55.28515625" style="1" customWidth="1"/>
    <col min="2" max="2" width="12.42578125" style="1" customWidth="1"/>
    <col min="3" max="3" width="7.7109375" style="2" customWidth="1"/>
    <col min="4" max="4" width="13.7109375" style="1" customWidth="1"/>
    <col min="5" max="5" width="14.42578125" style="1" customWidth="1"/>
    <col min="6" max="9" width="9.140625" style="1" hidden="1" customWidth="1"/>
    <col min="10" max="16384" width="9.140625" style="1"/>
  </cols>
  <sheetData>
    <row r="1" spans="1:9" customFormat="1" ht="18.75" thickTop="1">
      <c r="A1" s="276"/>
      <c r="B1" s="277"/>
      <c r="C1" s="277"/>
      <c r="D1" s="277"/>
      <c r="E1" s="278"/>
    </row>
    <row r="2" spans="1:9" customFormat="1" ht="26.25">
      <c r="A2" s="279" t="s">
        <v>256</v>
      </c>
      <c r="B2" s="280"/>
      <c r="C2" s="280"/>
      <c r="D2" s="280"/>
      <c r="E2" s="281"/>
    </row>
    <row r="3" spans="1:9" customFormat="1" ht="26.25" customHeight="1">
      <c r="A3" s="279" t="s">
        <v>219</v>
      </c>
      <c r="B3" s="280"/>
      <c r="C3" s="280"/>
      <c r="D3" s="280"/>
      <c r="E3" s="281"/>
    </row>
    <row r="4" spans="1:9" customFormat="1" ht="46.5" customHeight="1" thickBot="1">
      <c r="A4" s="282" t="s">
        <v>306</v>
      </c>
      <c r="B4" s="283"/>
      <c r="C4" s="283"/>
      <c r="D4" s="283"/>
      <c r="E4" s="284"/>
    </row>
    <row r="5" spans="1:9" customFormat="1" ht="17.25" customHeight="1" thickTop="1" thickBot="1">
      <c r="A5" s="48" t="s">
        <v>212</v>
      </c>
      <c r="B5" s="49" t="s">
        <v>213</v>
      </c>
      <c r="C5" s="49" t="s">
        <v>257</v>
      </c>
      <c r="D5" s="49" t="s">
        <v>258</v>
      </c>
      <c r="E5" s="50" t="s">
        <v>214</v>
      </c>
    </row>
    <row r="6" spans="1:9" s="6" customFormat="1" ht="15.75" thickTop="1">
      <c r="A6" s="159"/>
      <c r="B6" s="137"/>
      <c r="C6" s="163"/>
      <c r="D6" s="162"/>
      <c r="E6" s="161"/>
    </row>
    <row r="7" spans="1:9" s="6" customFormat="1" ht="15.75">
      <c r="A7" s="103" t="s">
        <v>259</v>
      </c>
      <c r="B7" s="104"/>
      <c r="C7" s="117"/>
      <c r="D7" s="109"/>
      <c r="E7" s="110"/>
      <c r="F7" s="15"/>
      <c r="G7" s="11"/>
      <c r="H7" s="11"/>
      <c r="I7" s="7"/>
    </row>
    <row r="8" spans="1:9" s="6" customFormat="1">
      <c r="A8" s="160"/>
      <c r="B8" s="106"/>
      <c r="C8" s="107"/>
      <c r="D8" s="112"/>
      <c r="E8" s="116"/>
      <c r="F8" s="15"/>
      <c r="G8" s="118"/>
      <c r="H8" s="118"/>
      <c r="I8" s="7"/>
    </row>
    <row r="9" spans="1:9" s="6" customFormat="1" ht="18" customHeight="1">
      <c r="A9" s="124" t="s">
        <v>7</v>
      </c>
      <c r="B9" s="96"/>
      <c r="C9" s="92"/>
      <c r="D9" s="125"/>
      <c r="E9" s="95"/>
      <c r="F9" s="15"/>
      <c r="G9" s="11"/>
      <c r="H9" s="11"/>
      <c r="I9" s="21"/>
    </row>
    <row r="10" spans="1:9" s="6" customFormat="1" ht="18" customHeight="1">
      <c r="A10" s="126" t="s">
        <v>4</v>
      </c>
      <c r="B10" s="96"/>
      <c r="C10" s="92" t="s">
        <v>3</v>
      </c>
      <c r="D10" s="108">
        <v>27.5</v>
      </c>
      <c r="E10" s="94">
        <f>B10*D10</f>
        <v>0</v>
      </c>
      <c r="F10" s="15"/>
      <c r="G10" s="11"/>
      <c r="H10" s="11"/>
      <c r="I10" s="13" t="s">
        <v>5</v>
      </c>
    </row>
    <row r="11" spans="1:9" s="6" customFormat="1" ht="18" customHeight="1">
      <c r="A11" s="126" t="s">
        <v>5</v>
      </c>
      <c r="B11" s="97"/>
      <c r="C11" s="92" t="s">
        <v>3</v>
      </c>
      <c r="D11" s="108">
        <v>22</v>
      </c>
      <c r="E11" s="94">
        <f>B11*D11</f>
        <v>0</v>
      </c>
      <c r="F11" s="15"/>
      <c r="G11" s="11"/>
      <c r="H11" s="271" t="s">
        <v>6</v>
      </c>
      <c r="I11" s="272"/>
    </row>
    <row r="12" spans="1:9" s="6" customFormat="1" ht="18" customHeight="1">
      <c r="A12" s="126" t="s">
        <v>6</v>
      </c>
      <c r="B12" s="97"/>
      <c r="C12" s="92" t="s">
        <v>3</v>
      </c>
      <c r="D12" s="108">
        <v>16.5</v>
      </c>
      <c r="E12" s="94">
        <f>B12*D12</f>
        <v>0</v>
      </c>
      <c r="F12" s="15"/>
      <c r="G12" s="11"/>
      <c r="H12" s="271" t="s">
        <v>8</v>
      </c>
      <c r="I12" s="272"/>
    </row>
    <row r="13" spans="1:9" s="6" customFormat="1" ht="18" customHeight="1">
      <c r="A13" s="126" t="s">
        <v>8</v>
      </c>
      <c r="B13" s="96"/>
      <c r="C13" s="92" t="s">
        <v>3</v>
      </c>
      <c r="D13" s="108">
        <v>11</v>
      </c>
      <c r="E13" s="94">
        <f>B13*D13</f>
        <v>0</v>
      </c>
      <c r="F13" s="15"/>
      <c r="G13" s="11"/>
      <c r="H13" s="11"/>
      <c r="I13" s="13" t="s">
        <v>9</v>
      </c>
    </row>
    <row r="14" spans="1:9" s="6" customFormat="1" ht="18" customHeight="1">
      <c r="A14" s="126" t="s">
        <v>9</v>
      </c>
      <c r="B14" s="91"/>
      <c r="C14" s="92" t="s">
        <v>3</v>
      </c>
      <c r="D14" s="108">
        <v>7.15</v>
      </c>
      <c r="E14" s="94">
        <f>B14*D14</f>
        <v>0</v>
      </c>
      <c r="F14" s="15"/>
      <c r="G14" s="11"/>
      <c r="H14" s="11"/>
      <c r="I14" s="7"/>
    </row>
    <row r="15" spans="1:9" s="6" customFormat="1" ht="18" customHeight="1">
      <c r="A15" s="111"/>
      <c r="B15" s="91"/>
      <c r="C15" s="92"/>
      <c r="D15" s="127"/>
      <c r="E15" s="128"/>
      <c r="F15" s="15"/>
      <c r="G15" s="11"/>
      <c r="H15" s="11"/>
      <c r="I15" s="7"/>
    </row>
    <row r="16" spans="1:9" s="6" customFormat="1" ht="18" customHeight="1">
      <c r="A16" s="111" t="s">
        <v>10</v>
      </c>
      <c r="B16" s="91"/>
      <c r="C16" s="92"/>
      <c r="D16" s="125"/>
      <c r="E16" s="95"/>
      <c r="F16" s="15"/>
      <c r="G16" s="11"/>
      <c r="H16" s="11"/>
      <c r="I16" s="7"/>
    </row>
    <row r="17" spans="1:9" s="6" customFormat="1" ht="18" customHeight="1">
      <c r="A17" s="126" t="s">
        <v>11</v>
      </c>
      <c r="B17" s="91"/>
      <c r="C17" s="99" t="s">
        <v>3</v>
      </c>
      <c r="D17" s="108">
        <v>20</v>
      </c>
      <c r="E17" s="94">
        <f>B17*D17</f>
        <v>0</v>
      </c>
      <c r="F17" s="15"/>
      <c r="G17" s="11"/>
      <c r="H17" s="11"/>
      <c r="I17" s="13" t="s">
        <v>5</v>
      </c>
    </row>
    <row r="18" spans="1:9" s="6" customFormat="1" ht="18" customHeight="1">
      <c r="A18" s="126" t="s">
        <v>5</v>
      </c>
      <c r="B18" s="91"/>
      <c r="C18" s="99" t="s">
        <v>3</v>
      </c>
      <c r="D18" s="108">
        <v>11.5</v>
      </c>
      <c r="E18" s="94">
        <f>B18*D18</f>
        <v>0</v>
      </c>
      <c r="F18" s="15"/>
      <c r="G18" s="11"/>
      <c r="H18" s="11"/>
      <c r="I18" s="7"/>
    </row>
    <row r="19" spans="1:9" s="6" customFormat="1" ht="18" customHeight="1">
      <c r="A19" s="126" t="s">
        <v>12</v>
      </c>
      <c r="B19" s="91"/>
      <c r="C19" s="99" t="s">
        <v>3</v>
      </c>
      <c r="D19" s="108">
        <v>6.5</v>
      </c>
      <c r="E19" s="94">
        <f>B19*D19</f>
        <v>0</v>
      </c>
      <c r="F19" s="15"/>
      <c r="G19" s="11"/>
      <c r="H19" s="11"/>
      <c r="I19" s="7"/>
    </row>
    <row r="20" spans="1:9" s="6" customFormat="1" ht="18" customHeight="1">
      <c r="A20" s="111"/>
      <c r="B20" s="91"/>
      <c r="C20" s="92"/>
      <c r="D20" s="127"/>
      <c r="E20" s="128"/>
      <c r="F20" s="15"/>
      <c r="G20" s="11"/>
      <c r="H20" s="11"/>
      <c r="I20" s="7"/>
    </row>
    <row r="21" spans="1:9" s="6" customFormat="1" ht="18" customHeight="1">
      <c r="A21" s="111"/>
      <c r="B21" s="91"/>
      <c r="C21" s="92"/>
      <c r="D21" s="127"/>
      <c r="E21" s="128"/>
      <c r="F21" s="15"/>
      <c r="G21" s="11"/>
      <c r="H21" s="11"/>
      <c r="I21" s="7"/>
    </row>
    <row r="22" spans="1:9" s="6" customFormat="1" ht="18" customHeight="1">
      <c r="A22" s="111" t="s">
        <v>13</v>
      </c>
      <c r="B22" s="91"/>
      <c r="C22" s="92"/>
      <c r="D22" s="125"/>
      <c r="E22" s="95"/>
      <c r="F22" s="15"/>
      <c r="G22" s="11"/>
      <c r="H22" s="11"/>
      <c r="I22" s="7"/>
    </row>
    <row r="23" spans="1:9" s="6" customFormat="1" ht="18" customHeight="1">
      <c r="A23" s="126" t="s">
        <v>11</v>
      </c>
      <c r="B23" s="91"/>
      <c r="C23" s="92" t="s">
        <v>3</v>
      </c>
      <c r="D23" s="108">
        <v>28</v>
      </c>
      <c r="E23" s="94">
        <f t="shared" ref="E23:E25" si="0">B23*D23</f>
        <v>0</v>
      </c>
      <c r="F23" s="15"/>
      <c r="G23" s="11"/>
      <c r="H23" s="11"/>
      <c r="I23" s="13" t="s">
        <v>5</v>
      </c>
    </row>
    <row r="24" spans="1:9" s="6" customFormat="1" ht="18" customHeight="1">
      <c r="A24" s="126" t="s">
        <v>5</v>
      </c>
      <c r="B24" s="91"/>
      <c r="C24" s="92" t="s">
        <v>3</v>
      </c>
      <c r="D24" s="108">
        <v>22</v>
      </c>
      <c r="E24" s="94">
        <f t="shared" si="0"/>
        <v>0</v>
      </c>
      <c r="F24" s="15"/>
      <c r="G24" s="11"/>
      <c r="H24" s="11"/>
      <c r="I24" s="7"/>
    </row>
    <row r="25" spans="1:9" s="6" customFormat="1" ht="18" customHeight="1">
      <c r="A25" s="126" t="s">
        <v>12</v>
      </c>
      <c r="B25" s="91"/>
      <c r="C25" s="92" t="s">
        <v>3</v>
      </c>
      <c r="D25" s="108">
        <v>12</v>
      </c>
      <c r="E25" s="94">
        <f t="shared" si="0"/>
        <v>0</v>
      </c>
      <c r="F25" s="15"/>
      <c r="G25" s="11"/>
      <c r="H25" s="11"/>
      <c r="I25" s="7"/>
    </row>
    <row r="26" spans="1:9" ht="18" customHeight="1">
      <c r="A26" s="70"/>
      <c r="B26" s="6"/>
      <c r="C26" s="5"/>
      <c r="D26" s="10"/>
      <c r="E26" s="61"/>
    </row>
    <row r="27" spans="1:9" ht="18" customHeight="1" thickBot="1">
      <c r="A27" s="119" t="s">
        <v>279</v>
      </c>
      <c r="B27" s="6"/>
      <c r="C27" s="5"/>
      <c r="D27" s="10"/>
      <c r="E27" s="61"/>
      <c r="F27" s="3"/>
      <c r="G27" s="3"/>
      <c r="H27" s="3"/>
      <c r="I27" s="3"/>
    </row>
    <row r="28" spans="1:9" ht="18" customHeight="1" thickTop="1">
      <c r="A28" s="70"/>
      <c r="B28" s="6"/>
      <c r="C28" s="5"/>
      <c r="D28" s="10"/>
      <c r="E28" s="61"/>
    </row>
    <row r="29" spans="1:9" ht="18" customHeight="1">
      <c r="A29" s="157" t="s">
        <v>323</v>
      </c>
      <c r="B29" s="8"/>
      <c r="C29" s="201"/>
      <c r="D29" s="202"/>
      <c r="E29" s="158"/>
    </row>
    <row r="30" spans="1:9" ht="18" customHeight="1">
      <c r="A30" s="111" t="s">
        <v>32</v>
      </c>
      <c r="B30" s="91"/>
      <c r="C30" s="92" t="s">
        <v>14</v>
      </c>
      <c r="D30" s="108">
        <v>95</v>
      </c>
      <c r="E30" s="94">
        <f t="shared" ref="E30:E38" si="1">B30*D30</f>
        <v>0</v>
      </c>
      <c r="F30" s="8"/>
      <c r="G30" s="8"/>
      <c r="H30" s="8"/>
      <c r="I30" s="8"/>
    </row>
    <row r="31" spans="1:9" ht="18" customHeight="1">
      <c r="A31" s="111" t="s">
        <v>33</v>
      </c>
      <c r="B31" s="91"/>
      <c r="C31" s="92" t="s">
        <v>14</v>
      </c>
      <c r="D31" s="108">
        <v>110</v>
      </c>
      <c r="E31" s="94">
        <f t="shared" si="1"/>
        <v>0</v>
      </c>
      <c r="F31" s="8"/>
      <c r="G31" s="8"/>
      <c r="H31" s="8"/>
      <c r="I31" s="8"/>
    </row>
    <row r="32" spans="1:9" ht="18" customHeight="1">
      <c r="A32" s="111" t="s">
        <v>34</v>
      </c>
      <c r="B32" s="91"/>
      <c r="C32" s="92" t="s">
        <v>14</v>
      </c>
      <c r="D32" s="108">
        <v>120</v>
      </c>
      <c r="E32" s="94">
        <f t="shared" si="1"/>
        <v>0</v>
      </c>
      <c r="F32" s="8"/>
      <c r="G32" s="8"/>
      <c r="H32" s="8"/>
      <c r="I32" s="8"/>
    </row>
    <row r="33" spans="1:9" ht="18" customHeight="1">
      <c r="A33" s="111" t="s">
        <v>35</v>
      </c>
      <c r="B33" s="91"/>
      <c r="C33" s="92" t="s">
        <v>14</v>
      </c>
      <c r="D33" s="108">
        <v>145</v>
      </c>
      <c r="E33" s="94">
        <f t="shared" si="1"/>
        <v>0</v>
      </c>
      <c r="F33" s="8"/>
      <c r="G33" s="8"/>
      <c r="H33" s="8"/>
      <c r="I33" s="8"/>
    </row>
    <row r="34" spans="1:9" ht="18" customHeight="1">
      <c r="A34" s="111" t="s">
        <v>36</v>
      </c>
      <c r="B34" s="91"/>
      <c r="C34" s="92" t="s">
        <v>14</v>
      </c>
      <c r="D34" s="108">
        <v>165</v>
      </c>
      <c r="E34" s="94">
        <f t="shared" si="1"/>
        <v>0</v>
      </c>
      <c r="F34" s="8"/>
      <c r="G34" s="8"/>
      <c r="H34" s="8"/>
      <c r="I34" s="8"/>
    </row>
    <row r="35" spans="1:9" ht="18" customHeight="1">
      <c r="A35" s="111" t="s">
        <v>37</v>
      </c>
      <c r="B35" s="91"/>
      <c r="C35" s="92" t="s">
        <v>14</v>
      </c>
      <c r="D35" s="108">
        <v>175</v>
      </c>
      <c r="E35" s="94">
        <f t="shared" si="1"/>
        <v>0</v>
      </c>
      <c r="F35" s="8"/>
      <c r="G35" s="8"/>
      <c r="H35" s="8"/>
      <c r="I35" s="8"/>
    </row>
    <row r="36" spans="1:9" ht="18" customHeight="1">
      <c r="A36" s="111" t="s">
        <v>38</v>
      </c>
      <c r="B36" s="91"/>
      <c r="C36" s="92" t="s">
        <v>14</v>
      </c>
      <c r="D36" s="108">
        <v>200</v>
      </c>
      <c r="E36" s="94">
        <f t="shared" si="1"/>
        <v>0</v>
      </c>
      <c r="F36" s="8"/>
      <c r="G36" s="8"/>
      <c r="H36" s="8"/>
      <c r="I36" s="8"/>
    </row>
    <row r="37" spans="1:9" ht="18" customHeight="1">
      <c r="A37" s="111" t="s">
        <v>39</v>
      </c>
      <c r="B37" s="91"/>
      <c r="C37" s="92" t="s">
        <v>14</v>
      </c>
      <c r="D37" s="108">
        <v>255</v>
      </c>
      <c r="E37" s="94">
        <f t="shared" si="1"/>
        <v>0</v>
      </c>
      <c r="F37" s="8"/>
      <c r="G37" s="8"/>
      <c r="H37" s="8"/>
      <c r="I37" s="8"/>
    </row>
    <row r="38" spans="1:9" ht="18" customHeight="1" thickBot="1">
      <c r="A38" s="111" t="s">
        <v>40</v>
      </c>
      <c r="B38" s="91"/>
      <c r="C38" s="92" t="s">
        <v>14</v>
      </c>
      <c r="D38" s="108">
        <v>285</v>
      </c>
      <c r="E38" s="94">
        <f t="shared" si="1"/>
        <v>0</v>
      </c>
      <c r="F38" s="8"/>
      <c r="G38" s="8"/>
      <c r="H38" s="8"/>
      <c r="I38" s="8"/>
    </row>
    <row r="39" spans="1:9" ht="18" customHeight="1" thickTop="1">
      <c r="A39" s="120" t="s">
        <v>41</v>
      </c>
      <c r="B39" s="91"/>
      <c r="C39" s="92" t="s">
        <v>14</v>
      </c>
      <c r="D39" s="108">
        <v>99.75</v>
      </c>
      <c r="E39" s="94">
        <f t="shared" ref="E39:E49" si="2">B39*D39</f>
        <v>0</v>
      </c>
      <c r="F39" s="17"/>
      <c r="G39" s="17"/>
      <c r="H39" s="17"/>
      <c r="I39" s="17"/>
    </row>
    <row r="40" spans="1:9" ht="11.25" customHeight="1">
      <c r="A40" s="71"/>
      <c r="B40" s="19"/>
      <c r="C40" s="58"/>
      <c r="D40" s="63"/>
      <c r="E40" s="59"/>
    </row>
    <row r="41" spans="1:9" ht="15.75" customHeight="1" thickBot="1">
      <c r="A41" s="119" t="s">
        <v>386</v>
      </c>
      <c r="B41" s="6"/>
      <c r="C41" s="5"/>
      <c r="D41" s="10"/>
      <c r="E41" s="61"/>
      <c r="F41" s="3"/>
      <c r="G41" s="3"/>
      <c r="H41" s="3"/>
      <c r="I41" s="3"/>
    </row>
    <row r="42" spans="1:9" ht="10.5" customHeight="1" thickTop="1">
      <c r="A42" s="204"/>
      <c r="B42" s="18"/>
      <c r="C42" s="198"/>
      <c r="D42" s="199"/>
      <c r="E42" s="200"/>
    </row>
    <row r="43" spans="1:9" ht="18" customHeight="1">
      <c r="A43" s="120" t="s">
        <v>48</v>
      </c>
      <c r="B43" s="91"/>
      <c r="C43" s="92" t="s">
        <v>14</v>
      </c>
      <c r="D43" s="108">
        <v>115.5</v>
      </c>
      <c r="E43" s="94">
        <f t="shared" si="2"/>
        <v>0</v>
      </c>
      <c r="F43" s="8"/>
      <c r="G43" s="8"/>
      <c r="H43" s="8"/>
      <c r="I43" s="8"/>
    </row>
    <row r="44" spans="1:9" ht="18" customHeight="1">
      <c r="A44" s="120" t="s">
        <v>42</v>
      </c>
      <c r="B44" s="91"/>
      <c r="C44" s="92" t="s">
        <v>14</v>
      </c>
      <c r="D44" s="108">
        <v>152.25</v>
      </c>
      <c r="E44" s="94">
        <f t="shared" si="2"/>
        <v>0</v>
      </c>
      <c r="F44" s="8"/>
      <c r="G44" s="8"/>
      <c r="H44" s="8"/>
      <c r="I44" s="8"/>
    </row>
    <row r="45" spans="1:9" ht="18" customHeight="1">
      <c r="A45" s="120" t="s">
        <v>43</v>
      </c>
      <c r="B45" s="91"/>
      <c r="C45" s="92" t="s">
        <v>14</v>
      </c>
      <c r="D45" s="108">
        <v>173.25</v>
      </c>
      <c r="E45" s="94">
        <f t="shared" si="2"/>
        <v>0</v>
      </c>
      <c r="F45" s="8"/>
      <c r="G45" s="8"/>
      <c r="H45" s="8"/>
      <c r="I45" s="8"/>
    </row>
    <row r="46" spans="1:9" ht="18" customHeight="1">
      <c r="A46" s="120" t="s">
        <v>44</v>
      </c>
      <c r="B46" s="91"/>
      <c r="C46" s="92" t="s">
        <v>14</v>
      </c>
      <c r="D46" s="108">
        <v>183.75</v>
      </c>
      <c r="E46" s="94">
        <f t="shared" si="2"/>
        <v>0</v>
      </c>
      <c r="F46" s="8"/>
      <c r="G46" s="8"/>
      <c r="H46" s="8"/>
      <c r="I46" s="8"/>
    </row>
    <row r="47" spans="1:9" ht="18" customHeight="1">
      <c r="A47" s="120" t="s">
        <v>45</v>
      </c>
      <c r="B47" s="91"/>
      <c r="C47" s="92" t="s">
        <v>14</v>
      </c>
      <c r="D47" s="108">
        <v>210</v>
      </c>
      <c r="E47" s="94">
        <f t="shared" si="2"/>
        <v>0</v>
      </c>
      <c r="F47" s="8"/>
      <c r="G47" s="8"/>
      <c r="H47" s="8"/>
      <c r="I47" s="8"/>
    </row>
    <row r="48" spans="1:9" ht="18" customHeight="1">
      <c r="A48" s="120" t="s">
        <v>46</v>
      </c>
      <c r="B48" s="91"/>
      <c r="C48" s="92" t="s">
        <v>14</v>
      </c>
      <c r="D48" s="108">
        <v>267.75</v>
      </c>
      <c r="E48" s="94">
        <f t="shared" si="2"/>
        <v>0</v>
      </c>
      <c r="F48" s="8"/>
      <c r="G48" s="8"/>
      <c r="H48" s="8"/>
      <c r="I48" s="8"/>
    </row>
    <row r="49" spans="1:9" ht="18" customHeight="1">
      <c r="A49" s="120" t="s">
        <v>47</v>
      </c>
      <c r="B49" s="91"/>
      <c r="C49" s="92" t="s">
        <v>14</v>
      </c>
      <c r="D49" s="108">
        <v>299.25</v>
      </c>
      <c r="E49" s="94">
        <f t="shared" si="2"/>
        <v>0</v>
      </c>
      <c r="F49" s="8"/>
      <c r="G49" s="8"/>
      <c r="H49" s="8"/>
      <c r="I49" s="8"/>
    </row>
    <row r="50" spans="1:9" ht="18" customHeight="1">
      <c r="A50" s="71"/>
      <c r="B50" s="19"/>
      <c r="C50" s="58"/>
      <c r="D50" s="63"/>
      <c r="E50" s="59"/>
    </row>
    <row r="51" spans="1:9" ht="18" customHeight="1">
      <c r="A51" s="157" t="s">
        <v>49</v>
      </c>
      <c r="B51" s="8"/>
      <c r="C51" s="201"/>
      <c r="D51" s="202"/>
      <c r="E51" s="158"/>
      <c r="F51" s="6"/>
      <c r="G51" s="6"/>
      <c r="H51" s="6"/>
      <c r="I51" s="6"/>
    </row>
    <row r="52" spans="1:9" ht="18" customHeight="1">
      <c r="A52" s="111" t="s">
        <v>50</v>
      </c>
      <c r="B52" s="91"/>
      <c r="C52" s="92" t="s">
        <v>15</v>
      </c>
      <c r="D52" s="108">
        <v>320</v>
      </c>
      <c r="E52" s="94">
        <f t="shared" ref="E52:E86" si="3">B52*D52</f>
        <v>0</v>
      </c>
      <c r="F52" s="8"/>
      <c r="G52" s="8"/>
      <c r="H52" s="8"/>
      <c r="I52" s="8"/>
    </row>
    <row r="53" spans="1:9" ht="18" customHeight="1">
      <c r="A53" s="111" t="s">
        <v>51</v>
      </c>
      <c r="B53" s="91"/>
      <c r="C53" s="92" t="s">
        <v>3</v>
      </c>
      <c r="D53" s="108">
        <v>1100</v>
      </c>
      <c r="E53" s="94">
        <f t="shared" si="3"/>
        <v>0</v>
      </c>
      <c r="F53" s="8"/>
      <c r="G53" s="8"/>
      <c r="H53" s="8"/>
      <c r="I53" s="8"/>
    </row>
    <row r="54" spans="1:9" ht="18" customHeight="1">
      <c r="A54" s="111" t="s">
        <v>52</v>
      </c>
      <c r="B54" s="91"/>
      <c r="C54" s="92" t="s">
        <v>15</v>
      </c>
      <c r="D54" s="108">
        <v>3550</v>
      </c>
      <c r="E54" s="94">
        <f t="shared" si="3"/>
        <v>0</v>
      </c>
      <c r="F54" s="8"/>
      <c r="G54" s="8"/>
      <c r="H54" s="8"/>
      <c r="I54" s="8"/>
    </row>
    <row r="55" spans="1:9" ht="18" customHeight="1">
      <c r="A55" s="123" t="s">
        <v>53</v>
      </c>
      <c r="B55" s="91"/>
      <c r="C55" s="92" t="s">
        <v>15</v>
      </c>
      <c r="D55" s="108">
        <v>3900</v>
      </c>
      <c r="E55" s="94">
        <f t="shared" si="3"/>
        <v>0</v>
      </c>
      <c r="F55" s="8"/>
      <c r="G55" s="8"/>
      <c r="H55" s="8"/>
      <c r="I55" s="8"/>
    </row>
    <row r="56" spans="1:9" ht="18" customHeight="1">
      <c r="A56" s="123" t="s">
        <v>54</v>
      </c>
      <c r="B56" s="91"/>
      <c r="C56" s="92" t="s">
        <v>15</v>
      </c>
      <c r="D56" s="108">
        <v>3980</v>
      </c>
      <c r="E56" s="94">
        <f t="shared" si="3"/>
        <v>0</v>
      </c>
      <c r="F56" s="8"/>
      <c r="G56" s="8"/>
      <c r="H56" s="8"/>
      <c r="I56" s="8"/>
    </row>
    <row r="57" spans="1:9" ht="18" customHeight="1">
      <c r="A57" s="123" t="s">
        <v>55</v>
      </c>
      <c r="B57" s="91"/>
      <c r="C57" s="92" t="s">
        <v>15</v>
      </c>
      <c r="D57" s="108">
        <v>4500</v>
      </c>
      <c r="E57" s="94">
        <f t="shared" si="3"/>
        <v>0</v>
      </c>
      <c r="F57" s="8"/>
      <c r="G57" s="8"/>
      <c r="H57" s="8"/>
      <c r="I57" s="8"/>
    </row>
    <row r="58" spans="1:9" ht="18" customHeight="1">
      <c r="A58" s="111" t="s">
        <v>56</v>
      </c>
      <c r="B58" s="91"/>
      <c r="C58" s="92" t="s">
        <v>15</v>
      </c>
      <c r="D58" s="108">
        <v>3850</v>
      </c>
      <c r="E58" s="94">
        <f t="shared" si="3"/>
        <v>0</v>
      </c>
      <c r="F58" s="8"/>
      <c r="G58" s="8"/>
      <c r="H58" s="8"/>
      <c r="I58" s="8"/>
    </row>
    <row r="59" spans="1:9" ht="18" customHeight="1">
      <c r="A59" s="111" t="s">
        <v>57</v>
      </c>
      <c r="B59" s="91"/>
      <c r="C59" s="92" t="s">
        <v>3</v>
      </c>
      <c r="D59" s="108">
        <v>550</v>
      </c>
      <c r="E59" s="94">
        <f t="shared" si="3"/>
        <v>0</v>
      </c>
      <c r="F59" s="8"/>
      <c r="G59" s="8"/>
      <c r="H59" s="8"/>
      <c r="I59" s="8"/>
    </row>
    <row r="60" spans="1:9" ht="18" customHeight="1">
      <c r="A60" s="120" t="s">
        <v>76</v>
      </c>
      <c r="B60" s="91"/>
      <c r="C60" s="92" t="s">
        <v>15</v>
      </c>
      <c r="D60" s="108">
        <v>8200</v>
      </c>
      <c r="E60" s="94">
        <f t="shared" si="3"/>
        <v>0</v>
      </c>
      <c r="F60" s="8"/>
      <c r="G60" s="8"/>
      <c r="H60" s="8"/>
      <c r="I60" s="8"/>
    </row>
    <row r="61" spans="1:9" ht="18" customHeight="1">
      <c r="A61" s="120" t="s">
        <v>58</v>
      </c>
      <c r="B61" s="91"/>
      <c r="C61" s="92" t="s">
        <v>15</v>
      </c>
      <c r="D61" s="108">
        <v>1200</v>
      </c>
      <c r="E61" s="94">
        <f t="shared" si="3"/>
        <v>0</v>
      </c>
      <c r="F61" s="8"/>
      <c r="G61" s="8"/>
      <c r="H61" s="8"/>
      <c r="I61" s="8"/>
    </row>
    <row r="62" spans="1:9" ht="18" customHeight="1">
      <c r="A62" s="120" t="s">
        <v>59</v>
      </c>
      <c r="B62" s="91"/>
      <c r="C62" s="92" t="s">
        <v>15</v>
      </c>
      <c r="D62" s="108">
        <v>2500</v>
      </c>
      <c r="E62" s="94">
        <f t="shared" si="3"/>
        <v>0</v>
      </c>
      <c r="F62" s="8"/>
      <c r="G62" s="8"/>
      <c r="H62" s="8"/>
      <c r="I62" s="8"/>
    </row>
    <row r="63" spans="1:9" ht="18" customHeight="1">
      <c r="A63" s="120" t="s">
        <v>60</v>
      </c>
      <c r="B63" s="91"/>
      <c r="C63" s="92" t="s">
        <v>15</v>
      </c>
      <c r="D63" s="108">
        <v>3850</v>
      </c>
      <c r="E63" s="94">
        <f t="shared" si="3"/>
        <v>0</v>
      </c>
      <c r="F63" s="8"/>
      <c r="G63" s="8"/>
      <c r="H63" s="8"/>
      <c r="I63" s="8"/>
    </row>
    <row r="64" spans="1:9" ht="18" customHeight="1">
      <c r="A64" s="120" t="s">
        <v>61</v>
      </c>
      <c r="B64" s="91"/>
      <c r="C64" s="92" t="s">
        <v>15</v>
      </c>
      <c r="D64" s="108">
        <v>3850</v>
      </c>
      <c r="E64" s="94">
        <f t="shared" si="3"/>
        <v>0</v>
      </c>
      <c r="F64" s="8"/>
      <c r="G64" s="8"/>
      <c r="H64" s="8"/>
      <c r="I64" s="8"/>
    </row>
    <row r="65" spans="1:9" ht="18" customHeight="1">
      <c r="A65" s="120" t="s">
        <v>62</v>
      </c>
      <c r="B65" s="91"/>
      <c r="C65" s="92" t="s">
        <v>15</v>
      </c>
      <c r="D65" s="108">
        <v>4500</v>
      </c>
      <c r="E65" s="94">
        <f t="shared" si="3"/>
        <v>0</v>
      </c>
      <c r="F65" s="8"/>
      <c r="G65" s="8"/>
      <c r="H65" s="8"/>
      <c r="I65" s="8"/>
    </row>
    <row r="66" spans="1:9" ht="18" customHeight="1">
      <c r="A66" s="120" t="s">
        <v>63</v>
      </c>
      <c r="B66" s="91"/>
      <c r="C66" s="92" t="s">
        <v>15</v>
      </c>
      <c r="D66" s="108">
        <v>3550</v>
      </c>
      <c r="E66" s="94">
        <f t="shared" si="3"/>
        <v>0</v>
      </c>
      <c r="F66" s="8"/>
      <c r="G66" s="8"/>
      <c r="H66" s="8"/>
      <c r="I66" s="8"/>
    </row>
    <row r="67" spans="1:9" ht="18" customHeight="1">
      <c r="A67" s="120" t="s">
        <v>64</v>
      </c>
      <c r="B67" s="91"/>
      <c r="C67" s="92" t="s">
        <v>15</v>
      </c>
      <c r="D67" s="108">
        <v>2500</v>
      </c>
      <c r="E67" s="94">
        <f t="shared" si="3"/>
        <v>0</v>
      </c>
      <c r="F67" s="8"/>
      <c r="G67" s="8"/>
      <c r="H67" s="8"/>
      <c r="I67" s="8"/>
    </row>
    <row r="68" spans="1:9">
      <c r="A68" s="120" t="s">
        <v>65</v>
      </c>
      <c r="B68" s="91"/>
      <c r="C68" s="92" t="s">
        <v>15</v>
      </c>
      <c r="D68" s="108">
        <v>500</v>
      </c>
      <c r="E68" s="94">
        <f t="shared" si="3"/>
        <v>0</v>
      </c>
      <c r="F68" s="8"/>
      <c r="G68" s="8"/>
      <c r="H68" s="8"/>
      <c r="I68" s="8"/>
    </row>
    <row r="69" spans="1:9" ht="18" customHeight="1">
      <c r="A69" s="120" t="s">
        <v>66</v>
      </c>
      <c r="B69" s="91"/>
      <c r="C69" s="92" t="s">
        <v>15</v>
      </c>
      <c r="D69" s="108">
        <v>600</v>
      </c>
      <c r="E69" s="94">
        <f t="shared" si="3"/>
        <v>0</v>
      </c>
      <c r="F69" s="8"/>
      <c r="G69" s="8"/>
      <c r="H69" s="8"/>
      <c r="I69" s="8"/>
    </row>
    <row r="70" spans="1:9" ht="18" customHeight="1">
      <c r="A70" s="120" t="s">
        <v>67</v>
      </c>
      <c r="B70" s="91"/>
      <c r="C70" s="92" t="s">
        <v>15</v>
      </c>
      <c r="D70" s="108">
        <v>475</v>
      </c>
      <c r="E70" s="94">
        <f t="shared" si="3"/>
        <v>0</v>
      </c>
      <c r="F70" s="8"/>
      <c r="G70" s="8"/>
      <c r="H70" s="8"/>
      <c r="I70" s="8"/>
    </row>
    <row r="71" spans="1:9" ht="18" customHeight="1">
      <c r="A71" s="120" t="s">
        <v>68</v>
      </c>
      <c r="B71" s="91"/>
      <c r="C71" s="92" t="s">
        <v>14</v>
      </c>
      <c r="D71" s="108">
        <v>650</v>
      </c>
      <c r="E71" s="94">
        <f t="shared" si="3"/>
        <v>0</v>
      </c>
      <c r="F71" s="8"/>
      <c r="G71" s="8"/>
      <c r="H71" s="8"/>
      <c r="I71" s="8"/>
    </row>
    <row r="72" spans="1:9" ht="18" customHeight="1">
      <c r="A72" s="120" t="s">
        <v>69</v>
      </c>
      <c r="B72" s="91"/>
      <c r="C72" s="92" t="s">
        <v>14</v>
      </c>
      <c r="D72" s="108">
        <v>15</v>
      </c>
      <c r="E72" s="94">
        <f t="shared" si="3"/>
        <v>0</v>
      </c>
      <c r="F72" s="8"/>
      <c r="G72" s="8"/>
      <c r="H72" s="8"/>
      <c r="I72" s="8"/>
    </row>
    <row r="73" spans="1:9" ht="18" customHeight="1">
      <c r="A73" s="120" t="s">
        <v>280</v>
      </c>
      <c r="B73" s="91"/>
      <c r="C73" s="92" t="s">
        <v>15</v>
      </c>
      <c r="D73" s="108">
        <v>3000</v>
      </c>
      <c r="E73" s="94">
        <f t="shared" si="3"/>
        <v>0</v>
      </c>
      <c r="F73" s="8"/>
      <c r="G73" s="8"/>
      <c r="H73" s="8"/>
      <c r="I73" s="8"/>
    </row>
    <row r="74" spans="1:9" ht="28.5">
      <c r="A74" s="120" t="s">
        <v>341</v>
      </c>
      <c r="B74" s="91"/>
      <c r="C74" s="92" t="s">
        <v>15</v>
      </c>
      <c r="D74" s="108">
        <v>2700</v>
      </c>
      <c r="E74" s="94">
        <f t="shared" si="3"/>
        <v>0</v>
      </c>
      <c r="F74" s="8"/>
      <c r="G74" s="8"/>
      <c r="H74" s="8"/>
      <c r="I74" s="8"/>
    </row>
    <row r="75" spans="1:9" ht="32.1" customHeight="1">
      <c r="A75" s="120" t="s">
        <v>342</v>
      </c>
      <c r="B75" s="122"/>
      <c r="C75" s="92" t="s">
        <v>15</v>
      </c>
      <c r="D75" s="108">
        <v>4300</v>
      </c>
      <c r="E75" s="94">
        <f t="shared" si="3"/>
        <v>0</v>
      </c>
      <c r="F75" s="16"/>
      <c r="G75" s="16"/>
      <c r="H75" s="16"/>
      <c r="I75" s="16"/>
    </row>
    <row r="76" spans="1:9" ht="15" customHeight="1">
      <c r="A76" s="120" t="s">
        <v>343</v>
      </c>
      <c r="B76" s="91"/>
      <c r="C76" s="92" t="s">
        <v>15</v>
      </c>
      <c r="D76" s="108">
        <v>4600</v>
      </c>
      <c r="E76" s="94">
        <f t="shared" si="3"/>
        <v>0</v>
      </c>
      <c r="F76" s="8"/>
      <c r="G76" s="8"/>
      <c r="H76" s="8"/>
      <c r="I76" s="8"/>
    </row>
    <row r="77" spans="1:9" ht="18" customHeight="1">
      <c r="A77" s="120" t="s">
        <v>74</v>
      </c>
      <c r="B77" s="91"/>
      <c r="C77" s="92" t="s">
        <v>15</v>
      </c>
      <c r="D77" s="108">
        <v>4100</v>
      </c>
      <c r="E77" s="94">
        <f t="shared" si="3"/>
        <v>0</v>
      </c>
      <c r="F77" s="8"/>
      <c r="G77" s="8"/>
      <c r="H77" s="8"/>
      <c r="I77" s="8"/>
    </row>
    <row r="78" spans="1:9" ht="18" customHeight="1">
      <c r="A78" s="120" t="s">
        <v>75</v>
      </c>
      <c r="B78" s="91"/>
      <c r="C78" s="92" t="s">
        <v>15</v>
      </c>
      <c r="D78" s="108">
        <v>1600</v>
      </c>
      <c r="E78" s="94">
        <f t="shared" si="3"/>
        <v>0</v>
      </c>
      <c r="F78" s="8"/>
      <c r="G78" s="8"/>
      <c r="H78" s="8"/>
      <c r="I78" s="8"/>
    </row>
    <row r="79" spans="1:9" ht="18" customHeight="1">
      <c r="A79" s="120" t="s">
        <v>76</v>
      </c>
      <c r="B79" s="91"/>
      <c r="C79" s="92" t="s">
        <v>15</v>
      </c>
      <c r="D79" s="108">
        <v>8200</v>
      </c>
      <c r="E79" s="94">
        <f t="shared" si="3"/>
        <v>0</v>
      </c>
      <c r="F79" s="8"/>
      <c r="G79" s="8"/>
      <c r="H79" s="8"/>
      <c r="I79" s="8"/>
    </row>
    <row r="80" spans="1:9" ht="18" customHeight="1">
      <c r="A80" s="111" t="s">
        <v>77</v>
      </c>
      <c r="B80" s="91"/>
      <c r="C80" s="92" t="s">
        <v>15</v>
      </c>
      <c r="D80" s="108">
        <v>2500</v>
      </c>
      <c r="E80" s="94">
        <f t="shared" si="3"/>
        <v>0</v>
      </c>
      <c r="F80" s="8"/>
      <c r="G80" s="8"/>
      <c r="H80" s="8"/>
      <c r="I80" s="8"/>
    </row>
    <row r="81" spans="1:9" ht="11.25" customHeight="1">
      <c r="A81" s="71"/>
      <c r="B81" s="19"/>
      <c r="C81" s="58"/>
      <c r="D81" s="63"/>
      <c r="E81" s="59"/>
    </row>
    <row r="82" spans="1:9" ht="15.75" customHeight="1" thickBot="1">
      <c r="A82" s="119" t="s">
        <v>387</v>
      </c>
      <c r="B82" s="6"/>
      <c r="C82" s="5"/>
      <c r="D82" s="10"/>
      <c r="E82" s="61"/>
      <c r="F82" s="3"/>
      <c r="G82" s="3"/>
      <c r="H82" s="3"/>
      <c r="I82" s="3"/>
    </row>
    <row r="83" spans="1:9" ht="10.5" customHeight="1" thickTop="1">
      <c r="A83" s="204"/>
      <c r="B83" s="18"/>
      <c r="C83" s="198"/>
      <c r="D83" s="199"/>
      <c r="E83" s="200"/>
    </row>
    <row r="84" spans="1:9" ht="18" customHeight="1">
      <c r="A84" s="111" t="s">
        <v>78</v>
      </c>
      <c r="B84" s="91"/>
      <c r="C84" s="92" t="s">
        <v>15</v>
      </c>
      <c r="D84" s="108">
        <v>2100</v>
      </c>
      <c r="E84" s="94">
        <f t="shared" si="3"/>
        <v>0</v>
      </c>
      <c r="F84" s="8"/>
      <c r="G84" s="8"/>
      <c r="H84" s="8"/>
      <c r="I84" s="8"/>
    </row>
    <row r="85" spans="1:9" ht="18" customHeight="1">
      <c r="A85" s="111" t="s">
        <v>79</v>
      </c>
      <c r="B85" s="91"/>
      <c r="C85" s="92" t="s">
        <v>15</v>
      </c>
      <c r="D85" s="108">
        <v>1750</v>
      </c>
      <c r="E85" s="94">
        <f t="shared" si="3"/>
        <v>0</v>
      </c>
      <c r="F85" s="8"/>
      <c r="G85" s="8"/>
      <c r="H85" s="8"/>
      <c r="I85" s="8"/>
    </row>
    <row r="86" spans="1:9" ht="18" customHeight="1">
      <c r="A86" s="143" t="s">
        <v>324</v>
      </c>
      <c r="B86" s="91"/>
      <c r="C86" s="92" t="s">
        <v>15</v>
      </c>
      <c r="D86" s="108">
        <v>200</v>
      </c>
      <c r="E86" s="94">
        <f t="shared" si="3"/>
        <v>0</v>
      </c>
      <c r="F86" s="8"/>
      <c r="G86" s="8"/>
      <c r="H86" s="8"/>
      <c r="I86" s="8"/>
    </row>
    <row r="87" spans="1:9" ht="18" customHeight="1">
      <c r="A87" s="70"/>
      <c r="B87" s="19"/>
      <c r="C87" s="58"/>
      <c r="D87" s="63"/>
      <c r="E87" s="59"/>
    </row>
    <row r="88" spans="1:9" ht="18" customHeight="1" thickBot="1">
      <c r="A88" s="119" t="s">
        <v>276</v>
      </c>
      <c r="B88" s="6"/>
      <c r="C88" s="5"/>
      <c r="D88" s="10"/>
      <c r="E88" s="61"/>
      <c r="F88" s="3"/>
      <c r="G88" s="3"/>
      <c r="H88" s="3"/>
      <c r="I88" s="3"/>
    </row>
    <row r="89" spans="1:9" ht="18" customHeight="1" thickTop="1">
      <c r="A89" s="70"/>
      <c r="B89" s="6"/>
      <c r="C89" s="5"/>
      <c r="D89" s="10"/>
      <c r="E89" s="61"/>
    </row>
    <row r="90" spans="1:9">
      <c r="A90" s="157" t="s">
        <v>82</v>
      </c>
      <c r="B90" s="8"/>
      <c r="C90" s="201"/>
      <c r="D90" s="202"/>
      <c r="E90" s="158"/>
    </row>
    <row r="91" spans="1:9" ht="18" customHeight="1">
      <c r="A91" s="111" t="s">
        <v>83</v>
      </c>
      <c r="B91" s="91"/>
      <c r="C91" s="92" t="s">
        <v>14</v>
      </c>
      <c r="D91" s="108">
        <v>3</v>
      </c>
      <c r="E91" s="94">
        <f t="shared" ref="E91:E101" si="4">B91*D91</f>
        <v>0</v>
      </c>
      <c r="F91" s="8"/>
      <c r="G91" s="8"/>
      <c r="H91" s="8"/>
      <c r="I91" s="8"/>
    </row>
    <row r="92" spans="1:9" ht="18" customHeight="1">
      <c r="A92" s="120" t="s">
        <v>84</v>
      </c>
      <c r="B92" s="91"/>
      <c r="C92" s="92" t="s">
        <v>14</v>
      </c>
      <c r="D92" s="108">
        <v>12</v>
      </c>
      <c r="E92" s="94">
        <f t="shared" si="4"/>
        <v>0</v>
      </c>
      <c r="F92" s="8"/>
      <c r="G92" s="8"/>
      <c r="H92" s="8"/>
      <c r="I92" s="8"/>
    </row>
    <row r="93" spans="1:9" ht="18" customHeight="1">
      <c r="A93" s="120" t="s">
        <v>85</v>
      </c>
      <c r="B93" s="91"/>
      <c r="C93" s="92" t="s">
        <v>14</v>
      </c>
      <c r="D93" s="108">
        <v>20</v>
      </c>
      <c r="E93" s="94">
        <f t="shared" si="4"/>
        <v>0</v>
      </c>
      <c r="F93" s="8"/>
      <c r="G93" s="8"/>
      <c r="H93" s="8"/>
      <c r="I93" s="8"/>
    </row>
    <row r="94" spans="1:9" ht="18" customHeight="1">
      <c r="A94" s="111" t="s">
        <v>86</v>
      </c>
      <c r="B94" s="91"/>
      <c r="C94" s="92" t="s">
        <v>14</v>
      </c>
      <c r="D94" s="108">
        <v>20</v>
      </c>
      <c r="E94" s="94">
        <f t="shared" si="4"/>
        <v>0</v>
      </c>
      <c r="F94" s="8"/>
      <c r="G94" s="8"/>
      <c r="H94" s="8"/>
      <c r="I94" s="8"/>
    </row>
    <row r="95" spans="1:9" ht="18" customHeight="1">
      <c r="A95" s="111" t="s">
        <v>87</v>
      </c>
      <c r="B95" s="91"/>
      <c r="C95" s="92" t="s">
        <v>14</v>
      </c>
      <c r="D95" s="108">
        <v>24</v>
      </c>
      <c r="E95" s="94">
        <f t="shared" si="4"/>
        <v>0</v>
      </c>
      <c r="F95" s="8"/>
      <c r="G95" s="8"/>
      <c r="H95" s="8"/>
      <c r="I95" s="8"/>
    </row>
    <row r="96" spans="1:9" ht="18" customHeight="1">
      <c r="A96" s="111" t="s">
        <v>88</v>
      </c>
      <c r="B96" s="91"/>
      <c r="C96" s="92" t="s">
        <v>14</v>
      </c>
      <c r="D96" s="108">
        <v>25</v>
      </c>
      <c r="E96" s="94">
        <f t="shared" si="4"/>
        <v>0</v>
      </c>
      <c r="F96" s="8"/>
      <c r="G96" s="8"/>
      <c r="H96" s="8"/>
      <c r="I96" s="8"/>
    </row>
    <row r="97" spans="1:9" ht="18" customHeight="1">
      <c r="A97" s="111" t="s">
        <v>89</v>
      </c>
      <c r="B97" s="91"/>
      <c r="C97" s="92" t="s">
        <v>14</v>
      </c>
      <c r="D97" s="108">
        <v>30</v>
      </c>
      <c r="E97" s="94">
        <f t="shared" si="4"/>
        <v>0</v>
      </c>
      <c r="F97" s="8"/>
      <c r="G97" s="8"/>
      <c r="H97" s="8"/>
      <c r="I97" s="8"/>
    </row>
    <row r="98" spans="1:9" ht="18" customHeight="1">
      <c r="A98" s="111" t="s">
        <v>90</v>
      </c>
      <c r="B98" s="91"/>
      <c r="C98" s="92" t="s">
        <v>14</v>
      </c>
      <c r="D98" s="108">
        <v>26</v>
      </c>
      <c r="E98" s="94">
        <f t="shared" si="4"/>
        <v>0</v>
      </c>
      <c r="F98" s="8"/>
      <c r="G98" s="8"/>
      <c r="H98" s="8"/>
      <c r="I98" s="8"/>
    </row>
    <row r="99" spans="1:9" ht="18" customHeight="1">
      <c r="A99" s="111" t="s">
        <v>91</v>
      </c>
      <c r="B99" s="91"/>
      <c r="C99" s="92" t="s">
        <v>14</v>
      </c>
      <c r="D99" s="108">
        <v>8</v>
      </c>
      <c r="E99" s="94">
        <f t="shared" si="4"/>
        <v>0</v>
      </c>
      <c r="F99" s="8"/>
      <c r="G99" s="8"/>
      <c r="H99" s="8"/>
      <c r="I99" s="8"/>
    </row>
    <row r="100" spans="1:9" ht="18" customHeight="1">
      <c r="A100" s="111" t="s">
        <v>93</v>
      </c>
      <c r="B100" s="91"/>
      <c r="C100" s="92" t="s">
        <v>14</v>
      </c>
      <c r="D100" s="108">
        <v>9.5</v>
      </c>
      <c r="E100" s="94">
        <f t="shared" si="4"/>
        <v>0</v>
      </c>
      <c r="F100" s="8"/>
      <c r="G100" s="8"/>
      <c r="H100" s="8"/>
      <c r="I100" s="8"/>
    </row>
    <row r="101" spans="1:9" ht="18" customHeight="1">
      <c r="A101" s="111" t="s">
        <v>92</v>
      </c>
      <c r="B101" s="91"/>
      <c r="C101" s="92" t="s">
        <v>14</v>
      </c>
      <c r="D101" s="108">
        <v>11</v>
      </c>
      <c r="E101" s="94">
        <f t="shared" si="4"/>
        <v>0</v>
      </c>
      <c r="F101" s="8"/>
      <c r="G101" s="8"/>
      <c r="H101" s="8"/>
      <c r="I101" s="8"/>
    </row>
    <row r="102" spans="1:9">
      <c r="A102" s="70"/>
      <c r="B102" s="19"/>
      <c r="C102" s="58"/>
      <c r="D102" s="63"/>
      <c r="E102" s="59"/>
    </row>
    <row r="103" spans="1:9" ht="18" customHeight="1">
      <c r="A103" s="197" t="s">
        <v>94</v>
      </c>
      <c r="B103" s="18"/>
      <c r="C103" s="198"/>
      <c r="D103" s="199"/>
      <c r="E103" s="200"/>
    </row>
    <row r="104" spans="1:9" ht="18" customHeight="1">
      <c r="A104" s="111" t="s">
        <v>95</v>
      </c>
      <c r="B104" s="91"/>
      <c r="C104" s="92" t="s">
        <v>1</v>
      </c>
      <c r="D104" s="108">
        <v>0.75</v>
      </c>
      <c r="E104" s="94">
        <f t="shared" ref="E104:E121" si="5">B104*D104</f>
        <v>0</v>
      </c>
      <c r="F104" s="8"/>
      <c r="G104" s="8"/>
      <c r="H104" s="8"/>
      <c r="I104" s="8"/>
    </row>
    <row r="105" spans="1:9" ht="18" customHeight="1">
      <c r="A105" s="111" t="s">
        <v>96</v>
      </c>
      <c r="B105" s="91"/>
      <c r="C105" s="92" t="s">
        <v>1</v>
      </c>
      <c r="D105" s="108">
        <v>1</v>
      </c>
      <c r="E105" s="94">
        <f t="shared" si="5"/>
        <v>0</v>
      </c>
      <c r="F105" s="8"/>
      <c r="G105" s="8"/>
      <c r="H105" s="8"/>
      <c r="I105" s="8"/>
    </row>
    <row r="106" spans="1:9" ht="18" customHeight="1">
      <c r="A106" s="111" t="s">
        <v>97</v>
      </c>
      <c r="B106" s="91"/>
      <c r="C106" s="92" t="s">
        <v>1</v>
      </c>
      <c r="D106" s="108">
        <v>1.3</v>
      </c>
      <c r="E106" s="94">
        <f t="shared" si="5"/>
        <v>0</v>
      </c>
      <c r="F106" s="8"/>
      <c r="G106" s="8"/>
      <c r="H106" s="8"/>
      <c r="I106" s="8"/>
    </row>
    <row r="107" spans="1:9" ht="18" customHeight="1">
      <c r="A107" s="111" t="s">
        <v>98</v>
      </c>
      <c r="B107" s="91"/>
      <c r="C107" s="92" t="s">
        <v>1</v>
      </c>
      <c r="D107" s="108">
        <v>1.75</v>
      </c>
      <c r="E107" s="94">
        <f t="shared" si="5"/>
        <v>0</v>
      </c>
      <c r="F107" s="8"/>
      <c r="G107" s="8"/>
      <c r="H107" s="8"/>
      <c r="I107" s="8"/>
    </row>
    <row r="108" spans="1:9" ht="18" customHeight="1">
      <c r="A108" s="111" t="s">
        <v>99</v>
      </c>
      <c r="B108" s="91"/>
      <c r="C108" s="92" t="s">
        <v>1</v>
      </c>
      <c r="D108" s="108">
        <v>2.15</v>
      </c>
      <c r="E108" s="94">
        <f t="shared" si="5"/>
        <v>0</v>
      </c>
      <c r="F108" s="8"/>
      <c r="G108" s="8"/>
      <c r="H108" s="8"/>
      <c r="I108" s="8"/>
    </row>
    <row r="109" spans="1:9" ht="18" customHeight="1">
      <c r="A109" s="120" t="s">
        <v>325</v>
      </c>
      <c r="B109" s="91"/>
      <c r="C109" s="92" t="s">
        <v>1</v>
      </c>
      <c r="D109" s="108">
        <v>1.05</v>
      </c>
      <c r="E109" s="94">
        <f t="shared" si="5"/>
        <v>0</v>
      </c>
      <c r="F109" s="8"/>
      <c r="G109" s="8"/>
      <c r="H109" s="8"/>
      <c r="I109" s="8"/>
    </row>
    <row r="110" spans="1:9" ht="18" customHeight="1">
      <c r="A110" s="120" t="s">
        <v>326</v>
      </c>
      <c r="B110" s="91"/>
      <c r="C110" s="92" t="s">
        <v>1</v>
      </c>
      <c r="D110" s="108">
        <v>1.25</v>
      </c>
      <c r="E110" s="94">
        <f t="shared" si="5"/>
        <v>0</v>
      </c>
      <c r="F110" s="8"/>
      <c r="G110" s="8"/>
      <c r="H110" s="8"/>
      <c r="I110" s="8"/>
    </row>
    <row r="111" spans="1:9" ht="18" customHeight="1">
      <c r="A111" s="120" t="s">
        <v>327</v>
      </c>
      <c r="B111" s="91"/>
      <c r="C111" s="92" t="s">
        <v>1</v>
      </c>
      <c r="D111" s="108">
        <v>1.6</v>
      </c>
      <c r="E111" s="94">
        <f t="shared" si="5"/>
        <v>0</v>
      </c>
      <c r="F111" s="8"/>
      <c r="G111" s="8"/>
      <c r="H111" s="8"/>
      <c r="I111" s="8"/>
    </row>
    <row r="112" spans="1:9" ht="18" customHeight="1">
      <c r="A112" s="120" t="s">
        <v>328</v>
      </c>
      <c r="B112" s="91"/>
      <c r="C112" s="92" t="s">
        <v>1</v>
      </c>
      <c r="D112" s="108">
        <v>1.65</v>
      </c>
      <c r="E112" s="94">
        <f t="shared" si="5"/>
        <v>0</v>
      </c>
      <c r="F112" s="8"/>
      <c r="G112" s="8"/>
      <c r="H112" s="8"/>
      <c r="I112" s="8"/>
    </row>
    <row r="113" spans="1:9" ht="18" customHeight="1">
      <c r="A113" s="120" t="s">
        <v>329</v>
      </c>
      <c r="B113" s="91"/>
      <c r="C113" s="92" t="s">
        <v>1</v>
      </c>
      <c r="D113" s="108">
        <v>1.75</v>
      </c>
      <c r="E113" s="94">
        <f t="shared" si="5"/>
        <v>0</v>
      </c>
      <c r="F113" s="8"/>
      <c r="G113" s="8"/>
      <c r="H113" s="8"/>
      <c r="I113" s="8"/>
    </row>
    <row r="114" spans="1:9" ht="18" customHeight="1">
      <c r="A114" s="120" t="s">
        <v>330</v>
      </c>
      <c r="B114" s="91"/>
      <c r="C114" s="92" t="s">
        <v>1</v>
      </c>
      <c r="D114" s="108">
        <v>1.85</v>
      </c>
      <c r="E114" s="94">
        <f t="shared" si="5"/>
        <v>0</v>
      </c>
      <c r="F114" s="8"/>
      <c r="G114" s="8"/>
      <c r="H114" s="8"/>
      <c r="I114" s="8"/>
    </row>
    <row r="115" spans="1:9" ht="18" customHeight="1">
      <c r="A115" s="111" t="s">
        <v>100</v>
      </c>
      <c r="B115" s="91"/>
      <c r="C115" s="92" t="s">
        <v>1</v>
      </c>
      <c r="D115" s="108">
        <v>5</v>
      </c>
      <c r="E115" s="94">
        <f t="shared" si="5"/>
        <v>0</v>
      </c>
      <c r="F115" s="8"/>
      <c r="G115" s="8"/>
      <c r="H115" s="8"/>
      <c r="I115" s="8"/>
    </row>
    <row r="116" spans="1:9" ht="18" customHeight="1">
      <c r="A116" s="111" t="s">
        <v>101</v>
      </c>
      <c r="B116" s="91"/>
      <c r="C116" s="92" t="s">
        <v>1</v>
      </c>
      <c r="D116" s="108">
        <v>5.5</v>
      </c>
      <c r="E116" s="94">
        <f t="shared" si="5"/>
        <v>0</v>
      </c>
      <c r="F116" s="8"/>
      <c r="G116" s="8"/>
      <c r="H116" s="8"/>
      <c r="I116" s="8"/>
    </row>
    <row r="117" spans="1:9" ht="18" customHeight="1">
      <c r="A117" s="111" t="s">
        <v>102</v>
      </c>
      <c r="B117" s="91"/>
      <c r="C117" s="92" t="s">
        <v>1</v>
      </c>
      <c r="D117" s="108">
        <v>6</v>
      </c>
      <c r="E117" s="94">
        <f t="shared" si="5"/>
        <v>0</v>
      </c>
      <c r="F117" s="8"/>
      <c r="G117" s="8"/>
      <c r="H117" s="8"/>
      <c r="I117" s="8"/>
    </row>
    <row r="118" spans="1:9" ht="18" customHeight="1">
      <c r="A118" s="111" t="s">
        <v>103</v>
      </c>
      <c r="B118" s="91"/>
      <c r="C118" s="92" t="s">
        <v>1</v>
      </c>
      <c r="D118" s="108">
        <v>6.5</v>
      </c>
      <c r="E118" s="94">
        <f t="shared" si="5"/>
        <v>0</v>
      </c>
      <c r="F118" s="8"/>
      <c r="G118" s="8"/>
      <c r="H118" s="8"/>
      <c r="I118" s="8"/>
    </row>
    <row r="119" spans="1:9" ht="18" customHeight="1">
      <c r="A119" s="111" t="s">
        <v>104</v>
      </c>
      <c r="B119" s="91"/>
      <c r="C119" s="92" t="s">
        <v>1</v>
      </c>
      <c r="D119" s="108">
        <v>7.5</v>
      </c>
      <c r="E119" s="94">
        <f t="shared" si="5"/>
        <v>0</v>
      </c>
      <c r="F119" s="8"/>
      <c r="G119" s="8"/>
      <c r="H119" s="8"/>
      <c r="I119" s="8"/>
    </row>
    <row r="120" spans="1:9" ht="18" customHeight="1">
      <c r="A120" s="111" t="s">
        <v>105</v>
      </c>
      <c r="B120" s="91"/>
      <c r="C120" s="92" t="s">
        <v>1</v>
      </c>
      <c r="D120" s="108">
        <v>0.5</v>
      </c>
      <c r="E120" s="94">
        <f t="shared" si="5"/>
        <v>0</v>
      </c>
      <c r="F120" s="8"/>
      <c r="G120" s="8"/>
      <c r="H120" s="8"/>
      <c r="I120" s="8"/>
    </row>
    <row r="121" spans="1:9" ht="18" customHeight="1">
      <c r="A121" s="111" t="s">
        <v>106</v>
      </c>
      <c r="B121" s="91"/>
      <c r="C121" s="92" t="s">
        <v>1</v>
      </c>
      <c r="D121" s="108">
        <v>2</v>
      </c>
      <c r="E121" s="94">
        <f t="shared" si="5"/>
        <v>0</v>
      </c>
      <c r="F121" s="8"/>
      <c r="G121" s="8"/>
      <c r="H121" s="8"/>
      <c r="I121" s="8"/>
    </row>
    <row r="122" spans="1:9" ht="18" customHeight="1">
      <c r="A122" s="71"/>
      <c r="B122" s="19"/>
      <c r="C122" s="58"/>
      <c r="D122" s="63"/>
      <c r="E122" s="59"/>
    </row>
    <row r="123" spans="1:9" ht="18" customHeight="1">
      <c r="A123" s="197" t="s">
        <v>107</v>
      </c>
      <c r="B123" s="18"/>
      <c r="C123" s="198"/>
      <c r="D123" s="199"/>
      <c r="E123" s="200"/>
    </row>
    <row r="124" spans="1:9" ht="18" customHeight="1">
      <c r="A124" s="121" t="s">
        <v>252</v>
      </c>
      <c r="B124" s="122"/>
      <c r="C124" s="129" t="s">
        <v>15</v>
      </c>
      <c r="D124" s="108">
        <v>1400</v>
      </c>
      <c r="E124" s="94">
        <f>B124*D124</f>
        <v>0</v>
      </c>
      <c r="F124" s="16"/>
      <c r="G124" s="16"/>
      <c r="H124" s="16"/>
      <c r="I124" s="16"/>
    </row>
    <row r="125" spans="1:9" ht="33">
      <c r="A125" s="121" t="s">
        <v>254</v>
      </c>
      <c r="B125" s="122"/>
      <c r="C125" s="129" t="s">
        <v>15</v>
      </c>
      <c r="D125" s="108">
        <v>2200</v>
      </c>
      <c r="E125" s="94">
        <f>B125*D125</f>
        <v>0</v>
      </c>
      <c r="F125" s="16"/>
      <c r="G125" s="16"/>
      <c r="H125" s="16"/>
      <c r="I125" s="16"/>
    </row>
    <row r="126" spans="1:9" ht="18" customHeight="1">
      <c r="A126" s="120" t="s">
        <v>253</v>
      </c>
      <c r="B126" s="91"/>
      <c r="C126" s="92" t="s">
        <v>15</v>
      </c>
      <c r="D126" s="108">
        <v>1600</v>
      </c>
      <c r="E126" s="94">
        <f>B126*D126</f>
        <v>0</v>
      </c>
      <c r="F126" s="8"/>
      <c r="G126" s="8"/>
      <c r="H126" s="8"/>
      <c r="I126" s="8"/>
    </row>
    <row r="127" spans="1:9" ht="18" customHeight="1">
      <c r="A127" s="111" t="s">
        <v>108</v>
      </c>
      <c r="B127" s="91"/>
      <c r="C127" s="92" t="s">
        <v>1</v>
      </c>
      <c r="D127" s="108">
        <v>1.5</v>
      </c>
      <c r="E127" s="94">
        <f>B127*D127</f>
        <v>0</v>
      </c>
      <c r="F127" s="8"/>
      <c r="G127" s="8"/>
      <c r="H127" s="8"/>
      <c r="I127" s="8"/>
    </row>
    <row r="128" spans="1:9" ht="18" customHeight="1">
      <c r="A128" s="111" t="s">
        <v>109</v>
      </c>
      <c r="B128" s="91"/>
      <c r="C128" s="92"/>
      <c r="D128" s="125"/>
      <c r="E128" s="95"/>
      <c r="F128" s="8"/>
      <c r="G128" s="8"/>
      <c r="H128" s="8"/>
      <c r="I128" s="8"/>
    </row>
    <row r="129" spans="1:9" ht="18" customHeight="1">
      <c r="A129" s="126" t="s">
        <v>223</v>
      </c>
      <c r="B129" s="91"/>
      <c r="C129" s="92" t="s">
        <v>1</v>
      </c>
      <c r="D129" s="108">
        <v>5</v>
      </c>
      <c r="E129" s="94">
        <f>B129*D129</f>
        <v>0</v>
      </c>
      <c r="F129" s="8"/>
      <c r="G129" s="8"/>
      <c r="H129" s="8"/>
      <c r="I129" s="8"/>
    </row>
    <row r="130" spans="1:9" ht="18" customHeight="1">
      <c r="A130" s="126" t="s">
        <v>222</v>
      </c>
      <c r="B130" s="91"/>
      <c r="C130" s="92" t="s">
        <v>1</v>
      </c>
      <c r="D130" s="108">
        <v>4</v>
      </c>
      <c r="E130" s="94">
        <f>B130*D130</f>
        <v>0</v>
      </c>
      <c r="F130" s="8"/>
      <c r="G130" s="8"/>
      <c r="H130" s="8"/>
      <c r="I130" s="8"/>
    </row>
    <row r="131" spans="1:9" ht="18" customHeight="1">
      <c r="A131" s="71"/>
      <c r="B131" s="19"/>
      <c r="C131" s="58"/>
      <c r="D131" s="63"/>
      <c r="E131" s="59"/>
    </row>
    <row r="132" spans="1:9" ht="18" customHeight="1">
      <c r="A132" s="197" t="s">
        <v>110</v>
      </c>
      <c r="B132" s="18"/>
      <c r="C132" s="198"/>
      <c r="D132" s="199"/>
      <c r="E132" s="200"/>
    </row>
    <row r="133" spans="1:9" s="43" customFormat="1" ht="18" customHeight="1">
      <c r="A133" s="131" t="s">
        <v>111</v>
      </c>
      <c r="B133" s="91"/>
      <c r="C133" s="92" t="s">
        <v>15</v>
      </c>
      <c r="D133" s="108">
        <v>1000</v>
      </c>
      <c r="E133" s="94">
        <f t="shared" ref="E133:E146" si="6">B133*D133</f>
        <v>0</v>
      </c>
      <c r="F133" s="130"/>
      <c r="G133" s="130"/>
      <c r="H133" s="130"/>
      <c r="I133" s="130"/>
    </row>
    <row r="134" spans="1:9" s="43" customFormat="1" ht="18" customHeight="1">
      <c r="A134" s="141" t="s">
        <v>331</v>
      </c>
      <c r="B134" s="91"/>
      <c r="C134" s="92" t="s">
        <v>1</v>
      </c>
      <c r="D134" s="108">
        <v>8</v>
      </c>
      <c r="E134" s="94">
        <f t="shared" si="6"/>
        <v>0</v>
      </c>
      <c r="F134" s="130"/>
      <c r="G134" s="130"/>
      <c r="H134" s="130"/>
      <c r="I134" s="130"/>
    </row>
    <row r="135" spans="1:9" s="43" customFormat="1" ht="17.100000000000001" customHeight="1">
      <c r="A135" s="141" t="s">
        <v>277</v>
      </c>
      <c r="B135" s="91"/>
      <c r="C135" s="92" t="s">
        <v>1</v>
      </c>
      <c r="D135" s="108">
        <v>7</v>
      </c>
      <c r="E135" s="94">
        <f t="shared" si="6"/>
        <v>0</v>
      </c>
      <c r="F135" s="130"/>
      <c r="G135" s="130"/>
      <c r="H135" s="130"/>
      <c r="I135" s="130"/>
    </row>
    <row r="136" spans="1:9" s="43" customFormat="1" ht="17.100000000000001" customHeight="1">
      <c r="A136" s="141" t="s">
        <v>332</v>
      </c>
      <c r="B136" s="91"/>
      <c r="C136" s="92" t="s">
        <v>14</v>
      </c>
      <c r="D136" s="108">
        <v>25</v>
      </c>
      <c r="E136" s="94">
        <f t="shared" si="6"/>
        <v>0</v>
      </c>
      <c r="F136" s="130"/>
      <c r="G136" s="130"/>
      <c r="H136" s="130"/>
      <c r="I136" s="130"/>
    </row>
    <row r="137" spans="1:9" s="43" customFormat="1" ht="17.100000000000001" customHeight="1">
      <c r="A137" s="141" t="s">
        <v>333</v>
      </c>
      <c r="B137" s="91"/>
      <c r="C137" s="92" t="s">
        <v>14</v>
      </c>
      <c r="D137" s="108">
        <v>11.5</v>
      </c>
      <c r="E137" s="94">
        <f t="shared" si="6"/>
        <v>0</v>
      </c>
      <c r="F137" s="130"/>
      <c r="G137" s="130"/>
      <c r="H137" s="130"/>
      <c r="I137" s="130"/>
    </row>
    <row r="138" spans="1:9" s="43" customFormat="1" ht="17.100000000000001" customHeight="1">
      <c r="A138" s="143" t="s">
        <v>112</v>
      </c>
      <c r="B138" s="91"/>
      <c r="C138" s="92" t="s">
        <v>1</v>
      </c>
      <c r="D138" s="108">
        <v>0.45</v>
      </c>
      <c r="E138" s="94">
        <f t="shared" si="6"/>
        <v>0</v>
      </c>
      <c r="F138" s="130"/>
      <c r="G138" s="130"/>
      <c r="H138" s="130"/>
      <c r="I138" s="130"/>
    </row>
    <row r="139" spans="1:9" s="43" customFormat="1" ht="17.100000000000001" customHeight="1">
      <c r="A139" s="143" t="s">
        <v>113</v>
      </c>
      <c r="B139" s="91"/>
      <c r="C139" s="92" t="s">
        <v>1</v>
      </c>
      <c r="D139" s="108">
        <v>0.6</v>
      </c>
      <c r="E139" s="94">
        <f t="shared" si="6"/>
        <v>0</v>
      </c>
      <c r="F139" s="130"/>
      <c r="G139" s="130"/>
      <c r="H139" s="130"/>
      <c r="I139" s="130"/>
    </row>
    <row r="140" spans="1:9" s="43" customFormat="1" ht="17.100000000000001" customHeight="1">
      <c r="A140" s="111" t="s">
        <v>114</v>
      </c>
      <c r="B140" s="91"/>
      <c r="C140" s="92" t="s">
        <v>1</v>
      </c>
      <c r="D140" s="108">
        <v>7</v>
      </c>
      <c r="E140" s="94">
        <f t="shared" si="6"/>
        <v>0</v>
      </c>
      <c r="F140" s="130"/>
      <c r="G140" s="130"/>
      <c r="H140" s="130"/>
      <c r="I140" s="130"/>
    </row>
    <row r="141" spans="1:9" s="43" customFormat="1" ht="17.100000000000001" customHeight="1">
      <c r="A141" s="111" t="s">
        <v>115</v>
      </c>
      <c r="B141" s="91"/>
      <c r="C141" s="92" t="s">
        <v>15</v>
      </c>
      <c r="D141" s="108">
        <v>1000</v>
      </c>
      <c r="E141" s="94">
        <f t="shared" si="6"/>
        <v>0</v>
      </c>
      <c r="F141" s="130"/>
      <c r="G141" s="130"/>
      <c r="H141" s="130"/>
      <c r="I141" s="130"/>
    </row>
    <row r="142" spans="1:9" s="43" customFormat="1" ht="17.100000000000001" customHeight="1">
      <c r="A142" s="111" t="s">
        <v>116</v>
      </c>
      <c r="B142" s="91"/>
      <c r="C142" s="92" t="s">
        <v>1</v>
      </c>
      <c r="D142" s="108">
        <v>1</v>
      </c>
      <c r="E142" s="94">
        <f t="shared" si="6"/>
        <v>0</v>
      </c>
      <c r="F142" s="130"/>
      <c r="G142" s="130"/>
      <c r="H142" s="130"/>
      <c r="I142" s="130"/>
    </row>
    <row r="143" spans="1:9" s="43" customFormat="1" ht="17.100000000000001" customHeight="1">
      <c r="A143" s="120" t="s">
        <v>285</v>
      </c>
      <c r="B143" s="91"/>
      <c r="C143" s="92" t="s">
        <v>1</v>
      </c>
      <c r="D143" s="108">
        <v>11</v>
      </c>
      <c r="E143" s="94">
        <f t="shared" si="6"/>
        <v>0</v>
      </c>
      <c r="F143" s="130"/>
      <c r="G143" s="130"/>
      <c r="H143" s="130"/>
      <c r="I143" s="130"/>
    </row>
    <row r="144" spans="1:9" s="43" customFormat="1" ht="17.100000000000001" customHeight="1">
      <c r="A144" s="120" t="s">
        <v>286</v>
      </c>
      <c r="B144" s="91"/>
      <c r="C144" s="92" t="s">
        <v>1</v>
      </c>
      <c r="D144" s="108">
        <v>8</v>
      </c>
      <c r="E144" s="94">
        <f t="shared" si="6"/>
        <v>0</v>
      </c>
      <c r="F144" s="130"/>
      <c r="G144" s="130"/>
      <c r="H144" s="130"/>
      <c r="I144" s="130"/>
    </row>
    <row r="145" spans="1:24" s="43" customFormat="1" ht="17.100000000000001" customHeight="1">
      <c r="A145" s="120" t="s">
        <v>287</v>
      </c>
      <c r="B145" s="91"/>
      <c r="C145" s="92" t="s">
        <v>1</v>
      </c>
      <c r="D145" s="108">
        <v>12</v>
      </c>
      <c r="E145" s="94">
        <f t="shared" si="6"/>
        <v>0</v>
      </c>
      <c r="F145" s="130"/>
      <c r="G145" s="130"/>
      <c r="H145" s="130"/>
      <c r="I145" s="130"/>
    </row>
    <row r="146" spans="1:24" s="43" customFormat="1" ht="17.100000000000001" customHeight="1">
      <c r="A146" s="111" t="s">
        <v>117</v>
      </c>
      <c r="B146" s="91"/>
      <c r="C146" s="92" t="s">
        <v>1</v>
      </c>
      <c r="D146" s="108">
        <v>2.5</v>
      </c>
      <c r="E146" s="94">
        <f t="shared" si="6"/>
        <v>0</v>
      </c>
      <c r="F146" s="130"/>
      <c r="G146" s="130"/>
      <c r="H146" s="130"/>
      <c r="I146" s="130"/>
    </row>
    <row r="147" spans="1:24" s="79" customFormat="1" ht="18" customHeight="1">
      <c r="A147" s="70"/>
      <c r="B147" s="19"/>
      <c r="C147" s="58"/>
      <c r="D147" s="63"/>
      <c r="E147" s="59"/>
      <c r="F147" s="78"/>
      <c r="G147" s="78"/>
      <c r="H147" s="78"/>
      <c r="I147" s="78"/>
      <c r="J147" s="25"/>
      <c r="K147" s="25"/>
      <c r="L147" s="25"/>
      <c r="M147" s="30"/>
      <c r="N147" s="30"/>
      <c r="O147" s="30"/>
      <c r="P147" s="30"/>
      <c r="Q147" s="30"/>
      <c r="R147" s="30"/>
      <c r="S147" s="30"/>
      <c r="T147" s="30"/>
      <c r="U147" s="30"/>
      <c r="V147" s="30"/>
      <c r="W147" s="30"/>
      <c r="X147" s="30"/>
    </row>
    <row r="148" spans="1:24" s="78" customFormat="1" ht="18" customHeight="1">
      <c r="A148" s="119" t="s">
        <v>350</v>
      </c>
      <c r="B148" s="6"/>
      <c r="C148" s="5"/>
      <c r="D148" s="10"/>
      <c r="E148" s="61"/>
      <c r="F148" s="79"/>
      <c r="G148" s="79"/>
      <c r="H148" s="79"/>
      <c r="I148" s="79"/>
      <c r="J148" s="30"/>
      <c r="K148" s="30"/>
      <c r="L148" s="30"/>
      <c r="M148" s="30"/>
      <c r="N148" s="30"/>
      <c r="O148" s="30"/>
      <c r="P148" s="30"/>
      <c r="Q148" s="30"/>
      <c r="R148" s="30"/>
      <c r="S148" s="30"/>
      <c r="T148" s="30"/>
      <c r="U148" s="30"/>
      <c r="V148" s="30"/>
      <c r="W148" s="30"/>
      <c r="X148" s="30"/>
    </row>
    <row r="149" spans="1:24" s="25" customFormat="1" ht="18" customHeight="1">
      <c r="A149" s="70"/>
      <c r="B149" s="6"/>
      <c r="C149" s="5"/>
      <c r="D149" s="10"/>
      <c r="E149" s="61"/>
      <c r="F149" s="78"/>
      <c r="G149" s="78"/>
      <c r="H149" s="78"/>
      <c r="I149" s="78"/>
      <c r="J149" s="30"/>
      <c r="K149" s="30"/>
      <c r="L149" s="30"/>
    </row>
    <row r="150" spans="1:24" s="25" customFormat="1" ht="18" customHeight="1">
      <c r="A150" s="157" t="s">
        <v>197</v>
      </c>
      <c r="B150" s="8"/>
      <c r="C150" s="201"/>
      <c r="D150" s="202"/>
      <c r="E150" s="158"/>
      <c r="F150" s="79"/>
      <c r="G150" s="79"/>
      <c r="H150" s="79"/>
      <c r="I150" s="79"/>
      <c r="J150" s="30"/>
      <c r="K150" s="30"/>
      <c r="L150" s="30"/>
    </row>
    <row r="151" spans="1:24" s="43" customFormat="1" ht="17.100000000000001" customHeight="1">
      <c r="A151" s="111" t="s">
        <v>181</v>
      </c>
      <c r="B151" s="91"/>
      <c r="C151" s="92" t="s">
        <v>1</v>
      </c>
      <c r="D151" s="108">
        <v>275</v>
      </c>
      <c r="E151" s="94">
        <f t="shared" ref="E151:E171" si="7">B151*D151</f>
        <v>0</v>
      </c>
      <c r="F151" s="130"/>
      <c r="G151" s="130"/>
      <c r="H151" s="130"/>
      <c r="I151" s="130"/>
      <c r="J151" s="104"/>
      <c r="K151" s="104"/>
      <c r="L151" s="104"/>
    </row>
    <row r="152" spans="1:24" s="43" customFormat="1" ht="17.100000000000001" customHeight="1">
      <c r="A152" s="111" t="s">
        <v>182</v>
      </c>
      <c r="B152" s="91"/>
      <c r="C152" s="92" t="s">
        <v>1</v>
      </c>
      <c r="D152" s="108">
        <v>250</v>
      </c>
      <c r="E152" s="94">
        <f t="shared" si="7"/>
        <v>0</v>
      </c>
      <c r="F152" s="130"/>
      <c r="G152" s="130"/>
      <c r="H152" s="130"/>
      <c r="I152" s="130"/>
      <c r="J152" s="104"/>
      <c r="K152" s="104"/>
      <c r="L152" s="104"/>
    </row>
    <row r="153" spans="1:24" s="43" customFormat="1" ht="17.100000000000001" customHeight="1">
      <c r="A153" s="111" t="s">
        <v>183</v>
      </c>
      <c r="B153" s="91"/>
      <c r="C153" s="92" t="s">
        <v>15</v>
      </c>
      <c r="D153" s="108">
        <v>36800</v>
      </c>
      <c r="E153" s="94">
        <f t="shared" si="7"/>
        <v>0</v>
      </c>
      <c r="F153" s="130"/>
      <c r="G153" s="130"/>
      <c r="H153" s="130"/>
      <c r="I153" s="130"/>
      <c r="J153" s="104"/>
      <c r="K153" s="104"/>
      <c r="L153" s="104"/>
    </row>
    <row r="154" spans="1:24" s="43" customFormat="1" ht="17.100000000000001" customHeight="1">
      <c r="A154" s="111" t="s">
        <v>184</v>
      </c>
      <c r="B154" s="91"/>
      <c r="C154" s="92" t="s">
        <v>3</v>
      </c>
      <c r="D154" s="108">
        <v>31</v>
      </c>
      <c r="E154" s="94">
        <f t="shared" si="7"/>
        <v>0</v>
      </c>
      <c r="F154" s="130"/>
      <c r="G154" s="130"/>
      <c r="H154" s="130"/>
      <c r="I154" s="130"/>
      <c r="J154" s="104"/>
      <c r="K154" s="104"/>
      <c r="L154" s="104"/>
    </row>
    <row r="155" spans="1:24" s="43" customFormat="1" ht="17.100000000000001" customHeight="1">
      <c r="A155" s="111" t="s">
        <v>185</v>
      </c>
      <c r="B155" s="91"/>
      <c r="C155" s="92" t="s">
        <v>14</v>
      </c>
      <c r="D155" s="108">
        <v>12.5</v>
      </c>
      <c r="E155" s="94">
        <f t="shared" si="7"/>
        <v>0</v>
      </c>
      <c r="F155" s="130"/>
      <c r="G155" s="130"/>
      <c r="H155" s="130"/>
      <c r="I155" s="130"/>
      <c r="J155" s="104"/>
      <c r="K155" s="104"/>
      <c r="L155" s="104"/>
    </row>
    <row r="156" spans="1:24" s="43" customFormat="1" ht="17.100000000000001" customHeight="1">
      <c r="A156" s="111" t="s">
        <v>186</v>
      </c>
      <c r="B156" s="91"/>
      <c r="C156" s="92" t="s">
        <v>14</v>
      </c>
      <c r="D156" s="108">
        <v>14</v>
      </c>
      <c r="E156" s="94">
        <f t="shared" si="7"/>
        <v>0</v>
      </c>
      <c r="F156" s="130"/>
      <c r="G156" s="130"/>
      <c r="H156" s="130"/>
      <c r="I156" s="130"/>
      <c r="J156" s="104"/>
      <c r="K156" s="104"/>
      <c r="L156" s="104"/>
    </row>
    <row r="157" spans="1:24" s="43" customFormat="1" ht="17.100000000000001" customHeight="1">
      <c r="A157" s="111" t="s">
        <v>187</v>
      </c>
      <c r="B157" s="91"/>
      <c r="C157" s="92" t="s">
        <v>14</v>
      </c>
      <c r="D157" s="108">
        <v>16</v>
      </c>
      <c r="E157" s="94">
        <f t="shared" si="7"/>
        <v>0</v>
      </c>
      <c r="F157" s="130"/>
      <c r="G157" s="130"/>
      <c r="H157" s="130"/>
      <c r="I157" s="130"/>
      <c r="J157" s="104"/>
      <c r="K157" s="104"/>
      <c r="L157" s="104"/>
    </row>
    <row r="158" spans="1:24" s="43" customFormat="1" ht="17.100000000000001" customHeight="1">
      <c r="A158" s="111" t="s">
        <v>188</v>
      </c>
      <c r="B158" s="91"/>
      <c r="C158" s="92" t="s">
        <v>14</v>
      </c>
      <c r="D158" s="108">
        <v>30</v>
      </c>
      <c r="E158" s="94">
        <f t="shared" si="7"/>
        <v>0</v>
      </c>
      <c r="F158" s="130"/>
      <c r="G158" s="130"/>
      <c r="H158" s="130"/>
      <c r="I158" s="130"/>
      <c r="J158" s="104"/>
      <c r="K158" s="104"/>
      <c r="L158" s="104"/>
    </row>
    <row r="159" spans="1:24" s="43" customFormat="1" ht="17.100000000000001" customHeight="1">
      <c r="A159" s="111" t="s">
        <v>189</v>
      </c>
      <c r="B159" s="91"/>
      <c r="C159" s="92" t="s">
        <v>15</v>
      </c>
      <c r="D159" s="108">
        <v>240</v>
      </c>
      <c r="E159" s="94">
        <f t="shared" si="7"/>
        <v>0</v>
      </c>
      <c r="F159" s="130"/>
      <c r="G159" s="130"/>
      <c r="H159" s="130"/>
      <c r="I159" s="130"/>
      <c r="J159" s="104"/>
      <c r="K159" s="104"/>
      <c r="L159" s="104"/>
    </row>
    <row r="160" spans="1:24" s="43" customFormat="1" ht="17.100000000000001" customHeight="1">
      <c r="A160" s="111" t="s">
        <v>190</v>
      </c>
      <c r="B160" s="91"/>
      <c r="C160" s="92" t="s">
        <v>15</v>
      </c>
      <c r="D160" s="108">
        <v>450</v>
      </c>
      <c r="E160" s="94">
        <f t="shared" si="7"/>
        <v>0</v>
      </c>
      <c r="F160" s="130"/>
      <c r="G160" s="130"/>
      <c r="H160" s="130"/>
      <c r="I160" s="130"/>
    </row>
    <row r="161" spans="1:24" s="43" customFormat="1" ht="17.100000000000001" customHeight="1">
      <c r="A161" s="111" t="s">
        <v>191</v>
      </c>
      <c r="B161" s="91"/>
      <c r="C161" s="92" t="s">
        <v>15</v>
      </c>
      <c r="D161" s="108">
        <v>55</v>
      </c>
      <c r="E161" s="94">
        <f t="shared" si="7"/>
        <v>0</v>
      </c>
      <c r="F161" s="130"/>
      <c r="G161" s="130"/>
      <c r="H161" s="130"/>
      <c r="I161" s="130"/>
    </row>
    <row r="162" spans="1:24" s="43" customFormat="1" ht="17.100000000000001" customHeight="1">
      <c r="A162" s="111" t="s">
        <v>192</v>
      </c>
      <c r="B162" s="91"/>
      <c r="C162" s="92" t="s">
        <v>14</v>
      </c>
      <c r="D162" s="108">
        <v>4</v>
      </c>
      <c r="E162" s="94">
        <f t="shared" si="7"/>
        <v>0</v>
      </c>
      <c r="F162" s="130"/>
      <c r="G162" s="130"/>
      <c r="H162" s="130"/>
      <c r="I162" s="130"/>
    </row>
    <row r="163" spans="1:24" s="43" customFormat="1" ht="17.100000000000001" customHeight="1">
      <c r="A163" s="111" t="s">
        <v>193</v>
      </c>
      <c r="B163" s="91"/>
      <c r="C163" s="92" t="s">
        <v>14</v>
      </c>
      <c r="D163" s="108">
        <v>11.2</v>
      </c>
      <c r="E163" s="94">
        <f t="shared" si="7"/>
        <v>0</v>
      </c>
      <c r="F163" s="130"/>
      <c r="G163" s="130"/>
      <c r="H163" s="130"/>
      <c r="I163" s="130"/>
    </row>
    <row r="164" spans="1:24" s="79" customFormat="1" ht="10.5" customHeight="1">
      <c r="A164" s="71"/>
      <c r="B164" s="19"/>
      <c r="C164" s="58"/>
      <c r="D164" s="63"/>
      <c r="E164" s="59"/>
      <c r="F164" s="78"/>
      <c r="G164" s="78"/>
      <c r="H164" s="78"/>
      <c r="I164" s="78"/>
      <c r="J164" s="25"/>
      <c r="K164" s="25"/>
      <c r="L164" s="25"/>
      <c r="M164" s="30"/>
      <c r="N164" s="30"/>
      <c r="O164" s="30"/>
      <c r="P164" s="30"/>
      <c r="Q164" s="30"/>
      <c r="R164" s="30"/>
      <c r="S164" s="30"/>
      <c r="T164" s="30"/>
      <c r="U164" s="30"/>
      <c r="V164" s="30"/>
      <c r="W164" s="30"/>
      <c r="X164" s="30"/>
    </row>
    <row r="165" spans="1:24" s="78" customFormat="1" ht="18" customHeight="1">
      <c r="A165" s="119" t="s">
        <v>388</v>
      </c>
      <c r="B165" s="6"/>
      <c r="C165" s="5"/>
      <c r="D165" s="10"/>
      <c r="E165" s="61"/>
      <c r="F165" s="79"/>
      <c r="G165" s="79"/>
      <c r="H165" s="79"/>
      <c r="I165" s="79"/>
      <c r="J165" s="30"/>
      <c r="K165" s="30"/>
      <c r="L165" s="30"/>
      <c r="M165" s="30"/>
      <c r="N165" s="30"/>
      <c r="O165" s="30"/>
      <c r="P165" s="30"/>
      <c r="Q165" s="30"/>
      <c r="R165" s="30"/>
      <c r="S165" s="30"/>
      <c r="T165" s="30"/>
      <c r="U165" s="30"/>
      <c r="V165" s="30"/>
      <c r="W165" s="30"/>
      <c r="X165" s="30"/>
    </row>
    <row r="166" spans="1:24" s="25" customFormat="1" ht="9" customHeight="1">
      <c r="A166" s="70"/>
      <c r="B166" s="6"/>
      <c r="C166" s="5"/>
      <c r="D166" s="10"/>
      <c r="E166" s="61"/>
      <c r="F166" s="78"/>
      <c r="G166" s="78"/>
      <c r="H166" s="78"/>
      <c r="I166" s="78"/>
      <c r="J166" s="30"/>
      <c r="K166" s="30"/>
      <c r="L166" s="30"/>
    </row>
    <row r="167" spans="1:24" s="43" customFormat="1" ht="17.100000000000001" customHeight="1">
      <c r="A167" s="111" t="s">
        <v>194</v>
      </c>
      <c r="B167" s="91"/>
      <c r="C167" s="92" t="s">
        <v>14</v>
      </c>
      <c r="D167" s="108">
        <v>17.399999999999999</v>
      </c>
      <c r="E167" s="94">
        <f t="shared" si="7"/>
        <v>0</v>
      </c>
      <c r="F167" s="130"/>
      <c r="G167" s="130"/>
      <c r="H167" s="130"/>
      <c r="I167" s="130"/>
    </row>
    <row r="168" spans="1:24" s="43" customFormat="1" ht="17.100000000000001" customHeight="1">
      <c r="A168" s="111" t="s">
        <v>195</v>
      </c>
      <c r="B168" s="91"/>
      <c r="C168" s="92" t="s">
        <v>14</v>
      </c>
      <c r="D168" s="108">
        <v>25</v>
      </c>
      <c r="E168" s="94">
        <f t="shared" si="7"/>
        <v>0</v>
      </c>
      <c r="F168" s="130"/>
      <c r="G168" s="130"/>
      <c r="H168" s="130"/>
      <c r="I168" s="130"/>
    </row>
    <row r="169" spans="1:24" s="43" customFormat="1" ht="17.100000000000001" customHeight="1">
      <c r="A169" s="111" t="s">
        <v>196</v>
      </c>
      <c r="B169" s="91"/>
      <c r="C169" s="92" t="s">
        <v>15</v>
      </c>
      <c r="D169" s="108">
        <v>800</v>
      </c>
      <c r="E169" s="94">
        <f t="shared" si="7"/>
        <v>0</v>
      </c>
      <c r="F169" s="130"/>
      <c r="G169" s="130"/>
      <c r="H169" s="130"/>
      <c r="I169" s="130"/>
    </row>
    <row r="170" spans="1:24" s="43" customFormat="1" ht="17.100000000000001" customHeight="1">
      <c r="A170" s="111" t="s">
        <v>340</v>
      </c>
      <c r="B170" s="91"/>
      <c r="C170" s="92" t="s">
        <v>1</v>
      </c>
      <c r="D170" s="108">
        <v>29.65</v>
      </c>
      <c r="E170" s="94">
        <f t="shared" si="7"/>
        <v>0</v>
      </c>
      <c r="F170" s="130"/>
      <c r="G170" s="130"/>
      <c r="H170" s="130"/>
      <c r="I170" s="130"/>
    </row>
    <row r="171" spans="1:24" s="43" customFormat="1" ht="17.100000000000001" customHeight="1">
      <c r="A171" s="111" t="s">
        <v>278</v>
      </c>
      <c r="B171" s="91"/>
      <c r="C171" s="92" t="s">
        <v>15</v>
      </c>
      <c r="D171" s="108">
        <v>150</v>
      </c>
      <c r="E171" s="94">
        <f t="shared" si="7"/>
        <v>0</v>
      </c>
      <c r="F171" s="130"/>
      <c r="G171" s="130"/>
      <c r="H171" s="130"/>
      <c r="I171" s="130"/>
    </row>
    <row r="172" spans="1:24" ht="10.5" customHeight="1">
      <c r="A172" s="70"/>
      <c r="B172" s="6"/>
      <c r="C172" s="5"/>
      <c r="D172" s="10"/>
      <c r="E172" s="61"/>
    </row>
    <row r="173" spans="1:24" ht="18" customHeight="1" thickBot="1">
      <c r="A173" s="119" t="s">
        <v>351</v>
      </c>
      <c r="B173" s="6"/>
      <c r="C173" s="5"/>
      <c r="D173" s="10"/>
      <c r="E173" s="61"/>
      <c r="F173" s="3"/>
      <c r="G173" s="3"/>
      <c r="H173" s="3"/>
      <c r="I173" s="3"/>
    </row>
    <row r="174" spans="1:24" ht="10.5" customHeight="1" thickTop="1">
      <c r="A174" s="70"/>
      <c r="B174" s="6"/>
      <c r="C174" s="5"/>
      <c r="D174" s="10"/>
      <c r="E174" s="61"/>
    </row>
    <row r="175" spans="1:24" ht="18" customHeight="1">
      <c r="A175" s="157" t="s">
        <v>118</v>
      </c>
      <c r="B175" s="8"/>
      <c r="C175" s="201"/>
      <c r="D175" s="202"/>
      <c r="E175" s="158"/>
    </row>
    <row r="176" spans="1:24" s="43" customFormat="1" ht="17.100000000000001" customHeight="1">
      <c r="A176" s="111" t="s">
        <v>119</v>
      </c>
      <c r="B176" s="91"/>
      <c r="C176" s="92" t="s">
        <v>15</v>
      </c>
      <c r="D176" s="108">
        <v>450</v>
      </c>
      <c r="E176" s="94">
        <f t="shared" ref="E176:E182" si="8">B176*D176</f>
        <v>0</v>
      </c>
      <c r="F176" s="130"/>
      <c r="G176" s="130"/>
      <c r="H176" s="130"/>
      <c r="I176" s="130"/>
    </row>
    <row r="177" spans="1:9" s="43" customFormat="1" ht="17.100000000000001" customHeight="1">
      <c r="A177" s="111" t="s">
        <v>282</v>
      </c>
      <c r="B177" s="91"/>
      <c r="C177" s="92" t="s">
        <v>15</v>
      </c>
      <c r="D177" s="108">
        <v>260</v>
      </c>
      <c r="E177" s="94">
        <f t="shared" si="8"/>
        <v>0</v>
      </c>
      <c r="F177" s="130"/>
      <c r="G177" s="130"/>
      <c r="H177" s="130"/>
      <c r="I177" s="130"/>
    </row>
    <row r="178" spans="1:9" s="43" customFormat="1" ht="17.100000000000001" customHeight="1">
      <c r="A178" s="111" t="s">
        <v>120</v>
      </c>
      <c r="B178" s="91"/>
      <c r="C178" s="92" t="s">
        <v>15</v>
      </c>
      <c r="D178" s="108">
        <v>400</v>
      </c>
      <c r="E178" s="94">
        <f t="shared" si="8"/>
        <v>0</v>
      </c>
      <c r="F178" s="130"/>
      <c r="G178" s="130"/>
      <c r="H178" s="130"/>
      <c r="I178" s="130"/>
    </row>
    <row r="179" spans="1:9" s="43" customFormat="1" ht="17.100000000000001" customHeight="1">
      <c r="A179" s="111" t="s">
        <v>121</v>
      </c>
      <c r="B179" s="91"/>
      <c r="C179" s="92" t="s">
        <v>14</v>
      </c>
      <c r="D179" s="108">
        <v>3</v>
      </c>
      <c r="E179" s="94">
        <f t="shared" si="8"/>
        <v>0</v>
      </c>
      <c r="F179" s="130"/>
      <c r="G179" s="130"/>
      <c r="H179" s="130"/>
      <c r="I179" s="130"/>
    </row>
    <row r="180" spans="1:9" s="43" customFormat="1" ht="17.100000000000001" customHeight="1">
      <c r="A180" s="120" t="s">
        <v>283</v>
      </c>
      <c r="B180" s="91"/>
      <c r="C180" s="92" t="s">
        <v>15</v>
      </c>
      <c r="D180" s="108">
        <v>6000</v>
      </c>
      <c r="E180" s="94">
        <f t="shared" si="8"/>
        <v>0</v>
      </c>
      <c r="F180" s="130"/>
      <c r="G180" s="130"/>
      <c r="H180" s="130"/>
      <c r="I180" s="130"/>
    </row>
    <row r="181" spans="1:9" s="43" customFormat="1" ht="17.100000000000001" customHeight="1">
      <c r="A181" s="120" t="s">
        <v>284</v>
      </c>
      <c r="B181" s="91"/>
      <c r="C181" s="92" t="s">
        <v>15</v>
      </c>
      <c r="D181" s="108">
        <v>6000</v>
      </c>
      <c r="E181" s="94">
        <f t="shared" si="8"/>
        <v>0</v>
      </c>
      <c r="F181" s="130"/>
      <c r="G181" s="130"/>
      <c r="H181" s="130"/>
      <c r="I181" s="130"/>
    </row>
    <row r="182" spans="1:9" s="43" customFormat="1" ht="17.100000000000001" customHeight="1">
      <c r="A182" s="143" t="s">
        <v>334</v>
      </c>
      <c r="B182" s="91"/>
      <c r="C182" s="92" t="s">
        <v>15</v>
      </c>
      <c r="D182" s="108">
        <v>400</v>
      </c>
      <c r="E182" s="94">
        <f t="shared" si="8"/>
        <v>0</v>
      </c>
      <c r="F182" s="130"/>
      <c r="G182" s="130"/>
      <c r="H182" s="130"/>
      <c r="I182" s="130"/>
    </row>
    <row r="183" spans="1:9" s="43" customFormat="1" ht="17.100000000000001" customHeight="1">
      <c r="A183" s="111" t="s">
        <v>218</v>
      </c>
      <c r="B183" s="91"/>
      <c r="C183" s="92"/>
      <c r="D183" s="125"/>
      <c r="E183" s="95"/>
      <c r="F183" s="130"/>
      <c r="G183" s="130"/>
      <c r="H183" s="130"/>
      <c r="I183" s="130"/>
    </row>
    <row r="184" spans="1:9" s="43" customFormat="1" ht="17.100000000000001" customHeight="1">
      <c r="A184" s="126" t="s">
        <v>220</v>
      </c>
      <c r="B184" s="91"/>
      <c r="C184" s="92" t="s">
        <v>14</v>
      </c>
      <c r="D184" s="108">
        <v>0.65</v>
      </c>
      <c r="E184" s="94">
        <f t="shared" ref="E184:E193" si="9">B184*D184</f>
        <v>0</v>
      </c>
      <c r="F184" s="130"/>
      <c r="G184" s="130"/>
      <c r="H184" s="130"/>
      <c r="I184" s="130"/>
    </row>
    <row r="185" spans="1:9" s="43" customFormat="1" ht="17.100000000000001" customHeight="1">
      <c r="A185" s="126" t="s">
        <v>221</v>
      </c>
      <c r="B185" s="91"/>
      <c r="C185" s="92" t="s">
        <v>14</v>
      </c>
      <c r="D185" s="108">
        <v>0.5</v>
      </c>
      <c r="E185" s="94">
        <f t="shared" si="9"/>
        <v>0</v>
      </c>
      <c r="F185" s="130"/>
      <c r="G185" s="130"/>
      <c r="H185" s="130"/>
      <c r="I185" s="130"/>
    </row>
    <row r="186" spans="1:9" s="43" customFormat="1" ht="17.100000000000001" customHeight="1">
      <c r="A186" s="111" t="s">
        <v>122</v>
      </c>
      <c r="B186" s="91"/>
      <c r="C186" s="92" t="s">
        <v>81</v>
      </c>
      <c r="D186" s="108">
        <v>105000</v>
      </c>
      <c r="E186" s="94">
        <f t="shared" si="9"/>
        <v>0</v>
      </c>
      <c r="F186" s="130"/>
      <c r="G186" s="130"/>
      <c r="H186" s="130"/>
      <c r="I186" s="130"/>
    </row>
    <row r="187" spans="1:9" s="43" customFormat="1" ht="17.100000000000001" customHeight="1">
      <c r="A187" s="111" t="s">
        <v>123</v>
      </c>
      <c r="B187" s="91"/>
      <c r="C187" s="92" t="s">
        <v>81</v>
      </c>
      <c r="D187" s="108">
        <v>115000</v>
      </c>
      <c r="E187" s="94">
        <f t="shared" si="9"/>
        <v>0</v>
      </c>
      <c r="F187" s="130"/>
      <c r="G187" s="130"/>
      <c r="H187" s="130"/>
      <c r="I187" s="130"/>
    </row>
    <row r="188" spans="1:9" s="43" customFormat="1" ht="17.100000000000001" customHeight="1">
      <c r="A188" s="111" t="s">
        <v>124</v>
      </c>
      <c r="B188" s="91"/>
      <c r="C188" s="92" t="s">
        <v>81</v>
      </c>
      <c r="D188" s="108">
        <v>120000</v>
      </c>
      <c r="E188" s="94">
        <f t="shared" si="9"/>
        <v>0</v>
      </c>
      <c r="F188" s="130"/>
      <c r="G188" s="130"/>
      <c r="H188" s="130"/>
      <c r="I188" s="130"/>
    </row>
    <row r="189" spans="1:9" s="43" customFormat="1" ht="17.100000000000001" customHeight="1">
      <c r="A189" s="111" t="s">
        <v>125</v>
      </c>
      <c r="B189" s="91"/>
      <c r="C189" s="92" t="s">
        <v>81</v>
      </c>
      <c r="D189" s="108">
        <v>130000</v>
      </c>
      <c r="E189" s="94">
        <f t="shared" si="9"/>
        <v>0</v>
      </c>
      <c r="F189" s="130"/>
      <c r="G189" s="130"/>
      <c r="H189" s="130"/>
      <c r="I189" s="130"/>
    </row>
    <row r="190" spans="1:9" s="43" customFormat="1" ht="17.100000000000001" customHeight="1">
      <c r="A190" s="111" t="s">
        <v>126</v>
      </c>
      <c r="B190" s="91"/>
      <c r="C190" s="92" t="s">
        <v>81</v>
      </c>
      <c r="D190" s="108">
        <v>140000</v>
      </c>
      <c r="E190" s="94">
        <f t="shared" si="9"/>
        <v>0</v>
      </c>
      <c r="F190" s="130"/>
      <c r="G190" s="130"/>
      <c r="H190" s="130"/>
      <c r="I190" s="130"/>
    </row>
    <row r="191" spans="1:9" s="43" customFormat="1" ht="17.100000000000001" customHeight="1">
      <c r="A191" s="111" t="s">
        <v>127</v>
      </c>
      <c r="B191" s="91"/>
      <c r="C191" s="92" t="s">
        <v>81</v>
      </c>
      <c r="D191" s="108">
        <v>230000</v>
      </c>
      <c r="E191" s="94">
        <f t="shared" si="9"/>
        <v>0</v>
      </c>
      <c r="F191" s="130"/>
      <c r="G191" s="130"/>
      <c r="H191" s="130"/>
      <c r="I191" s="130"/>
    </row>
    <row r="192" spans="1:9" s="43" customFormat="1" ht="17.100000000000001" customHeight="1">
      <c r="A192" s="111" t="s">
        <v>128</v>
      </c>
      <c r="B192" s="91"/>
      <c r="C192" s="92" t="s">
        <v>14</v>
      </c>
      <c r="D192" s="108">
        <v>15</v>
      </c>
      <c r="E192" s="94">
        <f t="shared" si="9"/>
        <v>0</v>
      </c>
      <c r="F192" s="130"/>
      <c r="G192" s="130"/>
      <c r="H192" s="130"/>
      <c r="I192" s="130"/>
    </row>
    <row r="193" spans="1:16" s="43" customFormat="1" ht="17.100000000000001" customHeight="1">
      <c r="A193" s="111" t="s">
        <v>198</v>
      </c>
      <c r="B193" s="91"/>
      <c r="C193" s="92" t="s">
        <v>129</v>
      </c>
      <c r="D193" s="108">
        <v>2000</v>
      </c>
      <c r="E193" s="94">
        <f t="shared" si="9"/>
        <v>0</v>
      </c>
      <c r="F193" s="130"/>
      <c r="G193" s="130"/>
      <c r="H193" s="130"/>
      <c r="I193" s="130"/>
    </row>
    <row r="194" spans="1:16" ht="12.75" customHeight="1">
      <c r="A194" s="70"/>
      <c r="B194" s="19"/>
      <c r="C194" s="58"/>
      <c r="D194" s="63"/>
      <c r="E194" s="59"/>
    </row>
    <row r="195" spans="1:16" ht="18" customHeight="1" thickBot="1">
      <c r="A195" s="119" t="s">
        <v>353</v>
      </c>
      <c r="B195" s="6"/>
      <c r="C195" s="5"/>
      <c r="D195" s="10"/>
      <c r="E195" s="61"/>
      <c r="F195" s="3"/>
      <c r="G195" s="3"/>
      <c r="H195" s="3"/>
      <c r="I195" s="3"/>
    </row>
    <row r="196" spans="1:16" ht="15.75" customHeight="1" thickTop="1">
      <c r="A196" s="70"/>
      <c r="B196" s="6"/>
      <c r="C196" s="5"/>
      <c r="D196" s="10"/>
      <c r="E196" s="61"/>
    </row>
    <row r="197" spans="1:16" ht="18" customHeight="1">
      <c r="A197" s="157" t="s">
        <v>130</v>
      </c>
      <c r="B197" s="8"/>
      <c r="C197" s="201"/>
      <c r="D197" s="202"/>
      <c r="E197" s="158"/>
    </row>
    <row r="198" spans="1:16" s="43" customFormat="1" ht="14.25">
      <c r="A198" s="100" t="s">
        <v>335</v>
      </c>
      <c r="B198" s="91"/>
      <c r="C198" s="92" t="s">
        <v>14</v>
      </c>
      <c r="D198" s="93">
        <v>1262</v>
      </c>
      <c r="E198" s="94">
        <f t="shared" ref="E198:E225" si="10">B198*D198</f>
        <v>0</v>
      </c>
      <c r="F198" s="130"/>
      <c r="G198" s="130"/>
      <c r="H198" s="130"/>
      <c r="I198" s="130"/>
      <c r="J198" s="104"/>
      <c r="K198" s="104"/>
      <c r="L198" s="104"/>
      <c r="M198" s="104"/>
      <c r="N198" s="104"/>
      <c r="O198" s="104"/>
      <c r="P198" s="104"/>
    </row>
    <row r="199" spans="1:16" s="43" customFormat="1" ht="17.100000000000001" customHeight="1">
      <c r="A199" s="165" t="s">
        <v>235</v>
      </c>
      <c r="B199" s="91"/>
      <c r="C199" s="92" t="s">
        <v>15</v>
      </c>
      <c r="D199" s="93">
        <v>3585</v>
      </c>
      <c r="E199" s="94">
        <f t="shared" si="10"/>
        <v>0</v>
      </c>
      <c r="F199" s="130"/>
      <c r="G199" s="130"/>
      <c r="H199" s="130"/>
      <c r="I199" s="130"/>
      <c r="J199" s="104"/>
      <c r="K199" s="104"/>
      <c r="L199" s="104"/>
      <c r="M199" s="104"/>
      <c r="N199" s="104"/>
      <c r="O199" s="104"/>
      <c r="P199" s="104"/>
    </row>
    <row r="200" spans="1:16" s="43" customFormat="1" ht="28.5" customHeight="1">
      <c r="A200" s="166" t="s">
        <v>236</v>
      </c>
      <c r="B200" s="91"/>
      <c r="C200" s="92" t="s">
        <v>15</v>
      </c>
      <c r="D200" s="93">
        <v>4407</v>
      </c>
      <c r="E200" s="94">
        <f t="shared" si="10"/>
        <v>0</v>
      </c>
      <c r="F200" s="130"/>
      <c r="G200" s="130"/>
      <c r="H200" s="130"/>
      <c r="I200" s="130"/>
      <c r="J200" s="104"/>
      <c r="K200" s="104"/>
      <c r="L200" s="104"/>
      <c r="M200" s="104"/>
      <c r="N200" s="104"/>
      <c r="O200" s="104"/>
      <c r="P200" s="104"/>
    </row>
    <row r="201" spans="1:16" s="43" customFormat="1" ht="17.100000000000001" customHeight="1">
      <c r="A201" s="164" t="s">
        <v>237</v>
      </c>
      <c r="B201" s="91"/>
      <c r="C201" s="92" t="s">
        <v>15</v>
      </c>
      <c r="D201" s="93">
        <v>5525</v>
      </c>
      <c r="E201" s="94">
        <f t="shared" si="10"/>
        <v>0</v>
      </c>
      <c r="F201" s="130"/>
      <c r="G201" s="130"/>
      <c r="H201" s="130"/>
      <c r="I201" s="130"/>
      <c r="J201" s="104"/>
      <c r="K201" s="104"/>
      <c r="L201" s="104"/>
      <c r="M201" s="104"/>
      <c r="N201" s="104"/>
      <c r="O201" s="104"/>
      <c r="P201" s="104"/>
    </row>
    <row r="202" spans="1:16" s="43" customFormat="1" ht="28.5" customHeight="1">
      <c r="A202" s="164" t="s">
        <v>238</v>
      </c>
      <c r="B202" s="91"/>
      <c r="C202" s="92" t="s">
        <v>15</v>
      </c>
      <c r="D202" s="93">
        <v>6347</v>
      </c>
      <c r="E202" s="94">
        <f t="shared" si="10"/>
        <v>0</v>
      </c>
      <c r="F202" s="130"/>
      <c r="G202" s="130"/>
      <c r="H202" s="130"/>
      <c r="I202" s="130"/>
      <c r="J202" s="104"/>
      <c r="K202" s="104"/>
      <c r="L202" s="104"/>
      <c r="M202" s="104"/>
      <c r="N202" s="104"/>
      <c r="O202" s="104"/>
      <c r="P202" s="104"/>
    </row>
    <row r="203" spans="1:16" s="43" customFormat="1" ht="17.100000000000001" customHeight="1">
      <c r="A203" s="164" t="s">
        <v>239</v>
      </c>
      <c r="B203" s="91"/>
      <c r="C203" s="92" t="s">
        <v>15</v>
      </c>
      <c r="D203" s="93">
        <v>3175</v>
      </c>
      <c r="E203" s="94">
        <f t="shared" si="10"/>
        <v>0</v>
      </c>
      <c r="F203" s="130"/>
      <c r="G203" s="130"/>
      <c r="H203" s="130"/>
      <c r="I203" s="130"/>
      <c r="J203" s="104"/>
      <c r="K203" s="104"/>
      <c r="L203" s="104"/>
      <c r="M203" s="104"/>
      <c r="N203" s="104"/>
      <c r="O203" s="104"/>
      <c r="P203" s="104"/>
    </row>
    <row r="204" spans="1:16" s="43" customFormat="1" ht="28.5">
      <c r="A204" s="164" t="s">
        <v>240</v>
      </c>
      <c r="B204" s="91"/>
      <c r="C204" s="92" t="s">
        <v>15</v>
      </c>
      <c r="D204" s="93">
        <v>4500</v>
      </c>
      <c r="E204" s="94">
        <f t="shared" si="10"/>
        <v>0</v>
      </c>
      <c r="F204" s="130"/>
      <c r="G204" s="130"/>
      <c r="H204" s="130"/>
      <c r="I204" s="130"/>
      <c r="J204" s="104"/>
      <c r="K204" s="104"/>
      <c r="L204" s="104"/>
      <c r="M204" s="104"/>
      <c r="N204" s="104"/>
      <c r="O204" s="104"/>
      <c r="P204" s="104"/>
    </row>
    <row r="205" spans="1:16" s="43" customFormat="1" ht="17.100000000000001" customHeight="1">
      <c r="A205" s="164" t="s">
        <v>241</v>
      </c>
      <c r="B205" s="91"/>
      <c r="C205" s="92" t="s">
        <v>15</v>
      </c>
      <c r="D205" s="93">
        <v>3997</v>
      </c>
      <c r="E205" s="94">
        <f t="shared" si="10"/>
        <v>0</v>
      </c>
      <c r="F205" s="130"/>
      <c r="G205" s="130"/>
      <c r="H205" s="130"/>
      <c r="I205" s="130"/>
      <c r="J205" s="104"/>
      <c r="K205" s="104"/>
      <c r="L205" s="104"/>
      <c r="M205" s="104"/>
      <c r="N205" s="104"/>
      <c r="O205" s="104"/>
      <c r="P205" s="104"/>
    </row>
    <row r="206" spans="1:16" ht="12.75" customHeight="1">
      <c r="A206" s="71"/>
      <c r="B206" s="19"/>
      <c r="C206" s="58"/>
      <c r="D206" s="63"/>
      <c r="E206" s="59"/>
    </row>
    <row r="207" spans="1:16" ht="18" customHeight="1" thickBot="1">
      <c r="A207" s="119" t="s">
        <v>389</v>
      </c>
      <c r="B207" s="6"/>
      <c r="C207" s="5"/>
      <c r="D207" s="10"/>
      <c r="E207" s="61"/>
      <c r="F207" s="3"/>
      <c r="G207" s="3"/>
      <c r="H207" s="3"/>
      <c r="I207" s="3"/>
    </row>
    <row r="208" spans="1:16" ht="15.75" customHeight="1" thickTop="1">
      <c r="A208" s="70"/>
      <c r="B208" s="6"/>
      <c r="C208" s="5"/>
      <c r="D208" s="10"/>
      <c r="E208" s="61"/>
    </row>
    <row r="209" spans="1:16" s="43" customFormat="1" ht="28.5">
      <c r="A209" s="164" t="s">
        <v>344</v>
      </c>
      <c r="B209" s="91"/>
      <c r="C209" s="92" t="s">
        <v>15</v>
      </c>
      <c r="D209" s="93">
        <v>5322</v>
      </c>
      <c r="E209" s="94">
        <f t="shared" si="10"/>
        <v>0</v>
      </c>
      <c r="F209" s="130"/>
      <c r="G209" s="130"/>
      <c r="H209" s="130"/>
      <c r="I209" s="130"/>
      <c r="J209" s="104"/>
      <c r="K209" s="104"/>
      <c r="L209" s="104"/>
      <c r="M209" s="104"/>
      <c r="N209" s="104"/>
      <c r="O209" s="104"/>
      <c r="P209" s="104"/>
    </row>
    <row r="210" spans="1:16" s="43" customFormat="1" ht="17.100000000000001" customHeight="1">
      <c r="A210" s="98" t="s">
        <v>178</v>
      </c>
      <c r="B210" s="91"/>
      <c r="C210" s="92" t="s">
        <v>15</v>
      </c>
      <c r="D210" s="93">
        <v>822.15</v>
      </c>
      <c r="E210" s="94">
        <f t="shared" si="10"/>
        <v>0</v>
      </c>
      <c r="F210" s="130"/>
      <c r="G210" s="130"/>
      <c r="H210" s="130"/>
      <c r="I210" s="130"/>
      <c r="J210" s="104"/>
      <c r="K210" s="104"/>
      <c r="L210" s="104"/>
      <c r="M210" s="104"/>
      <c r="N210" s="104"/>
      <c r="O210" s="104"/>
      <c r="P210" s="104"/>
    </row>
    <row r="211" spans="1:16" s="43" customFormat="1" ht="17.100000000000001" customHeight="1">
      <c r="A211" s="98" t="s">
        <v>132</v>
      </c>
      <c r="B211" s="91"/>
      <c r="C211" s="92" t="s">
        <v>15</v>
      </c>
      <c r="D211" s="93">
        <v>52.7</v>
      </c>
      <c r="E211" s="94">
        <f t="shared" si="10"/>
        <v>0</v>
      </c>
      <c r="F211" s="130"/>
      <c r="G211" s="130"/>
      <c r="H211" s="130"/>
      <c r="I211" s="130"/>
      <c r="J211" s="104"/>
      <c r="K211" s="104"/>
      <c r="L211" s="104"/>
      <c r="M211" s="104"/>
      <c r="N211" s="104"/>
      <c r="O211" s="104"/>
      <c r="P211" s="104"/>
    </row>
    <row r="212" spans="1:16" s="43" customFormat="1" ht="17.100000000000001" customHeight="1">
      <c r="A212" s="98" t="s">
        <v>133</v>
      </c>
      <c r="B212" s="91"/>
      <c r="C212" s="92" t="s">
        <v>15</v>
      </c>
      <c r="D212" s="93">
        <v>71.75</v>
      </c>
      <c r="E212" s="94">
        <f t="shared" si="10"/>
        <v>0</v>
      </c>
      <c r="F212" s="130"/>
      <c r="G212" s="130"/>
      <c r="H212" s="130"/>
      <c r="I212" s="130"/>
      <c r="J212" s="104"/>
      <c r="K212" s="104"/>
      <c r="L212" s="104"/>
      <c r="M212" s="104"/>
      <c r="N212" s="104"/>
      <c r="O212" s="104"/>
      <c r="P212" s="104"/>
    </row>
    <row r="213" spans="1:16" s="43" customFormat="1" ht="15" customHeight="1">
      <c r="A213" s="164" t="s">
        <v>345</v>
      </c>
      <c r="B213" s="91"/>
      <c r="C213" s="92" t="s">
        <v>15</v>
      </c>
      <c r="D213" s="93">
        <v>1335</v>
      </c>
      <c r="E213" s="94">
        <f t="shared" si="10"/>
        <v>0</v>
      </c>
      <c r="F213" s="130"/>
      <c r="G213" s="130"/>
      <c r="H213" s="130"/>
      <c r="I213" s="130"/>
      <c r="J213" s="104"/>
      <c r="K213" s="104"/>
      <c r="L213" s="104"/>
      <c r="M213" s="104"/>
      <c r="N213" s="104"/>
      <c r="O213" s="104"/>
      <c r="P213" s="104"/>
    </row>
    <row r="214" spans="1:16" s="43" customFormat="1" ht="15" customHeight="1">
      <c r="A214" s="164" t="s">
        <v>346</v>
      </c>
      <c r="B214" s="91"/>
      <c r="C214" s="92" t="s">
        <v>15</v>
      </c>
      <c r="D214" s="93">
        <v>2510</v>
      </c>
      <c r="E214" s="94">
        <f t="shared" si="10"/>
        <v>0</v>
      </c>
      <c r="F214" s="130"/>
      <c r="G214" s="130"/>
      <c r="H214" s="130"/>
      <c r="I214" s="130"/>
      <c r="J214" s="104"/>
      <c r="K214" s="104"/>
      <c r="L214" s="104"/>
      <c r="M214" s="104"/>
      <c r="N214" s="104"/>
      <c r="O214" s="104"/>
      <c r="P214" s="104"/>
    </row>
    <row r="215" spans="1:16" s="43" customFormat="1" ht="15" customHeight="1">
      <c r="A215" s="164" t="s">
        <v>347</v>
      </c>
      <c r="B215" s="91"/>
      <c r="C215" s="92" t="s">
        <v>15</v>
      </c>
      <c r="D215" s="93">
        <v>3685</v>
      </c>
      <c r="E215" s="94">
        <f t="shared" si="10"/>
        <v>0</v>
      </c>
      <c r="F215" s="130"/>
      <c r="G215" s="130"/>
      <c r="H215" s="130"/>
      <c r="I215" s="130"/>
      <c r="J215" s="104"/>
      <c r="K215" s="104"/>
      <c r="L215" s="104"/>
      <c r="M215" s="104"/>
      <c r="N215" s="104"/>
      <c r="O215" s="104"/>
      <c r="P215" s="104"/>
    </row>
    <row r="216" spans="1:16" s="43" customFormat="1" ht="15" customHeight="1">
      <c r="A216" s="100" t="s">
        <v>348</v>
      </c>
      <c r="B216" s="91"/>
      <c r="C216" s="92" t="s">
        <v>15</v>
      </c>
      <c r="D216" s="93">
        <v>1117</v>
      </c>
      <c r="E216" s="94">
        <f t="shared" si="10"/>
        <v>0</v>
      </c>
      <c r="F216" s="130"/>
      <c r="G216" s="130"/>
      <c r="H216" s="130"/>
      <c r="I216" s="130"/>
      <c r="J216" s="104"/>
      <c r="K216" s="104"/>
      <c r="L216" s="104"/>
      <c r="M216" s="104"/>
      <c r="N216" s="104"/>
      <c r="O216" s="104"/>
      <c r="P216" s="104"/>
    </row>
    <row r="217" spans="1:16" s="43" customFormat="1" ht="15" customHeight="1">
      <c r="A217" s="100" t="s">
        <v>349</v>
      </c>
      <c r="B217" s="91"/>
      <c r="C217" s="92" t="s">
        <v>15</v>
      </c>
      <c r="D217" s="93">
        <v>1700</v>
      </c>
      <c r="E217" s="94">
        <f t="shared" si="10"/>
        <v>0</v>
      </c>
      <c r="F217" s="130"/>
      <c r="G217" s="130"/>
      <c r="H217" s="130"/>
      <c r="I217" s="130"/>
      <c r="J217" s="104"/>
      <c r="K217" s="104"/>
      <c r="L217" s="104"/>
      <c r="M217" s="104"/>
      <c r="N217" s="104"/>
      <c r="O217" s="104"/>
      <c r="P217" s="104"/>
    </row>
    <row r="218" spans="1:16" s="43" customFormat="1" ht="17.100000000000001" customHeight="1">
      <c r="A218" s="98" t="s">
        <v>225</v>
      </c>
      <c r="B218" s="91"/>
      <c r="C218" s="92" t="s">
        <v>14</v>
      </c>
      <c r="D218" s="93">
        <v>72.2</v>
      </c>
      <c r="E218" s="94">
        <f t="shared" si="10"/>
        <v>0</v>
      </c>
      <c r="F218" s="130"/>
      <c r="G218" s="130"/>
      <c r="H218" s="130"/>
      <c r="I218" s="130"/>
      <c r="J218" s="104"/>
      <c r="K218" s="104"/>
      <c r="L218" s="104"/>
      <c r="M218" s="104"/>
      <c r="N218" s="104"/>
      <c r="O218" s="104"/>
      <c r="P218" s="104"/>
    </row>
    <row r="219" spans="1:16" s="43" customFormat="1" ht="17.100000000000001" customHeight="1">
      <c r="A219" s="98" t="s">
        <v>226</v>
      </c>
      <c r="B219" s="91"/>
      <c r="C219" s="92" t="s">
        <v>14</v>
      </c>
      <c r="D219" s="93">
        <v>79.900000000000006</v>
      </c>
      <c r="E219" s="94">
        <f t="shared" si="10"/>
        <v>0</v>
      </c>
      <c r="F219" s="130"/>
      <c r="G219" s="130"/>
      <c r="H219" s="130"/>
      <c r="I219" s="130"/>
      <c r="J219" s="104"/>
      <c r="K219" s="104"/>
      <c r="L219" s="104"/>
      <c r="M219" s="104"/>
      <c r="N219" s="104"/>
      <c r="O219" s="104"/>
      <c r="P219" s="104"/>
    </row>
    <row r="220" spans="1:16" s="43" customFormat="1" ht="17.100000000000001" customHeight="1">
      <c r="A220" s="98" t="s">
        <v>227</v>
      </c>
      <c r="B220" s="91"/>
      <c r="C220" s="92" t="s">
        <v>14</v>
      </c>
      <c r="D220" s="93">
        <v>88.65</v>
      </c>
      <c r="E220" s="94">
        <f t="shared" si="10"/>
        <v>0</v>
      </c>
      <c r="F220" s="130"/>
      <c r="G220" s="130"/>
      <c r="H220" s="130"/>
      <c r="I220" s="130"/>
      <c r="J220" s="104"/>
      <c r="K220" s="104"/>
      <c r="L220" s="104"/>
      <c r="M220" s="104"/>
      <c r="N220" s="104"/>
      <c r="O220" s="104"/>
      <c r="P220" s="104"/>
    </row>
    <row r="221" spans="1:16" s="43" customFormat="1" ht="17.100000000000001" customHeight="1">
      <c r="A221" s="98" t="s">
        <v>228</v>
      </c>
      <c r="B221" s="91"/>
      <c r="C221" s="92" t="s">
        <v>14</v>
      </c>
      <c r="D221" s="93">
        <v>97.9</v>
      </c>
      <c r="E221" s="94">
        <f t="shared" si="10"/>
        <v>0</v>
      </c>
      <c r="F221" s="130"/>
      <c r="G221" s="130"/>
      <c r="H221" s="130"/>
      <c r="I221" s="130"/>
      <c r="J221" s="104"/>
      <c r="K221" s="104"/>
      <c r="L221" s="104"/>
      <c r="M221" s="104"/>
      <c r="N221" s="104"/>
      <c r="O221" s="104"/>
      <c r="P221" s="104"/>
    </row>
    <row r="222" spans="1:16" s="43" customFormat="1" ht="17.100000000000001" customHeight="1">
      <c r="A222" s="98" t="s">
        <v>229</v>
      </c>
      <c r="B222" s="91"/>
      <c r="C222" s="92" t="s">
        <v>14</v>
      </c>
      <c r="D222" s="93">
        <v>108.05</v>
      </c>
      <c r="E222" s="94">
        <f t="shared" si="10"/>
        <v>0</v>
      </c>
      <c r="F222" s="130"/>
      <c r="G222" s="130"/>
      <c r="H222" s="130"/>
      <c r="I222" s="130"/>
      <c r="J222" s="104"/>
      <c r="K222" s="104"/>
      <c r="L222" s="104"/>
      <c r="M222" s="104"/>
      <c r="N222" s="104"/>
      <c r="O222" s="104"/>
      <c r="P222" s="104"/>
    </row>
    <row r="223" spans="1:16" s="43" customFormat="1" ht="17.100000000000001" customHeight="1">
      <c r="A223" s="98" t="s">
        <v>230</v>
      </c>
      <c r="B223" s="91"/>
      <c r="C223" s="92" t="s">
        <v>14</v>
      </c>
      <c r="D223" s="93">
        <v>117.25</v>
      </c>
      <c r="E223" s="94">
        <f t="shared" si="10"/>
        <v>0</v>
      </c>
      <c r="F223" s="130"/>
      <c r="G223" s="130"/>
      <c r="H223" s="130"/>
      <c r="I223" s="130"/>
      <c r="J223" s="104"/>
      <c r="K223" s="104"/>
      <c r="L223" s="104"/>
      <c r="M223" s="104"/>
      <c r="N223" s="104"/>
      <c r="O223" s="104"/>
      <c r="P223" s="104"/>
    </row>
    <row r="224" spans="1:16" s="43" customFormat="1" ht="17.100000000000001" customHeight="1">
      <c r="A224" s="98" t="s">
        <v>231</v>
      </c>
      <c r="B224" s="91"/>
      <c r="C224" s="92" t="s">
        <v>14</v>
      </c>
      <c r="D224" s="93">
        <v>124.9</v>
      </c>
      <c r="E224" s="94">
        <f t="shared" si="10"/>
        <v>0</v>
      </c>
      <c r="F224" s="130"/>
      <c r="G224" s="130"/>
      <c r="H224" s="130"/>
      <c r="I224" s="130"/>
      <c r="J224" s="104"/>
      <c r="K224" s="104"/>
      <c r="L224" s="104"/>
      <c r="M224" s="104"/>
      <c r="N224" s="104"/>
      <c r="O224" s="104"/>
      <c r="P224" s="104"/>
    </row>
    <row r="225" spans="1:16" s="43" customFormat="1" ht="17.100000000000001" customHeight="1">
      <c r="A225" s="98" t="s">
        <v>232</v>
      </c>
      <c r="B225" s="91"/>
      <c r="C225" s="92" t="s">
        <v>14</v>
      </c>
      <c r="D225" s="93">
        <v>133.1</v>
      </c>
      <c r="E225" s="94">
        <f t="shared" si="10"/>
        <v>0</v>
      </c>
      <c r="F225" s="130"/>
      <c r="G225" s="130"/>
      <c r="H225" s="130"/>
      <c r="I225" s="130"/>
      <c r="J225" s="104"/>
      <c r="K225" s="104"/>
      <c r="L225" s="104"/>
      <c r="M225" s="104"/>
      <c r="N225" s="104"/>
      <c r="O225" s="104"/>
      <c r="P225" s="104"/>
    </row>
    <row r="226" spans="1:16" s="43" customFormat="1" ht="17.100000000000001" customHeight="1">
      <c r="A226" s="111" t="s">
        <v>251</v>
      </c>
      <c r="B226" s="91"/>
      <c r="C226" s="92" t="s">
        <v>14</v>
      </c>
      <c r="D226" s="108">
        <v>97.5</v>
      </c>
      <c r="E226" s="94">
        <f>B226*D226</f>
        <v>0</v>
      </c>
      <c r="F226" s="130"/>
      <c r="G226" s="130"/>
      <c r="H226" s="130"/>
      <c r="I226" s="130"/>
    </row>
    <row r="227" spans="1:16" s="43" customFormat="1" ht="17.100000000000001" customHeight="1">
      <c r="A227" s="111" t="s">
        <v>242</v>
      </c>
      <c r="B227" s="91"/>
      <c r="C227" s="92" t="s">
        <v>14</v>
      </c>
      <c r="D227" s="108">
        <v>125</v>
      </c>
      <c r="E227" s="94">
        <f>B227*D227</f>
        <v>0</v>
      </c>
      <c r="F227" s="130"/>
      <c r="G227" s="130"/>
      <c r="H227" s="130"/>
      <c r="I227" s="130"/>
    </row>
    <row r="228" spans="1:16" s="43" customFormat="1" ht="17.100000000000001" customHeight="1">
      <c r="A228" s="111" t="s">
        <v>243</v>
      </c>
      <c r="B228" s="91"/>
      <c r="C228" s="92" t="s">
        <v>14</v>
      </c>
      <c r="D228" s="108">
        <v>142</v>
      </c>
      <c r="E228" s="94">
        <f>B228*D228</f>
        <v>0</v>
      </c>
      <c r="F228" s="130"/>
      <c r="G228" s="130"/>
      <c r="H228" s="130"/>
      <c r="I228" s="130"/>
    </row>
    <row r="229" spans="1:16" s="43" customFormat="1" ht="17.100000000000001" customHeight="1">
      <c r="A229" s="111" t="s">
        <v>244</v>
      </c>
      <c r="B229" s="91"/>
      <c r="C229" s="92" t="s">
        <v>14</v>
      </c>
      <c r="D229" s="108">
        <v>161</v>
      </c>
      <c r="E229" s="94">
        <f>B229*D229</f>
        <v>0</v>
      </c>
      <c r="F229" s="130"/>
      <c r="G229" s="130"/>
      <c r="H229" s="130"/>
      <c r="I229" s="130"/>
    </row>
    <row r="230" spans="1:16" s="43" customFormat="1" ht="17.100000000000001" customHeight="1">
      <c r="A230" s="111" t="s">
        <v>245</v>
      </c>
      <c r="B230" s="91"/>
      <c r="C230" s="92" t="s">
        <v>14</v>
      </c>
      <c r="D230" s="108">
        <v>187</v>
      </c>
      <c r="E230" s="94">
        <f t="shared" ref="E230:E238" si="11">B230*D230</f>
        <v>0</v>
      </c>
      <c r="F230" s="130"/>
      <c r="G230" s="130"/>
      <c r="H230" s="130"/>
      <c r="I230" s="130"/>
    </row>
    <row r="231" spans="1:16" s="43" customFormat="1" ht="17.100000000000001" customHeight="1">
      <c r="A231" s="111" t="s">
        <v>246</v>
      </c>
      <c r="B231" s="91"/>
      <c r="C231" s="92" t="s">
        <v>14</v>
      </c>
      <c r="D231" s="108">
        <v>198</v>
      </c>
      <c r="E231" s="94">
        <f t="shared" si="11"/>
        <v>0</v>
      </c>
      <c r="F231" s="130"/>
      <c r="G231" s="130"/>
      <c r="H231" s="130"/>
      <c r="I231" s="130"/>
    </row>
    <row r="232" spans="1:16" s="43" customFormat="1" ht="17.100000000000001" customHeight="1">
      <c r="A232" s="111" t="s">
        <v>247</v>
      </c>
      <c r="B232" s="91"/>
      <c r="C232" s="92" t="s">
        <v>14</v>
      </c>
      <c r="D232" s="108">
        <v>212</v>
      </c>
      <c r="E232" s="94">
        <f t="shared" si="11"/>
        <v>0</v>
      </c>
      <c r="F232" s="130"/>
      <c r="G232" s="130"/>
      <c r="H232" s="130"/>
      <c r="I232" s="130"/>
    </row>
    <row r="233" spans="1:16" s="43" customFormat="1" ht="17.100000000000001" customHeight="1">
      <c r="A233" s="111" t="s">
        <v>248</v>
      </c>
      <c r="B233" s="91"/>
      <c r="C233" s="92" t="s">
        <v>14</v>
      </c>
      <c r="D233" s="108">
        <v>225</v>
      </c>
      <c r="E233" s="94">
        <f t="shared" si="11"/>
        <v>0</v>
      </c>
      <c r="F233" s="130"/>
      <c r="G233" s="130"/>
      <c r="H233" s="130"/>
      <c r="I233" s="130"/>
    </row>
    <row r="234" spans="1:16" s="43" customFormat="1" ht="17.100000000000001" customHeight="1">
      <c r="A234" s="111" t="s">
        <v>249</v>
      </c>
      <c r="B234" s="91"/>
      <c r="C234" s="92" t="s">
        <v>14</v>
      </c>
      <c r="D234" s="108">
        <v>259</v>
      </c>
      <c r="E234" s="94">
        <f t="shared" si="11"/>
        <v>0</v>
      </c>
      <c r="F234" s="130"/>
      <c r="G234" s="130"/>
      <c r="H234" s="130"/>
      <c r="I234" s="130"/>
    </row>
    <row r="235" spans="1:16" s="43" customFormat="1" ht="17.100000000000001" customHeight="1">
      <c r="A235" s="111" t="s">
        <v>250</v>
      </c>
      <c r="B235" s="91"/>
      <c r="C235" s="92" t="s">
        <v>14</v>
      </c>
      <c r="D235" s="108">
        <v>286</v>
      </c>
      <c r="E235" s="94">
        <f t="shared" si="11"/>
        <v>0</v>
      </c>
      <c r="F235" s="130"/>
      <c r="G235" s="130"/>
      <c r="H235" s="130"/>
      <c r="I235" s="130"/>
    </row>
    <row r="236" spans="1:16" s="43" customFormat="1" ht="17.100000000000001" customHeight="1">
      <c r="A236" s="111" t="s">
        <v>134</v>
      </c>
      <c r="B236" s="91"/>
      <c r="C236" s="92" t="s">
        <v>14</v>
      </c>
      <c r="D236" s="108">
        <v>313</v>
      </c>
      <c r="E236" s="94">
        <f t="shared" si="11"/>
        <v>0</v>
      </c>
      <c r="F236" s="130"/>
      <c r="G236" s="130"/>
      <c r="H236" s="130"/>
      <c r="I236" s="130"/>
    </row>
    <row r="237" spans="1:16" s="43" customFormat="1" ht="17.100000000000001" customHeight="1">
      <c r="A237" s="111" t="s">
        <v>135</v>
      </c>
      <c r="B237" s="91"/>
      <c r="C237" s="92" t="s">
        <v>14</v>
      </c>
      <c r="D237" s="108">
        <v>360</v>
      </c>
      <c r="E237" s="94">
        <f t="shared" si="11"/>
        <v>0</v>
      </c>
      <c r="F237" s="130"/>
      <c r="G237" s="130"/>
      <c r="H237" s="130"/>
      <c r="I237" s="130"/>
    </row>
    <row r="238" spans="1:16" s="43" customFormat="1" ht="17.100000000000001" customHeight="1">
      <c r="A238" s="111" t="s">
        <v>136</v>
      </c>
      <c r="B238" s="91"/>
      <c r="C238" s="92" t="s">
        <v>15</v>
      </c>
      <c r="D238" s="108">
        <v>250000</v>
      </c>
      <c r="E238" s="94">
        <f t="shared" si="11"/>
        <v>0</v>
      </c>
      <c r="F238" s="130"/>
      <c r="G238" s="130"/>
      <c r="H238" s="130"/>
      <c r="I238" s="130"/>
    </row>
    <row r="239" spans="1:16" ht="18" customHeight="1">
      <c r="A239" s="70"/>
      <c r="B239" s="19"/>
      <c r="C239" s="58"/>
      <c r="D239" s="63"/>
      <c r="E239" s="59"/>
    </row>
    <row r="240" spans="1:16" ht="18" customHeight="1">
      <c r="A240" s="119" t="s">
        <v>355</v>
      </c>
      <c r="B240" s="6"/>
      <c r="C240" s="5"/>
      <c r="D240" s="10"/>
      <c r="E240" s="61"/>
    </row>
    <row r="241" spans="1:12" ht="18" customHeight="1">
      <c r="A241" s="70"/>
      <c r="B241" s="6"/>
      <c r="C241" s="5"/>
      <c r="D241" s="10"/>
      <c r="E241" s="61"/>
    </row>
    <row r="242" spans="1:12" ht="18" customHeight="1">
      <c r="A242" s="157" t="s">
        <v>137</v>
      </c>
      <c r="B242" s="8"/>
      <c r="C242" s="201"/>
      <c r="D242" s="202"/>
      <c r="E242" s="158"/>
    </row>
    <row r="243" spans="1:12" s="43" customFormat="1" ht="17.100000000000001" customHeight="1">
      <c r="A243" s="143" t="s">
        <v>311</v>
      </c>
      <c r="B243" s="91"/>
      <c r="C243" s="92" t="s">
        <v>15</v>
      </c>
      <c r="D243" s="108">
        <v>2200</v>
      </c>
      <c r="E243" s="94">
        <f t="shared" ref="E243:E248" si="12">B243*D243</f>
        <v>0</v>
      </c>
      <c r="F243" s="130"/>
      <c r="G243" s="130"/>
      <c r="H243" s="130"/>
      <c r="I243" s="130"/>
    </row>
    <row r="244" spans="1:12" s="43" customFormat="1" ht="17.100000000000001" customHeight="1">
      <c r="A244" s="141" t="s">
        <v>281</v>
      </c>
      <c r="B244" s="91"/>
      <c r="C244" s="92" t="s">
        <v>15</v>
      </c>
      <c r="D244" s="108">
        <v>1875</v>
      </c>
      <c r="E244" s="94">
        <f t="shared" si="12"/>
        <v>0</v>
      </c>
      <c r="F244" s="130"/>
      <c r="G244" s="130"/>
      <c r="H244" s="130"/>
      <c r="I244" s="130"/>
    </row>
    <row r="245" spans="1:12" s="43" customFormat="1" ht="17.100000000000001" customHeight="1">
      <c r="A245" s="143" t="s">
        <v>138</v>
      </c>
      <c r="B245" s="91"/>
      <c r="C245" s="92" t="s">
        <v>15</v>
      </c>
      <c r="D245" s="108">
        <v>2200</v>
      </c>
      <c r="E245" s="94">
        <f t="shared" si="12"/>
        <v>0</v>
      </c>
      <c r="F245" s="130"/>
      <c r="G245" s="130"/>
      <c r="H245" s="130"/>
      <c r="I245" s="130"/>
    </row>
    <row r="246" spans="1:12" s="43" customFormat="1" ht="17.100000000000001" customHeight="1">
      <c r="A246" s="143" t="s">
        <v>312</v>
      </c>
      <c r="B246" s="91"/>
      <c r="C246" s="92" t="s">
        <v>15</v>
      </c>
      <c r="D246" s="108">
        <v>3500</v>
      </c>
      <c r="E246" s="94">
        <f t="shared" si="12"/>
        <v>0</v>
      </c>
      <c r="F246" s="130"/>
      <c r="G246" s="130"/>
      <c r="H246" s="130"/>
      <c r="I246" s="130"/>
    </row>
    <row r="247" spans="1:12" s="43" customFormat="1" ht="17.100000000000001" customHeight="1">
      <c r="A247" s="143" t="s">
        <v>313</v>
      </c>
      <c r="B247" s="91"/>
      <c r="C247" s="92" t="s">
        <v>15</v>
      </c>
      <c r="D247" s="108">
        <v>4000</v>
      </c>
      <c r="E247" s="94">
        <f t="shared" si="12"/>
        <v>0</v>
      </c>
      <c r="F247" s="130"/>
      <c r="G247" s="130"/>
      <c r="H247" s="130"/>
      <c r="I247" s="130"/>
    </row>
    <row r="248" spans="1:12" s="43" customFormat="1" ht="17.100000000000001" customHeight="1">
      <c r="A248" s="143" t="s">
        <v>314</v>
      </c>
      <c r="B248" s="91"/>
      <c r="C248" s="92" t="s">
        <v>1</v>
      </c>
      <c r="D248" s="108">
        <v>175</v>
      </c>
      <c r="E248" s="94">
        <f t="shared" si="12"/>
        <v>0</v>
      </c>
      <c r="F248" s="130"/>
      <c r="G248" s="130"/>
      <c r="H248" s="130"/>
      <c r="I248" s="130"/>
    </row>
    <row r="249" spans="1:12" ht="18" customHeight="1">
      <c r="A249" s="71"/>
      <c r="B249" s="19"/>
      <c r="C249" s="58"/>
      <c r="D249" s="63"/>
      <c r="E249" s="59"/>
    </row>
    <row r="250" spans="1:12" s="6" customFormat="1" ht="18" customHeight="1">
      <c r="A250" s="197" t="s">
        <v>139</v>
      </c>
      <c r="B250" s="18"/>
      <c r="C250" s="198"/>
      <c r="D250" s="199"/>
      <c r="E250" s="200"/>
      <c r="F250" s="1"/>
      <c r="G250" s="1"/>
      <c r="H250" s="1"/>
      <c r="I250" s="1"/>
      <c r="J250" s="1"/>
      <c r="K250" s="1"/>
      <c r="L250" s="1"/>
    </row>
    <row r="251" spans="1:12" s="104" customFormat="1" ht="17.100000000000001" customHeight="1">
      <c r="A251" s="111" t="s">
        <v>140</v>
      </c>
      <c r="B251" s="91"/>
      <c r="C251" s="92" t="s">
        <v>15</v>
      </c>
      <c r="D251" s="108">
        <v>550</v>
      </c>
      <c r="E251" s="94">
        <f t="shared" ref="E251:E258" si="13">B251*D251</f>
        <v>0</v>
      </c>
      <c r="F251" s="130"/>
      <c r="G251" s="130"/>
      <c r="H251" s="130"/>
      <c r="I251" s="130"/>
      <c r="J251" s="43"/>
      <c r="K251" s="43"/>
      <c r="L251" s="43"/>
    </row>
    <row r="252" spans="1:12" s="104" customFormat="1" ht="17.100000000000001" customHeight="1">
      <c r="A252" s="111" t="s">
        <v>141</v>
      </c>
      <c r="B252" s="91"/>
      <c r="C252" s="92" t="s">
        <v>15</v>
      </c>
      <c r="D252" s="108">
        <v>1000</v>
      </c>
      <c r="E252" s="94">
        <f t="shared" si="13"/>
        <v>0</v>
      </c>
      <c r="F252" s="130"/>
      <c r="G252" s="130"/>
      <c r="H252" s="130"/>
      <c r="I252" s="130"/>
      <c r="J252" s="43"/>
      <c r="K252" s="43"/>
      <c r="L252" s="43"/>
    </row>
    <row r="253" spans="1:12" s="104" customFormat="1" ht="17.100000000000001" customHeight="1">
      <c r="A253" s="111" t="s">
        <v>142</v>
      </c>
      <c r="B253" s="91"/>
      <c r="C253" s="92" t="s">
        <v>15</v>
      </c>
      <c r="D253" s="108">
        <v>1800</v>
      </c>
      <c r="E253" s="94">
        <f t="shared" si="13"/>
        <v>0</v>
      </c>
      <c r="F253" s="130"/>
      <c r="G253" s="130"/>
      <c r="H253" s="130"/>
      <c r="I253" s="130"/>
      <c r="J253" s="43"/>
      <c r="K253" s="43"/>
      <c r="L253" s="43"/>
    </row>
    <row r="254" spans="1:12" s="104" customFormat="1" ht="17.100000000000001" customHeight="1">
      <c r="A254" s="111" t="s">
        <v>143</v>
      </c>
      <c r="B254" s="91"/>
      <c r="C254" s="92" t="s">
        <v>15</v>
      </c>
      <c r="D254" s="108">
        <v>2850</v>
      </c>
      <c r="E254" s="94">
        <f t="shared" si="13"/>
        <v>0</v>
      </c>
      <c r="F254" s="130"/>
      <c r="G254" s="130"/>
      <c r="H254" s="130"/>
      <c r="I254" s="130"/>
      <c r="J254" s="43"/>
      <c r="K254" s="43"/>
      <c r="L254" s="43"/>
    </row>
    <row r="255" spans="1:12" s="104" customFormat="1" ht="17.100000000000001" customHeight="1">
      <c r="A255" s="111" t="s">
        <v>144</v>
      </c>
      <c r="B255" s="91"/>
      <c r="C255" s="92" t="s">
        <v>15</v>
      </c>
      <c r="D255" s="108">
        <v>3700</v>
      </c>
      <c r="E255" s="94">
        <f t="shared" si="13"/>
        <v>0</v>
      </c>
      <c r="F255" s="130"/>
      <c r="G255" s="130"/>
      <c r="H255" s="130"/>
      <c r="I255" s="130"/>
      <c r="J255" s="43"/>
      <c r="K255" s="43"/>
      <c r="L255" s="43"/>
    </row>
    <row r="256" spans="1:12" s="104" customFormat="1" ht="17.100000000000001" customHeight="1">
      <c r="A256" s="111" t="s">
        <v>145</v>
      </c>
      <c r="B256" s="91"/>
      <c r="C256" s="92" t="s">
        <v>15</v>
      </c>
      <c r="D256" s="108">
        <v>4650</v>
      </c>
      <c r="E256" s="94">
        <f t="shared" si="13"/>
        <v>0</v>
      </c>
      <c r="F256" s="130"/>
      <c r="G256" s="130"/>
      <c r="H256" s="130"/>
      <c r="I256" s="130"/>
      <c r="J256" s="43"/>
      <c r="K256" s="43"/>
      <c r="L256" s="43"/>
    </row>
    <row r="257" spans="1:12" s="104" customFormat="1" ht="17.100000000000001" customHeight="1">
      <c r="A257" s="111" t="s">
        <v>146</v>
      </c>
      <c r="B257" s="91"/>
      <c r="C257" s="92" t="s">
        <v>15</v>
      </c>
      <c r="D257" s="108">
        <v>5900</v>
      </c>
      <c r="E257" s="94">
        <f t="shared" si="13"/>
        <v>0</v>
      </c>
      <c r="F257" s="130"/>
      <c r="G257" s="130"/>
      <c r="H257" s="130"/>
      <c r="I257" s="130"/>
      <c r="J257" s="43"/>
      <c r="K257" s="43"/>
      <c r="L257" s="43"/>
    </row>
    <row r="258" spans="1:12" s="104" customFormat="1" ht="17.100000000000001" customHeight="1">
      <c r="A258" s="111" t="s">
        <v>147</v>
      </c>
      <c r="B258" s="91"/>
      <c r="C258" s="92" t="s">
        <v>15</v>
      </c>
      <c r="D258" s="108">
        <v>9820</v>
      </c>
      <c r="E258" s="94">
        <f t="shared" si="13"/>
        <v>0</v>
      </c>
      <c r="F258" s="130"/>
      <c r="G258" s="130"/>
      <c r="H258" s="130"/>
      <c r="I258" s="130"/>
      <c r="J258" s="43"/>
      <c r="K258" s="43"/>
      <c r="L258" s="43"/>
    </row>
    <row r="259" spans="1:12" s="6" customFormat="1" ht="18" customHeight="1">
      <c r="A259" s="70"/>
      <c r="B259" s="19"/>
      <c r="C259" s="58"/>
      <c r="D259" s="63"/>
      <c r="E259" s="59"/>
      <c r="F259" s="1"/>
      <c r="G259" s="1"/>
      <c r="H259" s="1"/>
      <c r="I259" s="1"/>
      <c r="J259" s="1"/>
      <c r="K259" s="1"/>
      <c r="L259" s="1"/>
    </row>
    <row r="260" spans="1:12" s="6" customFormat="1" ht="18" customHeight="1">
      <c r="A260" s="157" t="s">
        <v>336</v>
      </c>
      <c r="B260" s="8"/>
      <c r="C260" s="201"/>
      <c r="D260" s="202"/>
      <c r="E260" s="158"/>
      <c r="F260" s="1"/>
      <c r="G260" s="1"/>
      <c r="H260" s="1"/>
      <c r="I260" s="1"/>
      <c r="J260" s="1"/>
      <c r="K260" s="1"/>
      <c r="L260" s="1"/>
    </row>
    <row r="261" spans="1:12" s="43" customFormat="1" ht="17.100000000000001" customHeight="1">
      <c r="A261" s="143" t="s">
        <v>317</v>
      </c>
      <c r="B261" s="91"/>
      <c r="C261" s="92" t="s">
        <v>14</v>
      </c>
      <c r="D261" s="108">
        <v>58</v>
      </c>
      <c r="E261" s="94">
        <f t="shared" ref="E261:E265" si="14">B261*D261</f>
        <v>0</v>
      </c>
      <c r="F261" s="130"/>
      <c r="G261" s="130"/>
      <c r="H261" s="130"/>
      <c r="I261" s="130"/>
    </row>
    <row r="262" spans="1:12" s="43" customFormat="1" ht="17.100000000000001" customHeight="1">
      <c r="A262" s="143" t="s">
        <v>318</v>
      </c>
      <c r="B262" s="91"/>
      <c r="C262" s="92" t="s">
        <v>14</v>
      </c>
      <c r="D262" s="108">
        <v>63</v>
      </c>
      <c r="E262" s="94">
        <f t="shared" si="14"/>
        <v>0</v>
      </c>
      <c r="F262" s="130"/>
      <c r="G262" s="130"/>
      <c r="H262" s="130"/>
      <c r="I262" s="130"/>
    </row>
    <row r="263" spans="1:12" s="43" customFormat="1" ht="17.100000000000001" customHeight="1">
      <c r="A263" s="143" t="s">
        <v>319</v>
      </c>
      <c r="B263" s="91"/>
      <c r="C263" s="92" t="s">
        <v>14</v>
      </c>
      <c r="D263" s="108">
        <v>70</v>
      </c>
      <c r="E263" s="94">
        <f t="shared" si="14"/>
        <v>0</v>
      </c>
      <c r="F263" s="130"/>
      <c r="G263" s="130"/>
      <c r="H263" s="130"/>
      <c r="I263" s="130"/>
    </row>
    <row r="264" spans="1:12" s="43" customFormat="1" ht="17.100000000000001" customHeight="1">
      <c r="A264" s="143" t="s">
        <v>320</v>
      </c>
      <c r="B264" s="91"/>
      <c r="C264" s="92" t="s">
        <v>14</v>
      </c>
      <c r="D264" s="108">
        <v>89</v>
      </c>
      <c r="E264" s="94">
        <f t="shared" si="14"/>
        <v>0</v>
      </c>
      <c r="F264" s="130"/>
      <c r="G264" s="130"/>
      <c r="H264" s="130"/>
      <c r="I264" s="130"/>
    </row>
    <row r="265" spans="1:12" s="43" customFormat="1" ht="17.100000000000001" customHeight="1">
      <c r="A265" s="143" t="s">
        <v>337</v>
      </c>
      <c r="B265" s="91"/>
      <c r="C265" s="92" t="s">
        <v>14</v>
      </c>
      <c r="D265" s="108">
        <v>100</v>
      </c>
      <c r="E265" s="94">
        <f t="shared" si="14"/>
        <v>0</v>
      </c>
      <c r="F265" s="130"/>
      <c r="G265" s="130"/>
      <c r="H265" s="130"/>
      <c r="I265" s="130"/>
    </row>
    <row r="266" spans="1:12" ht="18" customHeight="1">
      <c r="A266" s="71"/>
      <c r="B266" s="19"/>
      <c r="C266" s="58"/>
      <c r="D266" s="20"/>
      <c r="E266" s="60"/>
      <c r="F266" s="19"/>
      <c r="G266" s="19"/>
      <c r="H266" s="19"/>
      <c r="I266" s="19"/>
    </row>
    <row r="267" spans="1:12" ht="18" customHeight="1">
      <c r="A267" s="157" t="s">
        <v>180</v>
      </c>
      <c r="B267" s="8"/>
      <c r="C267" s="201"/>
      <c r="D267" s="202"/>
      <c r="E267" s="158"/>
      <c r="F267" s="18"/>
      <c r="G267" s="18"/>
      <c r="H267" s="18"/>
      <c r="I267" s="18"/>
    </row>
    <row r="268" spans="1:12" s="177" customFormat="1" ht="17.100000000000001" customHeight="1">
      <c r="A268" s="124" t="s">
        <v>338</v>
      </c>
      <c r="B268" s="173"/>
      <c r="C268" s="99" t="s">
        <v>15</v>
      </c>
      <c r="D268" s="174">
        <v>2267</v>
      </c>
      <c r="E268" s="175">
        <f t="shared" ref="E268:E269" si="15">B268*D268</f>
        <v>0</v>
      </c>
      <c r="F268" s="176"/>
      <c r="G268" s="176"/>
      <c r="H268" s="176"/>
      <c r="I268" s="176"/>
    </row>
    <row r="269" spans="1:12" s="177" customFormat="1" ht="17.100000000000001" customHeight="1">
      <c r="A269" s="124" t="s">
        <v>339</v>
      </c>
      <c r="B269" s="173"/>
      <c r="C269" s="99" t="s">
        <v>15</v>
      </c>
      <c r="D269" s="174">
        <v>3183</v>
      </c>
      <c r="E269" s="175">
        <f t="shared" si="15"/>
        <v>0</v>
      </c>
      <c r="F269" s="178"/>
      <c r="G269" s="178"/>
      <c r="H269" s="178"/>
      <c r="I269" s="178"/>
    </row>
    <row r="270" spans="1:12" s="172" customFormat="1" ht="18" customHeight="1">
      <c r="A270" s="179"/>
      <c r="B270" s="180"/>
      <c r="C270" s="181"/>
      <c r="D270" s="182" t="s">
        <v>215</v>
      </c>
      <c r="E270" s="191">
        <f>SUM(E10:E269)</f>
        <v>0</v>
      </c>
    </row>
    <row r="271" spans="1:12" s="172" customFormat="1" ht="18" customHeight="1">
      <c r="A271" s="183"/>
      <c r="B271" s="184"/>
      <c r="C271" s="185"/>
      <c r="D271" s="186"/>
      <c r="E271" s="192"/>
    </row>
    <row r="272" spans="1:12" s="172" customFormat="1" ht="18" customHeight="1" thickBot="1">
      <c r="A272" s="187"/>
      <c r="B272" s="184"/>
      <c r="C272" s="185"/>
      <c r="D272" s="188" t="s">
        <v>216</v>
      </c>
      <c r="E272" s="193">
        <f>SUM(E270*0.15)</f>
        <v>0</v>
      </c>
      <c r="F272" s="189"/>
      <c r="G272" s="189"/>
      <c r="H272" s="189"/>
      <c r="I272" s="189"/>
    </row>
    <row r="273" spans="1:9" s="172" customFormat="1" ht="18" customHeight="1" thickTop="1">
      <c r="A273" s="183"/>
      <c r="B273" s="184"/>
      <c r="C273" s="185"/>
      <c r="D273" s="186"/>
      <c r="E273" s="192"/>
    </row>
    <row r="274" spans="1:9" s="172" customFormat="1" ht="18" customHeight="1">
      <c r="A274" s="183"/>
      <c r="B274" s="184"/>
      <c r="C274" s="185"/>
      <c r="D274" s="188" t="s">
        <v>385</v>
      </c>
      <c r="E274" s="190">
        <f>SUM(E270:E272)</f>
        <v>0</v>
      </c>
      <c r="F274" s="171"/>
      <c r="G274" s="171"/>
      <c r="H274" s="171"/>
      <c r="I274" s="171"/>
    </row>
    <row r="275" spans="1:9" s="172" customFormat="1">
      <c r="A275" s="183"/>
      <c r="B275" s="184"/>
      <c r="C275" s="185"/>
      <c r="D275" s="184"/>
      <c r="E275" s="203"/>
      <c r="F275" s="171"/>
      <c r="G275" s="171"/>
      <c r="H275" s="171"/>
      <c r="I275" s="171"/>
    </row>
    <row r="276" spans="1:9">
      <c r="A276" s="70"/>
      <c r="B276" s="6"/>
      <c r="C276" s="5"/>
      <c r="D276" s="6"/>
      <c r="E276" s="62"/>
      <c r="F276" s="8"/>
      <c r="G276" s="8"/>
      <c r="H276" s="8"/>
      <c r="I276" s="8"/>
    </row>
    <row r="277" spans="1:9">
      <c r="A277" s="70"/>
      <c r="B277" s="6"/>
      <c r="C277" s="5"/>
      <c r="D277" s="6"/>
      <c r="E277" s="62"/>
      <c r="F277" s="8"/>
      <c r="G277" s="8"/>
      <c r="H277" s="8"/>
      <c r="I277" s="8"/>
    </row>
    <row r="278" spans="1:9">
      <c r="A278" s="73"/>
      <c r="B278" s="6"/>
      <c r="C278" s="5"/>
      <c r="D278" s="6"/>
      <c r="E278" s="62"/>
    </row>
    <row r="279" spans="1:9">
      <c r="A279" s="74"/>
      <c r="B279" s="6"/>
      <c r="C279" s="5"/>
      <c r="D279" s="6"/>
      <c r="E279" s="62"/>
    </row>
    <row r="280" spans="1:9">
      <c r="A280" s="74"/>
      <c r="B280" s="6"/>
      <c r="C280" s="5"/>
      <c r="D280" s="6"/>
      <c r="E280" s="62"/>
    </row>
    <row r="281" spans="1:9">
      <c r="A281" s="70"/>
      <c r="B281" s="6"/>
      <c r="C281" s="5"/>
      <c r="D281" s="6"/>
      <c r="E281" s="62"/>
    </row>
    <row r="282" spans="1:9">
      <c r="A282" s="70"/>
      <c r="B282" s="6"/>
      <c r="C282" s="5"/>
      <c r="D282" s="6"/>
      <c r="E282" s="62"/>
    </row>
    <row r="283" spans="1:9">
      <c r="A283" s="70"/>
      <c r="B283" s="6"/>
      <c r="C283" s="5"/>
      <c r="D283" s="6"/>
      <c r="E283" s="62"/>
    </row>
    <row r="284" spans="1:9">
      <c r="A284" s="70"/>
      <c r="B284" s="6"/>
      <c r="C284" s="5"/>
      <c r="D284" s="6"/>
      <c r="E284" s="62"/>
    </row>
    <row r="285" spans="1:9" ht="15.75">
      <c r="A285" s="75"/>
      <c r="B285" s="6"/>
      <c r="C285" s="5"/>
      <c r="D285" s="6"/>
      <c r="E285" s="62"/>
    </row>
    <row r="286" spans="1:9" ht="15.75">
      <c r="A286" s="75"/>
      <c r="B286" s="6"/>
      <c r="C286" s="5"/>
      <c r="D286" s="6"/>
      <c r="E286" s="62"/>
    </row>
    <row r="287" spans="1:9">
      <c r="A287" s="70"/>
      <c r="B287" s="6"/>
      <c r="C287" s="5"/>
      <c r="D287" s="6"/>
      <c r="E287" s="62"/>
    </row>
    <row r="288" spans="1:9">
      <c r="A288" s="70"/>
      <c r="B288" s="6"/>
      <c r="C288" s="5"/>
      <c r="D288" s="6"/>
      <c r="E288" s="62"/>
    </row>
    <row r="289" spans="1:5" ht="15.75" thickBot="1">
      <c r="A289" s="76"/>
      <c r="B289" s="3"/>
      <c r="C289" s="4"/>
      <c r="D289" s="3"/>
      <c r="E289" s="77"/>
    </row>
    <row r="290" spans="1:5" ht="15.75" thickTop="1"/>
  </sheetData>
  <dataConsolidate/>
  <mergeCells count="6">
    <mergeCell ref="A1:E1"/>
    <mergeCell ref="H11:I11"/>
    <mergeCell ref="H12:I12"/>
    <mergeCell ref="A2:E2"/>
    <mergeCell ref="A3:E3"/>
    <mergeCell ref="A4:E4"/>
  </mergeCells>
  <phoneticPr fontId="1" type="noConversion"/>
  <pageMargins left="0.25" right="0.25" top="0.5" bottom="0.5" header="0" footer="0"/>
  <pageSetup scale="99" orientation="portrait" r:id="rId1"/>
  <headerFooter alignWithMargins="0">
    <oddFooter>&amp;CPage &amp;P of &amp;N</oddFooter>
  </headerFooter>
  <rowBreaks count="4" manualBreakCount="4">
    <brk id="121" max="4" man="1"/>
    <brk id="162" max="4" man="1"/>
    <brk id="205" max="4" man="1"/>
    <brk id="248" max="4"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Estimate Process</vt:lpstr>
      <vt:lpstr>Title Sheet</vt:lpstr>
      <vt:lpstr>Erosion Control Estimate</vt:lpstr>
      <vt:lpstr>Grading Plan Estimate</vt:lpstr>
      <vt:lpstr>Improvment Plan Estimate</vt:lpstr>
      <vt:lpstr>'Erosion Control Estimate'!Print_Area</vt:lpstr>
      <vt:lpstr>'Estimate Process'!Print_Area</vt:lpstr>
      <vt:lpstr>'Grading Plan Estimate'!Print_Area</vt:lpstr>
      <vt:lpstr>'Improvment Plan Estimate'!Print_Area</vt:lpstr>
      <vt:lpstr>'Title Sheet'!Print_Area</vt:lpstr>
      <vt:lpstr>'Erosion Control Estimate'!Print_Titles</vt:lpstr>
    </vt:vector>
  </TitlesOfParts>
  <Company>City of Oceanside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mbenson</dc:creator>
  <cp:lastModifiedBy>mwagner</cp:lastModifiedBy>
  <cp:lastPrinted>2010-01-26T17:43:21Z</cp:lastPrinted>
  <dcterms:created xsi:type="dcterms:W3CDTF">2007-10-24T22:13:15Z</dcterms:created>
  <dcterms:modified xsi:type="dcterms:W3CDTF">2012-02-27T19:52:27Z</dcterms:modified>
</cp:coreProperties>
</file>