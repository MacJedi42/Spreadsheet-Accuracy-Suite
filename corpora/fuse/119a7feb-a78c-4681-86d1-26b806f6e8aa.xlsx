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embeddings/oleObject2.bin" ContentType="application/vnd.openxmlformats-officedocument.oleObject"/>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embeddings/oleObject3.bin" ContentType="application/vnd.openxmlformats-officedocument.oleObject"/>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15195" windowHeight="8190" firstSheet="1" activeTab="5"/>
  </bookViews>
  <sheets>
    <sheet name="Heat Balance Calcs" sheetId="1" r:id="rId1"/>
    <sheet name="FREED" sheetId="2" r:id="rId2"/>
    <sheet name="FREEDHeatContentData" sheetId="3" r:id="rId3"/>
    <sheet name="WebBook" sheetId="4" r:id="rId4"/>
    <sheet name="JANAF" sheetId="5" r:id="rId5"/>
    <sheet name="ReaxWeb" sheetId="6" r:id="rId6"/>
  </sheets>
  <calcPr calcId="145621" iterateDelta="1.0000000000000001E-5"/>
</workbook>
</file>

<file path=xl/calcChain.xml><?xml version="1.0" encoding="utf-8"?>
<calcChain xmlns="http://schemas.openxmlformats.org/spreadsheetml/2006/main">
  <c r="AE35" i="1" l="1"/>
  <c r="AE36" i="1"/>
  <c r="T53" i="1" l="1"/>
  <c r="AE39" i="1"/>
  <c r="AE38" i="1"/>
  <c r="AE37" i="1"/>
  <c r="T52" i="1"/>
  <c r="T55" i="1"/>
  <c r="T54" i="1"/>
  <c r="T51" i="1"/>
  <c r="Y49" i="6" l="1"/>
  <c r="W49" i="6"/>
  <c r="Y48" i="6"/>
  <c r="W48" i="6"/>
  <c r="Y47" i="6"/>
  <c r="W47" i="6"/>
  <c r="Y46" i="6"/>
  <c r="W46" i="6"/>
  <c r="Y45" i="6"/>
  <c r="W45" i="6"/>
  <c r="Y44" i="6"/>
  <c r="W44" i="6"/>
  <c r="Z38" i="6"/>
  <c r="Y38" i="6"/>
  <c r="W38" i="6"/>
  <c r="V38" i="6"/>
  <c r="Z36" i="6"/>
  <c r="Y36" i="6"/>
  <c r="W36" i="6"/>
  <c r="V36" i="6"/>
  <c r="Y30" i="6"/>
  <c r="O30" i="6"/>
  <c r="N30" i="6"/>
  <c r="K30" i="6"/>
  <c r="M30" i="6" s="1"/>
  <c r="Y29" i="6"/>
  <c r="O29" i="6"/>
  <c r="N29" i="6"/>
  <c r="K29" i="6"/>
  <c r="M29" i="6" s="1"/>
  <c r="AK28" i="6"/>
  <c r="AJ28" i="6"/>
  <c r="Y28" i="6"/>
  <c r="O28" i="6"/>
  <c r="N28" i="6"/>
  <c r="K28" i="6"/>
  <c r="M28" i="6" s="1"/>
  <c r="AK27" i="6"/>
  <c r="AJ27" i="6"/>
  <c r="Y27" i="6"/>
  <c r="O27" i="6"/>
  <c r="N27" i="6"/>
  <c r="K27" i="6"/>
  <c r="M27" i="6" s="1"/>
  <c r="AK26" i="6"/>
  <c r="AJ26" i="6"/>
  <c r="Y26" i="6"/>
  <c r="O26" i="6"/>
  <c r="N26" i="6"/>
  <c r="K26" i="6"/>
  <c r="M26" i="6" s="1"/>
  <c r="AK25" i="6"/>
  <c r="AJ25" i="6"/>
  <c r="Y25" i="6"/>
  <c r="O25" i="6"/>
  <c r="N25" i="6"/>
  <c r="K25" i="6"/>
  <c r="M25" i="6" s="1"/>
  <c r="AK24" i="6"/>
  <c r="AJ24" i="6"/>
  <c r="Y24" i="6"/>
  <c r="O24" i="6"/>
  <c r="N24" i="6"/>
  <c r="K24" i="6"/>
  <c r="M24" i="6" s="1"/>
  <c r="AK23" i="6"/>
  <c r="AJ23" i="6"/>
  <c r="Y23" i="6"/>
  <c r="O23" i="6"/>
  <c r="N23" i="6"/>
  <c r="K23" i="6"/>
  <c r="M23" i="6" s="1"/>
  <c r="AK22" i="6"/>
  <c r="AJ22" i="6"/>
  <c r="Y22" i="6"/>
  <c r="O22" i="6"/>
  <c r="N22" i="6"/>
  <c r="K22" i="6"/>
  <c r="M22" i="6" s="1"/>
  <c r="AK21" i="6"/>
  <c r="AJ21" i="6"/>
  <c r="Y21" i="6"/>
  <c r="O21" i="6"/>
  <c r="N21" i="6"/>
  <c r="K21" i="6"/>
  <c r="M21" i="6" s="1"/>
  <c r="AK20" i="6"/>
  <c r="AJ20" i="6"/>
  <c r="Y20" i="6"/>
  <c r="O20" i="6"/>
  <c r="N20" i="6"/>
  <c r="K20" i="6"/>
  <c r="M20" i="6" s="1"/>
  <c r="AK19" i="6"/>
  <c r="AJ19" i="6"/>
  <c r="Y19" i="6"/>
  <c r="O19" i="6"/>
  <c r="N19" i="6"/>
  <c r="K19" i="6"/>
  <c r="M19" i="6" s="1"/>
  <c r="AK18" i="6"/>
  <c r="AJ18" i="6"/>
  <c r="AK17" i="6"/>
  <c r="AJ17" i="6"/>
  <c r="AK16" i="6"/>
  <c r="AJ16" i="6"/>
  <c r="AK15" i="6"/>
  <c r="AJ15" i="6"/>
  <c r="AK14" i="6"/>
  <c r="AJ14" i="6"/>
  <c r="AK13" i="6"/>
  <c r="AJ13" i="6"/>
  <c r="AK12" i="6"/>
  <c r="AJ12" i="6"/>
  <c r="AK11" i="6"/>
  <c r="AJ11" i="6"/>
  <c r="AK10" i="6"/>
  <c r="AJ10" i="6"/>
  <c r="N38" i="5"/>
  <c r="Q38" i="5" s="1"/>
  <c r="M38" i="5"/>
  <c r="P38" i="5" s="1"/>
  <c r="N37" i="5"/>
  <c r="Q37" i="5" s="1"/>
  <c r="M37" i="5"/>
  <c r="P37" i="5" s="1"/>
  <c r="N36" i="5"/>
  <c r="Q36" i="5" s="1"/>
  <c r="M36" i="5"/>
  <c r="P36" i="5" s="1"/>
  <c r="N35" i="5"/>
  <c r="Q35" i="5" s="1"/>
  <c r="M35" i="5"/>
  <c r="P35" i="5" s="1"/>
  <c r="N34" i="5"/>
  <c r="Q34" i="5" s="1"/>
  <c r="M34" i="5"/>
  <c r="P34" i="5" s="1"/>
  <c r="N33" i="5"/>
  <c r="Q33" i="5" s="1"/>
  <c r="M33" i="5"/>
  <c r="P33" i="5" s="1"/>
  <c r="N32" i="5"/>
  <c r="Q32" i="5" s="1"/>
  <c r="M32" i="5"/>
  <c r="P32" i="5" s="1"/>
  <c r="N31" i="5"/>
  <c r="Q31" i="5" s="1"/>
  <c r="M31" i="5"/>
  <c r="P31" i="5" s="1"/>
  <c r="N30" i="5"/>
  <c r="Q30" i="5" s="1"/>
  <c r="M30" i="5"/>
  <c r="P30" i="5" s="1"/>
  <c r="N29" i="5"/>
  <c r="Q29" i="5" s="1"/>
  <c r="M29" i="5"/>
  <c r="P29" i="5" s="1"/>
  <c r="X28" i="5"/>
  <c r="W28" i="5"/>
  <c r="V28" i="5"/>
  <c r="N28" i="5"/>
  <c r="Q28" i="5" s="1"/>
  <c r="M28" i="5"/>
  <c r="P28" i="5" s="1"/>
  <c r="N27" i="5"/>
  <c r="Q27" i="5" s="1"/>
  <c r="M27" i="5"/>
  <c r="P27" i="5" s="1"/>
  <c r="X26" i="5"/>
  <c r="W26" i="5"/>
  <c r="V26" i="5"/>
  <c r="G62" i="4"/>
  <c r="F62" i="4"/>
  <c r="G60" i="4"/>
  <c r="F60" i="4"/>
  <c r="Q29" i="4"/>
  <c r="T29" i="4" s="1"/>
  <c r="L29" i="4"/>
  <c r="S29" i="4" s="1"/>
  <c r="Q28" i="4"/>
  <c r="T28" i="4" s="1"/>
  <c r="L28" i="4"/>
  <c r="S28" i="4" s="1"/>
  <c r="Q27" i="4"/>
  <c r="T27" i="4" s="1"/>
  <c r="L27" i="4"/>
  <c r="S27" i="4" s="1"/>
  <c r="Q26" i="4"/>
  <c r="T26" i="4" s="1"/>
  <c r="L26" i="4"/>
  <c r="S26" i="4" s="1"/>
  <c r="Q25" i="4"/>
  <c r="T25" i="4" s="1"/>
  <c r="L25" i="4"/>
  <c r="S25" i="4" s="1"/>
  <c r="Q24" i="4"/>
  <c r="T24" i="4" s="1"/>
  <c r="L24" i="4"/>
  <c r="S24" i="4" s="1"/>
  <c r="Q23" i="4"/>
  <c r="T23" i="4" s="1"/>
  <c r="L23" i="4"/>
  <c r="S23" i="4" s="1"/>
  <c r="Q22" i="4"/>
  <c r="T22" i="4" s="1"/>
  <c r="L22" i="4"/>
  <c r="S22" i="4" s="1"/>
  <c r="Q21" i="4"/>
  <c r="T21" i="4" s="1"/>
  <c r="L21" i="4"/>
  <c r="S21" i="4" s="1"/>
  <c r="Q20" i="4"/>
  <c r="T20" i="4" s="1"/>
  <c r="L20" i="4"/>
  <c r="S20" i="4" s="1"/>
  <c r="Q19" i="4"/>
  <c r="T19" i="4" s="1"/>
  <c r="L19" i="4"/>
  <c r="S19" i="4" s="1"/>
  <c r="Q18" i="4"/>
  <c r="T18" i="4" s="1"/>
  <c r="L18" i="4"/>
  <c r="S18" i="4" s="1"/>
  <c r="G32" i="2"/>
  <c r="F32" i="2"/>
  <c r="E32" i="2"/>
  <c r="G30" i="2"/>
  <c r="F30" i="2"/>
  <c r="E30" i="2"/>
  <c r="L25" i="2"/>
  <c r="C25" i="2"/>
  <c r="K25" i="2" s="1"/>
  <c r="L24" i="2"/>
  <c r="C24" i="2"/>
  <c r="K24" i="2" s="1"/>
  <c r="L23" i="2"/>
  <c r="C23" i="2"/>
  <c r="K23" i="2" s="1"/>
  <c r="L22" i="2"/>
  <c r="C22" i="2"/>
  <c r="K22" i="2" s="1"/>
  <c r="L21" i="2"/>
  <c r="C21" i="2"/>
  <c r="K21" i="2" s="1"/>
  <c r="L20" i="2"/>
  <c r="C20" i="2"/>
  <c r="K20" i="2" s="1"/>
  <c r="L19" i="2"/>
  <c r="C19" i="2"/>
  <c r="K19" i="2" s="1"/>
  <c r="L18" i="2"/>
  <c r="C18" i="2"/>
  <c r="K18" i="2" s="1"/>
  <c r="L17" i="2"/>
  <c r="C17" i="2"/>
  <c r="K17" i="2" s="1"/>
  <c r="L16" i="2"/>
  <c r="C16" i="2"/>
  <c r="K16" i="2" s="1"/>
  <c r="L15" i="2"/>
  <c r="C15" i="2"/>
  <c r="K15" i="2" s="1"/>
  <c r="L14" i="2"/>
  <c r="C14" i="2"/>
  <c r="K14" i="2" s="1"/>
  <c r="L13" i="2"/>
  <c r="C13" i="2"/>
  <c r="K13" i="2" s="1"/>
  <c r="L12" i="2"/>
  <c r="C12" i="2"/>
  <c r="K12" i="2" s="1"/>
  <c r="L11" i="2"/>
  <c r="C11" i="2"/>
  <c r="K11" i="2" s="1"/>
  <c r="L10" i="2"/>
  <c r="C10" i="2"/>
  <c r="K10" i="2" s="1"/>
  <c r="S63" i="1"/>
  <c r="S64" i="1"/>
  <c r="T43" i="1"/>
  <c r="T42" i="1"/>
  <c r="T41" i="1"/>
  <c r="T40" i="1"/>
  <c r="T39" i="1"/>
  <c r="S62" i="1" s="1"/>
  <c r="T62" i="1" s="1"/>
  <c r="AE32" i="1" l="1"/>
  <c r="T48" i="1"/>
  <c r="AE40" i="1" s="1"/>
  <c r="T44" i="1"/>
  <c r="T64" i="1"/>
  <c r="T63" i="1"/>
  <c r="AI32" i="1" l="1"/>
  <c r="AE41" i="1" s="1"/>
  <c r="T56" i="1"/>
  <c r="S65" i="1" s="1"/>
  <c r="T65" i="1" s="1"/>
</calcChain>
</file>

<file path=xl/sharedStrings.xml><?xml version="1.0" encoding="utf-8"?>
<sst xmlns="http://schemas.openxmlformats.org/spreadsheetml/2006/main" count="315" uniqueCount="213">
  <si>
    <t>Note:  text box appearance may vary with different Windows and Excel versions.</t>
  </si>
  <si>
    <r>
      <rPr>
        <sz val="10"/>
        <rFont val="Symbol"/>
        <family val="1"/>
        <charset val="2"/>
      </rPr>
      <t>D</t>
    </r>
    <r>
      <rPr>
        <sz val="10"/>
        <rFont val="Arial"/>
        <family val="2"/>
      </rPr>
      <t>H°comb, kJ/g-mol NG</t>
    </r>
  </si>
  <si>
    <t>kJ/kg-mol</t>
  </si>
  <si>
    <r>
      <t xml:space="preserve">Heat Content Data, </t>
    </r>
    <r>
      <rPr>
        <b/>
        <sz val="11"/>
        <rFont val="Arial"/>
        <family val="2"/>
      </rPr>
      <t>kJ/mol</t>
    </r>
    <r>
      <rPr>
        <sz val="11"/>
        <rFont val="Arial"/>
        <family val="2"/>
      </rPr>
      <t xml:space="preserve"> =  A + BT + CT</t>
    </r>
    <r>
      <rPr>
        <vertAlign val="superscript"/>
        <sz val="11"/>
        <rFont val="Arial"/>
        <family val="2"/>
      </rPr>
      <t>2</t>
    </r>
    <r>
      <rPr>
        <sz val="11"/>
        <rFont val="Arial"/>
        <family val="2"/>
      </rPr>
      <t>.  T = °C</t>
    </r>
  </si>
  <si>
    <r>
      <t>N</t>
    </r>
    <r>
      <rPr>
        <vertAlign val="subscript"/>
        <sz val="10"/>
        <rFont val="Arial"/>
        <family val="2"/>
      </rPr>
      <t>2</t>
    </r>
    <r>
      <rPr>
        <sz val="10"/>
        <rFont val="Arial"/>
        <family val="2"/>
      </rPr>
      <t>, 600 - 2200 °C</t>
    </r>
  </si>
  <si>
    <r>
      <t>O</t>
    </r>
    <r>
      <rPr>
        <vertAlign val="subscript"/>
        <sz val="10"/>
        <rFont val="Arial"/>
        <family val="2"/>
      </rPr>
      <t>2</t>
    </r>
    <r>
      <rPr>
        <sz val="10"/>
        <rFont val="Arial"/>
        <family val="2"/>
      </rPr>
      <t>, 600 - 2200 °C</t>
    </r>
  </si>
  <si>
    <t>A</t>
  </si>
  <si>
    <t>B</t>
  </si>
  <si>
    <t>C</t>
  </si>
  <si>
    <t>Str-name</t>
  </si>
  <si>
    <t>Nat Gas</t>
  </si>
  <si>
    <t>Burnr Air</t>
  </si>
  <si>
    <t>CmbstGas</t>
  </si>
  <si>
    <t>StackGas</t>
  </si>
  <si>
    <t>Leak Air</t>
  </si>
  <si>
    <t>Cold Al</t>
  </si>
  <si>
    <t>Hot Al</t>
  </si>
  <si>
    <r>
      <t>H</t>
    </r>
    <r>
      <rPr>
        <vertAlign val="subscript"/>
        <sz val="10"/>
        <rFont val="Arial"/>
        <family val="2"/>
      </rPr>
      <t>2</t>
    </r>
    <r>
      <rPr>
        <sz val="10"/>
        <rFont val="Arial"/>
        <family val="2"/>
      </rPr>
      <t>O(g), 600 - 2200 °C</t>
    </r>
  </si>
  <si>
    <r>
      <t>CO</t>
    </r>
    <r>
      <rPr>
        <vertAlign val="subscript"/>
        <sz val="10"/>
        <rFont val="Arial"/>
        <family val="2"/>
      </rPr>
      <t>2</t>
    </r>
    <r>
      <rPr>
        <sz val="10"/>
        <rFont val="Arial"/>
        <family val="2"/>
      </rPr>
      <t>, 600 - 2200 °C</t>
    </r>
  </si>
  <si>
    <t>Streams</t>
  </si>
  <si>
    <t>Flow</t>
  </si>
  <si>
    <t>Al, (c)</t>
  </si>
  <si>
    <t>CH4, (g)</t>
  </si>
  <si>
    <t>(note Al heat units)</t>
  </si>
  <si>
    <t>C2H6, (g)</t>
  </si>
  <si>
    <t>Air, 5 - 550 °C</t>
  </si>
  <si>
    <r>
      <t xml:space="preserve">Solid aluminum, </t>
    </r>
    <r>
      <rPr>
        <b/>
        <sz val="11"/>
        <rFont val="Arial"/>
        <family val="2"/>
      </rPr>
      <t>kJ/kg</t>
    </r>
  </si>
  <si>
    <t>CO2, (g)</t>
  </si>
  <si>
    <t>H2O, (g)</t>
  </si>
  <si>
    <t>N2, (g)</t>
  </si>
  <si>
    <t>O2, (g)</t>
  </si>
  <si>
    <t>1.  Heat content of incoming natural gas (stream #1)</t>
  </si>
  <si>
    <t>2.  Heat content of incoming combustion air (stream #2)</t>
  </si>
  <si>
    <t>3.  Heat of combustion of natural gas (stream #1)</t>
  </si>
  <si>
    <r>
      <t>4a.  Heat burner gas CO</t>
    </r>
    <r>
      <rPr>
        <vertAlign val="subscript"/>
        <sz val="10"/>
        <rFont val="Arial"/>
        <family val="2"/>
      </rPr>
      <t>2</t>
    </r>
    <r>
      <rPr>
        <sz val="10"/>
        <rFont val="Arial"/>
        <family val="2"/>
      </rPr>
      <t xml:space="preserve"> to 1800 °C (stream #3)</t>
    </r>
  </si>
  <si>
    <r>
      <t>4b.  Heat combustion gas H</t>
    </r>
    <r>
      <rPr>
        <vertAlign val="subscript"/>
        <sz val="10"/>
        <rFont val="Arial"/>
        <family val="2"/>
      </rPr>
      <t>2</t>
    </r>
    <r>
      <rPr>
        <sz val="10"/>
        <rFont val="Arial"/>
        <family val="2"/>
      </rPr>
      <t>O to 1800 °C  (stream #3)</t>
    </r>
  </si>
  <si>
    <r>
      <t>4c.  Heat combustion gas N</t>
    </r>
    <r>
      <rPr>
        <vertAlign val="subscript"/>
        <sz val="10"/>
        <rFont val="Arial"/>
        <family val="2"/>
      </rPr>
      <t>2</t>
    </r>
    <r>
      <rPr>
        <sz val="10"/>
        <rFont val="Arial"/>
        <family val="2"/>
      </rPr>
      <t xml:space="preserve"> to 1800 °C (stream #3)</t>
    </r>
  </si>
  <si>
    <r>
      <t>4d.  Heat combustion gas O</t>
    </r>
    <r>
      <rPr>
        <vertAlign val="subscript"/>
        <sz val="10"/>
        <rFont val="Arial"/>
        <family val="2"/>
      </rPr>
      <t>2</t>
    </r>
    <r>
      <rPr>
        <sz val="10"/>
        <rFont val="Arial"/>
        <family val="2"/>
      </rPr>
      <t xml:space="preserve"> to 1800 °C (stream #3)</t>
    </r>
  </si>
  <si>
    <t>5.  Heat loss from burner, kJ/min</t>
  </si>
  <si>
    <t>1.  Cool incoming burner gas to 25 °C (stream #3)</t>
  </si>
  <si>
    <t>2.  Heat content of incoming aluminum (stream #6)</t>
  </si>
  <si>
    <t>3.  Heat content of incoming leak air (stream #5)</t>
  </si>
  <si>
    <t>4.  Heat product aluminum to 550 °C (stream #7)</t>
  </si>
  <si>
    <r>
      <t>5a.  Heat stack gas CO</t>
    </r>
    <r>
      <rPr>
        <vertAlign val="subscript"/>
        <sz val="10"/>
        <rFont val="Arial"/>
        <family val="2"/>
      </rPr>
      <t>2</t>
    </r>
    <r>
      <rPr>
        <sz val="10"/>
        <rFont val="Arial"/>
        <family val="2"/>
      </rPr>
      <t xml:space="preserve"> to 800 °C (stream #4)</t>
    </r>
  </si>
  <si>
    <r>
      <t>5b.  Heat stack gas H</t>
    </r>
    <r>
      <rPr>
        <vertAlign val="subscript"/>
        <sz val="10"/>
        <rFont val="Arial"/>
        <family val="2"/>
      </rPr>
      <t>2</t>
    </r>
    <r>
      <rPr>
        <sz val="10"/>
        <rFont val="Arial"/>
        <family val="2"/>
      </rPr>
      <t>O to 800 °C (stream #4)</t>
    </r>
  </si>
  <si>
    <t>References</t>
  </si>
  <si>
    <r>
      <t>5c.  Heat stack gas N</t>
    </r>
    <r>
      <rPr>
        <vertAlign val="subscript"/>
        <sz val="10"/>
        <rFont val="Arial"/>
        <family val="2"/>
      </rPr>
      <t>2</t>
    </r>
    <r>
      <rPr>
        <sz val="10"/>
        <rFont val="Arial"/>
        <family val="2"/>
      </rPr>
      <t xml:space="preserve"> to 800 °C (stream #4)</t>
    </r>
  </si>
  <si>
    <t xml:space="preserve">1.  Wikipedia contributors, “Enthalpy”, “Thermodynamic Databases for Pure Substances”. </t>
  </si>
  <si>
    <r>
      <t>5d.  Heat stack gas O</t>
    </r>
    <r>
      <rPr>
        <vertAlign val="subscript"/>
        <sz val="10"/>
        <rFont val="Arial"/>
        <family val="2"/>
      </rPr>
      <t>2</t>
    </r>
    <r>
      <rPr>
        <sz val="10"/>
        <rFont val="Arial"/>
        <family val="2"/>
      </rPr>
      <t xml:space="preserve"> to 800 °C (stream #4)</t>
    </r>
  </si>
  <si>
    <t xml:space="preserve"> Wikipedia, the Free Encyclopedia, July 2012.  http://en.wikipedia.org/wiki/Main_Page.</t>
  </si>
  <si>
    <t>6.  Heat loss from furnace, kJ/min</t>
  </si>
  <si>
    <t>2.  Fact-Web programs, http://www.crct.polymtl.ca/factweb.php.  Use Reaction-Web.</t>
  </si>
  <si>
    <t>3.  NIST Chemistry WebBook, http://webbook.nist.gov/chemistry/</t>
  </si>
  <si>
    <t>4.  NIST-JANAF Tables, http://kinetics.nist.gov/janaf/</t>
  </si>
  <si>
    <t>5.  Thermart Software, http://www.thermart.net/</t>
  </si>
  <si>
    <t>Factor</t>
  </si>
  <si>
    <t>Value</t>
  </si>
  <si>
    <t>% of available</t>
  </si>
  <si>
    <r>
      <t xml:space="preserve">Heat available from combustion of </t>
    </r>
    <r>
      <rPr>
        <sz val="10"/>
        <rFont val="Arial"/>
        <family val="2"/>
      </rPr>
      <t>NatGas</t>
    </r>
  </si>
  <si>
    <t>Heat carried out by stack gas</t>
  </si>
  <si>
    <t>Heat carried out by aluminum ingots</t>
  </si>
  <si>
    <t>Heat loss</t>
  </si>
  <si>
    <r>
      <t>Using the FREED Thermodynamic Database--</t>
    </r>
    <r>
      <rPr>
        <b/>
        <sz val="13"/>
        <rFont val="Arial"/>
        <family val="2"/>
      </rPr>
      <t>Aluminum</t>
    </r>
  </si>
  <si>
    <t>Please read</t>
  </si>
  <si>
    <t>GRAPH:</t>
  </si>
  <si>
    <t>Al, (c,l,g)</t>
  </si>
  <si>
    <t>Tmax(K):</t>
  </si>
  <si>
    <t>(Aluminum)</t>
  </si>
  <si>
    <t>Atomic mass of Al:</t>
  </si>
  <si>
    <t xml:space="preserve">    Table 1.  Heat content of Aluminum in SI units.</t>
  </si>
  <si>
    <t>Table 2.  Heat content of Aluminum in AES units</t>
  </si>
  <si>
    <t>T (K)</t>
  </si>
  <si>
    <t>T, °C</t>
  </si>
  <si>
    <t>HT-H25 (Cal/g-mol)</t>
  </si>
  <si>
    <t>T, °F</t>
  </si>
  <si>
    <t>HT-H77 (Btu/lb-mol)</t>
  </si>
  <si>
    <t>Figure 1.  Heat content of Aluminum in SI units</t>
  </si>
  <si>
    <t>Figure 2.  Heat content of Aluminum in AES units</t>
  </si>
  <si>
    <t>Melting point of Al</t>
  </si>
  <si>
    <t xml:space="preserve">          Table 3.  Heat content for solid aluminum = A+ BT + CT2</t>
  </si>
  <si>
    <t>cal/g-mol; T = °C</t>
  </si>
  <si>
    <t>kJ/kg;  T = °C</t>
  </si>
  <si>
    <r>
      <rPr>
        <b/>
        <sz val="10"/>
        <rFont val="Symbol"/>
        <family val="1"/>
        <charset val="2"/>
      </rPr>
      <t xml:space="preserve">Ü </t>
    </r>
    <r>
      <rPr>
        <sz val="10"/>
        <rFont val="Arial"/>
        <family val="2"/>
      </rPr>
      <t>We'll use this data</t>
    </r>
  </si>
  <si>
    <t>Btu/lb-mol;  T = °F</t>
  </si>
  <si>
    <t>Btu/lb;  T = °F</t>
  </si>
  <si>
    <t>Air</t>
  </si>
  <si>
    <t>T (C)</t>
  </si>
  <si>
    <t>HT-H298 (J)</t>
  </si>
  <si>
    <t>(Nitrogen dimer)</t>
  </si>
  <si>
    <t>(Carbon Dioxide)</t>
  </si>
  <si>
    <t>(Hydrogen Oxide)</t>
  </si>
  <si>
    <t>(Oxygen dimer)</t>
  </si>
  <si>
    <r>
      <t>Using the NIST Chemistry WebBook On-Line Thermodynamic Database--</t>
    </r>
    <r>
      <rPr>
        <b/>
        <sz val="13"/>
        <rFont val="Arial"/>
        <family val="2"/>
      </rPr>
      <t>Carbon Dioxide</t>
    </r>
  </si>
  <si>
    <t>Carbon dioxide</t>
  </si>
  <si>
    <t xml:space="preserve">Molecular weight: </t>
  </si>
  <si>
    <r>
      <t>Heat content, heat capacity, and entropy equations for reference state CO</t>
    </r>
    <r>
      <rPr>
        <vertAlign val="subscript"/>
        <sz val="12"/>
        <rFont val="Arial"/>
        <family val="2"/>
      </rPr>
      <t>2</t>
    </r>
  </si>
  <si>
    <r>
      <t>Table 2.  Values for the thermodynamic properties of CO</t>
    </r>
    <r>
      <rPr>
        <vertAlign val="subscript"/>
        <sz val="11"/>
        <rFont val="Arial"/>
        <family val="2"/>
      </rPr>
      <t>2</t>
    </r>
    <r>
      <rPr>
        <sz val="11"/>
        <rFont val="Arial"/>
        <family val="2"/>
      </rPr>
      <t xml:space="preserve"> in SI units</t>
    </r>
  </si>
  <si>
    <t xml:space="preserve">Data compilation copyright by the U.S. Secretary of Commerce on behalf of the U.S.A. </t>
  </si>
  <si>
    <t xml:space="preserve">Temp, </t>
  </si>
  <si>
    <r>
      <t>C</t>
    </r>
    <r>
      <rPr>
        <b/>
        <vertAlign val="subscript"/>
        <sz val="10"/>
        <rFont val="Arial"/>
        <family val="2"/>
      </rPr>
      <t>p</t>
    </r>
  </si>
  <si>
    <t>S°</t>
  </si>
  <si>
    <r>
      <t>-(G° - H°</t>
    </r>
    <r>
      <rPr>
        <b/>
        <vertAlign val="subscript"/>
        <sz val="10"/>
        <rFont val="Arial"/>
        <family val="2"/>
      </rPr>
      <t>298.15</t>
    </r>
    <r>
      <rPr>
        <b/>
        <sz val="10"/>
        <rFont val="Arial"/>
        <family val="2"/>
      </rPr>
      <t>)/T</t>
    </r>
  </si>
  <si>
    <r>
      <t>H° - H°</t>
    </r>
    <r>
      <rPr>
        <b/>
        <vertAlign val="subscript"/>
        <sz val="10"/>
        <rFont val="Arial"/>
        <family val="2"/>
      </rPr>
      <t>298.15</t>
    </r>
  </si>
  <si>
    <t xml:space="preserve">ΔH°gas -393.51 ± 0.13 kJ/mol.   Review Cox, Wagman, et al., 1984 CODATA Review value </t>
  </si>
  <si>
    <t>(K)</t>
  </si>
  <si>
    <t>(°C)</t>
  </si>
  <si>
    <t>(J/mol*K)</t>
  </si>
  <si>
    <t>(kJ/mol)</t>
  </si>
  <si>
    <t>(J/mol)</t>
  </si>
  <si>
    <t xml:space="preserve">ΔH°gas -393.52 kJ/mol.   Review Chase, 1998.   Data last reviewed in September, 1965 </t>
  </si>
  <si>
    <t xml:space="preserve">S°gas,1 bar 213.785 ± 0.010 J/mol*K.   Review Cox, Wagman, et al., 1984 CODATA Review value </t>
  </si>
  <si>
    <t xml:space="preserve">S°gas,1 bar 213.79 J/mol*K.   Review Chase, 1998.   Data last reviewed in September, 1965 </t>
  </si>
  <si>
    <t>Gas Phase Heat Capacity (Shomate Equation)</t>
  </si>
  <si>
    <r>
      <t>CO</t>
    </r>
    <r>
      <rPr>
        <vertAlign val="subscript"/>
        <sz val="11"/>
        <rFont val="Arial"/>
        <family val="2"/>
      </rPr>
      <t>2</t>
    </r>
    <r>
      <rPr>
        <sz val="11"/>
        <rFont val="Arial"/>
        <family val="2"/>
      </rPr>
      <t xml:space="preserve"> in AES units</t>
    </r>
  </si>
  <si>
    <t>Cp° = A + B*t + C*t2 + D*t3 + E/t2</t>
  </si>
  <si>
    <r>
      <t>H° - H°</t>
    </r>
    <r>
      <rPr>
        <b/>
        <vertAlign val="subscript"/>
        <sz val="11"/>
        <rFont val="Arial"/>
        <family val="2"/>
      </rPr>
      <t>77</t>
    </r>
  </si>
  <si>
    <t>H° - H°298.15= A*t + B*t2/2 + C*t3/3 + D*t4/4 - E/t + F - H</t>
  </si>
  <si>
    <t>(°F)</t>
  </si>
  <si>
    <t>(Btu/lb-mol)</t>
  </si>
  <si>
    <t>S° = A*ln(t) + B*t + C*t2/2 + D*t3/3 - E/(2*t2) + G</t>
  </si>
  <si>
    <t xml:space="preserve">    Cp = heat capacity (J/mol*K)</t>
  </si>
  <si>
    <t xml:space="preserve">    H° = standard enthalpy (kJ/mol)</t>
  </si>
  <si>
    <t xml:space="preserve">    S° = standard entropy (J/mol*K)</t>
  </si>
  <si>
    <t xml:space="preserve">    t = temperature (K) / 1000.</t>
  </si>
  <si>
    <r>
      <t>Table 1.  Equation parameters for the thermodynamic properties of CO</t>
    </r>
    <r>
      <rPr>
        <vertAlign val="subscript"/>
        <sz val="11"/>
        <rFont val="Arial"/>
        <family val="2"/>
      </rPr>
      <t>2</t>
    </r>
  </si>
  <si>
    <t>Temp, (K)</t>
  </si>
  <si>
    <t>298. - 1200.</t>
  </si>
  <si>
    <t>1200. - 6000.</t>
  </si>
  <si>
    <t>D</t>
  </si>
  <si>
    <t>E</t>
  </si>
  <si>
    <t>F</t>
  </si>
  <si>
    <t>G</t>
  </si>
  <si>
    <t>H</t>
  </si>
  <si>
    <t>Reference</t>
  </si>
  <si>
    <t>Chase, 1998</t>
  </si>
  <si>
    <t>Comment:   Data last reviewed in September, 1965.</t>
  </si>
  <si>
    <r>
      <t>Figure 1.  Heat content of CO</t>
    </r>
    <r>
      <rPr>
        <vertAlign val="subscript"/>
        <sz val="11"/>
        <rFont val="Arial"/>
        <family val="2"/>
      </rPr>
      <t>2</t>
    </r>
    <r>
      <rPr>
        <sz val="11"/>
        <rFont val="Arial"/>
        <family val="2"/>
      </rPr>
      <t xml:space="preserve"> in SI units</t>
    </r>
  </si>
  <si>
    <r>
      <t>Table 3.  Heat content for CO</t>
    </r>
    <r>
      <rPr>
        <vertAlign val="subscript"/>
        <sz val="10.9"/>
        <rFont val="Arial"/>
        <family val="2"/>
      </rPr>
      <t>2</t>
    </r>
    <r>
      <rPr>
        <sz val="10.9"/>
        <rFont val="Arial"/>
        <family val="2"/>
      </rPr>
      <t xml:space="preserve"> = A + BT</t>
    </r>
  </si>
  <si>
    <t>kJ/kg-mol; T = °C</t>
  </si>
  <si>
    <r>
      <t>kJ/m</t>
    </r>
    <r>
      <rPr>
        <vertAlign val="superscript"/>
        <sz val="10"/>
        <rFont val="Arial"/>
        <family val="2"/>
      </rPr>
      <t>3</t>
    </r>
    <r>
      <rPr>
        <sz val="10"/>
        <rFont val="Arial"/>
        <family val="2"/>
      </rPr>
      <t>; T = °C</t>
    </r>
  </si>
  <si>
    <r>
      <t>Btu/ft</t>
    </r>
    <r>
      <rPr>
        <vertAlign val="superscript"/>
        <sz val="10"/>
        <rFont val="Arial"/>
        <family val="2"/>
      </rPr>
      <t>3</t>
    </r>
    <r>
      <rPr>
        <sz val="10"/>
        <rFont val="Arial"/>
        <family val="2"/>
      </rPr>
      <t>;  T = °F</t>
    </r>
  </si>
  <si>
    <t>(Volumes are STP)</t>
  </si>
  <si>
    <r>
      <t>Using the NIST JANAF On-line Thermochemical Database--</t>
    </r>
    <r>
      <rPr>
        <b/>
        <sz val="13"/>
        <rFont val="Arial"/>
        <family val="2"/>
      </rPr>
      <t>Water Vapor</t>
    </r>
  </si>
  <si>
    <r>
      <t>Figure 1.  Heat content of H</t>
    </r>
    <r>
      <rPr>
        <vertAlign val="subscript"/>
        <sz val="11"/>
        <rFont val="Arial"/>
        <family val="2"/>
      </rPr>
      <t>2</t>
    </r>
    <r>
      <rPr>
        <sz val="11"/>
        <rFont val="Arial"/>
        <family val="2"/>
      </rPr>
      <t>O in SI units</t>
    </r>
  </si>
  <si>
    <r>
      <t>Figure 2.  Heat content of H</t>
    </r>
    <r>
      <rPr>
        <vertAlign val="subscript"/>
        <sz val="11"/>
        <rFont val="Arial"/>
        <family val="2"/>
      </rPr>
      <t>2</t>
    </r>
    <r>
      <rPr>
        <sz val="11"/>
        <rFont val="Arial"/>
        <family val="2"/>
      </rPr>
      <t>O in AES units</t>
    </r>
  </si>
  <si>
    <r>
      <t>Water (H</t>
    </r>
    <r>
      <rPr>
        <vertAlign val="subscript"/>
        <sz val="11"/>
        <rFont val="Arial"/>
        <family val="2"/>
      </rPr>
      <t>2</t>
    </r>
    <r>
      <rPr>
        <sz val="11"/>
        <rFont val="Arial"/>
        <family val="2"/>
      </rPr>
      <t>O, gas)</t>
    </r>
  </si>
  <si>
    <t>Water</t>
  </si>
  <si>
    <t xml:space="preserve">Molecular wt: </t>
  </si>
  <si>
    <r>
      <t>Table 1.  Thermodynamic properties of H</t>
    </r>
    <r>
      <rPr>
        <vertAlign val="subscript"/>
        <sz val="11"/>
        <rFont val="Arial"/>
        <family val="2"/>
      </rPr>
      <t>2</t>
    </r>
    <r>
      <rPr>
        <sz val="11"/>
        <rFont val="Arial"/>
        <family val="2"/>
      </rPr>
      <t>O(</t>
    </r>
    <r>
      <rPr>
        <i/>
        <sz val="11"/>
        <rFont val="Arial"/>
        <family val="2"/>
      </rPr>
      <t>g</t>
    </r>
    <r>
      <rPr>
        <sz val="11"/>
        <rFont val="Arial"/>
        <family val="2"/>
      </rPr>
      <t>)</t>
    </r>
  </si>
  <si>
    <r>
      <t xml:space="preserve">Enthalpy Ref, Temperature = </t>
    </r>
    <r>
      <rPr>
        <i/>
        <sz val="10"/>
        <rFont val="Arial"/>
        <family val="2"/>
      </rPr>
      <t>T</t>
    </r>
    <r>
      <rPr>
        <vertAlign val="subscript"/>
        <sz val="10"/>
        <rFont val="Arial"/>
        <family val="2"/>
      </rPr>
      <t>r</t>
    </r>
    <r>
      <rPr>
        <sz val="10"/>
        <rFont val="Arial"/>
        <family val="2"/>
      </rPr>
      <t xml:space="preserve"> = 298.15 K</t>
    </r>
  </si>
  <si>
    <r>
      <t xml:space="preserve">Standard State Pressure = </t>
    </r>
    <r>
      <rPr>
        <i/>
        <sz val="10"/>
        <rFont val="Arial"/>
        <family val="2"/>
      </rPr>
      <t>p</t>
    </r>
    <r>
      <rPr>
        <sz val="10"/>
        <rFont val="Arial"/>
        <family val="2"/>
      </rPr>
      <t>° = 0.1 MPa</t>
    </r>
  </si>
  <si>
    <r>
      <t>J·K</t>
    </r>
    <r>
      <rPr>
        <b/>
        <vertAlign val="superscript"/>
        <sz val="10"/>
        <rFont val="Arial"/>
        <family val="2"/>
      </rPr>
      <t>-1</t>
    </r>
    <r>
      <rPr>
        <b/>
        <sz val="10"/>
        <rFont val="Arial"/>
        <family val="2"/>
      </rPr>
      <t xml:space="preserve"> mol</t>
    </r>
    <r>
      <rPr>
        <b/>
        <vertAlign val="superscript"/>
        <sz val="10"/>
        <rFont val="Arial"/>
        <family val="2"/>
      </rPr>
      <t>-1</t>
    </r>
  </si>
  <si>
    <r>
      <t>kJ·mol</t>
    </r>
    <r>
      <rPr>
        <b/>
        <vertAlign val="superscript"/>
        <sz val="10"/>
        <rFont val="Arial"/>
        <family val="2"/>
      </rPr>
      <t>-1</t>
    </r>
  </si>
  <si>
    <r>
      <t>T</t>
    </r>
    <r>
      <rPr>
        <b/>
        <sz val="10"/>
        <rFont val="Arial"/>
        <family val="2"/>
      </rPr>
      <t>/K</t>
    </r>
  </si>
  <si>
    <r>
      <t>C</t>
    </r>
    <r>
      <rPr>
        <b/>
        <i/>
        <vertAlign val="subscript"/>
        <sz val="10"/>
        <rFont val="Arial"/>
        <family val="2"/>
      </rPr>
      <t>p</t>
    </r>
    <r>
      <rPr>
        <b/>
        <vertAlign val="superscript"/>
        <sz val="10"/>
        <rFont val="Arial"/>
        <family val="2"/>
      </rPr>
      <t>°</t>
    </r>
  </si>
  <si>
    <r>
      <t>S</t>
    </r>
    <r>
      <rPr>
        <b/>
        <vertAlign val="superscript"/>
        <sz val="10"/>
        <rFont val="Arial"/>
        <family val="2"/>
      </rPr>
      <t>°</t>
    </r>
  </si>
  <si>
    <r>
      <t>-[</t>
    </r>
    <r>
      <rPr>
        <b/>
        <i/>
        <sz val="10"/>
        <rFont val="Arial"/>
        <family val="2"/>
      </rPr>
      <t>G</t>
    </r>
    <r>
      <rPr>
        <b/>
        <vertAlign val="superscript"/>
        <sz val="10"/>
        <rFont val="Arial"/>
        <family val="2"/>
      </rPr>
      <t>°</t>
    </r>
    <r>
      <rPr>
        <b/>
        <sz val="10"/>
        <rFont val="Arial"/>
        <family val="2"/>
      </rPr>
      <t>-</t>
    </r>
    <r>
      <rPr>
        <b/>
        <i/>
        <sz val="10"/>
        <rFont val="Arial"/>
        <family val="2"/>
      </rPr>
      <t>H</t>
    </r>
    <r>
      <rPr>
        <b/>
        <vertAlign val="superscript"/>
        <sz val="10"/>
        <rFont val="Arial"/>
        <family val="2"/>
      </rPr>
      <t>°</t>
    </r>
    <r>
      <rPr>
        <b/>
        <sz val="10"/>
        <rFont val="Arial"/>
        <family val="2"/>
      </rPr>
      <t>(</t>
    </r>
    <r>
      <rPr>
        <b/>
        <i/>
        <sz val="10"/>
        <rFont val="Arial"/>
        <family val="2"/>
      </rPr>
      <t>T</t>
    </r>
    <r>
      <rPr>
        <b/>
        <vertAlign val="subscript"/>
        <sz val="10"/>
        <rFont val="Arial"/>
        <family val="2"/>
      </rPr>
      <t>r</t>
    </r>
    <r>
      <rPr>
        <b/>
        <sz val="10"/>
        <rFont val="Arial"/>
        <family val="2"/>
      </rPr>
      <t>)]/</t>
    </r>
    <r>
      <rPr>
        <b/>
        <i/>
        <sz val="10"/>
        <rFont val="Arial"/>
        <family val="2"/>
      </rPr>
      <t>T</t>
    </r>
  </si>
  <si>
    <r>
      <t>H</t>
    </r>
    <r>
      <rPr>
        <b/>
        <sz val="10"/>
        <rFont val="Arial"/>
        <family val="2"/>
      </rPr>
      <t>-</t>
    </r>
    <r>
      <rPr>
        <b/>
        <i/>
        <sz val="10"/>
        <rFont val="Arial"/>
        <family val="2"/>
      </rPr>
      <t>H</t>
    </r>
    <r>
      <rPr>
        <b/>
        <vertAlign val="superscript"/>
        <sz val="10"/>
        <rFont val="Arial"/>
        <family val="2"/>
      </rPr>
      <t>°</t>
    </r>
    <r>
      <rPr>
        <b/>
        <sz val="10"/>
        <rFont val="Arial"/>
        <family val="2"/>
      </rPr>
      <t>(</t>
    </r>
    <r>
      <rPr>
        <b/>
        <i/>
        <sz val="10"/>
        <rFont val="Arial"/>
        <family val="2"/>
      </rPr>
      <t>T</t>
    </r>
    <r>
      <rPr>
        <b/>
        <vertAlign val="subscript"/>
        <sz val="10"/>
        <rFont val="Arial"/>
        <family val="2"/>
      </rPr>
      <t>r</t>
    </r>
    <r>
      <rPr>
        <b/>
        <sz val="10"/>
        <rFont val="Arial"/>
        <family val="2"/>
      </rPr>
      <t>)</t>
    </r>
  </si>
  <si>
    <r>
      <rPr>
        <b/>
        <sz val="10"/>
        <rFont val="Cambria"/>
        <family val="1"/>
        <scheme val="major"/>
      </rPr>
      <t>Δ</t>
    </r>
    <r>
      <rPr>
        <b/>
        <vertAlign val="subscript"/>
        <sz val="10"/>
        <rFont val="Arial"/>
        <family val="2"/>
      </rPr>
      <t>f</t>
    </r>
    <r>
      <rPr>
        <b/>
        <i/>
        <sz val="10"/>
        <rFont val="Arial"/>
        <family val="2"/>
      </rPr>
      <t>H</t>
    </r>
    <r>
      <rPr>
        <b/>
        <vertAlign val="superscript"/>
        <sz val="10"/>
        <rFont val="Arial"/>
        <family val="2"/>
      </rPr>
      <t>°</t>
    </r>
  </si>
  <si>
    <r>
      <rPr>
        <b/>
        <sz val="10"/>
        <rFont val="Arial"/>
        <family val="2"/>
      </rPr>
      <t>Δ</t>
    </r>
    <r>
      <rPr>
        <b/>
        <vertAlign val="subscript"/>
        <sz val="10"/>
        <rFont val="Arial"/>
        <family val="2"/>
      </rPr>
      <t>f</t>
    </r>
    <r>
      <rPr>
        <b/>
        <i/>
        <sz val="10"/>
        <rFont val="Arial"/>
        <family val="2"/>
      </rPr>
      <t>G</t>
    </r>
    <r>
      <rPr>
        <b/>
        <vertAlign val="superscript"/>
        <sz val="10"/>
        <rFont val="Arial"/>
        <family val="2"/>
      </rPr>
      <t>°</t>
    </r>
  </si>
  <si>
    <r>
      <t>log K</t>
    </r>
    <r>
      <rPr>
        <b/>
        <vertAlign val="subscript"/>
        <sz val="10"/>
        <rFont val="Arial"/>
        <family val="2"/>
      </rPr>
      <t>f</t>
    </r>
  </si>
  <si>
    <t>INFINITE</t>
  </si>
  <si>
    <t>Reference temperature ==&gt;</t>
  </si>
  <si>
    <t xml:space="preserve">Table 2.  Heat content of water vapor in different units.  </t>
  </si>
  <si>
    <r>
      <t>Table 3.  Heat content equation parameters for water vapor = A + BT + CT</t>
    </r>
    <r>
      <rPr>
        <vertAlign val="superscript"/>
        <sz val="11"/>
        <rFont val="Arial"/>
        <family val="2"/>
      </rPr>
      <t>2</t>
    </r>
    <r>
      <rPr>
        <sz val="11"/>
        <rFont val="Arial"/>
        <family val="2"/>
      </rPr>
      <t xml:space="preserve"> </t>
    </r>
  </si>
  <si>
    <r>
      <t>J·mol</t>
    </r>
    <r>
      <rPr>
        <b/>
        <vertAlign val="superscript"/>
        <sz val="10"/>
        <rFont val="Arial"/>
        <family val="2"/>
      </rPr>
      <t>-1</t>
    </r>
  </si>
  <si>
    <r>
      <t>Btu·lb-mol</t>
    </r>
    <r>
      <rPr>
        <b/>
        <vertAlign val="superscript"/>
        <sz val="10"/>
        <rFont val="Arial"/>
        <family val="2"/>
      </rPr>
      <t>-1</t>
    </r>
  </si>
  <si>
    <t>PREVIOUS: March 1961 (1 atm)</t>
  </si>
  <si>
    <t>CURRENT: March 1979 (1 bar)</t>
  </si>
  <si>
    <r>
      <t>Using the Fact-Web On-line Thermochemical Database--</t>
    </r>
    <r>
      <rPr>
        <b/>
        <sz val="13"/>
        <rFont val="Arial"/>
        <family val="2"/>
      </rPr>
      <t>Oxygen and Nitrogen</t>
    </r>
  </si>
  <si>
    <r>
      <t xml:space="preserve">     Using the Fact-Web On-line Thermochemical Database--</t>
    </r>
    <r>
      <rPr>
        <b/>
        <sz val="13"/>
        <rFont val="Arial"/>
        <family val="2"/>
      </rPr>
      <t>Carbon Dioxide</t>
    </r>
  </si>
  <si>
    <t>Oxygen</t>
  </si>
  <si>
    <t>Nitrogen</t>
  </si>
  <si>
    <t>Carbon Dioxide</t>
  </si>
  <si>
    <r>
      <t>O</t>
    </r>
    <r>
      <rPr>
        <b/>
        <vertAlign val="subscript"/>
        <sz val="11"/>
        <color theme="1"/>
        <rFont val="Arial"/>
        <family val="2"/>
      </rPr>
      <t>2</t>
    </r>
  </si>
  <si>
    <r>
      <t>N</t>
    </r>
    <r>
      <rPr>
        <b/>
        <vertAlign val="subscript"/>
        <sz val="11"/>
        <rFont val="Arial"/>
        <family val="2"/>
      </rPr>
      <t>2</t>
    </r>
  </si>
  <si>
    <r>
      <t>CO</t>
    </r>
    <r>
      <rPr>
        <b/>
        <vertAlign val="subscript"/>
        <sz val="11"/>
        <color theme="1"/>
        <rFont val="Arial"/>
        <family val="2"/>
      </rPr>
      <t>2</t>
    </r>
  </si>
  <si>
    <r>
      <t xml:space="preserve">     Table 1A.  Thermodynamic properties of O</t>
    </r>
    <r>
      <rPr>
        <vertAlign val="subscript"/>
        <sz val="11"/>
        <rFont val="Arial"/>
        <family val="2"/>
      </rPr>
      <t>2</t>
    </r>
    <r>
      <rPr>
        <sz val="11"/>
        <rFont val="Arial"/>
        <family val="2"/>
      </rPr>
      <t xml:space="preserve"> in SI units</t>
    </r>
  </si>
  <si>
    <r>
      <t>Table 1B.  Thermodynamic properties of N</t>
    </r>
    <r>
      <rPr>
        <vertAlign val="subscript"/>
        <sz val="11"/>
        <rFont val="Arial"/>
        <family val="2"/>
      </rPr>
      <t>2</t>
    </r>
    <r>
      <rPr>
        <sz val="11"/>
        <rFont val="Arial"/>
        <family val="2"/>
      </rPr>
      <t xml:space="preserve"> in SI units</t>
    </r>
  </si>
  <si>
    <r>
      <t xml:space="preserve">     Table 5.  Thermodynamic properties of CO</t>
    </r>
    <r>
      <rPr>
        <vertAlign val="subscript"/>
        <sz val="11"/>
        <rFont val="Arial"/>
        <family val="2"/>
      </rPr>
      <t>2</t>
    </r>
    <r>
      <rPr>
        <sz val="11"/>
        <rFont val="Arial"/>
        <family val="2"/>
      </rPr>
      <t xml:space="preserve"> in SI units</t>
    </r>
  </si>
  <si>
    <t>T(K)</t>
  </si>
  <si>
    <t>H(J)</t>
  </si>
  <si>
    <t>G(J)</t>
  </si>
  <si>
    <t>Vol(litre)</t>
  </si>
  <si>
    <t>S(J/K)</t>
  </si>
  <si>
    <t>Cp(J/K)</t>
  </si>
  <si>
    <t>A, (J)</t>
  </si>
  <si>
    <t>T (°C)</t>
  </si>
  <si>
    <t>A_(J)</t>
  </si>
  <si>
    <r>
      <t>H</t>
    </r>
    <r>
      <rPr>
        <vertAlign val="subscript"/>
        <sz val="11"/>
        <rFont val="Arial"/>
        <family val="2"/>
      </rPr>
      <t>T</t>
    </r>
    <r>
      <rPr>
        <sz val="11"/>
        <rFont val="Arial"/>
        <family val="2"/>
      </rPr>
      <t>-H</t>
    </r>
    <r>
      <rPr>
        <vertAlign val="subscript"/>
        <sz val="11"/>
        <rFont val="Arial"/>
        <family val="2"/>
      </rPr>
      <t>298</t>
    </r>
  </si>
  <si>
    <t>------O2(g)------</t>
  </si>
  <si>
    <t>------N2(g)------</t>
  </si>
  <si>
    <t xml:space="preserve">------ CO2(g) ------ </t>
  </si>
  <si>
    <t>Table 2.  AES units</t>
  </si>
  <si>
    <t>T (°F)</t>
  </si>
  <si>
    <t>H(Btu)</t>
  </si>
  <si>
    <r>
      <t>Table 3.  Heat content for O</t>
    </r>
    <r>
      <rPr>
        <vertAlign val="subscript"/>
        <sz val="10.9"/>
        <rFont val="Arial"/>
        <family val="2"/>
      </rPr>
      <t>2</t>
    </r>
    <r>
      <rPr>
        <sz val="10.9"/>
        <rFont val="Arial"/>
        <family val="2"/>
      </rPr>
      <t xml:space="preserve"> and N</t>
    </r>
    <r>
      <rPr>
        <vertAlign val="subscript"/>
        <sz val="10.9"/>
        <rFont val="Arial"/>
        <family val="2"/>
      </rPr>
      <t>2</t>
    </r>
    <r>
      <rPr>
        <sz val="10.9"/>
        <rFont val="Arial"/>
        <family val="2"/>
      </rPr>
      <t xml:space="preserve"> = A + BT</t>
    </r>
  </si>
  <si>
    <r>
      <t>Figure 1.  Heat content of O</t>
    </r>
    <r>
      <rPr>
        <vertAlign val="subscript"/>
        <sz val="11"/>
        <rFont val="Arial"/>
        <family val="2"/>
      </rPr>
      <t>2</t>
    </r>
    <r>
      <rPr>
        <sz val="11"/>
        <rFont val="Arial"/>
        <family val="2"/>
      </rPr>
      <t xml:space="preserve"> and N</t>
    </r>
    <r>
      <rPr>
        <vertAlign val="subscript"/>
        <sz val="11"/>
        <rFont val="Arial"/>
        <family val="2"/>
      </rPr>
      <t>2</t>
    </r>
    <r>
      <rPr>
        <sz val="11"/>
        <rFont val="Arial"/>
        <family val="2"/>
      </rPr>
      <t xml:space="preserve"> in SI units</t>
    </r>
  </si>
  <si>
    <r>
      <t>Figure 2.  Heat content of O</t>
    </r>
    <r>
      <rPr>
        <vertAlign val="subscript"/>
        <sz val="11"/>
        <rFont val="Arial"/>
        <family val="2"/>
      </rPr>
      <t>2</t>
    </r>
    <r>
      <rPr>
        <sz val="11"/>
        <rFont val="Arial"/>
        <family val="2"/>
      </rPr>
      <t xml:space="preserve"> and N</t>
    </r>
    <r>
      <rPr>
        <vertAlign val="subscript"/>
        <sz val="11"/>
        <rFont val="Arial"/>
        <family val="2"/>
      </rPr>
      <t>2</t>
    </r>
    <r>
      <rPr>
        <sz val="11"/>
        <rFont val="Arial"/>
        <family val="2"/>
      </rPr>
      <t xml:space="preserve"> in AES units</t>
    </r>
  </si>
  <si>
    <r>
      <t>N</t>
    </r>
    <r>
      <rPr>
        <vertAlign val="subscript"/>
        <sz val="11"/>
        <rFont val="Arial"/>
        <family val="2"/>
      </rPr>
      <t>2</t>
    </r>
  </si>
  <si>
    <r>
      <t>O</t>
    </r>
    <r>
      <rPr>
        <vertAlign val="subscript"/>
        <sz val="11"/>
        <rFont val="Arial"/>
        <family val="2"/>
      </rPr>
      <t>2</t>
    </r>
  </si>
  <si>
    <t>Figure 3.  Heat content of air in SI units, and quadratic equation obtained using trendline.</t>
  </si>
  <si>
    <t>Table 4.  Heat content for air from Tables 1A &amp; 1B</t>
  </si>
  <si>
    <t>T(°C)</t>
  </si>
  <si>
    <t>O2</t>
  </si>
  <si>
    <t>N2</t>
  </si>
  <si>
    <r>
      <rPr>
        <sz val="10"/>
        <rFont val="Symbol"/>
        <family val="1"/>
        <charset val="2"/>
      </rPr>
      <t>Ü</t>
    </r>
    <r>
      <rPr>
        <sz val="10"/>
        <rFont val="Arial"/>
        <family val="2"/>
      </rPr>
      <t>use this value</t>
    </r>
  </si>
  <si>
    <t>Stack gas temperature</t>
  </si>
  <si>
    <t>kg of Aluminum</t>
  </si>
  <si>
    <t>7.  Sum of heat effects for furnace</t>
  </si>
  <si>
    <t>Sum of furnace heat effects</t>
  </si>
  <si>
    <t>Goal Seek Operation.  Enter/edit value in cell AI33 only.</t>
  </si>
  <si>
    <t>Datafiles and Charts from FREED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</si>
</sst>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00E+00"/>
    <numFmt numFmtId="165" formatCode="0.0"/>
    <numFmt numFmtId="166" formatCode="0.000"/>
    <numFmt numFmtId="167" formatCode="0.0000"/>
    <numFmt numFmtId="168" formatCode="0.00000"/>
    <numFmt numFmtId="169" formatCode="#.0#;#.0#;\O\ \K;@"/>
    <numFmt numFmtId="170" formatCode="#,##0.00#"/>
    <numFmt numFmtId="171" formatCode=";;;"/>
    <numFmt numFmtId="172" formatCode="#,##0.00####"/>
  </numFmts>
  <fonts count="49" x14ac:knownFonts="1">
    <font>
      <sz val="10"/>
      <name val="Arial"/>
      <family val="2"/>
    </font>
    <font>
      <sz val="10"/>
      <color theme="1"/>
      <name val="Arial"/>
      <family val="2"/>
    </font>
    <font>
      <sz val="10"/>
      <name val="Arial"/>
      <family val="2"/>
    </font>
    <font>
      <sz val="9"/>
      <name val="Arial"/>
      <family val="2"/>
    </font>
    <font>
      <sz val="10"/>
      <name val="Symbol"/>
      <family val="1"/>
      <charset val="2"/>
    </font>
    <font>
      <sz val="11"/>
      <name val="Arial"/>
      <family val="2"/>
    </font>
    <font>
      <b/>
      <sz val="11"/>
      <name val="Arial"/>
      <family val="2"/>
    </font>
    <font>
      <vertAlign val="superscript"/>
      <sz val="11"/>
      <name val="Arial"/>
      <family val="2"/>
    </font>
    <font>
      <vertAlign val="subscript"/>
      <sz val="10"/>
      <name val="Arial"/>
      <family val="2"/>
    </font>
    <font>
      <sz val="12"/>
      <name val="Arial"/>
      <family val="2"/>
    </font>
    <font>
      <sz val="13"/>
      <name val="Arial"/>
      <family val="2"/>
    </font>
    <font>
      <b/>
      <sz val="13"/>
      <name val="Arial"/>
      <family val="2"/>
    </font>
    <font>
      <b/>
      <sz val="10"/>
      <name val="Symbol"/>
      <family val="1"/>
      <charset val="2"/>
    </font>
    <font>
      <vertAlign val="subscript"/>
      <sz val="12"/>
      <name val="Arial"/>
      <family val="2"/>
    </font>
    <font>
      <vertAlign val="subscript"/>
      <sz val="11"/>
      <name val="Arial"/>
      <family val="2"/>
    </font>
    <font>
      <b/>
      <sz val="10"/>
      <name val="Arial"/>
      <family val="2"/>
    </font>
    <font>
      <b/>
      <vertAlign val="subscript"/>
      <sz val="10"/>
      <name val="Arial"/>
      <family val="2"/>
    </font>
    <font>
      <b/>
      <vertAlign val="subscript"/>
      <sz val="11"/>
      <name val="Arial"/>
      <family val="2"/>
    </font>
    <font>
      <b/>
      <sz val="9"/>
      <name val="Arial"/>
      <family val="2"/>
    </font>
    <font>
      <u/>
      <sz val="10"/>
      <name val="Arial"/>
      <family val="2"/>
    </font>
    <font>
      <sz val="10.9"/>
      <name val="Arial"/>
      <family val="2"/>
    </font>
    <font>
      <vertAlign val="subscript"/>
      <sz val="10.9"/>
      <name val="Arial"/>
      <family val="2"/>
    </font>
    <font>
      <vertAlign val="superscript"/>
      <sz val="10"/>
      <name val="Arial"/>
      <family val="2"/>
    </font>
    <font>
      <i/>
      <sz val="11"/>
      <name val="Arial"/>
      <family val="2"/>
    </font>
    <font>
      <i/>
      <sz val="10"/>
      <name val="Arial"/>
      <family val="2"/>
    </font>
    <font>
      <sz val="7.5"/>
      <name val="Arial"/>
      <family val="2"/>
    </font>
    <font>
      <b/>
      <vertAlign val="superscript"/>
      <sz val="10"/>
      <name val="Arial"/>
      <family val="2"/>
    </font>
    <font>
      <b/>
      <i/>
      <sz val="10"/>
      <name val="Arial"/>
      <family val="2"/>
    </font>
    <font>
      <b/>
      <i/>
      <vertAlign val="subscript"/>
      <sz val="10"/>
      <name val="Arial"/>
      <family val="2"/>
    </font>
    <font>
      <b/>
      <sz val="10"/>
      <name val="Cambria"/>
      <family val="1"/>
      <scheme val="major"/>
    </font>
    <font>
      <u/>
      <sz val="10"/>
      <name val="Lucida Sans Unicode"/>
      <family val="2"/>
    </font>
    <font>
      <sz val="10"/>
      <name val="Lucida Sans Unicode"/>
      <family val="2"/>
    </font>
    <font>
      <sz val="10"/>
      <color rgb="FF0B075E"/>
      <name val="Courier"/>
      <family val="3"/>
    </font>
    <font>
      <b/>
      <sz val="11"/>
      <color theme="1"/>
      <name val="Arial"/>
      <family val="2"/>
    </font>
    <font>
      <b/>
      <vertAlign val="subscript"/>
      <sz val="11"/>
      <color theme="1"/>
      <name val="Arial"/>
      <family val="2"/>
    </font>
    <font>
      <sz val="10"/>
      <color rgb="FFFFFFFF"/>
      <name val="Trebuchet MS"/>
      <family val="2"/>
    </font>
    <font>
      <sz val="10"/>
      <color rgb="FF0B075E"/>
      <name val="Trebuchet MS"/>
      <family val="2"/>
    </font>
    <font>
      <sz val="10"/>
      <color rgb="FF0B075E"/>
      <name val="Arial"/>
      <family val="2"/>
    </font>
    <font>
      <sz val="10"/>
      <name val="Verdana"/>
      <family val="2"/>
    </font>
    <font>
      <sz val="8"/>
      <color indexed="42"/>
      <name val="Arial"/>
      <family val="2"/>
    </font>
    <font>
      <b/>
      <sz val="10"/>
      <color indexed="8"/>
      <name val="Arial"/>
      <family val="2"/>
    </font>
    <font>
      <sz val="7"/>
      <name val="Arial"/>
      <family val="2"/>
    </font>
    <font>
      <sz val="10"/>
      <color indexed="10"/>
      <name val="Arial"/>
      <family val="2"/>
    </font>
    <font>
      <b/>
      <i/>
      <sz val="12"/>
      <color indexed="13"/>
      <name val="Arial"/>
      <family val="2"/>
    </font>
    <font>
      <b/>
      <sz val="10"/>
      <color indexed="13"/>
      <name val="Arial"/>
      <family val="2"/>
    </font>
    <font>
      <sz val="10"/>
      <color indexed="13"/>
      <name val="Arial"/>
      <family val="2"/>
    </font>
    <font>
      <b/>
      <i/>
      <sz val="10"/>
      <color indexed="13"/>
      <name val="Arial"/>
      <family val="2"/>
    </font>
    <font>
      <sz val="10"/>
      <color indexed="9"/>
      <name val="Arial"/>
      <family val="2"/>
    </font>
    <font>
      <sz val="14"/>
      <name val="Arial"/>
      <family val="2"/>
    </font>
  </fonts>
  <fills count="40">
    <fill>
      <patternFill patternType="none"/>
    </fill>
    <fill>
      <patternFill patternType="gray125"/>
    </fill>
    <fill>
      <patternFill patternType="solid">
        <fgColor theme="0"/>
        <bgColor indexed="64"/>
      </patternFill>
    </fill>
    <fill>
      <patternFill patternType="solid">
        <fgColor rgb="FFFFEEB9"/>
        <bgColor rgb="FF000000"/>
      </patternFill>
    </fill>
    <fill>
      <patternFill patternType="solid">
        <fgColor rgb="FFFFFFA7"/>
        <bgColor indexed="64"/>
      </patternFill>
    </fill>
    <fill>
      <patternFill patternType="solid">
        <fgColor theme="2" tint="-0.249977111117893"/>
        <bgColor indexed="64"/>
      </patternFill>
    </fill>
    <fill>
      <patternFill patternType="solid">
        <fgColor theme="3" tint="0.79998168889431442"/>
        <bgColor indexed="64"/>
      </patternFill>
    </fill>
    <fill>
      <patternFill patternType="solid">
        <fgColor rgb="FFF0D5D4"/>
        <bgColor rgb="FF000000"/>
      </patternFill>
    </fill>
    <fill>
      <patternFill patternType="solid">
        <fgColor rgb="FFD1D1D1"/>
        <bgColor rgb="FF000000"/>
      </patternFill>
    </fill>
    <fill>
      <patternFill patternType="solid">
        <fgColor rgb="FFFFFFA3"/>
        <bgColor rgb="FF000000"/>
      </patternFill>
    </fill>
    <fill>
      <patternFill patternType="solid">
        <fgColor rgb="FFD8E4BC"/>
        <bgColor rgb="FF000000"/>
      </patternFill>
    </fill>
    <fill>
      <patternFill patternType="solid">
        <fgColor rgb="FFFFB13F"/>
        <bgColor indexed="64"/>
      </patternFill>
    </fill>
    <fill>
      <patternFill patternType="solid">
        <fgColor theme="5" tint="0.59999389629810485"/>
        <bgColor indexed="64"/>
      </patternFill>
    </fill>
    <fill>
      <patternFill patternType="solid">
        <fgColor rgb="FFFFEAA7"/>
        <bgColor indexed="64"/>
      </patternFill>
    </fill>
    <fill>
      <patternFill patternType="solid">
        <fgColor theme="6" tint="0.39997558519241921"/>
        <bgColor indexed="64"/>
      </patternFill>
    </fill>
    <fill>
      <patternFill patternType="solid">
        <fgColor rgb="FFC7D99F"/>
        <bgColor indexed="64"/>
      </patternFill>
    </fill>
    <fill>
      <patternFill patternType="solid">
        <fgColor rgb="FFD0CAAC"/>
        <bgColor indexed="64"/>
      </patternFill>
    </fill>
    <fill>
      <patternFill patternType="solid">
        <fgColor rgb="FFFFCCCC"/>
        <bgColor indexed="64"/>
      </patternFill>
    </fill>
    <fill>
      <patternFill patternType="solid">
        <fgColor indexed="26"/>
        <bgColor indexed="64"/>
      </patternFill>
    </fill>
    <fill>
      <patternFill patternType="solid">
        <fgColor rgb="FFE8BFBE"/>
        <bgColor indexed="64"/>
      </patternFill>
    </fill>
    <fill>
      <patternFill patternType="solid">
        <fgColor theme="9" tint="0.39997558519241921"/>
        <bgColor indexed="64"/>
      </patternFill>
    </fill>
    <fill>
      <patternFill patternType="solid">
        <fgColor rgb="FF8A1414"/>
        <bgColor indexed="64"/>
      </patternFill>
    </fill>
    <fill>
      <patternFill patternType="solid">
        <fgColor rgb="FFE1DFEA"/>
        <bgColor indexed="64"/>
      </patternFill>
    </fill>
    <fill>
      <patternFill patternType="solid">
        <fgColor rgb="FFF2E6E6"/>
        <bgColor indexed="64"/>
      </patternFill>
    </fill>
    <fill>
      <patternFill patternType="solid">
        <fgColor rgb="FFFFFFFF"/>
        <bgColor indexed="64"/>
      </patternFill>
    </fill>
    <fill>
      <patternFill patternType="solid">
        <fgColor rgb="FFFFEEB9"/>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EEEEEE"/>
        <bgColor indexed="64"/>
      </patternFill>
    </fill>
    <fill>
      <patternFill patternType="solid">
        <fgColor indexed="57"/>
      </patternFill>
    </fill>
    <fill>
      <patternFill patternType="solid">
        <fgColor indexed="22"/>
      </patternFill>
    </fill>
    <fill>
      <patternFill patternType="solid">
        <fgColor indexed="44"/>
      </patternFill>
    </fill>
    <fill>
      <patternFill patternType="solid">
        <fgColor indexed="46"/>
        <bgColor indexed="64"/>
      </patternFill>
    </fill>
    <fill>
      <patternFill patternType="solid">
        <fgColor indexed="42"/>
      </patternFill>
    </fill>
    <fill>
      <patternFill patternType="solid">
        <fgColor indexed="21"/>
      </patternFill>
    </fill>
    <fill>
      <patternFill patternType="solid">
        <fgColor indexed="38"/>
      </patternFill>
    </fill>
    <fill>
      <patternFill patternType="solid">
        <fgColor indexed="47"/>
      </patternFill>
    </fill>
    <fill>
      <patternFill patternType="solid">
        <fgColor indexed="21"/>
        <bgColor indexed="64"/>
      </patternFill>
    </fill>
    <fill>
      <patternFill patternType="solid">
        <fgColor indexed="26"/>
      </patternFill>
    </fill>
    <fill>
      <patternFill patternType="solid">
        <fgColor indexed="48"/>
      </patternFill>
    </fill>
  </fills>
  <borders count="4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hair">
        <color theme="1"/>
      </left>
      <right style="hair">
        <color theme="1"/>
      </right>
      <top style="hair">
        <color theme="1"/>
      </top>
      <bottom/>
      <diagonal/>
    </border>
    <border>
      <left style="hair">
        <color theme="1"/>
      </left>
      <right style="hair">
        <color theme="1"/>
      </right>
      <top/>
      <bottom style="hair">
        <color theme="1"/>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diagonal/>
    </border>
    <border>
      <left/>
      <right/>
      <top/>
      <bottom style="medium">
        <color theme="1" tint="0.249977111117893"/>
      </bottom>
      <diagonal/>
    </border>
    <border>
      <left/>
      <right/>
      <top/>
      <bottom style="thin">
        <color theme="1" tint="0.249977111117893"/>
      </bottom>
      <diagonal/>
    </border>
    <border>
      <left style="thin">
        <color indexed="64"/>
      </left>
      <right style="thin">
        <color indexed="64"/>
      </right>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bottom/>
      <diagonal/>
    </border>
    <border>
      <left style="thin">
        <color indexed="64"/>
      </left>
      <right style="thin">
        <color indexed="64"/>
      </right>
      <top/>
      <bottom style="thin">
        <color rgb="FF000000"/>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top style="hair">
        <color indexed="64"/>
      </top>
      <bottom/>
      <diagonal/>
    </border>
    <border>
      <left style="medium">
        <color theme="3" tint="0.39994506668294322"/>
      </left>
      <right style="medium">
        <color theme="3" tint="0.39994506668294322"/>
      </right>
      <top style="medium">
        <color theme="3" tint="0.39994506668294322"/>
      </top>
      <bottom style="medium">
        <color theme="3" tint="0.39994506668294322"/>
      </bottom>
      <diagonal/>
    </border>
  </borders>
  <cellStyleXfs count="26">
    <xf numFmtId="0" fontId="0" fillId="0" borderId="0"/>
    <xf numFmtId="169" fontId="39" fillId="29" borderId="36" applyNumberFormat="0" applyBorder="0" applyAlignment="0">
      <alignment horizontal="center" vertical="center"/>
    </xf>
    <xf numFmtId="170" fontId="2" fillId="30" borderId="37" applyNumberFormat="0" applyBorder="0" applyAlignment="0">
      <alignment horizontal="center" vertical="center"/>
      <protection locked="0"/>
    </xf>
    <xf numFmtId="170" fontId="2" fillId="31" borderId="37" applyNumberFormat="0" applyBorder="0" applyAlignment="0">
      <alignment horizontal="center" vertical="center"/>
      <protection locked="0"/>
    </xf>
    <xf numFmtId="170" fontId="2" fillId="30" borderId="37" applyNumberFormat="0" applyBorder="0" applyAlignment="0">
      <alignment horizontal="center" vertical="center"/>
    </xf>
    <xf numFmtId="0" fontId="40" fillId="32" borderId="38">
      <alignment horizontal="center"/>
    </xf>
    <xf numFmtId="0" fontId="41" fillId="33" borderId="3" applyNumberFormat="0" applyBorder="0" applyAlignment="0">
      <alignment horizontal="center" vertical="center"/>
    </xf>
    <xf numFmtId="170" fontId="42" fillId="34" borderId="0" applyNumberFormat="0" applyBorder="0" applyAlignment="0">
      <alignment horizontal="center"/>
    </xf>
    <xf numFmtId="0" fontId="43" fillId="35" borderId="0" applyNumberFormat="0" applyBorder="0" applyAlignment="0"/>
    <xf numFmtId="0" fontId="44" fillId="35" borderId="0" applyNumberFormat="0" applyBorder="0" applyAlignment="0">
      <alignment horizontal="centerContinuous"/>
    </xf>
    <xf numFmtId="0" fontId="45" fillId="35" borderId="0" applyNumberFormat="0" applyBorder="0" applyAlignment="0">
      <alignment horizontal="center"/>
    </xf>
    <xf numFmtId="0" fontId="43" fillId="35" borderId="3" applyNumberFormat="0" applyBorder="0" applyAlignment="0"/>
    <xf numFmtId="0" fontId="44" fillId="35" borderId="3" applyNumberFormat="0" applyBorder="0" applyAlignment="0">
      <alignment horizontal="centerContinuous"/>
    </xf>
    <xf numFmtId="0" fontId="45" fillId="35" borderId="3" applyNumberFormat="0" applyBorder="0" applyAlignment="0">
      <alignment horizontal="center"/>
    </xf>
    <xf numFmtId="0" fontId="46" fillId="35" borderId="0" applyNumberFormat="0" applyBorder="0" applyAlignment="0">
      <alignment horizontal="left"/>
    </xf>
    <xf numFmtId="171" fontId="2" fillId="34" borderId="0" applyNumberFormat="0" applyBorder="0" applyAlignment="0">
      <alignment horizontal="center"/>
      <protection hidden="1"/>
    </xf>
    <xf numFmtId="170" fontId="2" fillId="36" borderId="3" applyNumberFormat="0" applyBorder="0" applyAlignment="0">
      <alignment horizontal="center" vertical="center"/>
    </xf>
    <xf numFmtId="0" fontId="2" fillId="0" borderId="0"/>
    <xf numFmtId="0" fontId="2" fillId="0" borderId="0"/>
    <xf numFmtId="0" fontId="1" fillId="0" borderId="0"/>
    <xf numFmtId="0" fontId="2" fillId="37" borderId="0">
      <alignment horizontal="center"/>
      <protection locked="0"/>
    </xf>
    <xf numFmtId="0" fontId="2" fillId="34" borderId="0" applyNumberFormat="0" applyBorder="0" applyAlignment="0">
      <alignment horizontal="center"/>
    </xf>
    <xf numFmtId="0" fontId="2" fillId="35" borderId="0" applyNumberFormat="0" applyBorder="0" applyAlignment="0">
      <protection locked="0"/>
    </xf>
    <xf numFmtId="172" fontId="2" fillId="38" borderId="37" applyNumberFormat="0" applyBorder="0" applyAlignment="0">
      <alignment horizontal="center" vertical="center"/>
      <protection locked="0"/>
    </xf>
    <xf numFmtId="170" fontId="47" fillId="39" borderId="37" applyNumberFormat="0" applyBorder="0" applyAlignment="0">
      <alignment horizontal="center" vertical="center"/>
      <protection locked="0"/>
    </xf>
    <xf numFmtId="0" fontId="15" fillId="34" borderId="0" applyNumberFormat="0" applyBorder="0" applyAlignment="0">
      <alignment horizontal="center"/>
      <protection locked="0"/>
    </xf>
  </cellStyleXfs>
  <cellXfs count="257">
    <xf numFmtId="0" fontId="0" fillId="0" borderId="0" xfId="0"/>
    <xf numFmtId="0" fontId="3" fillId="0" borderId="0" xfId="0" applyFont="1" applyAlignment="1">
      <alignment horizontal="left" vertical="top"/>
    </xf>
    <xf numFmtId="0" fontId="0" fillId="2" borderId="0" xfId="0" applyFill="1"/>
    <xf numFmtId="0" fontId="0" fillId="3" borderId="1" xfId="0" applyFont="1" applyFill="1" applyBorder="1"/>
    <xf numFmtId="0" fontId="0" fillId="3" borderId="2" xfId="0" applyFont="1" applyFill="1" applyBorder="1" applyAlignment="1">
      <alignment horizontal="right"/>
    </xf>
    <xf numFmtId="0" fontId="0" fillId="3" borderId="2" xfId="0" applyFont="1" applyFill="1" applyBorder="1" applyAlignment="1">
      <alignment horizontal="right" vertical="center"/>
    </xf>
    <xf numFmtId="2" fontId="0" fillId="3" borderId="3" xfId="0" applyNumberFormat="1" applyFont="1" applyFill="1" applyBorder="1" applyAlignment="1">
      <alignment horizontal="center" vertical="center"/>
    </xf>
    <xf numFmtId="0" fontId="5" fillId="3" borderId="4" xfId="0" applyFont="1" applyFill="1" applyBorder="1" applyAlignment="1">
      <alignment horizontal="center" vertical="center"/>
    </xf>
    <xf numFmtId="3" fontId="5" fillId="3" borderId="5" xfId="0" applyNumberFormat="1" applyFont="1" applyFill="1" applyBorder="1" applyAlignment="1">
      <alignment horizontal="center" vertical="center"/>
    </xf>
    <xf numFmtId="0" fontId="0" fillId="2" borderId="0" xfId="0" applyFont="1" applyFill="1" applyBorder="1"/>
    <xf numFmtId="0" fontId="5" fillId="4" borderId="2" xfId="0" applyFont="1" applyFill="1" applyBorder="1"/>
    <xf numFmtId="0" fontId="5" fillId="4" borderId="2" xfId="0" applyFont="1" applyFill="1" applyBorder="1" applyAlignment="1">
      <alignment horizontal="left"/>
    </xf>
    <xf numFmtId="0" fontId="0" fillId="4" borderId="2" xfId="0" applyFill="1" applyBorder="1"/>
    <xf numFmtId="0" fontId="0" fillId="5" borderId="0" xfId="0" applyFill="1"/>
    <xf numFmtId="0" fontId="0" fillId="0" borderId="0" xfId="0" applyFont="1" applyFill="1" applyBorder="1"/>
    <xf numFmtId="0" fontId="2" fillId="0" borderId="3" xfId="0" applyFont="1" applyBorder="1" applyAlignment="1">
      <alignment horizontal="center" vertical="center"/>
    </xf>
    <xf numFmtId="0" fontId="0" fillId="0" borderId="3" xfId="0" applyFont="1" applyBorder="1" applyAlignment="1">
      <alignment horizontal="center" vertical="center"/>
    </xf>
    <xf numFmtId="0" fontId="0" fillId="6" borderId="3" xfId="0" applyFill="1" applyBorder="1" applyAlignment="1">
      <alignment horizontal="center" vertical="center"/>
    </xf>
    <xf numFmtId="2" fontId="0" fillId="6" borderId="3" xfId="0" applyNumberFormat="1" applyFill="1" applyBorder="1" applyAlignment="1">
      <alignment horizontal="center" vertical="center"/>
    </xf>
    <xf numFmtId="164" fontId="0" fillId="6" borderId="3" xfId="0" applyNumberFormat="1" applyFill="1" applyBorder="1" applyAlignment="1">
      <alignment horizontal="center" vertical="center"/>
    </xf>
    <xf numFmtId="0" fontId="2" fillId="0" borderId="6" xfId="0"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6" fillId="7" borderId="7" xfId="0" applyNumberFormat="1" applyFont="1" applyFill="1" applyBorder="1" applyAlignment="1">
      <alignment horizontal="right" vertical="center"/>
    </xf>
    <xf numFmtId="0" fontId="5" fillId="7" borderId="3" xfId="0" applyNumberFormat="1" applyFont="1" applyFill="1" applyBorder="1" applyAlignment="1">
      <alignment horizontal="center" vertical="center"/>
    </xf>
    <xf numFmtId="0" fontId="6" fillId="8" borderId="0" xfId="0" applyNumberFormat="1" applyFont="1" applyFill="1" applyBorder="1" applyAlignment="1">
      <alignment horizontal="center" vertical="center"/>
    </xf>
    <xf numFmtId="0" fontId="6" fillId="8" borderId="3" xfId="0" applyNumberFormat="1" applyFont="1" applyFill="1" applyBorder="1" applyAlignment="1">
      <alignment horizontal="center" vertical="center"/>
    </xf>
    <xf numFmtId="0" fontId="6" fillId="8" borderId="1" xfId="0" applyNumberFormat="1" applyFont="1" applyFill="1" applyBorder="1" applyAlignment="1">
      <alignment horizontal="center" vertical="center"/>
    </xf>
    <xf numFmtId="0" fontId="2" fillId="0" borderId="1" xfId="0" applyFont="1" applyBorder="1" applyAlignment="1">
      <alignment horizontal="center" vertical="center"/>
    </xf>
    <xf numFmtId="0" fontId="6" fillId="9" borderId="8" xfId="0" applyNumberFormat="1" applyFont="1" applyFill="1" applyBorder="1" applyAlignment="1">
      <alignment horizontal="center" vertical="center"/>
    </xf>
    <xf numFmtId="3" fontId="5" fillId="9" borderId="3" xfId="0" applyNumberFormat="1" applyFont="1" applyFill="1" applyBorder="1" applyAlignment="1">
      <alignment horizontal="center" vertical="center"/>
    </xf>
    <xf numFmtId="0" fontId="0" fillId="10" borderId="7" xfId="0" applyNumberFormat="1" applyFont="1" applyFill="1" applyBorder="1" applyAlignment="1">
      <alignment horizontal="right" vertical="center"/>
    </xf>
    <xf numFmtId="0" fontId="2" fillId="10" borderId="3" xfId="0" applyFont="1" applyFill="1" applyBorder="1" applyAlignment="1">
      <alignment horizontal="center" vertical="center"/>
    </xf>
    <xf numFmtId="3" fontId="2" fillId="10" borderId="3"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0" fillId="0" borderId="0" xfId="0" applyAlignment="1">
      <alignment horizontal="center" vertical="center"/>
    </xf>
    <xf numFmtId="165" fontId="2" fillId="10" borderId="3" xfId="0" applyNumberFormat="1" applyFont="1" applyFill="1" applyBorder="1" applyAlignment="1">
      <alignment horizontal="center" vertical="center"/>
    </xf>
    <xf numFmtId="0" fontId="0" fillId="5" borderId="0" xfId="0" applyFill="1" applyAlignment="1">
      <alignment vertical="top"/>
    </xf>
    <xf numFmtId="0" fontId="5" fillId="5" borderId="0" xfId="0" applyFont="1" applyFill="1" applyAlignment="1">
      <alignment horizontal="center" vertical="top"/>
    </xf>
    <xf numFmtId="165" fontId="0" fillId="11" borderId="3" xfId="0" applyNumberFormat="1" applyFill="1" applyBorder="1" applyAlignment="1">
      <alignment horizontal="center" vertical="center"/>
    </xf>
    <xf numFmtId="166" fontId="0" fillId="11" borderId="3" xfId="0" applyNumberFormat="1" applyFill="1" applyBorder="1" applyAlignment="1">
      <alignment horizontal="center" vertical="center"/>
    </xf>
    <xf numFmtId="11" fontId="0" fillId="11" borderId="3" xfId="0" applyNumberFormat="1" applyFill="1" applyBorder="1" applyAlignment="1">
      <alignment horizontal="center" vertical="center"/>
    </xf>
    <xf numFmtId="3" fontId="0" fillId="0" borderId="0" xfId="0" applyNumberFormat="1"/>
    <xf numFmtId="3" fontId="0" fillId="0" borderId="0" xfId="0" applyNumberFormat="1" applyAlignment="1">
      <alignment horizontal="right" vertical="center"/>
    </xf>
    <xf numFmtId="3" fontId="5" fillId="12" borderId="0" xfId="0" applyNumberFormat="1" applyFont="1" applyFill="1" applyAlignment="1">
      <alignment horizontal="right" vertical="center"/>
    </xf>
    <xf numFmtId="1" fontId="0" fillId="0" borderId="0" xfId="0" applyNumberFormat="1" applyAlignment="1">
      <alignment horizontal="center" vertical="center"/>
    </xf>
    <xf numFmtId="0" fontId="0" fillId="0" borderId="0" xfId="0" applyAlignment="1">
      <alignment horizontal="right" vertical="center"/>
    </xf>
    <xf numFmtId="0" fontId="5" fillId="0" borderId="6" xfId="0" applyFont="1" applyBorder="1"/>
    <xf numFmtId="3" fontId="0" fillId="0" borderId="0" xfId="0" applyNumberFormat="1" applyAlignment="1">
      <alignment horizontal="right"/>
    </xf>
    <xf numFmtId="0" fontId="0" fillId="0" borderId="0" xfId="0" applyFont="1" applyAlignment="1">
      <alignment vertical="center"/>
    </xf>
    <xf numFmtId="3" fontId="5" fillId="12" borderId="0" xfId="0" applyNumberFormat="1" applyFont="1" applyFill="1" applyAlignment="1">
      <alignment horizontal="right"/>
    </xf>
    <xf numFmtId="0" fontId="0" fillId="0" borderId="0" xfId="0" applyFont="1"/>
    <xf numFmtId="10" fontId="2" fillId="0" borderId="0" xfId="0" applyNumberFormat="1" applyFont="1" applyFill="1" applyBorder="1" applyAlignment="1">
      <alignment horizontal="center" vertical="center"/>
    </xf>
    <xf numFmtId="0" fontId="0" fillId="0" borderId="6" xfId="0" applyBorder="1"/>
    <xf numFmtId="10" fontId="0" fillId="0" borderId="6" xfId="0" applyNumberFormat="1" applyFont="1" applyFill="1" applyBorder="1" applyAlignment="1">
      <alignment horizontal="center" vertical="center"/>
    </xf>
    <xf numFmtId="10" fontId="0" fillId="0" borderId="9" xfId="0" applyNumberFormat="1" applyFont="1" applyFill="1" applyBorder="1" applyAlignment="1">
      <alignment horizontal="left" vertical="center"/>
    </xf>
    <xf numFmtId="1" fontId="2" fillId="0" borderId="0" xfId="0" applyNumberFormat="1" applyFont="1" applyFill="1" applyBorder="1" applyAlignment="1">
      <alignment horizontal="center" vertical="center"/>
    </xf>
    <xf numFmtId="9" fontId="2" fillId="0" borderId="0" xfId="0" applyNumberFormat="1" applyFont="1" applyFill="1" applyBorder="1" applyAlignment="1">
      <alignment horizontal="center" vertical="center"/>
    </xf>
    <xf numFmtId="0" fontId="0" fillId="13" borderId="1" xfId="0" applyFill="1" applyBorder="1" applyAlignment="1">
      <alignment horizontal="center" vertical="center"/>
    </xf>
    <xf numFmtId="0" fontId="9" fillId="13" borderId="1" xfId="0" applyFont="1" applyFill="1" applyBorder="1" applyAlignment="1">
      <alignment horizontal="center" vertical="center"/>
    </xf>
    <xf numFmtId="0" fontId="0" fillId="13" borderId="2" xfId="0" applyFill="1" applyBorder="1" applyAlignment="1">
      <alignment horizontal="center" vertical="center"/>
    </xf>
    <xf numFmtId="0" fontId="10" fillId="13" borderId="2" xfId="0" applyFont="1" applyFill="1" applyBorder="1" applyAlignment="1">
      <alignment horizontal="center" vertical="center"/>
    </xf>
    <xf numFmtId="0" fontId="0" fillId="13" borderId="7" xfId="0" applyFill="1" applyBorder="1" applyAlignment="1">
      <alignment horizontal="center" vertical="center"/>
    </xf>
    <xf numFmtId="0" fontId="2" fillId="0" borderId="0" xfId="0" applyFont="1" applyAlignment="1">
      <alignment horizontal="right" vertical="center"/>
    </xf>
    <xf numFmtId="0" fontId="0" fillId="14" borderId="3" xfId="0" applyFill="1" applyBorder="1" applyAlignment="1">
      <alignment horizontal="center"/>
    </xf>
    <xf numFmtId="0" fontId="5" fillId="5" borderId="0" xfId="0" applyFont="1" applyFill="1"/>
    <xf numFmtId="0" fontId="2" fillId="0" borderId="0" xfId="0" applyFont="1" applyAlignment="1">
      <alignment horizontal="center" vertical="center"/>
    </xf>
    <xf numFmtId="0" fontId="2" fillId="0" borderId="0" xfId="0" applyFont="1" applyAlignment="1">
      <alignment horizontal="left" vertical="center"/>
    </xf>
    <xf numFmtId="165"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xf>
    <xf numFmtId="165" fontId="0" fillId="0" borderId="10" xfId="0" applyNumberFormat="1" applyBorder="1" applyAlignment="1">
      <alignment horizontal="center"/>
    </xf>
    <xf numFmtId="165" fontId="0" fillId="0" borderId="10" xfId="0" applyNumberFormat="1" applyBorder="1" applyAlignment="1">
      <alignment horizontal="center" vertical="center"/>
    </xf>
    <xf numFmtId="1" fontId="0" fillId="0" borderId="10" xfId="0" applyNumberFormat="1" applyBorder="1" applyAlignment="1">
      <alignment horizontal="center"/>
    </xf>
    <xf numFmtId="1" fontId="0" fillId="0" borderId="10" xfId="0" applyNumberFormat="1" applyBorder="1" applyAlignment="1">
      <alignment horizontal="center" vertical="center"/>
    </xf>
    <xf numFmtId="0" fontId="2" fillId="6" borderId="0" xfId="0" applyFont="1" applyFill="1" applyAlignment="1">
      <alignment horizontal="right" vertical="center"/>
    </xf>
    <xf numFmtId="11" fontId="0" fillId="6" borderId="3" xfId="0" applyNumberFormat="1" applyFill="1" applyBorder="1" applyAlignment="1">
      <alignment horizontal="center" vertical="center"/>
    </xf>
    <xf numFmtId="0" fontId="2" fillId="11" borderId="0" xfId="0" applyFont="1" applyFill="1" applyAlignment="1">
      <alignment horizontal="right" vertical="center"/>
    </xf>
    <xf numFmtId="0" fontId="2" fillId="15" borderId="0" xfId="0" applyFont="1" applyFill="1" applyAlignment="1">
      <alignment horizontal="right" vertical="center"/>
    </xf>
    <xf numFmtId="0" fontId="0" fillId="15" borderId="3" xfId="0" applyFill="1" applyBorder="1" applyAlignment="1">
      <alignment horizontal="center" vertical="center"/>
    </xf>
    <xf numFmtId="11" fontId="0" fillId="15" borderId="3" xfId="0" applyNumberFormat="1" applyFill="1" applyBorder="1" applyAlignment="1">
      <alignment horizontal="center" vertical="center"/>
    </xf>
    <xf numFmtId="0" fontId="2" fillId="12" borderId="0" xfId="0" applyFont="1" applyFill="1" applyAlignment="1">
      <alignment horizontal="right" vertical="center"/>
    </xf>
    <xf numFmtId="165" fontId="0" fillId="12" borderId="3" xfId="0" applyNumberFormat="1" applyFill="1" applyBorder="1" applyAlignment="1">
      <alignment horizontal="center" vertical="center"/>
    </xf>
    <xf numFmtId="11" fontId="0" fillId="12" borderId="3" xfId="0" applyNumberFormat="1" applyFill="1" applyBorder="1" applyAlignment="1">
      <alignment horizontal="center" vertical="center"/>
    </xf>
    <xf numFmtId="0" fontId="2" fillId="0" borderId="0" xfId="0" applyFont="1"/>
    <xf numFmtId="11" fontId="2" fillId="0" borderId="0" xfId="0" applyNumberFormat="1" applyFont="1"/>
    <xf numFmtId="2" fontId="0" fillId="0" borderId="0" xfId="0" applyNumberFormat="1"/>
    <xf numFmtId="1" fontId="0" fillId="0" borderId="0" xfId="0" applyNumberFormat="1"/>
    <xf numFmtId="2" fontId="0" fillId="2" borderId="0" xfId="0" applyNumberFormat="1" applyFill="1"/>
    <xf numFmtId="0" fontId="0" fillId="2" borderId="0" xfId="0" applyFill="1" applyAlignment="1">
      <alignment horizontal="right"/>
    </xf>
    <xf numFmtId="0" fontId="0" fillId="2" borderId="0" xfId="0" applyFill="1" applyAlignment="1">
      <alignment horizontal="center" vertical="center"/>
    </xf>
    <xf numFmtId="0" fontId="0" fillId="2" borderId="0" xfId="0" applyFill="1" applyAlignment="1">
      <alignment horizontal="left" vertical="center"/>
    </xf>
    <xf numFmtId="3" fontId="0" fillId="2" borderId="0" xfId="0" applyNumberFormat="1" applyFill="1" applyAlignment="1">
      <alignment horizontal="center" vertical="center"/>
    </xf>
    <xf numFmtId="0" fontId="0" fillId="13" borderId="3" xfId="0" applyFill="1" applyBorder="1" applyAlignment="1">
      <alignment horizontal="center" vertical="center"/>
    </xf>
    <xf numFmtId="0" fontId="0" fillId="0" borderId="11" xfId="0" applyBorder="1"/>
    <xf numFmtId="0" fontId="0" fillId="0" borderId="12" xfId="0" applyBorder="1" applyAlignment="1">
      <alignment horizontal="right"/>
    </xf>
    <xf numFmtId="0" fontId="0" fillId="0" borderId="8" xfId="0" applyBorder="1"/>
    <xf numFmtId="0" fontId="0" fillId="0" borderId="9" xfId="0" applyBorder="1"/>
    <xf numFmtId="0" fontId="2" fillId="0" borderId="6" xfId="0" applyFont="1" applyBorder="1" applyAlignment="1">
      <alignment horizontal="right"/>
    </xf>
    <xf numFmtId="0" fontId="5" fillId="14" borderId="13" xfId="0" applyFont="1" applyFill="1" applyBorder="1" applyAlignment="1">
      <alignment horizontal="center" vertical="center"/>
    </xf>
    <xf numFmtId="0" fontId="5" fillId="0" borderId="0" xfId="0" applyFont="1"/>
    <xf numFmtId="0" fontId="9" fillId="0" borderId="0" xfId="0" applyFont="1"/>
    <xf numFmtId="0" fontId="0" fillId="16" borderId="0" xfId="0" applyFill="1" applyAlignment="1">
      <alignment horizontal="center" vertical="center"/>
    </xf>
    <xf numFmtId="0" fontId="5" fillId="16" borderId="0" xfId="0" applyFont="1" applyFill="1" applyAlignment="1">
      <alignment horizontal="center" vertical="center"/>
    </xf>
    <xf numFmtId="0" fontId="2" fillId="0" borderId="0" xfId="0" applyFont="1" applyAlignment="1">
      <alignment vertical="center"/>
    </xf>
    <xf numFmtId="0" fontId="15" fillId="17" borderId="14" xfId="0" applyFont="1" applyFill="1" applyBorder="1" applyAlignment="1">
      <alignment horizontal="center" vertical="center"/>
    </xf>
    <xf numFmtId="0" fontId="15" fillId="17" borderId="14" xfId="0" quotePrefix="1" applyFont="1" applyFill="1" applyBorder="1" applyAlignment="1">
      <alignment horizontal="center" vertical="center" wrapText="1"/>
    </xf>
    <xf numFmtId="0" fontId="0" fillId="0" borderId="0" xfId="0" applyAlignment="1">
      <alignment vertical="center"/>
    </xf>
    <xf numFmtId="0" fontId="15" fillId="17" borderId="15" xfId="0" applyFont="1" applyFill="1" applyBorder="1" applyAlignment="1">
      <alignment horizontal="center" vertical="center"/>
    </xf>
    <xf numFmtId="0" fontId="2" fillId="0" borderId="16" xfId="0" applyFont="1" applyBorder="1" applyAlignment="1">
      <alignment horizontal="center" vertical="center" wrapText="1"/>
    </xf>
    <xf numFmtId="2" fontId="2" fillId="0" borderId="16" xfId="0" applyNumberFormat="1" applyFont="1" applyBorder="1" applyAlignment="1">
      <alignment horizontal="center" vertical="center" wrapText="1"/>
    </xf>
    <xf numFmtId="0" fontId="2" fillId="0" borderId="17" xfId="0" applyFont="1" applyBorder="1" applyAlignment="1">
      <alignment horizontal="center" vertical="center" wrapText="1"/>
    </xf>
    <xf numFmtId="2" fontId="2" fillId="0" borderId="17" xfId="0" applyNumberFormat="1" applyFont="1" applyBorder="1" applyAlignment="1">
      <alignment horizontal="center" vertical="center" wrapText="1"/>
    </xf>
    <xf numFmtId="0" fontId="5" fillId="16" borderId="0" xfId="0" applyFont="1" applyFill="1" applyAlignment="1">
      <alignment horizontal="left" vertical="center"/>
    </xf>
    <xf numFmtId="0" fontId="15" fillId="17" borderId="14" xfId="0" applyFont="1" applyFill="1" applyBorder="1" applyAlignment="1">
      <alignment horizontal="center" vertical="center" wrapText="1"/>
    </xf>
    <xf numFmtId="0" fontId="15" fillId="17" borderId="15" xfId="0" applyFont="1" applyFill="1" applyBorder="1" applyAlignment="1">
      <alignment horizontal="center" vertical="center" wrapText="1"/>
    </xf>
    <xf numFmtId="0" fontId="18" fillId="17" borderId="15" xfId="0" applyFont="1" applyFill="1" applyBorder="1" applyAlignment="1">
      <alignment horizontal="center" vertical="center"/>
    </xf>
    <xf numFmtId="0" fontId="0" fillId="13" borderId="17" xfId="0" applyFill="1" applyBorder="1" applyAlignment="1">
      <alignment horizontal="center" vertical="center" wrapText="1"/>
    </xf>
    <xf numFmtId="3" fontId="0" fillId="13" borderId="3" xfId="0" applyNumberFormat="1" applyFill="1" applyBorder="1" applyAlignment="1">
      <alignment horizontal="center" vertical="center"/>
    </xf>
    <xf numFmtId="165" fontId="0" fillId="13" borderId="3" xfId="0" applyNumberFormat="1" applyFill="1" applyBorder="1" applyAlignment="1">
      <alignment horizontal="center" vertical="center"/>
    </xf>
    <xf numFmtId="0" fontId="0" fillId="0" borderId="17" xfId="0" applyFill="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16" borderId="0" xfId="0" applyFill="1"/>
    <xf numFmtId="0" fontId="5" fillId="16" borderId="0" xfId="0" applyFont="1" applyFill="1" applyAlignment="1">
      <alignment horizontal="center"/>
    </xf>
    <xf numFmtId="0" fontId="19" fillId="0" borderId="0" xfId="0" applyFont="1"/>
    <xf numFmtId="0" fontId="15" fillId="17" borderId="17" xfId="0" applyFont="1" applyFill="1" applyBorder="1" applyAlignment="1">
      <alignment horizontal="center" vertical="center" wrapText="1"/>
    </xf>
    <xf numFmtId="0" fontId="2" fillId="0" borderId="17" xfId="0" applyFont="1" applyBorder="1" applyAlignment="1">
      <alignment horizontal="right" vertical="center" wrapText="1"/>
    </xf>
    <xf numFmtId="0" fontId="2" fillId="0" borderId="19" xfId="0" applyFont="1" applyBorder="1" applyAlignment="1">
      <alignment horizontal="center" vertical="center" wrapText="1"/>
    </xf>
    <xf numFmtId="0" fontId="15" fillId="17" borderId="18" xfId="0" applyFont="1" applyFill="1" applyBorder="1" applyAlignment="1">
      <alignment horizontal="center" vertical="center" wrapText="1"/>
    </xf>
    <xf numFmtId="0" fontId="0" fillId="0" borderId="3" xfId="0" applyBorder="1"/>
    <xf numFmtId="0" fontId="8" fillId="0" borderId="0" xfId="0" applyFont="1"/>
    <xf numFmtId="0" fontId="20" fillId="5" borderId="0" xfId="0" applyFont="1" applyFill="1" applyAlignment="1">
      <alignment horizontal="left" vertical="top"/>
    </xf>
    <xf numFmtId="1" fontId="0" fillId="11" borderId="3" xfId="0" applyNumberFormat="1" applyFill="1" applyBorder="1" applyAlignment="1">
      <alignment horizontal="center" vertical="center"/>
    </xf>
    <xf numFmtId="1" fontId="0" fillId="15" borderId="3" xfId="0" applyNumberFormat="1" applyFill="1" applyBorder="1" applyAlignment="1">
      <alignment horizontal="center" vertical="center"/>
    </xf>
    <xf numFmtId="2" fontId="0" fillId="15" borderId="3" xfId="0" applyNumberFormat="1" applyFill="1" applyBorder="1" applyAlignment="1">
      <alignment horizontal="center" vertical="center"/>
    </xf>
    <xf numFmtId="167" fontId="0" fillId="12" borderId="3" xfId="0" applyNumberFormat="1" applyFill="1" applyBorder="1" applyAlignment="1">
      <alignment horizontal="center" vertical="center"/>
    </xf>
    <xf numFmtId="0" fontId="2" fillId="0" borderId="0" xfId="0" applyFont="1" applyAlignment="1"/>
    <xf numFmtId="0" fontId="0" fillId="0" borderId="0" xfId="0" applyAlignment="1"/>
    <xf numFmtId="0" fontId="10" fillId="18" borderId="1" xfId="0" applyFont="1" applyFill="1" applyBorder="1" applyAlignment="1"/>
    <xf numFmtId="0" fontId="10" fillId="18" borderId="2" xfId="0" applyFont="1" applyFill="1" applyBorder="1" applyAlignment="1"/>
    <xf numFmtId="0" fontId="10" fillId="18" borderId="2" xfId="0" applyFont="1" applyFill="1" applyBorder="1" applyAlignment="1">
      <alignment horizontal="center" vertical="center"/>
    </xf>
    <xf numFmtId="0" fontId="10" fillId="18" borderId="3" xfId="0" applyFont="1" applyFill="1" applyBorder="1" applyAlignment="1"/>
    <xf numFmtId="0" fontId="5" fillId="0" borderId="0" xfId="0" applyFont="1" applyAlignment="1">
      <alignment vertical="center"/>
    </xf>
    <xf numFmtId="0" fontId="0" fillId="0" borderId="11" xfId="0" applyBorder="1" applyAlignment="1"/>
    <xf numFmtId="0" fontId="19" fillId="0" borderId="12" xfId="0" applyFont="1" applyBorder="1" applyAlignment="1">
      <alignment horizontal="right"/>
    </xf>
    <xf numFmtId="0" fontId="0" fillId="0" borderId="9" xfId="0" applyBorder="1" applyAlignment="1"/>
    <xf numFmtId="0" fontId="25" fillId="0" borderId="0" xfId="0" applyFont="1" applyAlignment="1">
      <alignment horizontal="left" vertical="center"/>
    </xf>
    <xf numFmtId="0" fontId="15" fillId="0" borderId="0" xfId="0" applyFont="1" applyAlignment="1">
      <alignment horizontal="center" vertical="center"/>
    </xf>
    <xf numFmtId="0" fontId="15" fillId="0" borderId="20" xfId="0" applyFont="1" applyBorder="1" applyAlignment="1">
      <alignment vertical="center"/>
    </xf>
    <xf numFmtId="0" fontId="15" fillId="0" borderId="0" xfId="0" applyFont="1" applyBorder="1" applyAlignment="1">
      <alignment horizontal="center" vertical="center"/>
    </xf>
    <xf numFmtId="0" fontId="27" fillId="12" borderId="0" xfId="0" applyFont="1" applyFill="1" applyAlignment="1">
      <alignment horizontal="center" vertical="center"/>
    </xf>
    <xf numFmtId="0" fontId="15" fillId="12" borderId="0" xfId="0" applyFont="1" applyFill="1" applyAlignment="1">
      <alignment horizontal="left" vertical="center"/>
    </xf>
    <xf numFmtId="0" fontId="15" fillId="12" borderId="0" xfId="0" applyFont="1" applyFill="1" applyAlignment="1">
      <alignment horizontal="center" vertical="center"/>
    </xf>
    <xf numFmtId="0" fontId="16" fillId="12" borderId="0" xfId="0" applyFont="1" applyFill="1" applyAlignment="1">
      <alignment horizontal="center" vertical="center"/>
    </xf>
    <xf numFmtId="2" fontId="0" fillId="0" borderId="0" xfId="0" applyNumberFormat="1" applyAlignment="1">
      <alignment horizontal="center" vertical="center"/>
    </xf>
    <xf numFmtId="0" fontId="0" fillId="0" borderId="0" xfId="0" applyAlignment="1">
      <alignment horizontal="right"/>
    </xf>
    <xf numFmtId="0" fontId="0" fillId="19" borderId="0" xfId="0" applyFill="1" applyAlignment="1"/>
    <xf numFmtId="0" fontId="15" fillId="19" borderId="21" xfId="0" applyFont="1" applyFill="1" applyBorder="1" applyAlignment="1">
      <alignment vertical="center"/>
    </xf>
    <xf numFmtId="0" fontId="15" fillId="19" borderId="21" xfId="0" applyFont="1" applyFill="1" applyBorder="1" applyAlignment="1">
      <alignment horizontal="right"/>
    </xf>
    <xf numFmtId="0" fontId="2" fillId="0" borderId="22" xfId="0" applyFont="1" applyBorder="1" applyAlignment="1">
      <alignment horizontal="center" vertical="center"/>
    </xf>
    <xf numFmtId="0" fontId="2" fillId="12" borderId="0" xfId="0" applyFont="1" applyFill="1" applyAlignment="1">
      <alignment horizontal="center" vertical="center"/>
    </xf>
    <xf numFmtId="164" fontId="0" fillId="11" borderId="3" xfId="0" applyNumberFormat="1" applyFill="1" applyBorder="1" applyAlignment="1">
      <alignment horizontal="center" vertical="center"/>
    </xf>
    <xf numFmtId="0" fontId="0" fillId="13" borderId="23" xfId="0" applyFill="1" applyBorder="1" applyAlignment="1"/>
    <xf numFmtId="3" fontId="0" fillId="13" borderId="23" xfId="0" applyNumberFormat="1" applyFill="1" applyBorder="1" applyAlignment="1">
      <alignment horizontal="center" vertical="center"/>
    </xf>
    <xf numFmtId="165" fontId="0" fillId="13" borderId="23" xfId="0" applyNumberFormat="1" applyFill="1" applyBorder="1" applyAlignment="1">
      <alignment horizontal="center" vertical="center"/>
    </xf>
    <xf numFmtId="166" fontId="0" fillId="15" borderId="3" xfId="0" applyNumberFormat="1" applyFill="1" applyBorder="1" applyAlignment="1">
      <alignment horizontal="center" vertical="center"/>
    </xf>
    <xf numFmtId="164" fontId="0" fillId="15" borderId="3" xfId="0" applyNumberFormat="1" applyFill="1" applyBorder="1" applyAlignment="1">
      <alignment horizontal="center" vertical="center"/>
    </xf>
    <xf numFmtId="166" fontId="0" fillId="12" borderId="3" xfId="0" applyNumberFormat="1" applyFill="1" applyBorder="1" applyAlignment="1">
      <alignment horizontal="center" vertical="center"/>
    </xf>
    <xf numFmtId="168" fontId="0" fillId="12" borderId="3" xfId="0" applyNumberFormat="1" applyFill="1" applyBorder="1" applyAlignment="1">
      <alignment horizontal="center" vertical="center"/>
    </xf>
    <xf numFmtId="164" fontId="0" fillId="12" borderId="3" xfId="0" applyNumberFormat="1" applyFill="1" applyBorder="1" applyAlignment="1">
      <alignment horizontal="center" vertical="center"/>
    </xf>
    <xf numFmtId="0" fontId="0" fillId="0" borderId="0" xfId="0" applyAlignment="1">
      <alignment horizontal="left" vertical="center"/>
    </xf>
    <xf numFmtId="0" fontId="0" fillId="0" borderId="0" xfId="0" applyAlignment="1" applyProtection="1">
      <protection locked="0"/>
    </xf>
    <xf numFmtId="0" fontId="10" fillId="18" borderId="1" xfId="0" applyFont="1" applyFill="1" applyBorder="1" applyProtection="1">
      <protection locked="0"/>
    </xf>
    <xf numFmtId="0" fontId="10" fillId="18" borderId="3" xfId="0" applyFont="1" applyFill="1" applyBorder="1" applyProtection="1">
      <protection locked="0"/>
    </xf>
    <xf numFmtId="0" fontId="10" fillId="18" borderId="2" xfId="0" applyFont="1" applyFill="1" applyBorder="1" applyProtection="1">
      <protection locked="0"/>
    </xf>
    <xf numFmtId="0" fontId="10" fillId="18" borderId="7" xfId="0" applyFont="1" applyFill="1" applyBorder="1" applyProtection="1">
      <protection locked="0"/>
    </xf>
    <xf numFmtId="0" fontId="2" fillId="0" borderId="12" xfId="0" applyFont="1" applyBorder="1" applyAlignment="1">
      <alignment horizontal="right"/>
    </xf>
    <xf numFmtId="0" fontId="30" fillId="0" borderId="0" xfId="0" applyFont="1" applyAlignment="1" applyProtection="1">
      <alignment vertical="center"/>
      <protection locked="0"/>
    </xf>
    <xf numFmtId="0" fontId="30" fillId="0" borderId="0" xfId="0" applyFont="1" applyAlignment="1" applyProtection="1">
      <alignment horizontal="center" vertical="center"/>
      <protection locked="0"/>
    </xf>
    <xf numFmtId="0" fontId="0" fillId="0" borderId="12" xfId="0" applyFont="1" applyBorder="1" applyAlignment="1">
      <alignment horizontal="right"/>
    </xf>
    <xf numFmtId="0" fontId="31" fillId="0" borderId="0" xfId="0" applyFont="1" applyFill="1" applyAlignment="1" applyProtection="1">
      <alignment vertical="center"/>
      <protection locked="0"/>
    </xf>
    <xf numFmtId="0" fontId="31" fillId="0" borderId="0" xfId="0" applyFont="1" applyFill="1" applyAlignment="1" applyProtection="1">
      <alignment horizontal="center" vertical="center"/>
      <protection locked="0"/>
    </xf>
    <xf numFmtId="0" fontId="0" fillId="0" borderId="0" xfId="0" applyFill="1" applyProtection="1">
      <protection locked="0"/>
    </xf>
    <xf numFmtId="0" fontId="32" fillId="0" borderId="0" xfId="0" applyFont="1" applyFill="1" applyAlignment="1">
      <alignment vertical="center"/>
    </xf>
    <xf numFmtId="0" fontId="0" fillId="0" borderId="0" xfId="0" applyFill="1"/>
    <xf numFmtId="0" fontId="0" fillId="0" borderId="0" xfId="0" applyFill="1" applyAlignment="1" applyProtection="1">
      <protection locked="0"/>
    </xf>
    <xf numFmtId="0" fontId="33" fillId="20" borderId="3" xfId="0" applyFont="1" applyFill="1" applyBorder="1" applyAlignment="1" applyProtection="1">
      <alignment horizontal="center" vertical="center"/>
      <protection locked="0"/>
    </xf>
    <xf numFmtId="0" fontId="6" fillId="20" borderId="3" xfId="0" applyFont="1" applyFill="1" applyBorder="1" applyAlignment="1">
      <alignment horizontal="center" vertical="center"/>
    </xf>
    <xf numFmtId="0" fontId="32" fillId="0" borderId="24" xfId="0" applyFont="1" applyFill="1" applyBorder="1" applyAlignment="1" applyProtection="1">
      <alignment vertical="center"/>
      <protection locked="0"/>
    </xf>
    <xf numFmtId="0" fontId="32" fillId="0" borderId="24" xfId="0" applyFont="1" applyFill="1" applyBorder="1" applyAlignment="1">
      <alignment vertical="center" wrapText="1"/>
    </xf>
    <xf numFmtId="0" fontId="0" fillId="0" borderId="0" xfId="0" applyAlignment="1" applyProtection="1">
      <alignment horizontal="left" vertical="center"/>
      <protection locked="0"/>
    </xf>
    <xf numFmtId="0" fontId="35" fillId="21" borderId="25" xfId="0" applyFont="1" applyFill="1" applyBorder="1" applyAlignment="1" applyProtection="1">
      <alignment horizontal="center" vertical="center"/>
      <protection locked="0"/>
    </xf>
    <xf numFmtId="0" fontId="35" fillId="21" borderId="26" xfId="0" applyFont="1" applyFill="1" applyBorder="1" applyAlignment="1" applyProtection="1">
      <alignment horizontal="center" vertical="center"/>
      <protection locked="0"/>
    </xf>
    <xf numFmtId="0" fontId="0" fillId="0" borderId="0" xfId="0" applyAlignment="1" applyProtection="1">
      <alignment horizontal="center"/>
      <protection locked="0"/>
    </xf>
    <xf numFmtId="0" fontId="30" fillId="0" borderId="0" xfId="0" applyFont="1" applyFill="1" applyAlignment="1" applyProtection="1">
      <alignment horizontal="center" vertical="center"/>
      <protection locked="0"/>
    </xf>
    <xf numFmtId="0" fontId="5" fillId="12" borderId="0" xfId="0" applyFont="1" applyFill="1" applyAlignment="1" applyProtection="1">
      <alignment horizontal="center" vertical="center"/>
      <protection locked="0"/>
    </xf>
    <xf numFmtId="0" fontId="0" fillId="0" borderId="0" xfId="0" applyBorder="1" applyAlignment="1" applyProtection="1">
      <protection locked="0"/>
    </xf>
    <xf numFmtId="0" fontId="36" fillId="22" borderId="9" xfId="0" applyFont="1" applyFill="1" applyBorder="1" applyAlignment="1" applyProtection="1">
      <alignment vertical="center"/>
      <protection locked="0"/>
    </xf>
    <xf numFmtId="0" fontId="36" fillId="22" borderId="6" xfId="0" applyFont="1" applyFill="1" applyBorder="1" applyAlignment="1" applyProtection="1">
      <alignment vertical="center"/>
      <protection locked="0"/>
    </xf>
    <xf numFmtId="0" fontId="36" fillId="22" borderId="27" xfId="0" applyFont="1" applyFill="1" applyBorder="1" applyAlignment="1" applyProtection="1">
      <alignment vertical="center"/>
      <protection locked="0"/>
    </xf>
    <xf numFmtId="0" fontId="36" fillId="22" borderId="28" xfId="0" applyFont="1" applyFill="1" applyBorder="1" applyAlignment="1" applyProtection="1">
      <alignment vertical="center"/>
      <protection locked="0"/>
    </xf>
    <xf numFmtId="0" fontId="36" fillId="22" borderId="29" xfId="0" applyFont="1" applyFill="1" applyBorder="1" applyAlignment="1" applyProtection="1">
      <alignment vertical="center"/>
      <protection locked="0"/>
    </xf>
    <xf numFmtId="0" fontId="36" fillId="22" borderId="30" xfId="0" applyFont="1" applyFill="1" applyBorder="1" applyAlignment="1" applyProtection="1">
      <alignment vertical="center"/>
      <protection locked="0"/>
    </xf>
    <xf numFmtId="0" fontId="36" fillId="22" borderId="31" xfId="0" applyFont="1" applyFill="1" applyBorder="1" applyAlignment="1" applyProtection="1">
      <alignment vertical="center"/>
      <protection locked="0"/>
    </xf>
    <xf numFmtId="0" fontId="36" fillId="0" borderId="28" xfId="0" applyFont="1" applyFill="1" applyBorder="1" applyAlignment="1">
      <alignment horizontal="center" vertical="center" wrapText="1"/>
    </xf>
    <xf numFmtId="0" fontId="36" fillId="0" borderId="27" xfId="0" applyFont="1" applyFill="1" applyBorder="1" applyAlignment="1">
      <alignment horizontal="center" vertical="center" wrapText="1"/>
    </xf>
    <xf numFmtId="0" fontId="37" fillId="23" borderId="32" xfId="0" applyFont="1" applyFill="1" applyBorder="1" applyAlignment="1" applyProtection="1">
      <alignment vertical="center"/>
      <protection locked="0"/>
    </xf>
    <xf numFmtId="3" fontId="37" fillId="24" borderId="32" xfId="0" applyNumberFormat="1" applyFont="1" applyFill="1" applyBorder="1" applyAlignment="1" applyProtection="1">
      <alignment horizontal="center" vertical="center"/>
      <protection locked="0"/>
    </xf>
    <xf numFmtId="3" fontId="37" fillId="24" borderId="26" xfId="0" applyNumberFormat="1" applyFont="1" applyFill="1" applyBorder="1" applyAlignment="1" applyProtection="1">
      <alignment horizontal="center" vertical="center"/>
      <protection locked="0"/>
    </xf>
    <xf numFmtId="2" fontId="37" fillId="24" borderId="26" xfId="0" applyNumberFormat="1" applyFont="1" applyFill="1" applyBorder="1" applyAlignment="1" applyProtection="1">
      <alignment horizontal="center" vertical="center"/>
      <protection locked="0"/>
    </xf>
    <xf numFmtId="3" fontId="37" fillId="24" borderId="31" xfId="0" applyNumberFormat="1" applyFont="1" applyFill="1" applyBorder="1" applyAlignment="1" applyProtection="1">
      <alignment horizontal="center" vertical="center"/>
      <protection locked="0"/>
    </xf>
    <xf numFmtId="0" fontId="32" fillId="24" borderId="33" xfId="0" applyFont="1" applyFill="1" applyBorder="1" applyAlignment="1" applyProtection="1">
      <alignment vertical="center"/>
      <protection locked="0"/>
    </xf>
    <xf numFmtId="0" fontId="0" fillId="24" borderId="34" xfId="0" applyFill="1" applyBorder="1" applyAlignment="1" applyProtection="1">
      <alignment horizontal="center" vertical="center"/>
      <protection locked="0"/>
    </xf>
    <xf numFmtId="0" fontId="37" fillId="23" borderId="26" xfId="0" applyFont="1" applyFill="1" applyBorder="1" applyAlignment="1" applyProtection="1">
      <alignment vertical="center"/>
      <protection locked="0"/>
    </xf>
    <xf numFmtId="0" fontId="0" fillId="24" borderId="34" xfId="0" applyFill="1" applyBorder="1" applyAlignment="1" applyProtection="1">
      <protection locked="0"/>
    </xf>
    <xf numFmtId="0" fontId="32" fillId="0" borderId="26" xfId="0" applyNumberFormat="1" applyFont="1" applyFill="1" applyBorder="1" applyAlignment="1">
      <alignment vertical="center" wrapText="1"/>
    </xf>
    <xf numFmtId="3" fontId="32" fillId="0" borderId="26" xfId="0" applyNumberFormat="1" applyFont="1" applyFill="1" applyBorder="1" applyAlignment="1">
      <alignment vertical="center" wrapText="1"/>
    </xf>
    <xf numFmtId="2" fontId="32" fillId="0" borderId="26" xfId="0" applyNumberFormat="1" applyFont="1" applyFill="1" applyBorder="1" applyAlignment="1">
      <alignment horizontal="right" vertical="center" wrapText="1"/>
    </xf>
    <xf numFmtId="2" fontId="32" fillId="0" borderId="26" xfId="0" applyNumberFormat="1" applyFont="1" applyFill="1" applyBorder="1" applyAlignment="1">
      <alignment vertical="center" wrapText="1"/>
    </xf>
    <xf numFmtId="3" fontId="32" fillId="25" borderId="26" xfId="0" applyNumberFormat="1" applyFont="1" applyFill="1" applyBorder="1" applyAlignment="1">
      <alignment vertical="center" wrapText="1"/>
    </xf>
    <xf numFmtId="165" fontId="32" fillId="25" borderId="26" xfId="0" applyNumberFormat="1" applyFont="1" applyFill="1" applyBorder="1" applyAlignment="1">
      <alignment vertical="center" wrapText="1"/>
    </xf>
    <xf numFmtId="3" fontId="37" fillId="26" borderId="26" xfId="0" applyNumberFormat="1" applyFont="1" applyFill="1" applyBorder="1" applyAlignment="1" applyProtection="1">
      <alignment horizontal="center" vertical="center"/>
      <protection locked="0"/>
    </xf>
    <xf numFmtId="3" fontId="37" fillId="27" borderId="26" xfId="0" applyNumberFormat="1" applyFont="1" applyFill="1" applyBorder="1" applyAlignment="1" applyProtection="1">
      <alignment horizontal="center" vertical="center"/>
      <protection locked="0"/>
    </xf>
    <xf numFmtId="0" fontId="32" fillId="0" borderId="26" xfId="0" applyFont="1" applyFill="1" applyBorder="1" applyAlignment="1">
      <alignment vertical="center" wrapText="1"/>
    </xf>
    <xf numFmtId="0" fontId="5" fillId="5" borderId="0" xfId="0" applyFont="1" applyFill="1" applyAlignment="1">
      <alignment horizontal="center" vertical="center"/>
    </xf>
    <xf numFmtId="3" fontId="37" fillId="13" borderId="26" xfId="0" applyNumberFormat="1" applyFont="1" applyFill="1" applyBorder="1" applyAlignment="1" applyProtection="1">
      <alignment horizontal="center" vertical="center"/>
      <protection locked="0"/>
    </xf>
    <xf numFmtId="0" fontId="0" fillId="13" borderId="3" xfId="0" applyFill="1" applyBorder="1" applyAlignment="1" applyProtection="1">
      <alignment horizontal="center" vertical="center"/>
      <protection locked="0"/>
    </xf>
    <xf numFmtId="1" fontId="0" fillId="13" borderId="3" xfId="0" applyNumberFormat="1" applyFill="1" applyBorder="1" applyAlignment="1">
      <alignment horizontal="center" vertical="center"/>
    </xf>
    <xf numFmtId="0" fontId="0" fillId="13" borderId="7" xfId="0" applyFill="1" applyBorder="1" applyAlignment="1" applyProtection="1">
      <alignment horizontal="center" vertical="center"/>
      <protection locked="0"/>
    </xf>
    <xf numFmtId="0" fontId="37" fillId="23" borderId="26" xfId="0" applyFont="1" applyFill="1" applyBorder="1" applyAlignment="1">
      <alignment vertical="center" wrapText="1"/>
    </xf>
    <xf numFmtId="0" fontId="32" fillId="24" borderId="33" xfId="0" applyFont="1" applyFill="1" applyBorder="1" applyAlignment="1">
      <alignment vertical="center" wrapText="1"/>
    </xf>
    <xf numFmtId="0" fontId="0" fillId="24" borderId="33" xfId="0" applyFill="1" applyBorder="1"/>
    <xf numFmtId="0" fontId="0" fillId="24" borderId="35" xfId="0" applyFill="1" applyBorder="1"/>
    <xf numFmtId="0" fontId="0" fillId="24" borderId="0" xfId="0" applyFill="1" applyAlignment="1" applyProtection="1">
      <protection locked="0"/>
    </xf>
    <xf numFmtId="0" fontId="20" fillId="5" borderId="0" xfId="0" applyFont="1" applyFill="1" applyAlignment="1">
      <alignment vertical="center"/>
    </xf>
    <xf numFmtId="0" fontId="20" fillId="5" borderId="0" xfId="0" applyFont="1" applyFill="1" applyAlignment="1">
      <alignment vertical="top"/>
    </xf>
    <xf numFmtId="0" fontId="5" fillId="0" borderId="0" xfId="0" applyFont="1" applyAlignment="1" applyProtection="1">
      <alignment horizontal="right"/>
      <protection locked="0"/>
    </xf>
    <xf numFmtId="0" fontId="38" fillId="28" borderId="0" xfId="0" applyFont="1" applyFill="1" applyAlignment="1" applyProtection="1">
      <alignment vertical="center"/>
      <protection locked="0"/>
    </xf>
    <xf numFmtId="0" fontId="2" fillId="0" borderId="0" xfId="0" applyFont="1" applyFill="1" applyAlignment="1" applyProtection="1">
      <alignment horizontal="center"/>
      <protection locked="0"/>
    </xf>
    <xf numFmtId="0" fontId="37" fillId="13" borderId="26" xfId="0" applyFont="1" applyFill="1" applyBorder="1" applyAlignment="1" applyProtection="1">
      <alignment horizontal="center" vertical="center"/>
      <protection locked="0"/>
    </xf>
    <xf numFmtId="3" fontId="37" fillId="27" borderId="31" xfId="0" applyNumberFormat="1" applyFont="1" applyFill="1" applyBorder="1" applyAlignment="1" applyProtection="1">
      <alignment horizontal="center" vertical="center"/>
      <protection locked="0"/>
    </xf>
    <xf numFmtId="1" fontId="0" fillId="13" borderId="3" xfId="0" applyNumberFormat="1" applyFill="1" applyBorder="1" applyAlignment="1" applyProtection="1">
      <alignment horizontal="center" vertical="center"/>
      <protection locked="0"/>
    </xf>
    <xf numFmtId="0" fontId="0" fillId="12" borderId="3" xfId="0" applyFill="1" applyBorder="1" applyAlignment="1" applyProtection="1">
      <alignment horizontal="center" vertical="center"/>
      <protection locked="0"/>
    </xf>
    <xf numFmtId="3" fontId="0" fillId="13" borderId="3" xfId="0" applyNumberFormat="1" applyFill="1" applyBorder="1" applyAlignment="1" applyProtection="1">
      <alignment horizontal="center" vertical="center"/>
      <protection locked="0"/>
    </xf>
    <xf numFmtId="0" fontId="0" fillId="0" borderId="11" xfId="0" applyFill="1" applyBorder="1"/>
    <xf numFmtId="0" fontId="0" fillId="0" borderId="12" xfId="0" applyFill="1" applyBorder="1" applyAlignment="1">
      <alignment horizontal="right"/>
    </xf>
    <xf numFmtId="0" fontId="0" fillId="0" borderId="9" xfId="0" applyFill="1" applyBorder="1"/>
    <xf numFmtId="0" fontId="0" fillId="0" borderId="6" xfId="0" applyFill="1" applyBorder="1" applyAlignment="1">
      <alignment horizontal="right"/>
    </xf>
    <xf numFmtId="1" fontId="0" fillId="0" borderId="22" xfId="0" applyNumberFormat="1" applyFill="1" applyBorder="1" applyAlignment="1">
      <alignment horizontal="center" vertical="center"/>
    </xf>
    <xf numFmtId="0" fontId="0" fillId="0" borderId="39" xfId="0" applyFill="1" applyBorder="1" applyAlignment="1">
      <alignment horizontal="center" vertical="center"/>
    </xf>
    <xf numFmtId="0" fontId="0" fillId="0" borderId="0" xfId="0" applyAlignment="1">
      <alignment horizontal="center" vertical="center"/>
    </xf>
    <xf numFmtId="0" fontId="36" fillId="0" borderId="28" xfId="0" applyFont="1" applyFill="1" applyBorder="1" applyAlignment="1">
      <alignment horizontal="center" vertical="center" wrapText="1"/>
    </xf>
    <xf numFmtId="3" fontId="0" fillId="0" borderId="0" xfId="0" applyNumberFormat="1" applyAlignment="1">
      <alignment horizontal="center" vertical="center"/>
    </xf>
    <xf numFmtId="0" fontId="5" fillId="0" borderId="6" xfId="0" applyFont="1" applyBorder="1" applyAlignment="1">
      <alignment horizontal="center"/>
    </xf>
    <xf numFmtId="0" fontId="0" fillId="6" borderId="0" xfId="0" applyFill="1"/>
    <xf numFmtId="0" fontId="48" fillId="6" borderId="0" xfId="0" applyFont="1" applyFill="1" applyAlignment="1">
      <alignment horizontal="center" vertical="center"/>
    </xf>
    <xf numFmtId="0" fontId="5" fillId="0" borderId="0" xfId="0" applyFont="1" applyAlignment="1">
      <alignment horizontal="center" vertical="center"/>
    </xf>
  </cellXfs>
  <cellStyles count="26">
    <cellStyle name="AuditCheck" xfId="1"/>
    <cellStyle name="CalcDataFree" xfId="2"/>
    <cellStyle name="CalcDataLimn" xfId="3"/>
    <cellStyle name="CalculatedData" xfId="4"/>
    <cellStyle name="ControlledCell" xfId="5"/>
    <cellStyle name="DataBlock" xfId="6"/>
    <cellStyle name="Diagnostic" xfId="7"/>
    <cellStyle name="Heading1" xfId="8"/>
    <cellStyle name="Heading2" xfId="9"/>
    <cellStyle name="Heading3" xfId="10"/>
    <cellStyle name="Heading4" xfId="11"/>
    <cellStyle name="Heading5" xfId="12"/>
    <cellStyle name="Heading6" xfId="13"/>
    <cellStyle name="Heading7" xfId="14"/>
    <cellStyle name="Hidden" xfId="15"/>
    <cellStyle name="ManualLinks" xfId="16"/>
    <cellStyle name="Normal" xfId="0" builtinId="0"/>
    <cellStyle name="Normal 2" xfId="17"/>
    <cellStyle name="Normal 3" xfId="18"/>
    <cellStyle name="Normal 4" xfId="19"/>
    <cellStyle name="NormalFree_CoalWizard" xfId="20"/>
    <cellStyle name="NormalProtected" xfId="21"/>
    <cellStyle name="NormalUnprotected" xfId="22"/>
    <cellStyle name="UserFormula" xfId="23"/>
    <cellStyle name="UserInput" xfId="24"/>
    <cellStyle name="UserText" xfId="25"/>
  </cellStyles>
  <dxfs count="0"/>
  <tableStyles count="0" defaultTableStyle="TableStyleMedium2" defaultPivotStyle="PivotStyleLight16"/>
  <colors>
    <mruColors>
      <color rgb="FFFDDFC7"/>
      <color rgb="FFBCD3EE"/>
      <color rgb="FFD7CFE3"/>
      <color rgb="FFD8CFE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300" b="1">
                <a:latin typeface="Arial" pitchFamily="34" charset="0"/>
                <a:cs typeface="Arial" pitchFamily="34" charset="0"/>
              </a:defRPr>
            </a:pPr>
            <a:r>
              <a:rPr lang="en-US" sz="1300" b="1">
                <a:latin typeface="Arial" pitchFamily="34" charset="0"/>
                <a:cs typeface="Arial" pitchFamily="34" charset="0"/>
              </a:rPr>
              <a:t>Aluminum Flow vs. Stack Gas Temperature</a:t>
            </a:r>
          </a:p>
        </c:rich>
      </c:tx>
      <c:layout>
        <c:manualLayout>
          <c:xMode val="edge"/>
          <c:yMode val="edge"/>
          <c:x val="0.14956255468066493"/>
          <c:y val="2.3148148148148147E-2"/>
        </c:manualLayout>
      </c:layout>
      <c:overlay val="0"/>
    </c:title>
    <c:autoTitleDeleted val="0"/>
    <c:plotArea>
      <c:layout>
        <c:manualLayout>
          <c:layoutTarget val="inner"/>
          <c:xMode val="edge"/>
          <c:yMode val="edge"/>
          <c:x val="0.13329396325459317"/>
          <c:y val="0.13519685039370077"/>
          <c:w val="0.82891447944007002"/>
          <c:h val="0.67842957130358694"/>
        </c:manualLayout>
      </c:layout>
      <c:scatterChart>
        <c:scatterStyle val="smoothMarker"/>
        <c:varyColors val="0"/>
        <c:ser>
          <c:idx val="0"/>
          <c:order val="0"/>
          <c:spPr>
            <a:ln w="19050">
              <a:solidFill>
                <a:schemeClr val="tx1"/>
              </a:solidFill>
            </a:ln>
          </c:spPr>
          <c:marker>
            <c:symbol val="diamond"/>
            <c:size val="6"/>
            <c:spPr>
              <a:solidFill>
                <a:srgbClr val="FDDFC7"/>
              </a:solidFill>
              <a:ln>
                <a:solidFill>
                  <a:schemeClr val="tx1"/>
                </a:solidFill>
              </a:ln>
            </c:spPr>
          </c:marker>
          <c:xVal>
            <c:numRef>
              <c:f>'Heat Balance Calcs'!$AI$33:$AL$33</c:f>
              <c:numCache>
                <c:formatCode>General</c:formatCode>
                <c:ptCount val="4"/>
                <c:pt idx="0">
                  <c:v>788</c:v>
                </c:pt>
                <c:pt idx="1">
                  <c:v>775</c:v>
                </c:pt>
                <c:pt idx="2">
                  <c:v>750</c:v>
                </c:pt>
                <c:pt idx="3">
                  <c:v>725</c:v>
                </c:pt>
              </c:numCache>
            </c:numRef>
          </c:xVal>
          <c:yVal>
            <c:numRef>
              <c:f>'Heat Balance Calcs'!$AI$34:$AL$34</c:f>
              <c:numCache>
                <c:formatCode>General</c:formatCode>
                <c:ptCount val="4"/>
                <c:pt idx="0" formatCode="0">
                  <c:v>813.50806460143599</c:v>
                </c:pt>
                <c:pt idx="1">
                  <c:v>828</c:v>
                </c:pt>
                <c:pt idx="2">
                  <c:v>856</c:v>
                </c:pt>
                <c:pt idx="3">
                  <c:v>884</c:v>
                </c:pt>
              </c:numCache>
            </c:numRef>
          </c:yVal>
          <c:smooth val="1"/>
        </c:ser>
        <c:dLbls>
          <c:showLegendKey val="0"/>
          <c:showVal val="0"/>
          <c:showCatName val="0"/>
          <c:showSerName val="0"/>
          <c:showPercent val="0"/>
          <c:showBubbleSize val="0"/>
        </c:dLbls>
        <c:axId val="180800896"/>
        <c:axId val="181061504"/>
      </c:scatterChart>
      <c:valAx>
        <c:axId val="180800896"/>
        <c:scaling>
          <c:orientation val="maxMin"/>
          <c:max val="800"/>
          <c:min val="720"/>
        </c:scaling>
        <c:delete val="0"/>
        <c:axPos val="b"/>
        <c:majorGridlines>
          <c:spPr>
            <a:ln>
              <a:solidFill>
                <a:schemeClr val="tx1"/>
              </a:solidFill>
            </a:ln>
          </c:spPr>
        </c:majorGridlines>
        <c:title>
          <c:tx>
            <c:rich>
              <a:bodyPr/>
              <a:lstStyle/>
              <a:p>
                <a:pPr>
                  <a:defRPr sz="1200"/>
                </a:pPr>
                <a:r>
                  <a:rPr lang="en-US" sz="1200"/>
                  <a:t>stack gas temperature, °C</a:t>
                </a:r>
              </a:p>
            </c:rich>
          </c:tx>
          <c:layout/>
          <c:overlay val="0"/>
        </c:title>
        <c:numFmt formatCode="General" sourceLinked="1"/>
        <c:majorTickMark val="out"/>
        <c:minorTickMark val="none"/>
        <c:tickLblPos val="nextTo"/>
        <c:spPr>
          <a:ln>
            <a:solidFill>
              <a:schemeClr val="tx1"/>
            </a:solidFill>
          </a:ln>
        </c:spPr>
        <c:crossAx val="181061504"/>
        <c:crosses val="autoZero"/>
        <c:crossBetween val="midCat"/>
      </c:valAx>
      <c:valAx>
        <c:axId val="181061504"/>
        <c:scaling>
          <c:orientation val="minMax"/>
          <c:max val="900"/>
          <c:min val="800"/>
        </c:scaling>
        <c:delete val="0"/>
        <c:axPos val="r"/>
        <c:majorGridlines>
          <c:spPr>
            <a:ln>
              <a:solidFill>
                <a:schemeClr val="tx1"/>
              </a:solidFill>
            </a:ln>
          </c:spPr>
        </c:majorGridlines>
        <c:title>
          <c:tx>
            <c:rich>
              <a:bodyPr rot="-5400000" vert="horz"/>
              <a:lstStyle/>
              <a:p>
                <a:pPr>
                  <a:defRPr sz="1200"/>
                </a:pPr>
                <a:r>
                  <a:rPr lang="en-US" sz="1200"/>
                  <a:t>kg Al/min</a:t>
                </a:r>
              </a:p>
            </c:rich>
          </c:tx>
          <c:layout>
            <c:manualLayout>
              <c:xMode val="edge"/>
              <c:yMode val="edge"/>
              <c:x val="2.208223972003509E-3"/>
              <c:y val="0.3226407115777194"/>
            </c:manualLayout>
          </c:layout>
          <c:overlay val="0"/>
        </c:title>
        <c:numFmt formatCode="0" sourceLinked="1"/>
        <c:majorTickMark val="out"/>
        <c:minorTickMark val="none"/>
        <c:tickLblPos val="high"/>
        <c:spPr>
          <a:ln>
            <a:solidFill>
              <a:schemeClr val="tx1"/>
            </a:solidFill>
          </a:ln>
        </c:spPr>
        <c:crossAx val="180800896"/>
        <c:crosses val="autoZero"/>
        <c:crossBetween val="midCat"/>
        <c:majorUnit val="20"/>
      </c:valAx>
      <c:spPr>
        <a:noFill/>
        <a:ln>
          <a:solidFill>
            <a:schemeClr val="tx1"/>
          </a:solidFill>
        </a:ln>
      </c:spPr>
    </c:plotArea>
    <c:plotVisOnly val="1"/>
    <c:dispBlanksAs val="gap"/>
    <c:showDLblsOverMax val="0"/>
  </c:chart>
  <c:spPr>
    <a:noFill/>
    <a:ln>
      <a:solidFill>
        <a:schemeClr val="tx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0">
                <a:latin typeface="+mn-lt"/>
              </a:defRPr>
            </a:pPr>
            <a:r>
              <a:rPr lang="en-US" sz="1300" b="0">
                <a:latin typeface="+mn-lt"/>
              </a:rPr>
              <a:t>Molar Heat Content of Al</a:t>
            </a:r>
            <a:r>
              <a:rPr lang="en-US" sz="1300" b="0" baseline="0">
                <a:latin typeface="+mn-lt"/>
              </a:rPr>
              <a:t> </a:t>
            </a:r>
            <a:r>
              <a:rPr lang="en-US" sz="1300" b="0">
                <a:latin typeface="+mn-lt"/>
              </a:rPr>
              <a:t>vs. T</a:t>
            </a:r>
          </a:p>
        </c:rich>
      </c:tx>
      <c:layout>
        <c:manualLayout>
          <c:xMode val="edge"/>
          <c:yMode val="edge"/>
          <c:x val="0.20050544580131077"/>
          <c:y val="2.4723663096615292E-2"/>
        </c:manualLayout>
      </c:layout>
      <c:overlay val="0"/>
      <c:spPr>
        <a:noFill/>
        <a:ln w="25400">
          <a:noFill/>
        </a:ln>
      </c:spPr>
    </c:title>
    <c:autoTitleDeleted val="0"/>
    <c:plotArea>
      <c:layout>
        <c:manualLayout>
          <c:layoutTarget val="inner"/>
          <c:xMode val="edge"/>
          <c:yMode val="edge"/>
          <c:x val="0.1719825867090084"/>
          <c:y val="0.1642862033550154"/>
          <c:w val="0.77422954590491666"/>
          <c:h val="0.6255486310656666"/>
        </c:manualLayout>
      </c:layout>
      <c:scatterChart>
        <c:scatterStyle val="lineMarker"/>
        <c:varyColors val="0"/>
        <c:ser>
          <c:idx val="0"/>
          <c:order val="0"/>
          <c:spPr>
            <a:ln w="12700">
              <a:solidFill>
                <a:schemeClr val="tx1"/>
              </a:solidFill>
              <a:prstDash val="solid"/>
            </a:ln>
          </c:spPr>
          <c:marker>
            <c:symbol val="diamond"/>
            <c:size val="5"/>
            <c:spPr>
              <a:solidFill>
                <a:srgbClr val="FF0000"/>
              </a:solidFill>
              <a:ln w="12700">
                <a:solidFill>
                  <a:schemeClr val="tx1"/>
                </a:solidFill>
              </a:ln>
            </c:spPr>
          </c:marker>
          <c:trendline>
            <c:spPr>
              <a:ln>
                <a:noFill/>
              </a:ln>
            </c:spPr>
            <c:trendlineType val="poly"/>
            <c:order val="2"/>
            <c:dispRSqr val="0"/>
            <c:dispEq val="1"/>
            <c:trendlineLbl>
              <c:layout>
                <c:manualLayout>
                  <c:x val="-2.9546672033307294E-2"/>
                  <c:y val="-4.4695686624077649E-2"/>
                </c:manualLayout>
              </c:layout>
              <c:tx>
                <c:rich>
                  <a:bodyPr/>
                  <a:lstStyle/>
                  <a:p>
                    <a:pPr>
                      <a:defRPr/>
                    </a:pPr>
                    <a:r>
                      <a:rPr lang="en-US" baseline="0"/>
                      <a:t>H = 1.64E-03T</a:t>
                    </a:r>
                    <a:r>
                      <a:rPr lang="en-US" baseline="30000"/>
                      <a:t>2</a:t>
                    </a:r>
                    <a:r>
                      <a:rPr lang="en-US" baseline="0"/>
                      <a:t> + 5.64T - 136</a:t>
                    </a:r>
                    <a:endParaRPr lang="en-US"/>
                  </a:p>
                </c:rich>
              </c:tx>
              <c:numFmt formatCode="0.00E+00" sourceLinked="0"/>
              <c:spPr>
                <a:solidFill>
                  <a:schemeClr val="accent2">
                    <a:lumMod val="40000"/>
                    <a:lumOff val="60000"/>
                  </a:schemeClr>
                </a:solidFill>
                <a:ln>
                  <a:solidFill>
                    <a:schemeClr val="tx1"/>
                  </a:solidFill>
                </a:ln>
              </c:spPr>
            </c:trendlineLbl>
          </c:trendline>
          <c:xVal>
            <c:numRef>
              <c:f>FREED!$C$10:$C$20</c:f>
              <c:numCache>
                <c:formatCode>0.0</c:formatCode>
                <c:ptCount val="11"/>
                <c:pt idx="0">
                  <c:v>26.850000000000023</c:v>
                </c:pt>
                <c:pt idx="1">
                  <c:v>90.211000000000013</c:v>
                </c:pt>
                <c:pt idx="2">
                  <c:v>153.572</c:v>
                </c:pt>
                <c:pt idx="3">
                  <c:v>216.93299999999999</c:v>
                </c:pt>
                <c:pt idx="4">
                  <c:v>280.29399999999998</c:v>
                </c:pt>
                <c:pt idx="5">
                  <c:v>343.65499999999997</c:v>
                </c:pt>
                <c:pt idx="6">
                  <c:v>407.01599999999996</c:v>
                </c:pt>
                <c:pt idx="7">
                  <c:v>470.37699999999995</c:v>
                </c:pt>
                <c:pt idx="8">
                  <c:v>533.73799999999994</c:v>
                </c:pt>
                <c:pt idx="9">
                  <c:v>597.09899999999993</c:v>
                </c:pt>
                <c:pt idx="10">
                  <c:v>660.46</c:v>
                </c:pt>
              </c:numCache>
            </c:numRef>
          </c:xVal>
          <c:yVal>
            <c:numRef>
              <c:f>FREED!$D$10:$D$20</c:f>
              <c:numCache>
                <c:formatCode>0</c:formatCode>
                <c:ptCount val="11"/>
                <c:pt idx="0">
                  <c:v>10.94024242517844</c:v>
                </c:pt>
                <c:pt idx="1">
                  <c:v>386.92413458316332</c:v>
                </c:pt>
                <c:pt idx="2">
                  <c:v>773.69258202089532</c:v>
                </c:pt>
                <c:pt idx="3">
                  <c:v>1170.2454188114943</c:v>
                </c:pt>
                <c:pt idx="4">
                  <c:v>1577.328279648792</c:v>
                </c:pt>
                <c:pt idx="5">
                  <c:v>1996.1912393458379</c:v>
                </c:pt>
                <c:pt idx="6">
                  <c:v>2428.1581812958721</c:v>
                </c:pt>
                <c:pt idx="7">
                  <c:v>2874.4767384523957</c:v>
                </c:pt>
                <c:pt idx="8">
                  <c:v>3336.2725314290456</c:v>
                </c:pt>
                <c:pt idx="9">
                  <c:v>3814.5432155663675</c:v>
                </c:pt>
                <c:pt idx="10">
                  <c:v>4310.1672122716664</c:v>
                </c:pt>
              </c:numCache>
            </c:numRef>
          </c:yVal>
          <c:smooth val="0"/>
        </c:ser>
        <c:ser>
          <c:idx val="1"/>
          <c:order val="1"/>
          <c:spPr>
            <a:ln w="12700">
              <a:solidFill>
                <a:schemeClr val="tx1"/>
              </a:solidFill>
            </a:ln>
          </c:spPr>
          <c:marker>
            <c:symbol val="diamond"/>
            <c:size val="5"/>
            <c:spPr>
              <a:noFill/>
              <a:ln>
                <a:solidFill>
                  <a:schemeClr val="tx1"/>
                </a:solidFill>
              </a:ln>
            </c:spPr>
          </c:marker>
          <c:xVal>
            <c:numRef>
              <c:f>FREED!$C$20:$C$21</c:f>
              <c:numCache>
                <c:formatCode>0.0</c:formatCode>
                <c:ptCount val="2"/>
                <c:pt idx="0">
                  <c:v>660.46</c:v>
                </c:pt>
                <c:pt idx="1">
                  <c:v>660.46000000000106</c:v>
                </c:pt>
              </c:numCache>
            </c:numRef>
          </c:xVal>
          <c:yVal>
            <c:numRef>
              <c:f>FREED!$D$20:$D$21</c:f>
              <c:numCache>
                <c:formatCode>0</c:formatCode>
                <c:ptCount val="2"/>
                <c:pt idx="0">
                  <c:v>4310.1672122716664</c:v>
                </c:pt>
                <c:pt idx="1">
                  <c:v>6890.0000867220078</c:v>
                </c:pt>
              </c:numCache>
            </c:numRef>
          </c:yVal>
          <c:smooth val="0"/>
        </c:ser>
        <c:ser>
          <c:idx val="2"/>
          <c:order val="2"/>
          <c:spPr>
            <a:ln w="12700">
              <a:solidFill>
                <a:schemeClr val="tx1"/>
              </a:solidFill>
            </a:ln>
          </c:spPr>
          <c:marker>
            <c:symbol val="diamond"/>
            <c:size val="5"/>
            <c:spPr>
              <a:solidFill>
                <a:srgbClr val="00B050"/>
              </a:solidFill>
              <a:ln w="12700">
                <a:solidFill>
                  <a:schemeClr val="tx1"/>
                </a:solidFill>
              </a:ln>
            </c:spPr>
          </c:marker>
          <c:trendline>
            <c:spPr>
              <a:ln>
                <a:noFill/>
              </a:ln>
            </c:spPr>
            <c:trendlineType val="linear"/>
            <c:dispRSqr val="0"/>
            <c:dispEq val="1"/>
            <c:trendlineLbl>
              <c:layout>
                <c:manualLayout>
                  <c:x val="-5.0626660245170707E-2"/>
                  <c:y val="-2.6332433083545718E-2"/>
                </c:manualLayout>
              </c:layout>
              <c:tx>
                <c:rich>
                  <a:bodyPr/>
                  <a:lstStyle/>
                  <a:p>
                    <a:pPr>
                      <a:defRPr/>
                    </a:pPr>
                    <a:r>
                      <a:rPr lang="en-US" baseline="0"/>
                      <a:t>H = 7.589T + 1878</a:t>
                    </a:r>
                    <a:endParaRPr lang="en-US"/>
                  </a:p>
                </c:rich>
              </c:tx>
              <c:numFmt formatCode="General" sourceLinked="0"/>
              <c:spPr>
                <a:solidFill>
                  <a:schemeClr val="accent3">
                    <a:lumMod val="60000"/>
                    <a:lumOff val="40000"/>
                  </a:schemeClr>
                </a:solidFill>
                <a:ln>
                  <a:solidFill>
                    <a:schemeClr val="tx1"/>
                  </a:solidFill>
                </a:ln>
              </c:spPr>
            </c:trendlineLbl>
          </c:trendline>
          <c:xVal>
            <c:numRef>
              <c:f>FREED!$C$21:$C$25</c:f>
              <c:numCache>
                <c:formatCode>0.0</c:formatCode>
                <c:ptCount val="5"/>
                <c:pt idx="0">
                  <c:v>660.46000000000106</c:v>
                </c:pt>
                <c:pt idx="1">
                  <c:v>710.37700000000075</c:v>
                </c:pt>
                <c:pt idx="2">
                  <c:v>743.65499999999997</c:v>
                </c:pt>
                <c:pt idx="3">
                  <c:v>826.85</c:v>
                </c:pt>
                <c:pt idx="4">
                  <c:v>876.85</c:v>
                </c:pt>
              </c:numCache>
            </c:numRef>
          </c:xVal>
          <c:yVal>
            <c:numRef>
              <c:f>FREED!$D$21:$D$25</c:f>
              <c:numCache>
                <c:formatCode>0</c:formatCode>
                <c:ptCount val="5"/>
                <c:pt idx="0">
                  <c:v>6890.0000867220078</c:v>
                </c:pt>
                <c:pt idx="1">
                  <c:v>7268.8701267054057</c:v>
                </c:pt>
                <c:pt idx="2">
                  <c:v>7521.4501533610037</c:v>
                </c:pt>
                <c:pt idx="3">
                  <c:v>8152.9002199999995</c:v>
                </c:pt>
                <c:pt idx="4">
                  <c:v>8532</c:v>
                </c:pt>
              </c:numCache>
            </c:numRef>
          </c:yVal>
          <c:smooth val="0"/>
        </c:ser>
        <c:dLbls>
          <c:showLegendKey val="0"/>
          <c:showVal val="0"/>
          <c:showCatName val="0"/>
          <c:showSerName val="0"/>
          <c:showPercent val="0"/>
          <c:showBubbleSize val="0"/>
        </c:dLbls>
        <c:axId val="181496064"/>
        <c:axId val="181510528"/>
      </c:scatterChart>
      <c:valAx>
        <c:axId val="181496064"/>
        <c:scaling>
          <c:orientation val="minMax"/>
          <c:max val="900"/>
          <c:min val="0"/>
        </c:scaling>
        <c:delete val="0"/>
        <c:axPos val="b"/>
        <c:majorGridlines>
          <c:spPr>
            <a:ln w="3175">
              <a:solidFill>
                <a:srgbClr val="000000"/>
              </a:solidFill>
              <a:prstDash val="sysDash"/>
            </a:ln>
          </c:spPr>
        </c:majorGridlines>
        <c:title>
          <c:tx>
            <c:rich>
              <a:bodyPr/>
              <a:lstStyle/>
              <a:p>
                <a:pPr>
                  <a:defRPr sz="1000" b="1"/>
                </a:pPr>
                <a:r>
                  <a:rPr lang="en-US" sz="1000" b="1"/>
                  <a:t>T, °C</a:t>
                </a:r>
              </a:p>
            </c:rich>
          </c:tx>
          <c:layout>
            <c:manualLayout>
              <c:xMode val="edge"/>
              <c:yMode val="edge"/>
              <c:x val="0.43829787234042555"/>
              <c:y val="0.903573004277699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181510528"/>
        <c:crossesAt val="0"/>
        <c:crossBetween val="midCat"/>
        <c:majorUnit val="100"/>
      </c:valAx>
      <c:valAx>
        <c:axId val="181510528"/>
        <c:scaling>
          <c:orientation val="minMax"/>
        </c:scaling>
        <c:delete val="0"/>
        <c:axPos val="l"/>
        <c:majorGridlines>
          <c:spPr>
            <a:ln w="3175">
              <a:solidFill>
                <a:srgbClr val="000000"/>
              </a:solidFill>
              <a:prstDash val="sysDash"/>
            </a:ln>
          </c:spPr>
        </c:majorGridlines>
        <c:title>
          <c:tx>
            <c:rich>
              <a:bodyPr/>
              <a:lstStyle/>
              <a:p>
                <a:pPr>
                  <a:defRPr sz="1000" b="1"/>
                </a:pPr>
                <a:r>
                  <a:rPr lang="en-US" sz="1000" b="1"/>
                  <a:t>H</a:t>
                </a:r>
                <a:r>
                  <a:rPr lang="en-US" sz="1000" b="1" baseline="-25000"/>
                  <a:t>T</a:t>
                </a:r>
                <a:r>
                  <a:rPr lang="en-US" sz="1000" b="1"/>
                  <a:t>-H</a:t>
                </a:r>
                <a:r>
                  <a:rPr lang="en-US" sz="1000" b="1" baseline="-25000"/>
                  <a:t>25</a:t>
                </a:r>
                <a:r>
                  <a:rPr lang="en-US" sz="1000" b="1"/>
                  <a:t> (Cal/g-mol)</a:t>
                </a:r>
              </a:p>
            </c:rich>
          </c:tx>
          <c:layout>
            <c:manualLayout>
              <c:xMode val="edge"/>
              <c:yMode val="edge"/>
              <c:x val="3.4939266296167893E-3"/>
              <c:y val="0.202582647315514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181496064"/>
        <c:crosses val="autoZero"/>
        <c:crossBetween val="midCat"/>
      </c:valAx>
      <c:spPr>
        <a:solidFill>
          <a:schemeClr val="accent6">
            <a:lumMod val="40000"/>
            <a:lumOff val="60000"/>
          </a:schemeClr>
        </a:solidFill>
      </c:spPr>
    </c:plotArea>
    <c:plotVisOnly val="1"/>
    <c:dispBlanksAs val="gap"/>
    <c:showDLblsOverMax val="0"/>
  </c:chart>
  <c:spPr>
    <a:solidFill>
      <a:srgbClr val="CCDAEC"/>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0">
                <a:latin typeface="+mn-lt"/>
              </a:defRPr>
            </a:pPr>
            <a:r>
              <a:rPr lang="en-US" sz="1300" b="0">
                <a:latin typeface="+mn-lt"/>
              </a:rPr>
              <a:t>Molar Heat Content of Al</a:t>
            </a:r>
            <a:r>
              <a:rPr lang="en-US" sz="1300" b="0" baseline="0">
                <a:latin typeface="+mn-lt"/>
              </a:rPr>
              <a:t> </a:t>
            </a:r>
            <a:r>
              <a:rPr lang="en-US" sz="1300" b="0">
                <a:latin typeface="+mn-lt"/>
              </a:rPr>
              <a:t>vs. T</a:t>
            </a:r>
          </a:p>
        </c:rich>
      </c:tx>
      <c:layout>
        <c:manualLayout>
          <c:xMode val="edge"/>
          <c:yMode val="edge"/>
          <c:x val="0.20050530354398932"/>
          <c:y val="5.8554944782845545E-3"/>
        </c:manualLayout>
      </c:layout>
      <c:overlay val="0"/>
      <c:spPr>
        <a:noFill/>
        <a:ln w="25400">
          <a:noFill/>
        </a:ln>
      </c:spPr>
    </c:title>
    <c:autoTitleDeleted val="0"/>
    <c:plotArea>
      <c:layout>
        <c:manualLayout>
          <c:layoutTarget val="inner"/>
          <c:xMode val="edge"/>
          <c:yMode val="edge"/>
          <c:x val="0.1823385415712182"/>
          <c:y val="0.13283959788045363"/>
          <c:w val="0.7545056595053008"/>
          <c:h val="0.68844153914722928"/>
        </c:manualLayout>
      </c:layout>
      <c:scatterChart>
        <c:scatterStyle val="lineMarker"/>
        <c:varyColors val="0"/>
        <c:ser>
          <c:idx val="0"/>
          <c:order val="0"/>
          <c:spPr>
            <a:ln w="12700">
              <a:solidFill>
                <a:schemeClr val="tx1"/>
              </a:solidFill>
              <a:prstDash val="solid"/>
            </a:ln>
          </c:spPr>
          <c:marker>
            <c:symbol val="diamond"/>
            <c:size val="5"/>
            <c:spPr>
              <a:solidFill>
                <a:srgbClr val="FF0000"/>
              </a:solidFill>
              <a:ln w="12700">
                <a:solidFill>
                  <a:schemeClr val="tx1"/>
                </a:solidFill>
              </a:ln>
            </c:spPr>
          </c:marker>
          <c:trendline>
            <c:spPr>
              <a:ln>
                <a:noFill/>
              </a:ln>
            </c:spPr>
            <c:trendlineType val="poly"/>
            <c:order val="2"/>
            <c:dispRSqr val="0"/>
            <c:dispEq val="1"/>
            <c:trendlineLbl>
              <c:layout>
                <c:manualLayout>
                  <c:x val="-1.650250306651662E-2"/>
                  <c:y val="-4.9777150497697223E-2"/>
                </c:manualLayout>
              </c:layout>
              <c:tx>
                <c:rich>
                  <a:bodyPr/>
                  <a:lstStyle/>
                  <a:p>
                    <a:pPr>
                      <a:defRPr/>
                    </a:pPr>
                    <a:r>
                      <a:rPr lang="en-US" baseline="0"/>
                      <a:t>H = 9.09E-04T</a:t>
                    </a:r>
                    <a:r>
                      <a:rPr lang="en-US" baseline="30000"/>
                      <a:t>2</a:t>
                    </a:r>
                    <a:r>
                      <a:rPr lang="en-US" baseline="0"/>
                      <a:t> + 5.58T - 424</a:t>
                    </a:r>
                    <a:endParaRPr lang="en-US"/>
                  </a:p>
                </c:rich>
              </c:tx>
              <c:numFmt formatCode="0.00E+00" sourceLinked="0"/>
              <c:spPr>
                <a:solidFill>
                  <a:schemeClr val="accent2">
                    <a:lumMod val="40000"/>
                    <a:lumOff val="60000"/>
                  </a:schemeClr>
                </a:solidFill>
                <a:ln>
                  <a:solidFill>
                    <a:schemeClr val="tx1"/>
                  </a:solidFill>
                </a:ln>
              </c:spPr>
            </c:trendlineLbl>
          </c:trendline>
          <c:xVal>
            <c:numRef>
              <c:f>FREED!$K$10:$K$20</c:f>
              <c:numCache>
                <c:formatCode>0.0</c:formatCode>
                <c:ptCount val="11"/>
                <c:pt idx="0">
                  <c:v>80.330000000000041</c:v>
                </c:pt>
                <c:pt idx="1">
                  <c:v>194.37980000000002</c:v>
                </c:pt>
                <c:pt idx="2">
                  <c:v>308.42959999999999</c:v>
                </c:pt>
                <c:pt idx="3">
                  <c:v>422.4794</c:v>
                </c:pt>
                <c:pt idx="4">
                  <c:v>536.52919999999995</c:v>
                </c:pt>
                <c:pt idx="5">
                  <c:v>650.57899999999995</c:v>
                </c:pt>
                <c:pt idx="6">
                  <c:v>764.62879999999996</c:v>
                </c:pt>
                <c:pt idx="7">
                  <c:v>878.67859999999996</c:v>
                </c:pt>
                <c:pt idx="8">
                  <c:v>992.72839999999997</c:v>
                </c:pt>
                <c:pt idx="9">
                  <c:v>1106.7782</c:v>
                </c:pt>
                <c:pt idx="10">
                  <c:v>1220.8280000000002</c:v>
                </c:pt>
              </c:numCache>
            </c:numRef>
          </c:xVal>
          <c:yVal>
            <c:numRef>
              <c:f>FREED!$L$10:$L$20</c:f>
              <c:numCache>
                <c:formatCode>0</c:formatCode>
                <c:ptCount val="11"/>
                <c:pt idx="0">
                  <c:v>19.692421486591492</c:v>
                </c:pt>
                <c:pt idx="1">
                  <c:v>696.46291603287091</c:v>
                </c:pt>
                <c:pt idx="2">
                  <c:v>1392.6455954157</c:v>
                </c:pt>
                <c:pt idx="3">
                  <c:v>2106.44016232692</c:v>
                </c:pt>
                <c:pt idx="4">
                  <c:v>2839.1887582013651</c:v>
                </c:pt>
                <c:pt idx="5">
                  <c:v>3593.1415160024226</c:v>
                </c:pt>
                <c:pt idx="6">
                  <c:v>4370.6814240374433</c:v>
                </c:pt>
                <c:pt idx="7">
                  <c:v>5174.054219925948</c:v>
                </c:pt>
                <c:pt idx="8">
                  <c:v>6005.2860192416392</c:v>
                </c:pt>
                <c:pt idx="9">
                  <c:v>6866.1726002406886</c:v>
                </c:pt>
                <c:pt idx="10">
                  <c:v>7758.2951202615905</c:v>
                </c:pt>
              </c:numCache>
            </c:numRef>
          </c:yVal>
          <c:smooth val="0"/>
        </c:ser>
        <c:ser>
          <c:idx val="1"/>
          <c:order val="1"/>
          <c:spPr>
            <a:ln w="12700">
              <a:solidFill>
                <a:schemeClr val="tx1"/>
              </a:solidFill>
            </a:ln>
          </c:spPr>
          <c:marker>
            <c:symbol val="diamond"/>
            <c:size val="5"/>
            <c:spPr>
              <a:noFill/>
              <a:ln>
                <a:solidFill>
                  <a:schemeClr val="tx1"/>
                </a:solidFill>
              </a:ln>
            </c:spPr>
          </c:marker>
          <c:xVal>
            <c:numRef>
              <c:f>FREED!$K$20:$K$21</c:f>
              <c:numCache>
                <c:formatCode>0.0</c:formatCode>
                <c:ptCount val="2"/>
                <c:pt idx="0">
                  <c:v>1220.8280000000002</c:v>
                </c:pt>
                <c:pt idx="1">
                  <c:v>1220.828000000002</c:v>
                </c:pt>
              </c:numCache>
            </c:numRef>
          </c:xVal>
          <c:yVal>
            <c:numRef>
              <c:f>FREED!$L$20:$L$21</c:f>
              <c:numCache>
                <c:formatCode>0</c:formatCode>
                <c:ptCount val="2"/>
                <c:pt idx="0">
                  <c:v>7758.2951202615905</c:v>
                </c:pt>
                <c:pt idx="1">
                  <c:v>12401.990785699496</c:v>
                </c:pt>
              </c:numCache>
            </c:numRef>
          </c:yVal>
          <c:smooth val="0"/>
        </c:ser>
        <c:ser>
          <c:idx val="2"/>
          <c:order val="2"/>
          <c:spPr>
            <a:ln w="12700">
              <a:solidFill>
                <a:schemeClr val="tx1"/>
              </a:solidFill>
            </a:ln>
          </c:spPr>
          <c:marker>
            <c:symbol val="diamond"/>
            <c:size val="5"/>
            <c:spPr>
              <a:solidFill>
                <a:srgbClr val="00B050"/>
              </a:solidFill>
              <a:ln w="12700">
                <a:solidFill>
                  <a:schemeClr val="tx1"/>
                </a:solidFill>
              </a:ln>
            </c:spPr>
          </c:marker>
          <c:trendline>
            <c:spPr>
              <a:ln>
                <a:noFill/>
              </a:ln>
            </c:spPr>
            <c:trendlineType val="linear"/>
            <c:dispRSqr val="0"/>
            <c:dispEq val="1"/>
            <c:trendlineLbl>
              <c:layout>
                <c:manualLayout>
                  <c:x val="-0.12761834238197756"/>
                  <c:y val="5.5251819937602135E-3"/>
                </c:manualLayout>
              </c:layout>
              <c:tx>
                <c:rich>
                  <a:bodyPr/>
                  <a:lstStyle/>
                  <a:p>
                    <a:pPr>
                      <a:defRPr/>
                    </a:pPr>
                    <a:r>
                      <a:rPr lang="en-US" baseline="0"/>
                      <a:t>H = 7.589x + 3138</a:t>
                    </a:r>
                    <a:endParaRPr lang="en-US"/>
                  </a:p>
                </c:rich>
              </c:tx>
              <c:numFmt formatCode="General" sourceLinked="0"/>
              <c:spPr>
                <a:solidFill>
                  <a:schemeClr val="accent3">
                    <a:lumMod val="60000"/>
                    <a:lumOff val="40000"/>
                  </a:schemeClr>
                </a:solidFill>
                <a:ln>
                  <a:solidFill>
                    <a:schemeClr val="tx1"/>
                  </a:solidFill>
                </a:ln>
              </c:spPr>
            </c:trendlineLbl>
          </c:trendline>
          <c:xVal>
            <c:numRef>
              <c:f>FREED!$K$21:$K$25</c:f>
              <c:numCache>
                <c:formatCode>0.0</c:formatCode>
                <c:ptCount val="5"/>
                <c:pt idx="0">
                  <c:v>1220.828000000002</c:v>
                </c:pt>
                <c:pt idx="1">
                  <c:v>1310.6786000000013</c:v>
                </c:pt>
                <c:pt idx="2">
                  <c:v>1370.579</c:v>
                </c:pt>
                <c:pt idx="3">
                  <c:v>1520.3300000000002</c:v>
                </c:pt>
                <c:pt idx="4">
                  <c:v>1610.3300000000002</c:v>
                </c:pt>
              </c:numCache>
            </c:numRef>
          </c:xVal>
          <c:yVal>
            <c:numRef>
              <c:f>FREED!$L$21:$L$25</c:f>
              <c:numCache>
                <c:formatCode>0</c:formatCode>
                <c:ptCount val="5"/>
                <c:pt idx="0">
                  <c:v>12401.990785699496</c:v>
                </c:pt>
                <c:pt idx="1">
                  <c:v>13083.956342406358</c:v>
                </c:pt>
                <c:pt idx="2">
                  <c:v>13538.600046877596</c:v>
                </c:pt>
                <c:pt idx="3">
                  <c:v>14675.209308055701</c:v>
                </c:pt>
                <c:pt idx="4">
                  <c:v>15357.58839648</c:v>
                </c:pt>
              </c:numCache>
            </c:numRef>
          </c:yVal>
          <c:smooth val="0"/>
        </c:ser>
        <c:dLbls>
          <c:showLegendKey val="0"/>
          <c:showVal val="0"/>
          <c:showCatName val="0"/>
          <c:showSerName val="0"/>
          <c:showPercent val="0"/>
          <c:showBubbleSize val="0"/>
        </c:dLbls>
        <c:axId val="181546368"/>
        <c:axId val="181548544"/>
      </c:scatterChart>
      <c:valAx>
        <c:axId val="181546368"/>
        <c:scaling>
          <c:orientation val="minMax"/>
          <c:max val="1700"/>
          <c:min val="0"/>
        </c:scaling>
        <c:delete val="0"/>
        <c:axPos val="b"/>
        <c:majorGridlines>
          <c:spPr>
            <a:ln w="3175">
              <a:solidFill>
                <a:srgbClr val="000000"/>
              </a:solidFill>
              <a:prstDash val="sysDash"/>
            </a:ln>
          </c:spPr>
        </c:majorGridlines>
        <c:title>
          <c:tx>
            <c:rich>
              <a:bodyPr/>
              <a:lstStyle/>
              <a:p>
                <a:pPr>
                  <a:defRPr sz="1000" b="1"/>
                </a:pPr>
                <a:r>
                  <a:rPr lang="en-US" sz="1000" b="1"/>
                  <a:t>T, °F</a:t>
                </a:r>
              </a:p>
            </c:rich>
          </c:tx>
          <c:layout>
            <c:manualLayout>
              <c:xMode val="edge"/>
              <c:yMode val="edge"/>
              <c:x val="0.43829787234042555"/>
              <c:y val="0.903573004277699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181548544"/>
        <c:crossesAt val="0"/>
        <c:crossBetween val="midCat"/>
        <c:majorUnit val="200"/>
      </c:valAx>
      <c:valAx>
        <c:axId val="181548544"/>
        <c:scaling>
          <c:orientation val="minMax"/>
          <c:max val="16000"/>
        </c:scaling>
        <c:delete val="0"/>
        <c:axPos val="l"/>
        <c:majorGridlines>
          <c:spPr>
            <a:ln w="3175">
              <a:solidFill>
                <a:srgbClr val="000000"/>
              </a:solidFill>
              <a:prstDash val="sysDash"/>
            </a:ln>
          </c:spPr>
        </c:majorGridlines>
        <c:title>
          <c:tx>
            <c:rich>
              <a:bodyPr/>
              <a:lstStyle/>
              <a:p>
                <a:pPr>
                  <a:defRPr sz="1000" b="1"/>
                </a:pPr>
                <a:r>
                  <a:rPr lang="en-US" sz="1000" b="1"/>
                  <a:t>H</a:t>
                </a:r>
                <a:r>
                  <a:rPr lang="en-US" sz="1000" b="1" baseline="-25000"/>
                  <a:t>T</a:t>
                </a:r>
                <a:r>
                  <a:rPr lang="en-US" sz="1000" b="1"/>
                  <a:t>-H</a:t>
                </a:r>
                <a:r>
                  <a:rPr lang="en-US" sz="1000" b="1" baseline="-25000"/>
                  <a:t>77</a:t>
                </a:r>
                <a:r>
                  <a:rPr lang="en-US" sz="1000" b="1"/>
                  <a:t> (Btu/lb-mol)</a:t>
                </a:r>
              </a:p>
            </c:rich>
          </c:tx>
          <c:layout>
            <c:manualLayout>
              <c:xMode val="edge"/>
              <c:yMode val="edge"/>
              <c:x val="3.4938579103977151E-3"/>
              <c:y val="0.202582647315514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181546368"/>
        <c:crosses val="autoZero"/>
        <c:crossBetween val="midCat"/>
        <c:majorUnit val="4000"/>
      </c:valAx>
      <c:spPr>
        <a:solidFill>
          <a:schemeClr val="accent6">
            <a:lumMod val="40000"/>
            <a:lumOff val="60000"/>
          </a:schemeClr>
        </a:solidFill>
      </c:spPr>
    </c:plotArea>
    <c:plotVisOnly val="1"/>
    <c:dispBlanksAs val="gap"/>
    <c:showDLblsOverMax val="0"/>
  </c:chart>
  <c:spPr>
    <a:solidFill>
      <a:srgbClr val="CCDAEC"/>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a:ea typeface="Arial"/>
                <a:cs typeface="Arial"/>
              </a:defRPr>
            </a:pPr>
            <a:r>
              <a:rPr lang="en-US"/>
              <a:t>Plot: HT-H298 vs. T for H2O</a:t>
            </a:r>
          </a:p>
        </c:rich>
      </c:tx>
      <c:layout/>
      <c:overlay val="0"/>
    </c:title>
    <c:autoTitleDeleted val="0"/>
    <c:plotArea>
      <c:layout/>
      <c:scatterChart>
        <c:scatterStyle val="lineMarker"/>
        <c:varyColors val="0"/>
        <c:ser>
          <c:idx val="0"/>
          <c:order val="0"/>
          <c:spPr>
            <a:ln>
              <a:noFill/>
            </a:ln>
          </c:spPr>
          <c:marker>
            <c:symbol val="diamond"/>
            <c:size val="5"/>
          </c:marker>
          <c:trendline>
            <c:trendlineType val="poly"/>
            <c:order val="2"/>
            <c:dispRSqr val="1"/>
            <c:dispEq val="1"/>
            <c:trendlineLbl>
              <c:layout>
                <c:manualLayout>
                  <c:x val="-0.13014836240256472"/>
                  <c:y val="-2.164145624739082E-2"/>
                </c:manualLayout>
              </c:layout>
              <c:tx>
                <c:rich>
                  <a:bodyPr/>
                  <a:lstStyle/>
                  <a:p>
                    <a:pPr>
                      <a:defRPr/>
                    </a:pPr>
                    <a:r>
                      <a:rPr lang="en-US" baseline="0"/>
                      <a:t>H = 4.323E-03T</a:t>
                    </a:r>
                    <a:r>
                      <a:rPr lang="en-US" baseline="30000"/>
                      <a:t>2</a:t>
                    </a:r>
                    <a:r>
                      <a:rPr lang="en-US" baseline="0"/>
                      <a:t> + 36.04x - 2563
R² = 9.9999E-01</a:t>
                    </a:r>
                    <a:endParaRPr lang="en-US"/>
                  </a:p>
                </c:rich>
              </c:tx>
              <c:numFmt formatCode="0.0000E+00" sourceLinked="0"/>
              <c:spPr>
                <a:solidFill>
                  <a:srgbClr val="C7C7C7"/>
                </a:solidFill>
              </c:spPr>
            </c:trendlineLbl>
          </c:trendline>
          <c:xVal>
            <c:numRef>
              <c:f>FREEDHeatContentData!$B$27:$B$36</c:f>
              <c:numCache>
                <c:formatCode>General</c:formatCode>
                <c:ptCount val="10"/>
                <c:pt idx="0">
                  <c:v>700</c:v>
                </c:pt>
                <c:pt idx="1">
                  <c:v>850.00000000000011</c:v>
                </c:pt>
                <c:pt idx="2">
                  <c:v>1000.0000000000001</c:v>
                </c:pt>
                <c:pt idx="3">
                  <c:v>1150</c:v>
                </c:pt>
                <c:pt idx="4">
                  <c:v>1300</c:v>
                </c:pt>
                <c:pt idx="5">
                  <c:v>1450</c:v>
                </c:pt>
                <c:pt idx="6">
                  <c:v>1600</c:v>
                </c:pt>
                <c:pt idx="7">
                  <c:v>1750</c:v>
                </c:pt>
                <c:pt idx="8">
                  <c:v>1900</c:v>
                </c:pt>
                <c:pt idx="9">
                  <c:v>2200</c:v>
                </c:pt>
              </c:numCache>
            </c:numRef>
          </c:xVal>
          <c:yVal>
            <c:numRef>
              <c:f>FREEDHeatContentData!$C$27:$C$36</c:f>
              <c:numCache>
                <c:formatCode>0</c:formatCode>
                <c:ptCount val="10"/>
                <c:pt idx="0">
                  <c:v>24894.471291311402</c:v>
                </c:pt>
                <c:pt idx="1">
                  <c:v>31174.745294503631</c:v>
                </c:pt>
                <c:pt idx="2">
                  <c:v>37719.486716218154</c:v>
                </c:pt>
                <c:pt idx="3">
                  <c:v>44513.943462441144</c:v>
                </c:pt>
                <c:pt idx="4">
                  <c:v>51541.45768615618</c:v>
                </c:pt>
                <c:pt idx="5">
                  <c:v>58784.117888780922</c:v>
                </c:pt>
                <c:pt idx="6">
                  <c:v>66223.148986471584</c:v>
                </c:pt>
                <c:pt idx="7">
                  <c:v>73839.158705676513</c:v>
                </c:pt>
                <c:pt idx="8">
                  <c:v>81612.300201337785</c:v>
                </c:pt>
                <c:pt idx="9">
                  <c:v>97548.95309326479</c:v>
                </c:pt>
              </c:numCache>
            </c:numRef>
          </c:yVal>
          <c:smooth val="0"/>
        </c:ser>
        <c:dLbls>
          <c:showLegendKey val="0"/>
          <c:showVal val="0"/>
          <c:showCatName val="0"/>
          <c:showSerName val="0"/>
          <c:showPercent val="0"/>
          <c:showBubbleSize val="0"/>
        </c:dLbls>
        <c:axId val="181842304"/>
        <c:axId val="181844224"/>
      </c:scatterChart>
      <c:valAx>
        <c:axId val="181842304"/>
        <c:scaling>
          <c:orientation val="minMax"/>
          <c:max val="2200"/>
          <c:min val="700"/>
        </c:scaling>
        <c:delete val="0"/>
        <c:axPos val="b"/>
        <c:majorGridlines>
          <c:spPr>
            <a:ln>
              <a:solidFill>
                <a:srgbClr val="000000"/>
              </a:solidFill>
              <a:prstDash val="sysDash"/>
            </a:ln>
          </c:spPr>
        </c:majorGridlines>
        <c:title>
          <c:tx>
            <c:rich>
              <a:bodyPr/>
              <a:lstStyle/>
              <a:p>
                <a:pPr>
                  <a:defRPr/>
                </a:pPr>
                <a:r>
                  <a:rPr lang="en-US"/>
                  <a:t>T (C)</a:t>
                </a:r>
              </a:p>
            </c:rich>
          </c:tx>
          <c:layout/>
          <c:overlay val="0"/>
        </c:title>
        <c:numFmt formatCode="General" sourceLinked="1"/>
        <c:majorTickMark val="out"/>
        <c:minorTickMark val="none"/>
        <c:tickLblPos val="nextTo"/>
        <c:spPr>
          <a:ln w="3175"/>
        </c:spPr>
        <c:crossAx val="181844224"/>
        <c:crossesAt val="0"/>
        <c:crossBetween val="midCat"/>
      </c:valAx>
      <c:valAx>
        <c:axId val="181844224"/>
        <c:scaling>
          <c:orientation val="minMax"/>
        </c:scaling>
        <c:delete val="0"/>
        <c:axPos val="l"/>
        <c:majorGridlines>
          <c:spPr>
            <a:ln w="3175">
              <a:solidFill>
                <a:srgbClr val="868686"/>
              </a:solidFill>
              <a:prstDash val="sysDash"/>
            </a:ln>
          </c:spPr>
        </c:majorGridlines>
        <c:title>
          <c:tx>
            <c:rich>
              <a:bodyPr/>
              <a:lstStyle/>
              <a:p>
                <a:pPr>
                  <a:defRPr/>
                </a:pPr>
                <a:r>
                  <a:rPr lang="en-US"/>
                  <a:t>HT-H298 (J)</a:t>
                </a:r>
              </a:p>
            </c:rich>
          </c:tx>
          <c:layout/>
          <c:overlay val="0"/>
        </c:title>
        <c:numFmt formatCode="0.00E+00" sourceLinked="0"/>
        <c:majorTickMark val="out"/>
        <c:minorTickMark val="none"/>
        <c:tickLblPos val="nextTo"/>
        <c:crossAx val="181842304"/>
        <c:crosses val="autoZero"/>
        <c:crossBetween val="midCat"/>
      </c:valAx>
      <c:spPr>
        <a:noFill/>
      </c:spPr>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a:ea typeface="Arial"/>
                <a:cs typeface="Arial"/>
              </a:defRPr>
            </a:pPr>
            <a:r>
              <a:rPr lang="en-US"/>
              <a:t>Plot: HT-H298 vs. T for N2</a:t>
            </a:r>
          </a:p>
        </c:rich>
      </c:tx>
      <c:layout/>
      <c:overlay val="0"/>
    </c:title>
    <c:autoTitleDeleted val="0"/>
    <c:plotArea>
      <c:layout/>
      <c:scatterChart>
        <c:scatterStyle val="lineMarker"/>
        <c:varyColors val="0"/>
        <c:ser>
          <c:idx val="0"/>
          <c:order val="0"/>
          <c:spPr>
            <a:ln>
              <a:noFill/>
            </a:ln>
          </c:spPr>
          <c:marker>
            <c:symbol val="diamond"/>
            <c:size val="5"/>
          </c:marker>
          <c:trendline>
            <c:trendlineType val="poly"/>
            <c:order val="2"/>
            <c:dispRSqr val="1"/>
            <c:dispEq val="1"/>
            <c:trendlineLbl>
              <c:layout>
                <c:manualLayout>
                  <c:x val="8.6313048729866303E-3"/>
                  <c:y val="0.46740270410734197"/>
                </c:manualLayout>
              </c:layout>
              <c:tx>
                <c:rich>
                  <a:bodyPr/>
                  <a:lstStyle/>
                  <a:p>
                    <a:pPr>
                      <a:defRPr/>
                    </a:pPr>
                    <a:r>
                      <a:rPr lang="en-US" baseline="0"/>
                      <a:t>H = 1.317E-03T</a:t>
                    </a:r>
                    <a:r>
                      <a:rPr lang="en-US" baseline="30000"/>
                      <a:t>2</a:t>
                    </a:r>
                    <a:r>
                      <a:rPr lang="en-US" baseline="0"/>
                      <a:t> + 31.40T - 2077
R² = 9.9999E-01</a:t>
                    </a:r>
                    <a:endParaRPr lang="en-US"/>
                  </a:p>
                </c:rich>
              </c:tx>
              <c:numFmt formatCode="0.0000E+00" sourceLinked="0"/>
              <c:spPr>
                <a:solidFill>
                  <a:schemeClr val="bg1">
                    <a:lumMod val="85000"/>
                  </a:schemeClr>
                </a:solidFill>
              </c:spPr>
            </c:trendlineLbl>
          </c:trendline>
          <c:xVal>
            <c:numRef>
              <c:f>FREEDHeatContentData!$M$8:$M$17</c:f>
              <c:numCache>
                <c:formatCode>General</c:formatCode>
                <c:ptCount val="10"/>
                <c:pt idx="0">
                  <c:v>700</c:v>
                </c:pt>
                <c:pt idx="1">
                  <c:v>850.00000000000011</c:v>
                </c:pt>
                <c:pt idx="2">
                  <c:v>1000.0000000000001</c:v>
                </c:pt>
                <c:pt idx="3">
                  <c:v>1150</c:v>
                </c:pt>
                <c:pt idx="4">
                  <c:v>1300</c:v>
                </c:pt>
                <c:pt idx="5">
                  <c:v>1450</c:v>
                </c:pt>
                <c:pt idx="6">
                  <c:v>1600</c:v>
                </c:pt>
                <c:pt idx="7">
                  <c:v>1750</c:v>
                </c:pt>
                <c:pt idx="8">
                  <c:v>1900</c:v>
                </c:pt>
                <c:pt idx="9">
                  <c:v>2200</c:v>
                </c:pt>
              </c:numCache>
            </c:numRef>
          </c:xVal>
          <c:yVal>
            <c:numRef>
              <c:f>FREEDHeatContentData!$N$8:$N$17</c:f>
              <c:numCache>
                <c:formatCode>0</c:formatCode>
                <c:ptCount val="10"/>
                <c:pt idx="0">
                  <c:v>20607.316944828886</c:v>
                </c:pt>
                <c:pt idx="1">
                  <c:v>25549.334483604238</c:v>
                </c:pt>
                <c:pt idx="2">
                  <c:v>30594.835044951629</c:v>
                </c:pt>
                <c:pt idx="3">
                  <c:v>35730.243285772565</c:v>
                </c:pt>
                <c:pt idx="4">
                  <c:v>40943.624979963875</c:v>
                </c:pt>
                <c:pt idx="5">
                  <c:v>46224.361262888859</c:v>
                </c:pt>
                <c:pt idx="6">
                  <c:v>51562.86705915795</c:v>
                </c:pt>
                <c:pt idx="7">
                  <c:v>56950.369380930009</c:v>
                </c:pt>
                <c:pt idx="8">
                  <c:v>62378.737431126698</c:v>
                </c:pt>
                <c:pt idx="9">
                  <c:v>73328.011225142589</c:v>
                </c:pt>
              </c:numCache>
            </c:numRef>
          </c:yVal>
          <c:smooth val="0"/>
        </c:ser>
        <c:dLbls>
          <c:showLegendKey val="0"/>
          <c:showVal val="0"/>
          <c:showCatName val="0"/>
          <c:showSerName val="0"/>
          <c:showPercent val="0"/>
          <c:showBubbleSize val="0"/>
        </c:dLbls>
        <c:axId val="181615616"/>
        <c:axId val="181617792"/>
      </c:scatterChart>
      <c:valAx>
        <c:axId val="181615616"/>
        <c:scaling>
          <c:orientation val="minMax"/>
          <c:max val="2200"/>
          <c:min val="700"/>
        </c:scaling>
        <c:delete val="0"/>
        <c:axPos val="b"/>
        <c:majorGridlines>
          <c:spPr>
            <a:ln>
              <a:solidFill>
                <a:srgbClr val="000000"/>
              </a:solidFill>
              <a:prstDash val="sysDash"/>
            </a:ln>
          </c:spPr>
        </c:majorGridlines>
        <c:title>
          <c:tx>
            <c:rich>
              <a:bodyPr/>
              <a:lstStyle/>
              <a:p>
                <a:pPr>
                  <a:defRPr/>
                </a:pPr>
                <a:r>
                  <a:rPr lang="en-US"/>
                  <a:t>T (C)</a:t>
                </a:r>
              </a:p>
            </c:rich>
          </c:tx>
          <c:layout/>
          <c:overlay val="0"/>
        </c:title>
        <c:numFmt formatCode="General" sourceLinked="1"/>
        <c:majorTickMark val="out"/>
        <c:minorTickMark val="none"/>
        <c:tickLblPos val="nextTo"/>
        <c:spPr>
          <a:ln w="3175"/>
        </c:spPr>
        <c:crossAx val="181617792"/>
        <c:crossesAt val="0"/>
        <c:crossBetween val="midCat"/>
      </c:valAx>
      <c:valAx>
        <c:axId val="181617792"/>
        <c:scaling>
          <c:orientation val="minMax"/>
        </c:scaling>
        <c:delete val="0"/>
        <c:axPos val="l"/>
        <c:majorGridlines>
          <c:spPr>
            <a:ln w="3175">
              <a:solidFill>
                <a:srgbClr val="868686"/>
              </a:solidFill>
              <a:prstDash val="sysDash"/>
            </a:ln>
          </c:spPr>
        </c:majorGridlines>
        <c:title>
          <c:tx>
            <c:rich>
              <a:bodyPr/>
              <a:lstStyle/>
              <a:p>
                <a:pPr>
                  <a:defRPr/>
                </a:pPr>
                <a:r>
                  <a:rPr lang="en-US"/>
                  <a:t>HT-H298 (J)</a:t>
                </a:r>
              </a:p>
            </c:rich>
          </c:tx>
          <c:layout/>
          <c:overlay val="0"/>
        </c:title>
        <c:numFmt formatCode="0.00E+00" sourceLinked="0"/>
        <c:majorTickMark val="out"/>
        <c:minorTickMark val="none"/>
        <c:tickLblPos val="nextTo"/>
        <c:crossAx val="181615616"/>
        <c:crosses val="autoZero"/>
        <c:crossBetween val="midCat"/>
      </c:valAx>
      <c:spPr>
        <a:noFill/>
      </c:spPr>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a:ea typeface="Arial"/>
                <a:cs typeface="Arial"/>
              </a:defRPr>
            </a:pPr>
            <a:r>
              <a:rPr lang="en-US"/>
              <a:t>Plot: HT-H298 vs. T for O2</a:t>
            </a:r>
          </a:p>
        </c:rich>
      </c:tx>
      <c:layout/>
      <c:overlay val="0"/>
    </c:title>
    <c:autoTitleDeleted val="0"/>
    <c:plotArea>
      <c:layout/>
      <c:scatterChart>
        <c:scatterStyle val="lineMarker"/>
        <c:varyColors val="0"/>
        <c:ser>
          <c:idx val="0"/>
          <c:order val="0"/>
          <c:spPr>
            <a:ln>
              <a:noFill/>
            </a:ln>
          </c:spPr>
          <c:marker>
            <c:symbol val="diamond"/>
            <c:size val="5"/>
          </c:marker>
          <c:trendline>
            <c:trendlineType val="poly"/>
            <c:order val="2"/>
            <c:dispRSqr val="1"/>
            <c:dispEq val="1"/>
            <c:trendlineLbl>
              <c:layout>
                <c:manualLayout>
                  <c:x val="-0.14443066491688539"/>
                  <c:y val="1.5729075532225138E-2"/>
                </c:manualLayout>
              </c:layout>
              <c:tx>
                <c:rich>
                  <a:bodyPr/>
                  <a:lstStyle/>
                  <a:p>
                    <a:pPr>
                      <a:defRPr/>
                    </a:pPr>
                    <a:r>
                      <a:rPr lang="en-US" baseline="0"/>
                      <a:t>H = 1.255E-03T</a:t>
                    </a:r>
                    <a:r>
                      <a:rPr lang="en-US" baseline="30000"/>
                      <a:t>2</a:t>
                    </a:r>
                    <a:r>
                      <a:rPr lang="en-US" baseline="0"/>
                      <a:t> + 33.41T - 2265
R² = 1.0000E+00</a:t>
                    </a:r>
                    <a:endParaRPr lang="en-US"/>
                  </a:p>
                </c:rich>
              </c:tx>
              <c:numFmt formatCode="0.0000E+00" sourceLinked="0"/>
              <c:spPr>
                <a:solidFill>
                  <a:schemeClr val="bg1">
                    <a:lumMod val="85000"/>
                  </a:schemeClr>
                </a:solidFill>
              </c:spPr>
            </c:trendlineLbl>
          </c:trendline>
          <c:xVal>
            <c:numRef>
              <c:f>FREEDHeatContentData!$M$28:$M$37</c:f>
              <c:numCache>
                <c:formatCode>General</c:formatCode>
                <c:ptCount val="10"/>
                <c:pt idx="0">
                  <c:v>700</c:v>
                </c:pt>
                <c:pt idx="1">
                  <c:v>850.00000000000011</c:v>
                </c:pt>
                <c:pt idx="2">
                  <c:v>1000.0000000000001</c:v>
                </c:pt>
                <c:pt idx="3">
                  <c:v>1150</c:v>
                </c:pt>
                <c:pt idx="4">
                  <c:v>1300</c:v>
                </c:pt>
                <c:pt idx="5">
                  <c:v>1450</c:v>
                </c:pt>
                <c:pt idx="6">
                  <c:v>1600</c:v>
                </c:pt>
                <c:pt idx="7">
                  <c:v>1750</c:v>
                </c:pt>
                <c:pt idx="8">
                  <c:v>1900</c:v>
                </c:pt>
                <c:pt idx="9">
                  <c:v>2200</c:v>
                </c:pt>
              </c:numCache>
            </c:numRef>
          </c:xVal>
          <c:yVal>
            <c:numRef>
              <c:f>FREEDHeatContentData!$N$28:$N$37</c:f>
              <c:numCache>
                <c:formatCode>0</c:formatCode>
                <c:ptCount val="10"/>
                <c:pt idx="0">
                  <c:v>21770.229821720051</c:v>
                </c:pt>
                <c:pt idx="1">
                  <c:v>27025.259293078467</c:v>
                </c:pt>
                <c:pt idx="2">
                  <c:v>32370.926670798781</c:v>
                </c:pt>
                <c:pt idx="3">
                  <c:v>37791.972926494411</c:v>
                </c:pt>
                <c:pt idx="4">
                  <c:v>43277.722873553939</c:v>
                </c:pt>
                <c:pt idx="5">
                  <c:v>48820.838470647184</c:v>
                </c:pt>
                <c:pt idx="6">
                  <c:v>54416.454749551282</c:v>
                </c:pt>
                <c:pt idx="7">
                  <c:v>60061.574175393478</c:v>
                </c:pt>
                <c:pt idx="8">
                  <c:v>65754.634757711276</c:v>
                </c:pt>
                <c:pt idx="9">
                  <c:v>77283.708517137711</c:v>
                </c:pt>
              </c:numCache>
            </c:numRef>
          </c:yVal>
          <c:smooth val="0"/>
        </c:ser>
        <c:dLbls>
          <c:showLegendKey val="0"/>
          <c:showVal val="0"/>
          <c:showCatName val="0"/>
          <c:showSerName val="0"/>
          <c:showPercent val="0"/>
          <c:showBubbleSize val="0"/>
        </c:dLbls>
        <c:axId val="181653888"/>
        <c:axId val="181655808"/>
      </c:scatterChart>
      <c:valAx>
        <c:axId val="181653888"/>
        <c:scaling>
          <c:orientation val="minMax"/>
          <c:max val="2200"/>
          <c:min val="700"/>
        </c:scaling>
        <c:delete val="0"/>
        <c:axPos val="b"/>
        <c:majorGridlines>
          <c:spPr>
            <a:ln>
              <a:solidFill>
                <a:srgbClr val="000000"/>
              </a:solidFill>
              <a:prstDash val="sysDash"/>
            </a:ln>
          </c:spPr>
        </c:majorGridlines>
        <c:title>
          <c:tx>
            <c:rich>
              <a:bodyPr/>
              <a:lstStyle/>
              <a:p>
                <a:pPr>
                  <a:defRPr/>
                </a:pPr>
                <a:r>
                  <a:rPr lang="en-US"/>
                  <a:t>T (C)</a:t>
                </a:r>
              </a:p>
            </c:rich>
          </c:tx>
          <c:layout/>
          <c:overlay val="0"/>
        </c:title>
        <c:numFmt formatCode="General" sourceLinked="1"/>
        <c:majorTickMark val="out"/>
        <c:minorTickMark val="none"/>
        <c:tickLblPos val="nextTo"/>
        <c:spPr>
          <a:ln w="3175"/>
        </c:spPr>
        <c:crossAx val="181655808"/>
        <c:crossesAt val="0"/>
        <c:crossBetween val="midCat"/>
      </c:valAx>
      <c:valAx>
        <c:axId val="181655808"/>
        <c:scaling>
          <c:orientation val="minMax"/>
        </c:scaling>
        <c:delete val="0"/>
        <c:axPos val="l"/>
        <c:majorGridlines>
          <c:spPr>
            <a:ln w="3175">
              <a:solidFill>
                <a:srgbClr val="868686"/>
              </a:solidFill>
              <a:prstDash val="sysDash"/>
            </a:ln>
          </c:spPr>
        </c:majorGridlines>
        <c:title>
          <c:tx>
            <c:rich>
              <a:bodyPr/>
              <a:lstStyle/>
              <a:p>
                <a:pPr>
                  <a:defRPr/>
                </a:pPr>
                <a:r>
                  <a:rPr lang="en-US"/>
                  <a:t>HT-H298 (J)</a:t>
                </a:r>
              </a:p>
            </c:rich>
          </c:tx>
          <c:layout/>
          <c:overlay val="0"/>
        </c:title>
        <c:numFmt formatCode="0.00E+00" sourceLinked="0"/>
        <c:majorTickMark val="out"/>
        <c:minorTickMark val="none"/>
        <c:tickLblPos val="nextTo"/>
        <c:crossAx val="181653888"/>
        <c:crosses val="autoZero"/>
        <c:crossBetween val="midCat"/>
      </c:valAx>
      <c:spPr>
        <a:noFill/>
      </c:spPr>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a:latin typeface="+mn-lt"/>
                <a:ea typeface="Arial"/>
                <a:cs typeface="Arial"/>
              </a:defRPr>
            </a:pPr>
            <a:r>
              <a:rPr lang="en-US" sz="1200" b="0">
                <a:latin typeface="+mn-lt"/>
              </a:rPr>
              <a:t>Plot: HT-H298 vs. T for CO2</a:t>
            </a:r>
          </a:p>
        </c:rich>
      </c:tx>
      <c:layout/>
      <c:overlay val="0"/>
    </c:title>
    <c:autoTitleDeleted val="0"/>
    <c:plotArea>
      <c:layout>
        <c:manualLayout>
          <c:layoutTarget val="inner"/>
          <c:xMode val="edge"/>
          <c:yMode val="edge"/>
          <c:x val="0.21096084864391951"/>
          <c:y val="0.13052092446777486"/>
          <c:w val="0.73031692913385826"/>
          <c:h val="0.70058253135024784"/>
        </c:manualLayout>
      </c:layout>
      <c:scatterChart>
        <c:scatterStyle val="lineMarker"/>
        <c:varyColors val="0"/>
        <c:ser>
          <c:idx val="0"/>
          <c:order val="0"/>
          <c:spPr>
            <a:ln>
              <a:noFill/>
            </a:ln>
          </c:spPr>
          <c:marker>
            <c:symbol val="diamond"/>
            <c:size val="5"/>
          </c:marker>
          <c:trendline>
            <c:trendlineType val="poly"/>
            <c:order val="2"/>
            <c:dispRSqr val="1"/>
            <c:dispEq val="1"/>
            <c:trendlineLbl>
              <c:layout>
                <c:manualLayout>
                  <c:x val="-0.16081553678536203"/>
                  <c:y val="8.2502320156449885E-3"/>
                </c:manualLayout>
              </c:layout>
              <c:tx>
                <c:rich>
                  <a:bodyPr/>
                  <a:lstStyle/>
                  <a:p>
                    <a:pPr>
                      <a:defRPr sz="1100"/>
                    </a:pPr>
                    <a:r>
                      <a:rPr lang="en-US" sz="1100" baseline="0"/>
                      <a:t>H = 2.257E-03T</a:t>
                    </a:r>
                    <a:r>
                      <a:rPr lang="en-US" sz="1100" baseline="30000"/>
                      <a:t>2</a:t>
                    </a:r>
                    <a:r>
                      <a:rPr lang="en-US" sz="1100" baseline="0"/>
                      <a:t> + 52.48T - 6014
R² = 9.9999E-01</a:t>
                    </a:r>
                    <a:endParaRPr lang="en-US" sz="1100"/>
                  </a:p>
                </c:rich>
              </c:tx>
              <c:numFmt formatCode="0.0000E+00" sourceLinked="0"/>
              <c:spPr>
                <a:solidFill>
                  <a:schemeClr val="bg1">
                    <a:lumMod val="85000"/>
                  </a:schemeClr>
                </a:solidFill>
                <a:ln>
                  <a:solidFill>
                    <a:schemeClr val="tx1"/>
                  </a:solidFill>
                </a:ln>
              </c:spPr>
            </c:trendlineLbl>
          </c:trendline>
          <c:xVal>
            <c:numRef>
              <c:f>FREEDHeatContentData!$X$9:$X$18</c:f>
              <c:numCache>
                <c:formatCode>General</c:formatCode>
                <c:ptCount val="10"/>
                <c:pt idx="0">
                  <c:v>700</c:v>
                </c:pt>
                <c:pt idx="1">
                  <c:v>850.00000000000011</c:v>
                </c:pt>
                <c:pt idx="2">
                  <c:v>1000.0000000000001</c:v>
                </c:pt>
                <c:pt idx="3">
                  <c:v>1150</c:v>
                </c:pt>
                <c:pt idx="4">
                  <c:v>1300</c:v>
                </c:pt>
                <c:pt idx="5">
                  <c:v>1450</c:v>
                </c:pt>
                <c:pt idx="6">
                  <c:v>1600</c:v>
                </c:pt>
                <c:pt idx="7">
                  <c:v>1750</c:v>
                </c:pt>
                <c:pt idx="8">
                  <c:v>1900</c:v>
                </c:pt>
                <c:pt idx="9">
                  <c:v>2200</c:v>
                </c:pt>
              </c:numCache>
            </c:numRef>
          </c:xVal>
          <c:yVal>
            <c:numRef>
              <c:f>FREEDHeatContentData!$Y$9:$Y$18</c:f>
              <c:numCache>
                <c:formatCode>#,##0</c:formatCode>
                <c:ptCount val="10"/>
                <c:pt idx="0">
                  <c:v>31961.021878221065</c:v>
                </c:pt>
                <c:pt idx="1">
                  <c:v>40184.495613397543</c:v>
                </c:pt>
                <c:pt idx="2">
                  <c:v>48623.532258746767</c:v>
                </c:pt>
                <c:pt idx="3">
                  <c:v>57233.676414958049</c:v>
                </c:pt>
                <c:pt idx="4">
                  <c:v>65981.661394819428</c:v>
                </c:pt>
                <c:pt idx="5">
                  <c:v>74842.076601303677</c:v>
                </c:pt>
                <c:pt idx="6">
                  <c:v>83795.19169515236</c:v>
                </c:pt>
                <c:pt idx="7">
                  <c:v>92825.489979025675</c:v>
                </c:pt>
                <c:pt idx="8">
                  <c:v>101920.65086693445</c:v>
                </c:pt>
                <c:pt idx="9">
                  <c:v>120268.10983002261</c:v>
                </c:pt>
              </c:numCache>
            </c:numRef>
          </c:yVal>
          <c:smooth val="0"/>
        </c:ser>
        <c:dLbls>
          <c:showLegendKey val="0"/>
          <c:showVal val="0"/>
          <c:showCatName val="0"/>
          <c:showSerName val="0"/>
          <c:showPercent val="0"/>
          <c:showBubbleSize val="0"/>
        </c:dLbls>
        <c:axId val="181877376"/>
        <c:axId val="181908224"/>
      </c:scatterChart>
      <c:valAx>
        <c:axId val="181877376"/>
        <c:scaling>
          <c:orientation val="minMax"/>
          <c:max val="2200"/>
          <c:min val="700"/>
        </c:scaling>
        <c:delete val="0"/>
        <c:axPos val="b"/>
        <c:majorGridlines>
          <c:spPr>
            <a:ln>
              <a:solidFill>
                <a:srgbClr val="000000"/>
              </a:solidFill>
              <a:prstDash val="sysDash"/>
            </a:ln>
          </c:spPr>
        </c:majorGridlines>
        <c:title>
          <c:tx>
            <c:rich>
              <a:bodyPr/>
              <a:lstStyle/>
              <a:p>
                <a:pPr>
                  <a:defRPr sz="1100"/>
                </a:pPr>
                <a:r>
                  <a:rPr lang="en-US" sz="1100"/>
                  <a:t>T (C)</a:t>
                </a:r>
              </a:p>
            </c:rich>
          </c:tx>
          <c:layout>
            <c:manualLayout>
              <c:xMode val="edge"/>
              <c:yMode val="edge"/>
              <c:x val="0.53608906110212518"/>
              <c:y val="0.88226851851851851"/>
            </c:manualLayout>
          </c:layout>
          <c:overlay val="0"/>
        </c:title>
        <c:numFmt formatCode="General" sourceLinked="1"/>
        <c:majorTickMark val="out"/>
        <c:minorTickMark val="none"/>
        <c:tickLblPos val="nextTo"/>
        <c:spPr>
          <a:ln w="3175"/>
        </c:spPr>
        <c:txPr>
          <a:bodyPr/>
          <a:lstStyle/>
          <a:p>
            <a:pPr>
              <a:defRPr sz="900">
                <a:latin typeface="Arial" pitchFamily="34" charset="0"/>
                <a:cs typeface="Arial" pitchFamily="34" charset="0"/>
              </a:defRPr>
            </a:pPr>
            <a:endParaRPr lang="en-US"/>
          </a:p>
        </c:txPr>
        <c:crossAx val="181908224"/>
        <c:crossesAt val="0"/>
        <c:crossBetween val="midCat"/>
      </c:valAx>
      <c:valAx>
        <c:axId val="181908224"/>
        <c:scaling>
          <c:orientation val="minMax"/>
          <c:min val="20000"/>
        </c:scaling>
        <c:delete val="0"/>
        <c:axPos val="l"/>
        <c:majorGridlines>
          <c:spPr>
            <a:ln w="3175">
              <a:solidFill>
                <a:srgbClr val="868686"/>
              </a:solidFill>
              <a:prstDash val="sysDash"/>
            </a:ln>
          </c:spPr>
        </c:majorGridlines>
        <c:title>
          <c:tx>
            <c:rich>
              <a:bodyPr/>
              <a:lstStyle/>
              <a:p>
                <a:pPr>
                  <a:defRPr sz="1100"/>
                </a:pPr>
                <a:r>
                  <a:rPr lang="en-US" sz="1100"/>
                  <a:t>HT-H298 (J)</a:t>
                </a:r>
              </a:p>
            </c:rich>
          </c:tx>
          <c:layout>
            <c:manualLayout>
              <c:xMode val="edge"/>
              <c:yMode val="edge"/>
              <c:x val="1.6666666666666666E-2"/>
              <c:y val="0.3280227471566054"/>
            </c:manualLayout>
          </c:layout>
          <c:overlay val="0"/>
        </c:title>
        <c:numFmt formatCode="0.00E+00" sourceLinked="0"/>
        <c:majorTickMark val="out"/>
        <c:minorTickMark val="none"/>
        <c:tickLblPos val="nextTo"/>
        <c:txPr>
          <a:bodyPr/>
          <a:lstStyle/>
          <a:p>
            <a:pPr>
              <a:defRPr sz="900">
                <a:latin typeface="Arial" pitchFamily="34" charset="0"/>
                <a:cs typeface="Arial" pitchFamily="34" charset="0"/>
              </a:defRPr>
            </a:pPr>
            <a:endParaRPr lang="en-US"/>
          </a:p>
        </c:txPr>
        <c:crossAx val="181877376"/>
        <c:crosses val="autoZero"/>
        <c:crossBetween val="midCat"/>
      </c:valAx>
      <c:spPr>
        <a:noFill/>
        <a:ln>
          <a:solidFill>
            <a:schemeClr val="tx1"/>
          </a:solidFill>
        </a:ln>
      </c:spPr>
    </c:plotArea>
    <c:plotVisOnly val="1"/>
    <c:dispBlanksAs val="gap"/>
    <c:showDLblsOverMax val="0"/>
  </c:chart>
  <c:spPr>
    <a:ln>
      <a:solidFill>
        <a:schemeClr val="tx1"/>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Arial"/>
                <a:ea typeface="Arial"/>
                <a:cs typeface="Arial"/>
              </a:defRPr>
            </a:pPr>
            <a:r>
              <a:rPr lang="en-US"/>
              <a:t>Plot: HT-H298 vs. T for N1.58O.42</a:t>
            </a:r>
          </a:p>
        </c:rich>
      </c:tx>
      <c:layout/>
      <c:overlay val="0"/>
    </c:title>
    <c:autoTitleDeleted val="0"/>
    <c:plotArea>
      <c:layout/>
      <c:scatterChart>
        <c:scatterStyle val="lineMarker"/>
        <c:varyColors val="0"/>
        <c:ser>
          <c:idx val="0"/>
          <c:order val="0"/>
          <c:spPr>
            <a:ln>
              <a:noFill/>
            </a:ln>
          </c:spPr>
          <c:marker>
            <c:symbol val="diamond"/>
            <c:size val="6"/>
            <c:spPr>
              <a:solidFill>
                <a:schemeClr val="accent2">
                  <a:lumMod val="60000"/>
                  <a:lumOff val="40000"/>
                </a:schemeClr>
              </a:solidFill>
              <a:ln>
                <a:solidFill>
                  <a:schemeClr val="tx1"/>
                </a:solidFill>
              </a:ln>
            </c:spPr>
          </c:marker>
          <c:trendline>
            <c:trendlineType val="poly"/>
            <c:order val="2"/>
            <c:dispRSqr val="1"/>
            <c:dispEq val="1"/>
            <c:trendlineLbl>
              <c:layout>
                <c:manualLayout>
                  <c:x val="-0.28077799650043744"/>
                  <c:y val="7.5914260717410323E-2"/>
                </c:manualLayout>
              </c:layout>
              <c:tx>
                <c:rich>
                  <a:bodyPr/>
                  <a:lstStyle/>
                  <a:p>
                    <a:pPr>
                      <a:defRPr/>
                    </a:pPr>
                    <a:r>
                      <a:rPr lang="en-US" baseline="0"/>
                      <a:t>H = 0.00339T</a:t>
                    </a:r>
                    <a:r>
                      <a:rPr lang="en-US" baseline="30000"/>
                      <a:t>2</a:t>
                    </a:r>
                    <a:r>
                      <a:rPr lang="en-US" baseline="0"/>
                      <a:t> + 28.43T - 713
R² = 1.00000</a:t>
                    </a:r>
                    <a:endParaRPr lang="en-US"/>
                  </a:p>
                </c:rich>
              </c:tx>
              <c:numFmt formatCode="#,##0.00000" sourceLinked="0"/>
              <c:spPr>
                <a:solidFill>
                  <a:schemeClr val="bg1">
                    <a:lumMod val="85000"/>
                  </a:schemeClr>
                </a:solidFill>
              </c:spPr>
            </c:trendlineLbl>
          </c:trendline>
          <c:xVal>
            <c:numLit>
              <c:formatCode>General</c:formatCode>
              <c:ptCount val="11"/>
              <c:pt idx="0">
                <c:v>25.000000000001023</c:v>
              </c:pt>
              <c:pt idx="1">
                <c:v>77.500000000000909</c:v>
              </c:pt>
              <c:pt idx="2">
                <c:v>130.0000000000008</c:v>
              </c:pt>
              <c:pt idx="3">
                <c:v>182.50000000000068</c:v>
              </c:pt>
              <c:pt idx="4">
                <c:v>235.00000000000057</c:v>
              </c:pt>
              <c:pt idx="5">
                <c:v>287.50000000000045</c:v>
              </c:pt>
              <c:pt idx="6">
                <c:v>340.00000000000034</c:v>
              </c:pt>
              <c:pt idx="7">
                <c:v>392.50000000000023</c:v>
              </c:pt>
              <c:pt idx="8">
                <c:v>445.00000000000011</c:v>
              </c:pt>
              <c:pt idx="9">
                <c:v>497.5</c:v>
              </c:pt>
              <c:pt idx="10">
                <c:v>550</c:v>
              </c:pt>
            </c:numLit>
          </c:xVal>
          <c:yVal>
            <c:numLit>
              <c:formatCode>General</c:formatCode>
              <c:ptCount val="11"/>
              <c:pt idx="0">
                <c:v>1.4692876994105128</c:v>
              </c:pt>
              <c:pt idx="1">
                <c:v>1528.4101019900463</c:v>
              </c:pt>
              <c:pt idx="2">
                <c:v>3058.5923118331739</c:v>
              </c:pt>
              <c:pt idx="3">
                <c:v>4602.8427885931351</c:v>
              </c:pt>
              <c:pt idx="4">
                <c:v>6165.7596092094473</c:v>
              </c:pt>
              <c:pt idx="5">
                <c:v>7749.0429051227447</c:v>
              </c:pt>
              <c:pt idx="6">
                <c:v>9352.9859553288206</c:v>
              </c:pt>
              <c:pt idx="7">
                <c:v>10977.189400192381</c:v>
              </c:pt>
              <c:pt idx="8">
                <c:v>12620.920269451899</c:v>
              </c:pt>
              <c:pt idx="9">
                <c:v>14283.298392950292</c:v>
              </c:pt>
              <c:pt idx="10">
                <c:v>15963.394863039441</c:v>
              </c:pt>
            </c:numLit>
          </c:yVal>
          <c:smooth val="0"/>
        </c:ser>
        <c:dLbls>
          <c:showLegendKey val="0"/>
          <c:showVal val="0"/>
          <c:showCatName val="0"/>
          <c:showSerName val="0"/>
          <c:showPercent val="0"/>
          <c:showBubbleSize val="0"/>
        </c:dLbls>
        <c:axId val="181999104"/>
        <c:axId val="182001024"/>
      </c:scatterChart>
      <c:valAx>
        <c:axId val="181999104"/>
        <c:scaling>
          <c:orientation val="minMax"/>
          <c:max val="550"/>
          <c:min val="25.000000000001023"/>
        </c:scaling>
        <c:delete val="0"/>
        <c:axPos val="b"/>
        <c:majorGridlines>
          <c:spPr>
            <a:ln>
              <a:solidFill>
                <a:srgbClr val="000000"/>
              </a:solidFill>
              <a:prstDash val="sysDash"/>
            </a:ln>
          </c:spPr>
        </c:majorGridlines>
        <c:title>
          <c:tx>
            <c:rich>
              <a:bodyPr/>
              <a:lstStyle/>
              <a:p>
                <a:pPr>
                  <a:defRPr/>
                </a:pPr>
                <a:r>
                  <a:rPr lang="en-US"/>
                  <a:t>T (C)</a:t>
                </a:r>
              </a:p>
            </c:rich>
          </c:tx>
          <c:layout/>
          <c:overlay val="0"/>
        </c:title>
        <c:numFmt formatCode="General" sourceLinked="1"/>
        <c:majorTickMark val="out"/>
        <c:minorTickMark val="none"/>
        <c:tickLblPos val="nextTo"/>
        <c:spPr>
          <a:ln w="3175"/>
        </c:spPr>
        <c:crossAx val="182001024"/>
        <c:crossesAt val="0"/>
        <c:crossBetween val="midCat"/>
      </c:valAx>
      <c:valAx>
        <c:axId val="182001024"/>
        <c:scaling>
          <c:orientation val="minMax"/>
        </c:scaling>
        <c:delete val="0"/>
        <c:axPos val="l"/>
        <c:majorGridlines>
          <c:spPr>
            <a:ln w="3175">
              <a:solidFill>
                <a:srgbClr val="868686"/>
              </a:solidFill>
              <a:prstDash val="sysDash"/>
            </a:ln>
          </c:spPr>
        </c:majorGridlines>
        <c:title>
          <c:tx>
            <c:rich>
              <a:bodyPr/>
              <a:lstStyle/>
              <a:p>
                <a:pPr>
                  <a:defRPr/>
                </a:pPr>
                <a:r>
                  <a:rPr lang="en-US"/>
                  <a:t>HT-H298 (J)</a:t>
                </a:r>
              </a:p>
            </c:rich>
          </c:tx>
          <c:layout/>
          <c:overlay val="0"/>
        </c:title>
        <c:numFmt formatCode="0.00E+00" sourceLinked="0"/>
        <c:majorTickMark val="out"/>
        <c:minorTickMark val="none"/>
        <c:tickLblPos val="nextTo"/>
        <c:crossAx val="181999104"/>
        <c:crosses val="autoZero"/>
        <c:crossBetween val="midCat"/>
      </c:valAx>
      <c:spPr>
        <a:noFill/>
      </c:spPr>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300" b="0"/>
            </a:pPr>
            <a:r>
              <a:rPr lang="en-US" sz="1300" b="0"/>
              <a:t>Molar</a:t>
            </a:r>
            <a:r>
              <a:rPr lang="en-US" sz="1300" b="0" baseline="0"/>
              <a:t> </a:t>
            </a:r>
            <a:r>
              <a:rPr lang="en-US" sz="1300" b="0"/>
              <a:t>Heat Content of CO</a:t>
            </a:r>
            <a:r>
              <a:rPr lang="en-US" sz="1300" b="0" baseline="-25000"/>
              <a:t>2</a:t>
            </a:r>
            <a:r>
              <a:rPr lang="en-US" sz="1300" b="0"/>
              <a:t> above 800 °C</a:t>
            </a:r>
          </a:p>
        </c:rich>
      </c:tx>
      <c:layout/>
      <c:overlay val="0"/>
    </c:title>
    <c:autoTitleDeleted val="0"/>
    <c:plotArea>
      <c:layout>
        <c:manualLayout>
          <c:layoutTarget val="inner"/>
          <c:xMode val="edge"/>
          <c:yMode val="edge"/>
          <c:x val="0.17907379359922349"/>
          <c:y val="0.13716127558975527"/>
          <c:w val="0.76250159293434261"/>
          <c:h val="0.70578253130106483"/>
        </c:manualLayout>
      </c:layout>
      <c:scatterChart>
        <c:scatterStyle val="lineMarker"/>
        <c:varyColors val="0"/>
        <c:ser>
          <c:idx val="0"/>
          <c:order val="0"/>
          <c:tx>
            <c:v> </c:v>
          </c:tx>
          <c:spPr>
            <a:ln w="28575">
              <a:noFill/>
            </a:ln>
          </c:spPr>
          <c:marker>
            <c:symbol val="diamond"/>
            <c:size val="6"/>
            <c:spPr>
              <a:noFill/>
            </c:spPr>
          </c:marker>
          <c:trendline>
            <c:trendlineType val="linear"/>
            <c:dispRSqr val="1"/>
            <c:dispEq val="1"/>
            <c:trendlineLbl>
              <c:layout>
                <c:manualLayout>
                  <c:x val="-0.37317179377200488"/>
                  <c:y val="-3.6627652948340137E-4"/>
                </c:manualLayout>
              </c:layout>
              <c:tx>
                <c:rich>
                  <a:bodyPr/>
                  <a:lstStyle/>
                  <a:p>
                    <a:pPr>
                      <a:defRPr/>
                    </a:pPr>
                    <a:r>
                      <a:rPr lang="en-US" baseline="0"/>
                      <a:t>H = 58.91T - 10312
R² = 0.9998</a:t>
                    </a:r>
                    <a:endParaRPr lang="en-US"/>
                  </a:p>
                </c:rich>
              </c:tx>
              <c:numFmt formatCode="General" sourceLinked="0"/>
              <c:spPr>
                <a:solidFill>
                  <a:srgbClr val="EFD2D1"/>
                </a:solidFill>
                <a:ln>
                  <a:solidFill>
                    <a:schemeClr val="tx1"/>
                  </a:solidFill>
                </a:ln>
              </c:spPr>
            </c:trendlineLbl>
          </c:trendline>
          <c:xVal>
            <c:numRef>
              <c:f>WebBook!$L$18:$L$29</c:f>
              <c:numCache>
                <c:formatCode>General</c:formatCode>
                <c:ptCount val="12"/>
                <c:pt idx="0">
                  <c:v>826.85</c:v>
                </c:pt>
                <c:pt idx="1">
                  <c:v>926.85</c:v>
                </c:pt>
                <c:pt idx="2">
                  <c:v>1026.8499999999999</c:v>
                </c:pt>
                <c:pt idx="3">
                  <c:v>1126.8499999999999</c:v>
                </c:pt>
                <c:pt idx="4">
                  <c:v>1226.8499999999999</c:v>
                </c:pt>
                <c:pt idx="5">
                  <c:v>1326.85</c:v>
                </c:pt>
                <c:pt idx="6">
                  <c:v>1426.85</c:v>
                </c:pt>
                <c:pt idx="7">
                  <c:v>1526.85</c:v>
                </c:pt>
                <c:pt idx="8">
                  <c:v>1626.85</c:v>
                </c:pt>
                <c:pt idx="9">
                  <c:v>1726.85</c:v>
                </c:pt>
                <c:pt idx="10">
                  <c:v>1826.85</c:v>
                </c:pt>
                <c:pt idx="11">
                  <c:v>1926.85</c:v>
                </c:pt>
              </c:numCache>
            </c:numRef>
          </c:xVal>
          <c:yVal>
            <c:numRef>
              <c:f>WebBook!$Q$18:$Q$29</c:f>
              <c:numCache>
                <c:formatCode>#,##0</c:formatCode>
                <c:ptCount val="12"/>
                <c:pt idx="0">
                  <c:v>38890</c:v>
                </c:pt>
                <c:pt idx="1">
                  <c:v>44470</c:v>
                </c:pt>
                <c:pt idx="2">
                  <c:v>50150</c:v>
                </c:pt>
                <c:pt idx="3">
                  <c:v>55890</c:v>
                </c:pt>
                <c:pt idx="4">
                  <c:v>61710</c:v>
                </c:pt>
                <c:pt idx="5">
                  <c:v>67570</c:v>
                </c:pt>
                <c:pt idx="6">
                  <c:v>73480</c:v>
                </c:pt>
                <c:pt idx="7">
                  <c:v>79440</c:v>
                </c:pt>
                <c:pt idx="8">
                  <c:v>85420</c:v>
                </c:pt>
                <c:pt idx="9">
                  <c:v>91440</c:v>
                </c:pt>
                <c:pt idx="10">
                  <c:v>97490</c:v>
                </c:pt>
                <c:pt idx="11">
                  <c:v>103600</c:v>
                </c:pt>
              </c:numCache>
            </c:numRef>
          </c:yVal>
          <c:smooth val="0"/>
        </c:ser>
        <c:dLbls>
          <c:showLegendKey val="0"/>
          <c:showVal val="0"/>
          <c:showCatName val="0"/>
          <c:showSerName val="0"/>
          <c:showPercent val="0"/>
          <c:showBubbleSize val="0"/>
        </c:dLbls>
        <c:axId val="182174464"/>
        <c:axId val="182176384"/>
      </c:scatterChart>
      <c:valAx>
        <c:axId val="182174464"/>
        <c:scaling>
          <c:orientation val="minMax"/>
          <c:max val="2000"/>
          <c:min val="800"/>
        </c:scaling>
        <c:delete val="0"/>
        <c:axPos val="b"/>
        <c:majorGridlines/>
        <c:title>
          <c:tx>
            <c:rich>
              <a:bodyPr/>
              <a:lstStyle/>
              <a:p>
                <a:pPr>
                  <a:defRPr sz="1100"/>
                </a:pPr>
                <a:r>
                  <a:rPr lang="en-US" sz="1100"/>
                  <a:t>T, °C</a:t>
                </a:r>
              </a:p>
            </c:rich>
          </c:tx>
          <c:layout>
            <c:manualLayout>
              <c:xMode val="edge"/>
              <c:yMode val="edge"/>
              <c:x val="0.47270276933977734"/>
              <c:y val="0.90930323792170609"/>
            </c:manualLayout>
          </c:layout>
          <c:overlay val="0"/>
        </c:title>
        <c:numFmt formatCode="General" sourceLinked="1"/>
        <c:majorTickMark val="out"/>
        <c:minorTickMark val="none"/>
        <c:tickLblPos val="nextTo"/>
        <c:crossAx val="182176384"/>
        <c:crosses val="autoZero"/>
        <c:crossBetween val="midCat"/>
      </c:valAx>
      <c:valAx>
        <c:axId val="182176384"/>
        <c:scaling>
          <c:orientation val="minMax"/>
          <c:max val="110000"/>
          <c:min val="30000"/>
        </c:scaling>
        <c:delete val="0"/>
        <c:axPos val="l"/>
        <c:majorGridlines/>
        <c:title>
          <c:tx>
            <c:rich>
              <a:bodyPr rot="-5400000" vert="horz"/>
              <a:lstStyle/>
              <a:p>
                <a:pPr>
                  <a:defRPr sz="1100"/>
                </a:pPr>
                <a:r>
                  <a:rPr lang="en-US" sz="1100"/>
                  <a:t>HT-H</a:t>
                </a:r>
                <a:r>
                  <a:rPr lang="en-US" sz="1100" baseline="-25000"/>
                  <a:t>25</a:t>
                </a:r>
                <a:r>
                  <a:rPr lang="en-US" sz="1100"/>
                  <a:t>, J/g-mol</a:t>
                </a:r>
              </a:p>
            </c:rich>
          </c:tx>
          <c:layout>
            <c:manualLayout>
              <c:xMode val="edge"/>
              <c:yMode val="edge"/>
              <c:x val="3.9209496064397612E-3"/>
              <c:y val="0.30945835914848374"/>
            </c:manualLayout>
          </c:layout>
          <c:overlay val="0"/>
        </c:title>
        <c:numFmt formatCode="#,##0" sourceLinked="1"/>
        <c:majorTickMark val="out"/>
        <c:minorTickMark val="none"/>
        <c:tickLblPos val="nextTo"/>
        <c:crossAx val="182174464"/>
        <c:crosses val="autoZero"/>
        <c:crossBetween val="midCat"/>
      </c:valAx>
      <c:spPr>
        <a:solidFill>
          <a:schemeClr val="accent6">
            <a:lumMod val="40000"/>
            <a:lumOff val="60000"/>
          </a:schemeClr>
        </a:solidFill>
      </c:spPr>
    </c:plotArea>
    <c:plotVisOnly val="1"/>
    <c:dispBlanksAs val="gap"/>
    <c:showDLblsOverMax val="0"/>
  </c:chart>
  <c:spPr>
    <a:solidFill>
      <a:schemeClr val="tx2">
        <a:lumMod val="20000"/>
        <a:lumOff val="80000"/>
      </a:schemeClr>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300" b="0"/>
            </a:pPr>
            <a:r>
              <a:rPr lang="en-US" sz="1300" b="0"/>
              <a:t>Molar</a:t>
            </a:r>
            <a:r>
              <a:rPr lang="en-US" sz="1300" b="0" baseline="0"/>
              <a:t> </a:t>
            </a:r>
            <a:r>
              <a:rPr lang="en-US" sz="1300" b="0"/>
              <a:t>Heat Content of CO</a:t>
            </a:r>
            <a:r>
              <a:rPr lang="en-US" sz="1300" b="0" baseline="-25000"/>
              <a:t>2</a:t>
            </a:r>
            <a:r>
              <a:rPr lang="en-US" sz="1300" b="0"/>
              <a:t> above 1500 °F</a:t>
            </a:r>
          </a:p>
        </c:rich>
      </c:tx>
      <c:layout/>
      <c:overlay val="0"/>
    </c:title>
    <c:autoTitleDeleted val="0"/>
    <c:plotArea>
      <c:layout>
        <c:manualLayout>
          <c:layoutTarget val="inner"/>
          <c:xMode val="edge"/>
          <c:yMode val="edge"/>
          <c:x val="0.15911046596909081"/>
          <c:y val="0.13370147028447227"/>
          <c:w val="0.78246489134787389"/>
          <c:h val="0.72739627922468242"/>
        </c:manualLayout>
      </c:layout>
      <c:scatterChart>
        <c:scatterStyle val="lineMarker"/>
        <c:varyColors val="0"/>
        <c:ser>
          <c:idx val="0"/>
          <c:order val="0"/>
          <c:spPr>
            <a:ln w="28575">
              <a:noFill/>
            </a:ln>
          </c:spPr>
          <c:marker>
            <c:symbol val="diamond"/>
            <c:size val="6"/>
            <c:spPr>
              <a:noFill/>
            </c:spPr>
          </c:marker>
          <c:trendline>
            <c:spPr>
              <a:ln>
                <a:solidFill>
                  <a:schemeClr val="tx1"/>
                </a:solidFill>
              </a:ln>
            </c:spPr>
            <c:trendlineType val="linear"/>
            <c:dispRSqr val="1"/>
            <c:dispEq val="1"/>
            <c:trendlineLbl>
              <c:layout>
                <c:manualLayout>
                  <c:x val="-0.37317179377200488"/>
                  <c:y val="-3.6627652948340137E-4"/>
                </c:manualLayout>
              </c:layout>
              <c:tx>
                <c:rich>
                  <a:bodyPr/>
                  <a:lstStyle/>
                  <a:p>
                    <a:pPr>
                      <a:defRPr/>
                    </a:pPr>
                    <a:r>
                      <a:rPr lang="en-US" baseline="0"/>
                      <a:t>H = 14.08T - 4887
R² = 0.9998</a:t>
                    </a:r>
                    <a:endParaRPr lang="en-US"/>
                  </a:p>
                </c:rich>
              </c:tx>
              <c:numFmt formatCode="General" sourceLinked="0"/>
              <c:spPr>
                <a:solidFill>
                  <a:srgbClr val="EFD2D1"/>
                </a:solidFill>
                <a:ln>
                  <a:solidFill>
                    <a:schemeClr val="tx1"/>
                  </a:solidFill>
                </a:ln>
              </c:spPr>
            </c:trendlineLbl>
          </c:trendline>
          <c:xVal>
            <c:numRef>
              <c:f>WebBook!$S$18:$S$29</c:f>
              <c:numCache>
                <c:formatCode>0.0</c:formatCode>
                <c:ptCount val="12"/>
                <c:pt idx="0">
                  <c:v>1520.3300000000002</c:v>
                </c:pt>
                <c:pt idx="1">
                  <c:v>1700.3300000000002</c:v>
                </c:pt>
                <c:pt idx="2">
                  <c:v>1880.33</c:v>
                </c:pt>
                <c:pt idx="3">
                  <c:v>2060.33</c:v>
                </c:pt>
                <c:pt idx="4">
                  <c:v>2240.33</c:v>
                </c:pt>
                <c:pt idx="5">
                  <c:v>2420.33</c:v>
                </c:pt>
                <c:pt idx="6">
                  <c:v>2600.33</c:v>
                </c:pt>
                <c:pt idx="7">
                  <c:v>2780.33</c:v>
                </c:pt>
                <c:pt idx="8">
                  <c:v>2960.33</c:v>
                </c:pt>
                <c:pt idx="9">
                  <c:v>3140.33</c:v>
                </c:pt>
                <c:pt idx="10">
                  <c:v>3320.33</c:v>
                </c:pt>
                <c:pt idx="11">
                  <c:v>3500.33</c:v>
                </c:pt>
              </c:numCache>
            </c:numRef>
          </c:xVal>
          <c:yVal>
            <c:numRef>
              <c:f>WebBook!$T$18:$T$29</c:f>
              <c:numCache>
                <c:formatCode>#,##0</c:formatCode>
                <c:ptCount val="12"/>
                <c:pt idx="0">
                  <c:v>16730.866900000001</c:v>
                </c:pt>
                <c:pt idx="1">
                  <c:v>19131.438699999999</c:v>
                </c:pt>
                <c:pt idx="2">
                  <c:v>21575.031499999997</c:v>
                </c:pt>
                <c:pt idx="3">
                  <c:v>24044.436900000001</c:v>
                </c:pt>
                <c:pt idx="4">
                  <c:v>26548.259099999999</c:v>
                </c:pt>
                <c:pt idx="5">
                  <c:v>29069.289699999998</c:v>
                </c:pt>
                <c:pt idx="6">
                  <c:v>31611.8308</c:v>
                </c:pt>
                <c:pt idx="7">
                  <c:v>34175.882399999995</c:v>
                </c:pt>
                <c:pt idx="8">
                  <c:v>36748.538199999995</c:v>
                </c:pt>
                <c:pt idx="9">
                  <c:v>39338.402399999999</c:v>
                </c:pt>
                <c:pt idx="10">
                  <c:v>41941.172899999998</c:v>
                </c:pt>
                <c:pt idx="11">
                  <c:v>44569.756000000001</c:v>
                </c:pt>
              </c:numCache>
            </c:numRef>
          </c:yVal>
          <c:smooth val="0"/>
        </c:ser>
        <c:dLbls>
          <c:showLegendKey val="0"/>
          <c:showVal val="0"/>
          <c:showCatName val="0"/>
          <c:showSerName val="0"/>
          <c:showPercent val="0"/>
          <c:showBubbleSize val="0"/>
        </c:dLbls>
        <c:axId val="182066560"/>
        <c:axId val="182085120"/>
      </c:scatterChart>
      <c:valAx>
        <c:axId val="182066560"/>
        <c:scaling>
          <c:orientation val="minMax"/>
          <c:max val="3500"/>
          <c:min val="1500"/>
        </c:scaling>
        <c:delete val="0"/>
        <c:axPos val="b"/>
        <c:majorGridlines/>
        <c:title>
          <c:tx>
            <c:rich>
              <a:bodyPr/>
              <a:lstStyle/>
              <a:p>
                <a:pPr>
                  <a:defRPr sz="1100"/>
                </a:pPr>
                <a:r>
                  <a:rPr lang="en-US" sz="1100"/>
                  <a:t>T, °F</a:t>
                </a:r>
              </a:p>
            </c:rich>
          </c:tx>
          <c:layout>
            <c:manualLayout>
              <c:xMode val="edge"/>
              <c:yMode val="edge"/>
              <c:x val="0.43078132030524224"/>
              <c:y val="0.9093031533460032"/>
            </c:manualLayout>
          </c:layout>
          <c:overlay val="0"/>
        </c:title>
        <c:numFmt formatCode="0" sourceLinked="0"/>
        <c:majorTickMark val="out"/>
        <c:minorTickMark val="none"/>
        <c:tickLblPos val="nextTo"/>
        <c:crossAx val="182085120"/>
        <c:crosses val="autoZero"/>
        <c:crossBetween val="midCat"/>
      </c:valAx>
      <c:valAx>
        <c:axId val="182085120"/>
        <c:scaling>
          <c:orientation val="minMax"/>
          <c:max val="45000"/>
          <c:min val="15000"/>
        </c:scaling>
        <c:delete val="0"/>
        <c:axPos val="l"/>
        <c:majorGridlines/>
        <c:title>
          <c:tx>
            <c:rich>
              <a:bodyPr rot="-5400000" vert="horz"/>
              <a:lstStyle/>
              <a:p>
                <a:pPr>
                  <a:defRPr sz="1100"/>
                </a:pPr>
                <a:r>
                  <a:rPr lang="en-US" sz="1100"/>
                  <a:t>HT-H</a:t>
                </a:r>
                <a:r>
                  <a:rPr lang="en-US" sz="1100" baseline="-25000"/>
                  <a:t>77</a:t>
                </a:r>
                <a:r>
                  <a:rPr lang="en-US" sz="1100"/>
                  <a:t>, Btu/lb-mol</a:t>
                </a:r>
              </a:p>
            </c:rich>
          </c:tx>
          <c:layout>
            <c:manualLayout>
              <c:xMode val="edge"/>
              <c:yMode val="edge"/>
              <c:x val="3.2786161483604761E-3"/>
              <c:y val="0.28417673432600704"/>
            </c:manualLayout>
          </c:layout>
          <c:overlay val="0"/>
        </c:title>
        <c:numFmt formatCode="#,##0" sourceLinked="1"/>
        <c:majorTickMark val="out"/>
        <c:minorTickMark val="none"/>
        <c:tickLblPos val="nextTo"/>
        <c:crossAx val="182066560"/>
        <c:crosses val="autoZero"/>
        <c:crossBetween val="midCat"/>
      </c:valAx>
      <c:spPr>
        <a:solidFill>
          <a:schemeClr val="accent6">
            <a:lumMod val="40000"/>
            <a:lumOff val="60000"/>
          </a:schemeClr>
        </a:solidFill>
      </c:spPr>
    </c:plotArea>
    <c:plotVisOnly val="1"/>
    <c:dispBlanksAs val="gap"/>
    <c:showDLblsOverMax val="0"/>
  </c:chart>
  <c:spPr>
    <a:solidFill>
      <a:schemeClr val="tx2">
        <a:lumMod val="20000"/>
        <a:lumOff val="80000"/>
      </a:schemeClr>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400" b="0"/>
            </a:pPr>
            <a:r>
              <a:rPr lang="en-US" sz="1400" b="0"/>
              <a:t>Heat Content of H</a:t>
            </a:r>
            <a:r>
              <a:rPr lang="en-US" sz="1400" b="0" baseline="-25000"/>
              <a:t>2</a:t>
            </a:r>
            <a:r>
              <a:rPr lang="en-US" sz="1400" b="0"/>
              <a:t>O above 800 °C</a:t>
            </a:r>
          </a:p>
        </c:rich>
      </c:tx>
      <c:layout>
        <c:manualLayout>
          <c:xMode val="edge"/>
          <c:yMode val="edge"/>
          <c:x val="0.19061553132429787"/>
          <c:y val="2.8048291649228507E-2"/>
        </c:manualLayout>
      </c:layout>
      <c:overlay val="0"/>
    </c:title>
    <c:autoTitleDeleted val="0"/>
    <c:plotArea>
      <c:layout>
        <c:manualLayout>
          <c:layoutTarget val="inner"/>
          <c:xMode val="edge"/>
          <c:yMode val="edge"/>
          <c:x val="0.1931715631006839"/>
          <c:y val="0.14223428568694202"/>
          <c:w val="0.7484037435779255"/>
          <c:h val="0.70070963650223816"/>
        </c:manualLayout>
      </c:layout>
      <c:scatterChart>
        <c:scatterStyle val="lineMarker"/>
        <c:varyColors val="0"/>
        <c:ser>
          <c:idx val="0"/>
          <c:order val="0"/>
          <c:tx>
            <c:v> </c:v>
          </c:tx>
          <c:spPr>
            <a:ln w="28575">
              <a:noFill/>
            </a:ln>
          </c:spPr>
          <c:marker>
            <c:symbol val="diamond"/>
            <c:size val="6"/>
            <c:spPr>
              <a:noFill/>
            </c:spPr>
          </c:marker>
          <c:trendline>
            <c:trendlineType val="poly"/>
            <c:order val="2"/>
            <c:dispRSqr val="1"/>
            <c:dispEq val="1"/>
            <c:trendlineLbl>
              <c:layout>
                <c:manualLayout>
                  <c:x val="-0.13338397678263786"/>
                  <c:y val="1.4978090658440758E-2"/>
                </c:manualLayout>
              </c:layout>
              <c:tx>
                <c:rich>
                  <a:bodyPr/>
                  <a:lstStyle/>
                  <a:p>
                    <a:pPr>
                      <a:defRPr/>
                    </a:pPr>
                    <a:r>
                      <a:rPr lang="en-US" baseline="0"/>
                      <a:t>H = 4.462E-03T</a:t>
                    </a:r>
                    <a:r>
                      <a:rPr lang="en-US" baseline="30000"/>
                      <a:t>2</a:t>
                    </a:r>
                    <a:r>
                      <a:rPr lang="en-US" baseline="0"/>
                      <a:t> + 35.96T - 2655
R² = 1.000E+00</a:t>
                    </a:r>
                    <a:endParaRPr lang="en-US"/>
                  </a:p>
                </c:rich>
              </c:tx>
              <c:numFmt formatCode="0.000E+00" sourceLinked="0"/>
              <c:spPr>
                <a:solidFill>
                  <a:srgbClr val="EFD2D1"/>
                </a:solidFill>
                <a:ln>
                  <a:solidFill>
                    <a:schemeClr val="tx1"/>
                  </a:solidFill>
                </a:ln>
              </c:spPr>
            </c:trendlineLbl>
          </c:trendline>
          <c:xVal>
            <c:numRef>
              <c:f>JANAF!$M$27:$M$38</c:f>
              <c:numCache>
                <c:formatCode>General</c:formatCode>
                <c:ptCount val="12"/>
                <c:pt idx="0">
                  <c:v>826.85</c:v>
                </c:pt>
                <c:pt idx="1">
                  <c:v>926.85</c:v>
                </c:pt>
                <c:pt idx="2">
                  <c:v>1026.8499999999999</c:v>
                </c:pt>
                <c:pt idx="3">
                  <c:v>1126.8499999999999</c:v>
                </c:pt>
                <c:pt idx="4">
                  <c:v>1226.8499999999999</c:v>
                </c:pt>
                <c:pt idx="5">
                  <c:v>1326.85</c:v>
                </c:pt>
                <c:pt idx="6">
                  <c:v>1426.85</c:v>
                </c:pt>
                <c:pt idx="7">
                  <c:v>1526.85</c:v>
                </c:pt>
                <c:pt idx="8">
                  <c:v>1626.85</c:v>
                </c:pt>
                <c:pt idx="9">
                  <c:v>1726.85</c:v>
                </c:pt>
                <c:pt idx="10">
                  <c:v>1826.85</c:v>
                </c:pt>
                <c:pt idx="11">
                  <c:v>1926.85</c:v>
                </c:pt>
              </c:numCache>
            </c:numRef>
          </c:xVal>
          <c:yVal>
            <c:numRef>
              <c:f>JANAF!$N$27:$N$38</c:f>
              <c:numCache>
                <c:formatCode>#,##0</c:formatCode>
                <c:ptCount val="12"/>
                <c:pt idx="0">
                  <c:v>30191</c:v>
                </c:pt>
                <c:pt idx="1">
                  <c:v>34506</c:v>
                </c:pt>
                <c:pt idx="2">
                  <c:v>38942</c:v>
                </c:pt>
                <c:pt idx="3">
                  <c:v>43493</c:v>
                </c:pt>
                <c:pt idx="4">
                  <c:v>48151</c:v>
                </c:pt>
                <c:pt idx="5">
                  <c:v>52908</c:v>
                </c:pt>
                <c:pt idx="6">
                  <c:v>57758</c:v>
                </c:pt>
                <c:pt idx="7">
                  <c:v>62693</c:v>
                </c:pt>
                <c:pt idx="8">
                  <c:v>67706</c:v>
                </c:pt>
                <c:pt idx="9">
                  <c:v>72790</c:v>
                </c:pt>
                <c:pt idx="10">
                  <c:v>77941</c:v>
                </c:pt>
                <c:pt idx="11">
                  <c:v>83153</c:v>
                </c:pt>
              </c:numCache>
            </c:numRef>
          </c:yVal>
          <c:smooth val="0"/>
        </c:ser>
        <c:dLbls>
          <c:showLegendKey val="0"/>
          <c:showVal val="0"/>
          <c:showCatName val="0"/>
          <c:showSerName val="0"/>
          <c:showPercent val="0"/>
          <c:showBubbleSize val="0"/>
        </c:dLbls>
        <c:axId val="182221824"/>
        <c:axId val="182228096"/>
      </c:scatterChart>
      <c:valAx>
        <c:axId val="182221824"/>
        <c:scaling>
          <c:orientation val="minMax"/>
          <c:max val="2000"/>
          <c:min val="800"/>
        </c:scaling>
        <c:delete val="0"/>
        <c:axPos val="b"/>
        <c:majorGridlines/>
        <c:title>
          <c:tx>
            <c:rich>
              <a:bodyPr/>
              <a:lstStyle/>
              <a:p>
                <a:pPr>
                  <a:defRPr sz="1100"/>
                </a:pPr>
                <a:r>
                  <a:rPr lang="en-US" sz="1100"/>
                  <a:t>T, °C</a:t>
                </a:r>
              </a:p>
            </c:rich>
          </c:tx>
          <c:layout>
            <c:manualLayout>
              <c:xMode val="edge"/>
              <c:yMode val="edge"/>
              <c:x val="0.47270276933977734"/>
              <c:y val="0.90930323792170609"/>
            </c:manualLayout>
          </c:layout>
          <c:overlay val="0"/>
        </c:title>
        <c:numFmt formatCode="General" sourceLinked="1"/>
        <c:majorTickMark val="out"/>
        <c:minorTickMark val="none"/>
        <c:tickLblPos val="nextTo"/>
        <c:crossAx val="182228096"/>
        <c:crosses val="autoZero"/>
        <c:crossBetween val="midCat"/>
      </c:valAx>
      <c:valAx>
        <c:axId val="182228096"/>
        <c:scaling>
          <c:orientation val="minMax"/>
          <c:max val="90000"/>
          <c:min val="30000"/>
        </c:scaling>
        <c:delete val="0"/>
        <c:axPos val="l"/>
        <c:majorGridlines/>
        <c:title>
          <c:tx>
            <c:rich>
              <a:bodyPr rot="-5400000" vert="horz"/>
              <a:lstStyle/>
              <a:p>
                <a:pPr>
                  <a:defRPr sz="1100"/>
                </a:pPr>
                <a:r>
                  <a:rPr lang="en-US" sz="1100"/>
                  <a:t>HT-H</a:t>
                </a:r>
                <a:r>
                  <a:rPr lang="en-US" sz="1100" baseline="-25000"/>
                  <a:t>25</a:t>
                </a:r>
                <a:r>
                  <a:rPr lang="en-US" sz="1100"/>
                  <a:t>, J/g-mol</a:t>
                </a:r>
              </a:p>
            </c:rich>
          </c:tx>
          <c:layout>
            <c:manualLayout>
              <c:xMode val="edge"/>
              <c:yMode val="edge"/>
              <c:x val="1.6849012673453949E-2"/>
              <c:y val="0.31501986017816186"/>
            </c:manualLayout>
          </c:layout>
          <c:overlay val="0"/>
        </c:title>
        <c:numFmt formatCode="#,##0" sourceLinked="1"/>
        <c:majorTickMark val="out"/>
        <c:minorTickMark val="none"/>
        <c:tickLblPos val="nextTo"/>
        <c:crossAx val="182221824"/>
        <c:crosses val="autoZero"/>
        <c:crossBetween val="midCat"/>
      </c:valAx>
      <c:spPr>
        <a:solidFill>
          <a:schemeClr val="accent6">
            <a:lumMod val="40000"/>
            <a:lumOff val="60000"/>
          </a:schemeClr>
        </a:solidFill>
      </c:spPr>
    </c:plotArea>
    <c:plotVisOnly val="1"/>
    <c:dispBlanksAs val="gap"/>
    <c:showDLblsOverMax val="0"/>
  </c:chart>
  <c:spPr>
    <a:solidFill>
      <a:schemeClr val="tx2">
        <a:lumMod val="20000"/>
        <a:lumOff val="80000"/>
      </a:schemeClr>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400" b="0"/>
            </a:pPr>
            <a:r>
              <a:rPr lang="en-US" sz="1400" b="0"/>
              <a:t>Heat Content of H</a:t>
            </a:r>
            <a:r>
              <a:rPr lang="en-US" sz="1400" b="0" baseline="-25000"/>
              <a:t>2</a:t>
            </a:r>
            <a:r>
              <a:rPr lang="en-US" sz="1400" b="0"/>
              <a:t>O above 1500 °F</a:t>
            </a:r>
          </a:p>
        </c:rich>
      </c:tx>
      <c:layout>
        <c:manualLayout>
          <c:xMode val="edge"/>
          <c:yMode val="edge"/>
          <c:x val="0.18971340695173658"/>
          <c:y val="2.834644263304972E-2"/>
        </c:manualLayout>
      </c:layout>
      <c:overlay val="0"/>
    </c:title>
    <c:autoTitleDeleted val="0"/>
    <c:plotArea>
      <c:layout>
        <c:manualLayout>
          <c:layoutTarget val="inner"/>
          <c:xMode val="edge"/>
          <c:yMode val="edge"/>
          <c:x val="0.17930835436648712"/>
          <c:y val="0.13731098651572371"/>
          <c:w val="0.76226703521715156"/>
          <c:h val="0.70563260927144433"/>
        </c:manualLayout>
      </c:layout>
      <c:scatterChart>
        <c:scatterStyle val="lineMarker"/>
        <c:varyColors val="0"/>
        <c:ser>
          <c:idx val="0"/>
          <c:order val="0"/>
          <c:tx>
            <c:v> </c:v>
          </c:tx>
          <c:spPr>
            <a:ln w="28575">
              <a:noFill/>
            </a:ln>
          </c:spPr>
          <c:marker>
            <c:symbol val="diamond"/>
            <c:size val="6"/>
            <c:spPr>
              <a:noFill/>
            </c:spPr>
          </c:marker>
          <c:trendline>
            <c:trendlineType val="poly"/>
            <c:order val="2"/>
            <c:dispRSqr val="1"/>
            <c:dispEq val="1"/>
            <c:trendlineLbl>
              <c:layout>
                <c:manualLayout>
                  <c:x val="-0.29766412180303464"/>
                  <c:y val="3.1837941874249598E-2"/>
                </c:manualLayout>
              </c:layout>
              <c:tx>
                <c:rich>
                  <a:bodyPr/>
                  <a:lstStyle/>
                  <a:p>
                    <a:pPr>
                      <a:defRPr/>
                    </a:pPr>
                    <a:r>
                      <a:rPr lang="en-US" baseline="0"/>
                      <a:t>H = 5.925E-04T</a:t>
                    </a:r>
                    <a:r>
                      <a:rPr lang="en-US" baseline="30000"/>
                      <a:t>2</a:t>
                    </a:r>
                    <a:r>
                      <a:rPr lang="en-US" baseline="0"/>
                      <a:t> + 8.558T - 1416
R² = 1.000E+00</a:t>
                    </a:r>
                    <a:endParaRPr lang="en-US"/>
                  </a:p>
                </c:rich>
              </c:tx>
              <c:numFmt formatCode="0.000E+00" sourceLinked="0"/>
              <c:spPr>
                <a:solidFill>
                  <a:srgbClr val="EFD2D1"/>
                </a:solidFill>
                <a:ln>
                  <a:solidFill>
                    <a:schemeClr val="tx1"/>
                  </a:solidFill>
                </a:ln>
              </c:spPr>
            </c:trendlineLbl>
          </c:trendline>
          <c:xVal>
            <c:numRef>
              <c:f>JANAF!$P$27:$P$38</c:f>
              <c:numCache>
                <c:formatCode>0.0</c:formatCode>
                <c:ptCount val="12"/>
                <c:pt idx="0">
                  <c:v>1520.3300000000002</c:v>
                </c:pt>
                <c:pt idx="1">
                  <c:v>1700.3300000000002</c:v>
                </c:pt>
                <c:pt idx="2">
                  <c:v>1880.33</c:v>
                </c:pt>
                <c:pt idx="3">
                  <c:v>2060.33</c:v>
                </c:pt>
                <c:pt idx="4">
                  <c:v>2240.33</c:v>
                </c:pt>
                <c:pt idx="5">
                  <c:v>2420.33</c:v>
                </c:pt>
                <c:pt idx="6">
                  <c:v>2600.33</c:v>
                </c:pt>
                <c:pt idx="7">
                  <c:v>2780.33</c:v>
                </c:pt>
                <c:pt idx="8">
                  <c:v>2960.33</c:v>
                </c:pt>
                <c:pt idx="9">
                  <c:v>3140.33</c:v>
                </c:pt>
                <c:pt idx="10">
                  <c:v>3320.33</c:v>
                </c:pt>
                <c:pt idx="11">
                  <c:v>3500.33</c:v>
                </c:pt>
              </c:numCache>
            </c:numRef>
          </c:xVal>
          <c:yVal>
            <c:numRef>
              <c:f>JANAF!$Q$27:$Q$38</c:f>
              <c:numCache>
                <c:formatCode>#,##0</c:formatCode>
                <c:ptCount val="12"/>
                <c:pt idx="0">
                  <c:v>12988.47011</c:v>
                </c:pt>
                <c:pt idx="1">
                  <c:v>14844.82626</c:v>
                </c:pt>
                <c:pt idx="2">
                  <c:v>16753.237819999998</c:v>
                </c:pt>
                <c:pt idx="3">
                  <c:v>18711.123530000001</c:v>
                </c:pt>
                <c:pt idx="4">
                  <c:v>20715.041709999998</c:v>
                </c:pt>
                <c:pt idx="5">
                  <c:v>22761.55068</c:v>
                </c:pt>
                <c:pt idx="6">
                  <c:v>24848.069179999999</c:v>
                </c:pt>
                <c:pt idx="7">
                  <c:v>26971.15553</c:v>
                </c:pt>
                <c:pt idx="8">
                  <c:v>29127.79826</c:v>
                </c:pt>
                <c:pt idx="9">
                  <c:v>31314.9859</c:v>
                </c:pt>
                <c:pt idx="10">
                  <c:v>33530.997609999999</c:v>
                </c:pt>
                <c:pt idx="11">
                  <c:v>35773.252130000001</c:v>
                </c:pt>
              </c:numCache>
            </c:numRef>
          </c:yVal>
          <c:smooth val="0"/>
        </c:ser>
        <c:dLbls>
          <c:showLegendKey val="0"/>
          <c:showVal val="0"/>
          <c:showCatName val="0"/>
          <c:showSerName val="0"/>
          <c:showPercent val="0"/>
          <c:showBubbleSize val="0"/>
        </c:dLbls>
        <c:axId val="182253440"/>
        <c:axId val="182276096"/>
      </c:scatterChart>
      <c:valAx>
        <c:axId val="182253440"/>
        <c:scaling>
          <c:orientation val="minMax"/>
          <c:max val="3500"/>
          <c:min val="1500"/>
        </c:scaling>
        <c:delete val="0"/>
        <c:axPos val="b"/>
        <c:majorGridlines/>
        <c:title>
          <c:tx>
            <c:rich>
              <a:bodyPr/>
              <a:lstStyle/>
              <a:p>
                <a:pPr>
                  <a:defRPr sz="1100"/>
                </a:pPr>
                <a:r>
                  <a:rPr lang="en-US" sz="1100"/>
                  <a:t>T, °F</a:t>
                </a:r>
              </a:p>
            </c:rich>
          </c:tx>
          <c:layout>
            <c:manualLayout>
              <c:xMode val="edge"/>
              <c:yMode val="edge"/>
              <c:x val="0.47270276933977734"/>
              <c:y val="0.90930323792170609"/>
            </c:manualLayout>
          </c:layout>
          <c:overlay val="0"/>
        </c:title>
        <c:numFmt formatCode="0" sourceLinked="0"/>
        <c:majorTickMark val="out"/>
        <c:minorTickMark val="none"/>
        <c:tickLblPos val="nextTo"/>
        <c:crossAx val="182276096"/>
        <c:crosses val="autoZero"/>
        <c:crossBetween val="midCat"/>
      </c:valAx>
      <c:valAx>
        <c:axId val="182276096"/>
        <c:scaling>
          <c:orientation val="minMax"/>
          <c:max val="36000"/>
          <c:min val="12000"/>
        </c:scaling>
        <c:delete val="0"/>
        <c:axPos val="l"/>
        <c:majorGridlines/>
        <c:title>
          <c:tx>
            <c:rich>
              <a:bodyPr rot="-5400000" vert="horz"/>
              <a:lstStyle/>
              <a:p>
                <a:pPr>
                  <a:defRPr sz="1100"/>
                </a:pPr>
                <a:r>
                  <a:rPr lang="en-US" sz="1100"/>
                  <a:t>HT-H</a:t>
                </a:r>
                <a:r>
                  <a:rPr lang="en-US" sz="1100" baseline="-25000"/>
                  <a:t>77</a:t>
                </a:r>
                <a:r>
                  <a:rPr lang="en-US" sz="1100"/>
                  <a:t>, Btu/lb-mol</a:t>
                </a:r>
              </a:p>
            </c:rich>
          </c:tx>
          <c:layout>
            <c:manualLayout>
              <c:xMode val="edge"/>
              <c:yMode val="edge"/>
              <c:x val="1.0036094572889622E-2"/>
              <c:y val="0.27373772770154248"/>
            </c:manualLayout>
          </c:layout>
          <c:overlay val="0"/>
        </c:title>
        <c:numFmt formatCode="#,##0" sourceLinked="1"/>
        <c:majorTickMark val="out"/>
        <c:minorTickMark val="none"/>
        <c:tickLblPos val="nextTo"/>
        <c:crossAx val="182253440"/>
        <c:crosses val="autoZero"/>
        <c:crossBetween val="midCat"/>
        <c:majorUnit val="4000"/>
      </c:valAx>
      <c:spPr>
        <a:solidFill>
          <a:schemeClr val="accent6">
            <a:lumMod val="40000"/>
            <a:lumOff val="60000"/>
          </a:schemeClr>
        </a:solidFill>
      </c:spPr>
    </c:plotArea>
    <c:plotVisOnly val="1"/>
    <c:dispBlanksAs val="gap"/>
    <c:showDLblsOverMax val="0"/>
  </c:chart>
  <c:spPr>
    <a:solidFill>
      <a:schemeClr val="tx2">
        <a:lumMod val="20000"/>
        <a:lumOff val="80000"/>
      </a:schemeClr>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300" b="0"/>
            </a:pPr>
            <a:r>
              <a:rPr lang="en-US" sz="1300" b="0"/>
              <a:t>Heat Content of O</a:t>
            </a:r>
            <a:r>
              <a:rPr lang="en-US" sz="1300" b="0" baseline="-25000"/>
              <a:t>2</a:t>
            </a:r>
            <a:r>
              <a:rPr lang="en-US" sz="1300" b="0"/>
              <a:t> &amp; N</a:t>
            </a:r>
            <a:r>
              <a:rPr lang="en-US" sz="1300" b="0" baseline="-25000"/>
              <a:t>2</a:t>
            </a:r>
            <a:r>
              <a:rPr lang="en-US" sz="1300" b="0"/>
              <a:t> Above 800 °C</a:t>
            </a:r>
          </a:p>
        </c:rich>
      </c:tx>
      <c:layout>
        <c:manualLayout>
          <c:xMode val="edge"/>
          <c:yMode val="edge"/>
          <c:x val="0.16491695123420227"/>
          <c:y val="1.3888776010315256E-2"/>
        </c:manualLayout>
      </c:layout>
      <c:overlay val="0"/>
    </c:title>
    <c:autoTitleDeleted val="0"/>
    <c:plotArea>
      <c:layout>
        <c:manualLayout>
          <c:layoutTarget val="inner"/>
          <c:xMode val="edge"/>
          <c:yMode val="edge"/>
          <c:x val="0.14894685039370079"/>
          <c:y val="0.13052092446777486"/>
          <c:w val="0.79233092738407707"/>
          <c:h val="0.72109179060950712"/>
        </c:manualLayout>
      </c:layout>
      <c:scatterChart>
        <c:scatterStyle val="lineMarker"/>
        <c:varyColors val="0"/>
        <c:ser>
          <c:idx val="0"/>
          <c:order val="0"/>
          <c:tx>
            <c:v>O2</c:v>
          </c:tx>
          <c:spPr>
            <a:ln w="28575">
              <a:noFill/>
            </a:ln>
          </c:spPr>
          <c:marker>
            <c:symbol val="triangle"/>
            <c:size val="5"/>
            <c:spPr>
              <a:solidFill>
                <a:srgbClr val="FF7D7D"/>
              </a:solidFill>
              <a:ln>
                <a:solidFill>
                  <a:schemeClr val="tx1"/>
                </a:solidFill>
              </a:ln>
            </c:spPr>
          </c:marker>
          <c:trendline>
            <c:spPr>
              <a:ln>
                <a:solidFill>
                  <a:srgbClr val="C00000"/>
                </a:solidFill>
              </a:ln>
            </c:spPr>
            <c:trendlineType val="linear"/>
            <c:dispRSqr val="0"/>
            <c:dispEq val="1"/>
            <c:trendlineLbl>
              <c:layout>
                <c:manualLayout>
                  <c:x val="-0.29663145231846016"/>
                  <c:y val="9.6330927384076989E-2"/>
                </c:manualLayout>
              </c:layout>
              <c:tx>
                <c:rich>
                  <a:bodyPr/>
                  <a:lstStyle/>
                  <a:p>
                    <a:pPr>
                      <a:defRPr sz="1050"/>
                    </a:pPr>
                    <a:r>
                      <a:rPr lang="en-US" sz="1050" baseline="0"/>
                      <a:t>H = 36.88T- 4522</a:t>
                    </a:r>
                    <a:endParaRPr lang="en-US" sz="1050"/>
                  </a:p>
                </c:rich>
              </c:tx>
              <c:numFmt formatCode="General" sourceLinked="0"/>
              <c:spPr>
                <a:solidFill>
                  <a:srgbClr val="FF7D7D"/>
                </a:solidFill>
                <a:ln>
                  <a:solidFill>
                    <a:schemeClr val="tx1"/>
                  </a:solidFill>
                </a:ln>
              </c:spPr>
            </c:trendlineLbl>
          </c:trendline>
          <c:xVal>
            <c:numRef>
              <c:f>ReaxWeb!$Y$19:$Y$30</c:f>
              <c:numCache>
                <c:formatCode>General</c:formatCode>
                <c:ptCount val="12"/>
                <c:pt idx="0">
                  <c:v>826.85</c:v>
                </c:pt>
                <c:pt idx="1">
                  <c:v>926.85</c:v>
                </c:pt>
                <c:pt idx="2">
                  <c:v>1026.8499999999999</c:v>
                </c:pt>
                <c:pt idx="3">
                  <c:v>1126.8499999999999</c:v>
                </c:pt>
                <c:pt idx="4">
                  <c:v>1226.8499999999999</c:v>
                </c:pt>
                <c:pt idx="5">
                  <c:v>1326.85</c:v>
                </c:pt>
                <c:pt idx="6">
                  <c:v>1426.85</c:v>
                </c:pt>
                <c:pt idx="7">
                  <c:v>1526.85</c:v>
                </c:pt>
                <c:pt idx="8">
                  <c:v>1626.85</c:v>
                </c:pt>
                <c:pt idx="9">
                  <c:v>1726.85</c:v>
                </c:pt>
                <c:pt idx="10">
                  <c:v>1826.85</c:v>
                </c:pt>
                <c:pt idx="11">
                  <c:v>1926.85</c:v>
                </c:pt>
              </c:numCache>
            </c:numRef>
          </c:xVal>
          <c:yVal>
            <c:numRef>
              <c:f>ReaxWeb!$D$19:$D$30</c:f>
              <c:numCache>
                <c:formatCode>#,##0</c:formatCode>
                <c:ptCount val="12"/>
                <c:pt idx="0">
                  <c:v>26213.200000000001</c:v>
                </c:pt>
                <c:pt idx="1">
                  <c:v>29764.1</c:v>
                </c:pt>
                <c:pt idx="2">
                  <c:v>33348.199999999997</c:v>
                </c:pt>
                <c:pt idx="3">
                  <c:v>36961.300000000003</c:v>
                </c:pt>
                <c:pt idx="4">
                  <c:v>40601.300000000003</c:v>
                </c:pt>
                <c:pt idx="5">
                  <c:v>44266.9</c:v>
                </c:pt>
                <c:pt idx="6">
                  <c:v>47957.4</c:v>
                </c:pt>
                <c:pt idx="7">
                  <c:v>51672.4</c:v>
                </c:pt>
                <c:pt idx="8">
                  <c:v>55411.4</c:v>
                </c:pt>
                <c:pt idx="9">
                  <c:v>59174.2</c:v>
                </c:pt>
                <c:pt idx="10">
                  <c:v>62960.4</c:v>
                </c:pt>
                <c:pt idx="11">
                  <c:v>66769.600000000006</c:v>
                </c:pt>
              </c:numCache>
            </c:numRef>
          </c:yVal>
          <c:smooth val="0"/>
        </c:ser>
        <c:ser>
          <c:idx val="1"/>
          <c:order val="1"/>
          <c:tx>
            <c:v>N2</c:v>
          </c:tx>
          <c:spPr>
            <a:ln w="28575">
              <a:noFill/>
            </a:ln>
          </c:spPr>
          <c:marker>
            <c:symbol val="diamond"/>
            <c:size val="5"/>
            <c:spPr>
              <a:solidFill>
                <a:schemeClr val="accent1">
                  <a:lumMod val="40000"/>
                  <a:lumOff val="60000"/>
                </a:schemeClr>
              </a:solidFill>
              <a:ln>
                <a:solidFill>
                  <a:schemeClr val="tx1"/>
                </a:solidFill>
              </a:ln>
            </c:spPr>
          </c:marker>
          <c:trendline>
            <c:spPr>
              <a:ln>
                <a:solidFill>
                  <a:schemeClr val="accent4">
                    <a:lumMod val="75000"/>
                  </a:schemeClr>
                </a:solidFill>
              </a:ln>
            </c:spPr>
            <c:trendlineType val="linear"/>
            <c:dispRSqr val="1"/>
            <c:dispEq val="1"/>
            <c:trendlineLbl>
              <c:layout>
                <c:manualLayout>
                  <c:x val="4.9515807640122853E-2"/>
                  <c:y val="0.25048878385488532"/>
                </c:manualLayout>
              </c:layout>
              <c:tx>
                <c:rich>
                  <a:bodyPr/>
                  <a:lstStyle/>
                  <a:p>
                    <a:pPr>
                      <a:defRPr sz="1050"/>
                    </a:pPr>
                    <a:r>
                      <a:rPr lang="en-US" sz="1050" baseline="0"/>
                      <a:t>H = 35.15T - 4579</a:t>
                    </a:r>
                    <a:endParaRPr lang="en-US" sz="1050"/>
                  </a:p>
                </c:rich>
              </c:tx>
              <c:numFmt formatCode="General" sourceLinked="0"/>
              <c:spPr>
                <a:solidFill>
                  <a:schemeClr val="accent4">
                    <a:lumMod val="40000"/>
                    <a:lumOff val="60000"/>
                  </a:schemeClr>
                </a:solidFill>
                <a:ln>
                  <a:solidFill>
                    <a:schemeClr val="tx1"/>
                  </a:solidFill>
                </a:ln>
              </c:spPr>
            </c:trendlineLbl>
          </c:trendline>
          <c:xVal>
            <c:numRef>
              <c:f>ReaxWeb!$K$19:$K$30</c:f>
              <c:numCache>
                <c:formatCode>General</c:formatCode>
                <c:ptCount val="12"/>
                <c:pt idx="0">
                  <c:v>826.85</c:v>
                </c:pt>
                <c:pt idx="1">
                  <c:v>926.85</c:v>
                </c:pt>
                <c:pt idx="2">
                  <c:v>1026.8499999999999</c:v>
                </c:pt>
                <c:pt idx="3">
                  <c:v>1126.8499999999999</c:v>
                </c:pt>
                <c:pt idx="4">
                  <c:v>1226.8499999999999</c:v>
                </c:pt>
                <c:pt idx="5">
                  <c:v>1326.85</c:v>
                </c:pt>
                <c:pt idx="6">
                  <c:v>1426.85</c:v>
                </c:pt>
                <c:pt idx="7">
                  <c:v>1526.85</c:v>
                </c:pt>
                <c:pt idx="8">
                  <c:v>1626.85</c:v>
                </c:pt>
                <c:pt idx="9">
                  <c:v>1726.85</c:v>
                </c:pt>
                <c:pt idx="10">
                  <c:v>1826.85</c:v>
                </c:pt>
                <c:pt idx="11">
                  <c:v>1926.85</c:v>
                </c:pt>
              </c:numCache>
            </c:numRef>
          </c:xVal>
          <c:yVal>
            <c:numRef>
              <c:f>ReaxWeb!$R$19:$R$30</c:f>
              <c:numCache>
                <c:formatCode>#,##0</c:formatCode>
                <c:ptCount val="12"/>
                <c:pt idx="0">
                  <c:v>24755.1</c:v>
                </c:pt>
                <c:pt idx="1">
                  <c:v>28103.599999999999</c:v>
                </c:pt>
                <c:pt idx="2">
                  <c:v>31499.7</c:v>
                </c:pt>
                <c:pt idx="3">
                  <c:v>34936.9</c:v>
                </c:pt>
                <c:pt idx="4">
                  <c:v>38408.199999999997</c:v>
                </c:pt>
                <c:pt idx="5">
                  <c:v>41906.1</c:v>
                </c:pt>
                <c:pt idx="6">
                  <c:v>45429.3</c:v>
                </c:pt>
                <c:pt idx="7">
                  <c:v>48978.6</c:v>
                </c:pt>
                <c:pt idx="8">
                  <c:v>52549.9</c:v>
                </c:pt>
                <c:pt idx="9">
                  <c:v>56140.2</c:v>
                </c:pt>
                <c:pt idx="10">
                  <c:v>59747</c:v>
                </c:pt>
                <c:pt idx="11">
                  <c:v>63368.3</c:v>
                </c:pt>
              </c:numCache>
            </c:numRef>
          </c:yVal>
          <c:smooth val="0"/>
        </c:ser>
        <c:dLbls>
          <c:showLegendKey val="0"/>
          <c:showVal val="0"/>
          <c:showCatName val="0"/>
          <c:showSerName val="0"/>
          <c:showPercent val="0"/>
          <c:showBubbleSize val="0"/>
        </c:dLbls>
        <c:axId val="182758400"/>
        <c:axId val="182776960"/>
      </c:scatterChart>
      <c:valAx>
        <c:axId val="182758400"/>
        <c:scaling>
          <c:orientation val="minMax"/>
          <c:max val="2000"/>
          <c:min val="800"/>
        </c:scaling>
        <c:delete val="0"/>
        <c:axPos val="b"/>
        <c:majorGridlines/>
        <c:title>
          <c:tx>
            <c:rich>
              <a:bodyPr/>
              <a:lstStyle/>
              <a:p>
                <a:pPr>
                  <a:defRPr/>
                </a:pPr>
                <a:r>
                  <a:rPr lang="en-US"/>
                  <a:t>T, °C</a:t>
                </a:r>
              </a:p>
            </c:rich>
          </c:tx>
          <c:layout>
            <c:manualLayout>
              <c:xMode val="edge"/>
              <c:yMode val="edge"/>
              <c:x val="0.43329286964129482"/>
              <c:y val="0.92960629921259841"/>
            </c:manualLayout>
          </c:layout>
          <c:overlay val="0"/>
        </c:title>
        <c:numFmt formatCode="General" sourceLinked="1"/>
        <c:majorTickMark val="out"/>
        <c:minorTickMark val="none"/>
        <c:tickLblPos val="nextTo"/>
        <c:crossAx val="182776960"/>
        <c:crosses val="autoZero"/>
        <c:crossBetween val="midCat"/>
      </c:valAx>
      <c:valAx>
        <c:axId val="182776960"/>
        <c:scaling>
          <c:orientation val="minMax"/>
          <c:max val="70000"/>
          <c:min val="20000"/>
        </c:scaling>
        <c:delete val="0"/>
        <c:axPos val="l"/>
        <c:majorGridlines/>
        <c:title>
          <c:tx>
            <c:rich>
              <a:bodyPr rot="-5400000" vert="horz"/>
              <a:lstStyle/>
              <a:p>
                <a:pPr>
                  <a:defRPr/>
                </a:pPr>
                <a:r>
                  <a:rPr lang="en-US"/>
                  <a:t>H</a:t>
                </a:r>
                <a:r>
                  <a:rPr lang="en-US" baseline="-25000"/>
                  <a:t>T</a:t>
                </a:r>
                <a:r>
                  <a:rPr lang="en-US"/>
                  <a:t>-H</a:t>
                </a:r>
                <a:r>
                  <a:rPr lang="en-US" baseline="-25000"/>
                  <a:t>25</a:t>
                </a:r>
                <a:r>
                  <a:rPr lang="en-US"/>
                  <a:t>, J/mol</a:t>
                </a:r>
              </a:p>
            </c:rich>
          </c:tx>
          <c:layout/>
          <c:overlay val="0"/>
        </c:title>
        <c:numFmt formatCode="#,##0" sourceLinked="1"/>
        <c:majorTickMark val="out"/>
        <c:minorTickMark val="none"/>
        <c:tickLblPos val="nextTo"/>
        <c:crossAx val="182758400"/>
        <c:crosses val="autoZero"/>
        <c:crossBetween val="midCat"/>
      </c:valAx>
      <c:spPr>
        <a:solidFill>
          <a:srgbClr val="FFEAA7"/>
        </a:solidFill>
      </c:spPr>
    </c:plotArea>
    <c:legend>
      <c:legendPos val="t"/>
      <c:layout>
        <c:manualLayout>
          <c:xMode val="edge"/>
          <c:yMode val="edge"/>
          <c:x val="0.4323676727909011"/>
          <c:y val="0.66245370370370371"/>
          <c:w val="0.42094153488115216"/>
          <c:h val="0.12636883931175269"/>
        </c:manualLayout>
      </c:layout>
      <c:overlay val="1"/>
      <c:spPr>
        <a:solidFill>
          <a:schemeClr val="bg1">
            <a:lumMod val="85000"/>
          </a:schemeClr>
        </a:solidFill>
        <a:ln>
          <a:solidFill>
            <a:schemeClr val="tx1"/>
          </a:solidFill>
        </a:ln>
      </c:spPr>
      <c:txPr>
        <a:bodyPr/>
        <a:lstStyle/>
        <a:p>
          <a:pPr>
            <a:defRPr sz="1100"/>
          </a:pPr>
          <a:endParaRPr lang="en-US"/>
        </a:p>
      </c:txPr>
    </c:legend>
    <c:plotVisOnly val="1"/>
    <c:dispBlanksAs val="gap"/>
    <c:showDLblsOverMax val="0"/>
  </c:chart>
  <c:spPr>
    <a:solidFill>
      <a:srgbClr val="CCDAEC"/>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300" b="0"/>
            </a:pPr>
            <a:r>
              <a:rPr lang="en-US" sz="1300" b="0"/>
              <a:t> Heat Content of O</a:t>
            </a:r>
            <a:r>
              <a:rPr lang="en-US" sz="1300" b="0" baseline="-25000"/>
              <a:t>2</a:t>
            </a:r>
            <a:r>
              <a:rPr lang="en-US" sz="1300" b="0"/>
              <a:t> &amp; N</a:t>
            </a:r>
            <a:r>
              <a:rPr lang="en-US" sz="1300" b="0" baseline="-25000"/>
              <a:t>2</a:t>
            </a:r>
            <a:r>
              <a:rPr lang="en-US" sz="1300" b="0"/>
              <a:t> Above 1500 °F</a:t>
            </a:r>
          </a:p>
        </c:rich>
      </c:tx>
      <c:layout>
        <c:manualLayout>
          <c:xMode val="edge"/>
          <c:yMode val="edge"/>
          <c:x val="0.18721269376722838"/>
          <c:y val="5.1741291407978E-3"/>
        </c:manualLayout>
      </c:layout>
      <c:overlay val="0"/>
    </c:title>
    <c:autoTitleDeleted val="0"/>
    <c:plotArea>
      <c:layout>
        <c:manualLayout>
          <c:layoutTarget val="inner"/>
          <c:xMode val="edge"/>
          <c:yMode val="edge"/>
          <c:x val="0.14894685039370079"/>
          <c:y val="0.1127973481366166"/>
          <c:w val="0.79233092738407707"/>
          <c:h val="0.75653920803457941"/>
        </c:manualLayout>
      </c:layout>
      <c:scatterChart>
        <c:scatterStyle val="lineMarker"/>
        <c:varyColors val="0"/>
        <c:ser>
          <c:idx val="0"/>
          <c:order val="0"/>
          <c:tx>
            <c:v>N2</c:v>
          </c:tx>
          <c:spPr>
            <a:ln w="28575">
              <a:noFill/>
            </a:ln>
          </c:spPr>
          <c:marker>
            <c:symbol val="triangle"/>
            <c:size val="5"/>
            <c:spPr>
              <a:solidFill>
                <a:schemeClr val="accent4">
                  <a:lumMod val="60000"/>
                  <a:lumOff val="40000"/>
                </a:schemeClr>
              </a:solidFill>
              <a:ln>
                <a:solidFill>
                  <a:schemeClr val="tx1"/>
                </a:solidFill>
              </a:ln>
            </c:spPr>
          </c:marker>
          <c:trendline>
            <c:trendlineType val="linear"/>
            <c:dispRSqr val="0"/>
            <c:dispEq val="1"/>
            <c:trendlineLbl>
              <c:layout>
                <c:manualLayout>
                  <c:x val="-5.5188737006283252E-4"/>
                  <c:y val="0.26822316600488411"/>
                </c:manualLayout>
              </c:layout>
              <c:tx>
                <c:rich>
                  <a:bodyPr/>
                  <a:lstStyle/>
                  <a:p>
                    <a:pPr>
                      <a:defRPr sz="1100"/>
                    </a:pPr>
                    <a:r>
                      <a:rPr lang="en-US" sz="1100" baseline="0"/>
                      <a:t>H = 8.40T - 2239</a:t>
                    </a:r>
                    <a:endParaRPr lang="en-US" sz="1100"/>
                  </a:p>
                </c:rich>
              </c:tx>
              <c:numFmt formatCode="General" sourceLinked="0"/>
              <c:spPr>
                <a:solidFill>
                  <a:schemeClr val="accent4">
                    <a:lumMod val="40000"/>
                    <a:lumOff val="60000"/>
                  </a:schemeClr>
                </a:solidFill>
                <a:ln>
                  <a:solidFill>
                    <a:schemeClr val="tx1"/>
                  </a:solidFill>
                </a:ln>
              </c:spPr>
            </c:trendlineLbl>
          </c:trendline>
          <c:xVal>
            <c:numRef>
              <c:f>ReaxWeb!$M$19:$M$30</c:f>
              <c:numCache>
                <c:formatCode>0.0</c:formatCode>
                <c:ptCount val="12"/>
                <c:pt idx="0">
                  <c:v>1520.3300000000002</c:v>
                </c:pt>
                <c:pt idx="1">
                  <c:v>1700.3300000000002</c:v>
                </c:pt>
                <c:pt idx="2">
                  <c:v>1880.33</c:v>
                </c:pt>
                <c:pt idx="3">
                  <c:v>2060.33</c:v>
                </c:pt>
                <c:pt idx="4">
                  <c:v>2240.33</c:v>
                </c:pt>
                <c:pt idx="5">
                  <c:v>2420.33</c:v>
                </c:pt>
                <c:pt idx="6">
                  <c:v>2600.33</c:v>
                </c:pt>
                <c:pt idx="7">
                  <c:v>2780.33</c:v>
                </c:pt>
                <c:pt idx="8">
                  <c:v>2960.33</c:v>
                </c:pt>
                <c:pt idx="9">
                  <c:v>3140.33</c:v>
                </c:pt>
                <c:pt idx="10">
                  <c:v>3320.33</c:v>
                </c:pt>
                <c:pt idx="11">
                  <c:v>3500.33</c:v>
                </c:pt>
              </c:numCache>
            </c:numRef>
          </c:xVal>
          <c:yVal>
            <c:numRef>
              <c:f>ReaxWeb!$O$19:$O$30</c:f>
              <c:numCache>
                <c:formatCode>0</c:formatCode>
                <c:ptCount val="12"/>
                <c:pt idx="0">
                  <c:v>10649.891570999998</c:v>
                </c:pt>
                <c:pt idx="1">
                  <c:v>12090.449755999998</c:v>
                </c:pt>
                <c:pt idx="2">
                  <c:v>13551.485936999999</c:v>
                </c:pt>
                <c:pt idx="3">
                  <c:v>15030.203749</c:v>
                </c:pt>
                <c:pt idx="4">
                  <c:v>16523.591721999997</c:v>
                </c:pt>
                <c:pt idx="5">
                  <c:v>18028.423280999999</c:v>
                </c:pt>
                <c:pt idx="6">
                  <c:v>19544.139153</c:v>
                </c:pt>
                <c:pt idx="7">
                  <c:v>21071.083505999999</c:v>
                </c:pt>
                <c:pt idx="8">
                  <c:v>22607.492479</c:v>
                </c:pt>
                <c:pt idx="9">
                  <c:v>24152.075441999998</c:v>
                </c:pt>
                <c:pt idx="10">
                  <c:v>25703.756869999997</c:v>
                </c:pt>
                <c:pt idx="11">
                  <c:v>27261.676342999999</c:v>
                </c:pt>
              </c:numCache>
            </c:numRef>
          </c:yVal>
          <c:smooth val="0"/>
        </c:ser>
        <c:ser>
          <c:idx val="1"/>
          <c:order val="1"/>
          <c:tx>
            <c:v>O2</c:v>
          </c:tx>
          <c:spPr>
            <a:ln w="28575">
              <a:noFill/>
            </a:ln>
          </c:spPr>
          <c:marker>
            <c:symbol val="diamond"/>
            <c:size val="5"/>
            <c:spPr>
              <a:solidFill>
                <a:srgbClr val="FF0000"/>
              </a:solidFill>
              <a:ln>
                <a:solidFill>
                  <a:schemeClr val="tx1"/>
                </a:solidFill>
              </a:ln>
            </c:spPr>
          </c:marker>
          <c:trendline>
            <c:trendlineType val="linear"/>
            <c:dispRSqr val="0"/>
            <c:dispEq val="1"/>
            <c:trendlineLbl>
              <c:layout>
                <c:manualLayout>
                  <c:x val="-0.18908127383655574"/>
                  <c:y val="4.4497793803001645E-2"/>
                </c:manualLayout>
              </c:layout>
              <c:tx>
                <c:rich>
                  <a:bodyPr/>
                  <a:lstStyle/>
                  <a:p>
                    <a:pPr>
                      <a:defRPr sz="1100"/>
                    </a:pPr>
                    <a:r>
                      <a:rPr lang="en-US" sz="1100" baseline="0"/>
                      <a:t>H = 8.81T - 2228</a:t>
                    </a:r>
                    <a:endParaRPr lang="en-US" sz="1100"/>
                  </a:p>
                </c:rich>
              </c:tx>
              <c:numFmt formatCode="General" sourceLinked="0"/>
              <c:spPr>
                <a:solidFill>
                  <a:srgbClr val="FF7D7D"/>
                </a:solidFill>
                <a:ln>
                  <a:solidFill>
                    <a:schemeClr val="tx1"/>
                  </a:solidFill>
                </a:ln>
              </c:spPr>
            </c:trendlineLbl>
          </c:trendline>
          <c:xVal>
            <c:numRef>
              <c:f>ReaxWeb!$M$19:$M$30</c:f>
              <c:numCache>
                <c:formatCode>0.0</c:formatCode>
                <c:ptCount val="12"/>
                <c:pt idx="0">
                  <c:v>1520.3300000000002</c:v>
                </c:pt>
                <c:pt idx="1">
                  <c:v>1700.3300000000002</c:v>
                </c:pt>
                <c:pt idx="2">
                  <c:v>1880.33</c:v>
                </c:pt>
                <c:pt idx="3">
                  <c:v>2060.33</c:v>
                </c:pt>
                <c:pt idx="4">
                  <c:v>2240.33</c:v>
                </c:pt>
                <c:pt idx="5">
                  <c:v>2420.33</c:v>
                </c:pt>
                <c:pt idx="6">
                  <c:v>2600.33</c:v>
                </c:pt>
                <c:pt idx="7">
                  <c:v>2780.33</c:v>
                </c:pt>
                <c:pt idx="8">
                  <c:v>2960.33</c:v>
                </c:pt>
                <c:pt idx="9">
                  <c:v>3140.33</c:v>
                </c:pt>
                <c:pt idx="10">
                  <c:v>3320.33</c:v>
                </c:pt>
                <c:pt idx="11">
                  <c:v>3500.33</c:v>
                </c:pt>
              </c:numCache>
            </c:numRef>
          </c:xVal>
          <c:yVal>
            <c:numRef>
              <c:f>ReaxWeb!$N$19:$N$30</c:f>
              <c:numCache>
                <c:formatCode>0</c:formatCode>
                <c:ptCount val="12"/>
                <c:pt idx="0">
                  <c:v>11277.180772</c:v>
                </c:pt>
                <c:pt idx="1">
                  <c:v>12804.813460999998</c:v>
                </c:pt>
                <c:pt idx="2">
                  <c:v>14346.729121999999</c:v>
                </c:pt>
                <c:pt idx="3">
                  <c:v>15901.120873</c:v>
                </c:pt>
                <c:pt idx="4">
                  <c:v>17467.085273000001</c:v>
                </c:pt>
                <c:pt idx="5">
                  <c:v>19044.063049</c:v>
                </c:pt>
                <c:pt idx="6">
                  <c:v>20631.753054000001</c:v>
                </c:pt>
                <c:pt idx="7">
                  <c:v>22229.983204</c:v>
                </c:pt>
                <c:pt idx="8">
                  <c:v>23838.538393999999</c:v>
                </c:pt>
                <c:pt idx="9">
                  <c:v>25457.332581999999</c:v>
                </c:pt>
                <c:pt idx="10">
                  <c:v>27086.193683999998</c:v>
                </c:pt>
                <c:pt idx="11">
                  <c:v>28724.949616000002</c:v>
                </c:pt>
              </c:numCache>
            </c:numRef>
          </c:yVal>
          <c:smooth val="0"/>
        </c:ser>
        <c:dLbls>
          <c:showLegendKey val="0"/>
          <c:showVal val="0"/>
          <c:showCatName val="0"/>
          <c:showSerName val="0"/>
          <c:showPercent val="0"/>
          <c:showBubbleSize val="0"/>
        </c:dLbls>
        <c:axId val="182558720"/>
        <c:axId val="182560640"/>
      </c:scatterChart>
      <c:valAx>
        <c:axId val="182558720"/>
        <c:scaling>
          <c:orientation val="minMax"/>
          <c:max val="3500"/>
          <c:min val="1500"/>
        </c:scaling>
        <c:delete val="0"/>
        <c:axPos val="b"/>
        <c:majorGridlines/>
        <c:title>
          <c:tx>
            <c:rich>
              <a:bodyPr/>
              <a:lstStyle/>
              <a:p>
                <a:pPr>
                  <a:defRPr/>
                </a:pPr>
                <a:r>
                  <a:rPr lang="en-US"/>
                  <a:t>T, °F</a:t>
                </a:r>
              </a:p>
            </c:rich>
          </c:tx>
          <c:layout>
            <c:manualLayout>
              <c:xMode val="edge"/>
              <c:yMode val="edge"/>
              <c:x val="0.43329286964129482"/>
              <c:y val="0.92960629921259841"/>
            </c:manualLayout>
          </c:layout>
          <c:overlay val="0"/>
        </c:title>
        <c:numFmt formatCode="0" sourceLinked="0"/>
        <c:majorTickMark val="out"/>
        <c:minorTickMark val="none"/>
        <c:tickLblPos val="nextTo"/>
        <c:crossAx val="182560640"/>
        <c:crosses val="autoZero"/>
        <c:crossBetween val="midCat"/>
      </c:valAx>
      <c:valAx>
        <c:axId val="182560640"/>
        <c:scaling>
          <c:orientation val="minMax"/>
          <c:max val="30000"/>
          <c:min val="10000"/>
        </c:scaling>
        <c:delete val="0"/>
        <c:axPos val="l"/>
        <c:majorGridlines/>
        <c:title>
          <c:tx>
            <c:rich>
              <a:bodyPr rot="-5400000" vert="horz"/>
              <a:lstStyle/>
              <a:p>
                <a:pPr>
                  <a:defRPr/>
                </a:pPr>
                <a:r>
                  <a:rPr lang="en-US"/>
                  <a:t>H</a:t>
                </a:r>
                <a:r>
                  <a:rPr lang="en-US" baseline="-25000"/>
                  <a:t>T</a:t>
                </a:r>
                <a:r>
                  <a:rPr lang="en-US"/>
                  <a:t>-H</a:t>
                </a:r>
                <a:r>
                  <a:rPr lang="en-US" baseline="-25000"/>
                  <a:t>77.</a:t>
                </a:r>
                <a:r>
                  <a:rPr lang="en-US"/>
                  <a:t> Btu/lb-mol</a:t>
                </a:r>
              </a:p>
            </c:rich>
          </c:tx>
          <c:layout/>
          <c:overlay val="0"/>
        </c:title>
        <c:numFmt formatCode="0" sourceLinked="1"/>
        <c:majorTickMark val="out"/>
        <c:minorTickMark val="none"/>
        <c:tickLblPos val="nextTo"/>
        <c:crossAx val="182558720"/>
        <c:crosses val="autoZero"/>
        <c:crossBetween val="midCat"/>
      </c:valAx>
      <c:spPr>
        <a:solidFill>
          <a:srgbClr val="FFEAA7"/>
        </a:solidFill>
      </c:spPr>
    </c:plotArea>
    <c:legend>
      <c:legendPos val="t"/>
      <c:layout>
        <c:manualLayout>
          <c:xMode val="edge"/>
          <c:yMode val="edge"/>
          <c:x val="0.4323676727909011"/>
          <c:y val="0.66245370370370371"/>
          <c:w val="0.41824270587093765"/>
          <c:h val="0.12636883931175269"/>
        </c:manualLayout>
      </c:layout>
      <c:overlay val="1"/>
      <c:spPr>
        <a:solidFill>
          <a:schemeClr val="bg1">
            <a:lumMod val="85000"/>
          </a:schemeClr>
        </a:solidFill>
        <a:ln>
          <a:solidFill>
            <a:schemeClr val="tx1"/>
          </a:solidFill>
        </a:ln>
      </c:spPr>
      <c:txPr>
        <a:bodyPr/>
        <a:lstStyle/>
        <a:p>
          <a:pPr>
            <a:defRPr sz="1100"/>
          </a:pPr>
          <a:endParaRPr lang="en-US"/>
        </a:p>
      </c:txPr>
    </c:legend>
    <c:plotVisOnly val="1"/>
    <c:dispBlanksAs val="gap"/>
    <c:showDLblsOverMax val="0"/>
  </c:chart>
  <c:spPr>
    <a:solidFill>
      <a:srgbClr val="CCDAEC"/>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400" b="0"/>
            </a:pPr>
            <a:r>
              <a:rPr lang="en-US" sz="1400" b="0"/>
              <a:t>Heat Content of Air to 600 °C</a:t>
            </a:r>
          </a:p>
        </c:rich>
      </c:tx>
      <c:overlay val="0"/>
    </c:title>
    <c:autoTitleDeleted val="0"/>
    <c:plotArea>
      <c:layout>
        <c:manualLayout>
          <c:layoutTarget val="inner"/>
          <c:xMode val="edge"/>
          <c:yMode val="edge"/>
          <c:x val="0.12753085581016602"/>
          <c:y val="8.9279013739856278E-2"/>
          <c:w val="0.83792973536145443"/>
          <c:h val="0.79671363154944363"/>
        </c:manualLayout>
      </c:layout>
      <c:scatterChart>
        <c:scatterStyle val="lineMarker"/>
        <c:varyColors val="0"/>
        <c:ser>
          <c:idx val="0"/>
          <c:order val="0"/>
          <c:spPr>
            <a:ln w="28575">
              <a:noFill/>
            </a:ln>
          </c:spPr>
          <c:marker>
            <c:spPr>
              <a:solidFill>
                <a:schemeClr val="accent2">
                  <a:lumMod val="60000"/>
                  <a:lumOff val="40000"/>
                </a:schemeClr>
              </a:solidFill>
              <a:ln>
                <a:solidFill>
                  <a:schemeClr val="tx1"/>
                </a:solidFill>
              </a:ln>
            </c:spPr>
          </c:marker>
          <c:trendline>
            <c:trendlineType val="poly"/>
            <c:order val="2"/>
            <c:dispRSqr val="1"/>
            <c:dispEq val="1"/>
            <c:trendlineLbl>
              <c:layout>
                <c:manualLayout>
                  <c:x val="-0.16325910637359065"/>
                  <c:y val="6.5375764202992195E-2"/>
                </c:manualLayout>
              </c:layout>
              <c:tx>
                <c:rich>
                  <a:bodyPr/>
                  <a:lstStyle/>
                  <a:p>
                    <a:pPr>
                      <a:defRPr sz="1200"/>
                    </a:pPr>
                    <a:r>
                      <a:rPr lang="en-US" sz="1200" baseline="0"/>
                      <a:t>H = 2.945E-03T</a:t>
                    </a:r>
                    <a:r>
                      <a:rPr lang="en-US" sz="1200" baseline="30000"/>
                      <a:t>2</a:t>
                    </a:r>
                    <a:r>
                      <a:rPr lang="en-US" sz="1200" baseline="0"/>
                      <a:t> + 28.67T - 713
R² = 1.000E+00</a:t>
                    </a:r>
                    <a:endParaRPr lang="en-US" sz="1200"/>
                  </a:p>
                </c:rich>
              </c:tx>
              <c:numFmt formatCode="0.000E+00" sourceLinked="0"/>
              <c:spPr>
                <a:solidFill>
                  <a:schemeClr val="accent2">
                    <a:lumMod val="60000"/>
                    <a:lumOff val="40000"/>
                  </a:schemeClr>
                </a:solidFill>
                <a:ln>
                  <a:solidFill>
                    <a:schemeClr val="tx1"/>
                  </a:solidFill>
                </a:ln>
              </c:spPr>
            </c:trendlineLbl>
          </c:trendline>
          <c:xVal>
            <c:numRef>
              <c:f>ReaxWeb!$Y$44:$Y$49</c:f>
              <c:numCache>
                <c:formatCode>General</c:formatCode>
                <c:ptCount val="6"/>
                <c:pt idx="0">
                  <c:v>26.850000000000023</c:v>
                </c:pt>
                <c:pt idx="1">
                  <c:v>126.85000000000002</c:v>
                </c:pt>
                <c:pt idx="2">
                  <c:v>226.85000000000002</c:v>
                </c:pt>
                <c:pt idx="3">
                  <c:v>326.85000000000002</c:v>
                </c:pt>
                <c:pt idx="4">
                  <c:v>426.85</c:v>
                </c:pt>
                <c:pt idx="5">
                  <c:v>526.85</c:v>
                </c:pt>
              </c:numCache>
            </c:numRef>
          </c:xVal>
          <c:yVal>
            <c:numRef>
              <c:f>ReaxWeb!$W$44:$W$49</c:f>
              <c:numCache>
                <c:formatCode>#,##0</c:formatCode>
                <c:ptCount val="6"/>
                <c:pt idx="0" formatCode="0">
                  <c:v>54.005000000000003</c:v>
                </c:pt>
                <c:pt idx="1">
                  <c:v>2980.576</c:v>
                </c:pt>
                <c:pt idx="2">
                  <c:v>5945.4760000000006</c:v>
                </c:pt>
                <c:pt idx="3">
                  <c:v>8968.5640000000003</c:v>
                </c:pt>
                <c:pt idx="4">
                  <c:v>12057.802000000001</c:v>
                </c:pt>
                <c:pt idx="5">
                  <c:v>15214.793</c:v>
                </c:pt>
              </c:numCache>
            </c:numRef>
          </c:yVal>
          <c:smooth val="0"/>
        </c:ser>
        <c:dLbls>
          <c:showLegendKey val="0"/>
          <c:showVal val="0"/>
          <c:showCatName val="0"/>
          <c:showSerName val="0"/>
          <c:showPercent val="0"/>
          <c:showBubbleSize val="0"/>
        </c:dLbls>
        <c:axId val="182795264"/>
        <c:axId val="182801536"/>
      </c:scatterChart>
      <c:valAx>
        <c:axId val="182795264"/>
        <c:scaling>
          <c:orientation val="minMax"/>
          <c:max val="600"/>
          <c:min val="0"/>
        </c:scaling>
        <c:delete val="0"/>
        <c:axPos val="b"/>
        <c:minorGridlines>
          <c:spPr>
            <a:ln w="6350">
              <a:solidFill>
                <a:schemeClr val="tx1"/>
              </a:solidFill>
              <a:prstDash val="dash"/>
            </a:ln>
          </c:spPr>
        </c:minorGridlines>
        <c:title>
          <c:tx>
            <c:rich>
              <a:bodyPr/>
              <a:lstStyle/>
              <a:p>
                <a:pPr>
                  <a:defRPr sz="1200"/>
                </a:pPr>
                <a:r>
                  <a:rPr lang="en-US" sz="1200"/>
                  <a:t>T, °C</a:t>
                </a:r>
              </a:p>
            </c:rich>
          </c:tx>
          <c:layout>
            <c:manualLayout>
              <c:xMode val="edge"/>
              <c:yMode val="edge"/>
              <c:x val="0.48255213739939407"/>
              <c:y val="0.94132562470382053"/>
            </c:manualLayout>
          </c:layout>
          <c:overlay val="0"/>
        </c:title>
        <c:numFmt formatCode="General" sourceLinked="1"/>
        <c:majorTickMark val="out"/>
        <c:minorTickMark val="none"/>
        <c:tickLblPos val="nextTo"/>
        <c:crossAx val="182801536"/>
        <c:crosses val="autoZero"/>
        <c:crossBetween val="midCat"/>
        <c:majorUnit val="50"/>
        <c:minorUnit val="10"/>
      </c:valAx>
      <c:valAx>
        <c:axId val="182801536"/>
        <c:scaling>
          <c:orientation val="minMax"/>
        </c:scaling>
        <c:delete val="0"/>
        <c:axPos val="l"/>
        <c:minorGridlines>
          <c:spPr>
            <a:ln w="6350">
              <a:solidFill>
                <a:schemeClr val="tx1"/>
              </a:solidFill>
              <a:prstDash val="dash"/>
            </a:ln>
          </c:spPr>
        </c:minorGridlines>
        <c:title>
          <c:tx>
            <c:rich>
              <a:bodyPr rot="-5400000" vert="horz"/>
              <a:lstStyle/>
              <a:p>
                <a:pPr>
                  <a:defRPr sz="1200"/>
                </a:pPr>
                <a:r>
                  <a:rPr lang="en-US" sz="1200"/>
                  <a:t>heat content, kJ/kg-mol</a:t>
                </a:r>
              </a:p>
            </c:rich>
          </c:tx>
          <c:layout>
            <c:manualLayout>
              <c:xMode val="edge"/>
              <c:yMode val="edge"/>
              <c:x val="1.4935832172137863E-2"/>
              <c:y val="0.26255364156836319"/>
            </c:manualLayout>
          </c:layout>
          <c:overlay val="0"/>
        </c:title>
        <c:numFmt formatCode="#,##0" sourceLinked="0"/>
        <c:majorTickMark val="out"/>
        <c:minorTickMark val="none"/>
        <c:tickLblPos val="nextTo"/>
        <c:crossAx val="182795264"/>
        <c:crosses val="autoZero"/>
        <c:crossBetween val="midCat"/>
        <c:minorUnit val="500"/>
      </c:valAx>
      <c:spPr>
        <a:solidFill>
          <a:srgbClr val="FFEAA7"/>
        </a:solidFill>
      </c:spPr>
    </c:plotArea>
    <c:plotVisOnly val="1"/>
    <c:dispBlanksAs val="gap"/>
    <c:showDLblsOverMax val="0"/>
  </c:chart>
  <c:spPr>
    <a:solidFill>
      <a:srgbClr val="CCDAEC"/>
    </a:solidFill>
  </c:sp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400" b="0"/>
            </a:pPr>
            <a:r>
              <a:rPr lang="en-US" sz="1400" b="0"/>
              <a:t>Heat Content of CO</a:t>
            </a:r>
            <a:r>
              <a:rPr lang="en-US" sz="1400" b="0" baseline="-25000"/>
              <a:t>2</a:t>
            </a:r>
          </a:p>
        </c:rich>
      </c:tx>
      <c:layout>
        <c:manualLayout>
          <c:xMode val="edge"/>
          <c:yMode val="edge"/>
          <c:x val="0.33505031974089933"/>
          <c:y val="2.4285714741014524E-2"/>
        </c:manualLayout>
      </c:layout>
      <c:overlay val="0"/>
    </c:title>
    <c:autoTitleDeleted val="0"/>
    <c:plotArea>
      <c:layout>
        <c:manualLayout>
          <c:layoutTarget val="inner"/>
          <c:xMode val="edge"/>
          <c:yMode val="edge"/>
          <c:x val="0.16375961796489852"/>
          <c:y val="0.13388536059027673"/>
          <c:w val="0.77960050530707448"/>
          <c:h val="0.73576090618224421"/>
        </c:manualLayout>
      </c:layout>
      <c:scatterChart>
        <c:scatterStyle val="lineMarker"/>
        <c:varyColors val="0"/>
        <c:ser>
          <c:idx val="0"/>
          <c:order val="0"/>
          <c:spPr>
            <a:ln w="28575">
              <a:noFill/>
            </a:ln>
          </c:spPr>
          <c:marker>
            <c:symbol val="diamond"/>
            <c:size val="5"/>
            <c:spPr>
              <a:noFill/>
            </c:spPr>
          </c:marker>
          <c:trendline>
            <c:trendlineType val="poly"/>
            <c:order val="3"/>
            <c:dispRSqr val="1"/>
            <c:dispEq val="1"/>
            <c:trendlineLbl>
              <c:layout>
                <c:manualLayout>
                  <c:x val="0.11376075718425481"/>
                  <c:y val="0.52182893741711545"/>
                </c:manualLayout>
              </c:layout>
              <c:numFmt formatCode="0.000E+00" sourceLinked="0"/>
              <c:spPr>
                <a:solidFill>
                  <a:schemeClr val="bg1">
                    <a:lumMod val="75000"/>
                  </a:schemeClr>
                </a:solidFill>
              </c:spPr>
            </c:trendlineLbl>
          </c:trendline>
          <c:xVal>
            <c:numRef>
              <c:f>ReaxWeb!$AK$10:$AK$28</c:f>
              <c:numCache>
                <c:formatCode>0.0</c:formatCode>
                <c:ptCount val="19"/>
                <c:pt idx="0">
                  <c:v>25</c:v>
                </c:pt>
                <c:pt idx="1">
                  <c:v>26.850000000000023</c:v>
                </c:pt>
                <c:pt idx="2">
                  <c:v>126.85000000000002</c:v>
                </c:pt>
                <c:pt idx="3">
                  <c:v>226.85000000000002</c:v>
                </c:pt>
                <c:pt idx="4">
                  <c:v>326.85000000000002</c:v>
                </c:pt>
                <c:pt idx="5">
                  <c:v>426.85</c:v>
                </c:pt>
                <c:pt idx="6">
                  <c:v>526.85</c:v>
                </c:pt>
                <c:pt idx="7">
                  <c:v>626.85</c:v>
                </c:pt>
                <c:pt idx="8">
                  <c:v>726.85</c:v>
                </c:pt>
                <c:pt idx="9">
                  <c:v>826.85</c:v>
                </c:pt>
                <c:pt idx="10">
                  <c:v>926.85</c:v>
                </c:pt>
                <c:pt idx="11">
                  <c:v>1026.8499999999999</c:v>
                </c:pt>
                <c:pt idx="12">
                  <c:v>1126.8499999999999</c:v>
                </c:pt>
                <c:pt idx="13">
                  <c:v>1226.8499999999999</c:v>
                </c:pt>
                <c:pt idx="14">
                  <c:v>1326.85</c:v>
                </c:pt>
                <c:pt idx="15">
                  <c:v>1426.85</c:v>
                </c:pt>
                <c:pt idx="16">
                  <c:v>1526.85</c:v>
                </c:pt>
                <c:pt idx="17">
                  <c:v>1626.85</c:v>
                </c:pt>
                <c:pt idx="18">
                  <c:v>1726.85</c:v>
                </c:pt>
              </c:numCache>
            </c:numRef>
          </c:xVal>
          <c:yVal>
            <c:numRef>
              <c:f>ReaxWeb!$AJ$10:$AJ$28</c:f>
              <c:numCache>
                <c:formatCode>#,##0</c:formatCode>
                <c:ptCount val="19"/>
                <c:pt idx="0">
                  <c:v>0</c:v>
                </c:pt>
                <c:pt idx="1">
                  <c:v>68.799999999988358</c:v>
                </c:pt>
                <c:pt idx="2">
                  <c:v>4000.5</c:v>
                </c:pt>
                <c:pt idx="3">
                  <c:v>8302.7999999999884</c:v>
                </c:pt>
                <c:pt idx="4">
                  <c:v>12906.900000000023</c:v>
                </c:pt>
                <c:pt idx="5">
                  <c:v>17757.5</c:v>
                </c:pt>
                <c:pt idx="6">
                  <c:v>22811.200000000012</c:v>
                </c:pt>
                <c:pt idx="7">
                  <c:v>28033.900000000023</c:v>
                </c:pt>
                <c:pt idx="8">
                  <c:v>33398.700000000012</c:v>
                </c:pt>
                <c:pt idx="9">
                  <c:v>38883.5</c:v>
                </c:pt>
                <c:pt idx="10">
                  <c:v>44470.400000000023</c:v>
                </c:pt>
                <c:pt idx="11">
                  <c:v>50144.400000000023</c:v>
                </c:pt>
                <c:pt idx="12">
                  <c:v>55892.900000000023</c:v>
                </c:pt>
                <c:pt idx="13">
                  <c:v>61705.099999999977</c:v>
                </c:pt>
                <c:pt idx="14">
                  <c:v>67571.799999999988</c:v>
                </c:pt>
                <c:pt idx="15">
                  <c:v>73484.900000000023</c:v>
                </c:pt>
                <c:pt idx="16">
                  <c:v>79437.5</c:v>
                </c:pt>
                <c:pt idx="17">
                  <c:v>85423.299999999988</c:v>
                </c:pt>
                <c:pt idx="18">
                  <c:v>91439.700000000012</c:v>
                </c:pt>
              </c:numCache>
            </c:numRef>
          </c:yVal>
          <c:smooth val="0"/>
        </c:ser>
        <c:dLbls>
          <c:showLegendKey val="0"/>
          <c:showVal val="0"/>
          <c:showCatName val="0"/>
          <c:showSerName val="0"/>
          <c:showPercent val="0"/>
          <c:showBubbleSize val="0"/>
        </c:dLbls>
        <c:axId val="182835072"/>
        <c:axId val="182841344"/>
      </c:scatterChart>
      <c:valAx>
        <c:axId val="182835072"/>
        <c:scaling>
          <c:orientation val="minMax"/>
          <c:max val="1800"/>
          <c:min val="0"/>
        </c:scaling>
        <c:delete val="0"/>
        <c:axPos val="b"/>
        <c:majorGridlines/>
        <c:title>
          <c:tx>
            <c:rich>
              <a:bodyPr/>
              <a:lstStyle/>
              <a:p>
                <a:pPr>
                  <a:defRPr/>
                </a:pPr>
                <a:r>
                  <a:rPr lang="en-US"/>
                  <a:t>T, °C</a:t>
                </a:r>
              </a:p>
            </c:rich>
          </c:tx>
          <c:layout>
            <c:manualLayout>
              <c:xMode val="edge"/>
              <c:yMode val="edge"/>
              <c:x val="0.59842433305035692"/>
              <c:y val="0.93845579187206207"/>
            </c:manualLayout>
          </c:layout>
          <c:overlay val="0"/>
        </c:title>
        <c:numFmt formatCode="0" sourceLinked="0"/>
        <c:majorTickMark val="out"/>
        <c:minorTickMark val="none"/>
        <c:tickLblPos val="nextTo"/>
        <c:crossAx val="182841344"/>
        <c:crosses val="autoZero"/>
        <c:crossBetween val="midCat"/>
        <c:majorUnit val="300"/>
      </c:valAx>
      <c:valAx>
        <c:axId val="182841344"/>
        <c:scaling>
          <c:orientation val="minMax"/>
          <c:max val="100000"/>
          <c:min val="0"/>
        </c:scaling>
        <c:delete val="0"/>
        <c:axPos val="l"/>
        <c:majorGridlines/>
        <c:title>
          <c:tx>
            <c:rich>
              <a:bodyPr rot="-5400000" vert="horz"/>
              <a:lstStyle/>
              <a:p>
                <a:pPr>
                  <a:defRPr sz="1100"/>
                </a:pPr>
                <a:r>
                  <a:rPr lang="en-US" sz="1100"/>
                  <a:t>H</a:t>
                </a:r>
                <a:r>
                  <a:rPr lang="en-US" sz="1100" baseline="-25000"/>
                  <a:t>T</a:t>
                </a:r>
                <a:r>
                  <a:rPr lang="en-US" sz="1100"/>
                  <a:t>-H</a:t>
                </a:r>
                <a:r>
                  <a:rPr lang="en-US" sz="1100" baseline="-25000"/>
                  <a:t>25</a:t>
                </a:r>
                <a:r>
                  <a:rPr lang="en-US" sz="1100"/>
                  <a:t>, J/g-mol</a:t>
                </a:r>
              </a:p>
            </c:rich>
          </c:tx>
          <c:layout>
            <c:manualLayout>
              <c:xMode val="edge"/>
              <c:yMode val="edge"/>
              <c:x val="0"/>
              <c:y val="0.35776140528236605"/>
            </c:manualLayout>
          </c:layout>
          <c:overlay val="0"/>
        </c:title>
        <c:numFmt formatCode="#,##0" sourceLinked="1"/>
        <c:majorTickMark val="out"/>
        <c:minorTickMark val="none"/>
        <c:tickLblPos val="nextTo"/>
        <c:crossAx val="182835072"/>
        <c:crosses val="autoZero"/>
        <c:crossBetween val="midCat"/>
      </c:valAx>
      <c:spPr>
        <a:solidFill>
          <a:srgbClr val="FFEEB9"/>
        </a:solidFill>
      </c:spPr>
    </c:plotArea>
    <c:plotVisOnly val="1"/>
    <c:dispBlanksAs val="gap"/>
    <c:showDLblsOverMax val="0"/>
  </c:chart>
  <c:spPr>
    <a:solidFill>
      <a:schemeClr val="tx2">
        <a:lumMod val="20000"/>
        <a:lumOff val="80000"/>
      </a:scheme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4.jpeg"/><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8</xdr:col>
      <xdr:colOff>246796</xdr:colOff>
      <xdr:row>8</xdr:row>
      <xdr:rowOff>77390</xdr:rowOff>
    </xdr:from>
    <xdr:to>
      <xdr:col>8</xdr:col>
      <xdr:colOff>538911</xdr:colOff>
      <xdr:row>9</xdr:row>
      <xdr:rowOff>153591</xdr:rowOff>
    </xdr:to>
    <xdr:sp macro="" textlink="">
      <xdr:nvSpPr>
        <xdr:cNvPr id="2" name="Lightning Bolt 1"/>
        <xdr:cNvSpPr/>
      </xdr:nvSpPr>
      <xdr:spPr>
        <a:xfrm flipV="1">
          <a:off x="5199796" y="1382315"/>
          <a:ext cx="292115" cy="266701"/>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417997</xdr:colOff>
      <xdr:row>9</xdr:row>
      <xdr:rowOff>94328</xdr:rowOff>
    </xdr:from>
    <xdr:to>
      <xdr:col>10</xdr:col>
      <xdr:colOff>17946</xdr:colOff>
      <xdr:row>13</xdr:row>
      <xdr:rowOff>94327</xdr:rowOff>
    </xdr:to>
    <xdr:sp macro="" textlink="">
      <xdr:nvSpPr>
        <xdr:cNvPr id="3" name="Rectangle 2"/>
        <xdr:cNvSpPr/>
      </xdr:nvSpPr>
      <xdr:spPr>
        <a:xfrm>
          <a:off x="4075597" y="1589753"/>
          <a:ext cx="2114549" cy="647699"/>
        </a:xfrm>
        <a:prstGeom prst="rect">
          <a:avLst/>
        </a:prstGeom>
        <a:ln w="9525">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5</xdr:col>
      <xdr:colOff>104199</xdr:colOff>
      <xdr:row>7</xdr:row>
      <xdr:rowOff>121312</xdr:rowOff>
    </xdr:from>
    <xdr:to>
      <xdr:col>5</xdr:col>
      <xdr:colOff>384658</xdr:colOff>
      <xdr:row>9</xdr:row>
      <xdr:rowOff>35836</xdr:rowOff>
    </xdr:to>
    <xdr:sp macro="" textlink="">
      <xdr:nvSpPr>
        <xdr:cNvPr id="4" name="Lightning Bolt 3"/>
        <xdr:cNvSpPr/>
      </xdr:nvSpPr>
      <xdr:spPr>
        <a:xfrm rot="17789799" flipV="1">
          <a:off x="3154192" y="1252794"/>
          <a:ext cx="276474" cy="280459"/>
        </a:xfrm>
        <a:prstGeom prst="lightningBolt">
          <a:avLst/>
        </a:prstGeom>
        <a:solidFill>
          <a:srgbClr val="FF0000"/>
        </a:solidFill>
        <a:ln w="952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484671</xdr:colOff>
      <xdr:row>10</xdr:row>
      <xdr:rowOff>37423</xdr:rowOff>
    </xdr:from>
    <xdr:to>
      <xdr:col>6</xdr:col>
      <xdr:colOff>446572</xdr:colOff>
      <xdr:row>10</xdr:row>
      <xdr:rowOff>37423</xdr:rowOff>
    </xdr:to>
    <xdr:sp macro="" textlink="">
      <xdr:nvSpPr>
        <xdr:cNvPr id="5" name="Line 1319"/>
        <xdr:cNvSpPr>
          <a:spLocks noChangeShapeType="1"/>
        </xdr:cNvSpPr>
      </xdr:nvSpPr>
      <xdr:spPr bwMode="auto">
        <a:xfrm>
          <a:off x="3532671" y="1694773"/>
          <a:ext cx="571501"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6</xdr:col>
      <xdr:colOff>147064</xdr:colOff>
      <xdr:row>13</xdr:row>
      <xdr:rowOff>7541</xdr:rowOff>
    </xdr:from>
    <xdr:to>
      <xdr:col>6</xdr:col>
      <xdr:colOff>437047</xdr:colOff>
      <xdr:row>13</xdr:row>
      <xdr:rowOff>7541</xdr:rowOff>
    </xdr:to>
    <xdr:sp macro="" textlink="">
      <xdr:nvSpPr>
        <xdr:cNvPr id="6" name="Line 1320"/>
        <xdr:cNvSpPr>
          <a:spLocks noChangeShapeType="1"/>
        </xdr:cNvSpPr>
      </xdr:nvSpPr>
      <xdr:spPr bwMode="auto">
        <a:xfrm rot="5400000">
          <a:off x="3949656" y="2005674"/>
          <a:ext cx="0" cy="289983"/>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5</xdr:col>
      <xdr:colOff>476932</xdr:colOff>
      <xdr:row>7</xdr:row>
      <xdr:rowOff>57812</xdr:rowOff>
    </xdr:from>
    <xdr:to>
      <xdr:col>8</xdr:col>
      <xdr:colOff>4784</xdr:colOff>
      <xdr:row>8</xdr:row>
      <xdr:rowOff>182734</xdr:rowOff>
    </xdr:to>
    <xdr:sp macro="" textlink="">
      <xdr:nvSpPr>
        <xdr:cNvPr id="7" name="Text Box 1324"/>
        <xdr:cNvSpPr txBox="1">
          <a:spLocks noChangeArrowheads="1"/>
        </xdr:cNvSpPr>
      </xdr:nvSpPr>
      <xdr:spPr bwMode="auto">
        <a:xfrm>
          <a:off x="3524932" y="1191287"/>
          <a:ext cx="1432852" cy="29637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pitchFamily="34" charset="0"/>
              <a:cs typeface="Arial" pitchFamily="34" charset="0"/>
            </a:rPr>
            <a:t>Hot combustion gas</a:t>
          </a:r>
        </a:p>
        <a:p>
          <a:pPr algn="ctr" rtl="0">
            <a:lnSpc>
              <a:spcPts val="1100"/>
            </a:lnSpc>
            <a:defRPr sz="1000"/>
          </a:pPr>
          <a:r>
            <a:rPr lang="en-US" sz="1000" b="1" i="0" u="none" strike="noStrike" baseline="0">
              <a:solidFill>
                <a:srgbClr val="000000"/>
              </a:solidFill>
              <a:latin typeface="Arial" pitchFamily="34" charset="0"/>
              <a:cs typeface="Arial" pitchFamily="34" charset="0"/>
            </a:rPr>
            <a:t>(16.07 kg-mol, 1800</a:t>
          </a:r>
          <a:r>
            <a:rPr lang="en-US" sz="1000" b="1" i="0" baseline="30000">
              <a:effectLst/>
              <a:latin typeface="Arial" pitchFamily="34" charset="0"/>
              <a:ea typeface="+mn-ea"/>
              <a:cs typeface="Arial" pitchFamily="34" charset="0"/>
            </a:rPr>
            <a:t>o</a:t>
          </a:r>
          <a:r>
            <a:rPr lang="en-US" sz="1000" b="1" i="0" u="none" strike="noStrike" baseline="0">
              <a:solidFill>
                <a:srgbClr val="000000"/>
              </a:solidFill>
              <a:latin typeface="Arial" pitchFamily="34" charset="0"/>
              <a:cs typeface="Arial" pitchFamily="34" charset="0"/>
            </a:rPr>
            <a:t>C)</a:t>
          </a:r>
          <a:endParaRPr lang="en-US">
            <a:latin typeface="Arial" pitchFamily="34" charset="0"/>
            <a:cs typeface="Arial" pitchFamily="34" charset="0"/>
          </a:endParaRPr>
        </a:p>
      </xdr:txBody>
    </xdr:sp>
    <xdr:clientData/>
  </xdr:twoCellAnchor>
  <xdr:twoCellAnchor editAs="absolute">
    <xdr:from>
      <xdr:col>9</xdr:col>
      <xdr:colOff>549892</xdr:colOff>
      <xdr:row>6</xdr:row>
      <xdr:rowOff>135815</xdr:rowOff>
    </xdr:from>
    <xdr:to>
      <xdr:col>12</xdr:col>
      <xdr:colOff>89787</xdr:colOff>
      <xdr:row>8</xdr:row>
      <xdr:rowOff>138544</xdr:rowOff>
    </xdr:to>
    <xdr:sp macro="" textlink="">
      <xdr:nvSpPr>
        <xdr:cNvPr id="8" name="Text Box 1325"/>
        <xdr:cNvSpPr txBox="1">
          <a:spLocks noChangeArrowheads="1"/>
        </xdr:cNvSpPr>
      </xdr:nvSpPr>
      <xdr:spPr bwMode="auto">
        <a:xfrm>
          <a:off x="6112492" y="1107365"/>
          <a:ext cx="1368695" cy="336104"/>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Stack gas</a:t>
          </a:r>
        </a:p>
        <a:p>
          <a:pPr algn="ctr" rtl="0">
            <a:defRPr sz="1000"/>
          </a:pPr>
          <a:r>
            <a:rPr lang="en-US" sz="1000" b="1" i="0" u="none" strike="noStrike" baseline="0">
              <a:solidFill>
                <a:srgbClr val="000000"/>
              </a:solidFill>
              <a:latin typeface="Arial"/>
              <a:cs typeface="Arial"/>
            </a:rPr>
            <a:t>(16.39 kg-mol, 800</a:t>
          </a:r>
          <a:r>
            <a:rPr lang="en-US" sz="1000" b="1" i="0" baseline="30000">
              <a:effectLst/>
              <a:latin typeface="Arial" pitchFamily="34" charset="0"/>
              <a:ea typeface="+mn-ea"/>
              <a:cs typeface="Arial" pitchFamily="34" charset="0"/>
            </a:rPr>
            <a:t>o</a:t>
          </a:r>
          <a:r>
            <a:rPr lang="en-US" sz="1000" b="1" i="0" u="none" strike="noStrike" baseline="0">
              <a:solidFill>
                <a:srgbClr val="000000"/>
              </a:solidFill>
              <a:latin typeface="Arial"/>
              <a:cs typeface="Arial"/>
            </a:rPr>
            <a:t>C)</a:t>
          </a:r>
          <a:endParaRPr lang="en-US"/>
        </a:p>
      </xdr:txBody>
    </xdr:sp>
    <xdr:clientData/>
  </xdr:twoCellAnchor>
  <xdr:twoCellAnchor editAs="absolute">
    <xdr:from>
      <xdr:col>4</xdr:col>
      <xdr:colOff>182849</xdr:colOff>
      <xdr:row>12</xdr:row>
      <xdr:rowOff>40069</xdr:rowOff>
    </xdr:from>
    <xdr:to>
      <xdr:col>6</xdr:col>
      <xdr:colOff>177956</xdr:colOff>
      <xdr:row>14</xdr:row>
      <xdr:rowOff>11782</xdr:rowOff>
    </xdr:to>
    <xdr:sp macro="" textlink="">
      <xdr:nvSpPr>
        <xdr:cNvPr id="9" name="Text Box 1326"/>
        <xdr:cNvSpPr txBox="1">
          <a:spLocks noChangeArrowheads="1"/>
        </xdr:cNvSpPr>
      </xdr:nvSpPr>
      <xdr:spPr bwMode="auto">
        <a:xfrm>
          <a:off x="2621249" y="2021269"/>
          <a:ext cx="1214307" cy="295563"/>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lnSpc>
              <a:spcPts val="1000"/>
            </a:lnSpc>
            <a:defRPr sz="1000"/>
          </a:pPr>
          <a:r>
            <a:rPr lang="en-US" sz="1000" b="1" i="0" u="none" strike="noStrike" baseline="0">
              <a:solidFill>
                <a:srgbClr val="000000"/>
              </a:solidFill>
              <a:latin typeface="Arial"/>
              <a:cs typeface="Arial"/>
            </a:rPr>
            <a:t>Heated aluminum</a:t>
          </a:r>
        </a:p>
        <a:p>
          <a:pPr algn="ctr" rtl="0">
            <a:lnSpc>
              <a:spcPts val="1100"/>
            </a:lnSpc>
            <a:defRPr sz="1000"/>
          </a:pPr>
          <a:r>
            <a:rPr lang="en-US" sz="1000" b="1" i="0" u="none" strike="noStrike" baseline="0">
              <a:solidFill>
                <a:srgbClr val="000000"/>
              </a:solidFill>
              <a:latin typeface="Arial"/>
              <a:cs typeface="Arial"/>
            </a:rPr>
            <a:t>(800 kg/min, 550</a:t>
          </a:r>
          <a:r>
            <a:rPr lang="en-US" sz="1000" b="1" i="0" baseline="30000">
              <a:effectLst/>
              <a:latin typeface="Arial" pitchFamily="34" charset="0"/>
              <a:ea typeface="+mn-ea"/>
              <a:cs typeface="Arial" pitchFamily="34" charset="0"/>
            </a:rPr>
            <a:t>o</a:t>
          </a:r>
          <a:r>
            <a:rPr kumimoji="0" lang="en-US" sz="1000" b="1" i="0" u="none" strike="noStrike" kern="0" cap="none" spc="0" normalizeH="0" baseline="0" noProof="0">
              <a:ln>
                <a:noFill/>
              </a:ln>
              <a:solidFill>
                <a:srgbClr val="000000"/>
              </a:solidFill>
              <a:effectLst/>
              <a:uLnTx/>
              <a:uFillTx/>
              <a:latin typeface="Arial"/>
              <a:ea typeface="+mn-ea"/>
              <a:cs typeface="Arial"/>
            </a:rPr>
            <a:t>C</a:t>
          </a:r>
          <a:r>
            <a:rPr lang="en-US" sz="1000" b="1" i="0" u="none" strike="noStrike" baseline="0">
              <a:solidFill>
                <a:srgbClr val="000000"/>
              </a:solidFill>
              <a:latin typeface="Arial"/>
              <a:cs typeface="Arial"/>
            </a:rPr>
            <a:t>)</a:t>
          </a:r>
          <a:endParaRPr lang="en-US"/>
        </a:p>
      </xdr:txBody>
    </xdr:sp>
    <xdr:clientData/>
  </xdr:twoCellAnchor>
  <xdr:twoCellAnchor editAs="absolute">
    <xdr:from>
      <xdr:col>10</xdr:col>
      <xdr:colOff>417992</xdr:colOff>
      <xdr:row>11</xdr:row>
      <xdr:rowOff>142200</xdr:rowOff>
    </xdr:from>
    <xdr:to>
      <xdr:col>12</xdr:col>
      <xdr:colOff>341797</xdr:colOff>
      <xdr:row>13</xdr:row>
      <xdr:rowOff>145427</xdr:rowOff>
    </xdr:to>
    <xdr:sp macro="" textlink="">
      <xdr:nvSpPr>
        <xdr:cNvPr id="10" name="Text Box 1327"/>
        <xdr:cNvSpPr txBox="1">
          <a:spLocks noChangeArrowheads="1"/>
        </xdr:cNvSpPr>
      </xdr:nvSpPr>
      <xdr:spPr bwMode="auto">
        <a:xfrm>
          <a:off x="6590192" y="1961475"/>
          <a:ext cx="1143005" cy="32707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spAutoFit/>
        </a:bodyPr>
        <a:lstStyle/>
        <a:p>
          <a:pPr algn="ctr" rtl="0">
            <a:defRPr sz="1000"/>
          </a:pPr>
          <a:r>
            <a:rPr lang="en-US" sz="1000" b="1" i="0" u="none" strike="noStrike" baseline="0">
              <a:solidFill>
                <a:srgbClr val="000000"/>
              </a:solidFill>
              <a:latin typeface="Arial"/>
              <a:cs typeface="Arial"/>
            </a:rPr>
            <a:t>Aluminum ingots</a:t>
          </a:r>
        </a:p>
        <a:p>
          <a:pPr algn="ctr" rtl="0">
            <a:defRPr sz="1000"/>
          </a:pPr>
          <a:r>
            <a:rPr lang="en-US" sz="1000" b="1" i="0" u="none" strike="noStrike" baseline="0">
              <a:solidFill>
                <a:srgbClr val="000000"/>
              </a:solidFill>
              <a:latin typeface="Arial"/>
              <a:cs typeface="Arial"/>
            </a:rPr>
            <a:t>(800 kg/min, 25</a:t>
          </a:r>
          <a:r>
            <a:rPr kumimoji="0" lang="en-US" sz="1000" b="1" i="0" u="none" strike="noStrike" kern="0" cap="none" spc="0" normalizeH="0" baseline="30000" noProof="0">
              <a:ln>
                <a:noFill/>
              </a:ln>
              <a:solidFill>
                <a:sysClr val="windowText" lastClr="000000"/>
              </a:solidFill>
              <a:effectLst/>
              <a:uLnTx/>
              <a:uFillTx/>
              <a:latin typeface="Arial" pitchFamily="34" charset="0"/>
              <a:ea typeface="+mn-ea"/>
              <a:cs typeface="Arial" pitchFamily="34" charset="0"/>
            </a:rPr>
            <a:t>o</a:t>
          </a:r>
          <a:r>
            <a:rPr lang="en-US" sz="1000" b="1" i="0" u="none" strike="noStrike" baseline="0">
              <a:solidFill>
                <a:srgbClr val="000000"/>
              </a:solidFill>
              <a:latin typeface="Arial"/>
              <a:cs typeface="Arial"/>
            </a:rPr>
            <a:t>C)</a:t>
          </a:r>
          <a:endParaRPr lang="en-US"/>
        </a:p>
      </xdr:txBody>
    </xdr:sp>
    <xdr:clientData/>
  </xdr:twoCellAnchor>
  <xdr:twoCellAnchor editAs="absolute">
    <xdr:from>
      <xdr:col>10</xdr:col>
      <xdr:colOff>15298</xdr:colOff>
      <xdr:row>12</xdr:row>
      <xdr:rowOff>135848</xdr:rowOff>
    </xdr:from>
    <xdr:to>
      <xdr:col>10</xdr:col>
      <xdr:colOff>434399</xdr:colOff>
      <xdr:row>12</xdr:row>
      <xdr:rowOff>135848</xdr:rowOff>
    </xdr:to>
    <xdr:sp macro="" textlink="">
      <xdr:nvSpPr>
        <xdr:cNvPr id="11" name="Line 1330"/>
        <xdr:cNvSpPr>
          <a:spLocks noChangeShapeType="1"/>
        </xdr:cNvSpPr>
      </xdr:nvSpPr>
      <xdr:spPr bwMode="auto">
        <a:xfrm rot="5400000">
          <a:off x="6397049" y="1907497"/>
          <a:ext cx="0" cy="419101"/>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4</xdr:col>
      <xdr:colOff>370371</xdr:colOff>
      <xdr:row>8</xdr:row>
      <xdr:rowOff>6233</xdr:rowOff>
    </xdr:from>
    <xdr:to>
      <xdr:col>4</xdr:col>
      <xdr:colOff>551346</xdr:colOff>
      <xdr:row>9</xdr:row>
      <xdr:rowOff>7540</xdr:rowOff>
    </xdr:to>
    <xdr:sp macro="" textlink="">
      <xdr:nvSpPr>
        <xdr:cNvPr id="12" name="Text Box 1342"/>
        <xdr:cNvSpPr txBox="1">
          <a:spLocks noChangeArrowheads="1"/>
        </xdr:cNvSpPr>
      </xdr:nvSpPr>
      <xdr:spPr bwMode="auto">
        <a:xfrm>
          <a:off x="2808771" y="1311158"/>
          <a:ext cx="180975" cy="19180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1</a:t>
          </a:r>
        </a:p>
      </xdr:txBody>
    </xdr:sp>
    <xdr:clientData/>
  </xdr:twoCellAnchor>
  <xdr:twoCellAnchor editAs="absolute">
    <xdr:from>
      <xdr:col>5</xdr:col>
      <xdr:colOff>24331</xdr:colOff>
      <xdr:row>8</xdr:row>
      <xdr:rowOff>77389</xdr:rowOff>
    </xdr:from>
    <xdr:to>
      <xdr:col>5</xdr:col>
      <xdr:colOff>593679</xdr:colOff>
      <xdr:row>12</xdr:row>
      <xdr:rowOff>1189</xdr:rowOff>
    </xdr:to>
    <xdr:sp macro="" textlink="">
      <xdr:nvSpPr>
        <xdr:cNvPr id="13" name="AutoShape 1379"/>
        <xdr:cNvSpPr>
          <a:spLocks noChangeArrowheads="1"/>
        </xdr:cNvSpPr>
      </xdr:nvSpPr>
      <xdr:spPr bwMode="auto">
        <a:xfrm rot="-5400000">
          <a:off x="3056967" y="1397678"/>
          <a:ext cx="600075" cy="569348"/>
        </a:xfrm>
        <a:custGeom>
          <a:avLst/>
          <a:gdLst>
            <a:gd name="G0" fmla="+- 5400 0 0"/>
            <a:gd name="G1" fmla="+- 21600 0 5400"/>
            <a:gd name="G2" fmla="*/ 5400 1 2"/>
            <a:gd name="G3" fmla="+- 21600 0 G2"/>
            <a:gd name="G4" fmla="+/ 5400 21600 2"/>
            <a:gd name="G5" fmla="+/ G1 0 2"/>
            <a:gd name="G6" fmla="*/ 21600 21600 5400"/>
            <a:gd name="G7" fmla="*/ G6 1 2"/>
            <a:gd name="G8" fmla="+- 21600 0 G7"/>
            <a:gd name="G9" fmla="*/ 21600 1 2"/>
            <a:gd name="G10" fmla="+- 5400 0 G9"/>
            <a:gd name="G11" fmla="?: G10 G8 0"/>
            <a:gd name="G12" fmla="?: G10 G7 21600"/>
            <a:gd name="T0" fmla="*/ 18900 w 21600"/>
            <a:gd name="T1" fmla="*/ 10800 h 21600"/>
            <a:gd name="T2" fmla="*/ 10800 w 21600"/>
            <a:gd name="T3" fmla="*/ 21600 h 21600"/>
            <a:gd name="T4" fmla="*/ 2700 w 21600"/>
            <a:gd name="T5" fmla="*/ 10800 h 21600"/>
            <a:gd name="T6" fmla="*/ 10800 w 21600"/>
            <a:gd name="T7" fmla="*/ 0 h 21600"/>
            <a:gd name="T8" fmla="*/ 4500 w 21600"/>
            <a:gd name="T9" fmla="*/ 4500 h 21600"/>
            <a:gd name="T10" fmla="*/ 17100 w 21600"/>
            <a:gd name="T11" fmla="*/ 17100 h 21600"/>
          </a:gdLst>
          <a:ahLst/>
          <a:cxnLst>
            <a:cxn ang="0">
              <a:pos x="T0" y="T1"/>
            </a:cxn>
            <a:cxn ang="0">
              <a:pos x="T2" y="T3"/>
            </a:cxn>
            <a:cxn ang="0">
              <a:pos x="T4" y="T5"/>
            </a:cxn>
            <a:cxn ang="0">
              <a:pos x="T6" y="T7"/>
            </a:cxn>
          </a:cxnLst>
          <a:rect l="T8" t="T9" r="T10" b="T11"/>
          <a:pathLst>
            <a:path w="21600" h="21600">
              <a:moveTo>
                <a:pt x="0" y="0"/>
              </a:moveTo>
              <a:lnTo>
                <a:pt x="5400" y="21600"/>
              </a:lnTo>
              <a:lnTo>
                <a:pt x="16200" y="21600"/>
              </a:lnTo>
              <a:lnTo>
                <a:pt x="21600" y="0"/>
              </a:lnTo>
              <a:close/>
            </a:path>
          </a:pathLst>
        </a:custGeom>
        <a:solidFill>
          <a:srgbClr val="CFCFCF"/>
        </a:solidFill>
        <a:ln w="19050" algn="ctr">
          <a:solidFill>
            <a:srgbClr xmlns:mc="http://schemas.openxmlformats.org/markup-compatibility/2006" xmlns:a14="http://schemas.microsoft.com/office/drawing/2010/main" val="000000" mc:Ignorable="a14" a14:legacySpreadsheetColorIndex="8"/>
          </a:solidFill>
          <a:miter lim="800000"/>
          <a:headEnd/>
          <a:tailEnd/>
        </a:ln>
        <a:effectLst/>
      </xdr:spPr>
    </xdr:sp>
    <xdr:clientData/>
  </xdr:twoCellAnchor>
  <xdr:twoCellAnchor editAs="absolute">
    <xdr:from>
      <xdr:col>4</xdr:col>
      <xdr:colOff>242313</xdr:colOff>
      <xdr:row>8</xdr:row>
      <xdr:rowOff>188515</xdr:rowOff>
    </xdr:from>
    <xdr:to>
      <xdr:col>5</xdr:col>
      <xdr:colOff>17945</xdr:colOff>
      <xdr:row>8</xdr:row>
      <xdr:rowOff>188515</xdr:rowOff>
    </xdr:to>
    <xdr:sp macro="" textlink="">
      <xdr:nvSpPr>
        <xdr:cNvPr id="14" name="Line 1380"/>
        <xdr:cNvSpPr>
          <a:spLocks noChangeShapeType="1"/>
        </xdr:cNvSpPr>
      </xdr:nvSpPr>
      <xdr:spPr bwMode="auto">
        <a:xfrm>
          <a:off x="2680713" y="1493440"/>
          <a:ext cx="385232"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2</xdr:col>
      <xdr:colOff>288540</xdr:colOff>
      <xdr:row>8</xdr:row>
      <xdr:rowOff>33221</xdr:rowOff>
    </xdr:from>
    <xdr:to>
      <xdr:col>4</xdr:col>
      <xdr:colOff>395257</xdr:colOff>
      <xdr:row>10</xdr:row>
      <xdr:rowOff>31354</xdr:rowOff>
    </xdr:to>
    <xdr:sp macro="" textlink="">
      <xdr:nvSpPr>
        <xdr:cNvPr id="15" name="Text Box 1381"/>
        <xdr:cNvSpPr txBox="1">
          <a:spLocks noChangeArrowheads="1"/>
        </xdr:cNvSpPr>
      </xdr:nvSpPr>
      <xdr:spPr bwMode="auto">
        <a:xfrm>
          <a:off x="1507740" y="1338146"/>
          <a:ext cx="1325917" cy="35055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ctr" upright="1">
          <a:noAutofit/>
        </a:bodyPr>
        <a:lstStyle/>
        <a:p>
          <a:pPr algn="ctr" rtl="0">
            <a:defRPr sz="1000"/>
          </a:pPr>
          <a:r>
            <a:rPr lang="en-US" sz="1000" b="1" i="0" u="none" strike="noStrike" baseline="0">
              <a:solidFill>
                <a:srgbClr val="000000"/>
              </a:solidFill>
              <a:latin typeface="Arial"/>
              <a:cs typeface="Arial"/>
            </a:rPr>
            <a:t>Nat Gas</a:t>
          </a:r>
        </a:p>
        <a:p>
          <a:pPr algn="ctr" rtl="0">
            <a:defRPr sz="1000"/>
          </a:pPr>
          <a:r>
            <a:rPr lang="en-US" sz="1000" b="1" i="0" u="none" strike="noStrike" baseline="0">
              <a:solidFill>
                <a:srgbClr val="000000"/>
              </a:solidFill>
              <a:latin typeface="Arial"/>
              <a:cs typeface="Arial"/>
            </a:rPr>
            <a:t>(1.31 kg-mol, 25</a:t>
          </a:r>
          <a:r>
            <a:rPr lang="en-US" sz="1000" b="1" i="0" u="none" strike="noStrike" baseline="30000">
              <a:solidFill>
                <a:srgbClr val="000000"/>
              </a:solidFill>
              <a:latin typeface="Arial"/>
              <a:cs typeface="Arial"/>
            </a:rPr>
            <a:t>o</a:t>
          </a:r>
          <a:r>
            <a:rPr lang="en-US" sz="1000" b="1" i="0" u="none" strike="noStrike" baseline="0">
              <a:solidFill>
                <a:srgbClr val="000000"/>
              </a:solidFill>
              <a:latin typeface="Arial"/>
              <a:cs typeface="Arial"/>
            </a:rPr>
            <a:t>C)</a:t>
          </a:r>
          <a:endParaRPr lang="en-US"/>
        </a:p>
      </xdr:txBody>
    </xdr:sp>
    <xdr:clientData/>
  </xdr:twoCellAnchor>
  <xdr:twoCellAnchor editAs="absolute">
    <xdr:from>
      <xdr:col>4</xdr:col>
      <xdr:colOff>270888</xdr:colOff>
      <xdr:row>11</xdr:row>
      <xdr:rowOff>32363</xdr:rowOff>
    </xdr:from>
    <xdr:to>
      <xdr:col>5</xdr:col>
      <xdr:colOff>17945</xdr:colOff>
      <xdr:row>11</xdr:row>
      <xdr:rowOff>32363</xdr:rowOff>
    </xdr:to>
    <xdr:sp macro="" textlink="">
      <xdr:nvSpPr>
        <xdr:cNvPr id="16" name="Line 1382"/>
        <xdr:cNvSpPr>
          <a:spLocks noChangeShapeType="1"/>
        </xdr:cNvSpPr>
      </xdr:nvSpPr>
      <xdr:spPr bwMode="auto">
        <a:xfrm>
          <a:off x="2709288" y="1851638"/>
          <a:ext cx="356657" cy="0"/>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10</xdr:col>
      <xdr:colOff>114259</xdr:colOff>
      <xdr:row>9</xdr:row>
      <xdr:rowOff>102513</xdr:rowOff>
    </xdr:from>
    <xdr:to>
      <xdr:col>12</xdr:col>
      <xdr:colOff>181493</xdr:colOff>
      <xdr:row>11</xdr:row>
      <xdr:rowOff>152536</xdr:rowOff>
    </xdr:to>
    <xdr:sp macro="" textlink="">
      <xdr:nvSpPr>
        <xdr:cNvPr id="17" name="Text Box 1384"/>
        <xdr:cNvSpPr txBox="1">
          <a:spLocks noChangeArrowheads="1"/>
        </xdr:cNvSpPr>
      </xdr:nvSpPr>
      <xdr:spPr bwMode="auto">
        <a:xfrm>
          <a:off x="6286459" y="1597938"/>
          <a:ext cx="1286434" cy="373873"/>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Leak air</a:t>
          </a:r>
        </a:p>
        <a:p>
          <a:pPr algn="ctr" rtl="0">
            <a:defRPr sz="1000"/>
          </a:pPr>
          <a:r>
            <a:rPr lang="en-US" sz="1000" b="1" i="0" u="none" strike="noStrike" baseline="0">
              <a:solidFill>
                <a:srgbClr val="000000"/>
              </a:solidFill>
              <a:latin typeface="Arial"/>
              <a:cs typeface="Arial"/>
            </a:rPr>
            <a:t>(0.33 kg-mol, 25</a:t>
          </a:r>
          <a:r>
            <a:rPr lang="en-US" sz="1000" b="1" i="0" baseline="30000">
              <a:effectLst/>
              <a:latin typeface="Arial" pitchFamily="34" charset="0"/>
              <a:ea typeface="+mn-ea"/>
              <a:cs typeface="Arial" pitchFamily="34" charset="0"/>
            </a:rPr>
            <a:t>o</a:t>
          </a:r>
          <a:r>
            <a:rPr lang="en-US" sz="1000" b="1" i="0" u="none" strike="noStrike" baseline="0">
              <a:solidFill>
                <a:srgbClr val="000000"/>
              </a:solidFill>
              <a:latin typeface="Arial"/>
              <a:cs typeface="Arial"/>
            </a:rPr>
            <a:t>C)</a:t>
          </a:r>
          <a:endParaRPr lang="en-US" baseline="0"/>
        </a:p>
      </xdr:txBody>
    </xdr:sp>
    <xdr:clientData/>
  </xdr:twoCellAnchor>
  <xdr:twoCellAnchor editAs="absolute">
    <xdr:from>
      <xdr:col>5</xdr:col>
      <xdr:colOff>18984</xdr:colOff>
      <xdr:row>9</xdr:row>
      <xdr:rowOff>51874</xdr:rowOff>
    </xdr:from>
    <xdr:to>
      <xdr:col>5</xdr:col>
      <xdr:colOff>583116</xdr:colOff>
      <xdr:row>10</xdr:row>
      <xdr:rowOff>99171</xdr:rowOff>
    </xdr:to>
    <xdr:sp macro="" textlink="">
      <xdr:nvSpPr>
        <xdr:cNvPr id="18" name="Text Box 1385"/>
        <xdr:cNvSpPr txBox="1">
          <a:spLocks noChangeArrowheads="1"/>
        </xdr:cNvSpPr>
      </xdr:nvSpPr>
      <xdr:spPr bwMode="auto">
        <a:xfrm>
          <a:off x="3066984" y="1547299"/>
          <a:ext cx="564132" cy="20922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ctr" upright="1">
          <a:spAutoFit/>
        </a:bodyPr>
        <a:lstStyle/>
        <a:p>
          <a:pPr algn="ctr" rtl="0">
            <a:defRPr sz="1000"/>
          </a:pPr>
          <a:r>
            <a:rPr lang="en-US" sz="1200" b="1" i="0" u="none" strike="noStrike" baseline="0">
              <a:solidFill>
                <a:srgbClr val="000000"/>
              </a:solidFill>
              <a:latin typeface="Arial"/>
              <a:cs typeface="Arial"/>
            </a:rPr>
            <a:t>Burner</a:t>
          </a:r>
          <a:endParaRPr lang="en-US"/>
        </a:p>
      </xdr:txBody>
    </xdr:sp>
    <xdr:clientData/>
  </xdr:twoCellAnchor>
  <xdr:twoCellAnchor editAs="absolute">
    <xdr:from>
      <xdr:col>6</xdr:col>
      <xdr:colOff>506896</xdr:colOff>
      <xdr:row>12</xdr:row>
      <xdr:rowOff>3911</xdr:rowOff>
    </xdr:from>
    <xdr:to>
      <xdr:col>7</xdr:col>
      <xdr:colOff>228553</xdr:colOff>
      <xdr:row>12</xdr:row>
      <xdr:rowOff>138569</xdr:rowOff>
    </xdr:to>
    <xdr:sp macro="" textlink="">
      <xdr:nvSpPr>
        <xdr:cNvPr id="19" name="Freeform 1390"/>
        <xdr:cNvSpPr>
          <a:spLocks/>
        </xdr:cNvSpPr>
      </xdr:nvSpPr>
      <xdr:spPr bwMode="auto">
        <a:xfrm>
          <a:off x="4164496" y="1985111"/>
          <a:ext cx="407457" cy="134658"/>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9</xdr:col>
      <xdr:colOff>38319</xdr:colOff>
      <xdr:row>12</xdr:row>
      <xdr:rowOff>3911</xdr:rowOff>
    </xdr:from>
    <xdr:to>
      <xdr:col>9</xdr:col>
      <xdr:colOff>452127</xdr:colOff>
      <xdr:row>12</xdr:row>
      <xdr:rowOff>138569</xdr:rowOff>
    </xdr:to>
    <xdr:sp macro="" textlink="">
      <xdr:nvSpPr>
        <xdr:cNvPr id="20" name="Freeform 1393"/>
        <xdr:cNvSpPr>
          <a:spLocks/>
        </xdr:cNvSpPr>
      </xdr:nvSpPr>
      <xdr:spPr bwMode="auto">
        <a:xfrm>
          <a:off x="5600919" y="1985111"/>
          <a:ext cx="413808" cy="134658"/>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8</xdr:col>
      <xdr:colOff>162143</xdr:colOff>
      <xdr:row>12</xdr:row>
      <xdr:rowOff>3911</xdr:rowOff>
    </xdr:from>
    <xdr:to>
      <xdr:col>8</xdr:col>
      <xdr:colOff>580185</xdr:colOff>
      <xdr:row>12</xdr:row>
      <xdr:rowOff>138569</xdr:rowOff>
    </xdr:to>
    <xdr:sp macro="" textlink="">
      <xdr:nvSpPr>
        <xdr:cNvPr id="21" name="Freeform 1394"/>
        <xdr:cNvSpPr>
          <a:spLocks/>
        </xdr:cNvSpPr>
      </xdr:nvSpPr>
      <xdr:spPr bwMode="auto">
        <a:xfrm>
          <a:off x="5115143" y="1985111"/>
          <a:ext cx="418042" cy="134658"/>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7</xdr:col>
      <xdr:colOff>302371</xdr:colOff>
      <xdr:row>12</xdr:row>
      <xdr:rowOff>3911</xdr:rowOff>
    </xdr:from>
    <xdr:to>
      <xdr:col>8</xdr:col>
      <xdr:colOff>95468</xdr:colOff>
      <xdr:row>12</xdr:row>
      <xdr:rowOff>138569</xdr:rowOff>
    </xdr:to>
    <xdr:sp macro="" textlink="">
      <xdr:nvSpPr>
        <xdr:cNvPr id="22" name="Freeform 1395"/>
        <xdr:cNvSpPr>
          <a:spLocks/>
        </xdr:cNvSpPr>
      </xdr:nvSpPr>
      <xdr:spPr bwMode="auto">
        <a:xfrm>
          <a:off x="4645771" y="1985111"/>
          <a:ext cx="402697" cy="134658"/>
        </a:xfrm>
        <a:custGeom>
          <a:avLst/>
          <a:gdLst>
            <a:gd name="T0" fmla="*/ 0 w 100"/>
            <a:gd name="T1" fmla="*/ 22 h 22"/>
            <a:gd name="T2" fmla="*/ 19 w 100"/>
            <a:gd name="T3" fmla="*/ 0 h 22"/>
            <a:gd name="T4" fmla="*/ 80 w 100"/>
            <a:gd name="T5" fmla="*/ 0 h 22"/>
            <a:gd name="T6" fmla="*/ 100 w 100"/>
            <a:gd name="T7" fmla="*/ 22 h 22"/>
            <a:gd name="T8" fmla="*/ 0 w 100"/>
            <a:gd name="T9" fmla="*/ 22 h 22"/>
          </a:gdLst>
          <a:ahLst/>
          <a:cxnLst>
            <a:cxn ang="0">
              <a:pos x="T0" y="T1"/>
            </a:cxn>
            <a:cxn ang="0">
              <a:pos x="T2" y="T3"/>
            </a:cxn>
            <a:cxn ang="0">
              <a:pos x="T4" y="T5"/>
            </a:cxn>
            <a:cxn ang="0">
              <a:pos x="T6" y="T7"/>
            </a:cxn>
            <a:cxn ang="0">
              <a:pos x="T8" y="T9"/>
            </a:cxn>
          </a:cxnLst>
          <a:rect l="0" t="0" r="r" b="b"/>
          <a:pathLst>
            <a:path w="100" h="22">
              <a:moveTo>
                <a:pt x="0" y="22"/>
              </a:moveTo>
              <a:lnTo>
                <a:pt x="19" y="0"/>
              </a:lnTo>
              <a:lnTo>
                <a:pt x="80" y="0"/>
              </a:lnTo>
              <a:lnTo>
                <a:pt x="100" y="22"/>
              </a:lnTo>
              <a:lnTo>
                <a:pt x="0" y="22"/>
              </a:lnTo>
              <a:close/>
            </a:path>
          </a:pathLst>
        </a:custGeom>
        <a:solidFill>
          <a:srgbClr xmlns:mc="http://schemas.openxmlformats.org/markup-compatibility/2006" xmlns:a14="http://schemas.microsoft.com/office/drawing/2010/main" val="FFFFFF" mc:Ignorable="a14" a14:legacySpreadsheetColorIndex="65"/>
        </a:solidFill>
        <a:ln w="19050" cap="flat" cmpd="sng">
          <a:prstDash val="solid"/>
          <a:round/>
          <a:headEnd/>
          <a:tailEnd/>
        </a:ln>
        <a:effectLst/>
        <a:scene3d>
          <a:camera prst="legacyObliqueTopRight"/>
          <a:lightRig rig="legacyFlat3" dir="b"/>
        </a:scene3d>
        <a:sp3d extrusionH="163500" prstMaterial="legacyMetal">
          <a:bevelT w="13500" h="13500" prst="angle"/>
          <a:bevelB w="13500" h="13500" prst="angle"/>
          <a:extrusionClr>
            <a:srgbClr xmlns:mc="http://schemas.openxmlformats.org/markup-compatibility/2006" xmlns:a14="http://schemas.microsoft.com/office/drawing/2010/main" val="FFFFFF" mc:Ignorable="a14" a14:legacySpreadsheetColorIndex="65"/>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8</xdr:col>
      <xdr:colOff>50689</xdr:colOff>
      <xdr:row>7</xdr:row>
      <xdr:rowOff>78449</xdr:rowOff>
    </xdr:from>
    <xdr:to>
      <xdr:col>9</xdr:col>
      <xdr:colOff>48179</xdr:colOff>
      <xdr:row>8</xdr:row>
      <xdr:rowOff>85541</xdr:rowOff>
    </xdr:to>
    <xdr:sp macro="" textlink="">
      <xdr:nvSpPr>
        <xdr:cNvPr id="23" name="Text Box 1399"/>
        <xdr:cNvSpPr txBox="1">
          <a:spLocks noChangeArrowheads="1"/>
        </xdr:cNvSpPr>
      </xdr:nvSpPr>
      <xdr:spPr bwMode="auto">
        <a:xfrm>
          <a:off x="5003689" y="1211924"/>
          <a:ext cx="607090" cy="17854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endParaRPr lang="en-US"/>
        </a:p>
      </xdr:txBody>
    </xdr:sp>
    <xdr:clientData/>
  </xdr:twoCellAnchor>
  <xdr:twoCellAnchor editAs="absolute">
    <xdr:from>
      <xdr:col>6</xdr:col>
      <xdr:colOff>607788</xdr:colOff>
      <xdr:row>9</xdr:row>
      <xdr:rowOff>143106</xdr:rowOff>
    </xdr:from>
    <xdr:to>
      <xdr:col>9</xdr:col>
      <xdr:colOff>371358</xdr:colOff>
      <xdr:row>11</xdr:row>
      <xdr:rowOff>33520</xdr:rowOff>
    </xdr:to>
    <xdr:sp macro="" textlink="">
      <xdr:nvSpPr>
        <xdr:cNvPr id="24" name="Text Box 1405"/>
        <xdr:cNvSpPr txBox="1">
          <a:spLocks noChangeArrowheads="1"/>
        </xdr:cNvSpPr>
      </xdr:nvSpPr>
      <xdr:spPr bwMode="auto">
        <a:xfrm>
          <a:off x="4265388" y="1638531"/>
          <a:ext cx="1668570" cy="214264"/>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27432" bIns="0" anchor="t" upright="1">
          <a:spAutoFit/>
        </a:bodyPr>
        <a:lstStyle/>
        <a:p>
          <a:pPr algn="ctr" rtl="0">
            <a:defRPr sz="1000"/>
          </a:pPr>
          <a:r>
            <a:rPr lang="en-US" sz="1200" b="1" i="0" u="none" strike="noStrike" baseline="0">
              <a:solidFill>
                <a:srgbClr val="000000"/>
              </a:solidFill>
              <a:latin typeface="Arial"/>
              <a:cs typeface="Arial"/>
            </a:rPr>
            <a:t>Ingot Heating Furnace</a:t>
          </a:r>
          <a:endParaRPr lang="en-US"/>
        </a:p>
      </xdr:txBody>
    </xdr:sp>
    <xdr:clientData/>
  </xdr:twoCellAnchor>
  <xdr:twoCellAnchor editAs="absolute">
    <xdr:from>
      <xdr:col>9</xdr:col>
      <xdr:colOff>134633</xdr:colOff>
      <xdr:row>8</xdr:row>
      <xdr:rowOff>71</xdr:rowOff>
    </xdr:from>
    <xdr:to>
      <xdr:col>9</xdr:col>
      <xdr:colOff>586540</xdr:colOff>
      <xdr:row>9</xdr:row>
      <xdr:rowOff>95820</xdr:rowOff>
    </xdr:to>
    <xdr:sp macro="" textlink="">
      <xdr:nvSpPr>
        <xdr:cNvPr id="25" name="Freeform 24"/>
        <xdr:cNvSpPr/>
      </xdr:nvSpPr>
      <xdr:spPr>
        <a:xfrm>
          <a:off x="5697233" y="1304996"/>
          <a:ext cx="451907" cy="286249"/>
        </a:xfrm>
        <a:custGeom>
          <a:avLst/>
          <a:gdLst>
            <a:gd name="connsiteX0" fmla="*/ 0 w 447675"/>
            <a:gd name="connsiteY0" fmla="*/ 295275 h 295275"/>
            <a:gd name="connsiteX1" fmla="*/ 0 w 447675"/>
            <a:gd name="connsiteY1" fmla="*/ 0 h 295275"/>
            <a:gd name="connsiteX2" fmla="*/ 447675 w 447675"/>
            <a:gd name="connsiteY2" fmla="*/ 0 h 295275"/>
            <a:gd name="connsiteX3" fmla="*/ 447675 w 447675"/>
            <a:gd name="connsiteY3" fmla="*/ 9525 h 295275"/>
          </a:gdLst>
          <a:ahLst/>
          <a:cxnLst>
            <a:cxn ang="0">
              <a:pos x="connsiteX0" y="connsiteY0"/>
            </a:cxn>
            <a:cxn ang="0">
              <a:pos x="connsiteX1" y="connsiteY1"/>
            </a:cxn>
            <a:cxn ang="0">
              <a:pos x="connsiteX2" y="connsiteY2"/>
            </a:cxn>
            <a:cxn ang="0">
              <a:pos x="connsiteX3" y="connsiteY3"/>
            </a:cxn>
          </a:cxnLst>
          <a:rect l="l" t="t" r="r" b="b"/>
          <a:pathLst>
            <a:path w="447675" h="295275">
              <a:moveTo>
                <a:pt x="0" y="295275"/>
              </a:moveTo>
              <a:lnTo>
                <a:pt x="0" y="0"/>
              </a:lnTo>
              <a:lnTo>
                <a:pt x="447675" y="0"/>
              </a:lnTo>
              <a:lnTo>
                <a:pt x="447675" y="9525"/>
              </a:lnTo>
            </a:path>
          </a:pathLst>
        </a:custGeom>
        <a:ln w="19050">
          <a:solidFill>
            <a:schemeClr val="tx1"/>
          </a:solidFill>
          <a:headEnd type="none" w="med" len="med"/>
          <a:tailEnd type="triangl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twoCellAnchor editAs="absolute">
    <xdr:from>
      <xdr:col>4</xdr:col>
      <xdr:colOff>379896</xdr:colOff>
      <xdr:row>10</xdr:row>
      <xdr:rowOff>2200</xdr:rowOff>
    </xdr:from>
    <xdr:to>
      <xdr:col>4</xdr:col>
      <xdr:colOff>560871</xdr:colOff>
      <xdr:row>11</xdr:row>
      <xdr:rowOff>37124</xdr:rowOff>
    </xdr:to>
    <xdr:sp macro="" textlink="">
      <xdr:nvSpPr>
        <xdr:cNvPr id="26" name="Text Box 1342"/>
        <xdr:cNvSpPr txBox="1">
          <a:spLocks noChangeArrowheads="1"/>
        </xdr:cNvSpPr>
      </xdr:nvSpPr>
      <xdr:spPr bwMode="auto">
        <a:xfrm>
          <a:off x="2818296" y="1659550"/>
          <a:ext cx="180975" cy="19684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2</a:t>
          </a:r>
        </a:p>
      </xdr:txBody>
    </xdr:sp>
    <xdr:clientData/>
  </xdr:twoCellAnchor>
  <xdr:twoCellAnchor editAs="absolute">
    <xdr:from>
      <xdr:col>6</xdr:col>
      <xdr:colOff>232789</xdr:colOff>
      <xdr:row>11</xdr:row>
      <xdr:rowOff>93512</xdr:rowOff>
    </xdr:from>
    <xdr:to>
      <xdr:col>6</xdr:col>
      <xdr:colOff>417997</xdr:colOff>
      <xdr:row>12</xdr:row>
      <xdr:rowOff>131613</xdr:rowOff>
    </xdr:to>
    <xdr:sp macro="" textlink="">
      <xdr:nvSpPr>
        <xdr:cNvPr id="27" name="Text Box 1342"/>
        <xdr:cNvSpPr txBox="1">
          <a:spLocks noChangeArrowheads="1"/>
        </xdr:cNvSpPr>
      </xdr:nvSpPr>
      <xdr:spPr bwMode="auto">
        <a:xfrm>
          <a:off x="3890389" y="1912787"/>
          <a:ext cx="185208" cy="200026"/>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7</a:t>
          </a:r>
        </a:p>
      </xdr:txBody>
    </xdr:sp>
    <xdr:clientData/>
  </xdr:twoCellAnchor>
  <xdr:twoCellAnchor editAs="absolute">
    <xdr:from>
      <xdr:col>6</xdr:col>
      <xdr:colOff>89914</xdr:colOff>
      <xdr:row>8</xdr:row>
      <xdr:rowOff>178990</xdr:rowOff>
    </xdr:from>
    <xdr:to>
      <xdr:col>6</xdr:col>
      <xdr:colOff>270889</xdr:colOff>
      <xdr:row>10</xdr:row>
      <xdr:rowOff>23416</xdr:rowOff>
    </xdr:to>
    <xdr:sp macro="" textlink="">
      <xdr:nvSpPr>
        <xdr:cNvPr id="28" name="Text Box 1342"/>
        <xdr:cNvSpPr txBox="1">
          <a:spLocks noChangeArrowheads="1"/>
        </xdr:cNvSpPr>
      </xdr:nvSpPr>
      <xdr:spPr bwMode="auto">
        <a:xfrm>
          <a:off x="3747514" y="1483915"/>
          <a:ext cx="180975" cy="19685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3</a:t>
          </a:r>
        </a:p>
      </xdr:txBody>
    </xdr:sp>
    <xdr:clientData/>
  </xdr:twoCellAnchor>
  <xdr:twoCellAnchor editAs="absolute">
    <xdr:from>
      <xdr:col>9</xdr:col>
      <xdr:colOff>141508</xdr:colOff>
      <xdr:row>7</xdr:row>
      <xdr:rowOff>154649</xdr:rowOff>
    </xdr:from>
    <xdr:to>
      <xdr:col>9</xdr:col>
      <xdr:colOff>330949</xdr:colOff>
      <xdr:row>8</xdr:row>
      <xdr:rowOff>178990</xdr:rowOff>
    </xdr:to>
    <xdr:sp macro="" textlink="">
      <xdr:nvSpPr>
        <xdr:cNvPr id="29" name="Text Box 1342"/>
        <xdr:cNvSpPr txBox="1">
          <a:spLocks noChangeArrowheads="1"/>
        </xdr:cNvSpPr>
      </xdr:nvSpPr>
      <xdr:spPr bwMode="auto">
        <a:xfrm>
          <a:off x="5704108" y="1288124"/>
          <a:ext cx="189441" cy="19579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4</a:t>
          </a:r>
        </a:p>
      </xdr:txBody>
    </xdr:sp>
    <xdr:clientData/>
  </xdr:twoCellAnchor>
  <xdr:twoCellAnchor editAs="absolute">
    <xdr:from>
      <xdr:col>10</xdr:col>
      <xdr:colOff>110549</xdr:colOff>
      <xdr:row>11</xdr:row>
      <xdr:rowOff>126321</xdr:rowOff>
    </xdr:from>
    <xdr:to>
      <xdr:col>10</xdr:col>
      <xdr:colOff>313221</xdr:colOff>
      <xdr:row>12</xdr:row>
      <xdr:rowOff>126852</xdr:rowOff>
    </xdr:to>
    <xdr:sp macro="" textlink="">
      <xdr:nvSpPr>
        <xdr:cNvPr id="30" name="Text Box 1342"/>
        <xdr:cNvSpPr txBox="1">
          <a:spLocks noChangeArrowheads="1"/>
        </xdr:cNvSpPr>
      </xdr:nvSpPr>
      <xdr:spPr bwMode="auto">
        <a:xfrm>
          <a:off x="6282749" y="1945596"/>
          <a:ext cx="202672" cy="162456"/>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6</a:t>
          </a:r>
        </a:p>
      </xdr:txBody>
    </xdr:sp>
    <xdr:clientData/>
  </xdr:twoCellAnchor>
  <xdr:twoCellAnchor editAs="absolute">
    <xdr:from>
      <xdr:col>4</xdr:col>
      <xdr:colOff>376391</xdr:colOff>
      <xdr:row>6</xdr:row>
      <xdr:rowOff>78449</xdr:rowOff>
    </xdr:from>
    <xdr:to>
      <xdr:col>5</xdr:col>
      <xdr:colOff>373880</xdr:colOff>
      <xdr:row>7</xdr:row>
      <xdr:rowOff>96125</xdr:rowOff>
    </xdr:to>
    <xdr:sp macro="" textlink="">
      <xdr:nvSpPr>
        <xdr:cNvPr id="31" name="Text Box 1399"/>
        <xdr:cNvSpPr txBox="1">
          <a:spLocks noChangeArrowheads="1"/>
        </xdr:cNvSpPr>
      </xdr:nvSpPr>
      <xdr:spPr bwMode="auto">
        <a:xfrm>
          <a:off x="2814791" y="1049999"/>
          <a:ext cx="607089" cy="17960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18288" bIns="0" anchor="t" upright="1">
          <a:spAutoFit/>
        </a:bodyPr>
        <a:lstStyle/>
        <a:p>
          <a:pPr algn="ctr" rtl="0">
            <a:defRPr sz="1000"/>
          </a:pPr>
          <a:r>
            <a:rPr lang="en-US" sz="1000" b="1" i="0" u="none" strike="noStrike" baseline="0">
              <a:solidFill>
                <a:srgbClr val="000000"/>
              </a:solidFill>
              <a:latin typeface="Arial"/>
              <a:cs typeface="Arial"/>
            </a:rPr>
            <a:t>Heat loss</a:t>
          </a:r>
          <a:endParaRPr lang="en-US"/>
        </a:p>
      </xdr:txBody>
    </xdr:sp>
    <xdr:clientData/>
  </xdr:twoCellAnchor>
  <xdr:twoCellAnchor editAs="absolute">
    <xdr:from>
      <xdr:col>10</xdr:col>
      <xdr:colOff>15298</xdr:colOff>
      <xdr:row>10</xdr:row>
      <xdr:rowOff>114684</xdr:rowOff>
    </xdr:from>
    <xdr:to>
      <xdr:col>10</xdr:col>
      <xdr:colOff>434399</xdr:colOff>
      <xdr:row>10</xdr:row>
      <xdr:rowOff>114684</xdr:rowOff>
    </xdr:to>
    <xdr:sp macro="" textlink="">
      <xdr:nvSpPr>
        <xdr:cNvPr id="32" name="Line 1330"/>
        <xdr:cNvSpPr>
          <a:spLocks noChangeShapeType="1"/>
        </xdr:cNvSpPr>
      </xdr:nvSpPr>
      <xdr:spPr bwMode="auto">
        <a:xfrm rot="5400000">
          <a:off x="6397049" y="1562483"/>
          <a:ext cx="0" cy="419101"/>
        </a:xfrm>
        <a:prstGeom prst="line">
          <a:avLst/>
        </a:prstGeom>
        <a:noFill/>
        <a:ln w="19050">
          <a:solidFill>
            <a:srgbClr xmlns:mc="http://schemas.openxmlformats.org/markup-compatibility/2006" xmlns:a14="http://schemas.microsoft.com/office/drawing/2010/main" val="000000" mc:Ignorable="a14" a14:legacySpreadsheetColorIndex="8"/>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absolute">
    <xdr:from>
      <xdr:col>10</xdr:col>
      <xdr:colOff>110549</xdr:colOff>
      <xdr:row>9</xdr:row>
      <xdr:rowOff>98808</xdr:rowOff>
    </xdr:from>
    <xdr:to>
      <xdr:col>10</xdr:col>
      <xdr:colOff>313221</xdr:colOff>
      <xdr:row>10</xdr:row>
      <xdr:rowOff>100396</xdr:rowOff>
    </xdr:to>
    <xdr:sp macro="" textlink="">
      <xdr:nvSpPr>
        <xdr:cNvPr id="33" name="Text Box 1342"/>
        <xdr:cNvSpPr txBox="1">
          <a:spLocks noChangeArrowheads="1"/>
        </xdr:cNvSpPr>
      </xdr:nvSpPr>
      <xdr:spPr bwMode="auto">
        <a:xfrm>
          <a:off x="6282749" y="1594233"/>
          <a:ext cx="202672" cy="163513"/>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900" b="1" i="0" u="none" strike="noStrike" baseline="0">
              <a:solidFill>
                <a:srgbClr val="000000"/>
              </a:solidFill>
              <a:latin typeface="Arial"/>
              <a:cs typeface="Arial"/>
            </a:rPr>
            <a:t>5</a:t>
          </a:r>
        </a:p>
      </xdr:txBody>
    </xdr:sp>
    <xdr:clientData/>
  </xdr:twoCellAnchor>
  <xdr:twoCellAnchor editAs="absolute">
    <xdr:from>
      <xdr:col>2</xdr:col>
      <xdr:colOff>288121</xdr:colOff>
      <xdr:row>10</xdr:row>
      <xdr:rowOff>25487</xdr:rowOff>
    </xdr:from>
    <xdr:to>
      <xdr:col>4</xdr:col>
      <xdr:colOff>438141</xdr:colOff>
      <xdr:row>12</xdr:row>
      <xdr:rowOff>68600</xdr:rowOff>
    </xdr:to>
    <xdr:sp macro="" textlink="">
      <xdr:nvSpPr>
        <xdr:cNvPr id="34" name="Text Box 1384"/>
        <xdr:cNvSpPr txBox="1">
          <a:spLocks noChangeArrowheads="1"/>
        </xdr:cNvSpPr>
      </xdr:nvSpPr>
      <xdr:spPr bwMode="auto">
        <a:xfrm>
          <a:off x="1507321" y="1682837"/>
          <a:ext cx="1369220" cy="366963"/>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ctr" upright="1"/>
        <a:lstStyle/>
        <a:p>
          <a:pPr algn="ctr" rtl="0">
            <a:defRPr sz="1000"/>
          </a:pPr>
          <a:r>
            <a:rPr lang="en-US" sz="1000" b="1" i="0" u="none" strike="noStrike" baseline="0">
              <a:solidFill>
                <a:srgbClr val="000000"/>
              </a:solidFill>
              <a:latin typeface="Arial"/>
              <a:cs typeface="Arial"/>
            </a:rPr>
            <a:t>Burner air</a:t>
          </a:r>
        </a:p>
        <a:p>
          <a:pPr algn="ctr" rtl="0">
            <a:defRPr sz="1000"/>
          </a:pPr>
          <a:r>
            <a:rPr lang="en-US" sz="1000" b="1" i="0" u="none" strike="noStrike" baseline="0">
              <a:solidFill>
                <a:srgbClr val="000000"/>
              </a:solidFill>
              <a:latin typeface="Arial"/>
              <a:cs typeface="Arial"/>
            </a:rPr>
            <a:t>(14.74 kg-mol, 25</a:t>
          </a:r>
          <a:r>
            <a:rPr lang="en-US" sz="1000" b="1" i="0" baseline="30000">
              <a:effectLst/>
              <a:latin typeface="Arial" pitchFamily="34" charset="0"/>
              <a:ea typeface="+mn-ea"/>
              <a:cs typeface="Arial" pitchFamily="34" charset="0"/>
            </a:rPr>
            <a:t>o</a:t>
          </a:r>
          <a:r>
            <a:rPr lang="en-US" sz="1000" b="1" i="0" u="none" strike="noStrike" baseline="0">
              <a:solidFill>
                <a:srgbClr val="000000"/>
              </a:solidFill>
              <a:latin typeface="Arial"/>
              <a:cs typeface="Arial"/>
            </a:rPr>
            <a:t>C)</a:t>
          </a:r>
          <a:endParaRPr lang="en-US" baseline="0"/>
        </a:p>
      </xdr:txBody>
    </xdr:sp>
    <xdr:clientData/>
  </xdr:twoCellAnchor>
  <xdr:oneCellAnchor>
    <xdr:from>
      <xdr:col>3</xdr:col>
      <xdr:colOff>244850</xdr:colOff>
      <xdr:row>16</xdr:row>
      <xdr:rowOff>86162</xdr:rowOff>
    </xdr:from>
    <xdr:ext cx="5324474" cy="246528"/>
    <xdr:sp macro="" textlink="">
      <xdr:nvSpPr>
        <xdr:cNvPr id="35" name="TextBox 34"/>
        <xdr:cNvSpPr txBox="1"/>
      </xdr:nvSpPr>
      <xdr:spPr>
        <a:xfrm>
          <a:off x="2073650" y="2810312"/>
          <a:ext cx="5324474" cy="246528"/>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r>
            <a:rPr lang="en-US" sz="1600"/>
            <a:t>Material Balance for the </a:t>
          </a:r>
          <a:r>
            <a:rPr kumimoji="0" lang="en-US" sz="1600" b="0" i="0" u="none" strike="noStrike" kern="0" cap="none" spc="0" normalizeH="0" baseline="0" noProof="0">
              <a:ln>
                <a:noFill/>
              </a:ln>
              <a:solidFill>
                <a:prstClr val="black"/>
              </a:solidFill>
              <a:effectLst/>
              <a:uLnTx/>
              <a:uFillTx/>
              <a:latin typeface="+mn-lt"/>
              <a:ea typeface="+mn-ea"/>
              <a:cs typeface="+mn-cs"/>
            </a:rPr>
            <a:t>Process </a:t>
          </a:r>
          <a:r>
            <a:rPr kumimoji="0" lang="en-US" sz="1400" b="0" i="0" u="none" strike="noStrike" kern="0" cap="none" spc="0" normalizeH="0" baseline="0" noProof="0">
              <a:ln>
                <a:noFill/>
              </a:ln>
              <a:solidFill>
                <a:prstClr val="black"/>
              </a:solidFill>
              <a:effectLst/>
              <a:uLnTx/>
              <a:uFillTx/>
              <a:latin typeface="+mn-lt"/>
              <a:ea typeface="+mn-ea"/>
              <a:cs typeface="+mn-cs"/>
            </a:rPr>
            <a:t>(from workbook MatBalCalc.xlsx)</a:t>
          </a:r>
          <a:endParaRPr lang="en-US" sz="1400"/>
        </a:p>
      </xdr:txBody>
    </xdr:sp>
    <xdr:clientData/>
  </xdr:oneCellAnchor>
  <xdr:oneCellAnchor>
    <xdr:from>
      <xdr:col>4</xdr:col>
      <xdr:colOff>554566</xdr:colOff>
      <xdr:row>18</xdr:row>
      <xdr:rowOff>58861</xdr:rowOff>
    </xdr:from>
    <xdr:ext cx="2817284" cy="226483"/>
    <xdr:sp macro="" textlink="">
      <xdr:nvSpPr>
        <xdr:cNvPr id="36" name="TextBox 35"/>
        <xdr:cNvSpPr txBox="1"/>
      </xdr:nvSpPr>
      <xdr:spPr>
        <a:xfrm>
          <a:off x="2992966" y="3106861"/>
          <a:ext cx="2817284" cy="226483"/>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1.  Stream amounts</a:t>
          </a:r>
          <a:r>
            <a:rPr lang="en-US" sz="1300" baseline="0">
              <a:solidFill>
                <a:schemeClr val="tx1"/>
              </a:solidFill>
              <a:effectLst/>
              <a:latin typeface="+mn-lt"/>
              <a:ea typeface="+mn-ea"/>
              <a:cs typeface="+mn-cs"/>
            </a:rPr>
            <a:t> in g-mol/min</a:t>
          </a:r>
          <a:endParaRPr lang="en-US" sz="1300"/>
        </a:p>
      </xdr:txBody>
    </xdr:sp>
    <xdr:clientData/>
  </xdr:oneCellAnchor>
  <xdr:oneCellAnchor>
    <xdr:from>
      <xdr:col>2</xdr:col>
      <xdr:colOff>597944</xdr:colOff>
      <xdr:row>1</xdr:row>
      <xdr:rowOff>0</xdr:rowOff>
    </xdr:from>
    <xdr:ext cx="6457949" cy="666911"/>
    <xdr:sp macro="" textlink="">
      <xdr:nvSpPr>
        <xdr:cNvPr id="37" name="TextBox 36"/>
        <xdr:cNvSpPr txBox="1"/>
      </xdr:nvSpPr>
      <xdr:spPr>
        <a:xfrm>
          <a:off x="1817144" y="161925"/>
          <a:ext cx="6457949" cy="666911"/>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1">
          <a:noAutofit/>
        </a:bodyPr>
        <a:lstStyle/>
        <a:p>
          <a:pPr algn="ctr"/>
          <a:endParaRPr lang="en-US" sz="1600">
            <a:latin typeface="Arial" pitchFamily="34" charset="0"/>
            <a:cs typeface="Arial" pitchFamily="34" charset="0"/>
          </a:endParaRPr>
        </a:p>
        <a:p>
          <a:pPr algn="ctr"/>
          <a:r>
            <a:rPr lang="en-US" sz="1600" b="1">
              <a:solidFill>
                <a:schemeClr val="bg1"/>
              </a:solidFill>
              <a:latin typeface="Arial" pitchFamily="34" charset="0"/>
              <a:cs typeface="Arial" pitchFamily="34" charset="0"/>
            </a:rPr>
            <a:t>A Heat Balance Calculator for an</a:t>
          </a:r>
          <a:r>
            <a:rPr lang="en-US" sz="1600" b="1" baseline="0">
              <a:solidFill>
                <a:schemeClr val="bg1"/>
              </a:solidFill>
              <a:latin typeface="Arial" pitchFamily="34" charset="0"/>
              <a:cs typeface="Arial" pitchFamily="34" charset="0"/>
            </a:rPr>
            <a:t> Aluminum Heating Process</a:t>
          </a:r>
          <a:endParaRPr lang="en-US" sz="1100" b="1">
            <a:latin typeface="Arial" pitchFamily="34" charset="0"/>
            <a:cs typeface="Arial" pitchFamily="34" charset="0"/>
          </a:endParaRPr>
        </a:p>
      </xdr:txBody>
    </xdr:sp>
    <xdr:clientData/>
  </xdr:oneCellAnchor>
  <xdr:oneCellAnchor>
    <xdr:from>
      <xdr:col>6</xdr:col>
      <xdr:colOff>541416</xdr:colOff>
      <xdr:row>1</xdr:row>
      <xdr:rowOff>97516</xdr:rowOff>
    </xdr:from>
    <xdr:ext cx="1734998" cy="275329"/>
    <xdr:sp macro="" textlink="">
      <xdr:nvSpPr>
        <xdr:cNvPr id="38" name="Rectangle 37"/>
        <xdr:cNvSpPr/>
      </xdr:nvSpPr>
      <xdr:spPr>
        <a:xfrm>
          <a:off x="4199016" y="259441"/>
          <a:ext cx="1734998" cy="275329"/>
        </a:xfrm>
        <a:prstGeom prst="rect">
          <a:avLst/>
        </a:prstGeom>
        <a:solidFill>
          <a:srgbClr val="D0CAFE"/>
        </a:solidFill>
        <a:ln>
          <a:solidFill>
            <a:schemeClr val="tx1"/>
          </a:solidFill>
        </a:ln>
      </xdr:spPr>
      <xdr:txBody>
        <a:bodyPr wrap="none" lIns="91440" tIns="45720" rIns="91440" bIns="45720" anchor="ctr">
          <a:noAutofit/>
        </a:bodyPr>
        <a:lstStyle/>
        <a:p>
          <a:pPr algn="ctr"/>
          <a:r>
            <a:rPr lang="en-US" sz="2400" b="1" cap="none" spc="0" baseline="0">
              <a:ln w="3175" cmpd="sng">
                <a:solidFill>
                  <a:srgbClr val="FFFFFF"/>
                </a:solidFill>
                <a:prstDash val="solid"/>
                <a:miter lim="800000"/>
              </a:ln>
              <a:solidFill>
                <a:srgbClr val="000000">
                  <a:tint val="92000"/>
                  <a:shade val="100000"/>
                  <a:satMod val="150000"/>
                </a:srgbClr>
              </a:solidFill>
              <a:effectLst>
                <a:outerShdw blurRad="50800" algn="tl" rotWithShape="0">
                  <a:srgbClr val="000000"/>
                </a:outerShdw>
              </a:effectLst>
            </a:rPr>
            <a:t>HeatBalCalc</a:t>
          </a:r>
        </a:p>
      </xdr:txBody>
    </xdr:sp>
    <xdr:clientData/>
  </xdr:oneCellAnchor>
  <xdr:oneCellAnchor>
    <xdr:from>
      <xdr:col>14</xdr:col>
      <xdr:colOff>268194</xdr:colOff>
      <xdr:row>10</xdr:row>
      <xdr:rowOff>120493</xdr:rowOff>
    </xdr:from>
    <xdr:ext cx="3944596" cy="236850"/>
    <xdr:sp macro="" textlink="">
      <xdr:nvSpPr>
        <xdr:cNvPr id="39" name="TextBox 38"/>
        <xdr:cNvSpPr txBox="1"/>
      </xdr:nvSpPr>
      <xdr:spPr>
        <a:xfrm>
          <a:off x="8878794" y="1777843"/>
          <a:ext cx="3944596" cy="236850"/>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3.  Heat Content Tables</a:t>
          </a:r>
          <a:r>
            <a:rPr lang="en-US" sz="1300" baseline="0">
              <a:solidFill>
                <a:schemeClr val="tx1"/>
              </a:solidFill>
              <a:effectLst/>
              <a:latin typeface="+mn-lt"/>
              <a:ea typeface="+mn-ea"/>
              <a:cs typeface="+mn-cs"/>
            </a:rPr>
            <a:t>  (from FREED data)</a:t>
          </a:r>
          <a:endParaRPr lang="en-US" sz="1300"/>
        </a:p>
      </xdr:txBody>
    </xdr:sp>
    <xdr:clientData/>
  </xdr:oneCellAnchor>
  <xdr:oneCellAnchor>
    <xdr:from>
      <xdr:col>4</xdr:col>
      <xdr:colOff>67109</xdr:colOff>
      <xdr:row>14</xdr:row>
      <xdr:rowOff>139792</xdr:rowOff>
    </xdr:from>
    <xdr:ext cx="4176807" cy="230626"/>
    <xdr:sp macro="" textlink="">
      <xdr:nvSpPr>
        <xdr:cNvPr id="40" name="TextBox 39"/>
        <xdr:cNvSpPr txBox="1"/>
      </xdr:nvSpPr>
      <xdr:spPr>
        <a:xfrm>
          <a:off x="2522442" y="2404625"/>
          <a:ext cx="4176807" cy="230626"/>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Figure 1.  Flowsheet with gas stream amounts</a:t>
          </a:r>
          <a:r>
            <a:rPr lang="en-US" sz="1300" baseline="0">
              <a:solidFill>
                <a:schemeClr val="tx1"/>
              </a:solidFill>
              <a:effectLst/>
              <a:latin typeface="+mn-lt"/>
              <a:ea typeface="+mn-ea"/>
              <a:cs typeface="+mn-cs"/>
            </a:rPr>
            <a:t> in kg-mol/min</a:t>
          </a:r>
          <a:endParaRPr lang="en-US" sz="1300"/>
        </a:p>
      </xdr:txBody>
    </xdr:sp>
    <xdr:clientData/>
  </xdr:oneCellAnchor>
  <xdr:oneCellAnchor>
    <xdr:from>
      <xdr:col>1</xdr:col>
      <xdr:colOff>274545</xdr:colOff>
      <xdr:row>31</xdr:row>
      <xdr:rowOff>38264</xdr:rowOff>
    </xdr:from>
    <xdr:ext cx="5457263" cy="4194353"/>
    <xdr:sp macro="" textlink="">
      <xdr:nvSpPr>
        <xdr:cNvPr id="41" name="TextBox 40"/>
        <xdr:cNvSpPr txBox="1"/>
      </xdr:nvSpPr>
      <xdr:spPr>
        <a:xfrm>
          <a:off x="888378" y="5266431"/>
          <a:ext cx="5457263" cy="4194353"/>
        </a:xfrm>
        <a:prstGeom prst="rect">
          <a:avLst/>
        </a:prstGeom>
        <a:solidFill>
          <a:srgbClr val="FBCBA3"/>
        </a:solidFill>
        <a:ln w="9525"/>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r>
            <a:rPr lang="en-US" sz="1400"/>
            <a:t>Constructing</a:t>
          </a:r>
          <a:r>
            <a:rPr lang="en-US" sz="1400" baseline="0"/>
            <a:t> a Heat Balance</a:t>
          </a:r>
        </a:p>
        <a:p>
          <a:pPr algn="l"/>
          <a:r>
            <a:rPr lang="en-US" sz="1300" baseline="0"/>
            <a:t>Note: before starting, you may want to collect all 4 previous workbooks in this series as worksheets in one workbook.  It'll help you keep track of some necessary calculations.  </a:t>
          </a:r>
        </a:p>
        <a:p>
          <a:r>
            <a:rPr lang="en-US" sz="1100" baseline="0"/>
            <a:t>1.  Look at </a:t>
          </a:r>
          <a:r>
            <a:rPr kumimoji="0" lang="en-US" sz="1100" b="0" i="0" u="none" strike="noStrike" kern="0" cap="none" spc="0" normalizeH="0" baseline="0" noProof="0">
              <a:ln>
                <a:noFill/>
              </a:ln>
              <a:solidFill>
                <a:prstClr val="black"/>
              </a:solidFill>
              <a:effectLst/>
              <a:uLnTx/>
              <a:uFillTx/>
              <a:latin typeface="+mn-lt"/>
              <a:ea typeface="+mn-ea"/>
              <a:cs typeface="+mn-cs"/>
            </a:rPr>
            <a:t>workbook </a:t>
          </a:r>
          <a:r>
            <a:rPr lang="en-US" sz="1100" u="sng" baseline="0"/>
            <a:t>MatBalCalc</a:t>
          </a:r>
          <a:r>
            <a:rPr lang="en-US" sz="1100" baseline="0"/>
            <a:t>  to obtain the stream flowrates for the specified process for heating 800 kg of Al/min.  Label the flowsheet with these flows, using g-mol for gas streams.   See Table 1 and Fig. 1.</a:t>
          </a:r>
        </a:p>
        <a:p>
          <a:r>
            <a:rPr lang="en-US" sz="1100" baseline="0"/>
            <a:t>2.  Use workbook </a:t>
          </a:r>
          <a:r>
            <a:rPr lang="en-US" sz="1100" u="sng" baseline="0"/>
            <a:t>HeatCalc</a:t>
          </a:r>
          <a:r>
            <a:rPr lang="en-US" sz="1100" baseline="0"/>
            <a:t> to obtain the heat of combustion (LHV)  for the specified natural gas.   Table 1 has units of g-mol; see Table 2, with more useful units of kJ/kg-mol.   </a:t>
          </a:r>
        </a:p>
        <a:p>
          <a:r>
            <a:rPr lang="en-US" sz="1100" baseline="0"/>
            <a:t>3.  Obtain heat content equation parameters for each stream substance from FREED as instructed in datafiles worksheets.  See Table 3; note units.</a:t>
          </a:r>
        </a:p>
        <a:p>
          <a:r>
            <a:rPr lang="en-US" sz="1100" baseline="0"/>
            <a:t>4.  Write the overall heat balance for the </a:t>
          </a:r>
          <a:r>
            <a:rPr lang="en-US" sz="1100" i="1" baseline="0"/>
            <a:t>burner </a:t>
          </a:r>
          <a:r>
            <a:rPr lang="en-US" sz="1100" baseline="0"/>
            <a:t>device.  Streams entering at the reference temperature of 25 °C have zero heat content.  Burn the NatGas at 25 °C and heat the combustion products from 25 °C to 1800 °C.  Sum the heat effect factors for each stream, and the heat loss, and set the sum to zero.  The only unknown is  the heat loss.  See Table 4.  The burner loss is 13 ,400 kJ/min (cell  T44).</a:t>
          </a:r>
        </a:p>
        <a:p>
          <a:r>
            <a:rPr lang="en-US" sz="1100" baseline="0"/>
            <a:t>5.  Repeat the overall heat balance arithmetic around the </a:t>
          </a:r>
          <a:r>
            <a:rPr lang="en-US" sz="1100" i="1" baseline="0"/>
            <a:t>aluminum heating furnace</a:t>
          </a:r>
          <a:r>
            <a:rPr lang="en-US" sz="1100" baseline="0"/>
            <a:t>.  Cool all instreams to 25 °C, and heat all outstreams to their outstream temperature.  See Table  5.  The furnace heat loss is 186,550 kJ/min (cell T56). </a:t>
          </a:r>
        </a:p>
        <a:p>
          <a:r>
            <a:rPr lang="en-US" sz="1100" baseline="0"/>
            <a:t>6.  Overall, the process heat loss is 199,950 kJ/min, or 200 MJ/min.  </a:t>
          </a:r>
        </a:p>
        <a:p>
          <a:r>
            <a:rPr lang="en-US" sz="1100" baseline="0"/>
            <a:t>7.  Summarize the results.  See Table 6.</a:t>
          </a:r>
        </a:p>
        <a:p>
          <a:r>
            <a:rPr lang="en-US" sz="1100" baseline="0"/>
            <a:t>8.  Use Goal Seek to explore the effect of stack gas temperature (stream 4) on the mass flow of aluminum (stream 6/7).  Read instructions near Table 7.  </a:t>
          </a:r>
        </a:p>
      </xdr:txBody>
    </xdr:sp>
    <xdr:clientData/>
  </xdr:oneCellAnchor>
  <xdr:oneCellAnchor>
    <xdr:from>
      <xdr:col>13</xdr:col>
      <xdr:colOff>600635</xdr:colOff>
      <xdr:row>5</xdr:row>
      <xdr:rowOff>110532</xdr:rowOff>
    </xdr:from>
    <xdr:ext cx="4740215" cy="281674"/>
    <xdr:sp macro="" textlink="">
      <xdr:nvSpPr>
        <xdr:cNvPr id="42" name="TextBox 41"/>
        <xdr:cNvSpPr txBox="1"/>
      </xdr:nvSpPr>
      <xdr:spPr>
        <a:xfrm>
          <a:off x="8601635" y="920157"/>
          <a:ext cx="4740215" cy="281674"/>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2.  Heat of Combustion (LHV) of NG </a:t>
          </a:r>
          <a:r>
            <a:rPr lang="en-US" sz="1300" baseline="0">
              <a:solidFill>
                <a:schemeClr val="tx1"/>
              </a:solidFill>
              <a:effectLst/>
              <a:latin typeface="+mn-lt"/>
              <a:ea typeface="+mn-ea"/>
              <a:cs typeface="+mn-cs"/>
            </a:rPr>
            <a:t>(from workbook HeatCalc)</a:t>
          </a:r>
          <a:endParaRPr lang="en-US" sz="1300"/>
        </a:p>
      </xdr:txBody>
    </xdr:sp>
    <xdr:clientData/>
  </xdr:oneCellAnchor>
  <xdr:oneCellAnchor>
    <xdr:from>
      <xdr:col>13</xdr:col>
      <xdr:colOff>246717</xdr:colOff>
      <xdr:row>30</xdr:row>
      <xdr:rowOff>149040</xdr:rowOff>
    </xdr:from>
    <xdr:ext cx="4484032" cy="231960"/>
    <xdr:sp macro="" textlink="">
      <xdr:nvSpPr>
        <xdr:cNvPr id="43" name="TextBox 42"/>
        <xdr:cNvSpPr txBox="1"/>
      </xdr:nvSpPr>
      <xdr:spPr>
        <a:xfrm>
          <a:off x="8247717" y="5263965"/>
          <a:ext cx="4484032" cy="231960"/>
        </a:xfrm>
        <a:prstGeom prst="rect">
          <a:avLst/>
        </a:prstGeom>
        <a:solidFill>
          <a:schemeClr val="accent6">
            <a:lumMod val="40000"/>
            <a:lumOff val="6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r>
            <a:rPr lang="en-US" sz="1600"/>
            <a:t>Heat Balance for the </a:t>
          </a:r>
          <a:r>
            <a:rPr kumimoji="0" lang="en-US" sz="1600" b="0" i="0" u="none" strike="noStrike" kern="0" cap="none" spc="0" normalizeH="0" baseline="0" noProof="0">
              <a:ln>
                <a:noFill/>
              </a:ln>
              <a:solidFill>
                <a:prstClr val="black"/>
              </a:solidFill>
              <a:effectLst/>
              <a:uLnTx/>
              <a:uFillTx/>
              <a:latin typeface="+mn-lt"/>
              <a:ea typeface="+mn-ea"/>
              <a:cs typeface="+mn-cs"/>
            </a:rPr>
            <a:t>Process </a:t>
          </a:r>
          <a:r>
            <a:rPr kumimoji="0" lang="en-US" sz="1400" b="0" i="0" u="none" strike="noStrike" kern="0" cap="none" spc="0" normalizeH="0" baseline="0" noProof="0">
              <a:ln>
                <a:noFill/>
              </a:ln>
              <a:solidFill>
                <a:prstClr val="black"/>
              </a:solidFill>
              <a:effectLst/>
              <a:uLnTx/>
              <a:uFillTx/>
              <a:latin typeface="+mn-lt"/>
              <a:ea typeface="+mn-ea"/>
              <a:cs typeface="+mn-cs"/>
            </a:rPr>
            <a:t>(data from Tables 2 and 3)</a:t>
          </a:r>
          <a:endParaRPr lang="en-US" sz="1400"/>
        </a:p>
      </xdr:txBody>
    </xdr:sp>
    <xdr:clientData/>
  </xdr:oneCellAnchor>
  <xdr:oneCellAnchor>
    <xdr:from>
      <xdr:col>13</xdr:col>
      <xdr:colOff>74083</xdr:colOff>
      <xdr:row>33</xdr:row>
      <xdr:rowOff>88121</xdr:rowOff>
    </xdr:from>
    <xdr:ext cx="5016500" cy="176462"/>
    <xdr:sp macro="" textlink="">
      <xdr:nvSpPr>
        <xdr:cNvPr id="44" name="TextBox 43"/>
        <xdr:cNvSpPr txBox="1"/>
      </xdr:nvSpPr>
      <xdr:spPr>
        <a:xfrm>
          <a:off x="8128000" y="5612621"/>
          <a:ext cx="5016500" cy="176462"/>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4.  Heat Balance Around the Burner (kJ/min) to calculate heat loss</a:t>
          </a:r>
          <a:endParaRPr lang="en-US" sz="1300"/>
        </a:p>
      </xdr:txBody>
    </xdr:sp>
    <xdr:clientData/>
  </xdr:oneCellAnchor>
  <xdr:oneCellAnchor>
    <xdr:from>
      <xdr:col>24</xdr:col>
      <xdr:colOff>328082</xdr:colOff>
      <xdr:row>26</xdr:row>
      <xdr:rowOff>119061</xdr:rowOff>
    </xdr:from>
    <xdr:ext cx="4169832" cy="508000"/>
    <xdr:sp macro="" textlink="">
      <xdr:nvSpPr>
        <xdr:cNvPr id="45" name="TextBox 44"/>
        <xdr:cNvSpPr txBox="1"/>
      </xdr:nvSpPr>
      <xdr:spPr>
        <a:xfrm>
          <a:off x="15603801" y="4667249"/>
          <a:ext cx="4169832" cy="508000"/>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7.  Using Goal Seek with the Furnace Heat Balance to Calculatethe Effect of Stack Gas T</a:t>
          </a:r>
          <a:r>
            <a:rPr lang="en-US" sz="1300" baseline="0">
              <a:solidFill>
                <a:schemeClr val="tx1"/>
              </a:solidFill>
              <a:effectLst/>
              <a:latin typeface="+mn-lt"/>
              <a:ea typeface="+mn-ea"/>
              <a:cs typeface="+mn-cs"/>
            </a:rPr>
            <a:t> on Al Flowrate</a:t>
          </a:r>
          <a:endParaRPr lang="en-US" sz="1300"/>
        </a:p>
      </xdr:txBody>
    </xdr:sp>
    <xdr:clientData/>
  </xdr:oneCellAnchor>
  <xdr:twoCellAnchor>
    <xdr:from>
      <xdr:col>21</xdr:col>
      <xdr:colOff>168086</xdr:colOff>
      <xdr:row>39</xdr:row>
      <xdr:rowOff>33619</xdr:rowOff>
    </xdr:from>
    <xdr:to>
      <xdr:col>23</xdr:col>
      <xdr:colOff>212912</xdr:colOff>
      <xdr:row>42</xdr:row>
      <xdr:rowOff>56030</xdr:rowOff>
    </xdr:to>
    <xdr:sp macro="" textlink="">
      <xdr:nvSpPr>
        <xdr:cNvPr id="46" name="Rounded Rectangular Callout 45"/>
        <xdr:cNvSpPr/>
      </xdr:nvSpPr>
      <xdr:spPr>
        <a:xfrm>
          <a:off x="13493561" y="6605869"/>
          <a:ext cx="1273551" cy="622486"/>
        </a:xfrm>
        <a:prstGeom prst="wedgeRoundRectCallout">
          <a:avLst>
            <a:gd name="adj1" fmla="val -96602"/>
            <a:gd name="adj2" fmla="val 7744"/>
            <a:gd name="adj3" fmla="val 16667"/>
          </a:avLst>
        </a:prstGeom>
        <a:ln w="95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lIns="45720" tIns="18288" rIns="45720" bIns="18288" rtlCol="0" anchor="t"/>
        <a:lstStyle/>
        <a:p>
          <a:pPr algn="l"/>
          <a:r>
            <a:rPr lang="en-US" sz="1100"/>
            <a:t>The sum of values in cells</a:t>
          </a:r>
          <a:r>
            <a:rPr lang="en-US" sz="1100" baseline="0"/>
            <a:t> T39:T44 must equal zero.  </a:t>
          </a:r>
          <a:endParaRPr lang="en-US" sz="1100"/>
        </a:p>
      </xdr:txBody>
    </xdr:sp>
    <xdr:clientData/>
  </xdr:twoCellAnchor>
  <xdr:twoCellAnchor>
    <xdr:from>
      <xdr:col>21</xdr:col>
      <xdr:colOff>166219</xdr:colOff>
      <xdr:row>50</xdr:row>
      <xdr:rowOff>16808</xdr:rowOff>
    </xdr:from>
    <xdr:to>
      <xdr:col>23</xdr:col>
      <xdr:colOff>211045</xdr:colOff>
      <xdr:row>53</xdr:row>
      <xdr:rowOff>85911</xdr:rowOff>
    </xdr:to>
    <xdr:sp macro="" textlink="">
      <xdr:nvSpPr>
        <xdr:cNvPr id="47" name="Rounded Rectangular Callout 46"/>
        <xdr:cNvSpPr/>
      </xdr:nvSpPr>
      <xdr:spPr>
        <a:xfrm>
          <a:off x="13491694" y="8541683"/>
          <a:ext cx="1273551" cy="631078"/>
        </a:xfrm>
        <a:prstGeom prst="wedgeRoundRectCallout">
          <a:avLst>
            <a:gd name="adj1" fmla="val -101420"/>
            <a:gd name="adj2" fmla="val 34081"/>
            <a:gd name="adj3" fmla="val 16667"/>
          </a:avLst>
        </a:prstGeom>
        <a:ln w="95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lIns="45720" tIns="18288" rIns="45720" bIns="18288" rtlCol="0" anchor="t"/>
        <a:lstStyle/>
        <a:p>
          <a:pPr algn="l"/>
          <a:r>
            <a:rPr lang="en-US" sz="1100"/>
            <a:t>The sum of values in cells</a:t>
          </a:r>
          <a:r>
            <a:rPr lang="en-US" sz="1100" baseline="0"/>
            <a:t> T51:T56 must equal zero.  </a:t>
          </a:r>
          <a:endParaRPr lang="en-US" sz="1100"/>
        </a:p>
      </xdr:txBody>
    </xdr:sp>
    <xdr:clientData/>
  </xdr:twoCellAnchor>
  <xdr:twoCellAnchor>
    <xdr:from>
      <xdr:col>19</xdr:col>
      <xdr:colOff>672354</xdr:colOff>
      <xdr:row>37</xdr:row>
      <xdr:rowOff>155203</xdr:rowOff>
    </xdr:from>
    <xdr:to>
      <xdr:col>20</xdr:col>
      <xdr:colOff>200026</xdr:colOff>
      <xdr:row>43</xdr:row>
      <xdr:rowOff>161925</xdr:rowOff>
    </xdr:to>
    <xdr:sp macro="" textlink="">
      <xdr:nvSpPr>
        <xdr:cNvPr id="48" name="Right Brace 47"/>
        <xdr:cNvSpPr/>
      </xdr:nvSpPr>
      <xdr:spPr>
        <a:xfrm>
          <a:off x="12550029" y="6403603"/>
          <a:ext cx="213472" cy="1130672"/>
        </a:xfrm>
        <a:prstGeom prst="rightBrace">
          <a:avLst>
            <a:gd name="adj1" fmla="val 41666"/>
            <a:gd name="adj2" fmla="val 48840"/>
          </a:avLst>
        </a:prstGeom>
        <a:ln w="6350"/>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660448</xdr:colOff>
      <xdr:row>50</xdr:row>
      <xdr:rowOff>421</xdr:rowOff>
    </xdr:from>
    <xdr:to>
      <xdr:col>20</xdr:col>
      <xdr:colOff>188120</xdr:colOff>
      <xdr:row>55</xdr:row>
      <xdr:rowOff>173830</xdr:rowOff>
    </xdr:to>
    <xdr:sp macro="" textlink="">
      <xdr:nvSpPr>
        <xdr:cNvPr id="49" name="Right Brace 48"/>
        <xdr:cNvSpPr/>
      </xdr:nvSpPr>
      <xdr:spPr>
        <a:xfrm>
          <a:off x="12538123" y="8525296"/>
          <a:ext cx="213472" cy="1135434"/>
        </a:xfrm>
        <a:prstGeom prst="rightBrace">
          <a:avLst>
            <a:gd name="adj1" fmla="val 41666"/>
            <a:gd name="adj2" fmla="val 48840"/>
          </a:avLst>
        </a:prstGeom>
        <a:ln w="6350"/>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clientData/>
  </xdr:twoCellAnchor>
  <xdr:oneCellAnchor>
    <xdr:from>
      <xdr:col>0</xdr:col>
      <xdr:colOff>93133</xdr:colOff>
      <xdr:row>2</xdr:row>
      <xdr:rowOff>91023</xdr:rowOff>
    </xdr:from>
    <xdr:ext cx="1542258" cy="904615"/>
    <xdr:sp macro="" textlink="">
      <xdr:nvSpPr>
        <xdr:cNvPr id="50" name="TextBox 49"/>
        <xdr:cNvSpPr txBox="1"/>
      </xdr:nvSpPr>
      <xdr:spPr>
        <a:xfrm>
          <a:off x="93133" y="408523"/>
          <a:ext cx="1542258" cy="904615"/>
        </a:xfrm>
        <a:prstGeom prst="rect">
          <a:avLst/>
        </a:prstGeom>
        <a:solidFill>
          <a:schemeClr val="accent6">
            <a:lumMod val="5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solidFill>
                <a:schemeClr val="bg1"/>
              </a:solidFill>
              <a:latin typeface="Arial" pitchFamily="34" charset="0"/>
              <a:cs typeface="Arial" pitchFamily="34" charset="0"/>
            </a:rPr>
            <a:t>HeatBalCalc is a </a:t>
          </a:r>
        </a:p>
        <a:p>
          <a:pPr algn="ctr"/>
          <a:r>
            <a:rPr lang="en-US" sz="1100" b="1">
              <a:solidFill>
                <a:schemeClr val="bg1"/>
              </a:solidFill>
              <a:latin typeface="Arial" pitchFamily="34" charset="0"/>
              <a:cs typeface="Arial" pitchFamily="34" charset="0"/>
            </a:rPr>
            <a:t>Thermart Software </a:t>
          </a:r>
        </a:p>
        <a:p>
          <a:pPr algn="ctr"/>
          <a:r>
            <a:rPr lang="en-US" sz="1100" b="1">
              <a:solidFill>
                <a:schemeClr val="bg1"/>
              </a:solidFill>
              <a:latin typeface="Arial" pitchFamily="34" charset="0"/>
              <a:cs typeface="Arial" pitchFamily="34" charset="0"/>
            </a:rPr>
            <a:t>program.   © 2012</a:t>
          </a:r>
        </a:p>
        <a:p>
          <a:pPr algn="ctr"/>
          <a:r>
            <a:rPr lang="en-US" sz="1100" b="1">
              <a:solidFill>
                <a:schemeClr val="bg1"/>
              </a:solidFill>
              <a:latin typeface="Arial" pitchFamily="34" charset="0"/>
              <a:cs typeface="Arial" pitchFamily="34" charset="0"/>
            </a:rPr>
            <a:t>by Arthur E. Morris.</a:t>
          </a:r>
        </a:p>
        <a:p>
          <a:pPr algn="ctr"/>
          <a:r>
            <a:rPr lang="en-US" sz="1100" b="1">
              <a:solidFill>
                <a:schemeClr val="bg1"/>
              </a:solidFill>
              <a:latin typeface="Arial" pitchFamily="34" charset="0"/>
              <a:cs typeface="Arial" pitchFamily="34" charset="0"/>
            </a:rPr>
            <a:t>www.thermart.net</a:t>
          </a:r>
        </a:p>
      </xdr:txBody>
    </xdr:sp>
    <xdr:clientData/>
  </xdr:oneCellAnchor>
  <xdr:oneCellAnchor>
    <xdr:from>
      <xdr:col>14</xdr:col>
      <xdr:colOff>0</xdr:colOff>
      <xdr:row>58</xdr:row>
      <xdr:rowOff>1</xdr:rowOff>
    </xdr:from>
    <xdr:ext cx="3852334" cy="190500"/>
    <xdr:sp macro="" textlink="">
      <xdr:nvSpPr>
        <xdr:cNvPr id="51" name="TextBox 50"/>
        <xdr:cNvSpPr txBox="1"/>
      </xdr:nvSpPr>
      <xdr:spPr>
        <a:xfrm>
          <a:off x="8610600" y="9991726"/>
          <a:ext cx="3852334" cy="190500"/>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6.  Heat Balance Summary, MJ/min of Operation</a:t>
          </a:r>
          <a:endParaRPr lang="en-US" sz="1300"/>
        </a:p>
      </xdr:txBody>
    </xdr:sp>
    <xdr:clientData/>
  </xdr:oneCellAnchor>
  <xdr:twoCellAnchor>
    <xdr:from>
      <xdr:col>31</xdr:col>
      <xdr:colOff>603250</xdr:colOff>
      <xdr:row>35</xdr:row>
      <xdr:rowOff>110066</xdr:rowOff>
    </xdr:from>
    <xdr:to>
      <xdr:col>39</xdr:col>
      <xdr:colOff>148167</xdr:colOff>
      <xdr:row>51</xdr:row>
      <xdr:rowOff>122766</xdr:rowOff>
    </xdr:to>
    <xdr:graphicFrame macro="">
      <xdr:nvGraphicFramePr>
        <xdr:cNvPr id="53" name="Chart 5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13</xdr:col>
      <xdr:colOff>148167</xdr:colOff>
      <xdr:row>45</xdr:row>
      <xdr:rowOff>45788</xdr:rowOff>
    </xdr:from>
    <xdr:ext cx="5016500" cy="176462"/>
    <xdr:sp macro="" textlink="">
      <xdr:nvSpPr>
        <xdr:cNvPr id="54" name="TextBox 53"/>
        <xdr:cNvSpPr txBox="1"/>
      </xdr:nvSpPr>
      <xdr:spPr>
        <a:xfrm>
          <a:off x="8202084" y="7665788"/>
          <a:ext cx="5016500" cy="176462"/>
        </a:xfrm>
        <a:prstGeom prst="rect">
          <a:avLst/>
        </a:prstGeom>
        <a:solidFill>
          <a:schemeClr val="accent6">
            <a:lumMod val="40000"/>
            <a:lumOff val="60000"/>
          </a:schemeClr>
        </a:solidFill>
        <a:ln w="9525"/>
      </xdr:spPr>
      <xdr:style>
        <a:lnRef idx="2">
          <a:schemeClr val="dk1"/>
        </a:lnRef>
        <a:fillRef idx="1">
          <a:schemeClr val="lt1"/>
        </a:fillRef>
        <a:effectRef idx="0">
          <a:schemeClr val="dk1"/>
        </a:effectRef>
        <a:fontRef idx="minor">
          <a:schemeClr val="dk1"/>
        </a:fontRef>
      </xdr:style>
      <xdr:txBody>
        <a:bodyPr vertOverflow="clip" horzOverflow="clip" wrap="none" rtlCol="0" anchor="ctr">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300">
              <a:solidFill>
                <a:schemeClr val="tx1"/>
              </a:solidFill>
              <a:effectLst/>
              <a:latin typeface="+mn-lt"/>
              <a:ea typeface="+mn-ea"/>
              <a:cs typeface="+mn-cs"/>
            </a:rPr>
            <a:t>Table 5.  Heat Balance Around the Furnace (kJ/min) to calculate heat loss</a:t>
          </a:r>
          <a:endParaRPr lang="en-US" sz="1300"/>
        </a:p>
      </xdr:txBody>
    </xdr:sp>
    <xdr:clientData/>
  </xdr:oneCellAnchor>
  <xdr:oneCellAnchor>
    <xdr:from>
      <xdr:col>24</xdr:col>
      <xdr:colOff>92605</xdr:colOff>
      <xdr:row>41</xdr:row>
      <xdr:rowOff>75223</xdr:rowOff>
    </xdr:from>
    <xdr:ext cx="4693707" cy="2080698"/>
    <xdr:sp macro="" textlink="">
      <xdr:nvSpPr>
        <xdr:cNvPr id="55" name="TextBox 54"/>
        <xdr:cNvSpPr txBox="1"/>
      </xdr:nvSpPr>
      <xdr:spPr>
        <a:xfrm>
          <a:off x="15368324" y="7349942"/>
          <a:ext cx="4693707" cy="2080698"/>
        </a:xfrm>
        <a:prstGeom prst="rect">
          <a:avLst/>
        </a:prstGeom>
        <a:solidFill>
          <a:srgbClr val="FBCBA3"/>
        </a:solidFill>
        <a:ln w="9525"/>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r>
            <a:rPr lang="en-US" sz="1400"/>
            <a:t>Using Goal Seek to Examine the Effect of Changing the Stack Gas Temperature on the </a:t>
          </a:r>
          <a:r>
            <a:rPr kumimoji="0" lang="en-US" sz="1400" b="0" i="0" u="none" strike="noStrike" kern="0" cap="none" spc="0" normalizeH="0" baseline="0" noProof="0">
              <a:ln>
                <a:noFill/>
              </a:ln>
              <a:solidFill>
                <a:prstClr val="black"/>
              </a:solidFill>
              <a:effectLst/>
              <a:uLnTx/>
              <a:uFillTx/>
              <a:latin typeface="+mn-lt"/>
              <a:ea typeface="+mn-ea"/>
              <a:cs typeface="+mn-cs"/>
            </a:rPr>
            <a:t>Aluminum Heating </a:t>
          </a:r>
          <a:r>
            <a:rPr lang="en-US" sz="1400"/>
            <a:t>Rate.</a:t>
          </a:r>
          <a:endParaRPr lang="en-US" sz="1400" baseline="0"/>
        </a:p>
        <a:p>
          <a:r>
            <a:rPr lang="en-US" sz="1100" baseline="0"/>
            <a:t>1.  Look at </a:t>
          </a:r>
          <a:r>
            <a:rPr kumimoji="0" lang="en-US" sz="1100" b="0" i="0" u="none" strike="noStrike" kern="0" cap="none" spc="0" normalizeH="0" baseline="0" noProof="0">
              <a:ln>
                <a:noFill/>
              </a:ln>
              <a:solidFill>
                <a:prstClr val="black"/>
              </a:solidFill>
              <a:effectLst/>
              <a:uLnTx/>
              <a:uFillTx/>
              <a:latin typeface="+mn-lt"/>
              <a:ea typeface="+mn-ea"/>
              <a:cs typeface="+mn-cs"/>
            </a:rPr>
            <a:t>your Excel Help text to refresh your understanding of Goal Seek.</a:t>
          </a:r>
          <a:endParaRPr lang="en-US" sz="1100" baseline="0"/>
        </a:p>
        <a:p>
          <a:r>
            <a:rPr lang="en-US" sz="1100" baseline="0"/>
            <a:t>2.  Enter a value  for the altered stack gas temperature in cell AI33.</a:t>
          </a:r>
        </a:p>
        <a:p>
          <a:r>
            <a:rPr lang="en-US" sz="1100" baseline="0"/>
            <a:t>3.  Go to Data/What-If analysis/Goal  Seek, and enter a value of zero for AI32.</a:t>
          </a:r>
        </a:p>
        <a:p>
          <a:r>
            <a:rPr lang="en-US" sz="1100" baseline="0"/>
            <a:t>4.  Tell Goal Seek to change cell AI34.</a:t>
          </a:r>
        </a:p>
        <a:p>
          <a:r>
            <a:rPr lang="en-US" sz="1100" baseline="0"/>
            <a:t>5.  Click OK twice.  </a:t>
          </a:r>
        </a:p>
        <a:p>
          <a:r>
            <a:rPr lang="en-US" sz="1100" baseline="0"/>
            <a:t>6.  Goal Seek will respond with the updated flowrate of aluminum in cell AI34.</a:t>
          </a:r>
        </a:p>
        <a:p>
          <a:r>
            <a:rPr lang="en-US" sz="1100" baseline="0"/>
            <a:t>7.  Copy the values of cells AI33 and AI34 to a nearby array of cells.</a:t>
          </a:r>
        </a:p>
        <a:p>
          <a:r>
            <a:rPr lang="en-US" sz="1100" baseline="0"/>
            <a:t>8.  Repeat the above process for other stack gas temperatures as desired.</a:t>
          </a:r>
        </a:p>
        <a:p>
          <a:r>
            <a:rPr lang="en-US" sz="1100" baseline="0"/>
            <a:t>9.  Chart the results.  </a:t>
          </a:r>
        </a:p>
      </xdr:txBody>
    </xdr:sp>
    <xdr:clientData/>
  </xdr:oneCellAnchor>
  <xdr:twoCellAnchor>
    <xdr:from>
      <xdr:col>30</xdr:col>
      <xdr:colOff>243415</xdr:colOff>
      <xdr:row>20</xdr:row>
      <xdr:rowOff>10583</xdr:rowOff>
    </xdr:from>
    <xdr:to>
      <xdr:col>32</xdr:col>
      <xdr:colOff>95249</xdr:colOff>
      <xdr:row>23</xdr:row>
      <xdr:rowOff>105833</xdr:rowOff>
    </xdr:to>
    <xdr:sp macro="" textlink="">
      <xdr:nvSpPr>
        <xdr:cNvPr id="57" name="Rounded Rectangular Callout 56"/>
        <xdr:cNvSpPr/>
      </xdr:nvSpPr>
      <xdr:spPr>
        <a:xfrm>
          <a:off x="19378082" y="3333750"/>
          <a:ext cx="1322917" cy="677333"/>
        </a:xfrm>
        <a:prstGeom prst="wedgeRoundRectCallout">
          <a:avLst>
            <a:gd name="adj1" fmla="val 79674"/>
            <a:gd name="adj2" fmla="val 33394"/>
            <a:gd name="adj3" fmla="val 16667"/>
          </a:avLst>
        </a:prstGeom>
        <a:solidFill>
          <a:schemeClr val="accent6">
            <a:lumMod val="40000"/>
            <a:lumOff val="60000"/>
          </a:schemeClr>
        </a:solidFill>
        <a:ln w="952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Goal Seek dialog box with correctly-arranged entries.</a:t>
          </a:r>
        </a:p>
      </xdr:txBody>
    </xdr:sp>
    <xdr:clientData/>
  </xdr:twoCellAnchor>
  <xdr:twoCellAnchor editAs="oneCell">
    <xdr:from>
      <xdr:col>32</xdr:col>
      <xdr:colOff>486833</xdr:colOff>
      <xdr:row>18</xdr:row>
      <xdr:rowOff>10583</xdr:rowOff>
    </xdr:from>
    <xdr:to>
      <xdr:col>36</xdr:col>
      <xdr:colOff>63500</xdr:colOff>
      <xdr:row>26</xdr:row>
      <xdr:rowOff>86783</xdr:rowOff>
    </xdr:to>
    <xdr:pic>
      <xdr:nvPicPr>
        <xdr:cNvPr id="59" name="Picture 5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92583" y="3016250"/>
          <a:ext cx="2148417" cy="1483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263524</xdr:colOff>
      <xdr:row>11</xdr:row>
      <xdr:rowOff>23811</xdr:rowOff>
    </xdr:from>
    <xdr:to>
      <xdr:col>9</xdr:col>
      <xdr:colOff>396875</xdr:colOff>
      <xdr:row>23</xdr:row>
      <xdr:rowOff>90486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11</xdr:row>
      <xdr:rowOff>47625</xdr:rowOff>
    </xdr:from>
    <xdr:to>
      <xdr:col>18</xdr:col>
      <xdr:colOff>171451</xdr:colOff>
      <xdr:row>23</xdr:row>
      <xdr:rowOff>114300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133350</xdr:colOff>
          <xdr:row>3</xdr:row>
          <xdr:rowOff>66675</xdr:rowOff>
        </xdr:from>
        <xdr:to>
          <xdr:col>0</xdr:col>
          <xdr:colOff>990600</xdr:colOff>
          <xdr:row>8</xdr:row>
          <xdr:rowOff>9525</xdr:rowOff>
        </xdr:to>
        <xdr:sp macro="" textlink="">
          <xdr:nvSpPr>
            <xdr:cNvPr id="2049" name="Object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238125</xdr:colOff>
      <xdr:row>22</xdr:row>
      <xdr:rowOff>114300</xdr:rowOff>
    </xdr:from>
    <xdr:to>
      <xdr:col>10</xdr:col>
      <xdr:colOff>542925</xdr:colOff>
      <xdr:row>39</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257175</xdr:colOff>
      <xdr:row>3</xdr:row>
      <xdr:rowOff>142875</xdr:rowOff>
    </xdr:from>
    <xdr:to>
      <xdr:col>21</xdr:col>
      <xdr:colOff>561975</xdr:colOff>
      <xdr:row>20</xdr:row>
      <xdr:rowOff>133350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314325</xdr:colOff>
      <xdr:row>23</xdr:row>
      <xdr:rowOff>95250</xdr:rowOff>
    </xdr:from>
    <xdr:to>
      <xdr:col>22</xdr:col>
      <xdr:colOff>9525</xdr:colOff>
      <xdr:row>40</xdr:row>
      <xdr:rowOff>85725</xdr:rowOff>
    </xdr:to>
    <xdr:graphicFrame macro="">
      <xdr:nvGraphicFramePr>
        <xdr:cNvPr id="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212835</xdr:colOff>
      <xdr:row>4</xdr:row>
      <xdr:rowOff>28575</xdr:rowOff>
    </xdr:from>
    <xdr:to>
      <xdr:col>32</xdr:col>
      <xdr:colOff>56932</xdr:colOff>
      <xdr:row>21</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147145</xdr:colOff>
      <xdr:row>2</xdr:row>
      <xdr:rowOff>70945</xdr:rowOff>
    </xdr:from>
    <xdr:to>
      <xdr:col>10</xdr:col>
      <xdr:colOff>451945</xdr:colOff>
      <xdr:row>19</xdr:row>
      <xdr:rowOff>61420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10</xdr:col>
      <xdr:colOff>462643</xdr:colOff>
      <xdr:row>36</xdr:row>
      <xdr:rowOff>54428</xdr:rowOff>
    </xdr:from>
    <xdr:ext cx="2984087" cy="349807"/>
    <xdr:sp macro="" textlink="">
      <xdr:nvSpPr>
        <xdr:cNvPr id="2" name="TextBox 1"/>
        <xdr:cNvSpPr txBox="1"/>
      </xdr:nvSpPr>
      <xdr:spPr>
        <a:xfrm>
          <a:off x="7482568" y="6617153"/>
          <a:ext cx="2984087" cy="349807"/>
        </a:xfrm>
        <a:prstGeom prst="rect">
          <a:avLst/>
        </a:prstGeom>
        <a:solidFill>
          <a:schemeClr val="bg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Figure 2.  Heat content of CO</a:t>
          </a:r>
          <a:r>
            <a:rPr lang="en-US" sz="1100" baseline="-25000">
              <a:latin typeface="Arial" pitchFamily="34" charset="0"/>
              <a:cs typeface="Arial" pitchFamily="34" charset="0"/>
            </a:rPr>
            <a:t>2</a:t>
          </a:r>
          <a:r>
            <a:rPr lang="en-US" sz="1100">
              <a:latin typeface="Arial" pitchFamily="34" charset="0"/>
              <a:cs typeface="Arial" pitchFamily="34" charset="0"/>
            </a:rPr>
            <a:t> in AES units</a:t>
          </a:r>
        </a:p>
      </xdr:txBody>
    </xdr:sp>
    <xdr:clientData/>
  </xdr:oneCellAnchor>
  <xdr:twoCellAnchor>
    <xdr:from>
      <xdr:col>2</xdr:col>
      <xdr:colOff>649817</xdr:colOff>
      <xdr:row>37</xdr:row>
      <xdr:rowOff>91014</xdr:rowOff>
    </xdr:from>
    <xdr:to>
      <xdr:col>8</xdr:col>
      <xdr:colOff>518583</xdr:colOff>
      <xdr:row>54</xdr:row>
      <xdr:rowOff>74082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123825</xdr:colOff>
          <xdr:row>6</xdr:row>
          <xdr:rowOff>28575</xdr:rowOff>
        </xdr:from>
        <xdr:to>
          <xdr:col>1</xdr:col>
          <xdr:colOff>200025</xdr:colOff>
          <xdr:row>8</xdr:row>
          <xdr:rowOff>142875</xdr:rowOff>
        </xdr:to>
        <xdr:sp macro="" textlink="">
          <xdr:nvSpPr>
            <xdr:cNvPr id="4097" name="Object 1" hidden="1">
              <a:extLst>
                <a:ext uri="{63B3BB69-23CF-44E3-9099-C40C66FF867C}">
                  <a14:compatExt spid="_x0000_s4097"/>
                </a:ext>
              </a:extLst>
            </xdr:cNvPr>
            <xdr:cNvSpPr/>
          </xdr:nvSpPr>
          <xdr:spPr>
            <a:xfrm>
              <a:off x="0" y="0"/>
              <a:ext cx="0" cy="0"/>
            </a:xfrm>
            <a:prstGeom prst="rect">
              <a:avLst/>
            </a:prstGeom>
          </xdr:spPr>
        </xdr:sp>
        <xdr:clientData/>
      </xdr:twoCellAnchor>
    </mc:Choice>
    <mc:Fallback/>
  </mc:AlternateContent>
  <xdr:twoCellAnchor>
    <xdr:from>
      <xdr:col>9</xdr:col>
      <xdr:colOff>455083</xdr:colOff>
      <xdr:row>37</xdr:row>
      <xdr:rowOff>95249</xdr:rowOff>
    </xdr:from>
    <xdr:to>
      <xdr:col>17</xdr:col>
      <xdr:colOff>311452</xdr:colOff>
      <xdr:row>54</xdr:row>
      <xdr:rowOff>162984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146050</xdr:colOff>
      <xdr:row>5</xdr:row>
      <xdr:rowOff>37042</xdr:rowOff>
    </xdr:from>
    <xdr:to>
      <xdr:col>20</xdr:col>
      <xdr:colOff>22225</xdr:colOff>
      <xdr:row>21</xdr:row>
      <xdr:rowOff>12702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5</xdr:row>
      <xdr:rowOff>42333</xdr:rowOff>
    </xdr:from>
    <xdr:to>
      <xdr:col>28</xdr:col>
      <xdr:colOff>114300</xdr:colOff>
      <xdr:row>21</xdr:row>
      <xdr:rowOff>21168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66675</xdr:colOff>
          <xdr:row>3</xdr:row>
          <xdr:rowOff>66675</xdr:rowOff>
        </xdr:from>
        <xdr:to>
          <xdr:col>1</xdr:col>
          <xdr:colOff>923925</xdr:colOff>
          <xdr:row>6</xdr:row>
          <xdr:rowOff>209550</xdr:rowOff>
        </xdr:to>
        <xdr:sp macro="" textlink="">
          <xdr:nvSpPr>
            <xdr:cNvPr id="5121" name="Object 1" hidden="1">
              <a:extLst>
                <a:ext uri="{63B3BB69-23CF-44E3-9099-C40C66FF867C}">
                  <a14:compatExt spid="_x0000_s5121"/>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9</xdr:col>
      <xdr:colOff>66675</xdr:colOff>
      <xdr:row>3</xdr:row>
      <xdr:rowOff>85725</xdr:rowOff>
    </xdr:from>
    <xdr:to>
      <xdr:col>14</xdr:col>
      <xdr:colOff>391151</xdr:colOff>
      <xdr:row>5</xdr:row>
      <xdr:rowOff>81643</xdr:rowOff>
    </xdr:to>
    <xdr:pic>
      <xdr:nvPicPr>
        <xdr:cNvPr id="2" name="Picture 1" descr="http://132.207.164.4/reacwebres.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24525" y="619125"/>
          <a:ext cx="2534276" cy="338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169335</xdr:colOff>
      <xdr:row>33</xdr:row>
      <xdr:rowOff>0</xdr:rowOff>
    </xdr:from>
    <xdr:to>
      <xdr:col>8</xdr:col>
      <xdr:colOff>571500</xdr:colOff>
      <xdr:row>49</xdr:row>
      <xdr:rowOff>152399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735440</xdr:colOff>
      <xdr:row>32</xdr:row>
      <xdr:rowOff>180264</xdr:rowOff>
    </xdr:from>
    <xdr:to>
      <xdr:col>18</xdr:col>
      <xdr:colOff>255188</xdr:colOff>
      <xdr:row>49</xdr:row>
      <xdr:rowOff>145679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76200</xdr:colOff>
          <xdr:row>8</xdr:row>
          <xdr:rowOff>0</xdr:rowOff>
        </xdr:from>
        <xdr:to>
          <xdr:col>1</xdr:col>
          <xdr:colOff>323850</xdr:colOff>
          <xdr:row>12</xdr:row>
          <xdr:rowOff>38100</xdr:rowOff>
        </xdr:to>
        <xdr:sp macro="" textlink="">
          <xdr:nvSpPr>
            <xdr:cNvPr id="6145" name="Object 1" hidden="1">
              <a:extLst>
                <a:ext uri="{63B3BB69-23CF-44E3-9099-C40C66FF867C}">
                  <a14:compatExt spid="_x0000_s6145"/>
                </a:ext>
              </a:extLst>
            </xdr:cNvPr>
            <xdr:cNvSpPr/>
          </xdr:nvSpPr>
          <xdr:spPr>
            <a:xfrm>
              <a:off x="0" y="0"/>
              <a:ext cx="0" cy="0"/>
            </a:xfrm>
            <a:prstGeom prst="rect">
              <a:avLst/>
            </a:prstGeom>
          </xdr:spPr>
        </xdr:sp>
        <xdr:clientData/>
      </xdr:twoCellAnchor>
    </mc:Choice>
    <mc:Fallback/>
  </mc:AlternateContent>
  <xdr:twoCellAnchor>
    <xdr:from>
      <xdr:col>26</xdr:col>
      <xdr:colOff>227011</xdr:colOff>
      <xdr:row>40</xdr:row>
      <xdr:rowOff>89551</xdr:rowOff>
    </xdr:from>
    <xdr:to>
      <xdr:col>36</xdr:col>
      <xdr:colOff>505220</xdr:colOff>
      <xdr:row>65</xdr:row>
      <xdr:rowOff>135262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27</xdr:col>
          <xdr:colOff>371475</xdr:colOff>
          <xdr:row>2</xdr:row>
          <xdr:rowOff>133350</xdr:rowOff>
        </xdr:from>
        <xdr:to>
          <xdr:col>29</xdr:col>
          <xdr:colOff>9525</xdr:colOff>
          <xdr:row>6</xdr:row>
          <xdr:rowOff>152400</xdr:rowOff>
        </xdr:to>
        <xdr:sp macro="" textlink="">
          <xdr:nvSpPr>
            <xdr:cNvPr id="6146" name="Object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xdr:twoCellAnchor>
    <xdr:from>
      <xdr:col>37</xdr:col>
      <xdr:colOff>593912</xdr:colOff>
      <xdr:row>7</xdr:row>
      <xdr:rowOff>22411</xdr:rowOff>
    </xdr:from>
    <xdr:to>
      <xdr:col>45</xdr:col>
      <xdr:colOff>403412</xdr:colOff>
      <xdr:row>25</xdr:row>
      <xdr:rowOff>44823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oleObject" Target="../embeddings/oleObject5.bin"/><Relationship Id="rId5" Type="http://schemas.openxmlformats.org/officeDocument/2006/relationships/image" Target="../media/image3.emf"/><Relationship Id="rId4" Type="http://schemas.openxmlformats.org/officeDocument/2006/relationships/oleObject" Target="../embeddings/oleObject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5"/>
  <sheetViews>
    <sheetView topLeftCell="Q35" zoomScale="90" zoomScaleNormal="90" workbookViewId="0">
      <selection activeCell="AK25" sqref="AK25:AL25"/>
    </sheetView>
  </sheetViews>
  <sheetFormatPr defaultRowHeight="12.75" x14ac:dyDescent="0.2"/>
  <cols>
    <col min="2" max="2" width="9.140625" customWidth="1"/>
    <col min="7" max="7" width="10.28515625" customWidth="1"/>
    <col min="17" max="17" width="10.28515625" customWidth="1"/>
    <col min="18" max="18" width="10.42578125" customWidth="1"/>
    <col min="19" max="19" width="10" customWidth="1"/>
    <col min="20" max="20" width="10.28515625" customWidth="1"/>
    <col min="21" max="21" width="11.42578125" customWidth="1"/>
    <col min="22" max="22" width="9.28515625" customWidth="1"/>
    <col min="23" max="23" width="11.28515625" customWidth="1"/>
    <col min="26" max="26" width="10.140625" bestFit="1" customWidth="1"/>
    <col min="31" max="31" width="12.85546875" customWidth="1"/>
    <col min="34" max="34" width="11.42578125" customWidth="1"/>
    <col min="35" max="35" width="8.7109375" customWidth="1"/>
  </cols>
  <sheetData>
    <row r="1" spans="1:22" x14ac:dyDescent="0.2">
      <c r="A1" s="1" t="s">
        <v>0</v>
      </c>
    </row>
    <row r="7" spans="1:22" x14ac:dyDescent="0.2">
      <c r="C7" s="2"/>
      <c r="D7" s="2"/>
      <c r="E7" s="2"/>
      <c r="F7" s="2"/>
      <c r="G7" s="2"/>
      <c r="H7" s="2"/>
      <c r="I7" s="2"/>
      <c r="J7" s="2"/>
      <c r="K7" s="2"/>
      <c r="L7" s="2"/>
      <c r="M7" s="2"/>
    </row>
    <row r="8" spans="1:22" ht="13.5" thickBot="1" x14ac:dyDescent="0.25">
      <c r="C8" s="2"/>
      <c r="D8" s="2"/>
      <c r="E8" s="2"/>
      <c r="F8" s="2"/>
      <c r="G8" s="2"/>
      <c r="H8" s="2"/>
      <c r="I8" s="2"/>
      <c r="J8" s="2"/>
      <c r="K8" s="2"/>
      <c r="L8" s="2"/>
      <c r="M8" s="2"/>
    </row>
    <row r="9" spans="1:22" ht="15" thickBot="1" x14ac:dyDescent="0.25">
      <c r="C9" s="2"/>
      <c r="D9" s="2"/>
      <c r="E9" s="2"/>
      <c r="F9" s="2"/>
      <c r="G9" s="2"/>
      <c r="H9" s="2"/>
      <c r="I9" s="2"/>
      <c r="J9" s="2"/>
      <c r="K9" s="2"/>
      <c r="L9" s="2"/>
      <c r="M9" s="2"/>
      <c r="O9" s="3"/>
      <c r="P9" s="4"/>
      <c r="Q9" s="5" t="s">
        <v>1</v>
      </c>
      <c r="R9" s="6">
        <v>-805.04393000000005</v>
      </c>
      <c r="T9" s="7" t="s">
        <v>2</v>
      </c>
      <c r="U9" s="8">
        <v>-805040</v>
      </c>
      <c r="V9" t="s">
        <v>206</v>
      </c>
    </row>
    <row r="10" spans="1:22" x14ac:dyDescent="0.2">
      <c r="C10" s="2"/>
      <c r="D10" s="2"/>
      <c r="E10" s="2"/>
      <c r="F10" s="2"/>
      <c r="G10" s="2"/>
      <c r="H10" s="2"/>
      <c r="I10" s="2"/>
      <c r="J10" s="2"/>
      <c r="K10" s="2"/>
      <c r="L10" s="2"/>
      <c r="M10" s="2"/>
    </row>
    <row r="11" spans="1:22" x14ac:dyDescent="0.2">
      <c r="C11" s="2"/>
      <c r="D11" s="2"/>
      <c r="E11" s="2"/>
      <c r="F11" s="2"/>
      <c r="G11" s="2"/>
      <c r="H11" s="2"/>
      <c r="I11" s="2"/>
      <c r="J11" s="2"/>
      <c r="K11" s="2"/>
      <c r="L11" s="2"/>
      <c r="M11" s="2"/>
    </row>
    <row r="12" spans="1:22" x14ac:dyDescent="0.2">
      <c r="C12" s="2"/>
      <c r="D12" s="2"/>
      <c r="E12" s="2"/>
      <c r="F12" s="2"/>
      <c r="G12" s="2"/>
      <c r="H12" s="2"/>
      <c r="I12" s="2"/>
      <c r="J12" s="2"/>
      <c r="K12" s="2"/>
      <c r="L12" s="2"/>
      <c r="M12" s="2"/>
    </row>
    <row r="13" spans="1:22" x14ac:dyDescent="0.2">
      <c r="C13" s="9"/>
      <c r="D13" s="9"/>
      <c r="E13" s="9"/>
      <c r="F13" s="9"/>
      <c r="G13" s="9"/>
      <c r="H13" s="9"/>
      <c r="I13" s="9"/>
      <c r="J13" s="9"/>
      <c r="K13" s="2"/>
      <c r="L13" s="2"/>
      <c r="M13" s="2"/>
    </row>
    <row r="14" spans="1:22" x14ac:dyDescent="0.2">
      <c r="C14" s="9"/>
      <c r="D14" s="9"/>
      <c r="E14" s="9"/>
      <c r="F14" s="9"/>
      <c r="G14" s="9"/>
      <c r="H14" s="9"/>
      <c r="I14" s="9"/>
      <c r="J14" s="9"/>
      <c r="K14" s="2"/>
      <c r="L14" s="2"/>
      <c r="M14" s="2"/>
    </row>
    <row r="15" spans="1:22" ht="17.25" x14ac:dyDescent="0.25">
      <c r="O15" s="10"/>
      <c r="P15" s="11" t="s">
        <v>3</v>
      </c>
      <c r="Q15" s="12"/>
      <c r="R15" s="10"/>
      <c r="S15" s="10"/>
      <c r="T15" s="10"/>
      <c r="U15" s="10"/>
    </row>
    <row r="16" spans="1:22" ht="15.75" x14ac:dyDescent="0.3">
      <c r="O16" s="13"/>
      <c r="P16" s="13" t="s">
        <v>4</v>
      </c>
      <c r="Q16" s="13"/>
      <c r="S16" s="13"/>
      <c r="T16" s="13" t="s">
        <v>5</v>
      </c>
      <c r="U16" s="13"/>
    </row>
    <row r="17" spans="3:38" x14ac:dyDescent="0.2">
      <c r="C17" s="14"/>
      <c r="D17" s="14"/>
      <c r="E17" s="14"/>
      <c r="F17" s="14"/>
      <c r="G17" s="14"/>
      <c r="H17" s="14"/>
      <c r="I17" s="14"/>
      <c r="J17" s="14"/>
      <c r="O17" s="15" t="s">
        <v>6</v>
      </c>
      <c r="P17" s="15" t="s">
        <v>7</v>
      </c>
      <c r="Q17" s="16" t="s">
        <v>8</v>
      </c>
      <c r="S17" s="15" t="s">
        <v>6</v>
      </c>
      <c r="T17" s="15" t="s">
        <v>7</v>
      </c>
      <c r="U17" s="16" t="s">
        <v>8</v>
      </c>
    </row>
    <row r="18" spans="3:38" x14ac:dyDescent="0.2">
      <c r="C18" s="14"/>
      <c r="O18" s="17">
        <v>-2077</v>
      </c>
      <c r="P18" s="18">
        <v>31.4</v>
      </c>
      <c r="Q18" s="19">
        <v>1.317E-3</v>
      </c>
      <c r="S18" s="17">
        <v>-2265</v>
      </c>
      <c r="T18" s="18">
        <v>33.409999999999997</v>
      </c>
      <c r="U18" s="19">
        <v>1.255E-3</v>
      </c>
    </row>
    <row r="19" spans="3:38" x14ac:dyDescent="0.2">
      <c r="D19" s="14"/>
      <c r="E19" s="14"/>
      <c r="F19" s="14"/>
      <c r="G19" s="14"/>
      <c r="H19" s="14"/>
      <c r="I19" s="14"/>
      <c r="J19" s="14"/>
    </row>
    <row r="20" spans="3:38" x14ac:dyDescent="0.2">
      <c r="D20" s="20"/>
      <c r="E20" s="21"/>
      <c r="F20" s="21"/>
      <c r="G20" s="21"/>
      <c r="H20" s="21"/>
      <c r="I20" s="21"/>
      <c r="J20" s="21"/>
      <c r="K20" s="14"/>
    </row>
    <row r="21" spans="3:38" ht="15.75" x14ac:dyDescent="0.3">
      <c r="D21" s="22" t="s">
        <v>9</v>
      </c>
      <c r="E21" s="23" t="s">
        <v>10</v>
      </c>
      <c r="F21" s="23" t="s">
        <v>11</v>
      </c>
      <c r="G21" s="23" t="s">
        <v>12</v>
      </c>
      <c r="H21" s="23" t="s">
        <v>13</v>
      </c>
      <c r="I21" s="23" t="s">
        <v>14</v>
      </c>
      <c r="J21" s="23" t="s">
        <v>15</v>
      </c>
      <c r="K21" s="23" t="s">
        <v>16</v>
      </c>
      <c r="O21" s="13"/>
      <c r="P21" s="13" t="s">
        <v>17</v>
      </c>
      <c r="Q21" s="13"/>
      <c r="S21" s="13"/>
      <c r="T21" s="13" t="s">
        <v>18</v>
      </c>
      <c r="U21" s="13"/>
    </row>
    <row r="22" spans="3:38" ht="15" x14ac:dyDescent="0.2">
      <c r="D22" s="24" t="s">
        <v>19</v>
      </c>
      <c r="E22" s="25">
        <v>1</v>
      </c>
      <c r="F22" s="25">
        <v>2</v>
      </c>
      <c r="G22" s="25">
        <v>3</v>
      </c>
      <c r="H22" s="25">
        <v>4</v>
      </c>
      <c r="I22" s="25">
        <v>5</v>
      </c>
      <c r="J22" s="26">
        <v>6</v>
      </c>
      <c r="K22" s="25">
        <v>7</v>
      </c>
      <c r="O22" s="15" t="s">
        <v>6</v>
      </c>
      <c r="P22" s="15" t="s">
        <v>7</v>
      </c>
      <c r="Q22" s="15" t="s">
        <v>8</v>
      </c>
      <c r="S22" s="15" t="s">
        <v>6</v>
      </c>
      <c r="T22" s="15" t="s">
        <v>7</v>
      </c>
      <c r="U22" s="27" t="s">
        <v>8</v>
      </c>
    </row>
    <row r="23" spans="3:38" ht="15" x14ac:dyDescent="0.2">
      <c r="D23" s="28" t="s">
        <v>20</v>
      </c>
      <c r="E23" s="29">
        <v>1307.9635441467497</v>
      </c>
      <c r="F23" s="29">
        <v>14739.114188103686</v>
      </c>
      <c r="G23" s="29">
        <v>16066.697185412637</v>
      </c>
      <c r="H23" s="29">
        <v>16391.295680503463</v>
      </c>
      <c r="I23" s="29">
        <v>324.59849509082477</v>
      </c>
      <c r="J23" s="29">
        <v>29649.945332913292</v>
      </c>
      <c r="K23" s="29">
        <v>29649.945332913292</v>
      </c>
      <c r="O23" s="17">
        <v>-2563</v>
      </c>
      <c r="P23" s="18">
        <v>36.04</v>
      </c>
      <c r="Q23" s="19">
        <v>4.3229999999999996E-3</v>
      </c>
      <c r="S23" s="17">
        <v>-6014</v>
      </c>
      <c r="T23" s="18">
        <v>52.48</v>
      </c>
      <c r="U23" s="19">
        <v>2.2569999999999999E-3</v>
      </c>
    </row>
    <row r="24" spans="3:38" x14ac:dyDescent="0.2">
      <c r="D24" s="30" t="s">
        <v>21</v>
      </c>
      <c r="E24" s="31">
        <v>0</v>
      </c>
      <c r="F24" s="31">
        <v>0</v>
      </c>
      <c r="G24" s="31">
        <v>0</v>
      </c>
      <c r="H24" s="31">
        <v>0</v>
      </c>
      <c r="I24" s="31">
        <v>0</v>
      </c>
      <c r="J24" s="32">
        <v>29649.945332913292</v>
      </c>
      <c r="K24" s="32">
        <v>29649.945332913292</v>
      </c>
    </row>
    <row r="25" spans="3:38" x14ac:dyDescent="0.2">
      <c r="D25" s="30" t="s">
        <v>22</v>
      </c>
      <c r="E25" s="32">
        <v>1242.5653669394121</v>
      </c>
      <c r="F25" s="31">
        <v>0</v>
      </c>
      <c r="G25" s="31">
        <v>0</v>
      </c>
      <c r="H25" s="31">
        <v>0</v>
      </c>
      <c r="I25" s="31">
        <v>0</v>
      </c>
      <c r="J25" s="33">
        <v>0</v>
      </c>
      <c r="K25" s="31">
        <v>0</v>
      </c>
      <c r="U25" s="34" t="s">
        <v>23</v>
      </c>
    </row>
    <row r="26" spans="3:38" ht="15" x14ac:dyDescent="0.2">
      <c r="D26" s="30" t="s">
        <v>24</v>
      </c>
      <c r="E26" s="35">
        <v>39.238906324402485</v>
      </c>
      <c r="F26" s="31">
        <v>0</v>
      </c>
      <c r="G26" s="31">
        <v>0</v>
      </c>
      <c r="H26" s="31">
        <v>0</v>
      </c>
      <c r="I26" s="31">
        <v>0</v>
      </c>
      <c r="J26" s="33">
        <v>0</v>
      </c>
      <c r="K26" s="31">
        <v>0</v>
      </c>
      <c r="O26" s="13"/>
      <c r="P26" s="13" t="s">
        <v>25</v>
      </c>
      <c r="Q26" s="13"/>
      <c r="S26" s="36"/>
      <c r="T26" s="37" t="s">
        <v>26</v>
      </c>
      <c r="U26" s="36"/>
    </row>
    <row r="27" spans="3:38" x14ac:dyDescent="0.2">
      <c r="D27" s="30" t="s">
        <v>27</v>
      </c>
      <c r="E27" s="31">
        <v>0</v>
      </c>
      <c r="F27" s="31">
        <v>0</v>
      </c>
      <c r="G27" s="32">
        <v>1321.0431795882171</v>
      </c>
      <c r="H27" s="32">
        <v>1321.0431795882171</v>
      </c>
      <c r="I27" s="31">
        <v>0</v>
      </c>
      <c r="J27" s="33">
        <v>0</v>
      </c>
      <c r="K27" s="31">
        <v>0</v>
      </c>
      <c r="O27" s="15" t="s">
        <v>6</v>
      </c>
      <c r="P27" s="15" t="s">
        <v>7</v>
      </c>
      <c r="Q27" s="15" t="s">
        <v>8</v>
      </c>
      <c r="S27" s="15" t="s">
        <v>6</v>
      </c>
      <c r="T27" s="15" t="s">
        <v>7</v>
      </c>
      <c r="U27" s="15" t="s">
        <v>8</v>
      </c>
    </row>
    <row r="28" spans="3:38" x14ac:dyDescent="0.2">
      <c r="D28" s="30" t="s">
        <v>28</v>
      </c>
      <c r="E28" s="31">
        <v>0</v>
      </c>
      <c r="F28" s="31">
        <v>0</v>
      </c>
      <c r="G28" s="32">
        <v>2602.8474528520319</v>
      </c>
      <c r="H28" s="32">
        <v>2602.8474528520319</v>
      </c>
      <c r="I28" s="31">
        <v>0</v>
      </c>
      <c r="J28" s="33">
        <v>0</v>
      </c>
      <c r="K28" s="31">
        <v>0</v>
      </c>
      <c r="O28" s="17">
        <v>-713</v>
      </c>
      <c r="P28" s="18">
        <v>28.43</v>
      </c>
      <c r="Q28" s="19">
        <v>3.3899999999999998E-3</v>
      </c>
      <c r="S28" s="38">
        <v>-21.08902231117041</v>
      </c>
      <c r="T28" s="39">
        <v>0.87457416055147885</v>
      </c>
      <c r="U28" s="40">
        <v>2.5430879845823141E-4</v>
      </c>
    </row>
    <row r="29" spans="3:38" x14ac:dyDescent="0.2">
      <c r="D29" s="30" t="s">
        <v>29</v>
      </c>
      <c r="E29" s="35">
        <v>26.159270882935015</v>
      </c>
      <c r="F29" s="32">
        <v>11643.900208601912</v>
      </c>
      <c r="G29" s="32">
        <v>11670.059479484848</v>
      </c>
      <c r="H29" s="32">
        <v>11926.492290606599</v>
      </c>
      <c r="I29" s="35">
        <v>256.43281112175157</v>
      </c>
      <c r="J29" s="33">
        <v>0</v>
      </c>
      <c r="K29" s="31">
        <v>0</v>
      </c>
    </row>
    <row r="30" spans="3:38" ht="14.25" x14ac:dyDescent="0.2">
      <c r="D30" s="30" t="s">
        <v>30</v>
      </c>
      <c r="E30" s="31">
        <v>0</v>
      </c>
      <c r="F30" s="32">
        <v>3095.2139795017738</v>
      </c>
      <c r="G30" s="35">
        <v>472.747073487541</v>
      </c>
      <c r="H30" s="35">
        <v>540.91275745661414</v>
      </c>
      <c r="I30" s="35">
        <v>68.1656839690732</v>
      </c>
      <c r="J30" s="33">
        <v>0</v>
      </c>
      <c r="K30" s="31">
        <v>0</v>
      </c>
      <c r="AG30" s="52"/>
      <c r="AH30" s="52"/>
      <c r="AI30" s="52"/>
      <c r="AJ30" s="253" t="s">
        <v>211</v>
      </c>
      <c r="AK30" s="52"/>
      <c r="AL30" s="52"/>
    </row>
    <row r="32" spans="3:38" ht="13.5" thickBot="1" x14ac:dyDescent="0.25">
      <c r="W32" s="41"/>
      <c r="Z32" t="s">
        <v>39</v>
      </c>
      <c r="AE32" s="41">
        <f>-SUM(T40:T43)</f>
        <v>-1039575.9932976406</v>
      </c>
      <c r="AH32" s="155" t="s">
        <v>210</v>
      </c>
      <c r="AI32" s="252">
        <f>SUM(AE32:AE40)</f>
        <v>0</v>
      </c>
    </row>
    <row r="33" spans="15:38" ht="13.5" thickBot="1" x14ac:dyDescent="0.25">
      <c r="Z33" t="s">
        <v>40</v>
      </c>
      <c r="AE33">
        <v>0</v>
      </c>
      <c r="AG33" s="244"/>
      <c r="AH33" s="245" t="s">
        <v>207</v>
      </c>
      <c r="AI33" s="249">
        <v>788</v>
      </c>
      <c r="AJ33">
        <v>775</v>
      </c>
      <c r="AK33">
        <v>750</v>
      </c>
      <c r="AL33">
        <v>725</v>
      </c>
    </row>
    <row r="34" spans="15:38" x14ac:dyDescent="0.2">
      <c r="Z34" t="s">
        <v>41</v>
      </c>
      <c r="AE34">
        <v>0</v>
      </c>
      <c r="AG34" s="246"/>
      <c r="AH34" s="247" t="s">
        <v>208</v>
      </c>
      <c r="AI34" s="248">
        <v>813.50806460143599</v>
      </c>
      <c r="AJ34">
        <v>828</v>
      </c>
      <c r="AK34">
        <v>856</v>
      </c>
      <c r="AL34">
        <v>884</v>
      </c>
    </row>
    <row r="35" spans="15:38" x14ac:dyDescent="0.2">
      <c r="Z35" t="s">
        <v>42</v>
      </c>
      <c r="AE35" s="41">
        <f>AI34*(S28+T28*550+U28*550^2)</f>
        <v>436736.01644023962</v>
      </c>
    </row>
    <row r="36" spans="15:38" ht="15.75" x14ac:dyDescent="0.3">
      <c r="Z36" t="s">
        <v>43</v>
      </c>
      <c r="AE36" s="41">
        <f>(H27/1000)*(S23+T23*AI33+U23*AI33^2)</f>
        <v>48537.386205102448</v>
      </c>
    </row>
    <row r="37" spans="15:38" ht="15.75" x14ac:dyDescent="0.3">
      <c r="O37" t="s">
        <v>31</v>
      </c>
      <c r="T37" s="34">
        <v>0</v>
      </c>
      <c r="Z37" t="s">
        <v>44</v>
      </c>
      <c r="AE37" s="41">
        <f>(H28/1000)*(O23 + P23*AI33 +  Q23*AI33^2)</f>
        <v>74235.450177946288</v>
      </c>
    </row>
    <row r="38" spans="15:38" ht="15.75" x14ac:dyDescent="0.3">
      <c r="O38" t="s">
        <v>32</v>
      </c>
      <c r="T38" s="34">
        <v>0</v>
      </c>
      <c r="Z38" t="s">
        <v>46</v>
      </c>
      <c r="AE38" s="41">
        <f>(H29/1000)*(O18+P18*AI33+Q18*AI33^2)</f>
        <v>280081.54516000644</v>
      </c>
    </row>
    <row r="39" spans="15:38" ht="15.75" x14ac:dyDescent="0.3">
      <c r="O39" t="s">
        <v>33</v>
      </c>
      <c r="T39" s="42">
        <f>(E23/1000)*U9</f>
        <v>-1052962.9715798993</v>
      </c>
      <c r="Z39" t="s">
        <v>48</v>
      </c>
      <c r="AE39" s="41">
        <f>(H30/1000)*(S18+T18*AI33+U18*AI33^2)</f>
        <v>13437.011089680651</v>
      </c>
    </row>
    <row r="40" spans="15:38" ht="15.75" x14ac:dyDescent="0.3">
      <c r="O40" t="s">
        <v>34</v>
      </c>
      <c r="T40" s="42">
        <f>(G27/1000)*(S23 + T23*1800 + U23*1800^2)</f>
        <v>126506.63527308896</v>
      </c>
      <c r="Z40" t="s">
        <v>50</v>
      </c>
      <c r="AE40" s="41">
        <f>-SUM(T48:T55)</f>
        <v>186548.58422466498</v>
      </c>
      <c r="AG40" s="51"/>
    </row>
    <row r="41" spans="15:38" ht="15.75" x14ac:dyDescent="0.3">
      <c r="O41" t="s">
        <v>35</v>
      </c>
      <c r="T41" s="42">
        <f>(G28/1000)*(O23+P23*1800+Q23*1800^2)</f>
        <v>198637.65684507831</v>
      </c>
      <c r="Z41" t="s">
        <v>209</v>
      </c>
      <c r="AE41" s="41">
        <f>AI32</f>
        <v>0</v>
      </c>
    </row>
    <row r="42" spans="15:38" ht="15.75" x14ac:dyDescent="0.3">
      <c r="O42" t="s">
        <v>36</v>
      </c>
      <c r="T42" s="42">
        <f>(G29/1000)*(O18+P18*1800+Q18*1800^2)</f>
        <v>685150.12564531376</v>
      </c>
    </row>
    <row r="43" spans="15:38" ht="15.75" x14ac:dyDescent="0.3">
      <c r="O43" t="s">
        <v>37</v>
      </c>
      <c r="T43" s="42">
        <f>(G30/1000)*(S18+T18*1800+U18*1800^2)</f>
        <v>29281.575534159496</v>
      </c>
    </row>
    <row r="44" spans="15:38" ht="14.25" x14ac:dyDescent="0.2">
      <c r="O44" t="s">
        <v>38</v>
      </c>
      <c r="T44" s="43">
        <f>-SUM(T39:T43)</f>
        <v>13386.978282258784</v>
      </c>
    </row>
    <row r="45" spans="15:38" x14ac:dyDescent="0.2">
      <c r="T45" s="44"/>
    </row>
    <row r="46" spans="15:38" x14ac:dyDescent="0.2">
      <c r="T46" s="44"/>
    </row>
    <row r="48" spans="15:38" x14ac:dyDescent="0.2">
      <c r="O48" t="s">
        <v>39</v>
      </c>
      <c r="T48" s="42">
        <f>-SUM(T40:T43)</f>
        <v>-1039575.9932976406</v>
      </c>
    </row>
    <row r="49" spans="2:21" x14ac:dyDescent="0.2">
      <c r="O49" t="s">
        <v>40</v>
      </c>
      <c r="T49" s="45">
        <v>0</v>
      </c>
    </row>
    <row r="50" spans="2:21" x14ac:dyDescent="0.2">
      <c r="O50" t="s">
        <v>41</v>
      </c>
      <c r="T50" s="45">
        <v>0</v>
      </c>
    </row>
    <row r="51" spans="2:21" x14ac:dyDescent="0.2">
      <c r="O51" t="s">
        <v>42</v>
      </c>
      <c r="T51" s="42">
        <f>800*(S28+T28*550+U28*550^2)</f>
        <v>429484.14202060632</v>
      </c>
    </row>
    <row r="52" spans="2:21" ht="15.75" x14ac:dyDescent="0.3">
      <c r="O52" t="s">
        <v>43</v>
      </c>
      <c r="T52" s="42">
        <f>(H27/1000)*(S23+T23*800+U23*800^2)</f>
        <v>49426.143621839765</v>
      </c>
    </row>
    <row r="53" spans="2:21" ht="15.75" x14ac:dyDescent="0.3">
      <c r="O53" t="s">
        <v>44</v>
      </c>
      <c r="T53" s="42">
        <f>(H28/1000)*(O23+P23*800+Q23*800^2)</f>
        <v>75575.549843724802</v>
      </c>
    </row>
    <row r="54" spans="2:21" ht="15.75" x14ac:dyDescent="0.3">
      <c r="O54" t="s">
        <v>46</v>
      </c>
      <c r="T54" s="47">
        <f>(H29/1000)*(O18+P18*800+Q18*800^2)</f>
        <v>284874.76367435436</v>
      </c>
    </row>
    <row r="55" spans="2:21" ht="15.75" x14ac:dyDescent="0.3">
      <c r="O55" t="s">
        <v>48</v>
      </c>
      <c r="T55" s="47">
        <f>(H30/1000)*(S18+T18*800+U18*800^2)</f>
        <v>13666.809912450302</v>
      </c>
    </row>
    <row r="56" spans="2:21" ht="14.25" x14ac:dyDescent="0.2">
      <c r="B56" s="46" t="s">
        <v>45</v>
      </c>
      <c r="O56" t="s">
        <v>50</v>
      </c>
      <c r="T56" s="49">
        <f>-SUM(T48:T55)</f>
        <v>186548.58422466498</v>
      </c>
    </row>
    <row r="57" spans="2:21" x14ac:dyDescent="0.2">
      <c r="B57" s="48" t="s">
        <v>47</v>
      </c>
    </row>
    <row r="58" spans="2:21" x14ac:dyDescent="0.2">
      <c r="T58" s="41"/>
    </row>
    <row r="59" spans="2:21" x14ac:dyDescent="0.2">
      <c r="B59" s="50" t="s">
        <v>51</v>
      </c>
      <c r="C59" t="s">
        <v>49</v>
      </c>
      <c r="R59" s="51"/>
      <c r="S59" s="51"/>
      <c r="T59" s="51"/>
    </row>
    <row r="60" spans="2:21" x14ac:dyDescent="0.2">
      <c r="B60" s="50" t="s">
        <v>52</v>
      </c>
      <c r="R60" s="51"/>
      <c r="S60" s="51"/>
      <c r="T60" s="51"/>
      <c r="U60" s="51"/>
    </row>
    <row r="61" spans="2:21" x14ac:dyDescent="0.2">
      <c r="B61" s="50" t="s">
        <v>53</v>
      </c>
      <c r="O61" s="52"/>
      <c r="P61" s="52" t="s">
        <v>55</v>
      </c>
      <c r="Q61" s="52"/>
      <c r="S61" s="53" t="s">
        <v>56</v>
      </c>
      <c r="T61" s="54" t="s">
        <v>57</v>
      </c>
      <c r="U61" s="51"/>
    </row>
    <row r="62" spans="2:21" x14ac:dyDescent="0.2">
      <c r="B62" s="50" t="s">
        <v>54</v>
      </c>
      <c r="O62" t="s">
        <v>58</v>
      </c>
      <c r="R62" s="51"/>
      <c r="S62" s="55">
        <f>-T39/1000</f>
        <v>1052.9629715798992</v>
      </c>
      <c r="T62" s="56">
        <f>S62/$S$62</f>
        <v>1</v>
      </c>
      <c r="U62" s="51"/>
    </row>
    <row r="63" spans="2:21" x14ac:dyDescent="0.2">
      <c r="O63" t="s">
        <v>59</v>
      </c>
      <c r="R63" s="51"/>
      <c r="S63" s="55">
        <f>SUM(T52:T55)/1000</f>
        <v>423.54326705236923</v>
      </c>
      <c r="T63" s="56">
        <f>S63/$S$62</f>
        <v>0.40223946946289235</v>
      </c>
      <c r="U63" s="51"/>
    </row>
    <row r="64" spans="2:21" x14ac:dyDescent="0.2">
      <c r="O64" t="s">
        <v>60</v>
      </c>
      <c r="R64" s="51"/>
      <c r="S64" s="55">
        <f>T51/1000</f>
        <v>429.48414202060633</v>
      </c>
      <c r="T64" s="56">
        <f>S64/$S$62</f>
        <v>0.4078815244340403</v>
      </c>
      <c r="U64" s="51"/>
    </row>
    <row r="65" spans="15:21" x14ac:dyDescent="0.2">
      <c r="O65" t="s">
        <v>61</v>
      </c>
      <c r="R65" s="51"/>
      <c r="S65" s="55">
        <f>(T44+T56)/1000</f>
        <v>199.93556250692376</v>
      </c>
      <c r="T65" s="56">
        <f>S65/$S$62</f>
        <v>0.18987900610306749</v>
      </c>
      <c r="U65" s="51"/>
    </row>
  </sheetData>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35"/>
  <sheetViews>
    <sheetView zoomScale="90" zoomScaleNormal="90" workbookViewId="0">
      <selection activeCell="T65" sqref="T65"/>
    </sheetView>
  </sheetViews>
  <sheetFormatPr defaultRowHeight="12.75" x14ac:dyDescent="0.2"/>
  <cols>
    <col min="1" max="1" width="16.28515625" customWidth="1"/>
    <col min="5" max="5" width="10.5703125" customWidth="1"/>
    <col min="7" max="7" width="9.7109375" customWidth="1"/>
    <col min="8" max="8" width="10" bestFit="1" customWidth="1"/>
    <col min="10" max="10" width="6.5703125" customWidth="1"/>
    <col min="12" max="12" width="10.28515625" customWidth="1"/>
  </cols>
  <sheetData>
    <row r="2" spans="1:18" ht="16.5" x14ac:dyDescent="0.2">
      <c r="C2" s="57"/>
      <c r="D2" s="58"/>
      <c r="E2" s="59"/>
      <c r="F2" s="60" t="s">
        <v>62</v>
      </c>
      <c r="G2" s="59"/>
      <c r="H2" s="61"/>
      <c r="I2" s="61"/>
    </row>
    <row r="3" spans="1:18" x14ac:dyDescent="0.2">
      <c r="A3" s="34" t="s">
        <v>63</v>
      </c>
    </row>
    <row r="4" spans="1:18" x14ac:dyDescent="0.2">
      <c r="B4" t="s">
        <v>64</v>
      </c>
    </row>
    <row r="5" spans="1:18" x14ac:dyDescent="0.2">
      <c r="B5" t="s">
        <v>65</v>
      </c>
      <c r="D5" t="s">
        <v>66</v>
      </c>
      <c r="E5" s="44">
        <v>5000</v>
      </c>
    </row>
    <row r="6" spans="1:18" x14ac:dyDescent="0.2">
      <c r="B6" t="s">
        <v>67</v>
      </c>
      <c r="D6" s="62" t="s">
        <v>68</v>
      </c>
      <c r="E6" s="63">
        <v>26.981999999999999</v>
      </c>
    </row>
    <row r="8" spans="1:18" ht="14.25" x14ac:dyDescent="0.2">
      <c r="B8" s="64" t="s">
        <v>69</v>
      </c>
      <c r="C8" s="64"/>
      <c r="D8" s="64"/>
      <c r="E8" s="64"/>
      <c r="F8" s="13"/>
      <c r="J8" s="64" t="s">
        <v>70</v>
      </c>
      <c r="K8" s="64"/>
      <c r="L8" s="64"/>
      <c r="M8" s="64"/>
      <c r="N8" s="13"/>
    </row>
    <row r="9" spans="1:18" x14ac:dyDescent="0.2">
      <c r="B9" s="34" t="s">
        <v>71</v>
      </c>
      <c r="C9" s="65" t="s">
        <v>72</v>
      </c>
      <c r="D9" s="66" t="s">
        <v>73</v>
      </c>
      <c r="K9" s="65" t="s">
        <v>74</v>
      </c>
      <c r="L9" s="66" t="s">
        <v>75</v>
      </c>
    </row>
    <row r="10" spans="1:18" x14ac:dyDescent="0.2">
      <c r="B10" s="67">
        <v>300</v>
      </c>
      <c r="C10" s="68">
        <f>B10-273.15</f>
        <v>26.850000000000023</v>
      </c>
      <c r="D10" s="69">
        <v>10.94024242517844</v>
      </c>
      <c r="K10" s="68">
        <f>C10*1.8+32</f>
        <v>80.330000000000041</v>
      </c>
      <c r="L10" s="44">
        <f>D10*4.184*0.43021</f>
        <v>19.692421486591492</v>
      </c>
    </row>
    <row r="11" spans="1:18" ht="14.25" x14ac:dyDescent="0.2">
      <c r="B11" s="67">
        <v>363.36099999999999</v>
      </c>
      <c r="C11" s="68">
        <f t="shared" ref="C11:C25" si="0">B11-273.15</f>
        <v>90.211000000000013</v>
      </c>
      <c r="D11" s="69">
        <v>386.92413458316332</v>
      </c>
      <c r="F11" s="64" t="s">
        <v>76</v>
      </c>
      <c r="G11" s="13"/>
      <c r="H11" s="13"/>
      <c r="I11" s="13"/>
      <c r="J11" s="13"/>
      <c r="K11" s="68">
        <f t="shared" ref="K11:K25" si="1">C11*1.8+32</f>
        <v>194.37980000000002</v>
      </c>
      <c r="L11" s="44">
        <f t="shared" ref="L11:L25" si="2">D11*4.184*0.43021</f>
        <v>696.46291603287091</v>
      </c>
      <c r="N11" s="64" t="s">
        <v>77</v>
      </c>
      <c r="O11" s="13"/>
      <c r="P11" s="13"/>
      <c r="Q11" s="13"/>
      <c r="R11" s="13"/>
    </row>
    <row r="12" spans="1:18" x14ac:dyDescent="0.2">
      <c r="B12" s="67">
        <v>426.72199999999998</v>
      </c>
      <c r="C12" s="68">
        <f t="shared" si="0"/>
        <v>153.572</v>
      </c>
      <c r="D12" s="69">
        <v>773.69258202089532</v>
      </c>
      <c r="K12" s="68">
        <f t="shared" si="1"/>
        <v>308.42959999999999</v>
      </c>
      <c r="L12" s="44">
        <f t="shared" si="2"/>
        <v>1392.6455954157</v>
      </c>
    </row>
    <row r="13" spans="1:18" x14ac:dyDescent="0.2">
      <c r="B13" s="67">
        <v>490.08299999999997</v>
      </c>
      <c r="C13" s="68">
        <f t="shared" si="0"/>
        <v>216.93299999999999</v>
      </c>
      <c r="D13" s="69">
        <v>1170.2454188114943</v>
      </c>
      <c r="K13" s="68">
        <f t="shared" si="1"/>
        <v>422.4794</v>
      </c>
      <c r="L13" s="44">
        <f t="shared" si="2"/>
        <v>2106.44016232692</v>
      </c>
    </row>
    <row r="14" spans="1:18" x14ac:dyDescent="0.2">
      <c r="B14" s="67">
        <v>553.44399999999996</v>
      </c>
      <c r="C14" s="68">
        <f t="shared" si="0"/>
        <v>280.29399999999998</v>
      </c>
      <c r="D14" s="69">
        <v>1577.328279648792</v>
      </c>
      <c r="K14" s="68">
        <f t="shared" si="1"/>
        <v>536.52919999999995</v>
      </c>
      <c r="L14" s="44">
        <f t="shared" si="2"/>
        <v>2839.1887582013651</v>
      </c>
    </row>
    <row r="15" spans="1:18" x14ac:dyDescent="0.2">
      <c r="B15" s="67">
        <v>616.80499999999995</v>
      </c>
      <c r="C15" s="68">
        <f t="shared" si="0"/>
        <v>343.65499999999997</v>
      </c>
      <c r="D15" s="69">
        <v>1996.1912393458379</v>
      </c>
      <c r="K15" s="68">
        <f t="shared" si="1"/>
        <v>650.57899999999995</v>
      </c>
      <c r="L15" s="44">
        <f t="shared" si="2"/>
        <v>3593.1415160024226</v>
      </c>
    </row>
    <row r="16" spans="1:18" x14ac:dyDescent="0.2">
      <c r="B16" s="67">
        <v>680.16599999999994</v>
      </c>
      <c r="C16" s="68">
        <f t="shared" si="0"/>
        <v>407.01599999999996</v>
      </c>
      <c r="D16" s="69">
        <v>2428.1581812958721</v>
      </c>
      <c r="K16" s="68">
        <f t="shared" si="1"/>
        <v>764.62879999999996</v>
      </c>
      <c r="L16" s="44">
        <f t="shared" si="2"/>
        <v>4370.6814240374433</v>
      </c>
    </row>
    <row r="17" spans="1:12" x14ac:dyDescent="0.2">
      <c r="B17" s="67">
        <v>743.52699999999993</v>
      </c>
      <c r="C17" s="68">
        <f t="shared" si="0"/>
        <v>470.37699999999995</v>
      </c>
      <c r="D17" s="69">
        <v>2874.4767384523957</v>
      </c>
      <c r="K17" s="68">
        <f t="shared" si="1"/>
        <v>878.67859999999996</v>
      </c>
      <c r="L17" s="44">
        <f t="shared" si="2"/>
        <v>5174.054219925948</v>
      </c>
    </row>
    <row r="18" spans="1:12" x14ac:dyDescent="0.2">
      <c r="B18" s="67">
        <v>806.88799999999992</v>
      </c>
      <c r="C18" s="68">
        <f t="shared" si="0"/>
        <v>533.73799999999994</v>
      </c>
      <c r="D18" s="69">
        <v>3336.2725314290456</v>
      </c>
      <c r="K18" s="68">
        <f t="shared" si="1"/>
        <v>992.72839999999997</v>
      </c>
      <c r="L18" s="44">
        <f t="shared" si="2"/>
        <v>6005.2860192416392</v>
      </c>
    </row>
    <row r="19" spans="1:12" x14ac:dyDescent="0.2">
      <c r="B19" s="67">
        <v>870.24899999999991</v>
      </c>
      <c r="C19" s="68">
        <f t="shared" si="0"/>
        <v>597.09899999999993</v>
      </c>
      <c r="D19" s="69">
        <v>3814.5432155663675</v>
      </c>
      <c r="K19" s="68">
        <f t="shared" si="1"/>
        <v>1106.7782</v>
      </c>
      <c r="L19" s="44">
        <f t="shared" si="2"/>
        <v>6866.1726002406886</v>
      </c>
    </row>
    <row r="20" spans="1:12" ht="13.5" thickBot="1" x14ac:dyDescent="0.25">
      <c r="A20" s="250" t="s">
        <v>78</v>
      </c>
      <c r="B20" s="70">
        <v>933.61</v>
      </c>
      <c r="C20" s="71">
        <f t="shared" si="0"/>
        <v>660.46</v>
      </c>
      <c r="D20" s="72">
        <v>4310.1672122716664</v>
      </c>
      <c r="K20" s="71">
        <f t="shared" si="1"/>
        <v>1220.8280000000002</v>
      </c>
      <c r="L20" s="73">
        <f t="shared" si="2"/>
        <v>7758.2951202615905</v>
      </c>
    </row>
    <row r="21" spans="1:12" x14ac:dyDescent="0.2">
      <c r="A21" s="250"/>
      <c r="B21" s="67">
        <v>933.61000000000104</v>
      </c>
      <c r="C21" s="68">
        <f t="shared" si="0"/>
        <v>660.46000000000106</v>
      </c>
      <c r="D21" s="69">
        <v>6890.0000867220078</v>
      </c>
      <c r="K21" s="68">
        <f t="shared" si="1"/>
        <v>1220.828000000002</v>
      </c>
      <c r="L21" s="44">
        <f t="shared" si="2"/>
        <v>12401.990785699496</v>
      </c>
    </row>
    <row r="22" spans="1:12" x14ac:dyDescent="0.2">
      <c r="B22" s="67">
        <v>983.52700000000073</v>
      </c>
      <c r="C22" s="68">
        <f t="shared" si="0"/>
        <v>710.37700000000075</v>
      </c>
      <c r="D22" s="69">
        <v>7268.8701267054057</v>
      </c>
      <c r="K22" s="68">
        <f t="shared" si="1"/>
        <v>1310.6786000000013</v>
      </c>
      <c r="L22" s="44">
        <f t="shared" si="2"/>
        <v>13083.956342406358</v>
      </c>
    </row>
    <row r="23" spans="1:12" x14ac:dyDescent="0.2">
      <c r="B23" s="67">
        <v>1016.8049999999999</v>
      </c>
      <c r="C23" s="68">
        <f t="shared" si="0"/>
        <v>743.65499999999997</v>
      </c>
      <c r="D23" s="69">
        <v>7521.4501533610037</v>
      </c>
      <c r="K23" s="68">
        <f t="shared" si="1"/>
        <v>1370.579</v>
      </c>
      <c r="L23" s="44">
        <f t="shared" si="2"/>
        <v>13538.600046877596</v>
      </c>
    </row>
    <row r="24" spans="1:12" x14ac:dyDescent="0.2">
      <c r="B24" s="67">
        <v>1100</v>
      </c>
      <c r="C24" s="68">
        <f t="shared" si="0"/>
        <v>826.85</v>
      </c>
      <c r="D24" s="69">
        <v>8152.9002199999995</v>
      </c>
      <c r="K24" s="68">
        <f t="shared" si="1"/>
        <v>1520.3300000000002</v>
      </c>
      <c r="L24" s="44">
        <f t="shared" si="2"/>
        <v>14675.209308055701</v>
      </c>
    </row>
    <row r="25" spans="1:12" x14ac:dyDescent="0.2">
      <c r="B25" s="67">
        <v>1150</v>
      </c>
      <c r="C25" s="68">
        <f t="shared" si="0"/>
        <v>876.85</v>
      </c>
      <c r="D25" s="69">
        <v>8532</v>
      </c>
      <c r="K25" s="68">
        <f t="shared" si="1"/>
        <v>1610.3300000000002</v>
      </c>
      <c r="L25" s="44">
        <f t="shared" si="2"/>
        <v>15357.58839648</v>
      </c>
    </row>
    <row r="27" spans="1:12" ht="14.25" x14ac:dyDescent="0.2">
      <c r="D27" s="36"/>
      <c r="E27" s="36"/>
      <c r="F27" s="37" t="s">
        <v>79</v>
      </c>
      <c r="G27" s="36"/>
      <c r="H27" s="36"/>
      <c r="I27" s="36"/>
    </row>
    <row r="28" spans="1:12" x14ac:dyDescent="0.2">
      <c r="E28" s="15" t="s">
        <v>6</v>
      </c>
      <c r="F28" s="15" t="s">
        <v>7</v>
      </c>
      <c r="G28" s="15" t="s">
        <v>8</v>
      </c>
    </row>
    <row r="29" spans="1:12" x14ac:dyDescent="0.2">
      <c r="C29" s="74"/>
      <c r="D29" s="74" t="s">
        <v>80</v>
      </c>
      <c r="E29" s="17">
        <v>-136</v>
      </c>
      <c r="F29" s="17">
        <v>5.64</v>
      </c>
      <c r="G29" s="75">
        <v>1.64E-3</v>
      </c>
    </row>
    <row r="30" spans="1:12" x14ac:dyDescent="0.2">
      <c r="C30" s="76"/>
      <c r="D30" s="76" t="s">
        <v>81</v>
      </c>
      <c r="E30" s="38">
        <f>E29*4.184/$E$6</f>
        <v>-21.08902231117041</v>
      </c>
      <c r="F30" s="40">
        <f>F29*4.184/$E$6</f>
        <v>0.87457416055147885</v>
      </c>
      <c r="G30" s="40">
        <f>G29*4.184/$E$6</f>
        <v>2.5430879845823141E-4</v>
      </c>
      <c r="H30" t="s">
        <v>82</v>
      </c>
    </row>
    <row r="31" spans="1:12" x14ac:dyDescent="0.2">
      <c r="C31" s="77"/>
      <c r="D31" s="77" t="s">
        <v>83</v>
      </c>
      <c r="E31" s="78">
        <v>-424</v>
      </c>
      <c r="F31" s="78">
        <v>5.58</v>
      </c>
      <c r="G31" s="79">
        <v>9.0899999999999998E-4</v>
      </c>
    </row>
    <row r="32" spans="1:12" x14ac:dyDescent="0.2">
      <c r="C32" s="80"/>
      <c r="D32" s="80" t="s">
        <v>84</v>
      </c>
      <c r="E32" s="81">
        <f>E31/$E$6</f>
        <v>-15.714179823586095</v>
      </c>
      <c r="F32" s="82">
        <f>F31/$E$6</f>
        <v>0.20680453635757173</v>
      </c>
      <c r="G32" s="82">
        <f>G31/$E$6</f>
        <v>3.368912608405604E-5</v>
      </c>
    </row>
    <row r="33" spans="8:9" x14ac:dyDescent="0.2">
      <c r="I33" s="83"/>
    </row>
    <row r="35" spans="8:9" x14ac:dyDescent="0.2">
      <c r="H35" s="84"/>
    </row>
  </sheetData>
  <mergeCells count="1">
    <mergeCell ref="A20:A21"/>
  </mergeCells>
  <pageMargins left="0.75" right="0.75" top="1" bottom="1" header="0.5" footer="0.5"/>
  <pageSetup orientation="portrait" verticalDpi="300" r:id="rId1"/>
  <headerFooter alignWithMargins="0"/>
  <drawing r:id="rId2"/>
  <legacyDrawing r:id="rId3"/>
  <oleObjects>
    <mc:AlternateContent xmlns:mc="http://schemas.openxmlformats.org/markup-compatibility/2006">
      <mc:Choice Requires="x14">
        <oleObject progId="Wordpad.Document.1" dvAspect="DVASPECT_ICON" shapeId="2049" r:id="rId4">
          <objectPr defaultSize="0" autoPict="0" r:id="rId5">
            <anchor moveWithCells="1">
              <from>
                <xdr:col>0</xdr:col>
                <xdr:colOff>133350</xdr:colOff>
                <xdr:row>3</xdr:row>
                <xdr:rowOff>66675</xdr:rowOff>
              </from>
              <to>
                <xdr:col>0</xdr:col>
                <xdr:colOff>990600</xdr:colOff>
                <xdr:row>8</xdr:row>
                <xdr:rowOff>9525</xdr:rowOff>
              </to>
            </anchor>
          </objectPr>
        </oleObject>
      </mc:Choice>
      <mc:Fallback>
        <oleObject progId="Wordpad.Document.1" dvAspect="DVASPECT_ICON" shapeId="204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F37"/>
  <sheetViews>
    <sheetView zoomScale="80" zoomScaleNormal="80" workbookViewId="0"/>
  </sheetViews>
  <sheetFormatPr defaultRowHeight="12.75" x14ac:dyDescent="0.2"/>
  <cols>
    <col min="6" max="7" width="10.42578125" bestFit="1" customWidth="1"/>
    <col min="10" max="10" width="10.42578125" bestFit="1" customWidth="1"/>
    <col min="14" max="14" width="10.42578125" bestFit="1" customWidth="1"/>
    <col min="15" max="15" width="12" customWidth="1"/>
    <col min="24" max="24" width="7.7109375" customWidth="1"/>
  </cols>
  <sheetData>
    <row r="2" spans="2:32" ht="27.75" customHeight="1" x14ac:dyDescent="0.2">
      <c r="H2" s="254"/>
      <c r="I2" s="254"/>
      <c r="J2" s="255" t="s">
        <v>212</v>
      </c>
      <c r="K2" s="254"/>
      <c r="L2" s="254"/>
    </row>
    <row r="3" spans="2:32" ht="14.25" x14ac:dyDescent="0.2">
      <c r="B3" s="256" t="s">
        <v>85</v>
      </c>
    </row>
    <row r="4" spans="2:32" x14ac:dyDescent="0.2">
      <c r="B4" t="s">
        <v>86</v>
      </c>
      <c r="C4" t="s">
        <v>87</v>
      </c>
      <c r="M4" t="s">
        <v>29</v>
      </c>
      <c r="Q4" s="85"/>
      <c r="AB4" s="85"/>
    </row>
    <row r="5" spans="2:32" x14ac:dyDescent="0.2">
      <c r="B5">
        <v>25.000000000001023</v>
      </c>
      <c r="C5" s="86">
        <v>0</v>
      </c>
      <c r="M5" t="s">
        <v>88</v>
      </c>
      <c r="X5" s="2"/>
      <c r="Y5" s="2" t="s">
        <v>27</v>
      </c>
      <c r="Z5" s="2"/>
      <c r="AA5" s="2"/>
      <c r="AB5" s="87"/>
      <c r="AC5" s="2"/>
      <c r="AD5" s="2"/>
      <c r="AE5" s="2"/>
      <c r="AF5" s="2"/>
    </row>
    <row r="6" spans="2:32" x14ac:dyDescent="0.2">
      <c r="B6">
        <v>77.500000000000909</v>
      </c>
      <c r="C6" s="86">
        <v>1528.4101019900463</v>
      </c>
      <c r="X6" s="2"/>
      <c r="Y6" s="88" t="s">
        <v>89</v>
      </c>
      <c r="Z6" s="2"/>
      <c r="AA6" s="2"/>
      <c r="AB6" s="2"/>
      <c r="AC6" s="2"/>
      <c r="AD6" s="2"/>
      <c r="AE6" s="2"/>
      <c r="AF6" s="2"/>
    </row>
    <row r="7" spans="2:32" x14ac:dyDescent="0.2">
      <c r="B7">
        <v>130.0000000000008</v>
      </c>
      <c r="C7" s="86">
        <v>3058.5923118331739</v>
      </c>
      <c r="M7" t="s">
        <v>86</v>
      </c>
      <c r="N7" t="s">
        <v>87</v>
      </c>
      <c r="X7" s="2"/>
      <c r="Y7" s="2"/>
      <c r="Z7" s="2"/>
      <c r="AA7" s="2"/>
      <c r="AB7" s="2"/>
      <c r="AC7" s="2"/>
      <c r="AD7" s="2"/>
      <c r="AE7" s="2"/>
      <c r="AF7" s="2"/>
    </row>
    <row r="8" spans="2:32" x14ac:dyDescent="0.2">
      <c r="B8">
        <v>182.50000000000068</v>
      </c>
      <c r="C8" s="86">
        <v>4602.8427885931351</v>
      </c>
      <c r="M8">
        <v>700</v>
      </c>
      <c r="N8" s="86">
        <v>20607.316944828886</v>
      </c>
      <c r="X8" s="89" t="s">
        <v>86</v>
      </c>
      <c r="Y8" s="90" t="s">
        <v>87</v>
      </c>
      <c r="Z8" s="2"/>
      <c r="AA8" s="2"/>
      <c r="AB8" s="2"/>
      <c r="AC8" s="2"/>
      <c r="AD8" s="2"/>
      <c r="AE8" s="2"/>
      <c r="AF8" s="2"/>
    </row>
    <row r="9" spans="2:32" x14ac:dyDescent="0.2">
      <c r="B9">
        <v>235.00000000000057</v>
      </c>
      <c r="C9" s="86">
        <v>6165.7596092094473</v>
      </c>
      <c r="M9">
        <v>850.00000000000011</v>
      </c>
      <c r="N9" s="86">
        <v>25549.334483604238</v>
      </c>
      <c r="X9" s="89">
        <v>700</v>
      </c>
      <c r="Y9" s="91">
        <v>31961.021878221065</v>
      </c>
      <c r="Z9" s="2"/>
      <c r="AA9" s="2"/>
      <c r="AB9" s="2"/>
      <c r="AC9" s="2"/>
      <c r="AD9" s="2"/>
      <c r="AE9" s="2"/>
      <c r="AF9" s="2"/>
    </row>
    <row r="10" spans="2:32" x14ac:dyDescent="0.2">
      <c r="B10">
        <v>287.50000000000045</v>
      </c>
      <c r="C10" s="86">
        <v>7749.0429051227447</v>
      </c>
      <c r="M10">
        <v>1000.0000000000001</v>
      </c>
      <c r="N10" s="86">
        <v>30594.835044951629</v>
      </c>
      <c r="X10" s="89">
        <v>850.00000000000011</v>
      </c>
      <c r="Y10" s="91">
        <v>40184.495613397543</v>
      </c>
      <c r="Z10" s="2"/>
      <c r="AA10" s="2"/>
      <c r="AB10" s="2"/>
      <c r="AC10" s="2"/>
      <c r="AD10" s="2"/>
      <c r="AE10" s="2"/>
      <c r="AF10" s="2"/>
    </row>
    <row r="11" spans="2:32" x14ac:dyDescent="0.2">
      <c r="B11">
        <v>340.00000000000034</v>
      </c>
      <c r="C11" s="86">
        <v>9352.9859553288206</v>
      </c>
      <c r="M11">
        <v>1150</v>
      </c>
      <c r="N11" s="86">
        <v>35730.243285772565</v>
      </c>
      <c r="X11" s="89">
        <v>1000.0000000000001</v>
      </c>
      <c r="Y11" s="91">
        <v>48623.532258746767</v>
      </c>
      <c r="Z11" s="2"/>
      <c r="AA11" s="2"/>
      <c r="AB11" s="2"/>
      <c r="AC11" s="2"/>
      <c r="AD11" s="2"/>
      <c r="AE11" s="2"/>
      <c r="AF11" s="2"/>
    </row>
    <row r="12" spans="2:32" x14ac:dyDescent="0.2">
      <c r="B12">
        <v>392.50000000000023</v>
      </c>
      <c r="C12" s="86">
        <v>10977.189400192381</v>
      </c>
      <c r="M12">
        <v>1300</v>
      </c>
      <c r="N12" s="86">
        <v>40943.624979963875</v>
      </c>
      <c r="X12" s="89">
        <v>1150</v>
      </c>
      <c r="Y12" s="91">
        <v>57233.676414958049</v>
      </c>
      <c r="Z12" s="2"/>
      <c r="AA12" s="2"/>
      <c r="AB12" s="2"/>
      <c r="AC12" s="2"/>
      <c r="AD12" s="2"/>
      <c r="AE12" s="2"/>
      <c r="AF12" s="2"/>
    </row>
    <row r="13" spans="2:32" x14ac:dyDescent="0.2">
      <c r="B13">
        <v>445.00000000000011</v>
      </c>
      <c r="C13" s="86">
        <v>12620.920269451899</v>
      </c>
      <c r="M13">
        <v>1450</v>
      </c>
      <c r="N13" s="86">
        <v>46224.361262888859</v>
      </c>
      <c r="X13" s="89">
        <v>1300</v>
      </c>
      <c r="Y13" s="91">
        <v>65981.661394819428</v>
      </c>
      <c r="Z13" s="2"/>
      <c r="AA13" s="2"/>
      <c r="AB13" s="2"/>
      <c r="AC13" s="2"/>
      <c r="AD13" s="2"/>
      <c r="AE13" s="2"/>
      <c r="AF13" s="2"/>
    </row>
    <row r="14" spans="2:32" x14ac:dyDescent="0.2">
      <c r="B14">
        <v>497.5</v>
      </c>
      <c r="C14" s="86">
        <v>14283.298392950292</v>
      </c>
      <c r="M14">
        <v>1600</v>
      </c>
      <c r="N14" s="86">
        <v>51562.86705915795</v>
      </c>
      <c r="X14" s="89">
        <v>1450</v>
      </c>
      <c r="Y14" s="91">
        <v>74842.076601303677</v>
      </c>
      <c r="Z14" s="2"/>
      <c r="AA14" s="2"/>
      <c r="AB14" s="2"/>
      <c r="AC14" s="2"/>
      <c r="AD14" s="2"/>
      <c r="AE14" s="2"/>
      <c r="AF14" s="2"/>
    </row>
    <row r="15" spans="2:32" x14ac:dyDescent="0.2">
      <c r="B15">
        <v>550</v>
      </c>
      <c r="C15" s="86">
        <v>15963.394863039441</v>
      </c>
      <c r="M15">
        <v>1750</v>
      </c>
      <c r="N15" s="86">
        <v>56950.369380930009</v>
      </c>
      <c r="X15" s="89">
        <v>1600</v>
      </c>
      <c r="Y15" s="91">
        <v>83795.19169515236</v>
      </c>
      <c r="Z15" s="2"/>
      <c r="AA15" s="2"/>
      <c r="AB15" s="2"/>
      <c r="AC15" s="2"/>
      <c r="AD15" s="2"/>
      <c r="AE15" s="2"/>
      <c r="AF15" s="2"/>
    </row>
    <row r="16" spans="2:32" x14ac:dyDescent="0.2">
      <c r="M16">
        <v>1900</v>
      </c>
      <c r="N16" s="86">
        <v>62378.737431126698</v>
      </c>
      <c r="X16" s="89">
        <v>1750</v>
      </c>
      <c r="Y16" s="91">
        <v>92825.489979025675</v>
      </c>
      <c r="Z16" s="2"/>
      <c r="AA16" s="2"/>
      <c r="AB16" s="2"/>
      <c r="AC16" s="2"/>
      <c r="AD16" s="2"/>
      <c r="AE16" s="2"/>
      <c r="AF16" s="2"/>
    </row>
    <row r="17" spans="2:32" x14ac:dyDescent="0.2">
      <c r="M17">
        <v>2200</v>
      </c>
      <c r="N17" s="86">
        <v>73328.011225142589</v>
      </c>
      <c r="X17" s="89">
        <v>1900</v>
      </c>
      <c r="Y17" s="91">
        <v>101920.65086693445</v>
      </c>
      <c r="Z17" s="2"/>
      <c r="AA17" s="2"/>
      <c r="AB17" s="2"/>
      <c r="AC17" s="2"/>
      <c r="AD17" s="2"/>
      <c r="AE17" s="2"/>
      <c r="AF17" s="2"/>
    </row>
    <row r="18" spans="2:32" x14ac:dyDescent="0.2">
      <c r="X18" s="89">
        <v>2200</v>
      </c>
      <c r="Y18" s="91">
        <v>120268.10983002261</v>
      </c>
      <c r="Z18" s="2"/>
      <c r="AA18" s="2"/>
      <c r="AB18" s="2"/>
      <c r="AC18" s="2"/>
      <c r="AD18" s="2"/>
      <c r="AE18" s="2"/>
      <c r="AF18" s="2"/>
    </row>
    <row r="19" spans="2:32" x14ac:dyDescent="0.2">
      <c r="X19" s="2"/>
      <c r="Y19" s="2"/>
      <c r="Z19" s="2"/>
      <c r="AA19" s="2"/>
      <c r="AB19" s="2"/>
      <c r="AC19" s="2"/>
      <c r="AD19" s="2"/>
      <c r="AE19" s="2"/>
      <c r="AF19" s="2"/>
    </row>
    <row r="20" spans="2:32" x14ac:dyDescent="0.2">
      <c r="X20" s="2"/>
      <c r="Y20" s="2"/>
      <c r="Z20" s="2"/>
      <c r="AA20" s="2"/>
      <c r="AB20" s="2"/>
      <c r="AC20" s="2"/>
      <c r="AD20" s="2"/>
      <c r="AE20" s="2"/>
      <c r="AF20" s="2"/>
    </row>
    <row r="21" spans="2:32" x14ac:dyDescent="0.2">
      <c r="X21" s="2"/>
      <c r="Y21" s="2"/>
      <c r="Z21" s="2"/>
      <c r="AA21" s="2"/>
      <c r="AB21" s="2"/>
      <c r="AC21" s="2"/>
      <c r="AD21" s="2"/>
      <c r="AE21" s="2"/>
      <c r="AF21" s="2"/>
    </row>
    <row r="22" spans="2:32" x14ac:dyDescent="0.2">
      <c r="F22" s="85"/>
      <c r="X22" s="2"/>
      <c r="Y22" s="2"/>
      <c r="Z22" s="2"/>
      <c r="AA22" s="2"/>
      <c r="AB22" s="2"/>
      <c r="AC22" s="2"/>
      <c r="AD22" s="2"/>
      <c r="AE22" s="2"/>
      <c r="AF22" s="2"/>
    </row>
    <row r="23" spans="2:32" x14ac:dyDescent="0.2">
      <c r="B23" t="s">
        <v>28</v>
      </c>
      <c r="F23" s="85"/>
    </row>
    <row r="24" spans="2:32" x14ac:dyDescent="0.2">
      <c r="B24" t="s">
        <v>90</v>
      </c>
      <c r="M24" t="s">
        <v>30</v>
      </c>
      <c r="Q24" s="85"/>
    </row>
    <row r="25" spans="2:32" x14ac:dyDescent="0.2">
      <c r="M25" t="s">
        <v>91</v>
      </c>
    </row>
    <row r="26" spans="2:32" x14ac:dyDescent="0.2">
      <c r="B26" t="s">
        <v>86</v>
      </c>
      <c r="C26" t="s">
        <v>87</v>
      </c>
    </row>
    <row r="27" spans="2:32" x14ac:dyDescent="0.2">
      <c r="B27">
        <v>700</v>
      </c>
      <c r="C27" s="86">
        <v>24894.471291311402</v>
      </c>
      <c r="M27" t="s">
        <v>86</v>
      </c>
      <c r="N27" t="s">
        <v>87</v>
      </c>
    </row>
    <row r="28" spans="2:32" x14ac:dyDescent="0.2">
      <c r="B28">
        <v>850.00000000000011</v>
      </c>
      <c r="C28" s="86">
        <v>31174.745294503631</v>
      </c>
      <c r="M28">
        <v>700</v>
      </c>
      <c r="N28" s="86">
        <v>21770.229821720051</v>
      </c>
    </row>
    <row r="29" spans="2:32" x14ac:dyDescent="0.2">
      <c r="B29">
        <v>1000.0000000000001</v>
      </c>
      <c r="C29" s="86">
        <v>37719.486716218154</v>
      </c>
      <c r="M29">
        <v>850.00000000000011</v>
      </c>
      <c r="N29" s="86">
        <v>27025.259293078467</v>
      </c>
    </row>
    <row r="30" spans="2:32" x14ac:dyDescent="0.2">
      <c r="B30">
        <v>1150</v>
      </c>
      <c r="C30" s="86">
        <v>44513.943462441144</v>
      </c>
      <c r="M30">
        <v>1000.0000000000001</v>
      </c>
      <c r="N30" s="86">
        <v>32370.926670798781</v>
      </c>
    </row>
    <row r="31" spans="2:32" x14ac:dyDescent="0.2">
      <c r="B31">
        <v>1300</v>
      </c>
      <c r="C31" s="86">
        <v>51541.45768615618</v>
      </c>
      <c r="M31">
        <v>1150</v>
      </c>
      <c r="N31" s="86">
        <v>37791.972926494411</v>
      </c>
    </row>
    <row r="32" spans="2:32" x14ac:dyDescent="0.2">
      <c r="B32">
        <v>1450</v>
      </c>
      <c r="C32" s="86">
        <v>58784.117888780922</v>
      </c>
      <c r="M32">
        <v>1300</v>
      </c>
      <c r="N32" s="86">
        <v>43277.722873553939</v>
      </c>
    </row>
    <row r="33" spans="2:14" x14ac:dyDescent="0.2">
      <c r="B33">
        <v>1600</v>
      </c>
      <c r="C33" s="86">
        <v>66223.148986471584</v>
      </c>
      <c r="M33">
        <v>1450</v>
      </c>
      <c r="N33" s="86">
        <v>48820.838470647184</v>
      </c>
    </row>
    <row r="34" spans="2:14" x14ac:dyDescent="0.2">
      <c r="B34">
        <v>1750</v>
      </c>
      <c r="C34" s="86">
        <v>73839.158705676513</v>
      </c>
      <c r="M34">
        <v>1600</v>
      </c>
      <c r="N34" s="86">
        <v>54416.454749551282</v>
      </c>
    </row>
    <row r="35" spans="2:14" x14ac:dyDescent="0.2">
      <c r="B35">
        <v>1900</v>
      </c>
      <c r="C35" s="86">
        <v>81612.300201337785</v>
      </c>
      <c r="M35">
        <v>1750</v>
      </c>
      <c r="N35" s="86">
        <v>60061.574175393478</v>
      </c>
    </row>
    <row r="36" spans="2:14" x14ac:dyDescent="0.2">
      <c r="B36">
        <v>2200</v>
      </c>
      <c r="C36" s="86">
        <v>97548.95309326479</v>
      </c>
      <c r="M36">
        <v>1900</v>
      </c>
      <c r="N36" s="86">
        <v>65754.634757711276</v>
      </c>
    </row>
    <row r="37" spans="2:14" x14ac:dyDescent="0.2">
      <c r="M37">
        <v>2200</v>
      </c>
      <c r="N37" s="86">
        <v>77283.708517137711</v>
      </c>
    </row>
  </sheetData>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AA67"/>
  <sheetViews>
    <sheetView zoomScale="85" zoomScaleNormal="85" workbookViewId="0"/>
  </sheetViews>
  <sheetFormatPr defaultRowHeight="12.75" x14ac:dyDescent="0.2"/>
  <cols>
    <col min="1" max="1" width="11" customWidth="1"/>
    <col min="2" max="2" width="6.42578125" customWidth="1"/>
    <col min="3" max="3" width="12.28515625" customWidth="1"/>
    <col min="4" max="4" width="12.7109375" customWidth="1"/>
    <col min="5" max="5" width="14" customWidth="1"/>
    <col min="6" max="6" width="12.28515625" customWidth="1"/>
    <col min="11" max="11" width="8.28515625" style="34" customWidth="1"/>
    <col min="12" max="15" width="9.140625" style="34"/>
    <col min="16" max="16" width="10.42578125" style="34" customWidth="1"/>
    <col min="17" max="17" width="11.140625" customWidth="1"/>
    <col min="20" max="20" width="11" customWidth="1"/>
    <col min="21" max="21" width="12" customWidth="1"/>
    <col min="22" max="22" width="7.42578125" customWidth="1"/>
  </cols>
  <sheetData>
    <row r="3" spans="1:20" ht="16.5" x14ac:dyDescent="0.2">
      <c r="B3" s="92"/>
      <c r="C3" s="59"/>
      <c r="D3" s="59"/>
      <c r="E3" s="59"/>
      <c r="F3" s="60" t="s">
        <v>92</v>
      </c>
      <c r="G3" s="57"/>
      <c r="H3" s="59"/>
      <c r="I3" s="59"/>
      <c r="J3" s="59"/>
      <c r="K3" s="59"/>
      <c r="L3" s="93"/>
      <c r="M3" s="94" t="s">
        <v>93</v>
      </c>
      <c r="N3" s="95"/>
    </row>
    <row r="4" spans="1:20" ht="14.25" x14ac:dyDescent="0.2">
      <c r="L4" s="96"/>
      <c r="M4" s="97" t="s">
        <v>94</v>
      </c>
      <c r="N4" s="98">
        <v>44.009500000000003</v>
      </c>
    </row>
    <row r="5" spans="1:20" ht="14.25" x14ac:dyDescent="0.2">
      <c r="D5" s="99"/>
    </row>
    <row r="6" spans="1:20" ht="19.5" x14ac:dyDescent="0.35">
      <c r="A6" t="s">
        <v>63</v>
      </c>
      <c r="C6" s="100" t="s">
        <v>95</v>
      </c>
      <c r="K6" s="101"/>
      <c r="L6" s="101"/>
      <c r="M6" s="101"/>
      <c r="N6" s="102" t="s">
        <v>96</v>
      </c>
      <c r="O6" s="101"/>
      <c r="P6" s="101"/>
      <c r="Q6" s="101"/>
    </row>
    <row r="7" spans="1:20" ht="29.25" customHeight="1" x14ac:dyDescent="0.2">
      <c r="C7" s="103" t="s">
        <v>97</v>
      </c>
      <c r="K7" s="104" t="s">
        <v>98</v>
      </c>
      <c r="L7" s="104" t="s">
        <v>98</v>
      </c>
      <c r="M7" s="104" t="s">
        <v>99</v>
      </c>
      <c r="N7" s="104" t="s">
        <v>100</v>
      </c>
      <c r="O7" s="105" t="s">
        <v>101</v>
      </c>
      <c r="P7" s="104" t="s">
        <v>102</v>
      </c>
      <c r="Q7" s="104" t="s">
        <v>102</v>
      </c>
    </row>
    <row r="8" spans="1:20" ht="21" customHeight="1" x14ac:dyDescent="0.2">
      <c r="C8" s="103" t="s">
        <v>103</v>
      </c>
      <c r="E8" s="106"/>
      <c r="F8" s="106"/>
      <c r="G8" s="106"/>
      <c r="H8" s="106"/>
      <c r="I8" s="106"/>
      <c r="J8" s="106"/>
      <c r="K8" s="107" t="s">
        <v>104</v>
      </c>
      <c r="L8" s="107" t="s">
        <v>105</v>
      </c>
      <c r="M8" s="107" t="s">
        <v>106</v>
      </c>
      <c r="N8" s="107" t="s">
        <v>106</v>
      </c>
      <c r="O8" s="107" t="s">
        <v>106</v>
      </c>
      <c r="P8" s="107" t="s">
        <v>107</v>
      </c>
      <c r="Q8" s="107" t="s">
        <v>108</v>
      </c>
    </row>
    <row r="9" spans="1:20" x14ac:dyDescent="0.2">
      <c r="C9" s="103" t="s">
        <v>109</v>
      </c>
      <c r="E9" s="106"/>
      <c r="F9" s="106"/>
      <c r="G9" s="106"/>
      <c r="H9" s="106"/>
      <c r="I9" s="106"/>
      <c r="J9" s="106"/>
      <c r="K9" s="108">
        <v>298</v>
      </c>
      <c r="M9" s="108">
        <v>37.119999999999997</v>
      </c>
      <c r="N9" s="108">
        <v>213.8</v>
      </c>
      <c r="O9" s="108">
        <v>213.8</v>
      </c>
      <c r="P9" s="109">
        <v>-0.01</v>
      </c>
    </row>
    <row r="10" spans="1:20" x14ac:dyDescent="0.2">
      <c r="K10" s="110">
        <v>300</v>
      </c>
      <c r="M10" s="110">
        <v>37.22</v>
      </c>
      <c r="N10" s="110">
        <v>214</v>
      </c>
      <c r="O10" s="110">
        <v>213.8</v>
      </c>
      <c r="P10" s="111">
        <v>7.0000000000000007E-2</v>
      </c>
    </row>
    <row r="11" spans="1:20" x14ac:dyDescent="0.2">
      <c r="C11" s="83" t="s">
        <v>110</v>
      </c>
      <c r="K11" s="110">
        <v>400</v>
      </c>
      <c r="M11" s="110">
        <v>41.34</v>
      </c>
      <c r="N11" s="110">
        <v>225.3</v>
      </c>
      <c r="O11" s="110">
        <v>215.3</v>
      </c>
      <c r="P11" s="111">
        <v>4</v>
      </c>
    </row>
    <row r="12" spans="1:20" x14ac:dyDescent="0.2">
      <c r="C12" s="83" t="s">
        <v>111</v>
      </c>
      <c r="K12" s="110">
        <v>500</v>
      </c>
      <c r="M12" s="110">
        <v>44.61</v>
      </c>
      <c r="N12" s="110">
        <v>234.9</v>
      </c>
      <c r="O12" s="110">
        <v>218.3</v>
      </c>
      <c r="P12" s="111">
        <v>8.31</v>
      </c>
    </row>
    <row r="13" spans="1:20" x14ac:dyDescent="0.2">
      <c r="K13" s="110">
        <v>600</v>
      </c>
      <c r="M13" s="110">
        <v>47.32</v>
      </c>
      <c r="N13" s="110">
        <v>243.3</v>
      </c>
      <c r="O13" s="110">
        <v>221.8</v>
      </c>
      <c r="P13" s="111">
        <v>12.91</v>
      </c>
    </row>
    <row r="14" spans="1:20" ht="18.75" x14ac:dyDescent="0.2">
      <c r="C14" t="s">
        <v>112</v>
      </c>
      <c r="K14" s="110">
        <v>700</v>
      </c>
      <c r="M14" s="110">
        <v>49.57</v>
      </c>
      <c r="N14" s="110">
        <v>250.8</v>
      </c>
      <c r="O14" s="110">
        <v>225.4</v>
      </c>
      <c r="P14" s="111">
        <v>17.75</v>
      </c>
      <c r="S14" s="112" t="s">
        <v>113</v>
      </c>
      <c r="T14" s="101"/>
    </row>
    <row r="15" spans="1:20" ht="16.5" x14ac:dyDescent="0.2">
      <c r="C15" t="s">
        <v>114</v>
      </c>
      <c r="K15" s="110">
        <v>800</v>
      </c>
      <c r="M15" s="110">
        <v>51.44</v>
      </c>
      <c r="N15" s="110">
        <v>257.5</v>
      </c>
      <c r="O15" s="110">
        <v>229</v>
      </c>
      <c r="P15" s="111">
        <v>22.81</v>
      </c>
      <c r="S15" s="113" t="s">
        <v>98</v>
      </c>
      <c r="T15" s="113" t="s">
        <v>115</v>
      </c>
    </row>
    <row r="16" spans="1:20" x14ac:dyDescent="0.2">
      <c r="C16" t="s">
        <v>116</v>
      </c>
      <c r="K16" s="110">
        <v>900</v>
      </c>
      <c r="M16" s="110">
        <v>53</v>
      </c>
      <c r="N16" s="110">
        <v>263.60000000000002</v>
      </c>
      <c r="O16" s="110">
        <v>232.5</v>
      </c>
      <c r="P16" s="111">
        <v>28.03</v>
      </c>
      <c r="S16" s="114" t="s">
        <v>117</v>
      </c>
      <c r="T16" s="115" t="s">
        <v>118</v>
      </c>
    </row>
    <row r="17" spans="3:20" x14ac:dyDescent="0.2">
      <c r="C17" t="s">
        <v>119</v>
      </c>
      <c r="K17" s="110">
        <v>1000</v>
      </c>
      <c r="L17"/>
      <c r="M17" s="110">
        <v>54.3</v>
      </c>
      <c r="N17" s="110">
        <v>269.3</v>
      </c>
      <c r="O17" s="110">
        <v>235.9</v>
      </c>
      <c r="P17" s="111">
        <v>33.4</v>
      </c>
    </row>
    <row r="18" spans="3:20" x14ac:dyDescent="0.2">
      <c r="C18" t="s">
        <v>120</v>
      </c>
      <c r="K18" s="110">
        <v>1100</v>
      </c>
      <c r="L18" s="116">
        <f>K18-273.15</f>
        <v>826.85</v>
      </c>
      <c r="M18" s="110">
        <v>55.4</v>
      </c>
      <c r="N18" s="110">
        <v>274.5</v>
      </c>
      <c r="O18" s="110">
        <v>239.2</v>
      </c>
      <c r="P18" s="111">
        <v>38.89</v>
      </c>
      <c r="Q18" s="117">
        <f>P18*1000</f>
        <v>38890</v>
      </c>
      <c r="S18" s="118">
        <f>L18*1.8+32</f>
        <v>1520.3300000000002</v>
      </c>
      <c r="T18" s="117">
        <f>Q18*0.43021</f>
        <v>16730.866900000001</v>
      </c>
    </row>
    <row r="19" spans="3:20" x14ac:dyDescent="0.2">
      <c r="C19" t="s">
        <v>121</v>
      </c>
      <c r="K19" s="119">
        <v>1200</v>
      </c>
      <c r="L19" s="116">
        <f>K19-273.15</f>
        <v>926.85</v>
      </c>
      <c r="M19" s="120">
        <v>56.31</v>
      </c>
      <c r="N19" s="120">
        <v>279.39999999999998</v>
      </c>
      <c r="O19" s="120">
        <v>242.3</v>
      </c>
      <c r="P19" s="121">
        <v>44.47</v>
      </c>
      <c r="Q19" s="117">
        <f>P19*1000</f>
        <v>44470</v>
      </c>
      <c r="S19" s="118">
        <f t="shared" ref="S19:S29" si="0">L19*1.8+32</f>
        <v>1700.3300000000002</v>
      </c>
      <c r="T19" s="117">
        <f t="shared" ref="T19:T29" si="1">Q19*0.43021</f>
        <v>19131.438699999999</v>
      </c>
    </row>
    <row r="20" spans="3:20" x14ac:dyDescent="0.2">
      <c r="C20" t="s">
        <v>122</v>
      </c>
      <c r="K20" s="119">
        <v>1300</v>
      </c>
      <c r="L20" s="116">
        <f t="shared" ref="L20:L29" si="2">K20-273.15</f>
        <v>1026.8499999999999</v>
      </c>
      <c r="M20" s="120">
        <v>57.14</v>
      </c>
      <c r="N20" s="120">
        <v>283.89999999999998</v>
      </c>
      <c r="O20" s="120">
        <v>245.4</v>
      </c>
      <c r="P20" s="121">
        <v>50.15</v>
      </c>
      <c r="Q20" s="117">
        <f t="shared" ref="Q20:Q29" si="3">P20*1000</f>
        <v>50150</v>
      </c>
      <c r="S20" s="118">
        <f t="shared" si="0"/>
        <v>1880.33</v>
      </c>
      <c r="T20" s="117">
        <f t="shared" si="1"/>
        <v>21575.031499999997</v>
      </c>
    </row>
    <row r="21" spans="3:20" x14ac:dyDescent="0.2">
      <c r="C21" t="s">
        <v>123</v>
      </c>
      <c r="K21" s="119">
        <v>1400</v>
      </c>
      <c r="L21" s="116">
        <f t="shared" si="2"/>
        <v>1126.8499999999999</v>
      </c>
      <c r="M21" s="120">
        <v>57.83</v>
      </c>
      <c r="N21" s="120">
        <v>288.2</v>
      </c>
      <c r="O21" s="120">
        <v>248.3</v>
      </c>
      <c r="P21" s="121">
        <v>55.89</v>
      </c>
      <c r="Q21" s="117">
        <f t="shared" si="3"/>
        <v>55890</v>
      </c>
      <c r="S21" s="118">
        <f t="shared" si="0"/>
        <v>2060.33</v>
      </c>
      <c r="T21" s="117">
        <f t="shared" si="1"/>
        <v>24044.436900000001</v>
      </c>
    </row>
    <row r="22" spans="3:20" x14ac:dyDescent="0.2">
      <c r="K22" s="119">
        <v>1500</v>
      </c>
      <c r="L22" s="116">
        <f t="shared" si="2"/>
        <v>1226.8499999999999</v>
      </c>
      <c r="M22" s="120">
        <v>58.4</v>
      </c>
      <c r="N22" s="120">
        <v>292.2</v>
      </c>
      <c r="O22" s="120">
        <v>251.1</v>
      </c>
      <c r="P22" s="121">
        <v>61.71</v>
      </c>
      <c r="Q22" s="117">
        <f t="shared" si="3"/>
        <v>61710</v>
      </c>
      <c r="S22" s="118">
        <f t="shared" si="0"/>
        <v>2240.33</v>
      </c>
      <c r="T22" s="117">
        <f t="shared" si="1"/>
        <v>26548.259099999999</v>
      </c>
    </row>
    <row r="23" spans="3:20" ht="18.75" x14ac:dyDescent="0.35">
      <c r="C23" s="122"/>
      <c r="D23" s="122"/>
      <c r="E23" s="123" t="s">
        <v>124</v>
      </c>
      <c r="F23" s="122"/>
      <c r="G23" s="122"/>
      <c r="H23" s="122"/>
      <c r="K23" s="119">
        <v>1600</v>
      </c>
      <c r="L23" s="116">
        <f t="shared" si="2"/>
        <v>1326.85</v>
      </c>
      <c r="M23" s="120">
        <v>58.9</v>
      </c>
      <c r="N23" s="120">
        <v>296</v>
      </c>
      <c r="O23" s="120">
        <v>253.8</v>
      </c>
      <c r="P23" s="121">
        <v>67.569999999999993</v>
      </c>
      <c r="Q23" s="117">
        <f t="shared" si="3"/>
        <v>67570</v>
      </c>
      <c r="S23" s="118">
        <f t="shared" si="0"/>
        <v>2420.33</v>
      </c>
      <c r="T23" s="117">
        <f t="shared" si="1"/>
        <v>29069.289699999998</v>
      </c>
    </row>
    <row r="24" spans="3:20" x14ac:dyDescent="0.2">
      <c r="C24" s="124"/>
      <c r="D24" s="125" t="s">
        <v>125</v>
      </c>
      <c r="E24" s="126" t="s">
        <v>126</v>
      </c>
      <c r="F24" s="126" t="s">
        <v>127</v>
      </c>
      <c r="K24" s="119">
        <v>1700</v>
      </c>
      <c r="L24" s="116">
        <f t="shared" si="2"/>
        <v>1426.85</v>
      </c>
      <c r="M24" s="120">
        <v>59.33</v>
      </c>
      <c r="N24" s="120">
        <v>299.60000000000002</v>
      </c>
      <c r="O24" s="120">
        <v>256.3</v>
      </c>
      <c r="P24" s="121">
        <v>73.48</v>
      </c>
      <c r="Q24" s="117">
        <f t="shared" si="3"/>
        <v>73480</v>
      </c>
      <c r="S24" s="118">
        <f t="shared" si="0"/>
        <v>2600.33</v>
      </c>
      <c r="T24" s="117">
        <f t="shared" si="1"/>
        <v>31611.8308</v>
      </c>
    </row>
    <row r="25" spans="3:20" x14ac:dyDescent="0.2">
      <c r="D25" s="125" t="s">
        <v>6</v>
      </c>
      <c r="E25" s="110">
        <v>24.997350000000001</v>
      </c>
      <c r="F25" s="110">
        <v>58.16639</v>
      </c>
      <c r="K25" s="119">
        <v>1800</v>
      </c>
      <c r="L25" s="116">
        <f t="shared" si="2"/>
        <v>1526.85</v>
      </c>
      <c r="M25" s="120">
        <v>59.7</v>
      </c>
      <c r="N25" s="120">
        <v>303</v>
      </c>
      <c r="O25" s="120">
        <v>258.8</v>
      </c>
      <c r="P25" s="121">
        <v>79.44</v>
      </c>
      <c r="Q25" s="117">
        <f t="shared" si="3"/>
        <v>79440</v>
      </c>
      <c r="S25" s="118">
        <f t="shared" si="0"/>
        <v>2780.33</v>
      </c>
      <c r="T25" s="117">
        <f t="shared" si="1"/>
        <v>34175.882399999995</v>
      </c>
    </row>
    <row r="26" spans="3:20" ht="16.5" customHeight="1" x14ac:dyDescent="0.2">
      <c r="D26" s="125" t="s">
        <v>7</v>
      </c>
      <c r="E26" s="110">
        <v>55.186959999999999</v>
      </c>
      <c r="F26" s="110">
        <v>2.7200739999999999</v>
      </c>
      <c r="K26" s="119">
        <v>1900</v>
      </c>
      <c r="L26" s="116">
        <f t="shared" si="2"/>
        <v>1626.85</v>
      </c>
      <c r="M26" s="120">
        <v>60.04</v>
      </c>
      <c r="N26" s="120">
        <v>306.2</v>
      </c>
      <c r="O26" s="120">
        <v>261.2</v>
      </c>
      <c r="P26" s="121">
        <v>85.42</v>
      </c>
      <c r="Q26" s="117">
        <f t="shared" si="3"/>
        <v>85420</v>
      </c>
      <c r="S26" s="118">
        <f t="shared" si="0"/>
        <v>2960.33</v>
      </c>
      <c r="T26" s="117">
        <f t="shared" si="1"/>
        <v>36748.538199999995</v>
      </c>
    </row>
    <row r="27" spans="3:20" x14ac:dyDescent="0.2">
      <c r="D27" s="125" t="s">
        <v>8</v>
      </c>
      <c r="E27" s="110">
        <v>-33.691369999999999</v>
      </c>
      <c r="F27" s="110">
        <v>-0.49228899999999998</v>
      </c>
      <c r="K27" s="119">
        <v>2000</v>
      </c>
      <c r="L27" s="116">
        <f t="shared" si="2"/>
        <v>1726.85</v>
      </c>
      <c r="M27" s="120">
        <v>60.34</v>
      </c>
      <c r="N27" s="120">
        <v>309.3</v>
      </c>
      <c r="O27" s="120">
        <v>263.60000000000002</v>
      </c>
      <c r="P27" s="121">
        <v>91.44</v>
      </c>
      <c r="Q27" s="117">
        <f t="shared" si="3"/>
        <v>91440</v>
      </c>
      <c r="S27" s="118">
        <f t="shared" si="0"/>
        <v>3140.33</v>
      </c>
      <c r="T27" s="117">
        <f t="shared" si="1"/>
        <v>39338.402399999999</v>
      </c>
    </row>
    <row r="28" spans="3:20" x14ac:dyDescent="0.2">
      <c r="D28" s="125" t="s">
        <v>128</v>
      </c>
      <c r="E28" s="110">
        <v>7.9483870000000003</v>
      </c>
      <c r="F28" s="110">
        <v>3.8843999999999997E-2</v>
      </c>
      <c r="K28" s="119">
        <v>2100</v>
      </c>
      <c r="L28" s="116">
        <f t="shared" si="2"/>
        <v>1826.85</v>
      </c>
      <c r="M28" s="120">
        <v>60.61</v>
      </c>
      <c r="N28" s="120">
        <v>312.2</v>
      </c>
      <c r="O28" s="120">
        <v>265.8</v>
      </c>
      <c r="P28" s="121">
        <v>97.49</v>
      </c>
      <c r="Q28" s="117">
        <f t="shared" si="3"/>
        <v>97490</v>
      </c>
      <c r="S28" s="118">
        <f t="shared" si="0"/>
        <v>3320.33</v>
      </c>
      <c r="T28" s="117">
        <f t="shared" si="1"/>
        <v>41941.172899999998</v>
      </c>
    </row>
    <row r="29" spans="3:20" x14ac:dyDescent="0.2">
      <c r="D29" s="125" t="s">
        <v>129</v>
      </c>
      <c r="E29" s="110">
        <v>-0.13663800000000001</v>
      </c>
      <c r="F29" s="110">
        <v>-6.4472930000000002</v>
      </c>
      <c r="K29" s="119">
        <v>2200</v>
      </c>
      <c r="L29" s="116">
        <f t="shared" si="2"/>
        <v>1926.85</v>
      </c>
      <c r="M29" s="120">
        <v>60.85</v>
      </c>
      <c r="N29" s="120">
        <v>315.10000000000002</v>
      </c>
      <c r="O29" s="120">
        <v>268</v>
      </c>
      <c r="P29" s="121">
        <v>103.6</v>
      </c>
      <c r="Q29" s="117">
        <f t="shared" si="3"/>
        <v>103600</v>
      </c>
      <c r="S29" s="118">
        <f t="shared" si="0"/>
        <v>3500.33</v>
      </c>
      <c r="T29" s="117">
        <f t="shared" si="1"/>
        <v>44569.756000000001</v>
      </c>
    </row>
    <row r="30" spans="3:20" x14ac:dyDescent="0.2">
      <c r="D30" s="125" t="s">
        <v>130</v>
      </c>
      <c r="E30" s="110">
        <v>-403.60750000000002</v>
      </c>
      <c r="F30" s="110">
        <v>-425.91860000000003</v>
      </c>
      <c r="K30" s="119">
        <v>2300</v>
      </c>
      <c r="L30"/>
      <c r="M30" s="120">
        <v>61.07</v>
      </c>
      <c r="N30" s="120">
        <v>317.8</v>
      </c>
      <c r="O30" s="120">
        <v>270.10000000000002</v>
      </c>
      <c r="P30" s="121">
        <v>109.7</v>
      </c>
    </row>
    <row r="31" spans="3:20" x14ac:dyDescent="0.2">
      <c r="D31" s="125" t="s">
        <v>131</v>
      </c>
      <c r="E31" s="110">
        <v>228.2431</v>
      </c>
      <c r="F31" s="110">
        <v>263.61250000000001</v>
      </c>
      <c r="K31" s="120">
        <v>2400</v>
      </c>
      <c r="L31" s="120"/>
      <c r="M31" s="120">
        <v>61.28</v>
      </c>
      <c r="N31" s="120">
        <v>320.39999999999998</v>
      </c>
      <c r="O31" s="120">
        <v>272.10000000000002</v>
      </c>
      <c r="P31" s="120">
        <v>115.8</v>
      </c>
    </row>
    <row r="32" spans="3:20" x14ac:dyDescent="0.2">
      <c r="D32" s="125" t="s">
        <v>132</v>
      </c>
      <c r="E32" s="127">
        <v>-393.5224</v>
      </c>
      <c r="F32" s="127">
        <v>-393.5224</v>
      </c>
      <c r="K32" s="120">
        <v>2500</v>
      </c>
      <c r="L32" s="120"/>
      <c r="M32" s="120">
        <v>61.47</v>
      </c>
      <c r="N32" s="120">
        <v>322.89999999999998</v>
      </c>
      <c r="O32" s="120">
        <v>274.10000000000002</v>
      </c>
      <c r="P32" s="120">
        <v>121.9</v>
      </c>
    </row>
    <row r="33" spans="4:27" x14ac:dyDescent="0.2">
      <c r="D33" s="128" t="s">
        <v>133</v>
      </c>
      <c r="E33" s="129" t="s">
        <v>134</v>
      </c>
      <c r="F33" s="129" t="s">
        <v>134</v>
      </c>
      <c r="K33" s="120">
        <v>2600</v>
      </c>
      <c r="L33" s="120"/>
      <c r="M33" s="120">
        <v>61.64</v>
      </c>
      <c r="N33" s="120">
        <v>325.3</v>
      </c>
      <c r="O33" s="120">
        <v>276</v>
      </c>
      <c r="P33" s="120">
        <v>128.1</v>
      </c>
    </row>
    <row r="34" spans="4:27" x14ac:dyDescent="0.2">
      <c r="K34" s="120">
        <v>2700</v>
      </c>
      <c r="L34" s="120"/>
      <c r="M34" s="120">
        <v>61.8</v>
      </c>
      <c r="N34" s="120">
        <v>327.60000000000002</v>
      </c>
      <c r="O34" s="120">
        <v>277.89999999999998</v>
      </c>
      <c r="P34" s="120">
        <v>134.19999999999999</v>
      </c>
    </row>
    <row r="35" spans="4:27" x14ac:dyDescent="0.2">
      <c r="D35" s="83" t="s">
        <v>135</v>
      </c>
      <c r="K35" s="120">
        <v>2800</v>
      </c>
      <c r="L35" s="120"/>
      <c r="M35" s="120">
        <v>61.95</v>
      </c>
      <c r="N35" s="120">
        <v>329.9</v>
      </c>
      <c r="O35" s="120">
        <v>279.7</v>
      </c>
      <c r="P35" s="120">
        <v>140.4</v>
      </c>
    </row>
    <row r="36" spans="4:27" x14ac:dyDescent="0.2">
      <c r="K36" s="120">
        <v>2900</v>
      </c>
      <c r="L36" s="120"/>
      <c r="M36" s="120">
        <v>62.1</v>
      </c>
      <c r="N36" s="120">
        <v>332.1</v>
      </c>
      <c r="O36" s="120">
        <v>281.5</v>
      </c>
      <c r="P36" s="120">
        <v>146.6</v>
      </c>
    </row>
    <row r="37" spans="4:27" ht="18.75" x14ac:dyDescent="0.35">
      <c r="D37" s="64" t="s">
        <v>136</v>
      </c>
      <c r="E37" s="13"/>
      <c r="F37" s="13"/>
      <c r="K37" s="120">
        <v>3000</v>
      </c>
      <c r="L37" s="120"/>
      <c r="M37" s="120">
        <v>62.23</v>
      </c>
      <c r="N37" s="120">
        <v>334.2</v>
      </c>
      <c r="O37" s="120">
        <v>283.2</v>
      </c>
      <c r="P37" s="120">
        <v>152.80000000000001</v>
      </c>
    </row>
    <row r="38" spans="4:27" ht="15.75" x14ac:dyDescent="0.3">
      <c r="K38" s="120">
        <v>3100</v>
      </c>
      <c r="L38" s="120"/>
      <c r="M38" s="120">
        <v>62.35</v>
      </c>
      <c r="N38" s="120">
        <v>336.2</v>
      </c>
      <c r="O38" s="120">
        <v>284.89999999999998</v>
      </c>
      <c r="P38" s="120">
        <v>159.1</v>
      </c>
      <c r="AA38" s="130"/>
    </row>
    <row r="39" spans="4:27" x14ac:dyDescent="0.2">
      <c r="K39" s="120">
        <v>3200</v>
      </c>
      <c r="L39" s="120"/>
      <c r="M39" s="120">
        <v>62.47</v>
      </c>
      <c r="N39" s="120">
        <v>338.2</v>
      </c>
      <c r="O39" s="120">
        <v>286.5</v>
      </c>
      <c r="P39" s="120">
        <v>165.3</v>
      </c>
    </row>
    <row r="40" spans="4:27" x14ac:dyDescent="0.2">
      <c r="K40" s="120">
        <v>3300</v>
      </c>
      <c r="L40" s="120"/>
      <c r="M40" s="120">
        <v>62.59</v>
      </c>
      <c r="N40" s="120">
        <v>340.1</v>
      </c>
      <c r="O40" s="120">
        <v>288.10000000000002</v>
      </c>
      <c r="P40" s="120">
        <v>171.6</v>
      </c>
    </row>
    <row r="41" spans="4:27" x14ac:dyDescent="0.2">
      <c r="K41" s="120">
        <v>3400</v>
      </c>
      <c r="L41" s="120"/>
      <c r="M41" s="120">
        <v>62.69</v>
      </c>
      <c r="N41" s="120">
        <v>342</v>
      </c>
      <c r="O41" s="120">
        <v>289.7</v>
      </c>
      <c r="P41" s="120">
        <v>177.8</v>
      </c>
    </row>
    <row r="42" spans="4:27" x14ac:dyDescent="0.2">
      <c r="K42" s="120">
        <v>3500</v>
      </c>
      <c r="L42" s="120"/>
      <c r="M42" s="120">
        <v>62.8</v>
      </c>
      <c r="N42" s="120">
        <v>343.8</v>
      </c>
      <c r="O42" s="120">
        <v>291.2</v>
      </c>
      <c r="P42" s="120">
        <v>184.1</v>
      </c>
    </row>
    <row r="43" spans="4:27" x14ac:dyDescent="0.2">
      <c r="K43" s="120">
        <v>3600</v>
      </c>
      <c r="L43" s="120"/>
      <c r="M43" s="120">
        <v>62.89</v>
      </c>
      <c r="N43" s="120">
        <v>345.6</v>
      </c>
      <c r="O43" s="120">
        <v>292.7</v>
      </c>
      <c r="P43" s="120">
        <v>190.4</v>
      </c>
    </row>
    <row r="44" spans="4:27" x14ac:dyDescent="0.2">
      <c r="K44" s="120">
        <v>3700</v>
      </c>
      <c r="L44" s="120"/>
      <c r="M44" s="120">
        <v>62.99</v>
      </c>
      <c r="N44" s="120">
        <v>347.3</v>
      </c>
      <c r="O44" s="120">
        <v>294.10000000000002</v>
      </c>
      <c r="P44" s="120">
        <v>196.7</v>
      </c>
    </row>
    <row r="45" spans="4:27" x14ac:dyDescent="0.2">
      <c r="K45" s="120">
        <v>3800</v>
      </c>
      <c r="L45" s="120"/>
      <c r="M45" s="120">
        <v>63.08</v>
      </c>
      <c r="N45" s="120">
        <v>349</v>
      </c>
      <c r="O45" s="120">
        <v>295.60000000000002</v>
      </c>
      <c r="P45" s="120">
        <v>203</v>
      </c>
    </row>
    <row r="46" spans="4:27" x14ac:dyDescent="0.2">
      <c r="K46" s="120">
        <v>3900</v>
      </c>
      <c r="L46" s="120"/>
      <c r="M46" s="120">
        <v>63.17</v>
      </c>
      <c r="N46" s="120">
        <v>350.6</v>
      </c>
      <c r="O46" s="120">
        <v>297</v>
      </c>
      <c r="P46" s="120">
        <v>209.3</v>
      </c>
    </row>
    <row r="47" spans="4:27" x14ac:dyDescent="0.2">
      <c r="K47" s="120">
        <v>4000</v>
      </c>
      <c r="L47" s="120"/>
      <c r="M47" s="120">
        <v>63.25</v>
      </c>
      <c r="N47" s="120">
        <v>352.2</v>
      </c>
      <c r="O47" s="120">
        <v>298.3</v>
      </c>
      <c r="P47" s="120">
        <v>215.6</v>
      </c>
    </row>
    <row r="48" spans="4:27" x14ac:dyDescent="0.2">
      <c r="K48" s="120">
        <v>4100</v>
      </c>
      <c r="L48" s="120"/>
      <c r="M48" s="120">
        <v>63.34</v>
      </c>
      <c r="N48" s="120">
        <v>353.8</v>
      </c>
      <c r="O48" s="120">
        <v>299.60000000000002</v>
      </c>
      <c r="P48" s="120">
        <v>222</v>
      </c>
    </row>
    <row r="49" spans="4:16" x14ac:dyDescent="0.2">
      <c r="K49" s="120">
        <v>4200</v>
      </c>
      <c r="L49" s="120"/>
      <c r="M49" s="120">
        <v>63.42</v>
      </c>
      <c r="N49" s="120">
        <v>355.3</v>
      </c>
      <c r="O49" s="120">
        <v>301</v>
      </c>
      <c r="P49" s="120">
        <v>228.3</v>
      </c>
    </row>
    <row r="50" spans="4:16" x14ac:dyDescent="0.2">
      <c r="K50" s="120">
        <v>4300</v>
      </c>
      <c r="L50" s="120"/>
      <c r="M50" s="120">
        <v>63.5</v>
      </c>
      <c r="N50" s="120">
        <v>356.8</v>
      </c>
      <c r="O50" s="120">
        <v>302.2</v>
      </c>
      <c r="P50" s="120">
        <v>234.6</v>
      </c>
    </row>
    <row r="51" spans="4:16" x14ac:dyDescent="0.2">
      <c r="K51" s="120">
        <v>4400</v>
      </c>
      <c r="L51" s="120"/>
      <c r="M51" s="120">
        <v>63.58</v>
      </c>
      <c r="N51" s="120">
        <v>358.3</v>
      </c>
      <c r="O51" s="120">
        <v>303.5</v>
      </c>
      <c r="P51" s="120">
        <v>241</v>
      </c>
    </row>
    <row r="52" spans="4:16" x14ac:dyDescent="0.2">
      <c r="K52" s="120">
        <v>4500</v>
      </c>
      <c r="L52" s="120"/>
      <c r="M52" s="120">
        <v>63.66</v>
      </c>
      <c r="N52" s="120">
        <v>359.7</v>
      </c>
      <c r="O52" s="120">
        <v>304.7</v>
      </c>
      <c r="P52" s="120">
        <v>247.4</v>
      </c>
    </row>
    <row r="53" spans="4:16" ht="12" customHeight="1" x14ac:dyDescent="0.2">
      <c r="K53" s="120">
        <v>4600</v>
      </c>
      <c r="L53" s="120"/>
      <c r="M53" s="120">
        <v>63.74</v>
      </c>
      <c r="N53" s="120">
        <v>361.1</v>
      </c>
      <c r="O53" s="120">
        <v>305.89999999999998</v>
      </c>
      <c r="P53" s="120">
        <v>253.7</v>
      </c>
    </row>
    <row r="54" spans="4:16" x14ac:dyDescent="0.2">
      <c r="K54" s="120">
        <v>4700</v>
      </c>
      <c r="L54" s="120"/>
      <c r="M54" s="120">
        <v>63.82</v>
      </c>
      <c r="N54" s="120">
        <v>362.5</v>
      </c>
      <c r="O54" s="120">
        <v>307.10000000000002</v>
      </c>
      <c r="P54" s="120">
        <v>260.10000000000002</v>
      </c>
    </row>
    <row r="55" spans="4:16" x14ac:dyDescent="0.2">
      <c r="K55" s="120">
        <v>4800</v>
      </c>
      <c r="L55" s="120"/>
      <c r="M55" s="120">
        <v>63.9</v>
      </c>
      <c r="N55" s="120">
        <v>363.8</v>
      </c>
      <c r="O55" s="120">
        <v>308.3</v>
      </c>
      <c r="P55" s="120">
        <v>266.5</v>
      </c>
    </row>
    <row r="56" spans="4:16" x14ac:dyDescent="0.2">
      <c r="K56" s="120">
        <v>4900</v>
      </c>
      <c r="L56" s="120"/>
      <c r="M56" s="120">
        <v>63.98</v>
      </c>
      <c r="N56" s="120">
        <v>365.1</v>
      </c>
      <c r="O56" s="120">
        <v>309.39999999999998</v>
      </c>
      <c r="P56" s="120">
        <v>272.89999999999998</v>
      </c>
    </row>
    <row r="57" spans="4:16" ht="18.75" x14ac:dyDescent="0.2">
      <c r="E57" s="131" t="s">
        <v>137</v>
      </c>
      <c r="F57" s="13"/>
      <c r="G57" s="13"/>
      <c r="K57" s="120">
        <v>5000</v>
      </c>
      <c r="L57" s="120"/>
      <c r="M57" s="120">
        <v>64.06</v>
      </c>
      <c r="N57" s="120">
        <v>366.4</v>
      </c>
      <c r="O57" s="120">
        <v>310.60000000000002</v>
      </c>
      <c r="P57" s="120">
        <v>279.3</v>
      </c>
    </row>
    <row r="58" spans="4:16" x14ac:dyDescent="0.2">
      <c r="F58" s="15" t="s">
        <v>6</v>
      </c>
      <c r="G58" s="15" t="s">
        <v>7</v>
      </c>
      <c r="K58" s="120">
        <v>5100</v>
      </c>
      <c r="L58" s="120"/>
      <c r="M58" s="120">
        <v>64.14</v>
      </c>
      <c r="N58" s="120">
        <v>367.7</v>
      </c>
      <c r="O58" s="120">
        <v>311.7</v>
      </c>
      <c r="P58" s="120">
        <v>285.7</v>
      </c>
    </row>
    <row r="59" spans="4:16" x14ac:dyDescent="0.2">
      <c r="D59" s="74"/>
      <c r="E59" s="74" t="s">
        <v>138</v>
      </c>
      <c r="F59" s="17">
        <v>-10312</v>
      </c>
      <c r="G59" s="18">
        <v>58.91</v>
      </c>
      <c r="K59" s="120">
        <v>5200</v>
      </c>
      <c r="L59" s="120"/>
      <c r="M59" s="120">
        <v>64.22</v>
      </c>
      <c r="N59" s="120">
        <v>368.9</v>
      </c>
      <c r="O59" s="120">
        <v>312.8</v>
      </c>
      <c r="P59" s="120">
        <v>292.10000000000002</v>
      </c>
    </row>
    <row r="60" spans="4:16" ht="14.25" x14ac:dyDescent="0.2">
      <c r="D60" s="76"/>
      <c r="E60" s="76" t="s">
        <v>139</v>
      </c>
      <c r="F60" s="132">
        <f>F59/22.414</f>
        <v>-460.06959935754435</v>
      </c>
      <c r="G60" s="39">
        <f>G59/22.414</f>
        <v>2.6282680467564909</v>
      </c>
      <c r="K60" s="120">
        <v>5300</v>
      </c>
      <c r="L60" s="120"/>
      <c r="M60" s="120">
        <v>64.31</v>
      </c>
      <c r="N60" s="120">
        <v>370.2</v>
      </c>
      <c r="O60" s="120">
        <v>313.8</v>
      </c>
      <c r="P60" s="120">
        <v>298.5</v>
      </c>
    </row>
    <row r="61" spans="4:16" x14ac:dyDescent="0.2">
      <c r="D61" s="77"/>
      <c r="E61" s="77" t="s">
        <v>83</v>
      </c>
      <c r="F61" s="133">
        <v>-4887</v>
      </c>
      <c r="G61" s="134">
        <v>14.08</v>
      </c>
      <c r="K61" s="120">
        <v>5400</v>
      </c>
      <c r="L61" s="120"/>
      <c r="M61" s="120">
        <v>64.39</v>
      </c>
      <c r="N61" s="120">
        <v>371.4</v>
      </c>
      <c r="O61" s="120">
        <v>314.89999999999998</v>
      </c>
      <c r="P61" s="120">
        <v>305</v>
      </c>
    </row>
    <row r="62" spans="4:16" ht="14.25" x14ac:dyDescent="0.2">
      <c r="D62" s="80"/>
      <c r="E62" s="80" t="s">
        <v>140</v>
      </c>
      <c r="F62" s="81">
        <f>F61/359.04</f>
        <v>-13.61129679144385</v>
      </c>
      <c r="G62" s="135">
        <f>G61/359.04</f>
        <v>3.9215686274509803E-2</v>
      </c>
      <c r="K62" s="120">
        <v>5500</v>
      </c>
      <c r="L62" s="120"/>
      <c r="M62" s="120">
        <v>64.48</v>
      </c>
      <c r="N62" s="120">
        <v>372.5</v>
      </c>
      <c r="O62" s="120">
        <v>315.89999999999998</v>
      </c>
      <c r="P62" s="120">
        <v>311.39999999999998</v>
      </c>
    </row>
    <row r="63" spans="4:16" x14ac:dyDescent="0.2">
      <c r="E63" s="136" t="s">
        <v>141</v>
      </c>
      <c r="K63" s="120">
        <v>5600</v>
      </c>
      <c r="L63" s="120"/>
      <c r="M63" s="120">
        <v>64.58</v>
      </c>
      <c r="N63" s="120">
        <v>373.7</v>
      </c>
      <c r="O63" s="120">
        <v>316.89999999999998</v>
      </c>
      <c r="P63" s="120">
        <v>317.89999999999998</v>
      </c>
    </row>
    <row r="64" spans="4:16" x14ac:dyDescent="0.2">
      <c r="K64" s="120">
        <v>5700</v>
      </c>
      <c r="L64" s="120"/>
      <c r="M64" s="120">
        <v>64.67</v>
      </c>
      <c r="N64" s="120">
        <v>374.9</v>
      </c>
      <c r="O64" s="120">
        <v>318</v>
      </c>
      <c r="P64" s="120">
        <v>324.3</v>
      </c>
    </row>
    <row r="65" spans="11:16" x14ac:dyDescent="0.2">
      <c r="K65" s="120">
        <v>5800</v>
      </c>
      <c r="L65" s="120"/>
      <c r="M65" s="120">
        <v>64.77</v>
      </c>
      <c r="N65" s="120">
        <v>376</v>
      </c>
      <c r="O65" s="120">
        <v>318.89999999999998</v>
      </c>
      <c r="P65" s="120">
        <v>330.8</v>
      </c>
    </row>
    <row r="66" spans="11:16" x14ac:dyDescent="0.2">
      <c r="K66" s="120">
        <v>5900</v>
      </c>
      <c r="L66" s="120"/>
      <c r="M66" s="120">
        <v>64.87</v>
      </c>
      <c r="N66" s="120">
        <v>377.1</v>
      </c>
      <c r="O66" s="120">
        <v>319.89999999999998</v>
      </c>
      <c r="P66" s="120">
        <v>337.3</v>
      </c>
    </row>
    <row r="67" spans="11:16" x14ac:dyDescent="0.2">
      <c r="K67" s="120">
        <v>6000</v>
      </c>
      <c r="L67" s="120"/>
      <c r="M67" s="120">
        <v>64.98</v>
      </c>
      <c r="N67" s="120">
        <v>378.2</v>
      </c>
      <c r="O67" s="120">
        <v>320.89999999999998</v>
      </c>
      <c r="P67" s="120">
        <v>343.8</v>
      </c>
    </row>
  </sheetData>
  <pageMargins left="0.7" right="0.7" top="0.75" bottom="0.75" header="0.3" footer="0.3"/>
  <pageSetup orientation="portrait" verticalDpi="300" r:id="rId1"/>
  <drawing r:id="rId2"/>
  <legacyDrawing r:id="rId3"/>
  <oleObjects>
    <mc:AlternateContent xmlns:mc="http://schemas.openxmlformats.org/markup-compatibility/2006">
      <mc:Choice Requires="x14">
        <oleObject progId="Wordpad.Document.1" dvAspect="DVASPECT_ICON" shapeId="4097" r:id="rId4">
          <objectPr defaultSize="0" autoPict="0" r:id="rId5">
            <anchor moveWithCells="1">
              <from>
                <xdr:col>0</xdr:col>
                <xdr:colOff>123825</xdr:colOff>
                <xdr:row>6</xdr:row>
                <xdr:rowOff>28575</xdr:rowOff>
              </from>
              <to>
                <xdr:col>1</xdr:col>
                <xdr:colOff>200025</xdr:colOff>
                <xdr:row>8</xdr:row>
                <xdr:rowOff>142875</xdr:rowOff>
              </to>
            </anchor>
          </objectPr>
        </oleObject>
      </mc:Choice>
      <mc:Fallback>
        <oleObject progId="Wordpad.Document.1" dvAspect="DVASPECT_ICON" shapeId="409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Z80"/>
  <sheetViews>
    <sheetView zoomScale="85" zoomScaleNormal="85" workbookViewId="0">
      <selection activeCell="A2" sqref="A2"/>
    </sheetView>
  </sheetViews>
  <sheetFormatPr defaultRowHeight="12.75" x14ac:dyDescent="0.2"/>
  <cols>
    <col min="1" max="1" width="9.140625" style="137"/>
    <col min="2" max="2" width="16.85546875" style="137" customWidth="1"/>
    <col min="3" max="6" width="9.140625" style="137"/>
    <col min="7" max="7" width="4.5703125" style="137" customWidth="1"/>
    <col min="8" max="8" width="9.140625" style="34"/>
    <col min="9" max="11" width="9.140625" style="137"/>
    <col min="12" max="12" width="5.42578125" style="137" customWidth="1"/>
    <col min="13" max="14" width="9.140625" style="137"/>
    <col min="15" max="15" width="3.7109375" style="137" customWidth="1"/>
    <col min="16" max="16" width="9.140625" style="137"/>
    <col min="17" max="17" width="9.7109375" style="137" customWidth="1"/>
    <col min="18" max="19" width="9.140625" style="137"/>
    <col min="20" max="20" width="10" style="137" bestFit="1" customWidth="1"/>
    <col min="21" max="21" width="9.140625" style="137"/>
    <col min="22" max="22" width="10.140625" style="137" customWidth="1"/>
    <col min="23" max="23" width="10.7109375" style="137" customWidth="1"/>
    <col min="24" max="16384" width="9.140625" style="137"/>
  </cols>
  <sheetData>
    <row r="2" spans="1:26" x14ac:dyDescent="0.2">
      <c r="Q2"/>
      <c r="R2"/>
      <c r="S2"/>
      <c r="T2"/>
      <c r="U2"/>
      <c r="V2"/>
      <c r="W2"/>
      <c r="X2"/>
      <c r="Y2"/>
      <c r="Z2"/>
    </row>
    <row r="3" spans="1:26" x14ac:dyDescent="0.2">
      <c r="B3" s="34" t="s">
        <v>63</v>
      </c>
      <c r="Q3"/>
      <c r="R3"/>
      <c r="S3"/>
      <c r="T3"/>
      <c r="U3"/>
      <c r="V3"/>
      <c r="W3"/>
      <c r="X3"/>
      <c r="Y3"/>
      <c r="Z3"/>
    </row>
    <row r="4" spans="1:26" ht="16.5" x14ac:dyDescent="0.25">
      <c r="D4" s="138" t="s">
        <v>142</v>
      </c>
      <c r="E4" s="139"/>
      <c r="F4" s="139"/>
      <c r="G4" s="139"/>
      <c r="H4" s="140"/>
      <c r="I4" s="139"/>
      <c r="J4" s="139"/>
      <c r="K4" s="139"/>
      <c r="L4" s="139"/>
      <c r="M4" s="141"/>
      <c r="Q4"/>
      <c r="R4"/>
      <c r="S4"/>
      <c r="T4"/>
      <c r="U4"/>
      <c r="V4"/>
      <c r="W4"/>
      <c r="X4"/>
      <c r="Y4"/>
      <c r="Z4"/>
    </row>
    <row r="5" spans="1:26" ht="18.75" x14ac:dyDescent="0.35">
      <c r="N5" s="64" t="s">
        <v>143</v>
      </c>
      <c r="O5" s="64"/>
      <c r="P5" s="64"/>
      <c r="Q5" s="64"/>
      <c r="R5" s="64"/>
      <c r="V5" s="64" t="s">
        <v>144</v>
      </c>
      <c r="W5" s="64"/>
      <c r="X5" s="64"/>
      <c r="Y5" s="64"/>
      <c r="Z5" s="64"/>
    </row>
    <row r="6" spans="1:26" x14ac:dyDescent="0.2">
      <c r="F6"/>
      <c r="H6" s="137"/>
    </row>
    <row r="7" spans="1:26" ht="17.25" customHeight="1" x14ac:dyDescent="0.2">
      <c r="C7" s="142" t="s">
        <v>145</v>
      </c>
      <c r="F7"/>
      <c r="G7" s="143"/>
      <c r="H7" s="144" t="s">
        <v>146</v>
      </c>
      <c r="I7" s="95"/>
    </row>
    <row r="8" spans="1:26" ht="14.25" x14ac:dyDescent="0.2">
      <c r="F8"/>
      <c r="G8" s="145"/>
      <c r="H8" s="97" t="s">
        <v>147</v>
      </c>
      <c r="I8" s="98">
        <v>18.0153</v>
      </c>
    </row>
    <row r="9" spans="1:26" ht="14.25" customHeight="1" x14ac:dyDescent="0.2">
      <c r="D9" s="106"/>
      <c r="F9"/>
      <c r="I9" s="106"/>
      <c r="J9" s="106"/>
      <c r="K9" s="106"/>
    </row>
    <row r="10" spans="1:26" ht="15.75" customHeight="1" x14ac:dyDescent="0.35">
      <c r="C10" s="64" t="s">
        <v>148</v>
      </c>
      <c r="D10" s="64"/>
      <c r="E10" s="64"/>
      <c r="F10" s="64"/>
      <c r="G10" s="64"/>
      <c r="H10" s="64"/>
      <c r="I10" s="106"/>
      <c r="J10" s="106"/>
      <c r="K10" s="106"/>
    </row>
    <row r="11" spans="1:26" ht="12.75" customHeight="1" x14ac:dyDescent="0.2">
      <c r="C11" s="66" t="s">
        <v>149</v>
      </c>
      <c r="D11" s="103"/>
      <c r="E11" s="103"/>
      <c r="F11" s="103"/>
      <c r="G11" s="146"/>
      <c r="H11" s="103" t="s">
        <v>150</v>
      </c>
      <c r="I11" s="103"/>
      <c r="J11" s="103"/>
      <c r="K11" s="103"/>
    </row>
    <row r="12" spans="1:26" ht="14.25" customHeight="1" thickBot="1" x14ac:dyDescent="0.25">
      <c r="C12" s="147"/>
      <c r="D12" s="148" t="s">
        <v>151</v>
      </c>
      <c r="E12" s="148"/>
      <c r="F12" s="148"/>
      <c r="G12" s="149"/>
      <c r="H12" s="148" t="s">
        <v>152</v>
      </c>
      <c r="I12" s="148"/>
      <c r="J12" s="148"/>
      <c r="K12" s="147"/>
    </row>
    <row r="13" spans="1:26" ht="14.25" x14ac:dyDescent="0.2">
      <c r="C13" s="150" t="s">
        <v>153</v>
      </c>
      <c r="D13" s="150" t="s">
        <v>154</v>
      </c>
      <c r="E13" s="150" t="s">
        <v>155</v>
      </c>
      <c r="F13" s="151" t="s">
        <v>156</v>
      </c>
      <c r="G13" s="152"/>
      <c r="H13" s="150" t="s">
        <v>157</v>
      </c>
      <c r="I13" s="153" t="s">
        <v>158</v>
      </c>
      <c r="J13" s="153" t="s">
        <v>159</v>
      </c>
      <c r="K13" s="152" t="s">
        <v>160</v>
      </c>
    </row>
    <row r="14" spans="1:26" x14ac:dyDescent="0.2">
      <c r="A14"/>
      <c r="C14" s="106">
        <v>0</v>
      </c>
      <c r="D14" s="106">
        <v>0</v>
      </c>
      <c r="E14" s="106">
        <v>0</v>
      </c>
      <c r="F14" s="106" t="s">
        <v>161</v>
      </c>
      <c r="G14" s="106"/>
      <c r="H14" s="154">
        <v>-9.9039999999999999</v>
      </c>
      <c r="I14" s="106">
        <v>-238.92099999999999</v>
      </c>
      <c r="J14" s="106">
        <v>-238.92099999999999</v>
      </c>
      <c r="K14" s="106" t="s">
        <v>161</v>
      </c>
    </row>
    <row r="15" spans="1:26" x14ac:dyDescent="0.2">
      <c r="C15" s="106">
        <v>100</v>
      </c>
      <c r="D15" s="106">
        <v>33.298999999999999</v>
      </c>
      <c r="E15" s="106">
        <v>152.38800000000001</v>
      </c>
      <c r="F15" s="106">
        <v>218.53399999999999</v>
      </c>
      <c r="G15" s="106"/>
      <c r="H15" s="154">
        <v>-6.6150000000000002</v>
      </c>
      <c r="I15" s="106">
        <v>-240.083</v>
      </c>
      <c r="J15" s="106">
        <v>-236.584</v>
      </c>
      <c r="K15" s="106">
        <v>123.57899999999999</v>
      </c>
    </row>
    <row r="16" spans="1:26" x14ac:dyDescent="0.2">
      <c r="C16" s="106">
        <v>200</v>
      </c>
      <c r="D16" s="106">
        <v>33.348999999999997</v>
      </c>
      <c r="E16" s="106">
        <v>175.48500000000001</v>
      </c>
      <c r="F16" s="106">
        <v>191.89599999999999</v>
      </c>
      <c r="G16" s="106"/>
      <c r="H16" s="154">
        <v>-3.282</v>
      </c>
      <c r="I16" s="106">
        <v>-240.9</v>
      </c>
      <c r="J16" s="106">
        <v>-232.76599999999999</v>
      </c>
      <c r="K16" s="106">
        <v>60.792000000000002</v>
      </c>
    </row>
    <row r="17" spans="2:26" x14ac:dyDescent="0.2">
      <c r="C17" s="106"/>
      <c r="D17" s="106"/>
      <c r="E17" s="106"/>
      <c r="F17" s="106"/>
      <c r="G17" s="106"/>
      <c r="H17" s="154"/>
      <c r="I17" s="106"/>
      <c r="J17" s="106"/>
      <c r="K17" s="106"/>
    </row>
    <row r="18" spans="2:26" x14ac:dyDescent="0.2">
      <c r="B18" s="155" t="s">
        <v>162</v>
      </c>
      <c r="C18" s="106">
        <v>298.14999999999998</v>
      </c>
      <c r="D18" s="106">
        <v>33.590000000000003</v>
      </c>
      <c r="E18" s="106">
        <v>188.834</v>
      </c>
      <c r="F18" s="106">
        <v>188.834</v>
      </c>
      <c r="G18" s="106"/>
      <c r="H18" s="154">
        <v>0</v>
      </c>
      <c r="I18" s="106">
        <v>-241.82599999999999</v>
      </c>
      <c r="J18" s="106">
        <v>-228.58199999999999</v>
      </c>
      <c r="K18" s="106">
        <v>40.046999999999997</v>
      </c>
    </row>
    <row r="19" spans="2:26" x14ac:dyDescent="0.2">
      <c r="C19" s="106">
        <v>300</v>
      </c>
      <c r="D19" s="106">
        <v>33.595999999999997</v>
      </c>
      <c r="E19" s="106">
        <v>189.042</v>
      </c>
      <c r="F19" s="106">
        <v>188.83500000000001</v>
      </c>
      <c r="G19" s="106"/>
      <c r="H19" s="154">
        <v>6.2E-2</v>
      </c>
      <c r="I19" s="106">
        <v>-241.84399999999999</v>
      </c>
      <c r="J19" s="106">
        <v>-228.5</v>
      </c>
      <c r="K19" s="106">
        <v>39.784999999999997</v>
      </c>
    </row>
    <row r="20" spans="2:26" x14ac:dyDescent="0.2">
      <c r="C20" s="106">
        <v>400</v>
      </c>
      <c r="D20" s="106">
        <v>34.262</v>
      </c>
      <c r="E20" s="106">
        <v>198.78800000000001</v>
      </c>
      <c r="F20" s="106">
        <v>190.15899999999999</v>
      </c>
      <c r="G20" s="106"/>
      <c r="H20" s="154">
        <v>3.452</v>
      </c>
      <c r="I20" s="106">
        <v>-242.846</v>
      </c>
      <c r="J20" s="106">
        <v>-223.90100000000001</v>
      </c>
      <c r="K20" s="106">
        <v>29.238</v>
      </c>
    </row>
    <row r="21" spans="2:26" x14ac:dyDescent="0.2">
      <c r="C21" s="106">
        <v>500</v>
      </c>
      <c r="D21" s="106">
        <v>35.225999999999999</v>
      </c>
      <c r="E21" s="106">
        <v>206.53399999999999</v>
      </c>
      <c r="F21" s="106">
        <v>192.685</v>
      </c>
      <c r="G21" s="106"/>
      <c r="H21" s="154">
        <v>6.9249999999999998</v>
      </c>
      <c r="I21" s="106">
        <v>-243.82599999999999</v>
      </c>
      <c r="J21" s="106">
        <v>-219.05099999999999</v>
      </c>
      <c r="K21" s="106">
        <v>22.884</v>
      </c>
    </row>
    <row r="22" spans="2:26" x14ac:dyDescent="0.2">
      <c r="C22" s="106">
        <v>600</v>
      </c>
      <c r="D22" s="106">
        <v>36.325000000000003</v>
      </c>
      <c r="E22" s="106">
        <v>213.05199999999999</v>
      </c>
      <c r="F22" s="106">
        <v>195.55</v>
      </c>
      <c r="G22" s="106"/>
      <c r="H22" s="154">
        <v>10.500999999999999</v>
      </c>
      <c r="I22" s="106">
        <v>-244.75800000000001</v>
      </c>
      <c r="J22" s="106">
        <v>-214.00700000000001</v>
      </c>
      <c r="K22" s="106">
        <v>18.631</v>
      </c>
    </row>
    <row r="23" spans="2:26" ht="15" customHeight="1" x14ac:dyDescent="0.2">
      <c r="C23" s="106">
        <v>700</v>
      </c>
      <c r="D23" s="106">
        <v>37.494999999999997</v>
      </c>
      <c r="E23" s="106">
        <v>218.739</v>
      </c>
      <c r="F23" s="106">
        <v>198.465</v>
      </c>
      <c r="G23" s="106"/>
      <c r="H23" s="154">
        <v>14.192</v>
      </c>
      <c r="I23" s="106">
        <v>-245.63200000000001</v>
      </c>
      <c r="J23" s="106">
        <v>-208.81200000000001</v>
      </c>
      <c r="K23" s="106">
        <v>15.582000000000001</v>
      </c>
      <c r="M23" s="64" t="s">
        <v>163</v>
      </c>
      <c r="N23" s="64"/>
      <c r="O23" s="64"/>
      <c r="P23" s="64"/>
      <c r="Q23" s="64"/>
      <c r="R23" s="64"/>
      <c r="S23"/>
      <c r="T23" s="64" t="s">
        <v>164</v>
      </c>
      <c r="U23" s="64"/>
      <c r="V23" s="64"/>
      <c r="W23" s="64"/>
      <c r="X23" s="64"/>
      <c r="Y23" s="64"/>
      <c r="Z23" s="64"/>
    </row>
    <row r="24" spans="2:26" ht="14.25" x14ac:dyDescent="0.2">
      <c r="C24" s="106">
        <v>800</v>
      </c>
      <c r="D24" s="106">
        <v>38.720999999999997</v>
      </c>
      <c r="E24" s="106">
        <v>223.82499999999999</v>
      </c>
      <c r="F24" s="106">
        <v>201.322</v>
      </c>
      <c r="G24" s="106"/>
      <c r="H24" s="154">
        <v>18.001999999999999</v>
      </c>
      <c r="I24" s="106">
        <v>-246.44300000000001</v>
      </c>
      <c r="J24" s="106">
        <v>-203.49600000000001</v>
      </c>
      <c r="K24" s="106">
        <v>13.287000000000001</v>
      </c>
      <c r="M24" s="156"/>
      <c r="N24" s="157" t="s">
        <v>165</v>
      </c>
      <c r="P24" s="156"/>
      <c r="Q24" s="158" t="s">
        <v>166</v>
      </c>
      <c r="R24"/>
      <c r="T24"/>
      <c r="U24"/>
      <c r="V24" s="159" t="s">
        <v>6</v>
      </c>
      <c r="W24" s="159" t="s">
        <v>7</v>
      </c>
      <c r="X24" s="159" t="s">
        <v>8</v>
      </c>
    </row>
    <row r="25" spans="2:26" ht="14.25" x14ac:dyDescent="0.2">
      <c r="C25" s="106">
        <v>900</v>
      </c>
      <c r="D25" s="106">
        <v>39.987000000000002</v>
      </c>
      <c r="E25" s="106">
        <v>228.459</v>
      </c>
      <c r="F25" s="106">
        <v>204.084</v>
      </c>
      <c r="G25" s="106"/>
      <c r="H25" s="154">
        <v>21.937999999999999</v>
      </c>
      <c r="I25" s="106">
        <v>-247.185</v>
      </c>
      <c r="J25" s="106">
        <v>-198.083</v>
      </c>
      <c r="K25" s="106">
        <v>11.496</v>
      </c>
      <c r="M25" s="160" t="s">
        <v>72</v>
      </c>
      <c r="N25" s="150" t="s">
        <v>157</v>
      </c>
      <c r="P25" s="160" t="s">
        <v>74</v>
      </c>
      <c r="Q25" s="150" t="s">
        <v>157</v>
      </c>
      <c r="T25" s="74"/>
      <c r="U25" s="74" t="s">
        <v>138</v>
      </c>
      <c r="V25" s="17">
        <v>-2655</v>
      </c>
      <c r="W25" s="18">
        <v>35.96</v>
      </c>
      <c r="X25" s="19">
        <v>4.4619999999999998E-3</v>
      </c>
    </row>
    <row r="26" spans="2:26" ht="14.25" x14ac:dyDescent="0.2">
      <c r="B26"/>
      <c r="C26" s="106">
        <v>1000</v>
      </c>
      <c r="D26" s="106">
        <v>41.268000000000001</v>
      </c>
      <c r="E26" s="106">
        <v>232.738</v>
      </c>
      <c r="F26" s="106">
        <v>206.738</v>
      </c>
      <c r="G26" s="106"/>
      <c r="H26" s="154">
        <v>26</v>
      </c>
      <c r="I26" s="106">
        <v>-247.857</v>
      </c>
      <c r="J26" s="106">
        <v>-192.59</v>
      </c>
      <c r="K26" s="106">
        <v>10.06</v>
      </c>
      <c r="T26" s="76"/>
      <c r="U26" s="76" t="s">
        <v>139</v>
      </c>
      <c r="V26" s="132">
        <f>V25/22.414</f>
        <v>-118.45275274382082</v>
      </c>
      <c r="W26" s="39">
        <f>W25/22.414</f>
        <v>1.604354421343803</v>
      </c>
      <c r="X26" s="161">
        <f>X25/22.414</f>
        <v>1.9907200856607475E-4</v>
      </c>
    </row>
    <row r="27" spans="2:26" x14ac:dyDescent="0.2">
      <c r="C27" s="106">
        <v>1100</v>
      </c>
      <c r="D27" s="106">
        <v>42.536000000000001</v>
      </c>
      <c r="E27" s="106">
        <v>236.73099999999999</v>
      </c>
      <c r="F27" s="106">
        <v>209.285</v>
      </c>
      <c r="G27" s="106"/>
      <c r="H27" s="154">
        <v>30.190999999999999</v>
      </c>
      <c r="I27" s="106">
        <v>-248.46</v>
      </c>
      <c r="J27" s="106">
        <v>-187.03299999999999</v>
      </c>
      <c r="K27" s="106">
        <v>8.8810000000000002</v>
      </c>
      <c r="M27" s="162">
        <f t="shared" ref="M27:M38" si="0">C27-273.15</f>
        <v>826.85</v>
      </c>
      <c r="N27" s="163">
        <f t="shared" ref="N27:N38" si="1">H27*1000</f>
        <v>30191</v>
      </c>
      <c r="P27" s="164">
        <f>M27*1.8+32</f>
        <v>1520.3300000000002</v>
      </c>
      <c r="Q27" s="163">
        <f>N27*0.43021</f>
        <v>12988.47011</v>
      </c>
      <c r="T27" s="77"/>
      <c r="U27" s="77" t="s">
        <v>83</v>
      </c>
      <c r="V27" s="133">
        <v>-1416</v>
      </c>
      <c r="W27" s="165">
        <v>8.5579999999999998</v>
      </c>
      <c r="X27" s="166">
        <v>5.9250000000000004E-4</v>
      </c>
    </row>
    <row r="28" spans="2:26" ht="14.25" x14ac:dyDescent="0.2">
      <c r="C28" s="106">
        <v>1200</v>
      </c>
      <c r="D28" s="106">
        <v>43.768000000000001</v>
      </c>
      <c r="E28" s="106">
        <v>240.48500000000001</v>
      </c>
      <c r="F28" s="106">
        <v>211.73</v>
      </c>
      <c r="G28" s="106"/>
      <c r="H28" s="154">
        <v>34.506</v>
      </c>
      <c r="I28" s="106">
        <v>-248.99700000000001</v>
      </c>
      <c r="J28" s="106">
        <v>-181.42500000000001</v>
      </c>
      <c r="K28" s="106">
        <v>7.8970000000000002</v>
      </c>
      <c r="M28" s="162">
        <f t="shared" si="0"/>
        <v>926.85</v>
      </c>
      <c r="N28" s="163">
        <f t="shared" si="1"/>
        <v>34506</v>
      </c>
      <c r="P28" s="164">
        <f t="shared" ref="P28:P38" si="2">M28*1.8+32</f>
        <v>1700.3300000000002</v>
      </c>
      <c r="Q28" s="163">
        <f t="shared" ref="Q28:Q38" si="3">N28*0.43021</f>
        <v>14844.82626</v>
      </c>
      <c r="T28" s="80"/>
      <c r="U28" s="80" t="s">
        <v>140</v>
      </c>
      <c r="V28" s="167">
        <f>V27/359.04</f>
        <v>-3.9438502673796787</v>
      </c>
      <c r="W28" s="168">
        <f>W27/359.04</f>
        <v>2.3835784313725489E-2</v>
      </c>
      <c r="X28" s="169">
        <f>X27/359.04</f>
        <v>1.6502339572192514E-6</v>
      </c>
    </row>
    <row r="29" spans="2:26" x14ac:dyDescent="0.2">
      <c r="C29" s="106">
        <v>1300</v>
      </c>
      <c r="D29" s="106">
        <v>44.945</v>
      </c>
      <c r="E29" s="106">
        <v>244.035</v>
      </c>
      <c r="F29" s="106">
        <v>214.08</v>
      </c>
      <c r="G29" s="106"/>
      <c r="H29" s="154">
        <v>38.942</v>
      </c>
      <c r="I29" s="106">
        <v>-249.47300000000001</v>
      </c>
      <c r="J29" s="106">
        <v>-175.774</v>
      </c>
      <c r="K29" s="106">
        <v>7.0629999999999997</v>
      </c>
      <c r="M29" s="162">
        <f t="shared" si="0"/>
        <v>1026.8499999999999</v>
      </c>
      <c r="N29" s="163">
        <f t="shared" si="1"/>
        <v>38942</v>
      </c>
      <c r="P29" s="164">
        <f t="shared" si="2"/>
        <v>1880.33</v>
      </c>
      <c r="Q29" s="163">
        <f t="shared" si="3"/>
        <v>16753.237819999998</v>
      </c>
      <c r="U29" s="136" t="s">
        <v>141</v>
      </c>
    </row>
    <row r="30" spans="2:26" x14ac:dyDescent="0.2">
      <c r="C30" s="106">
        <v>1400</v>
      </c>
      <c r="D30" s="106">
        <v>46.054000000000002</v>
      </c>
      <c r="E30" s="106">
        <v>247.40700000000001</v>
      </c>
      <c r="F30" s="106">
        <v>216.34100000000001</v>
      </c>
      <c r="G30" s="106"/>
      <c r="H30" s="154">
        <v>43.493000000000002</v>
      </c>
      <c r="I30" s="106">
        <v>-249.89400000000001</v>
      </c>
      <c r="J30" s="106">
        <v>-170.089</v>
      </c>
      <c r="K30" s="106">
        <v>6.3460000000000001</v>
      </c>
      <c r="M30" s="162">
        <f t="shared" si="0"/>
        <v>1126.8499999999999</v>
      </c>
      <c r="N30" s="163">
        <f t="shared" si="1"/>
        <v>43493</v>
      </c>
      <c r="P30" s="164">
        <f t="shared" si="2"/>
        <v>2060.33</v>
      </c>
      <c r="Q30" s="163">
        <f t="shared" si="3"/>
        <v>18711.123530000001</v>
      </c>
    </row>
    <row r="31" spans="2:26" x14ac:dyDescent="0.2">
      <c r="C31" s="106">
        <v>1500</v>
      </c>
      <c r="D31" s="106">
        <v>47.09</v>
      </c>
      <c r="E31" s="106">
        <v>250.62</v>
      </c>
      <c r="F31" s="106">
        <v>218.52</v>
      </c>
      <c r="G31" s="106"/>
      <c r="H31" s="154">
        <v>48.151000000000003</v>
      </c>
      <c r="I31" s="106">
        <v>-250.26499999999999</v>
      </c>
      <c r="J31" s="106">
        <v>-164.376</v>
      </c>
      <c r="K31" s="106">
        <v>5.7240000000000002</v>
      </c>
      <c r="M31" s="162">
        <f t="shared" si="0"/>
        <v>1226.8499999999999</v>
      </c>
      <c r="N31" s="163">
        <f t="shared" si="1"/>
        <v>48151</v>
      </c>
      <c r="P31" s="164">
        <f t="shared" si="2"/>
        <v>2240.33</v>
      </c>
      <c r="Q31" s="163">
        <f t="shared" si="3"/>
        <v>20715.041709999998</v>
      </c>
    </row>
    <row r="32" spans="2:26" x14ac:dyDescent="0.2">
      <c r="C32" s="106">
        <v>1600</v>
      </c>
      <c r="D32" s="106">
        <v>48.05</v>
      </c>
      <c r="E32" s="106">
        <v>253.69</v>
      </c>
      <c r="F32" s="106">
        <v>220.62299999999999</v>
      </c>
      <c r="G32" s="106"/>
      <c r="H32" s="154">
        <v>52.908000000000001</v>
      </c>
      <c r="I32" s="106">
        <v>-250.59200000000001</v>
      </c>
      <c r="J32" s="106">
        <v>-158.63900000000001</v>
      </c>
      <c r="K32" s="106">
        <v>5.1790000000000003</v>
      </c>
      <c r="M32" s="162">
        <f t="shared" si="0"/>
        <v>1326.85</v>
      </c>
      <c r="N32" s="163">
        <f t="shared" si="1"/>
        <v>52908</v>
      </c>
      <c r="P32" s="164">
        <f t="shared" si="2"/>
        <v>2420.33</v>
      </c>
      <c r="Q32" s="163">
        <f t="shared" si="3"/>
        <v>22761.55068</v>
      </c>
    </row>
    <row r="33" spans="3:17" x14ac:dyDescent="0.2">
      <c r="C33" s="106">
        <v>1700</v>
      </c>
      <c r="D33" s="106">
        <v>48.935000000000002</v>
      </c>
      <c r="E33" s="106">
        <v>256.63</v>
      </c>
      <c r="F33" s="106">
        <v>222.655</v>
      </c>
      <c r="G33" s="106"/>
      <c r="H33" s="154">
        <v>57.758000000000003</v>
      </c>
      <c r="I33" s="106">
        <v>-250.881</v>
      </c>
      <c r="J33" s="106">
        <v>-152.88300000000001</v>
      </c>
      <c r="K33" s="106">
        <v>4.6980000000000004</v>
      </c>
      <c r="M33" s="162">
        <f t="shared" si="0"/>
        <v>1426.85</v>
      </c>
      <c r="N33" s="163">
        <f t="shared" si="1"/>
        <v>57758</v>
      </c>
      <c r="P33" s="164">
        <f t="shared" si="2"/>
        <v>2600.33</v>
      </c>
      <c r="Q33" s="163">
        <f t="shared" si="3"/>
        <v>24848.069179999999</v>
      </c>
    </row>
    <row r="34" spans="3:17" x14ac:dyDescent="0.2">
      <c r="C34" s="106">
        <v>1800</v>
      </c>
      <c r="D34" s="106">
        <v>49.749000000000002</v>
      </c>
      <c r="E34" s="106">
        <v>259.45100000000002</v>
      </c>
      <c r="F34" s="106">
        <v>224.62100000000001</v>
      </c>
      <c r="G34" s="106"/>
      <c r="H34" s="154">
        <v>62.692999999999998</v>
      </c>
      <c r="I34" s="106">
        <v>-251.13800000000001</v>
      </c>
      <c r="J34" s="106">
        <v>-147.11099999999999</v>
      </c>
      <c r="K34" s="106">
        <v>4.2690000000000001</v>
      </c>
      <c r="M34" s="162">
        <f t="shared" si="0"/>
        <v>1526.85</v>
      </c>
      <c r="N34" s="163">
        <f t="shared" si="1"/>
        <v>62693</v>
      </c>
      <c r="P34" s="164">
        <f t="shared" si="2"/>
        <v>2780.33</v>
      </c>
      <c r="Q34" s="163">
        <f t="shared" si="3"/>
        <v>26971.15553</v>
      </c>
    </row>
    <row r="35" spans="3:17" x14ac:dyDescent="0.2">
      <c r="C35" s="106">
        <v>1900</v>
      </c>
      <c r="D35" s="106">
        <v>50.496000000000002</v>
      </c>
      <c r="E35" s="106">
        <v>262.161</v>
      </c>
      <c r="F35" s="106">
        <v>226.52600000000001</v>
      </c>
      <c r="G35" s="106"/>
      <c r="H35" s="154">
        <v>67.706000000000003</v>
      </c>
      <c r="I35" s="106">
        <v>-251.36799999999999</v>
      </c>
      <c r="J35" s="106">
        <v>-141.32499999999999</v>
      </c>
      <c r="K35" s="106">
        <v>3.8849999999999998</v>
      </c>
      <c r="M35" s="162">
        <f t="shared" si="0"/>
        <v>1626.85</v>
      </c>
      <c r="N35" s="163">
        <f t="shared" si="1"/>
        <v>67706</v>
      </c>
      <c r="P35" s="164">
        <f t="shared" si="2"/>
        <v>2960.33</v>
      </c>
      <c r="Q35" s="163">
        <f t="shared" si="3"/>
        <v>29127.79826</v>
      </c>
    </row>
    <row r="36" spans="3:17" x14ac:dyDescent="0.2">
      <c r="C36" s="106">
        <v>2000</v>
      </c>
      <c r="D36" s="106">
        <v>51.18</v>
      </c>
      <c r="E36" s="106">
        <v>264.76900000000001</v>
      </c>
      <c r="F36" s="106">
        <v>228.374</v>
      </c>
      <c r="G36" s="106"/>
      <c r="H36" s="154">
        <v>72.790000000000006</v>
      </c>
      <c r="I36" s="106">
        <v>-251.57499999999999</v>
      </c>
      <c r="J36" s="106">
        <v>-135.52799999999999</v>
      </c>
      <c r="K36" s="106">
        <v>3.54</v>
      </c>
      <c r="M36" s="162">
        <f t="shared" si="0"/>
        <v>1726.85</v>
      </c>
      <c r="N36" s="163">
        <f t="shared" si="1"/>
        <v>72790</v>
      </c>
      <c r="P36" s="164">
        <f t="shared" si="2"/>
        <v>3140.33</v>
      </c>
      <c r="Q36" s="163">
        <f t="shared" si="3"/>
        <v>31314.9859</v>
      </c>
    </row>
    <row r="37" spans="3:17" x14ac:dyDescent="0.2">
      <c r="C37" s="106">
        <v>2100</v>
      </c>
      <c r="D37" s="106">
        <v>51.823</v>
      </c>
      <c r="E37" s="106">
        <v>267.28199999999998</v>
      </c>
      <c r="F37" s="106">
        <v>230.167</v>
      </c>
      <c r="G37" s="106"/>
      <c r="H37" s="154">
        <v>77.941000000000003</v>
      </c>
      <c r="I37" s="106">
        <v>-251.762</v>
      </c>
      <c r="J37" s="106">
        <v>-129.721</v>
      </c>
      <c r="K37" s="106">
        <v>3.2269999999999999</v>
      </c>
      <c r="M37" s="162">
        <f t="shared" si="0"/>
        <v>1826.85</v>
      </c>
      <c r="N37" s="163">
        <f t="shared" si="1"/>
        <v>77941</v>
      </c>
      <c r="P37" s="164">
        <f t="shared" si="2"/>
        <v>3320.33</v>
      </c>
      <c r="Q37" s="163">
        <f t="shared" si="3"/>
        <v>33530.997609999999</v>
      </c>
    </row>
    <row r="38" spans="3:17" x14ac:dyDescent="0.2">
      <c r="C38" s="106">
        <v>2200</v>
      </c>
      <c r="D38" s="106">
        <v>52.408000000000001</v>
      </c>
      <c r="E38" s="106">
        <v>269.70600000000002</v>
      </c>
      <c r="F38" s="106">
        <v>231.90899999999999</v>
      </c>
      <c r="G38" s="106"/>
      <c r="H38" s="154">
        <v>83.153000000000006</v>
      </c>
      <c r="I38" s="106">
        <v>-251.934</v>
      </c>
      <c r="J38" s="106">
        <v>-123.905</v>
      </c>
      <c r="K38" s="106">
        <v>2.9420000000000002</v>
      </c>
      <c r="M38" s="162">
        <f t="shared" si="0"/>
        <v>1926.85</v>
      </c>
      <c r="N38" s="163">
        <f t="shared" si="1"/>
        <v>83153</v>
      </c>
      <c r="P38" s="164">
        <f t="shared" si="2"/>
        <v>3500.33</v>
      </c>
      <c r="Q38" s="163">
        <f t="shared" si="3"/>
        <v>35773.252130000001</v>
      </c>
    </row>
    <row r="39" spans="3:17" x14ac:dyDescent="0.2">
      <c r="C39" s="106">
        <v>2300</v>
      </c>
      <c r="D39" s="106">
        <v>52.947000000000003</v>
      </c>
      <c r="E39" s="106">
        <v>272.048</v>
      </c>
      <c r="F39" s="106">
        <v>233.60400000000001</v>
      </c>
      <c r="G39" s="106"/>
      <c r="H39" s="154">
        <v>88.421000000000006</v>
      </c>
      <c r="I39" s="106">
        <v>-252.09200000000001</v>
      </c>
      <c r="J39" s="106">
        <v>-118.08199999999999</v>
      </c>
      <c r="K39" s="106">
        <v>2.6819999999999999</v>
      </c>
    </row>
    <row r="40" spans="3:17" x14ac:dyDescent="0.2">
      <c r="C40" s="106">
        <v>2400</v>
      </c>
      <c r="D40" s="106">
        <v>53.444000000000003</v>
      </c>
      <c r="E40" s="106">
        <v>274.31200000000001</v>
      </c>
      <c r="F40" s="106">
        <v>235.25299999999999</v>
      </c>
      <c r="G40" s="106"/>
      <c r="H40" s="154">
        <v>93.741</v>
      </c>
      <c r="I40" s="106">
        <v>-252.239</v>
      </c>
      <c r="J40" s="106">
        <v>-112.252</v>
      </c>
      <c r="K40" s="106">
        <v>2.4430000000000001</v>
      </c>
    </row>
    <row r="41" spans="3:17" x14ac:dyDescent="0.2">
      <c r="C41" s="106">
        <v>2500</v>
      </c>
      <c r="D41" s="106">
        <v>53.904000000000003</v>
      </c>
      <c r="E41" s="106">
        <v>276.50299999999999</v>
      </c>
      <c r="F41" s="106">
        <v>236.86</v>
      </c>
      <c r="G41" s="106"/>
      <c r="H41" s="154">
        <v>99.108000000000004</v>
      </c>
      <c r="I41" s="106">
        <v>-252.37899999999999</v>
      </c>
      <c r="J41" s="106">
        <v>-106.416</v>
      </c>
      <c r="K41" s="106">
        <v>2.2229999999999999</v>
      </c>
    </row>
    <row r="42" spans="3:17" x14ac:dyDescent="0.2">
      <c r="C42" s="106">
        <v>2600</v>
      </c>
      <c r="D42" s="106">
        <v>54.329000000000001</v>
      </c>
      <c r="E42" s="106">
        <v>278.625</v>
      </c>
      <c r="F42" s="106">
        <v>238.42500000000001</v>
      </c>
      <c r="G42" s="106"/>
      <c r="H42" s="154">
        <v>104.52</v>
      </c>
      <c r="I42" s="106">
        <v>-252.51300000000001</v>
      </c>
      <c r="J42" s="106">
        <v>-100.575</v>
      </c>
      <c r="K42" s="106">
        <v>2.0209999999999999</v>
      </c>
    </row>
    <row r="43" spans="3:17" x14ac:dyDescent="0.2">
      <c r="C43" s="106">
        <v>2700</v>
      </c>
      <c r="D43" s="106">
        <v>54.722999999999999</v>
      </c>
      <c r="E43" s="106">
        <v>280.68299999999999</v>
      </c>
      <c r="F43" s="106">
        <v>239.952</v>
      </c>
      <c r="G43" s="106"/>
      <c r="H43" s="154">
        <v>109.973</v>
      </c>
      <c r="I43" s="106">
        <v>-252.643</v>
      </c>
      <c r="J43" s="106">
        <v>-94.728999999999999</v>
      </c>
      <c r="K43" s="106">
        <v>1.833</v>
      </c>
    </row>
    <row r="44" spans="3:17" x14ac:dyDescent="0.2">
      <c r="C44" s="106">
        <v>2800</v>
      </c>
      <c r="D44" s="106">
        <v>55.088999999999999</v>
      </c>
      <c r="E44" s="106">
        <v>282.68</v>
      </c>
      <c r="F44" s="106">
        <v>241.44300000000001</v>
      </c>
      <c r="G44" s="106"/>
      <c r="H44" s="154">
        <v>115.464</v>
      </c>
      <c r="I44" s="106">
        <v>-252.77099999999999</v>
      </c>
      <c r="J44" s="106">
        <v>-88.878</v>
      </c>
      <c r="K44" s="106">
        <v>1.6579999999999999</v>
      </c>
    </row>
    <row r="45" spans="3:17" x14ac:dyDescent="0.2">
      <c r="C45" s="106">
        <v>2900</v>
      </c>
      <c r="D45" s="106">
        <v>55.43</v>
      </c>
      <c r="E45" s="106">
        <v>284.61900000000003</v>
      </c>
      <c r="F45" s="106">
        <v>242.899</v>
      </c>
      <c r="G45" s="106"/>
      <c r="H45" s="154">
        <v>120.99</v>
      </c>
      <c r="I45" s="106">
        <v>-252.89699999999999</v>
      </c>
      <c r="J45" s="106">
        <v>-83.022999999999996</v>
      </c>
      <c r="K45" s="106">
        <v>1.4950000000000001</v>
      </c>
    </row>
    <row r="46" spans="3:17" x14ac:dyDescent="0.2">
      <c r="C46" s="106">
        <v>3000</v>
      </c>
      <c r="D46" s="106">
        <v>55.747999999999998</v>
      </c>
      <c r="E46" s="106">
        <v>286.50400000000002</v>
      </c>
      <c r="F46" s="106">
        <v>244.321</v>
      </c>
      <c r="G46" s="106"/>
      <c r="H46" s="154">
        <v>126.54900000000001</v>
      </c>
      <c r="I46" s="106">
        <v>-253.024</v>
      </c>
      <c r="J46" s="106">
        <v>-77.162999999999997</v>
      </c>
      <c r="K46" s="106">
        <v>1.3440000000000001</v>
      </c>
    </row>
    <row r="47" spans="3:17" x14ac:dyDescent="0.2">
      <c r="C47" s="106">
        <v>3100</v>
      </c>
      <c r="D47" s="106">
        <v>56.043999999999997</v>
      </c>
      <c r="E47" s="106">
        <v>288.33699999999999</v>
      </c>
      <c r="F47" s="106">
        <v>245.71100000000001</v>
      </c>
      <c r="G47" s="106"/>
      <c r="H47" s="154">
        <v>132.13900000000001</v>
      </c>
      <c r="I47" s="106">
        <v>-253.15199999999999</v>
      </c>
      <c r="J47" s="106">
        <v>-71.298000000000002</v>
      </c>
      <c r="K47" s="106">
        <v>1.2010000000000001</v>
      </c>
    </row>
    <row r="48" spans="3:17" x14ac:dyDescent="0.2">
      <c r="C48" s="106">
        <v>3200</v>
      </c>
      <c r="D48" s="106">
        <v>56.323</v>
      </c>
      <c r="E48" s="106">
        <v>290.12</v>
      </c>
      <c r="F48" s="106">
        <v>247.071</v>
      </c>
      <c r="G48" s="106"/>
      <c r="H48" s="154">
        <v>137.75700000000001</v>
      </c>
      <c r="I48" s="106">
        <v>-253.28200000000001</v>
      </c>
      <c r="J48" s="106">
        <v>-65.430000000000007</v>
      </c>
      <c r="K48" s="106">
        <v>1.0680000000000001</v>
      </c>
    </row>
    <row r="49" spans="3:11" x14ac:dyDescent="0.2">
      <c r="C49" s="106">
        <v>3300</v>
      </c>
      <c r="D49" s="106">
        <v>56.582999999999998</v>
      </c>
      <c r="E49" s="106">
        <v>291.858</v>
      </c>
      <c r="F49" s="106">
        <v>248.40199999999999</v>
      </c>
      <c r="G49" s="106"/>
      <c r="H49" s="154">
        <v>143.40299999999999</v>
      </c>
      <c r="I49" s="106">
        <v>-253.416</v>
      </c>
      <c r="J49" s="106">
        <v>-59.558</v>
      </c>
      <c r="K49" s="106">
        <v>0.94299999999999995</v>
      </c>
    </row>
    <row r="50" spans="3:11" x14ac:dyDescent="0.2">
      <c r="C50" s="106">
        <v>3400</v>
      </c>
      <c r="D50" s="106">
        <v>56.828000000000003</v>
      </c>
      <c r="E50" s="106">
        <v>293.55</v>
      </c>
      <c r="F50" s="106">
        <v>249.70500000000001</v>
      </c>
      <c r="G50" s="106"/>
      <c r="H50" s="154">
        <v>149.07300000000001</v>
      </c>
      <c r="I50" s="106">
        <v>-253.553</v>
      </c>
      <c r="J50" s="106">
        <v>-53.680999999999997</v>
      </c>
      <c r="K50" s="106">
        <v>0.82499999999999996</v>
      </c>
    </row>
    <row r="51" spans="3:11" x14ac:dyDescent="0.2">
      <c r="C51" s="106">
        <v>3500</v>
      </c>
      <c r="D51" s="106">
        <v>57.058</v>
      </c>
      <c r="E51" s="106">
        <v>295.20100000000002</v>
      </c>
      <c r="F51" s="106">
        <v>250.982</v>
      </c>
      <c r="G51" s="106"/>
      <c r="H51" s="154">
        <v>154.768</v>
      </c>
      <c r="I51" s="106">
        <v>-253.696</v>
      </c>
      <c r="J51" s="106">
        <v>-47.801000000000002</v>
      </c>
      <c r="K51" s="106">
        <v>0.71299999999999997</v>
      </c>
    </row>
    <row r="52" spans="3:11" x14ac:dyDescent="0.2">
      <c r="C52" s="106">
        <v>3600</v>
      </c>
      <c r="D52" s="106">
        <v>57.276000000000003</v>
      </c>
      <c r="E52" s="106">
        <v>296.81200000000001</v>
      </c>
      <c r="F52" s="106">
        <v>252.233</v>
      </c>
      <c r="G52" s="106"/>
      <c r="H52" s="154">
        <v>160.48500000000001</v>
      </c>
      <c r="I52" s="106">
        <v>-253.84399999999999</v>
      </c>
      <c r="J52" s="106">
        <v>-41.915999999999997</v>
      </c>
      <c r="K52" s="106">
        <v>0.60799999999999998</v>
      </c>
    </row>
    <row r="53" spans="3:11" x14ac:dyDescent="0.2">
      <c r="C53" s="106">
        <v>3700</v>
      </c>
      <c r="D53" s="106">
        <v>57.48</v>
      </c>
      <c r="E53" s="106">
        <v>298.38400000000001</v>
      </c>
      <c r="F53" s="106">
        <v>253.459</v>
      </c>
      <c r="G53" s="106"/>
      <c r="H53" s="154">
        <v>166.22200000000001</v>
      </c>
      <c r="I53" s="106">
        <v>-253.99700000000001</v>
      </c>
      <c r="J53" s="106">
        <v>-36.027000000000001</v>
      </c>
      <c r="K53" s="106">
        <v>0.50900000000000001</v>
      </c>
    </row>
    <row r="54" spans="3:11" x14ac:dyDescent="0.2">
      <c r="C54" s="106">
        <v>3800</v>
      </c>
      <c r="D54" s="106">
        <v>57.674999999999997</v>
      </c>
      <c r="E54" s="106">
        <v>299.91899999999998</v>
      </c>
      <c r="F54" s="106">
        <v>254.661</v>
      </c>
      <c r="G54" s="106"/>
      <c r="H54" s="154">
        <v>171.98</v>
      </c>
      <c r="I54" s="106">
        <v>-254.15799999999999</v>
      </c>
      <c r="J54" s="106">
        <v>-30.132999999999999</v>
      </c>
      <c r="K54" s="106">
        <v>0.41399999999999998</v>
      </c>
    </row>
    <row r="55" spans="3:11" x14ac:dyDescent="0.2">
      <c r="C55" s="106">
        <v>3900</v>
      </c>
      <c r="D55" s="106">
        <v>57.859000000000002</v>
      </c>
      <c r="E55" s="106">
        <v>301.42</v>
      </c>
      <c r="F55" s="106">
        <v>255.84100000000001</v>
      </c>
      <c r="G55" s="106"/>
      <c r="H55" s="154">
        <v>177.75700000000001</v>
      </c>
      <c r="I55" s="106">
        <v>-254.32599999999999</v>
      </c>
      <c r="J55" s="106">
        <v>-24.236000000000001</v>
      </c>
      <c r="K55" s="106">
        <v>0.32500000000000001</v>
      </c>
    </row>
    <row r="56" spans="3:11" x14ac:dyDescent="0.2">
      <c r="C56" s="106">
        <v>4000</v>
      </c>
      <c r="D56" s="106">
        <v>58.033000000000001</v>
      </c>
      <c r="E56" s="106">
        <v>302.887</v>
      </c>
      <c r="F56" s="106">
        <v>256.99900000000002</v>
      </c>
      <c r="G56" s="106"/>
      <c r="H56" s="154">
        <v>183.55199999999999</v>
      </c>
      <c r="I56" s="106">
        <v>-254.501</v>
      </c>
      <c r="J56" s="106">
        <v>-18.334</v>
      </c>
      <c r="K56" s="106">
        <v>0.23899999999999999</v>
      </c>
    </row>
    <row r="57" spans="3:11" x14ac:dyDescent="0.2">
      <c r="C57" s="106">
        <v>4100</v>
      </c>
      <c r="D57" s="106">
        <v>58.198999999999998</v>
      </c>
      <c r="E57" s="106">
        <v>304.322</v>
      </c>
      <c r="F57" s="106">
        <v>258.13600000000002</v>
      </c>
      <c r="G57" s="106"/>
      <c r="H57" s="154">
        <v>189.363</v>
      </c>
      <c r="I57" s="106">
        <v>-254.684</v>
      </c>
      <c r="J57" s="106">
        <v>-12.427</v>
      </c>
      <c r="K57" s="106">
        <v>0.158</v>
      </c>
    </row>
    <row r="58" spans="3:11" x14ac:dyDescent="0.2">
      <c r="C58" s="106">
        <v>4200</v>
      </c>
      <c r="D58" s="106">
        <v>58.356999999999999</v>
      </c>
      <c r="E58" s="106">
        <v>305.726</v>
      </c>
      <c r="F58" s="106">
        <v>259.25200000000001</v>
      </c>
      <c r="G58" s="106"/>
      <c r="H58" s="154">
        <v>195.191</v>
      </c>
      <c r="I58" s="106">
        <v>-254.876</v>
      </c>
      <c r="J58" s="106">
        <v>-6.516</v>
      </c>
      <c r="K58" s="106">
        <v>8.1000000000000003E-2</v>
      </c>
    </row>
    <row r="59" spans="3:11" x14ac:dyDescent="0.2">
      <c r="C59" s="106">
        <v>4300</v>
      </c>
      <c r="D59" s="106">
        <v>58.506999999999998</v>
      </c>
      <c r="E59" s="106">
        <v>307.101</v>
      </c>
      <c r="F59" s="106">
        <v>260.34899999999999</v>
      </c>
      <c r="G59" s="106"/>
      <c r="H59" s="154">
        <v>201.03399999999999</v>
      </c>
      <c r="I59" s="106">
        <v>-255.078</v>
      </c>
      <c r="J59" s="106">
        <v>-0.6</v>
      </c>
      <c r="K59" s="106">
        <v>7.0000000000000001E-3</v>
      </c>
    </row>
    <row r="60" spans="3:11" x14ac:dyDescent="0.2">
      <c r="C60" s="106">
        <v>4400</v>
      </c>
      <c r="D60" s="106">
        <v>58.65</v>
      </c>
      <c r="E60" s="106">
        <v>308.44799999999998</v>
      </c>
      <c r="F60" s="106">
        <v>261.42700000000002</v>
      </c>
      <c r="G60" s="106"/>
      <c r="H60" s="154">
        <v>206.892</v>
      </c>
      <c r="I60" s="106">
        <v>-255.28800000000001</v>
      </c>
      <c r="J60" s="106">
        <v>5.32</v>
      </c>
      <c r="K60" s="106">
        <v>-6.3E-2</v>
      </c>
    </row>
    <row r="61" spans="3:11" x14ac:dyDescent="0.2">
      <c r="C61" s="106">
        <v>4500</v>
      </c>
      <c r="D61" s="106">
        <v>58.786999999999999</v>
      </c>
      <c r="E61" s="106">
        <v>309.767</v>
      </c>
      <c r="F61" s="106">
        <v>262.48599999999999</v>
      </c>
      <c r="G61" s="106"/>
      <c r="H61" s="154">
        <v>212.76400000000001</v>
      </c>
      <c r="I61" s="106">
        <v>-255.50800000000001</v>
      </c>
      <c r="J61" s="106">
        <v>11.244999999999999</v>
      </c>
      <c r="K61" s="106">
        <v>-0.13100000000000001</v>
      </c>
    </row>
    <row r="62" spans="3:11" x14ac:dyDescent="0.2">
      <c r="C62" s="106">
        <v>4600</v>
      </c>
      <c r="D62" s="106">
        <v>58.917999999999999</v>
      </c>
      <c r="E62" s="106">
        <v>311.06099999999998</v>
      </c>
      <c r="F62" s="106">
        <v>263.52800000000002</v>
      </c>
      <c r="G62" s="106"/>
      <c r="H62" s="154">
        <v>218.65</v>
      </c>
      <c r="I62" s="106">
        <v>-255.738</v>
      </c>
      <c r="J62" s="106">
        <v>17.175000000000001</v>
      </c>
      <c r="K62" s="106">
        <v>-0.19500000000000001</v>
      </c>
    </row>
    <row r="63" spans="3:11" x14ac:dyDescent="0.2">
      <c r="C63" s="106">
        <v>4700</v>
      </c>
      <c r="D63" s="106">
        <v>59.043999999999997</v>
      </c>
      <c r="E63" s="106">
        <v>312.32900000000001</v>
      </c>
      <c r="F63" s="106">
        <v>264.553</v>
      </c>
      <c r="G63" s="106"/>
      <c r="H63" s="154">
        <v>224.548</v>
      </c>
      <c r="I63" s="106">
        <v>-255.97800000000001</v>
      </c>
      <c r="J63" s="106">
        <v>23.111000000000001</v>
      </c>
      <c r="K63" s="106">
        <v>-0.25700000000000001</v>
      </c>
    </row>
    <row r="64" spans="3:11" x14ac:dyDescent="0.2">
      <c r="C64" s="106">
        <v>4800</v>
      </c>
      <c r="D64" s="106">
        <v>59.164000000000001</v>
      </c>
      <c r="E64" s="106">
        <v>313.57400000000001</v>
      </c>
      <c r="F64" s="106">
        <v>265.56200000000001</v>
      </c>
      <c r="G64" s="106"/>
      <c r="H64" s="154">
        <v>230.458</v>
      </c>
      <c r="I64" s="106">
        <v>-256.22899999999998</v>
      </c>
      <c r="J64" s="106">
        <v>29.052</v>
      </c>
      <c r="K64" s="106">
        <v>-0.316</v>
      </c>
    </row>
    <row r="65" spans="3:11" x14ac:dyDescent="0.2">
      <c r="C65" s="106">
        <v>4900</v>
      </c>
      <c r="D65" s="106">
        <v>59.274999999999999</v>
      </c>
      <c r="E65" s="106">
        <v>314.79500000000002</v>
      </c>
      <c r="F65" s="106">
        <v>266.55399999999997</v>
      </c>
      <c r="G65" s="106"/>
      <c r="H65" s="154">
        <v>236.38</v>
      </c>
      <c r="I65" s="106">
        <v>-256.49099999999999</v>
      </c>
      <c r="J65" s="106">
        <v>34.997999999999998</v>
      </c>
      <c r="K65" s="106">
        <v>-0.373</v>
      </c>
    </row>
    <row r="66" spans="3:11" x14ac:dyDescent="0.2">
      <c r="C66" s="106">
        <v>5000</v>
      </c>
      <c r="D66" s="106">
        <v>59.39</v>
      </c>
      <c r="E66" s="106">
        <v>315.99299999999999</v>
      </c>
      <c r="F66" s="106">
        <v>267.53100000000001</v>
      </c>
      <c r="G66" s="106"/>
      <c r="H66" s="154">
        <v>242.31299999999999</v>
      </c>
      <c r="I66" s="106">
        <v>-256.76299999999998</v>
      </c>
      <c r="J66" s="106">
        <v>40.948999999999998</v>
      </c>
      <c r="K66" s="106">
        <v>-0.42799999999999999</v>
      </c>
    </row>
    <row r="67" spans="3:11" x14ac:dyDescent="0.2">
      <c r="C67" s="106">
        <v>5100</v>
      </c>
      <c r="D67" s="106">
        <v>59.509</v>
      </c>
      <c r="E67" s="106">
        <v>317.17099999999999</v>
      </c>
      <c r="F67" s="106">
        <v>268.49299999999999</v>
      </c>
      <c r="G67" s="106"/>
      <c r="H67" s="154">
        <v>248.25800000000001</v>
      </c>
      <c r="I67" s="106">
        <v>-257.04599999999999</v>
      </c>
      <c r="J67" s="106">
        <v>46.905999999999999</v>
      </c>
      <c r="K67" s="106">
        <v>-0.48</v>
      </c>
    </row>
    <row r="68" spans="3:11" x14ac:dyDescent="0.2">
      <c r="C68" s="106">
        <v>5200</v>
      </c>
      <c r="D68" s="106">
        <v>59.628</v>
      </c>
      <c r="E68" s="106">
        <v>318.327</v>
      </c>
      <c r="F68" s="106">
        <v>269.44</v>
      </c>
      <c r="G68" s="106"/>
      <c r="H68" s="154">
        <v>254.215</v>
      </c>
      <c r="I68" s="106">
        <v>-257.33800000000002</v>
      </c>
      <c r="J68" s="106">
        <v>52.869</v>
      </c>
      <c r="K68" s="106">
        <v>-0.53100000000000003</v>
      </c>
    </row>
    <row r="69" spans="3:11" x14ac:dyDescent="0.2">
      <c r="C69" s="106">
        <v>5300</v>
      </c>
      <c r="D69" s="106">
        <v>59.746000000000002</v>
      </c>
      <c r="E69" s="106">
        <v>319.464</v>
      </c>
      <c r="F69" s="106">
        <v>270.37299999999999</v>
      </c>
      <c r="G69" s="106"/>
      <c r="H69" s="154">
        <v>260.18400000000003</v>
      </c>
      <c r="I69" s="106">
        <v>-257.63900000000001</v>
      </c>
      <c r="J69" s="106">
        <v>58.838000000000001</v>
      </c>
      <c r="K69" s="106">
        <v>-0.57999999999999996</v>
      </c>
    </row>
    <row r="70" spans="3:11" x14ac:dyDescent="0.2">
      <c r="C70" s="106">
        <v>5400</v>
      </c>
      <c r="D70" s="106">
        <v>59.863999999999997</v>
      </c>
      <c r="E70" s="106">
        <v>320.58199999999999</v>
      </c>
      <c r="F70" s="106">
        <v>271.29300000000001</v>
      </c>
      <c r="G70" s="106"/>
      <c r="H70" s="154">
        <v>266.16399999999999</v>
      </c>
      <c r="I70" s="106">
        <v>-257.95</v>
      </c>
      <c r="J70" s="106">
        <v>64.811000000000007</v>
      </c>
      <c r="K70" s="106">
        <v>-0.627</v>
      </c>
    </row>
    <row r="71" spans="3:11" x14ac:dyDescent="0.2">
      <c r="C71" s="106">
        <v>5500</v>
      </c>
      <c r="D71" s="106">
        <v>59.981999999999999</v>
      </c>
      <c r="E71" s="106">
        <v>321.68200000000002</v>
      </c>
      <c r="F71" s="106">
        <v>272.19900000000001</v>
      </c>
      <c r="G71" s="106"/>
      <c r="H71" s="154">
        <v>272.15699999999998</v>
      </c>
      <c r="I71" s="106">
        <v>-258.26799999999997</v>
      </c>
      <c r="J71" s="106">
        <v>70.790999999999997</v>
      </c>
      <c r="K71" s="106">
        <v>-0.67200000000000004</v>
      </c>
    </row>
    <row r="72" spans="3:11" x14ac:dyDescent="0.2">
      <c r="C72" s="106">
        <v>5600</v>
      </c>
      <c r="D72" s="106">
        <v>60.1</v>
      </c>
      <c r="E72" s="106">
        <v>322.76400000000001</v>
      </c>
      <c r="F72" s="106">
        <v>273.09199999999998</v>
      </c>
      <c r="G72" s="106"/>
      <c r="H72" s="154">
        <v>278.161</v>
      </c>
      <c r="I72" s="106">
        <v>-258.59500000000003</v>
      </c>
      <c r="J72" s="106">
        <v>76.777000000000001</v>
      </c>
      <c r="K72" s="106">
        <v>-0.71599999999999997</v>
      </c>
    </row>
    <row r="73" spans="3:11" x14ac:dyDescent="0.2">
      <c r="C73" s="106">
        <v>5700</v>
      </c>
      <c r="D73" s="106">
        <v>60.218000000000004</v>
      </c>
      <c r="E73" s="106">
        <v>323.82799999999997</v>
      </c>
      <c r="F73" s="106">
        <v>273.97300000000001</v>
      </c>
      <c r="G73" s="106"/>
      <c r="H73" s="154">
        <v>284.17700000000002</v>
      </c>
      <c r="I73" s="106">
        <v>-258.93</v>
      </c>
      <c r="J73" s="106">
        <v>82.769000000000005</v>
      </c>
      <c r="K73" s="106">
        <v>-0.75800000000000001</v>
      </c>
    </row>
    <row r="74" spans="3:11" x14ac:dyDescent="0.2">
      <c r="C74" s="106">
        <v>5800</v>
      </c>
      <c r="D74" s="106">
        <v>60.335000000000001</v>
      </c>
      <c r="E74" s="106">
        <v>324.87700000000001</v>
      </c>
      <c r="F74" s="106">
        <v>274.84100000000001</v>
      </c>
      <c r="G74" s="106"/>
      <c r="H74" s="154">
        <v>290.20400000000001</v>
      </c>
      <c r="I74" s="106">
        <v>-259.27199999999999</v>
      </c>
      <c r="J74" s="106">
        <v>88.766999999999996</v>
      </c>
      <c r="K74" s="106">
        <v>-0.79900000000000004</v>
      </c>
    </row>
    <row r="75" spans="3:11" x14ac:dyDescent="0.2">
      <c r="C75" s="106">
        <v>5900</v>
      </c>
      <c r="D75" s="106">
        <v>60.453000000000003</v>
      </c>
      <c r="E75" s="106">
        <v>325.90899999999999</v>
      </c>
      <c r="F75" s="106">
        <v>275.69799999999998</v>
      </c>
      <c r="G75" s="106"/>
      <c r="H75" s="154">
        <v>296.24400000000003</v>
      </c>
      <c r="I75" s="106">
        <v>-259.62099999999998</v>
      </c>
      <c r="J75" s="106">
        <v>94.77</v>
      </c>
      <c r="K75" s="106">
        <v>-0.83899999999999997</v>
      </c>
    </row>
    <row r="76" spans="3:11" x14ac:dyDescent="0.2">
      <c r="C76" s="106">
        <v>6000</v>
      </c>
      <c r="D76" s="106">
        <v>60.570999999999998</v>
      </c>
      <c r="E76" s="106">
        <v>326.92599999999999</v>
      </c>
      <c r="F76" s="106">
        <v>276.54399999999998</v>
      </c>
      <c r="G76" s="106"/>
      <c r="H76" s="154">
        <v>302.29500000000002</v>
      </c>
      <c r="I76" s="106">
        <v>-259.97699999999998</v>
      </c>
      <c r="J76" s="106">
        <v>100.78</v>
      </c>
      <c r="K76" s="106">
        <v>-0.877</v>
      </c>
    </row>
    <row r="77" spans="3:11" x14ac:dyDescent="0.2">
      <c r="C77" s="106"/>
      <c r="D77" s="106"/>
      <c r="E77" s="106"/>
      <c r="F77" s="106"/>
      <c r="G77" s="106"/>
      <c r="H77" s="106"/>
      <c r="I77" s="106"/>
      <c r="J77" s="106"/>
      <c r="K77" s="106"/>
    </row>
    <row r="78" spans="3:11" ht="12.75" customHeight="1" x14ac:dyDescent="0.2">
      <c r="C78" s="106" t="s">
        <v>167</v>
      </c>
      <c r="D78" s="106"/>
      <c r="E78" s="106"/>
      <c r="F78" s="106"/>
      <c r="G78" s="170"/>
      <c r="H78" s="106" t="s">
        <v>168</v>
      </c>
      <c r="I78" s="106"/>
      <c r="J78" s="106"/>
      <c r="K78" s="106"/>
    </row>
    <row r="79" spans="3:11" x14ac:dyDescent="0.2">
      <c r="C79" s="106"/>
      <c r="D79" s="106"/>
      <c r="E79" s="106"/>
      <c r="F79" s="106"/>
      <c r="G79" s="106"/>
      <c r="H79" s="106"/>
      <c r="I79" s="106"/>
      <c r="J79" s="106"/>
      <c r="K79" s="106"/>
    </row>
    <row r="80" spans="3:11" ht="15.75" customHeight="1" x14ac:dyDescent="0.2">
      <c r="G80" s="170"/>
    </row>
  </sheetData>
  <pageMargins left="0.7" right="0.7" top="0.75" bottom="0.75" header="0.3" footer="0.3"/>
  <pageSetup orientation="portrait" verticalDpi="300" r:id="rId1"/>
  <drawing r:id="rId2"/>
  <legacyDrawing r:id="rId3"/>
  <oleObjects>
    <mc:AlternateContent xmlns:mc="http://schemas.openxmlformats.org/markup-compatibility/2006">
      <mc:Choice Requires="x14">
        <oleObject progId="Wordpad.Document.1" dvAspect="DVASPECT_ICON" shapeId="5121" r:id="rId4">
          <objectPr defaultSize="0" autoPict="0" r:id="rId5">
            <anchor moveWithCells="1">
              <from>
                <xdr:col>1</xdr:col>
                <xdr:colOff>66675</xdr:colOff>
                <xdr:row>3</xdr:row>
                <xdr:rowOff>66675</xdr:rowOff>
              </from>
              <to>
                <xdr:col>1</xdr:col>
                <xdr:colOff>923925</xdr:colOff>
                <xdr:row>6</xdr:row>
                <xdr:rowOff>209550</xdr:rowOff>
              </to>
            </anchor>
          </objectPr>
        </oleObject>
      </mc:Choice>
      <mc:Fallback>
        <oleObject progId="Wordpad.Document.1" dvAspect="DVASPECT_ICON" shapeId="5121"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T92"/>
  <sheetViews>
    <sheetView tabSelected="1" zoomScale="85" zoomScaleNormal="85" workbookViewId="0">
      <selection activeCell="A2" sqref="A2"/>
    </sheetView>
  </sheetViews>
  <sheetFormatPr defaultRowHeight="12.75" x14ac:dyDescent="0.2"/>
  <cols>
    <col min="1" max="2" width="9.140625" style="171"/>
    <col min="3" max="3" width="7.85546875" style="171" customWidth="1"/>
    <col min="4" max="4" width="9.28515625" style="171" customWidth="1"/>
    <col min="5" max="5" width="11.7109375" style="171" customWidth="1"/>
    <col min="6" max="7" width="9" style="171" bestFit="1" customWidth="1"/>
    <col min="8" max="8" width="7.85546875" style="171" bestFit="1" customWidth="1"/>
    <col min="9" max="9" width="11.85546875" style="171" customWidth="1"/>
    <col min="10" max="10" width="2.140625" style="171" bestFit="1" customWidth="1"/>
    <col min="11" max="11" width="9.140625" style="171"/>
    <col min="12" max="12" width="3.5703125" style="171" customWidth="1"/>
    <col min="13" max="15" width="9.140625" style="171"/>
    <col min="16" max="16" width="3.5703125" style="171" customWidth="1"/>
    <col min="17" max="18" width="9.140625" style="171"/>
    <col min="19" max="19" width="11.28515625" style="171" customWidth="1"/>
    <col min="20" max="20" width="9.140625" style="171"/>
    <col min="21" max="21" width="10.5703125" style="171" customWidth="1"/>
    <col min="22" max="22" width="9.140625" style="171"/>
    <col min="23" max="23" width="11.140625" style="171" customWidth="1"/>
    <col min="24" max="24" width="2.42578125" style="171" customWidth="1"/>
    <col min="25" max="25" width="9.140625" style="171"/>
    <col min="26" max="26" width="11" style="171" customWidth="1"/>
    <col min="27" max="27" width="4.42578125" style="171" customWidth="1"/>
    <col min="28" max="29" width="9.140625" style="171"/>
    <col min="30" max="31" width="12.28515625" style="171" customWidth="1"/>
    <col min="32" max="32" width="10.42578125" style="171" customWidth="1"/>
    <col min="33" max="33" width="10.28515625" style="171" customWidth="1"/>
    <col min="34" max="34" width="9.140625" style="171"/>
    <col min="35" max="35" width="11.85546875" style="171" bestFit="1" customWidth="1"/>
    <col min="36" max="36" width="10.42578125" style="171" customWidth="1"/>
    <col min="37" max="37" width="9.7109375" style="171" customWidth="1"/>
    <col min="38" max="45" width="9.28515625" style="171" customWidth="1"/>
    <col min="46" max="16384" width="9.140625" style="171"/>
  </cols>
  <sheetData>
    <row r="2" spans="1:40" ht="16.5" x14ac:dyDescent="0.25">
      <c r="C2" s="172" t="s">
        <v>169</v>
      </c>
      <c r="D2" s="172"/>
      <c r="E2" s="172"/>
      <c r="F2" s="172"/>
      <c r="G2" s="172"/>
      <c r="H2" s="172"/>
      <c r="I2" s="172"/>
      <c r="J2" s="172"/>
      <c r="K2" s="172"/>
      <c r="L2" s="172"/>
      <c r="M2" s="173"/>
      <c r="N2"/>
      <c r="O2"/>
      <c r="P2"/>
      <c r="AD2" s="172" t="s">
        <v>170</v>
      </c>
      <c r="AE2" s="174"/>
      <c r="AF2" s="174"/>
      <c r="AG2" s="174"/>
      <c r="AH2" s="174"/>
      <c r="AI2" s="174"/>
      <c r="AJ2" s="174"/>
      <c r="AK2" s="175"/>
      <c r="AL2"/>
      <c r="AM2"/>
      <c r="AN2"/>
    </row>
    <row r="4" spans="1:40" x14ac:dyDescent="0.2">
      <c r="B4" s="93"/>
      <c r="C4" s="176" t="s">
        <v>171</v>
      </c>
      <c r="D4" s="95"/>
      <c r="E4" s="177"/>
      <c r="F4" s="177"/>
      <c r="G4" s="177"/>
      <c r="H4" s="177"/>
      <c r="I4" s="177"/>
      <c r="J4" s="177"/>
      <c r="K4" s="177"/>
      <c r="L4" s="177"/>
      <c r="M4" s="177"/>
      <c r="N4" s="177"/>
      <c r="O4" s="177"/>
      <c r="Q4" s="93"/>
      <c r="R4" s="176" t="s">
        <v>172</v>
      </c>
      <c r="S4" s="95"/>
      <c r="T4" s="178"/>
      <c r="U4" s="178"/>
      <c r="V4" s="178"/>
      <c r="W4" s="178"/>
      <c r="X4" s="178"/>
      <c r="Y4" s="178"/>
      <c r="AI4" s="93"/>
      <c r="AJ4" s="179" t="s">
        <v>173</v>
      </c>
      <c r="AK4" s="95"/>
    </row>
    <row r="5" spans="1:40" ht="14.25" x14ac:dyDescent="0.2">
      <c r="B5" s="96"/>
      <c r="C5" s="97" t="s">
        <v>147</v>
      </c>
      <c r="D5" s="98">
        <v>31.998799999999999</v>
      </c>
      <c r="E5" s="180"/>
      <c r="F5" s="180"/>
      <c r="G5" s="181"/>
      <c r="H5" s="180"/>
      <c r="I5" s="180"/>
      <c r="J5" s="180"/>
      <c r="K5" s="182"/>
      <c r="L5" s="182"/>
      <c r="M5" s="182"/>
      <c r="N5" s="182"/>
      <c r="O5" s="182"/>
      <c r="Q5" s="96"/>
      <c r="R5" s="97" t="s">
        <v>147</v>
      </c>
      <c r="S5" s="98">
        <v>28.013400000000001</v>
      </c>
      <c r="T5"/>
      <c r="U5"/>
      <c r="V5"/>
      <c r="W5"/>
      <c r="X5"/>
      <c r="Y5"/>
      <c r="AC5" s="183"/>
      <c r="AD5" s="184"/>
      <c r="AE5" s="184"/>
      <c r="AF5" s="184"/>
      <c r="AG5" s="184"/>
      <c r="AH5" s="184"/>
      <c r="AI5" s="96"/>
      <c r="AJ5" s="97" t="s">
        <v>147</v>
      </c>
      <c r="AK5" s="98">
        <v>44.009599999999999</v>
      </c>
    </row>
    <row r="6" spans="1:40" ht="18" customHeight="1" x14ac:dyDescent="0.2">
      <c r="D6" s="185"/>
      <c r="F6" s="186" t="s">
        <v>174</v>
      </c>
      <c r="G6" s="185"/>
      <c r="H6" s="185"/>
      <c r="I6" s="185"/>
      <c r="J6" s="185"/>
      <c r="K6" s="185"/>
      <c r="L6" s="185"/>
      <c r="M6" s="185"/>
      <c r="N6" s="185"/>
      <c r="O6" s="185"/>
      <c r="P6"/>
      <c r="R6"/>
      <c r="T6" s="187" t="s">
        <v>175</v>
      </c>
      <c r="U6"/>
      <c r="V6"/>
      <c r="W6"/>
      <c r="X6"/>
      <c r="Y6"/>
      <c r="AC6" s="183"/>
      <c r="AD6" s="184"/>
      <c r="AE6" s="185"/>
      <c r="AG6" s="186" t="s">
        <v>176</v>
      </c>
      <c r="AH6" s="185"/>
      <c r="AI6" s="185"/>
      <c r="AJ6" s="185"/>
      <c r="AK6" s="184"/>
    </row>
    <row r="7" spans="1:40" ht="18.75" x14ac:dyDescent="0.35">
      <c r="C7" s="188"/>
      <c r="D7" s="64" t="s">
        <v>177</v>
      </c>
      <c r="E7" s="64"/>
      <c r="F7" s="64"/>
      <c r="G7" s="64"/>
      <c r="H7" s="64"/>
      <c r="I7" s="64"/>
      <c r="J7" s="185"/>
      <c r="K7" s="185"/>
      <c r="L7" s="185"/>
      <c r="M7" s="185"/>
      <c r="N7" s="185"/>
      <c r="O7" s="185"/>
      <c r="P7"/>
      <c r="Q7"/>
      <c r="R7" s="64" t="s">
        <v>178</v>
      </c>
      <c r="S7" s="64"/>
      <c r="T7" s="64"/>
      <c r="U7" s="64"/>
      <c r="V7" s="64"/>
      <c r="W7"/>
      <c r="X7"/>
      <c r="Y7"/>
      <c r="AC7" s="189"/>
      <c r="AD7" s="189"/>
      <c r="AE7" s="64" t="s">
        <v>179</v>
      </c>
      <c r="AF7" s="64"/>
      <c r="AG7" s="64"/>
      <c r="AH7" s="64"/>
      <c r="AI7" s="64"/>
      <c r="AJ7"/>
      <c r="AK7" s="184"/>
    </row>
    <row r="8" spans="1:40" ht="18.75" x14ac:dyDescent="0.2">
      <c r="A8" s="190" t="s">
        <v>63</v>
      </c>
      <c r="C8" s="191" t="s">
        <v>180</v>
      </c>
      <c r="D8" s="191" t="s">
        <v>181</v>
      </c>
      <c r="E8" s="192" t="s">
        <v>182</v>
      </c>
      <c r="F8" s="192" t="s">
        <v>183</v>
      </c>
      <c r="G8" s="192" t="s">
        <v>184</v>
      </c>
      <c r="H8" s="192" t="s">
        <v>185</v>
      </c>
      <c r="I8" s="192" t="s">
        <v>186</v>
      </c>
      <c r="J8" s="193"/>
      <c r="K8" s="192" t="s">
        <v>187</v>
      </c>
      <c r="L8"/>
      <c r="P8"/>
      <c r="Q8" s="192" t="s">
        <v>180</v>
      </c>
      <c r="R8" s="192" t="s">
        <v>181</v>
      </c>
      <c r="S8" s="192" t="s">
        <v>182</v>
      </c>
      <c r="T8" s="192" t="s">
        <v>183</v>
      </c>
      <c r="U8" s="192" t="s">
        <v>184</v>
      </c>
      <c r="V8" s="192" t="s">
        <v>185</v>
      </c>
      <c r="W8" s="192" t="s">
        <v>188</v>
      </c>
      <c r="Y8" s="192" t="s">
        <v>187</v>
      </c>
      <c r="Z8" s="194"/>
      <c r="AC8" s="192" t="s">
        <v>180</v>
      </c>
      <c r="AD8" s="192" t="s">
        <v>181</v>
      </c>
      <c r="AE8" s="192" t="s">
        <v>182</v>
      </c>
      <c r="AF8" s="192" t="s">
        <v>183</v>
      </c>
      <c r="AG8" s="192" t="s">
        <v>184</v>
      </c>
      <c r="AH8" s="192" t="s">
        <v>185</v>
      </c>
      <c r="AI8" s="192" t="s">
        <v>188</v>
      </c>
      <c r="AJ8" s="195" t="s">
        <v>189</v>
      </c>
      <c r="AK8" s="192" t="s">
        <v>187</v>
      </c>
    </row>
    <row r="9" spans="1:40" ht="15" customHeight="1" x14ac:dyDescent="0.2">
      <c r="B9" s="196"/>
      <c r="C9" s="197"/>
      <c r="D9" s="198"/>
      <c r="E9" s="199"/>
      <c r="F9" s="200" t="s">
        <v>190</v>
      </c>
      <c r="G9" s="200"/>
      <c r="H9" s="200"/>
      <c r="I9" s="200"/>
      <c r="J9" s="201"/>
      <c r="K9" s="199"/>
      <c r="L9"/>
      <c r="P9"/>
      <c r="Q9" s="202"/>
      <c r="R9" s="200"/>
      <c r="S9" s="200"/>
      <c r="T9" s="203" t="s">
        <v>191</v>
      </c>
      <c r="U9" s="200"/>
      <c r="V9" s="200"/>
      <c r="W9" s="200"/>
      <c r="X9" s="201"/>
      <c r="Y9" s="199"/>
      <c r="Z9" s="180"/>
      <c r="AD9" s="204"/>
      <c r="AE9" s="251" t="s">
        <v>192</v>
      </c>
      <c r="AF9" s="251"/>
      <c r="AG9" s="251"/>
      <c r="AH9" s="204"/>
      <c r="AI9" s="204"/>
      <c r="AJ9" s="204"/>
      <c r="AK9" s="205"/>
    </row>
    <row r="10" spans="1:40" ht="12.75" customHeight="1" x14ac:dyDescent="0.2">
      <c r="C10" s="206">
        <v>298.14999999999998</v>
      </c>
      <c r="D10" s="207">
        <v>0</v>
      </c>
      <c r="E10" s="208">
        <v>-61131.9</v>
      </c>
      <c r="F10" s="209">
        <v>24.466000000000001</v>
      </c>
      <c r="G10" s="209">
        <v>205.03800000000001</v>
      </c>
      <c r="H10" s="209">
        <v>29.38</v>
      </c>
      <c r="I10" s="210">
        <v>-63610.9</v>
      </c>
      <c r="J10" s="211"/>
      <c r="K10" s="212"/>
      <c r="L10"/>
      <c r="M10"/>
      <c r="N10"/>
      <c r="O10"/>
      <c r="P10"/>
      <c r="Q10" s="213">
        <v>298.14999999999998</v>
      </c>
      <c r="R10" s="207">
        <v>0</v>
      </c>
      <c r="S10" s="207">
        <v>-57095.6</v>
      </c>
      <c r="T10" s="209">
        <v>24.466000000000001</v>
      </c>
      <c r="U10" s="209">
        <v>191.5</v>
      </c>
      <c r="V10" s="209">
        <v>29.135000000000002</v>
      </c>
      <c r="W10" s="210">
        <v>-59574.6</v>
      </c>
      <c r="X10" s="211"/>
      <c r="Y10" s="214"/>
      <c r="Z10" s="185"/>
      <c r="AC10" s="215">
        <v>298.14999999999998</v>
      </c>
      <c r="AD10" s="216">
        <v>-393522</v>
      </c>
      <c r="AE10" s="216">
        <v>-457265</v>
      </c>
      <c r="AF10" s="217">
        <v>24.466000000000001</v>
      </c>
      <c r="AG10" s="218">
        <v>213.79499999999999</v>
      </c>
      <c r="AH10" s="218">
        <v>37.137999999999998</v>
      </c>
      <c r="AI10" s="216">
        <v>-459744</v>
      </c>
      <c r="AJ10" s="219">
        <f>AD10-$AD$10</f>
        <v>0</v>
      </c>
      <c r="AK10" s="220">
        <f>AC10-273.15</f>
        <v>25</v>
      </c>
    </row>
    <row r="11" spans="1:40" x14ac:dyDescent="0.2">
      <c r="C11" s="213">
        <v>300</v>
      </c>
      <c r="D11" s="221">
        <v>54.4</v>
      </c>
      <c r="E11" s="208">
        <v>-61511.4</v>
      </c>
      <c r="F11" s="209">
        <v>24.617000000000001</v>
      </c>
      <c r="G11" s="209">
        <v>205.21899999999999</v>
      </c>
      <c r="H11" s="209">
        <v>29.385999999999999</v>
      </c>
      <c r="I11" s="210">
        <v>-64005.8</v>
      </c>
      <c r="J11" s="211"/>
      <c r="K11" s="212"/>
      <c r="L11"/>
      <c r="M11"/>
      <c r="N11"/>
      <c r="O11"/>
      <c r="P11"/>
      <c r="Q11" s="213">
        <v>300</v>
      </c>
      <c r="R11" s="222">
        <v>53.9</v>
      </c>
      <c r="S11" s="208">
        <v>-57450</v>
      </c>
      <c r="T11" s="209">
        <v>24.617000000000001</v>
      </c>
      <c r="U11" s="209">
        <v>191.68</v>
      </c>
      <c r="V11" s="209">
        <v>29.134</v>
      </c>
      <c r="W11" s="210">
        <v>-59944.4</v>
      </c>
      <c r="X11" s="211"/>
      <c r="Y11" s="214"/>
      <c r="Z11" s="185"/>
      <c r="AC11" s="223">
        <v>300</v>
      </c>
      <c r="AD11" s="216">
        <v>-393453.2</v>
      </c>
      <c r="AE11" s="216">
        <v>-457660.7</v>
      </c>
      <c r="AF11" s="217">
        <v>24.617000000000001</v>
      </c>
      <c r="AG11" s="218">
        <v>214.02500000000001</v>
      </c>
      <c r="AH11" s="218">
        <v>37.22</v>
      </c>
      <c r="AI11" s="216">
        <v>-460155.1</v>
      </c>
      <c r="AJ11" s="219">
        <f t="shared" ref="AJ11:AJ28" si="0">AD11-$AD$10</f>
        <v>68.799999999988358</v>
      </c>
      <c r="AK11" s="220">
        <f t="shared" ref="AK11:AK28" si="1">AC11-273.15</f>
        <v>26.850000000000023</v>
      </c>
    </row>
    <row r="12" spans="1:40" ht="15" customHeight="1" x14ac:dyDescent="0.2">
      <c r="C12" s="213">
        <v>400</v>
      </c>
      <c r="D12" s="221">
        <v>3024.5</v>
      </c>
      <c r="E12" s="208">
        <v>-82479</v>
      </c>
      <c r="F12" s="209">
        <v>32.823</v>
      </c>
      <c r="G12" s="209">
        <v>213.75899999999999</v>
      </c>
      <c r="H12" s="209">
        <v>30.108000000000001</v>
      </c>
      <c r="I12" s="210">
        <v>-85804.800000000003</v>
      </c>
      <c r="J12" s="211"/>
      <c r="K12" s="212"/>
      <c r="L12"/>
      <c r="M12"/>
      <c r="N12"/>
      <c r="O12"/>
      <c r="P12"/>
      <c r="Q12" s="213">
        <v>400</v>
      </c>
      <c r="R12" s="222">
        <v>2968.9</v>
      </c>
      <c r="S12" s="208">
        <v>-77057.100000000006</v>
      </c>
      <c r="T12" s="209">
        <v>32.823</v>
      </c>
      <c r="U12" s="209">
        <v>200.065</v>
      </c>
      <c r="V12" s="209">
        <v>29.225000000000001</v>
      </c>
      <c r="W12" s="210">
        <v>-80382.899999999994</v>
      </c>
      <c r="X12" s="211"/>
      <c r="Y12" s="214"/>
      <c r="Z12" s="185"/>
      <c r="AC12" s="223">
        <v>400</v>
      </c>
      <c r="AD12" s="216">
        <v>-389521.5</v>
      </c>
      <c r="AE12" s="216">
        <v>-479644.6</v>
      </c>
      <c r="AF12" s="217">
        <v>32.823</v>
      </c>
      <c r="AG12" s="218">
        <v>225.30799999999999</v>
      </c>
      <c r="AH12" s="218">
        <v>41.292999999999999</v>
      </c>
      <c r="AI12" s="216">
        <v>-482970.4</v>
      </c>
      <c r="AJ12" s="219">
        <f t="shared" si="0"/>
        <v>4000.5</v>
      </c>
      <c r="AK12" s="220">
        <f t="shared" si="1"/>
        <v>126.85000000000002</v>
      </c>
    </row>
    <row r="13" spans="1:40" x14ac:dyDescent="0.2">
      <c r="C13" s="213">
        <v>500</v>
      </c>
      <c r="D13" s="221">
        <v>6084.2</v>
      </c>
      <c r="E13" s="208">
        <v>-104206.9</v>
      </c>
      <c r="F13" s="209">
        <v>41.029000000000003</v>
      </c>
      <c r="G13" s="209">
        <v>220.58199999999999</v>
      </c>
      <c r="H13" s="209">
        <v>31.099</v>
      </c>
      <c r="I13" s="210">
        <v>-108364.2</v>
      </c>
      <c r="J13" s="211"/>
      <c r="K13" s="212"/>
      <c r="L13"/>
      <c r="M13"/>
      <c r="N13"/>
      <c r="O13"/>
      <c r="P13"/>
      <c r="Q13" s="213">
        <v>500</v>
      </c>
      <c r="R13" s="222">
        <v>5908.6</v>
      </c>
      <c r="S13" s="208">
        <v>-97403</v>
      </c>
      <c r="T13" s="209">
        <v>41.029000000000003</v>
      </c>
      <c r="U13" s="209">
        <v>206.62299999999999</v>
      </c>
      <c r="V13" s="209">
        <v>29.606000000000002</v>
      </c>
      <c r="W13" s="210">
        <v>-101560.3</v>
      </c>
      <c r="X13" s="211"/>
      <c r="Y13" s="214"/>
      <c r="Z13" s="185"/>
      <c r="AC13" s="223">
        <v>500</v>
      </c>
      <c r="AD13" s="216">
        <v>-385219.2</v>
      </c>
      <c r="AE13" s="216">
        <v>-502666.3</v>
      </c>
      <c r="AF13" s="217">
        <v>41.029000000000003</v>
      </c>
      <c r="AG13" s="218">
        <v>234.89400000000001</v>
      </c>
      <c r="AH13" s="218">
        <v>44.636000000000003</v>
      </c>
      <c r="AI13" s="216">
        <v>-506823.5</v>
      </c>
      <c r="AJ13" s="219">
        <f t="shared" si="0"/>
        <v>8302.7999999999884</v>
      </c>
      <c r="AK13" s="220">
        <f t="shared" si="1"/>
        <v>226.85000000000002</v>
      </c>
    </row>
    <row r="14" spans="1:40" ht="15" customHeight="1" x14ac:dyDescent="0.2">
      <c r="C14" s="213">
        <v>600</v>
      </c>
      <c r="D14" s="221">
        <v>9243.7999999999993</v>
      </c>
      <c r="E14" s="208">
        <v>-126560.3</v>
      </c>
      <c r="F14" s="209">
        <v>49.234999999999999</v>
      </c>
      <c r="G14" s="209">
        <v>226.34</v>
      </c>
      <c r="H14" s="209">
        <v>32.081000000000003</v>
      </c>
      <c r="I14" s="210">
        <v>-131549</v>
      </c>
      <c r="J14" s="211"/>
      <c r="K14" s="212"/>
      <c r="L14"/>
      <c r="M14"/>
      <c r="N14"/>
      <c r="O14"/>
      <c r="P14"/>
      <c r="Q14" s="213">
        <v>600</v>
      </c>
      <c r="R14" s="222">
        <v>8895.4</v>
      </c>
      <c r="S14" s="208">
        <v>-118345</v>
      </c>
      <c r="T14" s="209">
        <v>49.234999999999999</v>
      </c>
      <c r="U14" s="209">
        <v>212.06700000000001</v>
      </c>
      <c r="V14" s="209">
        <v>30.149000000000001</v>
      </c>
      <c r="W14" s="210">
        <v>-123333.7</v>
      </c>
      <c r="X14" s="211"/>
      <c r="Y14" s="214"/>
      <c r="Z14" s="185"/>
      <c r="AC14" s="223">
        <v>600</v>
      </c>
      <c r="AD14" s="216">
        <v>-380615.1</v>
      </c>
      <c r="AE14" s="216">
        <v>-526583.6</v>
      </c>
      <c r="AF14" s="217">
        <v>49.234999999999999</v>
      </c>
      <c r="AG14" s="218">
        <v>243.28100000000001</v>
      </c>
      <c r="AH14" s="218">
        <v>47.354999999999997</v>
      </c>
      <c r="AI14" s="216">
        <v>-531572.30000000005</v>
      </c>
      <c r="AJ14" s="219">
        <f t="shared" si="0"/>
        <v>12906.900000000023</v>
      </c>
      <c r="AK14" s="220">
        <f t="shared" si="1"/>
        <v>326.85000000000002</v>
      </c>
    </row>
    <row r="15" spans="1:40" ht="14.25" x14ac:dyDescent="0.2">
      <c r="C15" s="213">
        <v>700</v>
      </c>
      <c r="D15" s="221">
        <v>12497.2</v>
      </c>
      <c r="E15" s="208">
        <v>-149450.29999999999</v>
      </c>
      <c r="F15" s="209">
        <v>57.44</v>
      </c>
      <c r="G15" s="209">
        <v>231.35400000000001</v>
      </c>
      <c r="H15" s="209">
        <v>32.97</v>
      </c>
      <c r="I15" s="210">
        <v>-155270.39999999999</v>
      </c>
      <c r="J15" s="211"/>
      <c r="K15" s="212"/>
      <c r="L15"/>
      <c r="M15" s="64"/>
      <c r="N15" s="224" t="s">
        <v>193</v>
      </c>
      <c r="O15" s="64"/>
      <c r="P15"/>
      <c r="Q15" s="213">
        <v>700</v>
      </c>
      <c r="R15" s="222">
        <v>11941</v>
      </c>
      <c r="S15" s="208">
        <v>-139791.6</v>
      </c>
      <c r="T15" s="209">
        <v>57.44</v>
      </c>
      <c r="U15" s="209">
        <v>216.761</v>
      </c>
      <c r="V15" s="209">
        <v>30.77</v>
      </c>
      <c r="W15" s="210">
        <v>-145611.79999999999</v>
      </c>
      <c r="X15" s="211"/>
      <c r="Y15" s="214"/>
      <c r="Z15" s="185"/>
      <c r="AA15" s="185"/>
      <c r="AB15" s="185"/>
      <c r="AC15" s="223">
        <v>700</v>
      </c>
      <c r="AD15" s="216">
        <v>-375764.5</v>
      </c>
      <c r="AE15" s="216">
        <v>-551292.1</v>
      </c>
      <c r="AF15" s="217">
        <v>57.44</v>
      </c>
      <c r="AG15" s="218">
        <v>250.75399999999999</v>
      </c>
      <c r="AH15" s="218">
        <v>49.585000000000001</v>
      </c>
      <c r="AI15" s="216">
        <v>-557112.30000000005</v>
      </c>
      <c r="AJ15" s="219">
        <f t="shared" si="0"/>
        <v>17757.5</v>
      </c>
      <c r="AK15" s="220">
        <f t="shared" si="1"/>
        <v>426.85</v>
      </c>
    </row>
    <row r="16" spans="1:40" ht="15" x14ac:dyDescent="0.2">
      <c r="C16" s="213">
        <v>800</v>
      </c>
      <c r="D16" s="208">
        <v>15833.6</v>
      </c>
      <c r="E16" s="208">
        <v>-172812.4</v>
      </c>
      <c r="F16" s="209">
        <v>65.646000000000001</v>
      </c>
      <c r="G16" s="209">
        <v>235.80799999999999</v>
      </c>
      <c r="H16" s="209">
        <v>33.735999999999997</v>
      </c>
      <c r="I16" s="210">
        <v>-179464</v>
      </c>
      <c r="J16" s="211"/>
      <c r="K16" s="212"/>
      <c r="L16"/>
      <c r="M16" s="192" t="s">
        <v>194</v>
      </c>
      <c r="N16" s="191" t="s">
        <v>195</v>
      </c>
      <c r="O16" s="191" t="s">
        <v>195</v>
      </c>
      <c r="P16"/>
      <c r="Q16" s="213">
        <v>800</v>
      </c>
      <c r="R16" s="208">
        <v>15050.3</v>
      </c>
      <c r="S16" s="208">
        <v>-161679.20000000001</v>
      </c>
      <c r="T16" s="209">
        <v>65.646000000000001</v>
      </c>
      <c r="U16" s="209">
        <v>220.91200000000001</v>
      </c>
      <c r="V16" s="209">
        <v>31.417000000000002</v>
      </c>
      <c r="W16" s="210">
        <v>-168330.8</v>
      </c>
      <c r="X16" s="211"/>
      <c r="Y16" s="214"/>
      <c r="Z16" s="185"/>
      <c r="AA16" s="185"/>
      <c r="AB16" s="185"/>
      <c r="AC16" s="223">
        <v>800</v>
      </c>
      <c r="AD16" s="216">
        <v>-370710.8</v>
      </c>
      <c r="AE16" s="216">
        <v>-576710.19999999995</v>
      </c>
      <c r="AF16" s="217">
        <v>65.646000000000001</v>
      </c>
      <c r="AG16" s="218">
        <v>257.49900000000002</v>
      </c>
      <c r="AH16" s="218">
        <v>51.432000000000002</v>
      </c>
      <c r="AI16" s="216">
        <v>-583361.80000000005</v>
      </c>
      <c r="AJ16" s="219">
        <f t="shared" si="0"/>
        <v>22811.200000000012</v>
      </c>
      <c r="AK16" s="220">
        <f t="shared" si="1"/>
        <v>526.85</v>
      </c>
    </row>
    <row r="17" spans="3:37" ht="16.5" x14ac:dyDescent="0.2">
      <c r="C17" s="213">
        <v>900</v>
      </c>
      <c r="D17" s="208">
        <v>19240</v>
      </c>
      <c r="E17" s="208">
        <v>-196597</v>
      </c>
      <c r="F17" s="209">
        <v>73.852000000000004</v>
      </c>
      <c r="G17" s="209">
        <v>239.81899999999999</v>
      </c>
      <c r="H17" s="209">
        <v>34.369</v>
      </c>
      <c r="I17" s="210">
        <v>-204080.1</v>
      </c>
      <c r="J17" s="211"/>
      <c r="K17" s="212"/>
      <c r="L17"/>
      <c r="M17"/>
      <c r="N17" s="186" t="s">
        <v>174</v>
      </c>
      <c r="O17" s="187" t="s">
        <v>175</v>
      </c>
      <c r="P17"/>
      <c r="Q17" s="213">
        <v>900</v>
      </c>
      <c r="R17" s="208">
        <v>18224</v>
      </c>
      <c r="S17" s="208">
        <v>-183960.3</v>
      </c>
      <c r="T17" s="209">
        <v>73.852000000000004</v>
      </c>
      <c r="U17" s="209">
        <v>224.649</v>
      </c>
      <c r="V17" s="209">
        <v>32.055</v>
      </c>
      <c r="W17" s="210">
        <v>-191443.3</v>
      </c>
      <c r="X17" s="211"/>
      <c r="Y17" s="214"/>
      <c r="Z17" s="185"/>
      <c r="AA17" s="185"/>
      <c r="AB17" s="185"/>
      <c r="AC17" s="223">
        <v>900</v>
      </c>
      <c r="AD17" s="216">
        <v>-365488.1</v>
      </c>
      <c r="AE17" s="216">
        <v>-602772.1</v>
      </c>
      <c r="AF17" s="217">
        <v>73.852000000000004</v>
      </c>
      <c r="AG17" s="218">
        <v>263.649</v>
      </c>
      <c r="AH17" s="218">
        <v>52.978000000000002</v>
      </c>
      <c r="AI17" s="216">
        <v>-610255.19999999995</v>
      </c>
      <c r="AJ17" s="219">
        <f t="shared" si="0"/>
        <v>28033.900000000023</v>
      </c>
      <c r="AK17" s="220">
        <f t="shared" si="1"/>
        <v>626.85</v>
      </c>
    </row>
    <row r="18" spans="3:37" x14ac:dyDescent="0.2">
      <c r="C18" s="213">
        <v>1000</v>
      </c>
      <c r="D18" s="208">
        <v>22702.7</v>
      </c>
      <c r="E18" s="208">
        <v>-220764.1</v>
      </c>
      <c r="F18" s="209">
        <v>82.058000000000007</v>
      </c>
      <c r="G18" s="209">
        <v>243.46700000000001</v>
      </c>
      <c r="H18" s="209">
        <v>34.863</v>
      </c>
      <c r="I18" s="210">
        <v>-229078.6</v>
      </c>
      <c r="J18" s="211"/>
      <c r="K18" s="212"/>
      <c r="L18"/>
      <c r="M18"/>
      <c r="N18"/>
      <c r="O18"/>
      <c r="P18"/>
      <c r="Q18" s="213">
        <v>1000</v>
      </c>
      <c r="R18" s="208">
        <v>21460.3</v>
      </c>
      <c r="S18" s="208">
        <v>-206598.1</v>
      </c>
      <c r="T18" s="209">
        <v>82.058000000000007</v>
      </c>
      <c r="U18" s="209">
        <v>228.05799999999999</v>
      </c>
      <c r="V18" s="209">
        <v>32.662999999999997</v>
      </c>
      <c r="W18" s="210">
        <v>-214912.6</v>
      </c>
      <c r="X18" s="211"/>
      <c r="Y18" s="214"/>
      <c r="Z18" s="185"/>
      <c r="AA18" s="185"/>
      <c r="AB18" s="185"/>
      <c r="AC18" s="223">
        <v>1000</v>
      </c>
      <c r="AD18" s="216">
        <v>-360123.3</v>
      </c>
      <c r="AE18" s="216">
        <v>-629423.4</v>
      </c>
      <c r="AF18" s="217">
        <v>82.058000000000007</v>
      </c>
      <c r="AG18" s="218">
        <v>269.3</v>
      </c>
      <c r="AH18" s="218">
        <v>54.280999999999999</v>
      </c>
      <c r="AI18" s="216">
        <v>-637737.9</v>
      </c>
      <c r="AJ18" s="219">
        <f t="shared" si="0"/>
        <v>33398.700000000012</v>
      </c>
      <c r="AK18" s="220">
        <f t="shared" si="1"/>
        <v>726.85</v>
      </c>
    </row>
    <row r="19" spans="3:37" x14ac:dyDescent="0.2">
      <c r="C19" s="213">
        <v>1100</v>
      </c>
      <c r="D19" s="225">
        <v>26213.200000000001</v>
      </c>
      <c r="E19" s="208">
        <v>-245280.3</v>
      </c>
      <c r="F19" s="209">
        <v>90.263999999999996</v>
      </c>
      <c r="G19" s="209">
        <v>246.81200000000001</v>
      </c>
      <c r="H19" s="209">
        <v>35.323999999999998</v>
      </c>
      <c r="I19" s="210">
        <v>-254426.3</v>
      </c>
      <c r="J19" s="211"/>
      <c r="K19" s="226">
        <f t="shared" ref="K19:K30" si="2">C19-273.15</f>
        <v>826.85</v>
      </c>
      <c r="L19"/>
      <c r="M19" s="118">
        <f>K19*1.8+32</f>
        <v>1520.3300000000002</v>
      </c>
      <c r="N19" s="227">
        <f>D19*0.43021</f>
        <v>11277.180772</v>
      </c>
      <c r="O19" s="227">
        <f>R19*0.43021</f>
        <v>10649.891570999998</v>
      </c>
      <c r="P19"/>
      <c r="Q19" s="213">
        <v>1100</v>
      </c>
      <c r="R19" s="225">
        <v>24755.1</v>
      </c>
      <c r="S19" s="208">
        <v>-229563</v>
      </c>
      <c r="T19" s="209">
        <v>90.263999999999996</v>
      </c>
      <c r="U19" s="209">
        <v>231.19800000000001</v>
      </c>
      <c r="V19" s="209">
        <v>33.225999999999999</v>
      </c>
      <c r="W19" s="210">
        <v>-238708.9</v>
      </c>
      <c r="X19" s="211"/>
      <c r="Y19" s="226">
        <f>Q19-273.15</f>
        <v>826.85</v>
      </c>
      <c r="Z19" s="185"/>
      <c r="AA19" s="185"/>
      <c r="AB19" s="185"/>
      <c r="AC19" s="223">
        <v>1100</v>
      </c>
      <c r="AD19" s="216">
        <v>-354638.5</v>
      </c>
      <c r="AE19" s="216">
        <v>-656618</v>
      </c>
      <c r="AF19" s="217">
        <v>90.263999999999996</v>
      </c>
      <c r="AG19" s="218">
        <v>274.52699999999999</v>
      </c>
      <c r="AH19" s="218">
        <v>55.386000000000003</v>
      </c>
      <c r="AI19" s="216">
        <v>-665764</v>
      </c>
      <c r="AJ19" s="219">
        <f t="shared" si="0"/>
        <v>38883.5</v>
      </c>
      <c r="AK19" s="220">
        <f t="shared" si="1"/>
        <v>826.85</v>
      </c>
    </row>
    <row r="20" spans="3:37" x14ac:dyDescent="0.2">
      <c r="C20" s="213">
        <v>1200</v>
      </c>
      <c r="D20" s="225">
        <v>29764.1</v>
      </c>
      <c r="E20" s="208">
        <v>-270118</v>
      </c>
      <c r="F20" s="209">
        <v>98.468999999999994</v>
      </c>
      <c r="G20" s="209">
        <v>249.90199999999999</v>
      </c>
      <c r="H20" s="209">
        <v>35.683999999999997</v>
      </c>
      <c r="I20" s="210">
        <v>-280095.40000000002</v>
      </c>
      <c r="J20" s="211"/>
      <c r="K20" s="226">
        <f t="shared" si="2"/>
        <v>926.85</v>
      </c>
      <c r="L20"/>
      <c r="M20" s="118">
        <f t="shared" ref="M20:M30" si="3">K20*1.8+32</f>
        <v>1700.3300000000002</v>
      </c>
      <c r="N20" s="227">
        <f t="shared" ref="N20:N30" si="4">D20*0.43021</f>
        <v>12804.813460999998</v>
      </c>
      <c r="O20" s="227">
        <f t="shared" ref="O20:O30" si="5">R20*0.43021</f>
        <v>12090.449755999998</v>
      </c>
      <c r="P20"/>
      <c r="Q20" s="213">
        <v>1200</v>
      </c>
      <c r="R20" s="225">
        <v>28103.599999999999</v>
      </c>
      <c r="S20" s="208">
        <v>-252830.2</v>
      </c>
      <c r="T20" s="209">
        <v>98.468999999999994</v>
      </c>
      <c r="U20" s="209">
        <v>234.11099999999999</v>
      </c>
      <c r="V20" s="209">
        <v>33.732999999999997</v>
      </c>
      <c r="W20" s="210">
        <v>-262807.59999999998</v>
      </c>
      <c r="X20" s="211"/>
      <c r="Y20" s="226">
        <f t="shared" ref="Y20:Y30" si="6">Q20-273.15</f>
        <v>926.85</v>
      </c>
      <c r="Z20" s="185"/>
      <c r="AA20" s="185"/>
      <c r="AB20" s="185"/>
      <c r="AC20" s="223">
        <v>1200</v>
      </c>
      <c r="AD20" s="216">
        <v>-349051.6</v>
      </c>
      <c r="AE20" s="216">
        <v>-684316.6</v>
      </c>
      <c r="AF20" s="217">
        <v>98.468999999999994</v>
      </c>
      <c r="AG20" s="218">
        <v>279.387</v>
      </c>
      <c r="AH20" s="218">
        <v>56.326999999999998</v>
      </c>
      <c r="AI20" s="216">
        <v>-694294</v>
      </c>
      <c r="AJ20" s="219">
        <f t="shared" si="0"/>
        <v>44470.400000000023</v>
      </c>
      <c r="AK20" s="220">
        <f t="shared" si="1"/>
        <v>926.85</v>
      </c>
    </row>
    <row r="21" spans="3:37" x14ac:dyDescent="0.2">
      <c r="C21" s="213">
        <v>1300</v>
      </c>
      <c r="D21" s="225">
        <v>33348.199999999997</v>
      </c>
      <c r="E21" s="208">
        <v>-295253.40000000002</v>
      </c>
      <c r="F21" s="209">
        <v>106.68</v>
      </c>
      <c r="G21" s="209">
        <v>252.77</v>
      </c>
      <c r="H21" s="209">
        <v>35.991</v>
      </c>
      <c r="I21" s="210">
        <v>-306062.2</v>
      </c>
      <c r="J21" s="211"/>
      <c r="K21" s="226">
        <f t="shared" si="2"/>
        <v>1026.8499999999999</v>
      </c>
      <c r="L21"/>
      <c r="M21" s="118">
        <f t="shared" si="3"/>
        <v>1880.33</v>
      </c>
      <c r="N21" s="227">
        <f t="shared" si="4"/>
        <v>14346.729121999999</v>
      </c>
      <c r="O21" s="227">
        <f t="shared" si="5"/>
        <v>13551.485936999999</v>
      </c>
      <c r="P21"/>
      <c r="Q21" s="213">
        <v>1300</v>
      </c>
      <c r="R21" s="225">
        <v>31499.7</v>
      </c>
      <c r="S21" s="208">
        <v>-276378.8</v>
      </c>
      <c r="T21" s="209">
        <v>106.68</v>
      </c>
      <c r="U21" s="209">
        <v>236.83</v>
      </c>
      <c r="V21" s="209">
        <v>34.177999999999997</v>
      </c>
      <c r="W21" s="210">
        <v>-287187.59999999998</v>
      </c>
      <c r="X21" s="211"/>
      <c r="Y21" s="226">
        <f t="shared" si="6"/>
        <v>1026.8499999999999</v>
      </c>
      <c r="Z21" s="185"/>
      <c r="AA21" s="185"/>
      <c r="AB21" s="185"/>
      <c r="AC21" s="223">
        <v>1300</v>
      </c>
      <c r="AD21" s="216">
        <v>-343377.6</v>
      </c>
      <c r="AE21" s="216">
        <v>-712484.9</v>
      </c>
      <c r="AF21" s="217">
        <v>106.68</v>
      </c>
      <c r="AG21" s="218">
        <v>283.92899999999997</v>
      </c>
      <c r="AH21" s="218">
        <v>57.131999999999998</v>
      </c>
      <c r="AI21" s="216">
        <v>-723293.7</v>
      </c>
      <c r="AJ21" s="219">
        <f t="shared" si="0"/>
        <v>50144.400000000023</v>
      </c>
      <c r="AK21" s="220">
        <f t="shared" si="1"/>
        <v>1026.8499999999999</v>
      </c>
    </row>
    <row r="22" spans="3:37" x14ac:dyDescent="0.2">
      <c r="C22" s="213">
        <v>1400</v>
      </c>
      <c r="D22" s="225">
        <v>36961.300000000003</v>
      </c>
      <c r="E22" s="208">
        <v>-320665.8</v>
      </c>
      <c r="F22" s="209">
        <v>114.88</v>
      </c>
      <c r="G22" s="209">
        <v>255.44800000000001</v>
      </c>
      <c r="H22" s="209">
        <v>36.268000000000001</v>
      </c>
      <c r="I22" s="210">
        <v>-332306.09999999998</v>
      </c>
      <c r="J22" s="211"/>
      <c r="K22" s="226">
        <f t="shared" si="2"/>
        <v>1126.8499999999999</v>
      </c>
      <c r="L22"/>
      <c r="M22" s="118">
        <f t="shared" si="3"/>
        <v>2060.33</v>
      </c>
      <c r="N22" s="227">
        <f t="shared" si="4"/>
        <v>15901.120873</v>
      </c>
      <c r="O22" s="227">
        <f t="shared" si="5"/>
        <v>15030.203749</v>
      </c>
      <c r="P22"/>
      <c r="Q22" s="213">
        <v>1400</v>
      </c>
      <c r="R22" s="225">
        <v>34936.9</v>
      </c>
      <c r="S22" s="208">
        <v>-300190.40000000002</v>
      </c>
      <c r="T22" s="209">
        <v>114.88</v>
      </c>
      <c r="U22" s="209">
        <v>239.37700000000001</v>
      </c>
      <c r="V22" s="209">
        <v>34.554000000000002</v>
      </c>
      <c r="W22" s="210">
        <v>-311830.7</v>
      </c>
      <c r="X22" s="211"/>
      <c r="Y22" s="226">
        <f t="shared" si="6"/>
        <v>1126.8499999999999</v>
      </c>
      <c r="Z22" s="185"/>
      <c r="AA22" s="185"/>
      <c r="AB22" s="185"/>
      <c r="AC22" s="223">
        <v>1400</v>
      </c>
      <c r="AD22" s="216">
        <v>-337629.1</v>
      </c>
      <c r="AE22" s="216">
        <v>-741092.9</v>
      </c>
      <c r="AF22" s="217">
        <v>114.88</v>
      </c>
      <c r="AG22" s="218">
        <v>288.18799999999999</v>
      </c>
      <c r="AH22" s="218">
        <v>57.82</v>
      </c>
      <c r="AI22" s="216">
        <v>-752733.3</v>
      </c>
      <c r="AJ22" s="219">
        <f t="shared" si="0"/>
        <v>55892.900000000023</v>
      </c>
      <c r="AK22" s="220">
        <f t="shared" si="1"/>
        <v>1126.8499999999999</v>
      </c>
    </row>
    <row r="23" spans="3:37" x14ac:dyDescent="0.2">
      <c r="C23" s="213">
        <v>1500</v>
      </c>
      <c r="D23" s="225">
        <v>40601.300000000003</v>
      </c>
      <c r="E23" s="208">
        <v>-346337.4</v>
      </c>
      <c r="F23" s="209">
        <v>123.09</v>
      </c>
      <c r="G23" s="209">
        <v>257.959</v>
      </c>
      <c r="H23" s="209">
        <v>36.529000000000003</v>
      </c>
      <c r="I23" s="210">
        <v>-358809.2</v>
      </c>
      <c r="J23" s="211"/>
      <c r="K23" s="226">
        <f t="shared" si="2"/>
        <v>1226.8499999999999</v>
      </c>
      <c r="L23"/>
      <c r="M23" s="118">
        <f t="shared" si="3"/>
        <v>2240.33</v>
      </c>
      <c r="N23" s="227">
        <f t="shared" si="4"/>
        <v>17467.085273000001</v>
      </c>
      <c r="O23" s="227">
        <f t="shared" si="5"/>
        <v>16523.591721999997</v>
      </c>
      <c r="P23"/>
      <c r="Q23" s="213">
        <v>1500</v>
      </c>
      <c r="R23" s="225">
        <v>38408.199999999997</v>
      </c>
      <c r="S23" s="208">
        <v>-324249</v>
      </c>
      <c r="T23" s="209">
        <v>123.09</v>
      </c>
      <c r="U23" s="209">
        <v>241.77099999999999</v>
      </c>
      <c r="V23" s="209">
        <v>34.857999999999997</v>
      </c>
      <c r="W23" s="210">
        <v>-336720.8</v>
      </c>
      <c r="X23" s="211"/>
      <c r="Y23" s="226">
        <f t="shared" si="6"/>
        <v>1226.8499999999999</v>
      </c>
      <c r="Z23" s="185"/>
      <c r="AA23" s="185"/>
      <c r="AB23" s="185"/>
      <c r="AC23" s="223">
        <v>1500</v>
      </c>
      <c r="AD23" s="216">
        <v>-331816.90000000002</v>
      </c>
      <c r="AE23" s="216">
        <v>-770114.2</v>
      </c>
      <c r="AF23" s="217">
        <v>123.09</v>
      </c>
      <c r="AG23" s="218">
        <v>292.19799999999998</v>
      </c>
      <c r="AH23" s="218">
        <v>58.408999999999999</v>
      </c>
      <c r="AI23" s="216">
        <v>-782586</v>
      </c>
      <c r="AJ23" s="219">
        <f t="shared" si="0"/>
        <v>61705.099999999977</v>
      </c>
      <c r="AK23" s="220">
        <f t="shared" si="1"/>
        <v>1226.8499999999999</v>
      </c>
    </row>
    <row r="24" spans="3:37" x14ac:dyDescent="0.2">
      <c r="C24" s="213">
        <v>1600</v>
      </c>
      <c r="D24" s="225">
        <v>44266.9</v>
      </c>
      <c r="E24" s="208">
        <v>-372252.7</v>
      </c>
      <c r="F24" s="209">
        <v>131.29</v>
      </c>
      <c r="G24" s="209">
        <v>260.32499999999999</v>
      </c>
      <c r="H24" s="209">
        <v>36.781999999999996</v>
      </c>
      <c r="I24" s="210">
        <v>-385555.9</v>
      </c>
      <c r="J24" s="211"/>
      <c r="K24" s="226">
        <f t="shared" si="2"/>
        <v>1326.85</v>
      </c>
      <c r="L24"/>
      <c r="M24" s="118">
        <f t="shared" si="3"/>
        <v>2420.33</v>
      </c>
      <c r="N24" s="227">
        <f t="shared" si="4"/>
        <v>19044.063049</v>
      </c>
      <c r="O24" s="227">
        <f t="shared" si="5"/>
        <v>18028.423280999999</v>
      </c>
      <c r="P24"/>
      <c r="Q24" s="213">
        <v>1600</v>
      </c>
      <c r="R24" s="225">
        <v>41906.1</v>
      </c>
      <c r="S24" s="208">
        <v>-348540.1</v>
      </c>
      <c r="T24" s="209">
        <v>131.29</v>
      </c>
      <c r="U24" s="209">
        <v>244.029</v>
      </c>
      <c r="V24" s="209">
        <v>35.087000000000003</v>
      </c>
      <c r="W24" s="210">
        <v>-361843.3</v>
      </c>
      <c r="X24" s="211"/>
      <c r="Y24" s="226">
        <f t="shared" si="6"/>
        <v>1326.85</v>
      </c>
      <c r="Z24" s="185"/>
      <c r="AA24" s="185"/>
      <c r="AB24" s="185"/>
      <c r="AC24" s="223">
        <v>1600</v>
      </c>
      <c r="AD24" s="216">
        <v>-325950.2</v>
      </c>
      <c r="AE24" s="216">
        <v>-799525.1</v>
      </c>
      <c r="AF24" s="217">
        <v>131.29</v>
      </c>
      <c r="AG24" s="218">
        <v>295.98399999999998</v>
      </c>
      <c r="AH24" s="218">
        <v>58.911000000000001</v>
      </c>
      <c r="AI24" s="216">
        <v>-812828.3</v>
      </c>
      <c r="AJ24" s="219">
        <f t="shared" si="0"/>
        <v>67571.799999999988</v>
      </c>
      <c r="AK24" s="220">
        <f t="shared" si="1"/>
        <v>1326.85</v>
      </c>
    </row>
    <row r="25" spans="3:37" x14ac:dyDescent="0.2">
      <c r="C25" s="213">
        <v>1700</v>
      </c>
      <c r="D25" s="225">
        <v>47957.4</v>
      </c>
      <c r="E25" s="208">
        <v>-398398.1</v>
      </c>
      <c r="F25" s="209">
        <v>139.5</v>
      </c>
      <c r="G25" s="209">
        <v>262.56200000000001</v>
      </c>
      <c r="H25" s="209">
        <v>37.027999999999999</v>
      </c>
      <c r="I25" s="210">
        <v>-412532.7</v>
      </c>
      <c r="J25" s="211"/>
      <c r="K25" s="226">
        <f t="shared" si="2"/>
        <v>1426.85</v>
      </c>
      <c r="L25"/>
      <c r="M25" s="118">
        <f t="shared" si="3"/>
        <v>2600.33</v>
      </c>
      <c r="N25" s="227">
        <f t="shared" si="4"/>
        <v>20631.753054000001</v>
      </c>
      <c r="O25" s="227">
        <f t="shared" si="5"/>
        <v>19544.139153</v>
      </c>
      <c r="P25"/>
      <c r="Q25" s="213">
        <v>1700</v>
      </c>
      <c r="R25" s="225">
        <v>45429.3</v>
      </c>
      <c r="S25" s="208">
        <v>-373050.7</v>
      </c>
      <c r="T25" s="209">
        <v>139.5</v>
      </c>
      <c r="U25" s="209">
        <v>246.16499999999999</v>
      </c>
      <c r="V25" s="209">
        <v>35.369999999999997</v>
      </c>
      <c r="W25" s="210">
        <v>-387185.4</v>
      </c>
      <c r="X25" s="211"/>
      <c r="Y25" s="226">
        <f t="shared" si="6"/>
        <v>1426.85</v>
      </c>
      <c r="Z25" s="185"/>
      <c r="AA25" s="185"/>
      <c r="AB25" s="185"/>
      <c r="AC25" s="223">
        <v>1700</v>
      </c>
      <c r="AD25" s="216">
        <v>-320037.09999999998</v>
      </c>
      <c r="AE25" s="216">
        <v>-829304.4</v>
      </c>
      <c r="AF25" s="217">
        <v>139.5</v>
      </c>
      <c r="AG25" s="218">
        <v>299.56900000000002</v>
      </c>
      <c r="AH25" s="218">
        <v>59.338999999999999</v>
      </c>
      <c r="AI25" s="216">
        <v>-843439.1</v>
      </c>
      <c r="AJ25" s="219">
        <f t="shared" si="0"/>
        <v>73484.900000000023</v>
      </c>
      <c r="AK25" s="220">
        <f t="shared" si="1"/>
        <v>1426.85</v>
      </c>
    </row>
    <row r="26" spans="3:37" x14ac:dyDescent="0.2">
      <c r="C26" s="213">
        <v>1800</v>
      </c>
      <c r="D26" s="225">
        <v>51672.4</v>
      </c>
      <c r="E26" s="208">
        <v>-424761.3</v>
      </c>
      <c r="F26" s="209">
        <v>147.69999999999999</v>
      </c>
      <c r="G26" s="209">
        <v>264.685</v>
      </c>
      <c r="H26" s="209">
        <v>37.271000000000001</v>
      </c>
      <c r="I26" s="210">
        <v>-439727.5</v>
      </c>
      <c r="J26" s="211"/>
      <c r="K26" s="226">
        <f t="shared" si="2"/>
        <v>1526.85</v>
      </c>
      <c r="L26"/>
      <c r="M26" s="118">
        <f t="shared" si="3"/>
        <v>2780.33</v>
      </c>
      <c r="N26" s="227">
        <f t="shared" si="4"/>
        <v>22229.983204</v>
      </c>
      <c r="O26" s="227">
        <f t="shared" si="5"/>
        <v>21071.083505999999</v>
      </c>
      <c r="P26"/>
      <c r="Q26" s="213">
        <v>1800</v>
      </c>
      <c r="R26" s="225">
        <v>48978.6</v>
      </c>
      <c r="S26" s="208">
        <v>-397769.5</v>
      </c>
      <c r="T26" s="209">
        <v>147.69999999999999</v>
      </c>
      <c r="U26" s="209">
        <v>248.19300000000001</v>
      </c>
      <c r="V26" s="209">
        <v>35.609000000000002</v>
      </c>
      <c r="W26" s="210">
        <v>-412735.6</v>
      </c>
      <c r="X26" s="211"/>
      <c r="Y26" s="226">
        <f t="shared" si="6"/>
        <v>1526.85</v>
      </c>
      <c r="Z26" s="185"/>
      <c r="AA26" s="185"/>
      <c r="AB26" s="185"/>
      <c r="AC26" s="223">
        <v>1800</v>
      </c>
      <c r="AD26" s="216">
        <v>-314084.5</v>
      </c>
      <c r="AE26" s="216">
        <v>-859432.9</v>
      </c>
      <c r="AF26" s="217">
        <v>147.69999999999999</v>
      </c>
      <c r="AG26" s="218">
        <v>302.971</v>
      </c>
      <c r="AH26" s="218">
        <v>59.701999999999998</v>
      </c>
      <c r="AI26" s="216">
        <v>-874399</v>
      </c>
      <c r="AJ26" s="219">
        <f t="shared" si="0"/>
        <v>79437.5</v>
      </c>
      <c r="AK26" s="220">
        <f t="shared" si="1"/>
        <v>1526.85</v>
      </c>
    </row>
    <row r="27" spans="3:37" x14ac:dyDescent="0.2">
      <c r="C27" s="213">
        <v>1900</v>
      </c>
      <c r="D27" s="225">
        <v>55411.4</v>
      </c>
      <c r="E27" s="208">
        <v>-451331.8</v>
      </c>
      <c r="F27" s="209">
        <v>155.91</v>
      </c>
      <c r="G27" s="209">
        <v>266.70699999999999</v>
      </c>
      <c r="H27" s="209">
        <v>37.51</v>
      </c>
      <c r="I27" s="210">
        <v>-467129.3</v>
      </c>
      <c r="J27" s="211"/>
      <c r="K27" s="226">
        <f t="shared" si="2"/>
        <v>1626.85</v>
      </c>
      <c r="L27"/>
      <c r="M27" s="118">
        <f t="shared" si="3"/>
        <v>2960.33</v>
      </c>
      <c r="N27" s="227">
        <f t="shared" si="4"/>
        <v>23838.538393999999</v>
      </c>
      <c r="O27" s="227">
        <f t="shared" si="5"/>
        <v>22607.492479</v>
      </c>
      <c r="P27"/>
      <c r="Q27" s="213">
        <v>1900</v>
      </c>
      <c r="R27" s="225">
        <v>52549.9</v>
      </c>
      <c r="S27" s="208">
        <v>-422686.2</v>
      </c>
      <c r="T27" s="209">
        <v>155.91</v>
      </c>
      <c r="U27" s="209">
        <v>250.124</v>
      </c>
      <c r="V27" s="209">
        <v>35.811999999999998</v>
      </c>
      <c r="W27" s="210">
        <v>-438483.7</v>
      </c>
      <c r="X27" s="211"/>
      <c r="Y27" s="226">
        <f t="shared" si="6"/>
        <v>1626.85</v>
      </c>
      <c r="Z27" s="185"/>
      <c r="AA27" s="185"/>
      <c r="AB27" s="185"/>
      <c r="AC27" s="223">
        <v>1900</v>
      </c>
      <c r="AD27" s="216">
        <v>-308098.7</v>
      </c>
      <c r="AE27" s="216">
        <v>-889893.1</v>
      </c>
      <c r="AF27" s="217">
        <v>155.91</v>
      </c>
      <c r="AG27" s="218">
        <v>306.20800000000003</v>
      </c>
      <c r="AH27" s="218">
        <v>60.006</v>
      </c>
      <c r="AI27" s="216">
        <v>-905690.7</v>
      </c>
      <c r="AJ27" s="219">
        <f t="shared" si="0"/>
        <v>85423.299999999988</v>
      </c>
      <c r="AK27" s="220">
        <f t="shared" si="1"/>
        <v>1626.85</v>
      </c>
    </row>
    <row r="28" spans="3:37" x14ac:dyDescent="0.2">
      <c r="C28" s="213">
        <v>2000</v>
      </c>
      <c r="D28" s="225">
        <v>59174.2</v>
      </c>
      <c r="E28" s="208">
        <v>-478099.7</v>
      </c>
      <c r="F28" s="209">
        <v>164.12</v>
      </c>
      <c r="G28" s="209">
        <v>268.637</v>
      </c>
      <c r="H28" s="209">
        <v>37.746000000000002</v>
      </c>
      <c r="I28" s="210">
        <v>-494728.7</v>
      </c>
      <c r="J28" s="211"/>
      <c r="K28" s="226">
        <f t="shared" si="2"/>
        <v>1726.85</v>
      </c>
      <c r="L28"/>
      <c r="M28" s="118">
        <f t="shared" si="3"/>
        <v>3140.33</v>
      </c>
      <c r="N28" s="227">
        <f t="shared" si="4"/>
        <v>25457.332581999999</v>
      </c>
      <c r="O28" s="227">
        <f t="shared" si="5"/>
        <v>24152.075441999998</v>
      </c>
      <c r="P28"/>
      <c r="Q28" s="213">
        <v>2000</v>
      </c>
      <c r="R28" s="225">
        <v>56140.2</v>
      </c>
      <c r="S28" s="208">
        <v>-447791.4</v>
      </c>
      <c r="T28" s="209">
        <v>164.12</v>
      </c>
      <c r="U28" s="209">
        <v>251.96600000000001</v>
      </c>
      <c r="V28" s="209">
        <v>35.988999999999997</v>
      </c>
      <c r="W28" s="210">
        <v>-464420.4</v>
      </c>
      <c r="X28" s="211"/>
      <c r="Y28" s="228">
        <f t="shared" si="6"/>
        <v>1726.85</v>
      </c>
      <c r="Z28" s="185"/>
      <c r="AA28" s="185"/>
      <c r="AB28" s="185"/>
      <c r="AC28" s="223">
        <v>2000</v>
      </c>
      <c r="AD28" s="216">
        <v>-302082.3</v>
      </c>
      <c r="AE28" s="216">
        <v>-920669.4</v>
      </c>
      <c r="AF28" s="217">
        <v>164.12</v>
      </c>
      <c r="AG28" s="218">
        <v>309.29399999999998</v>
      </c>
      <c r="AH28" s="218">
        <v>60.316000000000003</v>
      </c>
      <c r="AI28" s="216">
        <v>-937298.4</v>
      </c>
      <c r="AJ28" s="219">
        <f t="shared" si="0"/>
        <v>91439.700000000012</v>
      </c>
      <c r="AK28" s="220">
        <f t="shared" si="1"/>
        <v>1726.85</v>
      </c>
    </row>
    <row r="29" spans="3:37" x14ac:dyDescent="0.2">
      <c r="C29" s="229">
        <v>2100</v>
      </c>
      <c r="D29" s="225">
        <v>62960.4</v>
      </c>
      <c r="E29" s="208">
        <v>-505056.4</v>
      </c>
      <c r="F29" s="209">
        <v>172.32</v>
      </c>
      <c r="G29" s="209">
        <v>270.48399999999998</v>
      </c>
      <c r="H29" s="209">
        <v>37.978000000000002</v>
      </c>
      <c r="I29" s="210">
        <v>-522516.9</v>
      </c>
      <c r="J29" s="230"/>
      <c r="K29" s="228">
        <f t="shared" si="2"/>
        <v>1826.85</v>
      </c>
      <c r="L29"/>
      <c r="M29" s="118">
        <f t="shared" si="3"/>
        <v>3320.33</v>
      </c>
      <c r="N29" s="227">
        <f t="shared" si="4"/>
        <v>27086.193683999998</v>
      </c>
      <c r="O29" s="227">
        <f t="shared" si="5"/>
        <v>25703.756869999997</v>
      </c>
      <c r="P29"/>
      <c r="Q29" s="229">
        <v>2100</v>
      </c>
      <c r="R29" s="225">
        <v>59747</v>
      </c>
      <c r="S29" s="208">
        <v>-473076.6</v>
      </c>
      <c r="T29" s="209">
        <v>172.32</v>
      </c>
      <c r="U29" s="209">
        <v>253.726</v>
      </c>
      <c r="V29" s="209">
        <v>36.143999999999998</v>
      </c>
      <c r="W29" s="210">
        <v>-490537.1</v>
      </c>
      <c r="X29" s="230"/>
      <c r="Y29" s="228">
        <f t="shared" si="6"/>
        <v>1826.85</v>
      </c>
      <c r="Z29" s="185"/>
      <c r="AA29" s="185"/>
      <c r="AB29" s="185"/>
    </row>
    <row r="30" spans="3:37" x14ac:dyDescent="0.2">
      <c r="C30" s="229">
        <v>2200</v>
      </c>
      <c r="D30" s="225">
        <v>66769.600000000006</v>
      </c>
      <c r="E30" s="208">
        <v>-532194</v>
      </c>
      <c r="F30" s="209">
        <v>180.53</v>
      </c>
      <c r="G30" s="209">
        <v>272.25599999999997</v>
      </c>
      <c r="H30" s="209">
        <v>38.206000000000003</v>
      </c>
      <c r="I30" s="210">
        <v>-550485.9</v>
      </c>
      <c r="J30" s="231"/>
      <c r="K30" s="228">
        <f t="shared" si="2"/>
        <v>1926.85</v>
      </c>
      <c r="L30"/>
      <c r="M30" s="118">
        <f t="shared" si="3"/>
        <v>3500.33</v>
      </c>
      <c r="N30" s="227">
        <f t="shared" si="4"/>
        <v>28724.949616000002</v>
      </c>
      <c r="O30" s="227">
        <f t="shared" si="5"/>
        <v>27261.676342999999</v>
      </c>
      <c r="P30"/>
      <c r="Q30" s="229">
        <v>2200</v>
      </c>
      <c r="R30" s="225">
        <v>63368.3</v>
      </c>
      <c r="S30" s="208">
        <v>-498534</v>
      </c>
      <c r="T30" s="209">
        <v>180.53</v>
      </c>
      <c r="U30" s="209">
        <v>255.41</v>
      </c>
      <c r="V30" s="209">
        <v>36.280999999999999</v>
      </c>
      <c r="W30" s="210">
        <v>-516825.9</v>
      </c>
      <c r="X30" s="232"/>
      <c r="Y30" s="228">
        <f t="shared" si="6"/>
        <v>1926.85</v>
      </c>
      <c r="Z30" s="185"/>
      <c r="AA30" s="185"/>
      <c r="AB30" s="185"/>
    </row>
    <row r="31" spans="3:37" x14ac:dyDescent="0.2">
      <c r="C31"/>
      <c r="D31"/>
      <c r="E31"/>
      <c r="F31"/>
      <c r="G31"/>
      <c r="H31"/>
      <c r="I31"/>
      <c r="J31"/>
      <c r="P31"/>
      <c r="Z31" s="233"/>
      <c r="AA31" s="233"/>
      <c r="AB31" s="233"/>
    </row>
    <row r="32" spans="3:37" ht="18.75" x14ac:dyDescent="0.2">
      <c r="C32"/>
      <c r="D32"/>
      <c r="E32"/>
      <c r="F32"/>
      <c r="G32"/>
      <c r="H32"/>
      <c r="I32"/>
      <c r="J32"/>
      <c r="P32"/>
      <c r="T32"/>
      <c r="U32"/>
      <c r="V32" s="234" t="s">
        <v>196</v>
      </c>
      <c r="W32" s="235"/>
      <c r="X32" s="235"/>
      <c r="Y32" s="235"/>
      <c r="Z32" s="235"/>
      <c r="AA32" s="233"/>
      <c r="AB32" s="233"/>
      <c r="AC32" s="185"/>
      <c r="AD32" s="185"/>
      <c r="AE32" s="185"/>
      <c r="AF32" s="185"/>
      <c r="AG32" s="185"/>
      <c r="AH32" s="185"/>
      <c r="AI32" s="185"/>
      <c r="AJ32" s="185"/>
      <c r="AK32" s="185"/>
    </row>
    <row r="33" spans="3:34" ht="15.75" customHeight="1" x14ac:dyDescent="0.35">
      <c r="C33" s="64" t="s">
        <v>197</v>
      </c>
      <c r="D33" s="64"/>
      <c r="E33" s="64"/>
      <c r="F33" s="64"/>
      <c r="G33" s="64"/>
      <c r="H33"/>
      <c r="I33"/>
      <c r="J33"/>
      <c r="M33" s="64" t="s">
        <v>198</v>
      </c>
      <c r="N33" s="64"/>
      <c r="O33" s="64"/>
      <c r="P33" s="64"/>
      <c r="Q33" s="64"/>
      <c r="R33" s="64"/>
      <c r="V33" s="236" t="s">
        <v>199</v>
      </c>
      <c r="Y33" s="236" t="s">
        <v>200</v>
      </c>
      <c r="AA33" s="233"/>
      <c r="AB33" s="233"/>
    </row>
    <row r="34" spans="3:34" ht="13.5" customHeight="1" x14ac:dyDescent="0.2">
      <c r="C34"/>
      <c r="D34"/>
      <c r="E34"/>
      <c r="F34"/>
      <c r="G34"/>
      <c r="H34"/>
      <c r="I34"/>
      <c r="J34"/>
      <c r="P34"/>
      <c r="Q34" s="137"/>
      <c r="R34"/>
      <c r="S34"/>
      <c r="T34"/>
      <c r="U34"/>
      <c r="V34" s="15" t="s">
        <v>6</v>
      </c>
      <c r="W34" s="15" t="s">
        <v>7</v>
      </c>
      <c r="Y34" s="15" t="s">
        <v>6</v>
      </c>
      <c r="Z34" s="15" t="s">
        <v>7</v>
      </c>
      <c r="AA34" s="237"/>
      <c r="AB34" s="237"/>
    </row>
    <row r="35" spans="3:34" ht="13.5" customHeight="1" x14ac:dyDescent="0.2">
      <c r="C35"/>
      <c r="D35"/>
      <c r="E35"/>
      <c r="F35"/>
      <c r="G35"/>
      <c r="H35"/>
      <c r="I35"/>
      <c r="J35"/>
      <c r="P35"/>
      <c r="T35" s="74"/>
      <c r="U35" s="74" t="s">
        <v>138</v>
      </c>
      <c r="V35" s="17">
        <v>-4579</v>
      </c>
      <c r="W35" s="18">
        <v>35.15</v>
      </c>
      <c r="Y35" s="17">
        <v>-4522</v>
      </c>
      <c r="Z35" s="18">
        <v>36.880000000000003</v>
      </c>
    </row>
    <row r="36" spans="3:34" ht="14.25" x14ac:dyDescent="0.2">
      <c r="C36"/>
      <c r="D36"/>
      <c r="E36"/>
      <c r="F36"/>
      <c r="G36"/>
      <c r="H36"/>
      <c r="I36"/>
      <c r="J36"/>
      <c r="P36"/>
      <c r="T36" s="76"/>
      <c r="U36" s="76" t="s">
        <v>139</v>
      </c>
      <c r="V36" s="132">
        <f>V35/22.414</f>
        <v>-204.29196038190415</v>
      </c>
      <c r="W36" s="39">
        <f>W35/22.414</f>
        <v>1.5682162933880608</v>
      </c>
      <c r="Y36" s="132">
        <f>Y35/22.414</f>
        <v>-201.74890693316675</v>
      </c>
      <c r="Z36" s="39">
        <f>Z35/22.414</f>
        <v>1.6454001963058802</v>
      </c>
    </row>
    <row r="37" spans="3:34" x14ac:dyDescent="0.2">
      <c r="C37"/>
      <c r="D37"/>
      <c r="E37"/>
      <c r="F37"/>
      <c r="G37"/>
      <c r="H37"/>
      <c r="I37"/>
      <c r="J37"/>
      <c r="P37"/>
      <c r="T37" s="77"/>
      <c r="U37" s="77" t="s">
        <v>83</v>
      </c>
      <c r="V37" s="133">
        <v>-2239</v>
      </c>
      <c r="W37" s="134">
        <v>8.4</v>
      </c>
      <c r="Y37" s="133">
        <v>-2228</v>
      </c>
      <c r="Z37" s="134">
        <v>8.81</v>
      </c>
    </row>
    <row r="38" spans="3:34" ht="14.25" x14ac:dyDescent="0.2">
      <c r="C38"/>
      <c r="D38"/>
      <c r="E38"/>
      <c r="F38"/>
      <c r="G38"/>
      <c r="H38"/>
      <c r="I38"/>
      <c r="J38"/>
      <c r="P38"/>
      <c r="T38" s="80"/>
      <c r="U38" s="80" t="s">
        <v>140</v>
      </c>
      <c r="V38" s="167">
        <f>V37/359.04</f>
        <v>-6.2360739750445626</v>
      </c>
      <c r="W38" s="168">
        <f>W37/359.04</f>
        <v>2.339572192513369E-2</v>
      </c>
      <c r="Y38" s="167">
        <f>Y37/359.04</f>
        <v>-6.2054367201426022</v>
      </c>
      <c r="Z38" s="168">
        <f>Z37/359.04</f>
        <v>2.45376559714795E-2</v>
      </c>
    </row>
    <row r="39" spans="3:34" x14ac:dyDescent="0.2">
      <c r="C39"/>
      <c r="D39"/>
      <c r="E39"/>
      <c r="F39"/>
      <c r="G39"/>
      <c r="H39"/>
      <c r="I39"/>
      <c r="J39"/>
      <c r="P39"/>
      <c r="U39" s="136" t="s">
        <v>141</v>
      </c>
    </row>
    <row r="40" spans="3:34" ht="14.25" x14ac:dyDescent="0.2">
      <c r="C40"/>
      <c r="D40"/>
      <c r="E40"/>
      <c r="F40"/>
      <c r="G40"/>
      <c r="H40"/>
      <c r="I40"/>
      <c r="J40"/>
      <c r="P40"/>
      <c r="Z40" s="64" t="s">
        <v>201</v>
      </c>
      <c r="AA40" s="64"/>
      <c r="AB40" s="64"/>
      <c r="AC40" s="64"/>
      <c r="AD40" s="234"/>
      <c r="AE40" s="234"/>
      <c r="AF40" s="234"/>
      <c r="AG40" s="234"/>
      <c r="AH40" s="234"/>
    </row>
    <row r="41" spans="3:34" ht="14.25" x14ac:dyDescent="0.2">
      <c r="C41"/>
      <c r="D41"/>
      <c r="E41"/>
      <c r="F41"/>
      <c r="G41"/>
      <c r="H41"/>
      <c r="I41"/>
      <c r="J41"/>
      <c r="P41"/>
      <c r="T41" s="234" t="s">
        <v>202</v>
      </c>
      <c r="U41" s="234"/>
      <c r="V41" s="234"/>
      <c r="W41" s="234"/>
      <c r="X41" s="234"/>
      <c r="Y41" s="234"/>
    </row>
    <row r="42" spans="3:34" ht="15" x14ac:dyDescent="0.2">
      <c r="C42"/>
      <c r="D42"/>
      <c r="E42"/>
      <c r="F42"/>
      <c r="G42"/>
      <c r="H42"/>
      <c r="I42"/>
      <c r="J42"/>
      <c r="P42"/>
      <c r="T42" s="192" t="s">
        <v>180</v>
      </c>
      <c r="U42" s="192" t="s">
        <v>181</v>
      </c>
      <c r="V42" s="192" t="s">
        <v>181</v>
      </c>
      <c r="W42" s="192" t="s">
        <v>181</v>
      </c>
      <c r="Y42" s="192" t="s">
        <v>203</v>
      </c>
    </row>
    <row r="43" spans="3:34" x14ac:dyDescent="0.2">
      <c r="C43"/>
      <c r="D43"/>
      <c r="E43"/>
      <c r="F43"/>
      <c r="G43"/>
      <c r="H43"/>
      <c r="I43"/>
      <c r="J43"/>
      <c r="P43"/>
      <c r="T43" s="180"/>
      <c r="U43" s="181" t="s">
        <v>204</v>
      </c>
      <c r="V43" s="238" t="s">
        <v>205</v>
      </c>
      <c r="W43" s="238" t="s">
        <v>85</v>
      </c>
    </row>
    <row r="44" spans="3:34" x14ac:dyDescent="0.2">
      <c r="C44"/>
      <c r="D44"/>
      <c r="E44"/>
      <c r="F44"/>
      <c r="G44"/>
      <c r="H44"/>
      <c r="I44"/>
      <c r="J44"/>
      <c r="P44"/>
      <c r="T44" s="239">
        <v>300</v>
      </c>
      <c r="U44" s="221">
        <v>54.4</v>
      </c>
      <c r="V44" s="240">
        <v>53.9</v>
      </c>
      <c r="W44" s="241">
        <f t="shared" ref="W44:W49" si="7">0.21*U44+0.79*V44</f>
        <v>54.005000000000003</v>
      </c>
      <c r="Y44" s="242">
        <f t="shared" ref="Y44:Y49" si="8">T44-273.15</f>
        <v>26.850000000000023</v>
      </c>
    </row>
    <row r="45" spans="3:34" x14ac:dyDescent="0.2">
      <c r="C45"/>
      <c r="D45"/>
      <c r="E45"/>
      <c r="F45"/>
      <c r="G45"/>
      <c r="H45"/>
      <c r="I45"/>
      <c r="J45"/>
      <c r="P45"/>
      <c r="T45" s="239">
        <v>400</v>
      </c>
      <c r="U45" s="221">
        <v>3024.5</v>
      </c>
      <c r="V45" s="240">
        <v>2968.9</v>
      </c>
      <c r="W45" s="243">
        <f t="shared" si="7"/>
        <v>2980.576</v>
      </c>
      <c r="Y45" s="242">
        <f t="shared" si="8"/>
        <v>126.85000000000002</v>
      </c>
    </row>
    <row r="46" spans="3:34" x14ac:dyDescent="0.2">
      <c r="C46"/>
      <c r="D46"/>
      <c r="E46"/>
      <c r="F46"/>
      <c r="G46"/>
      <c r="H46"/>
      <c r="I46"/>
      <c r="J46"/>
      <c r="T46" s="239">
        <v>500</v>
      </c>
      <c r="U46" s="221">
        <v>6084.2</v>
      </c>
      <c r="V46" s="240">
        <v>5908.6</v>
      </c>
      <c r="W46" s="243">
        <f t="shared" si="7"/>
        <v>5945.4760000000006</v>
      </c>
      <c r="Y46" s="242">
        <f t="shared" si="8"/>
        <v>226.85000000000002</v>
      </c>
    </row>
    <row r="47" spans="3:34" x14ac:dyDescent="0.2">
      <c r="C47"/>
      <c r="D47"/>
      <c r="E47"/>
      <c r="F47"/>
      <c r="G47"/>
      <c r="H47"/>
      <c r="I47"/>
      <c r="J47"/>
      <c r="T47" s="239">
        <v>600</v>
      </c>
      <c r="U47" s="221">
        <v>9243.7999999999993</v>
      </c>
      <c r="V47" s="240">
        <v>8895.4</v>
      </c>
      <c r="W47" s="243">
        <f t="shared" si="7"/>
        <v>8968.5640000000003</v>
      </c>
      <c r="Y47" s="242">
        <f t="shared" si="8"/>
        <v>326.85000000000002</v>
      </c>
    </row>
    <row r="48" spans="3:34" x14ac:dyDescent="0.2">
      <c r="C48"/>
      <c r="D48"/>
      <c r="E48"/>
      <c r="F48"/>
      <c r="G48"/>
      <c r="H48"/>
      <c r="I48"/>
      <c r="J48"/>
      <c r="T48" s="239">
        <v>700</v>
      </c>
      <c r="U48" s="221">
        <v>12497.2</v>
      </c>
      <c r="V48" s="240">
        <v>11941</v>
      </c>
      <c r="W48" s="243">
        <f t="shared" si="7"/>
        <v>12057.802000000001</v>
      </c>
      <c r="Y48" s="242">
        <f t="shared" si="8"/>
        <v>426.85</v>
      </c>
    </row>
    <row r="49" spans="3:25" x14ac:dyDescent="0.2">
      <c r="C49"/>
      <c r="D49"/>
      <c r="E49"/>
      <c r="F49"/>
      <c r="G49"/>
      <c r="H49"/>
      <c r="I49"/>
      <c r="J49"/>
      <c r="T49" s="239">
        <v>800</v>
      </c>
      <c r="U49" s="221">
        <v>15833.6</v>
      </c>
      <c r="V49" s="240">
        <v>15050.3</v>
      </c>
      <c r="W49" s="243">
        <f t="shared" si="7"/>
        <v>15214.793</v>
      </c>
      <c r="Y49" s="242">
        <f t="shared" si="8"/>
        <v>526.85</v>
      </c>
    </row>
    <row r="50" spans="3:25" x14ac:dyDescent="0.2">
      <c r="C50"/>
      <c r="D50"/>
      <c r="E50"/>
      <c r="F50"/>
      <c r="G50"/>
      <c r="H50"/>
      <c r="I50"/>
      <c r="J50"/>
    </row>
    <row r="51" spans="3:25" x14ac:dyDescent="0.2">
      <c r="W51"/>
    </row>
    <row r="65" spans="37:46" x14ac:dyDescent="0.2">
      <c r="AK65" s="185"/>
      <c r="AL65" s="185"/>
      <c r="AM65" s="185"/>
      <c r="AN65" s="185"/>
      <c r="AO65" s="185"/>
      <c r="AP65" s="185"/>
      <c r="AQ65" s="185"/>
      <c r="AR65" s="185"/>
      <c r="AS65" s="185"/>
      <c r="AT65" s="185"/>
    </row>
    <row r="66" spans="37:46" x14ac:dyDescent="0.2">
      <c r="AK66" s="185"/>
      <c r="AL66" s="185"/>
      <c r="AM66" s="185"/>
      <c r="AN66" s="185"/>
      <c r="AO66" s="185"/>
      <c r="AP66" s="185"/>
      <c r="AQ66" s="185"/>
      <c r="AR66" s="185"/>
      <c r="AS66" s="185"/>
      <c r="AT66" s="185"/>
    </row>
    <row r="67" spans="37:46" x14ac:dyDescent="0.2">
      <c r="AT67" s="185"/>
    </row>
    <row r="68" spans="37:46" x14ac:dyDescent="0.2">
      <c r="AT68" s="185"/>
    </row>
    <row r="69" spans="37:46" x14ac:dyDescent="0.2">
      <c r="AT69" s="185"/>
    </row>
    <row r="70" spans="37:46" x14ac:dyDescent="0.2">
      <c r="AT70" s="185"/>
    </row>
    <row r="71" spans="37:46" ht="15" customHeight="1" x14ac:dyDescent="0.2">
      <c r="AT71" s="185"/>
    </row>
    <row r="72" spans="37:46" x14ac:dyDescent="0.2">
      <c r="AT72" s="185"/>
    </row>
    <row r="73" spans="37:46" x14ac:dyDescent="0.2">
      <c r="AT73" s="185"/>
    </row>
    <row r="74" spans="37:46" x14ac:dyDescent="0.2">
      <c r="AT74" s="185"/>
    </row>
    <row r="75" spans="37:46" x14ac:dyDescent="0.2">
      <c r="AT75" s="185"/>
    </row>
    <row r="76" spans="37:46" x14ac:dyDescent="0.2">
      <c r="AT76" s="185"/>
    </row>
    <row r="77" spans="37:46" x14ac:dyDescent="0.2">
      <c r="AT77" s="185"/>
    </row>
    <row r="78" spans="37:46" x14ac:dyDescent="0.2">
      <c r="AT78" s="185"/>
    </row>
    <row r="79" spans="37:46" x14ac:dyDescent="0.2">
      <c r="AT79" s="185"/>
    </row>
    <row r="80" spans="37:46" x14ac:dyDescent="0.2">
      <c r="AT80" s="185"/>
    </row>
    <row r="81" spans="37:46" x14ac:dyDescent="0.2">
      <c r="AT81" s="185"/>
    </row>
    <row r="82" spans="37:46" x14ac:dyDescent="0.2">
      <c r="AT82" s="185"/>
    </row>
    <row r="83" spans="37:46" x14ac:dyDescent="0.2">
      <c r="AT83" s="185"/>
    </row>
    <row r="84" spans="37:46" x14ac:dyDescent="0.2">
      <c r="AT84" s="185"/>
    </row>
    <row r="85" spans="37:46" x14ac:dyDescent="0.2">
      <c r="AT85" s="185"/>
    </row>
    <row r="86" spans="37:46" x14ac:dyDescent="0.2">
      <c r="AT86" s="185"/>
    </row>
    <row r="87" spans="37:46" x14ac:dyDescent="0.2">
      <c r="AT87" s="185"/>
    </row>
    <row r="88" spans="37:46" x14ac:dyDescent="0.2">
      <c r="AT88" s="185"/>
    </row>
    <row r="89" spans="37:46" x14ac:dyDescent="0.2">
      <c r="AT89" s="185"/>
    </row>
    <row r="90" spans="37:46" x14ac:dyDescent="0.2">
      <c r="AT90" s="185"/>
    </row>
    <row r="91" spans="37:46" x14ac:dyDescent="0.2">
      <c r="AT91" s="185"/>
    </row>
    <row r="92" spans="37:46" x14ac:dyDescent="0.2">
      <c r="AK92" s="185"/>
      <c r="AL92" s="185"/>
      <c r="AM92" s="185"/>
      <c r="AN92" s="185"/>
      <c r="AO92" s="185"/>
      <c r="AP92" s="185"/>
      <c r="AQ92" s="185"/>
      <c r="AR92" s="185"/>
      <c r="AS92" s="185"/>
      <c r="AT92" s="185"/>
    </row>
  </sheetData>
  <mergeCells count="1">
    <mergeCell ref="AE9:AG9"/>
  </mergeCells>
  <pageMargins left="0.7" right="0.7" top="0.75" bottom="0.75" header="0.3" footer="0.3"/>
  <pageSetup orientation="portrait" horizontalDpi="300" verticalDpi="300" r:id="rId1"/>
  <drawing r:id="rId2"/>
  <legacyDrawing r:id="rId3"/>
  <oleObjects>
    <mc:AlternateContent xmlns:mc="http://schemas.openxmlformats.org/markup-compatibility/2006">
      <mc:Choice Requires="x14">
        <oleObject progId="Wordpad.Document.1" dvAspect="DVASPECT_ICON" shapeId="6145" r:id="rId4">
          <objectPr defaultSize="0" autoPict="0" r:id="rId5">
            <anchor moveWithCells="1">
              <from>
                <xdr:col>0</xdr:col>
                <xdr:colOff>76200</xdr:colOff>
                <xdr:row>8</xdr:row>
                <xdr:rowOff>0</xdr:rowOff>
              </from>
              <to>
                <xdr:col>1</xdr:col>
                <xdr:colOff>323850</xdr:colOff>
                <xdr:row>12</xdr:row>
                <xdr:rowOff>38100</xdr:rowOff>
              </to>
            </anchor>
          </objectPr>
        </oleObject>
      </mc:Choice>
      <mc:Fallback>
        <oleObject progId="Wordpad.Document.1" dvAspect="DVASPECT_ICON" shapeId="6145" r:id="rId4"/>
      </mc:Fallback>
    </mc:AlternateContent>
    <mc:AlternateContent xmlns:mc="http://schemas.openxmlformats.org/markup-compatibility/2006">
      <mc:Choice Requires="x14">
        <oleObject progId="Wordpad.Document.1" dvAspect="DVASPECT_ICON" shapeId="6146" r:id="rId6">
          <objectPr defaultSize="0" autoPict="0" r:id="rId5">
            <anchor moveWithCells="1">
              <from>
                <xdr:col>27</xdr:col>
                <xdr:colOff>371475</xdr:colOff>
                <xdr:row>2</xdr:row>
                <xdr:rowOff>133350</xdr:rowOff>
              </from>
              <to>
                <xdr:col>29</xdr:col>
                <xdr:colOff>9525</xdr:colOff>
                <xdr:row>6</xdr:row>
                <xdr:rowOff>152400</xdr:rowOff>
              </to>
            </anchor>
          </objectPr>
        </oleObject>
      </mc:Choice>
      <mc:Fallback>
        <oleObject progId="Wordpad.Document.1" dvAspect="DVASPECT_ICON" shapeId="614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Heat Balance Calcs</vt:lpstr>
      <vt:lpstr>FREED</vt:lpstr>
      <vt:lpstr>FREEDHeatContentData</vt:lpstr>
      <vt:lpstr>WebBook</vt:lpstr>
      <vt:lpstr>JANAF</vt:lpstr>
      <vt:lpstr>ReaxWeb</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2012-09-28T04:02:02Z</dcterms:created>
  <dcterms:modified xsi:type="dcterms:W3CDTF">2012-10-04T00:57:20Z</dcterms:modified>
</cp:coreProperties>
</file>