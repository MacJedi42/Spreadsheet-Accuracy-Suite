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tables/table1.xml" ContentType="application/vnd.openxmlformats-officedocument.spreadsheetml.table+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drawings/drawing5.xml" ContentType="application/vnd.openxmlformats-officedocument.drawing+xml"/>
  <Override PartName="/xl/ctrlProps/ctrlProp9.xml" ContentType="application/vnd.ms-excel.controlproperties+xml"/>
  <Override PartName="/xl/ctrlProps/ctrlProp10.xml" ContentType="application/vnd.ms-excel.controlproperties+xml"/>
  <Override PartName="/xl/drawings/drawing6.xml" ContentType="application/vnd.openxmlformats-officedocument.drawing+xml"/>
  <Override PartName="/xl/ctrlProps/ctrlProp11.xml" ContentType="application/vnd.ms-excel.controlproperties+xml"/>
  <Override PartName="/xl/ctrlProps/ctrlProp12.xml" ContentType="application/vnd.ms-excel.controlproperties+xml"/>
  <Override PartName="/xl/drawings/drawing7.xml" ContentType="application/vnd.openxmlformats-officedocument.drawing+xml"/>
  <Override PartName="/xl/ctrlProps/ctrlProp13.xml" ContentType="application/vnd.ms-excel.controlproperties+xml"/>
  <Override PartName="/xl/ctrlProps/ctrlProp14.xml" ContentType="application/vnd.ms-excel.controlproperties+xml"/>
  <Override PartName="/xl/drawings/drawing8.xml" ContentType="application/vnd.openxmlformats-officedocument.drawing+xml"/>
  <Override PartName="/xl/ctrlProps/ctrlProp15.xml" ContentType="application/vnd.ms-excel.controlproperties+xml"/>
  <Override PartName="/xl/ctrlProps/ctrlProp16.xml" ContentType="application/vnd.ms-excel.controlproperties+xml"/>
  <Override PartName="/xl/drawings/drawing9.xml" ContentType="application/vnd.openxmlformats-officedocument.drawing+xml"/>
  <Override PartName="/xl/ctrlProps/ctrlProp17.xml" ContentType="application/vnd.ms-excel.controlproperties+xml"/>
  <Override PartName="/xl/ctrlProps/ctrlProp18.xml" ContentType="application/vnd.ms-excel.controlpropertie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drawings/drawing11.xml" ContentType="application/vnd.openxmlformats-officedocument.drawing+xml"/>
  <Override PartName="/xl/ctrlProps/ctrlProp21.xml" ContentType="application/vnd.ms-excel.controlproperties+xml"/>
  <Override PartName="/xl/ctrlProps/ctrlProp22.xml" ContentType="application/vnd.ms-excel.controlproperties+xml"/>
  <Override PartName="/xl/drawings/drawing12.xml" ContentType="application/vnd.openxmlformats-officedocument.drawing+xml"/>
  <Override PartName="/xl/ctrlProps/ctrlProp23.xml" ContentType="application/vnd.ms-excel.controlproperties+xml"/>
  <Override PartName="/xl/ctrlProps/ctrlProp24.xml" ContentType="application/vnd.ms-excel.controlproperties+xml"/>
  <Override PartName="/xl/drawings/drawing13.xml" ContentType="application/vnd.openxmlformats-officedocument.drawing+xml"/>
  <Override PartName="/xl/ctrlProps/ctrlProp25.xml" ContentType="application/vnd.ms-excel.controlproperties+xml"/>
  <Override PartName="/xl/ctrlProps/ctrlProp26.xml" ContentType="application/vnd.ms-excel.controlproperties+xml"/>
  <Override PartName="/xl/drawings/drawing14.xml" ContentType="application/vnd.openxmlformats-officedocument.drawing+xml"/>
  <Override PartName="/xl/ctrlProps/ctrlProp27.xml" ContentType="application/vnd.ms-excel.controlproperties+xml"/>
  <Override PartName="/xl/ctrlProps/ctrlProp28.xml" ContentType="application/vnd.ms-excel.controlproperties+xml"/>
  <Override PartName="/xl/drawings/drawing15.xml" ContentType="application/vnd.openxmlformats-officedocument.drawing+xml"/>
  <Override PartName="/xl/ctrlProps/ctrlProp29.xml" ContentType="application/vnd.ms-excel.controlproperties+xml"/>
  <Override PartName="/xl/ctrlProps/ctrlProp30.xml" ContentType="application/vnd.ms-excel.controlproperties+xml"/>
  <Override PartName="/xl/drawings/drawing16.xml" ContentType="application/vnd.openxmlformats-officedocument.drawing+xml"/>
  <Override PartName="/xl/ctrlProps/ctrlProp31.xml" ContentType="application/vnd.ms-excel.controlproperties+xml"/>
  <Override PartName="/xl/ctrlProps/ctrlProp32.xml" ContentType="application/vnd.ms-excel.controlproperties+xml"/>
  <Override PartName="/xl/drawings/drawing17.xml" ContentType="application/vnd.openxmlformats-officedocument.drawing+xml"/>
  <Override PartName="/xl/ctrlProps/ctrlProp33.xml" ContentType="application/vnd.ms-excel.controlproperties+xml"/>
  <Override PartName="/xl/ctrlProps/ctrlProp34.xml" ContentType="application/vnd.ms-excel.controlproperties+xml"/>
  <Override PartName="/xl/drawings/drawing18.xml" ContentType="application/vnd.openxmlformats-officedocument.drawing+xml"/>
  <Override PartName="/xl/ctrlProps/ctrlProp35.xml" ContentType="application/vnd.ms-excel.controlproperties+xml"/>
  <Override PartName="/xl/ctrlProps/ctrlProp36.xml" ContentType="application/vnd.ms-excel.controlproperties+xml"/>
  <Override PartName="/xl/drawings/drawing19.xml" ContentType="application/vnd.openxmlformats-officedocument.drawing+xml"/>
  <Override PartName="/xl/ctrlProps/ctrlProp37.xml" ContentType="application/vnd.ms-excel.controlproperties+xml"/>
  <Override PartName="/xl/ctrlProps/ctrlProp38.xml" ContentType="application/vnd.ms-excel.controlproperties+xml"/>
  <Override PartName="/xl/drawings/drawing20.xml" ContentType="application/vnd.openxmlformats-officedocument.drawing+xml"/>
  <Override PartName="/xl/ctrlProps/ctrlProp39.xml" ContentType="application/vnd.ms-excel.controlproperties+xml"/>
  <Override PartName="/xl/ctrlProps/ctrlProp40.xml" ContentType="application/vnd.ms-excel.controlproperties+xml"/>
  <Override PartName="/xl/drawings/drawing21.xml" ContentType="application/vnd.openxmlformats-officedocument.drawing+xml"/>
  <Override PartName="/xl/ctrlProps/ctrlProp41.xml" ContentType="application/vnd.ms-excel.controlproperties+xml"/>
  <Override PartName="/xl/ctrlProps/ctrlProp42.xml" ContentType="application/vnd.ms-excel.controlproperties+xml"/>
  <Override PartName="/xl/drawings/drawing22.xml" ContentType="application/vnd.openxmlformats-officedocument.drawing+xml"/>
  <Override PartName="/xl/ctrlProps/ctrlProp43.xml" ContentType="application/vnd.ms-excel.controlproperties+xml"/>
  <Override PartName="/xl/ctrlProps/ctrlProp44.xml" ContentType="application/vnd.ms-excel.controlproperties+xml"/>
  <Override PartName="/xl/drawings/drawing23.xml" ContentType="application/vnd.openxmlformats-officedocument.drawing+xml"/>
  <Override PartName="/xl/ctrlProps/ctrlProp45.xml" ContentType="application/vnd.ms-excel.controlproperties+xml"/>
  <Override PartName="/xl/ctrlProps/ctrlProp46.xml" ContentType="application/vnd.ms-excel.controlproperties+xml"/>
  <Override PartName="/xl/drawings/drawing24.xml" ContentType="application/vnd.openxmlformats-officedocument.drawing+xml"/>
  <Override PartName="/xl/ctrlProps/ctrlProp47.xml" ContentType="application/vnd.ms-excel.controlproperties+xml"/>
  <Override PartName="/xl/ctrlProps/ctrlProp48.xml" ContentType="application/vnd.ms-excel.controlproperties+xml"/>
  <Override PartName="/xl/drawings/drawing25.xml" ContentType="application/vnd.openxmlformats-officedocument.drawing+xml"/>
  <Override PartName="/xl/ctrlProps/ctrlProp49.xml" ContentType="application/vnd.ms-excel.controlproperties+xml"/>
  <Override PartName="/xl/ctrlProps/ctrlProp50.xml" ContentType="application/vnd.ms-excel.controlproperties+xml"/>
  <Override PartName="/xl/drawings/drawing26.xml" ContentType="application/vnd.openxmlformats-officedocument.drawing+xml"/>
  <Override PartName="/xl/ctrlProps/ctrlProp51.xml" ContentType="application/vnd.ms-excel.controlproperties+xml"/>
  <Override PartName="/xl/ctrlProps/ctrlProp52.xml" ContentType="application/vnd.ms-excel.controlproperties+xml"/>
  <Override PartName="/xl/drawings/drawing27.xml" ContentType="application/vnd.openxmlformats-officedocument.drawing+xml"/>
  <Override PartName="/xl/ctrlProps/ctrlProp53.xml" ContentType="application/vnd.ms-excel.controlproperties+xml"/>
  <Override PartName="/xl/ctrlProps/ctrlProp54.xml" ContentType="application/vnd.ms-excel.controlproperties+xml"/>
  <Override PartName="/xl/drawings/drawing28.xml" ContentType="application/vnd.openxmlformats-officedocument.drawing+xml"/>
  <Override PartName="/xl/ctrlProps/ctrlProp55.xml" ContentType="application/vnd.ms-excel.controlproperties+xml"/>
  <Override PartName="/xl/ctrlProps/ctrlProp56.xml" ContentType="application/vnd.ms-excel.controlproperties+xml"/>
  <Override PartName="/xl/drawings/drawing29.xml" ContentType="application/vnd.openxmlformats-officedocument.drawing+xml"/>
  <Override PartName="/xl/ctrlProps/ctrlProp57.xml" ContentType="application/vnd.ms-excel.controlproperties+xml"/>
  <Override PartName="/xl/ctrlProps/ctrlProp58.xml" ContentType="application/vnd.ms-excel.controlproperties+xml"/>
  <Override PartName="/xl/drawings/drawing30.xml" ContentType="application/vnd.openxmlformats-officedocument.drawing+xml"/>
  <Override PartName="/xl/ctrlProps/ctrlProp59.xml" ContentType="application/vnd.ms-excel.controlproperties+xml"/>
  <Override PartName="/xl/ctrlProps/ctrlProp60.xml" ContentType="application/vnd.ms-excel.controlproperties+xml"/>
  <Override PartName="/xl/drawings/drawing31.xml" ContentType="application/vnd.openxmlformats-officedocument.drawing+xml"/>
  <Override PartName="/xl/ctrlProps/ctrlProp61.xml" ContentType="application/vnd.ms-excel.controlproperties+xml"/>
  <Override PartName="/xl/ctrlProps/ctrlProp62.xml" ContentType="application/vnd.ms-excel.controlproperties+xml"/>
  <Override PartName="/xl/drawings/drawing32.xml" ContentType="application/vnd.openxmlformats-officedocument.drawing+xml"/>
  <Override PartName="/xl/ctrlProps/ctrlProp63.xml" ContentType="application/vnd.ms-excel.controlproperties+xml"/>
  <Override PartName="/xl/ctrlProps/ctrlProp64.xml" ContentType="application/vnd.ms-excel.controlproperties+xml"/>
  <Override PartName="/xl/drawings/drawing33.xml" ContentType="application/vnd.openxmlformats-officedocument.drawing+xml"/>
  <Override PartName="/xl/ctrlProps/ctrlProp65.xml" ContentType="application/vnd.ms-excel.controlproperties+xml"/>
  <Override PartName="/xl/ctrlProps/ctrlProp66.xml" ContentType="application/vnd.ms-excel.controlproperties+xml"/>
  <Override PartName="/xl/drawings/drawing34.xml" ContentType="application/vnd.openxmlformats-officedocument.drawing+xml"/>
  <Override PartName="/xl/ctrlProps/ctrlProp67.xml" ContentType="application/vnd.ms-excel.controlproperties+xml"/>
  <Override PartName="/xl/ctrlProps/ctrlProp68.xml" ContentType="application/vnd.ms-excel.controlproperties+xml"/>
  <Override PartName="/xl/drawings/drawing35.xml" ContentType="application/vnd.openxmlformats-officedocument.drawing+xml"/>
  <Override PartName="/xl/ctrlProps/ctrlProp69.xml" ContentType="application/vnd.ms-excel.controlproperties+xml"/>
  <Override PartName="/xl/ctrlProps/ctrlProp70.xml" ContentType="application/vnd.ms-excel.controlproperties+xml"/>
  <Override PartName="/xl/drawings/drawing36.xml" ContentType="application/vnd.openxmlformats-officedocument.drawing+xml"/>
  <Override PartName="/xl/ctrlProps/ctrlProp71.xml" ContentType="application/vnd.ms-excel.controlproperties+xml"/>
  <Override PartName="/xl/ctrlProps/ctrlProp72.xml" ContentType="application/vnd.ms-excel.controlproperties+xml"/>
  <Override PartName="/xl/drawings/drawing37.xml" ContentType="application/vnd.openxmlformats-officedocument.drawing+xml"/>
  <Override PartName="/xl/ctrlProps/ctrlProp73.xml" ContentType="application/vnd.ms-excel.controlproperties+xml"/>
  <Override PartName="/xl/ctrlProps/ctrlProp74.xml" ContentType="application/vnd.ms-excel.controlproperties+xml"/>
  <Override PartName="/xl/drawings/drawing38.xml" ContentType="application/vnd.openxmlformats-officedocument.drawing+xml"/>
  <Override PartName="/xl/ctrlProps/ctrlProp75.xml" ContentType="application/vnd.ms-excel.controlproperties+xml"/>
  <Override PartName="/xl/ctrlProps/ctrlProp76.xml" ContentType="application/vnd.ms-excel.controlproperties+xml"/>
  <Override PartName="/xl/drawings/drawing39.xml" ContentType="application/vnd.openxmlformats-officedocument.drawing+xml"/>
  <Override PartName="/xl/ctrlProps/ctrlProp77.xml" ContentType="application/vnd.ms-excel.controlproperties+xml"/>
  <Override PartName="/xl/ctrlProps/ctrlProp78.xml" ContentType="application/vnd.ms-excel.controlproperties+xml"/>
  <Override PartName="/xl/drawings/drawing40.xml" ContentType="application/vnd.openxmlformats-officedocument.drawing+xml"/>
  <Override PartName="/xl/ctrlProps/ctrlProp79.xml" ContentType="application/vnd.ms-excel.controlproperties+xml"/>
  <Override PartName="/xl/ctrlProps/ctrlProp80.xml" ContentType="application/vnd.ms-excel.controlproperties+xml"/>
  <Override PartName="/xl/drawings/drawing41.xml" ContentType="application/vnd.openxmlformats-officedocument.drawing+xml"/>
  <Override PartName="/xl/ctrlProps/ctrlProp81.xml" ContentType="application/vnd.ms-excel.controlproperties+xml"/>
  <Override PartName="/xl/ctrlProps/ctrlProp82.xml" ContentType="application/vnd.ms-excel.controlproperties+xml"/>
  <Override PartName="/xl/drawings/drawing42.xml" ContentType="application/vnd.openxmlformats-officedocument.drawing+xml"/>
  <Override PartName="/xl/ctrlProps/ctrlProp83.xml" ContentType="application/vnd.ms-excel.controlproperties+xml"/>
  <Override PartName="/xl/ctrlProps/ctrlProp84.xml" ContentType="application/vnd.ms-excel.controlproperties+xml"/>
  <Override PartName="/xl/drawings/drawing43.xml" ContentType="application/vnd.openxmlformats-officedocument.drawing+xml"/>
  <Override PartName="/xl/ctrlProps/ctrlProp85.xml" ContentType="application/vnd.ms-excel.controlproperties+xml"/>
  <Override PartName="/xl/ctrlProps/ctrlProp86.xml" ContentType="application/vnd.ms-excel.controlproperties+xml"/>
  <Override PartName="/xl/drawings/drawing44.xml" ContentType="application/vnd.openxmlformats-officedocument.drawing+xml"/>
  <Override PartName="/xl/ctrlProps/ctrlProp87.xml" ContentType="application/vnd.ms-excel.controlproperties+xml"/>
  <Override PartName="/xl/ctrlProps/ctrlProp88.xml" ContentType="application/vnd.ms-excel.controlproperties+xml"/>
  <Override PartName="/xl/drawings/drawing45.xml" ContentType="application/vnd.openxmlformats-officedocument.drawing+xml"/>
  <Override PartName="/xl/ctrlProps/ctrlProp89.xml" ContentType="application/vnd.ms-excel.controlproperties+xml"/>
  <Override PartName="/xl/ctrlProps/ctrlProp90.xml" ContentType="application/vnd.ms-excel.controlproperties+xml"/>
  <Override PartName="/xl/drawings/drawing46.xml" ContentType="application/vnd.openxmlformats-officedocument.drawing+xml"/>
  <Override PartName="/xl/ctrlProps/ctrlProp91.xml" ContentType="application/vnd.ms-excel.controlproperties+xml"/>
  <Override PartName="/xl/ctrlProps/ctrlProp92.xml" ContentType="application/vnd.ms-excel.controlproperties+xml"/>
  <Override PartName="/xl/drawings/drawing47.xml" ContentType="application/vnd.openxmlformats-officedocument.drawing+xml"/>
  <Override PartName="/xl/ctrlProps/ctrlProp93.xml" ContentType="application/vnd.ms-excel.controlproperties+xml"/>
  <Override PartName="/xl/ctrlProps/ctrlProp94.xml" ContentType="application/vnd.ms-excel.controlproperties+xml"/>
  <Override PartName="/xl/drawings/drawing48.xml" ContentType="application/vnd.openxmlformats-officedocument.drawing+xml"/>
  <Override PartName="/xl/ctrlProps/ctrlProp95.xml" ContentType="application/vnd.ms-excel.controlproperties+xml"/>
  <Override PartName="/xl/ctrlProps/ctrlProp96.xml" ContentType="application/vnd.ms-excel.controlproperties+xml"/>
  <Override PartName="/xl/drawings/drawing49.xml" ContentType="application/vnd.openxmlformats-officedocument.drawing+xml"/>
  <Override PartName="/xl/ctrlProps/ctrlProp97.xml" ContentType="application/vnd.ms-excel.controlproperties+xml"/>
  <Override PartName="/xl/ctrlProps/ctrlProp98.xml" ContentType="application/vnd.ms-excel.controlproperties+xml"/>
  <Override PartName="/xl/drawings/drawing50.xml" ContentType="application/vnd.openxmlformats-officedocument.drawing+xml"/>
  <Override PartName="/xl/ctrlProps/ctrlProp99.xml" ContentType="application/vnd.ms-excel.controlproperties+xml"/>
  <Override PartName="/xl/ctrlProps/ctrlProp100.xml" ContentType="application/vnd.ms-excel.controlproperties+xml"/>
  <Override PartName="/xl/drawings/drawing51.xml" ContentType="application/vnd.openxmlformats-officedocument.drawing+xml"/>
  <Override PartName="/xl/ctrlProps/ctrlProp101.xml" ContentType="application/vnd.ms-excel.controlproperties+xml"/>
  <Override PartName="/xl/ctrlProps/ctrlProp102.xml" ContentType="application/vnd.ms-excel.controlproperties+xml"/>
  <Override PartName="/xl/drawings/drawing52.xml" ContentType="application/vnd.openxmlformats-officedocument.drawing+xml"/>
  <Override PartName="/xl/ctrlProps/ctrlProp103.xml" ContentType="application/vnd.ms-excel.controlproperties+xml"/>
  <Override PartName="/xl/ctrlProps/ctrlProp104.xml" ContentType="application/vnd.ms-excel.controlproperties+xml"/>
  <Override PartName="/xl/drawings/drawing53.xml" ContentType="application/vnd.openxmlformats-officedocument.drawing+xml"/>
  <Override PartName="/xl/ctrlProps/ctrlProp105.xml" ContentType="application/vnd.ms-excel.controlproperties+xml"/>
  <Override PartName="/xl/ctrlProps/ctrlProp106.xml" ContentType="application/vnd.ms-excel.controlproperties+xml"/>
  <Override PartName="/xl/drawings/drawing54.xml" ContentType="application/vnd.openxmlformats-officedocument.drawing+xml"/>
  <Override PartName="/xl/ctrlProps/ctrlProp107.xml" ContentType="application/vnd.ms-excel.controlproperties+xml"/>
  <Override PartName="/xl/ctrlProps/ctrlProp108.xml" ContentType="application/vnd.ms-excel.controlproperties+xml"/>
  <Override PartName="/xl/drawings/drawing55.xml" ContentType="application/vnd.openxmlformats-officedocument.drawing+xml"/>
  <Override PartName="/xl/ctrlProps/ctrlProp109.xml" ContentType="application/vnd.ms-excel.controlproperties+xml"/>
  <Override PartName="/xl/ctrlProps/ctrlProp110.xml" ContentType="application/vnd.ms-excel.controlproperties+xml"/>
  <Override PartName="/xl/drawings/drawing56.xml" ContentType="application/vnd.openxmlformats-officedocument.drawing+xml"/>
  <Override PartName="/xl/ctrlProps/ctrlProp111.xml" ContentType="application/vnd.ms-excel.controlproperties+xml"/>
  <Override PartName="/xl/ctrlProps/ctrlProp112.xml" ContentType="application/vnd.ms-excel.controlproperties+xml"/>
  <Override PartName="/xl/comments2.xml" ContentType="application/vnd.openxmlformats-officedocument.spreadsheetml.comments+xml"/>
  <Override PartName="/xl/drawings/drawing57.xml" ContentType="application/vnd.openxmlformats-officedocument.drawing+xml"/>
  <Override PartName="/xl/ctrlProps/ctrlProp113.xml" ContentType="application/vnd.ms-excel.controlproperties+xml"/>
  <Override PartName="/xl/ctrlProps/ctrlProp11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0" yWindow="4100" windowWidth="14960" windowHeight="4130" tabRatio="794" firstSheet="47" activeTab="58"/>
  </bookViews>
  <sheets>
    <sheet name="Instructions" sheetId="26" r:id="rId1"/>
    <sheet name="CRPSignature Page" sheetId="25" r:id="rId2"/>
    <sheet name="existCP1" sheetId="81" r:id="rId3"/>
    <sheet name="CP1" sheetId="2" r:id="rId4"/>
    <sheet name="existCP2" sheetId="77" r:id="rId5"/>
    <sheet name="CP2" sheetId="43" r:id="rId6"/>
    <sheet name="existCP3" sheetId="78" r:id="rId7"/>
    <sheet name="CP3" sheetId="45" r:id="rId8"/>
    <sheet name="existCP3A" sheetId="80" r:id="rId9"/>
    <sheet name="CP3A" sheetId="46" r:id="rId10"/>
    <sheet name="CP3A year 2" sheetId="47" r:id="rId11"/>
    <sheet name="CP3A year 3" sheetId="48" r:id="rId12"/>
    <sheet name="existCP4B" sheetId="83" r:id="rId13"/>
    <sheet name="CP4B" sheetId="49" r:id="rId14"/>
    <sheet name="existCP4D" sheetId="84" r:id="rId15"/>
    <sheet name="CP4D" sheetId="50" r:id="rId16"/>
    <sheet name="existCP5A" sheetId="88" r:id="rId17"/>
    <sheet name="CP5A" sheetId="51" r:id="rId18"/>
    <sheet name="existCP8A" sheetId="89" r:id="rId19"/>
    <sheet name="CP8A" sheetId="52" r:id="rId20"/>
    <sheet name="existCP9" sheetId="90" r:id="rId21"/>
    <sheet name="CP9" sheetId="53" r:id="rId22"/>
    <sheet name="CP10" sheetId="87" r:id="rId23"/>
    <sheet name="CP12" sheetId="56" r:id="rId24"/>
    <sheet name="existCP15A" sheetId="91" r:id="rId25"/>
    <sheet name="CP15A" sheetId="57" r:id="rId26"/>
    <sheet name="existCP15B" sheetId="105" r:id="rId27"/>
    <sheet name="CP15B" sheetId="58" r:id="rId28"/>
    <sheet name="existCP16A" sheetId="92" r:id="rId29"/>
    <sheet name="CP16A" sheetId="59" r:id="rId30"/>
    <sheet name="existCP17A" sheetId="93" r:id="rId31"/>
    <sheet name="CP17A" sheetId="60" r:id="rId32"/>
    <sheet name="existCP21" sheetId="94" r:id="rId33"/>
    <sheet name="CP21" sheetId="61" r:id="rId34"/>
    <sheet name="existCP22" sheetId="95" r:id="rId35"/>
    <sheet name="CP22" sheetId="62" r:id="rId36"/>
    <sheet name="existCP23&amp;23A" sheetId="96" r:id="rId37"/>
    <sheet name="CP23&amp;23A" sheetId="63" r:id="rId38"/>
    <sheet name="existCP23&amp;23ABuffer" sheetId="97" r:id="rId39"/>
    <sheet name="CP23&amp;23ABuffer" sheetId="64" r:id="rId40"/>
    <sheet name="existCP25P" sheetId="85" r:id="rId41"/>
    <sheet name="CP25 Prairie" sheetId="65" r:id="rId42"/>
    <sheet name="existCP25S" sheetId="86" r:id="rId43"/>
    <sheet name="CP25 Savanna" sheetId="66" r:id="rId44"/>
    <sheet name="existCP27" sheetId="98" r:id="rId45"/>
    <sheet name="CP27" sheetId="67" r:id="rId46"/>
    <sheet name="existCP28" sheetId="99" r:id="rId47"/>
    <sheet name="CP28" sheetId="68" r:id="rId48"/>
    <sheet name="existCP29" sheetId="100" r:id="rId49"/>
    <sheet name="CP29" sheetId="69" r:id="rId50"/>
    <sheet name="existCP30" sheetId="101" r:id="rId51"/>
    <sheet name="CP30" sheetId="70" r:id="rId52"/>
    <sheet name="existCP31" sheetId="102" r:id="rId53"/>
    <sheet name="CP31" sheetId="71" r:id="rId54"/>
    <sheet name="CP33" sheetId="73" r:id="rId55"/>
    <sheet name="existCP42" sheetId="104" r:id="rId56"/>
    <sheet name="CP42" sheetId="54" r:id="rId57"/>
    <sheet name="AD1156" sheetId="75" r:id="rId58"/>
    <sheet name="Component List" sheetId="1" r:id="rId59"/>
    <sheet name="Template" sheetId="44" r:id="rId60"/>
    <sheet name="Disclosures" sheetId="76" r:id="rId61"/>
  </sheets>
  <definedNames>
    <definedName name="_xlnm._FilterDatabase" localSheetId="3" hidden="1">'CP1'!$AE$27:$AF$37</definedName>
    <definedName name="Choose_Year_1____2__Management_Practice_Reenroll">existCP29!$W$21:$X$25</definedName>
    <definedName name="CRAS______1st_2nd_Year_MANAGEMENT_BURNING">existCP29!$W$21:$X$25</definedName>
    <definedName name="_xlnm.Print_Area" localSheetId="57">'AD1156'!$A$1:$R$29</definedName>
    <definedName name="_xlnm.Print_Area" localSheetId="3">'CP1'!$A$1:$R$39</definedName>
    <definedName name="_xlnm.Print_Area" localSheetId="23">'CP12'!$A$1:$R$23</definedName>
    <definedName name="_xlnm.Print_Area" localSheetId="25">CP15A!$A$1:$R$31</definedName>
    <definedName name="_xlnm.Print_Area" localSheetId="27">CP15B!$A$1:$R$32</definedName>
    <definedName name="_xlnm.Print_Area" localSheetId="29">CP16A!$A$1:$R$32</definedName>
    <definedName name="_xlnm.Print_Area" localSheetId="31">CP17A!$A$1:$R$30</definedName>
    <definedName name="_xlnm.Print_Area" localSheetId="5">'CP2'!$A$1:$R$36</definedName>
    <definedName name="_xlnm.Print_Area" localSheetId="33">'CP21'!$A$1:$R$46</definedName>
    <definedName name="_xlnm.Print_Area" localSheetId="35">'CP22'!$A$1:$R$49</definedName>
    <definedName name="_xlnm.Print_Area" localSheetId="37">'CP23&amp;23A'!$A$1:$R$32</definedName>
    <definedName name="_xlnm.Print_Area" localSheetId="39">'CP23&amp;23ABuffer'!$A$1:$R$37</definedName>
    <definedName name="_xlnm.Print_Area" localSheetId="41">'CP25 Prairie'!$A$1:$R$36</definedName>
    <definedName name="_xlnm.Print_Area" localSheetId="43">'CP25 Savanna'!$A$1:$R$38</definedName>
    <definedName name="_xlnm.Print_Area" localSheetId="45">'CP27'!$A$1:$R$33</definedName>
    <definedName name="_xlnm.Print_Area" localSheetId="47">'CP28'!$A$1:$R$37</definedName>
    <definedName name="_xlnm.Print_Area" localSheetId="49">'CP29'!$A$1:$R$44</definedName>
    <definedName name="_xlnm.Print_Area" localSheetId="7">'CP3'!$A$1:$R$47</definedName>
    <definedName name="_xlnm.Print_Area" localSheetId="51">'CP30'!$A$1:$R$52</definedName>
    <definedName name="_xlnm.Print_Area" localSheetId="53">'CP31'!$A$1:$R$43</definedName>
    <definedName name="_xlnm.Print_Area" localSheetId="54">'CP33'!$A$1:$R$40</definedName>
    <definedName name="_xlnm.Print_Area" localSheetId="9">CP3A!$A$1:$R$46</definedName>
    <definedName name="_xlnm.Print_Area" localSheetId="10">'CP3A year 2'!$A$1:$R$41</definedName>
    <definedName name="_xlnm.Print_Area" localSheetId="11">'CP3A year 3'!$A$1:$R$41</definedName>
    <definedName name="_xlnm.Print_Area" localSheetId="56">'CP42'!$A$1:$R$36</definedName>
    <definedName name="_xlnm.Print_Area" localSheetId="13">CP4B!$A$1:$R$41</definedName>
    <definedName name="_xlnm.Print_Area" localSheetId="15">CP4D!$A$1:$R$41</definedName>
    <definedName name="_xlnm.Print_Area" localSheetId="17">CP5A!$A$1:$R$32</definedName>
    <definedName name="_xlnm.Print_Area" localSheetId="19">CP8A!$A$1:$R$25</definedName>
    <definedName name="_xlnm.Print_Area" localSheetId="21">'CP9'!$A$1:$R$32</definedName>
    <definedName name="_xlnm.Print_Area" localSheetId="1">'CRPSignature Page'!$A$1:$R$42</definedName>
    <definedName name="_xlnm.Print_Area" localSheetId="2">existCP1!$A$1:$R$29</definedName>
    <definedName name="_xlnm.Print_Area" localSheetId="4">existCP2!$A$1:$R$29</definedName>
    <definedName name="_xlnm.Print_Area" localSheetId="40">existCP25P!$A$1:$R$29</definedName>
    <definedName name="_xlnm.Print_Area" localSheetId="42">existCP25S!$A$1:$R$23</definedName>
    <definedName name="_xlnm.Print_Area" localSheetId="6">existCP3!$A$1:$R$37</definedName>
    <definedName name="_xlnm.Print_Area" localSheetId="8">existCP3A!$A$1:$R$29</definedName>
    <definedName name="_xlnm.Print_Area" localSheetId="12">existCP4B!$A$1:$R$23</definedName>
    <definedName name="_xlnm.Print_Area" localSheetId="14">existCP4D!$A$1:$R$23</definedName>
  </definedNames>
  <calcPr calcId="145621"/>
</workbook>
</file>

<file path=xl/calcChain.xml><?xml version="1.0" encoding="utf-8"?>
<calcChain xmlns="http://schemas.openxmlformats.org/spreadsheetml/2006/main">
  <c r="W60" i="64" l="1"/>
  <c r="A17" i="105"/>
  <c r="M16" i="105"/>
  <c r="L16" i="105"/>
  <c r="K16" i="105"/>
  <c r="J16" i="105"/>
  <c r="I16" i="105"/>
  <c r="M13" i="105"/>
  <c r="L13" i="105"/>
  <c r="K13" i="105"/>
  <c r="J13" i="105"/>
  <c r="I13" i="105"/>
  <c r="H13" i="105"/>
  <c r="M5" i="105"/>
  <c r="J5" i="105"/>
  <c r="D5" i="105"/>
  <c r="A5" i="105"/>
  <c r="U60" i="54"/>
  <c r="U53" i="104"/>
  <c r="A23" i="104" s="1"/>
  <c r="F21" i="104"/>
  <c r="M21" i="104" s="1"/>
  <c r="M22" i="104" s="1"/>
  <c r="F20" i="104"/>
  <c r="L20" i="104" s="1"/>
  <c r="L22" i="104" s="1"/>
  <c r="F19" i="104"/>
  <c r="K19" i="104" s="1"/>
  <c r="K22" i="104" s="1"/>
  <c r="F18" i="104"/>
  <c r="J18" i="104" s="1"/>
  <c r="J22" i="104" s="1"/>
  <c r="F17" i="104"/>
  <c r="I17" i="104" s="1"/>
  <c r="I22" i="104" s="1"/>
  <c r="F16" i="104"/>
  <c r="H16" i="104" s="1"/>
  <c r="H22" i="104" s="1"/>
  <c r="M13" i="104"/>
  <c r="L13" i="104"/>
  <c r="K13" i="104"/>
  <c r="J13" i="104"/>
  <c r="I13" i="104"/>
  <c r="H13" i="104"/>
  <c r="M5" i="104"/>
  <c r="J5" i="104"/>
  <c r="D5" i="104"/>
  <c r="A5" i="104"/>
  <c r="A17" i="102"/>
  <c r="M16" i="102"/>
  <c r="L16" i="102"/>
  <c r="K16" i="102"/>
  <c r="J16" i="102"/>
  <c r="I16" i="102"/>
  <c r="M13" i="102"/>
  <c r="L13" i="102"/>
  <c r="K13" i="102"/>
  <c r="J13" i="102"/>
  <c r="I13" i="102"/>
  <c r="H13" i="102"/>
  <c r="M5" i="102"/>
  <c r="J5" i="102"/>
  <c r="D5" i="102"/>
  <c r="A5" i="102"/>
  <c r="A17" i="101"/>
  <c r="M16" i="101"/>
  <c r="L16" i="101"/>
  <c r="K16" i="101"/>
  <c r="J16" i="101"/>
  <c r="I16" i="101"/>
  <c r="M13" i="101"/>
  <c r="L13" i="101"/>
  <c r="K13" i="101"/>
  <c r="J13" i="101"/>
  <c r="I13" i="101"/>
  <c r="H13" i="101"/>
  <c r="M5" i="101"/>
  <c r="J5" i="101"/>
  <c r="D5" i="101"/>
  <c r="A5" i="101"/>
  <c r="F24" i="69"/>
  <c r="F16" i="100"/>
  <c r="H16" i="100" s="1"/>
  <c r="F17" i="100"/>
  <c r="F18" i="100"/>
  <c r="J18" i="100" s="1"/>
  <c r="J22" i="100" s="1"/>
  <c r="F19" i="100"/>
  <c r="W42" i="100"/>
  <c r="A23" i="100" s="1"/>
  <c r="F21" i="100"/>
  <c r="M21" i="100" s="1"/>
  <c r="M22" i="100" s="1"/>
  <c r="F20" i="100"/>
  <c r="L20" i="100" s="1"/>
  <c r="L22" i="100" s="1"/>
  <c r="K19" i="100"/>
  <c r="K22" i="100" s="1"/>
  <c r="M13" i="100"/>
  <c r="L13" i="100"/>
  <c r="K13" i="100"/>
  <c r="J13" i="100"/>
  <c r="I13" i="100"/>
  <c r="H13" i="100"/>
  <c r="M5" i="100"/>
  <c r="J5" i="100"/>
  <c r="D5" i="100"/>
  <c r="A5" i="100"/>
  <c r="W57" i="68"/>
  <c r="W56" i="99"/>
  <c r="A23" i="99" s="1"/>
  <c r="F21" i="99"/>
  <c r="M21" i="99" s="1"/>
  <c r="M22" i="99" s="1"/>
  <c r="F20" i="99"/>
  <c r="L20" i="99" s="1"/>
  <c r="L22" i="99" s="1"/>
  <c r="F19" i="99"/>
  <c r="K19" i="99" s="1"/>
  <c r="K22" i="99" s="1"/>
  <c r="F18" i="99"/>
  <c r="J18" i="99" s="1"/>
  <c r="J22" i="99" s="1"/>
  <c r="F17" i="99"/>
  <c r="I17" i="99" s="1"/>
  <c r="I22" i="99" s="1"/>
  <c r="F16" i="99"/>
  <c r="H16" i="99" s="1"/>
  <c r="M13" i="99"/>
  <c r="L13" i="99"/>
  <c r="K13" i="99"/>
  <c r="J13" i="99"/>
  <c r="I13" i="99"/>
  <c r="H13" i="99"/>
  <c r="M5" i="99"/>
  <c r="J5" i="99"/>
  <c r="D5" i="99"/>
  <c r="A5" i="99"/>
  <c r="A17" i="98"/>
  <c r="M16" i="98"/>
  <c r="L16" i="98"/>
  <c r="K16" i="98"/>
  <c r="J16" i="98"/>
  <c r="I16" i="98"/>
  <c r="M13" i="98"/>
  <c r="L13" i="98"/>
  <c r="K13" i="98"/>
  <c r="J13" i="98"/>
  <c r="I13" i="98"/>
  <c r="H13" i="98"/>
  <c r="M5" i="98"/>
  <c r="J5" i="98"/>
  <c r="D5" i="98"/>
  <c r="A5" i="98"/>
  <c r="W50" i="65"/>
  <c r="W52" i="97"/>
  <c r="A23" i="97"/>
  <c r="F21" i="97"/>
  <c r="M21" i="97" s="1"/>
  <c r="M22" i="97" s="1"/>
  <c r="F20" i="97"/>
  <c r="L20" i="97" s="1"/>
  <c r="L22" i="97" s="1"/>
  <c r="F19" i="97"/>
  <c r="K19" i="97" s="1"/>
  <c r="K22" i="97" s="1"/>
  <c r="F18" i="97"/>
  <c r="J18" i="97" s="1"/>
  <c r="J22" i="97" s="1"/>
  <c r="F17" i="97"/>
  <c r="I17" i="97" s="1"/>
  <c r="I22" i="97" s="1"/>
  <c r="F16" i="97"/>
  <c r="H16" i="97" s="1"/>
  <c r="H22" i="97" s="1"/>
  <c r="M13" i="97"/>
  <c r="L13" i="97"/>
  <c r="K13" i="97"/>
  <c r="J13" i="97"/>
  <c r="I13" i="97"/>
  <c r="H13" i="97"/>
  <c r="M5" i="97"/>
  <c r="J5" i="97"/>
  <c r="D5" i="97"/>
  <c r="A5" i="97"/>
  <c r="A17" i="96"/>
  <c r="M16" i="96"/>
  <c r="L16" i="96"/>
  <c r="K16" i="96"/>
  <c r="J16" i="96"/>
  <c r="I16" i="96"/>
  <c r="H16" i="96"/>
  <c r="M13" i="96"/>
  <c r="L13" i="96"/>
  <c r="K13" i="96"/>
  <c r="J13" i="96"/>
  <c r="I13" i="96"/>
  <c r="H13" i="96"/>
  <c r="M5" i="96"/>
  <c r="J5" i="96"/>
  <c r="D5" i="96"/>
  <c r="A5" i="96"/>
  <c r="A17" i="95"/>
  <c r="M16" i="95"/>
  <c r="L16" i="95"/>
  <c r="K16" i="95"/>
  <c r="J16" i="95"/>
  <c r="I16" i="95"/>
  <c r="H16" i="95"/>
  <c r="M13" i="95"/>
  <c r="L13" i="95"/>
  <c r="K13" i="95"/>
  <c r="J13" i="95"/>
  <c r="I13" i="95"/>
  <c r="H13" i="95"/>
  <c r="M5" i="95"/>
  <c r="J5" i="95"/>
  <c r="D5" i="95"/>
  <c r="A5" i="95"/>
  <c r="W44" i="94"/>
  <c r="A23" i="94" s="1"/>
  <c r="F21" i="94"/>
  <c r="M21" i="94" s="1"/>
  <c r="M22" i="94" s="1"/>
  <c r="F20" i="94"/>
  <c r="L20" i="94" s="1"/>
  <c r="L22" i="94" s="1"/>
  <c r="F19" i="94"/>
  <c r="K19" i="94" s="1"/>
  <c r="K22" i="94" s="1"/>
  <c r="F18" i="94"/>
  <c r="J18" i="94" s="1"/>
  <c r="F17" i="94"/>
  <c r="I17" i="94" s="1"/>
  <c r="I22" i="94" s="1"/>
  <c r="F16" i="94"/>
  <c r="H16" i="94" s="1"/>
  <c r="M13" i="94"/>
  <c r="L13" i="94"/>
  <c r="K13" i="94"/>
  <c r="J13" i="94"/>
  <c r="I13" i="94"/>
  <c r="H13" i="94"/>
  <c r="M5" i="94"/>
  <c r="J5" i="94"/>
  <c r="D5" i="94"/>
  <c r="A5" i="94"/>
  <c r="A17" i="93"/>
  <c r="M16" i="93"/>
  <c r="L16" i="93"/>
  <c r="K16" i="93"/>
  <c r="J16" i="93"/>
  <c r="I16" i="93"/>
  <c r="M13" i="93"/>
  <c r="L13" i="93"/>
  <c r="K13" i="93"/>
  <c r="J13" i="93"/>
  <c r="I13" i="93"/>
  <c r="H13" i="93"/>
  <c r="M5" i="93"/>
  <c r="J5" i="93"/>
  <c r="D5" i="93"/>
  <c r="A5" i="93"/>
  <c r="A17" i="92"/>
  <c r="M16" i="92"/>
  <c r="L16" i="92"/>
  <c r="K16" i="92"/>
  <c r="J16" i="92"/>
  <c r="I16" i="92"/>
  <c r="M13" i="92"/>
  <c r="L13" i="92"/>
  <c r="K13" i="92"/>
  <c r="J13" i="92"/>
  <c r="I13" i="92"/>
  <c r="H13" i="92"/>
  <c r="M5" i="92"/>
  <c r="J5" i="92"/>
  <c r="D5" i="92"/>
  <c r="A5" i="92"/>
  <c r="A17" i="91"/>
  <c r="M16" i="91"/>
  <c r="L16" i="91"/>
  <c r="K16" i="91"/>
  <c r="J16" i="91"/>
  <c r="I16" i="91"/>
  <c r="H16" i="91"/>
  <c r="M13" i="91"/>
  <c r="L13" i="91"/>
  <c r="K13" i="91"/>
  <c r="J13" i="91"/>
  <c r="I13" i="91"/>
  <c r="H13" i="91"/>
  <c r="M5" i="91"/>
  <c r="J5" i="91"/>
  <c r="D5" i="91"/>
  <c r="A5" i="91"/>
  <c r="A17" i="90"/>
  <c r="H16" i="90"/>
  <c r="M13" i="90"/>
  <c r="L13" i="90"/>
  <c r="K13" i="90"/>
  <c r="J13" i="90"/>
  <c r="I13" i="90"/>
  <c r="H13" i="90"/>
  <c r="M5" i="90"/>
  <c r="J5" i="90"/>
  <c r="D5" i="90"/>
  <c r="A5" i="90"/>
  <c r="A17" i="89"/>
  <c r="M16" i="89"/>
  <c r="L16" i="89"/>
  <c r="K16" i="89"/>
  <c r="J16" i="89"/>
  <c r="I16" i="89"/>
  <c r="H16" i="89"/>
  <c r="M13" i="89"/>
  <c r="L13" i="89"/>
  <c r="K13" i="89"/>
  <c r="J13" i="89"/>
  <c r="I13" i="89"/>
  <c r="H13" i="89"/>
  <c r="M5" i="89"/>
  <c r="J5" i="89"/>
  <c r="D5" i="89"/>
  <c r="A5" i="89"/>
  <c r="A17" i="88"/>
  <c r="M16" i="88"/>
  <c r="L16" i="88"/>
  <c r="K16" i="88"/>
  <c r="J16" i="88"/>
  <c r="I16" i="88"/>
  <c r="M13" i="88"/>
  <c r="L13" i="88"/>
  <c r="K13" i="88"/>
  <c r="J13" i="88"/>
  <c r="I13" i="88"/>
  <c r="H13" i="88"/>
  <c r="M5" i="88"/>
  <c r="J5" i="88"/>
  <c r="D5" i="88"/>
  <c r="A5" i="88"/>
  <c r="AA57" i="43"/>
  <c r="AE62" i="2"/>
  <c r="A17" i="87"/>
  <c r="H16" i="87"/>
  <c r="M13" i="87"/>
  <c r="L13" i="87"/>
  <c r="K13" i="87"/>
  <c r="J13" i="87"/>
  <c r="I13" i="87"/>
  <c r="H13" i="87"/>
  <c r="M5" i="87"/>
  <c r="J5" i="87"/>
  <c r="D5" i="87"/>
  <c r="A5" i="87"/>
  <c r="AA50" i="77"/>
  <c r="A23" i="77" s="1"/>
  <c r="F21" i="77"/>
  <c r="M21" i="77" s="1"/>
  <c r="M22" i="77" s="1"/>
  <c r="F20" i="77"/>
  <c r="L20" i="77" s="1"/>
  <c r="L22" i="77" s="1"/>
  <c r="F19" i="77"/>
  <c r="K19" i="77" s="1"/>
  <c r="K22" i="77" s="1"/>
  <c r="F18" i="77"/>
  <c r="J18" i="77" s="1"/>
  <c r="J22" i="77" s="1"/>
  <c r="F17" i="77"/>
  <c r="I17" i="77" s="1"/>
  <c r="I22" i="77" s="1"/>
  <c r="F16" i="77"/>
  <c r="H16" i="77" s="1"/>
  <c r="M13" i="77"/>
  <c r="L13" i="77"/>
  <c r="K13" i="77"/>
  <c r="J13" i="77"/>
  <c r="I13" i="77"/>
  <c r="H13" i="77"/>
  <c r="M5" i="77"/>
  <c r="J5" i="77"/>
  <c r="D5" i="77"/>
  <c r="A5" i="77"/>
  <c r="A17" i="86"/>
  <c r="M16" i="86"/>
  <c r="L16" i="86"/>
  <c r="K16" i="86"/>
  <c r="J16" i="86"/>
  <c r="I16" i="86"/>
  <c r="H16" i="86"/>
  <c r="M13" i="86"/>
  <c r="L13" i="86"/>
  <c r="K13" i="86"/>
  <c r="J13" i="86"/>
  <c r="I13" i="86"/>
  <c r="H13" i="86"/>
  <c r="M5" i="86"/>
  <c r="J5" i="86"/>
  <c r="D5" i="86"/>
  <c r="A5" i="86"/>
  <c r="W43" i="85"/>
  <c r="A23" i="85" s="1"/>
  <c r="F21" i="85"/>
  <c r="M21" i="85" s="1"/>
  <c r="M22" i="85" s="1"/>
  <c r="F20" i="85"/>
  <c r="L20" i="85" s="1"/>
  <c r="L22" i="85" s="1"/>
  <c r="F19" i="85"/>
  <c r="K19" i="85" s="1"/>
  <c r="K22" i="85" s="1"/>
  <c r="F18" i="85"/>
  <c r="J18" i="85" s="1"/>
  <c r="J22" i="85" s="1"/>
  <c r="F17" i="85"/>
  <c r="I17" i="85" s="1"/>
  <c r="I22" i="85" s="1"/>
  <c r="F16" i="85"/>
  <c r="H16" i="85" s="1"/>
  <c r="M13" i="85"/>
  <c r="L13" i="85"/>
  <c r="K13" i="85"/>
  <c r="J13" i="85"/>
  <c r="I13" i="85"/>
  <c r="H13" i="85"/>
  <c r="M5" i="85"/>
  <c r="J5" i="85"/>
  <c r="D5" i="85"/>
  <c r="A5" i="85"/>
  <c r="A17" i="84"/>
  <c r="M16" i="84"/>
  <c r="L16" i="84"/>
  <c r="K16" i="84"/>
  <c r="J16" i="84"/>
  <c r="I16" i="84"/>
  <c r="H16" i="84"/>
  <c r="M13" i="84"/>
  <c r="L13" i="84"/>
  <c r="K13" i="84"/>
  <c r="J13" i="84"/>
  <c r="I13" i="84"/>
  <c r="H13" i="84"/>
  <c r="M5" i="84"/>
  <c r="J5" i="84"/>
  <c r="D5" i="84"/>
  <c r="A5" i="84"/>
  <c r="A17" i="83"/>
  <c r="M16" i="83"/>
  <c r="L16" i="83"/>
  <c r="K16" i="83"/>
  <c r="J16" i="83"/>
  <c r="I16" i="83"/>
  <c r="M13" i="83"/>
  <c r="L13" i="83"/>
  <c r="K13" i="83"/>
  <c r="J13" i="83"/>
  <c r="I13" i="83"/>
  <c r="H13" i="83"/>
  <c r="M5" i="83"/>
  <c r="J5" i="83"/>
  <c r="D5" i="83"/>
  <c r="A5" i="83"/>
  <c r="A23" i="80"/>
  <c r="M22" i="80"/>
  <c r="L22" i="80"/>
  <c r="K22" i="80"/>
  <c r="J22" i="80"/>
  <c r="I22" i="80"/>
  <c r="M13" i="80"/>
  <c r="L13" i="80"/>
  <c r="K13" i="80"/>
  <c r="J13" i="80"/>
  <c r="I13" i="80"/>
  <c r="H13" i="80"/>
  <c r="M5" i="80"/>
  <c r="J5" i="80"/>
  <c r="D5" i="80"/>
  <c r="A5" i="80"/>
  <c r="A31" i="78"/>
  <c r="M30" i="78"/>
  <c r="L30" i="78"/>
  <c r="K30" i="78"/>
  <c r="J30" i="78"/>
  <c r="I30" i="78"/>
  <c r="F20" i="78"/>
  <c r="H20" i="78" s="1"/>
  <c r="F16" i="78"/>
  <c r="H16" i="78" s="1"/>
  <c r="M13" i="78"/>
  <c r="L13" i="78"/>
  <c r="K13" i="78"/>
  <c r="J13" i="78"/>
  <c r="I13" i="78"/>
  <c r="H13" i="78"/>
  <c r="M5" i="78"/>
  <c r="J5" i="78"/>
  <c r="D5" i="78"/>
  <c r="A5" i="78"/>
  <c r="AE52" i="81"/>
  <c r="A23" i="81" s="1"/>
  <c r="AF48" i="81"/>
  <c r="AF26" i="81"/>
  <c r="AF25" i="81"/>
  <c r="F21" i="81"/>
  <c r="M21" i="81" s="1"/>
  <c r="M22" i="81" s="1"/>
  <c r="F20" i="81"/>
  <c r="L20" i="81" s="1"/>
  <c r="L22" i="81" s="1"/>
  <c r="F19" i="81"/>
  <c r="K19" i="81" s="1"/>
  <c r="K22" i="81" s="1"/>
  <c r="F18" i="81"/>
  <c r="J18" i="81" s="1"/>
  <c r="J22" i="81" s="1"/>
  <c r="F17" i="81"/>
  <c r="I17" i="81" s="1"/>
  <c r="I22" i="81" s="1"/>
  <c r="F16" i="81"/>
  <c r="H16" i="81" s="1"/>
  <c r="M13" i="81"/>
  <c r="L13" i="81"/>
  <c r="K13" i="81"/>
  <c r="J13" i="81"/>
  <c r="I13" i="81"/>
  <c r="H13" i="81"/>
  <c r="M5" i="81"/>
  <c r="J5" i="81"/>
  <c r="D5" i="81"/>
  <c r="A5" i="81"/>
  <c r="D4" i="1"/>
  <c r="F24" i="78" s="1"/>
  <c r="H24" i="78" s="1"/>
  <c r="F32" i="46"/>
  <c r="H32" i="46" s="1"/>
  <c r="F29" i="46"/>
  <c r="H29" i="46" s="1"/>
  <c r="F28" i="46"/>
  <c r="H28" i="46" s="1"/>
  <c r="F27" i="45"/>
  <c r="H27" i="45" s="1"/>
  <c r="F25" i="61"/>
  <c r="F26" i="61"/>
  <c r="F29" i="61"/>
  <c r="D65" i="1"/>
  <c r="D64" i="1"/>
  <c r="F30" i="45" s="1"/>
  <c r="H30" i="45" s="1"/>
  <c r="D63" i="1"/>
  <c r="F31" i="46" s="1"/>
  <c r="H31" i="46" s="1"/>
  <c r="D62" i="1"/>
  <c r="F18" i="78" s="1"/>
  <c r="H18" i="78" s="1"/>
  <c r="D61" i="1"/>
  <c r="F18" i="80" s="1"/>
  <c r="H18" i="80" s="1"/>
  <c r="D60" i="1"/>
  <c r="F26" i="45" s="1"/>
  <c r="H26" i="45" s="1"/>
  <c r="D59" i="1"/>
  <c r="X25" i="99" s="1"/>
  <c r="D58" i="1"/>
  <c r="F38" i="61" s="1"/>
  <c r="D57" i="1"/>
  <c r="D53" i="1"/>
  <c r="D52" i="1"/>
  <c r="F28" i="61" s="1"/>
  <c r="D51" i="1"/>
  <c r="F27" i="61" s="1"/>
  <c r="D50" i="1"/>
  <c r="D49" i="1"/>
  <c r="D48" i="1"/>
  <c r="D47" i="1"/>
  <c r="D46" i="1"/>
  <c r="D45" i="1"/>
  <c r="D44" i="1"/>
  <c r="D43" i="1"/>
  <c r="D42" i="1"/>
  <c r="F25" i="48" s="1"/>
  <c r="J25" i="48" s="1"/>
  <c r="D41" i="1"/>
  <c r="F26" i="48" s="1"/>
  <c r="J26" i="48" s="1"/>
  <c r="D40" i="1"/>
  <c r="F27" i="47" s="1"/>
  <c r="I27" i="47" s="1"/>
  <c r="D39" i="1"/>
  <c r="D38" i="1"/>
  <c r="D37" i="1"/>
  <c r="D36" i="1"/>
  <c r="D35" i="1"/>
  <c r="D34" i="1"/>
  <c r="D33" i="1"/>
  <c r="D32" i="1"/>
  <c r="D31" i="1"/>
  <c r="D30" i="1"/>
  <c r="D29" i="1"/>
  <c r="D28" i="1"/>
  <c r="F29" i="78" s="1"/>
  <c r="H29" i="78" s="1"/>
  <c r="D27" i="1"/>
  <c r="X41" i="85" s="1"/>
  <c r="D26" i="1"/>
  <c r="X53" i="99" s="1"/>
  <c r="D25" i="1"/>
  <c r="X32" i="94" s="1"/>
  <c r="D24" i="1"/>
  <c r="X22" i="99" s="1"/>
  <c r="D23" i="1"/>
  <c r="AF23" i="81" s="1"/>
  <c r="D22" i="1"/>
  <c r="X24" i="100" s="1"/>
  <c r="D21" i="1"/>
  <c r="D20" i="1"/>
  <c r="D19" i="1"/>
  <c r="V49" i="104" s="1"/>
  <c r="D18" i="1"/>
  <c r="X18" i="99" s="1"/>
  <c r="D17" i="1"/>
  <c r="AF41" i="81" s="1"/>
  <c r="D16" i="1"/>
  <c r="F28" i="78" s="1"/>
  <c r="H28" i="78" s="1"/>
  <c r="D15" i="1"/>
  <c r="D14" i="1"/>
  <c r="D13" i="1"/>
  <c r="D12" i="1"/>
  <c r="D11" i="1"/>
  <c r="D10" i="1"/>
  <c r="D9" i="1"/>
  <c r="D8" i="1"/>
  <c r="F27" i="78" s="1"/>
  <c r="H27" i="78" s="1"/>
  <c r="D7" i="1"/>
  <c r="D6" i="1"/>
  <c r="F26" i="78" s="1"/>
  <c r="H26" i="78" s="1"/>
  <c r="D5" i="1"/>
  <c r="F30" i="47" s="1"/>
  <c r="I30" i="47" s="1"/>
  <c r="D3" i="1"/>
  <c r="F23" i="78" s="1"/>
  <c r="H23" i="78" s="1"/>
  <c r="D2" i="1"/>
  <c r="F22" i="78" s="1"/>
  <c r="H22" i="78" s="1"/>
  <c r="AF44" i="81" l="1"/>
  <c r="F26" i="47"/>
  <c r="I26" i="47" s="1"/>
  <c r="F27" i="48"/>
  <c r="J27" i="48" s="1"/>
  <c r="AF22" i="81"/>
  <c r="AF30" i="81"/>
  <c r="AF42" i="81"/>
  <c r="AF29" i="81"/>
  <c r="AF19" i="81"/>
  <c r="AF24" i="81"/>
  <c r="AF33" i="81"/>
  <c r="AF37" i="81"/>
  <c r="F19" i="78"/>
  <c r="H19" i="78" s="1"/>
  <c r="F19" i="80"/>
  <c r="H19" i="80" s="1"/>
  <c r="X23" i="85"/>
  <c r="X34" i="85"/>
  <c r="X40" i="85"/>
  <c r="AB30" i="77"/>
  <c r="AB38" i="77"/>
  <c r="AB45" i="77"/>
  <c r="AB30" i="94"/>
  <c r="AB32" i="94"/>
  <c r="AB34" i="94"/>
  <c r="X40" i="94"/>
  <c r="X23" i="97"/>
  <c r="X27" i="97"/>
  <c r="X34" i="97"/>
  <c r="X38" i="97"/>
  <c r="X44" i="97"/>
  <c r="X48" i="97"/>
  <c r="X19" i="99"/>
  <c r="X23" i="99"/>
  <c r="X40" i="99"/>
  <c r="X44" i="99"/>
  <c r="X50" i="99"/>
  <c r="X54" i="99"/>
  <c r="X32" i="100"/>
  <c r="X39" i="100"/>
  <c r="X25" i="100"/>
  <c r="V42" i="104"/>
  <c r="V50" i="104"/>
  <c r="AF45" i="81"/>
  <c r="AF49" i="81"/>
  <c r="F25" i="78"/>
  <c r="H25" i="78" s="1"/>
  <c r="F20" i="80"/>
  <c r="H20" i="80" s="1"/>
  <c r="X24" i="85"/>
  <c r="X35" i="85"/>
  <c r="AB31" i="77"/>
  <c r="AB39" i="77"/>
  <c r="AB46" i="77"/>
  <c r="X29" i="94"/>
  <c r="X31" i="94"/>
  <c r="X33" i="94"/>
  <c r="X37" i="94"/>
  <c r="X41" i="94"/>
  <c r="X24" i="97"/>
  <c r="X28" i="97"/>
  <c r="X35" i="97"/>
  <c r="X39" i="97"/>
  <c r="X45" i="97"/>
  <c r="X49" i="97"/>
  <c r="X20" i="99"/>
  <c r="X24" i="99"/>
  <c r="X37" i="99"/>
  <c r="X41" i="99"/>
  <c r="X47" i="99"/>
  <c r="X51" i="99"/>
  <c r="X29" i="100"/>
  <c r="X36" i="100"/>
  <c r="X22" i="100"/>
  <c r="V45" i="104"/>
  <c r="AF35" i="81"/>
  <c r="F17" i="78"/>
  <c r="H17" i="78" s="1"/>
  <c r="H30" i="78" s="1"/>
  <c r="F17" i="80"/>
  <c r="H17" i="80" s="1"/>
  <c r="F21" i="80"/>
  <c r="H21" i="80" s="1"/>
  <c r="X21" i="85"/>
  <c r="X32" i="85"/>
  <c r="X38" i="85"/>
  <c r="AB32" i="77"/>
  <c r="AB40" i="77"/>
  <c r="AB47" i="77"/>
  <c r="AB29" i="94"/>
  <c r="AB31" i="94"/>
  <c r="AB33" i="94"/>
  <c r="X38" i="94"/>
  <c r="X42" i="94"/>
  <c r="X22" i="97"/>
  <c r="X25" i="97"/>
  <c r="X29" i="97"/>
  <c r="X36" i="97"/>
  <c r="X40" i="97"/>
  <c r="X46" i="97"/>
  <c r="X50" i="97"/>
  <c r="X21" i="99"/>
  <c r="X38" i="99"/>
  <c r="X42" i="99"/>
  <c r="X48" i="99"/>
  <c r="X52" i="99"/>
  <c r="X30" i="100"/>
  <c r="X37" i="100"/>
  <c r="X23" i="100"/>
  <c r="I17" i="100" s="1"/>
  <c r="I22" i="100" s="1"/>
  <c r="V46" i="104"/>
  <c r="F28" i="45"/>
  <c r="H28" i="45" s="1"/>
  <c r="AF21" i="81"/>
  <c r="AF34" i="81"/>
  <c r="F16" i="61"/>
  <c r="F29" i="45"/>
  <c r="H29" i="45" s="1"/>
  <c r="F30" i="46"/>
  <c r="H30" i="46" s="1"/>
  <c r="AF31" i="81"/>
  <c r="AF46" i="81"/>
  <c r="AF20" i="81"/>
  <c r="AF27" i="81"/>
  <c r="AF32" i="81"/>
  <c r="AF36" i="81"/>
  <c r="AF43" i="81"/>
  <c r="AF47" i="81"/>
  <c r="X22" i="85"/>
  <c r="X33" i="85"/>
  <c r="X39" i="85"/>
  <c r="AB33" i="77"/>
  <c r="AB41" i="77"/>
  <c r="AB48" i="77"/>
  <c r="X30" i="94"/>
  <c r="X34" i="94"/>
  <c r="X39" i="94"/>
  <c r="X26" i="97"/>
  <c r="X33" i="97"/>
  <c r="X37" i="97"/>
  <c r="X43" i="97"/>
  <c r="X47" i="97"/>
  <c r="X39" i="99"/>
  <c r="X43" i="99"/>
  <c r="X49" i="99"/>
  <c r="X31" i="100"/>
  <c r="X38" i="100"/>
  <c r="V41" i="104"/>
  <c r="H16" i="105"/>
  <c r="H16" i="102"/>
  <c r="H16" i="101"/>
  <c r="H22" i="100"/>
  <c r="H22" i="99"/>
  <c r="H16" i="98"/>
  <c r="J22" i="94"/>
  <c r="H22" i="94"/>
  <c r="H16" i="93"/>
  <c r="H16" i="92"/>
  <c r="H16" i="88"/>
  <c r="H16" i="83"/>
  <c r="H22" i="77"/>
  <c r="H22" i="85"/>
  <c r="H22" i="80"/>
  <c r="H22" i="81"/>
  <c r="F25" i="47"/>
  <c r="I25" i="47" s="1"/>
  <c r="A5" i="54"/>
  <c r="F28" i="54"/>
  <c r="F27" i="54"/>
  <c r="F26" i="54"/>
  <c r="F25" i="54"/>
  <c r="V49" i="54"/>
  <c r="V48" i="54"/>
  <c r="F24" i="54"/>
  <c r="H24" i="54" s="1"/>
  <c r="F15" i="54"/>
  <c r="H15" i="54" s="1"/>
  <c r="M13" i="44"/>
  <c r="L13" i="44"/>
  <c r="K13" i="44"/>
  <c r="J13" i="44"/>
  <c r="X42" i="73"/>
  <c r="A34" i="73" s="1"/>
  <c r="F32" i="73"/>
  <c r="K32" i="73" s="1"/>
  <c r="K33" i="73" s="1"/>
  <c r="M17" i="25" s="1"/>
  <c r="F29" i="73"/>
  <c r="I29" i="73" s="1"/>
  <c r="I33" i="73" s="1"/>
  <c r="AC27" i="73"/>
  <c r="AC26" i="73"/>
  <c r="AC25" i="73"/>
  <c r="Y27" i="73"/>
  <c r="Y26" i="73"/>
  <c r="Y25" i="73"/>
  <c r="K13" i="73"/>
  <c r="I13" i="73"/>
  <c r="M13" i="71"/>
  <c r="L13" i="71"/>
  <c r="M13" i="70"/>
  <c r="L13" i="70"/>
  <c r="M13" i="69"/>
  <c r="L13" i="69"/>
  <c r="M13" i="68"/>
  <c r="L13" i="68"/>
  <c r="M13" i="67"/>
  <c r="L13" i="67"/>
  <c r="M13" i="66"/>
  <c r="L13" i="66"/>
  <c r="M13" i="65"/>
  <c r="L13" i="65"/>
  <c r="M13" i="64"/>
  <c r="L13" i="64"/>
  <c r="M13" i="63"/>
  <c r="L13" i="63"/>
  <c r="M13" i="62"/>
  <c r="L13" i="62"/>
  <c r="M13" i="61"/>
  <c r="L13" i="61"/>
  <c r="M13" i="60"/>
  <c r="L13" i="60"/>
  <c r="M13" i="59"/>
  <c r="L13" i="59"/>
  <c r="M13" i="58"/>
  <c r="L13" i="58"/>
  <c r="M13" i="57"/>
  <c r="L13" i="57"/>
  <c r="M13" i="56"/>
  <c r="L13" i="56"/>
  <c r="M13" i="54"/>
  <c r="L13" i="54"/>
  <c r="M13" i="53"/>
  <c r="L13" i="53"/>
  <c r="M13" i="52"/>
  <c r="L13" i="52"/>
  <c r="M13" i="51"/>
  <c r="L13" i="51"/>
  <c r="M13" i="50"/>
  <c r="L13" i="50"/>
  <c r="M13" i="49"/>
  <c r="L13" i="49"/>
  <c r="M13" i="47"/>
  <c r="L13" i="47"/>
  <c r="M13" i="46"/>
  <c r="L13" i="46"/>
  <c r="M13" i="45"/>
  <c r="L13" i="45"/>
  <c r="M13" i="43"/>
  <c r="L13" i="43"/>
  <c r="M13" i="2"/>
  <c r="L13" i="2"/>
  <c r="W56" i="69"/>
  <c r="A38" i="69" s="1"/>
  <c r="X31" i="65"/>
  <c r="A31" i="64"/>
  <c r="W61" i="61"/>
  <c r="I7" i="75"/>
  <c r="D7" i="75"/>
  <c r="A7" i="75"/>
  <c r="Y40" i="73"/>
  <c r="Y39" i="73"/>
  <c r="Y38" i="73"/>
  <c r="F27" i="73"/>
  <c r="F26" i="73"/>
  <c r="H26" i="73" s="1"/>
  <c r="F25" i="73"/>
  <c r="F24" i="73"/>
  <c r="H24" i="73" s="1"/>
  <c r="F23" i="73"/>
  <c r="H23" i="73" s="1"/>
  <c r="F22" i="73"/>
  <c r="F21" i="73"/>
  <c r="F20" i="73"/>
  <c r="F19" i="73"/>
  <c r="F18" i="73"/>
  <c r="F17" i="73"/>
  <c r="F16" i="73"/>
  <c r="F35" i="71"/>
  <c r="H35" i="71" s="1"/>
  <c r="F34" i="71"/>
  <c r="F33" i="71"/>
  <c r="H33" i="71" s="1"/>
  <c r="F32" i="71"/>
  <c r="H32" i="71" s="1"/>
  <c r="F31" i="71"/>
  <c r="H31" i="71" s="1"/>
  <c r="F30" i="71"/>
  <c r="F29" i="71"/>
  <c r="H29" i="71" s="1"/>
  <c r="F28" i="71"/>
  <c r="H28" i="71" s="1"/>
  <c r="F27" i="71"/>
  <c r="H27" i="71" s="1"/>
  <c r="F26" i="71"/>
  <c r="F25" i="71"/>
  <c r="H25" i="71" s="1"/>
  <c r="F24" i="71"/>
  <c r="H24" i="71" s="1"/>
  <c r="F23" i="71"/>
  <c r="H23" i="71" s="1"/>
  <c r="F22" i="71"/>
  <c r="F21" i="71"/>
  <c r="H21" i="71" s="1"/>
  <c r="F20" i="71"/>
  <c r="H20" i="71" s="1"/>
  <c r="F19" i="71"/>
  <c r="H19" i="71" s="1"/>
  <c r="F18" i="71"/>
  <c r="F17" i="71"/>
  <c r="H17" i="71" s="1"/>
  <c r="F16" i="71"/>
  <c r="H16" i="71" s="1"/>
  <c r="F44" i="70"/>
  <c r="H44" i="70" s="1"/>
  <c r="F43" i="70"/>
  <c r="F42" i="70"/>
  <c r="H42" i="70" s="1"/>
  <c r="F41" i="70"/>
  <c r="H41" i="70" s="1"/>
  <c r="F40" i="70"/>
  <c r="H40" i="70" s="1"/>
  <c r="F39" i="70"/>
  <c r="F38" i="70"/>
  <c r="H38" i="70" s="1"/>
  <c r="F37" i="70"/>
  <c r="H37" i="70" s="1"/>
  <c r="F36" i="70"/>
  <c r="H36" i="70" s="1"/>
  <c r="F35" i="70"/>
  <c r="F34" i="70"/>
  <c r="H34" i="70" s="1"/>
  <c r="F33" i="70"/>
  <c r="H33" i="70" s="1"/>
  <c r="F32" i="70"/>
  <c r="H32" i="70" s="1"/>
  <c r="F31" i="70"/>
  <c r="F30" i="70"/>
  <c r="H30" i="70" s="1"/>
  <c r="F29" i="70"/>
  <c r="H29" i="70" s="1"/>
  <c r="F28" i="70"/>
  <c r="H28" i="70" s="1"/>
  <c r="F27" i="70"/>
  <c r="F26" i="70"/>
  <c r="H26" i="70" s="1"/>
  <c r="F24" i="70"/>
  <c r="H24" i="70" s="1"/>
  <c r="F23" i="70"/>
  <c r="H23" i="70" s="1"/>
  <c r="F22" i="70"/>
  <c r="H22" i="70" s="1"/>
  <c r="F21" i="70"/>
  <c r="H21" i="70" s="1"/>
  <c r="F20" i="70"/>
  <c r="H20" i="70" s="1"/>
  <c r="F19" i="70"/>
  <c r="H19" i="70" s="1"/>
  <c r="F18" i="70"/>
  <c r="F17" i="70"/>
  <c r="H17" i="70" s="1"/>
  <c r="F16" i="70"/>
  <c r="H16" i="70" s="1"/>
  <c r="X53" i="69"/>
  <c r="X52" i="69"/>
  <c r="X51" i="69"/>
  <c r="X50" i="69"/>
  <c r="X46" i="69"/>
  <c r="X45" i="69"/>
  <c r="X44" i="69"/>
  <c r="X43" i="69"/>
  <c r="F36" i="69"/>
  <c r="H36" i="69" s="1"/>
  <c r="F35" i="69"/>
  <c r="F34" i="69"/>
  <c r="H34" i="69" s="1"/>
  <c r="F33" i="69"/>
  <c r="H33" i="69" s="1"/>
  <c r="F32" i="69"/>
  <c r="H32" i="69" s="1"/>
  <c r="F31" i="69"/>
  <c r="F30" i="69"/>
  <c r="H30" i="69" s="1"/>
  <c r="F29" i="69"/>
  <c r="H29" i="69" s="1"/>
  <c r="F28" i="69"/>
  <c r="H28" i="69" s="1"/>
  <c r="F22" i="69"/>
  <c r="F21" i="69"/>
  <c r="F20" i="69"/>
  <c r="F19" i="69"/>
  <c r="H19" i="69" s="1"/>
  <c r="F18" i="69"/>
  <c r="H18" i="69" s="1"/>
  <c r="F17" i="69"/>
  <c r="F16" i="69"/>
  <c r="H16" i="69" s="1"/>
  <c r="X55" i="68"/>
  <c r="X54" i="68"/>
  <c r="X53" i="68"/>
  <c r="X52" i="68"/>
  <c r="X51" i="68"/>
  <c r="X50" i="68"/>
  <c r="X49" i="68"/>
  <c r="X48" i="68"/>
  <c r="X45" i="68"/>
  <c r="X44" i="68"/>
  <c r="X43" i="68"/>
  <c r="X42" i="68"/>
  <c r="X41" i="68"/>
  <c r="X40" i="68"/>
  <c r="X39" i="68"/>
  <c r="X38" i="68"/>
  <c r="X26" i="68"/>
  <c r="X25" i="68"/>
  <c r="X24" i="68"/>
  <c r="X23" i="68"/>
  <c r="X22" i="68"/>
  <c r="X21" i="68"/>
  <c r="X20" i="68"/>
  <c r="X19" i="68"/>
  <c r="F24" i="68"/>
  <c r="F23" i="68"/>
  <c r="H23" i="68" s="1"/>
  <c r="F22" i="68"/>
  <c r="F21" i="68"/>
  <c r="H21" i="68" s="1"/>
  <c r="F20" i="68"/>
  <c r="F19" i="68"/>
  <c r="H19" i="68" s="1"/>
  <c r="F18" i="68"/>
  <c r="H18" i="68" s="1"/>
  <c r="F17" i="68"/>
  <c r="H17" i="68" s="1"/>
  <c r="F16" i="68"/>
  <c r="F25" i="67"/>
  <c r="H25" i="67" s="1"/>
  <c r="F24" i="67"/>
  <c r="F23" i="67"/>
  <c r="H23" i="67" s="1"/>
  <c r="F22" i="67"/>
  <c r="F21" i="67"/>
  <c r="H21" i="67" s="1"/>
  <c r="F20" i="67"/>
  <c r="F19" i="67"/>
  <c r="H19" i="67" s="1"/>
  <c r="F18" i="67"/>
  <c r="F17" i="67"/>
  <c r="H17" i="67" s="1"/>
  <c r="F16" i="67"/>
  <c r="F30" i="66"/>
  <c r="F29" i="66"/>
  <c r="F28" i="66"/>
  <c r="F27" i="66"/>
  <c r="F26" i="66"/>
  <c r="F24" i="66"/>
  <c r="F23" i="66"/>
  <c r="H23" i="66" s="1"/>
  <c r="F22" i="66"/>
  <c r="F21" i="66"/>
  <c r="F20" i="66"/>
  <c r="H20" i="66" s="1"/>
  <c r="F19" i="66"/>
  <c r="F18" i="66"/>
  <c r="F17" i="66"/>
  <c r="F16" i="66"/>
  <c r="X48" i="65"/>
  <c r="X47" i="65"/>
  <c r="X46" i="65"/>
  <c r="X45" i="65"/>
  <c r="X42" i="65"/>
  <c r="X41" i="65"/>
  <c r="X40" i="65"/>
  <c r="X39" i="65"/>
  <c r="X30" i="65"/>
  <c r="X29" i="65"/>
  <c r="X28" i="65"/>
  <c r="F23" i="65"/>
  <c r="F22" i="65"/>
  <c r="H22" i="65" s="1"/>
  <c r="F21" i="65"/>
  <c r="F20" i="65"/>
  <c r="H20" i="65" s="1"/>
  <c r="F19" i="65"/>
  <c r="F18" i="65"/>
  <c r="H18" i="65" s="1"/>
  <c r="F17" i="65"/>
  <c r="F16" i="65"/>
  <c r="H16" i="65" s="1"/>
  <c r="F15" i="65"/>
  <c r="X58" i="64"/>
  <c r="X57" i="64"/>
  <c r="X56" i="64"/>
  <c r="X55" i="64"/>
  <c r="X54" i="64"/>
  <c r="X53" i="64"/>
  <c r="X52" i="64"/>
  <c r="X51" i="64"/>
  <c r="X48" i="64"/>
  <c r="X47" i="64"/>
  <c r="X46" i="64"/>
  <c r="X45" i="64"/>
  <c r="X44" i="64"/>
  <c r="X43" i="64"/>
  <c r="X42" i="64"/>
  <c r="X41" i="64"/>
  <c r="X37" i="64"/>
  <c r="X36" i="64"/>
  <c r="X35" i="64"/>
  <c r="X34" i="64"/>
  <c r="X33" i="64"/>
  <c r="X32" i="64"/>
  <c r="X31" i="64"/>
  <c r="X30" i="64"/>
  <c r="F24" i="64"/>
  <c r="H24" i="64" s="1"/>
  <c r="F23" i="64"/>
  <c r="F22" i="64"/>
  <c r="H22" i="64" s="1"/>
  <c r="F21" i="64"/>
  <c r="F20" i="64"/>
  <c r="H20" i="64" s="1"/>
  <c r="F19" i="64"/>
  <c r="H19" i="64" s="1"/>
  <c r="F18" i="64"/>
  <c r="H18" i="64" s="1"/>
  <c r="F17" i="64"/>
  <c r="F15" i="64"/>
  <c r="H15" i="64" s="1"/>
  <c r="F24" i="63"/>
  <c r="F23" i="63"/>
  <c r="H23" i="63" s="1"/>
  <c r="F22" i="63"/>
  <c r="F21" i="63"/>
  <c r="H21" i="63" s="1"/>
  <c r="F20" i="63"/>
  <c r="F19" i="63"/>
  <c r="H19" i="63" s="1"/>
  <c r="F18" i="63"/>
  <c r="F17" i="63"/>
  <c r="H17" i="63" s="1"/>
  <c r="F15" i="63"/>
  <c r="F41" i="62"/>
  <c r="H41" i="62" s="1"/>
  <c r="F40" i="62"/>
  <c r="F39" i="62"/>
  <c r="H39" i="62" s="1"/>
  <c r="F38" i="62"/>
  <c r="F37" i="62"/>
  <c r="H37" i="62" s="1"/>
  <c r="F36" i="62"/>
  <c r="F35" i="62"/>
  <c r="H35" i="62" s="1"/>
  <c r="F34" i="62"/>
  <c r="H34" i="62" s="1"/>
  <c r="F33" i="62"/>
  <c r="H33" i="62" s="1"/>
  <c r="F32" i="62"/>
  <c r="F31" i="62"/>
  <c r="H31" i="62" s="1"/>
  <c r="F30" i="62"/>
  <c r="F29" i="62"/>
  <c r="H29" i="62" s="1"/>
  <c r="F28" i="62"/>
  <c r="F27" i="62"/>
  <c r="H27" i="62" s="1"/>
  <c r="F26" i="62"/>
  <c r="F25" i="62"/>
  <c r="H25" i="62" s="1"/>
  <c r="F24" i="62"/>
  <c r="F23" i="62"/>
  <c r="H23" i="62" s="1"/>
  <c r="F22" i="62"/>
  <c r="F21" i="62"/>
  <c r="H21" i="62" s="1"/>
  <c r="F20" i="62"/>
  <c r="F19" i="62"/>
  <c r="H19" i="62" s="1"/>
  <c r="F18" i="62"/>
  <c r="F17" i="62"/>
  <c r="H17" i="62" s="1"/>
  <c r="F16" i="62"/>
  <c r="F15" i="62"/>
  <c r="H15" i="62" s="1"/>
  <c r="AB51" i="61"/>
  <c r="AB50" i="61"/>
  <c r="AB49" i="61"/>
  <c r="AB48" i="61"/>
  <c r="AB47" i="61"/>
  <c r="AB46" i="61"/>
  <c r="X59" i="61"/>
  <c r="X58" i="61"/>
  <c r="X57" i="61"/>
  <c r="X56" i="61"/>
  <c r="X55" i="61"/>
  <c r="X54" i="61"/>
  <c r="X51" i="61"/>
  <c r="X50" i="61"/>
  <c r="X49" i="61"/>
  <c r="X48" i="61"/>
  <c r="X47" i="61"/>
  <c r="X46" i="61"/>
  <c r="H28" i="61"/>
  <c r="H26" i="61"/>
  <c r="F24" i="61"/>
  <c r="H24" i="61" s="1"/>
  <c r="F23" i="61"/>
  <c r="H23" i="61" s="1"/>
  <c r="F22" i="61"/>
  <c r="H22" i="61" s="1"/>
  <c r="F21" i="61"/>
  <c r="H21" i="61" s="1"/>
  <c r="F20" i="61"/>
  <c r="H20" i="61" s="1"/>
  <c r="F19" i="61"/>
  <c r="H19" i="61" s="1"/>
  <c r="F18" i="61"/>
  <c r="H18" i="61" s="1"/>
  <c r="F17" i="61"/>
  <c r="H17" i="61" s="1"/>
  <c r="H16" i="61"/>
  <c r="F15" i="61"/>
  <c r="H15" i="61" s="1"/>
  <c r="F22" i="60"/>
  <c r="F21" i="60"/>
  <c r="F20" i="60"/>
  <c r="F19" i="60"/>
  <c r="F18" i="60"/>
  <c r="F17" i="60"/>
  <c r="F16" i="60"/>
  <c r="F15" i="60"/>
  <c r="H15" i="60" s="1"/>
  <c r="F24" i="59"/>
  <c r="F23" i="59"/>
  <c r="F22" i="59"/>
  <c r="H22" i="59" s="1"/>
  <c r="F21" i="59"/>
  <c r="F20" i="59"/>
  <c r="H20" i="59" s="1"/>
  <c r="F19" i="59"/>
  <c r="F18" i="59"/>
  <c r="F17" i="59"/>
  <c r="F16" i="59"/>
  <c r="F15" i="59"/>
  <c r="F24" i="58"/>
  <c r="F23" i="58"/>
  <c r="F22" i="58"/>
  <c r="F21" i="58"/>
  <c r="F20" i="58"/>
  <c r="F19" i="58"/>
  <c r="F18" i="58"/>
  <c r="F17" i="58"/>
  <c r="F16" i="58"/>
  <c r="F15" i="58"/>
  <c r="F23" i="57"/>
  <c r="F22" i="57"/>
  <c r="F21" i="57"/>
  <c r="F20" i="57"/>
  <c r="F19" i="57"/>
  <c r="F18" i="57"/>
  <c r="F17" i="57"/>
  <c r="H17" i="57" s="1"/>
  <c r="F16" i="57"/>
  <c r="F15" i="57"/>
  <c r="F15" i="56"/>
  <c r="V57" i="54"/>
  <c r="V56" i="54"/>
  <c r="V53" i="54"/>
  <c r="V52" i="54"/>
  <c r="F24" i="53"/>
  <c r="F23" i="53"/>
  <c r="F22" i="53"/>
  <c r="F21" i="53"/>
  <c r="F20" i="53"/>
  <c r="F19" i="53"/>
  <c r="F18" i="53"/>
  <c r="F17" i="53"/>
  <c r="F15" i="53"/>
  <c r="F24" i="51"/>
  <c r="F23" i="51"/>
  <c r="F22" i="51"/>
  <c r="F21" i="51"/>
  <c r="F20" i="51"/>
  <c r="F19" i="51"/>
  <c r="F18" i="51"/>
  <c r="F17" i="51"/>
  <c r="F16" i="51"/>
  <c r="F15" i="51"/>
  <c r="F33" i="50"/>
  <c r="F32" i="50"/>
  <c r="F31" i="50"/>
  <c r="F30" i="50"/>
  <c r="F29" i="50"/>
  <c r="F28" i="50"/>
  <c r="F27" i="50"/>
  <c r="F26" i="50"/>
  <c r="F24" i="50"/>
  <c r="F23" i="50"/>
  <c r="F22" i="50"/>
  <c r="F21" i="50"/>
  <c r="F20" i="50"/>
  <c r="F19" i="50"/>
  <c r="F18" i="50"/>
  <c r="F17" i="50"/>
  <c r="F16" i="50"/>
  <c r="F33" i="49"/>
  <c r="F32" i="49"/>
  <c r="F31" i="49"/>
  <c r="F30" i="49"/>
  <c r="F29" i="49"/>
  <c r="F28" i="49"/>
  <c r="F27" i="49"/>
  <c r="F26" i="49"/>
  <c r="F24" i="49"/>
  <c r="F23" i="49"/>
  <c r="F22" i="49"/>
  <c r="F21" i="49"/>
  <c r="F20" i="49"/>
  <c r="F19" i="49"/>
  <c r="F18" i="49"/>
  <c r="F17" i="49"/>
  <c r="F16" i="49"/>
  <c r="F33" i="48"/>
  <c r="F32" i="48"/>
  <c r="F31" i="48"/>
  <c r="F29" i="48"/>
  <c r="F30" i="48"/>
  <c r="F24" i="48"/>
  <c r="F23" i="48"/>
  <c r="F22" i="48"/>
  <c r="F21" i="48"/>
  <c r="F20" i="48"/>
  <c r="F19" i="48"/>
  <c r="F18" i="48"/>
  <c r="F17" i="48"/>
  <c r="F16" i="48"/>
  <c r="F33" i="47"/>
  <c r="F32" i="47"/>
  <c r="F31" i="47"/>
  <c r="F29" i="47"/>
  <c r="F24" i="47"/>
  <c r="F23" i="47"/>
  <c r="F22" i="47"/>
  <c r="F21" i="47"/>
  <c r="F20" i="47"/>
  <c r="F19" i="47"/>
  <c r="F18" i="47"/>
  <c r="F17" i="47"/>
  <c r="F16" i="47"/>
  <c r="F38" i="46"/>
  <c r="F37" i="46"/>
  <c r="F36" i="46"/>
  <c r="F35" i="46"/>
  <c r="F34" i="46"/>
  <c r="F27" i="46"/>
  <c r="F26" i="46"/>
  <c r="F25" i="46"/>
  <c r="F24" i="46"/>
  <c r="F23" i="46"/>
  <c r="F22" i="46"/>
  <c r="F21" i="46"/>
  <c r="F20" i="46"/>
  <c r="F19" i="46"/>
  <c r="F18" i="46"/>
  <c r="F17" i="46"/>
  <c r="F16" i="46"/>
  <c r="F39" i="45"/>
  <c r="F38" i="45"/>
  <c r="F37" i="45"/>
  <c r="F36" i="45"/>
  <c r="F35" i="45"/>
  <c r="F34" i="45"/>
  <c r="F33" i="45"/>
  <c r="F32" i="45"/>
  <c r="F25" i="45"/>
  <c r="F24" i="45"/>
  <c r="F23" i="45"/>
  <c r="F22" i="45"/>
  <c r="F21" i="45"/>
  <c r="F20" i="45"/>
  <c r="F19" i="45"/>
  <c r="F18" i="45"/>
  <c r="F17" i="45"/>
  <c r="F16" i="45"/>
  <c r="F23" i="43"/>
  <c r="F22" i="43"/>
  <c r="F21" i="43"/>
  <c r="F20" i="43"/>
  <c r="F19" i="43"/>
  <c r="F18" i="43"/>
  <c r="F17" i="43"/>
  <c r="F16" i="43"/>
  <c r="F15" i="43"/>
  <c r="F17" i="52"/>
  <c r="F16" i="52"/>
  <c r="F15" i="52"/>
  <c r="AB55" i="43"/>
  <c r="AB54" i="43"/>
  <c r="AB53" i="43"/>
  <c r="AB52" i="43"/>
  <c r="AB48" i="43"/>
  <c r="AB47" i="43"/>
  <c r="AB46" i="43"/>
  <c r="AB45" i="43"/>
  <c r="AB40" i="43"/>
  <c r="AB39" i="43"/>
  <c r="AB38" i="43"/>
  <c r="AB37" i="43"/>
  <c r="F23" i="54"/>
  <c r="H23" i="54" s="1"/>
  <c r="F22" i="54"/>
  <c r="H22" i="54" s="1"/>
  <c r="F21" i="54"/>
  <c r="H21" i="54" s="1"/>
  <c r="F20" i="54"/>
  <c r="H20" i="54" s="1"/>
  <c r="F19" i="54"/>
  <c r="H19" i="54" s="1"/>
  <c r="F18" i="54"/>
  <c r="H18" i="54" s="1"/>
  <c r="F17" i="54"/>
  <c r="H17" i="54" s="1"/>
  <c r="F16" i="54"/>
  <c r="F28" i="2"/>
  <c r="J13" i="73"/>
  <c r="K13" i="71"/>
  <c r="J13" i="71"/>
  <c r="K13" i="70"/>
  <c r="J13" i="70"/>
  <c r="K13" i="69"/>
  <c r="J13" i="69"/>
  <c r="K13" i="68"/>
  <c r="J13" i="68"/>
  <c r="K13" i="67"/>
  <c r="J13" i="67"/>
  <c r="K13" i="66"/>
  <c r="J13" i="66"/>
  <c r="K13" i="65"/>
  <c r="J13" i="65"/>
  <c r="K13" i="64"/>
  <c r="J13" i="64"/>
  <c r="K13" i="63"/>
  <c r="J13" i="63"/>
  <c r="K13" i="62"/>
  <c r="J13" i="62"/>
  <c r="K13" i="61"/>
  <c r="J13" i="61"/>
  <c r="K13" i="60"/>
  <c r="J13" i="60"/>
  <c r="K13" i="59"/>
  <c r="J13" i="59"/>
  <c r="K13" i="58"/>
  <c r="J13" i="58"/>
  <c r="K13" i="57"/>
  <c r="J13" i="57"/>
  <c r="K13" i="56"/>
  <c r="J13" i="56"/>
  <c r="K13" i="54"/>
  <c r="J13" i="54"/>
  <c r="K13" i="53"/>
  <c r="J13" i="53"/>
  <c r="K13" i="52"/>
  <c r="J13" i="52"/>
  <c r="K13" i="51"/>
  <c r="J13" i="51"/>
  <c r="K13" i="50"/>
  <c r="J13" i="50"/>
  <c r="K13" i="49"/>
  <c r="J13" i="49"/>
  <c r="K13" i="47"/>
  <c r="J13" i="47"/>
  <c r="K13" i="46"/>
  <c r="J13" i="46"/>
  <c r="K13" i="45"/>
  <c r="J13" i="45"/>
  <c r="K13" i="43"/>
  <c r="J13" i="43"/>
  <c r="K13" i="2"/>
  <c r="J13" i="2"/>
  <c r="K31" i="66"/>
  <c r="F31" i="73"/>
  <c r="H27" i="73"/>
  <c r="H25" i="73"/>
  <c r="H22" i="73"/>
  <c r="H21" i="73"/>
  <c r="H20" i="73"/>
  <c r="H19" i="73"/>
  <c r="H18" i="73"/>
  <c r="H17" i="73"/>
  <c r="H16" i="73"/>
  <c r="H13" i="73"/>
  <c r="M5" i="73"/>
  <c r="J5" i="73"/>
  <c r="D5" i="73"/>
  <c r="A5" i="73"/>
  <c r="H34" i="71"/>
  <c r="H30" i="71"/>
  <c r="H26" i="71"/>
  <c r="H22" i="71"/>
  <c r="H18" i="71"/>
  <c r="A37" i="71"/>
  <c r="M36" i="71"/>
  <c r="L36" i="71"/>
  <c r="K36" i="71"/>
  <c r="J36" i="71"/>
  <c r="I36" i="71"/>
  <c r="I13" i="71"/>
  <c r="H13" i="71"/>
  <c r="M5" i="71"/>
  <c r="J5" i="71"/>
  <c r="D5" i="71"/>
  <c r="A5" i="71"/>
  <c r="H43" i="70"/>
  <c r="H39" i="70"/>
  <c r="H35" i="70"/>
  <c r="H31" i="70"/>
  <c r="H27" i="70"/>
  <c r="H18" i="70"/>
  <c r="A46" i="70"/>
  <c r="M45" i="70"/>
  <c r="L45" i="70"/>
  <c r="K45" i="70"/>
  <c r="J45" i="70"/>
  <c r="I45" i="70"/>
  <c r="I13" i="70"/>
  <c r="H13" i="70"/>
  <c r="M5" i="70"/>
  <c r="J5" i="70"/>
  <c r="D5" i="70"/>
  <c r="A5" i="70"/>
  <c r="H35" i="69"/>
  <c r="H31" i="69"/>
  <c r="F27" i="69"/>
  <c r="M27" i="69" s="1"/>
  <c r="M37" i="69" s="1"/>
  <c r="F26" i="69"/>
  <c r="L26" i="69" s="1"/>
  <c r="L37" i="69" s="1"/>
  <c r="F25" i="69"/>
  <c r="K25" i="69" s="1"/>
  <c r="K37" i="69" s="1"/>
  <c r="J24" i="69"/>
  <c r="J37" i="69" s="1"/>
  <c r="H22" i="69"/>
  <c r="H21" i="69"/>
  <c r="H20" i="69"/>
  <c r="H17" i="69"/>
  <c r="I37" i="69"/>
  <c r="I13" i="69"/>
  <c r="H13" i="69"/>
  <c r="M5" i="69"/>
  <c r="J5" i="69"/>
  <c r="D5" i="69"/>
  <c r="A5" i="69"/>
  <c r="A31" i="68"/>
  <c r="F29" i="68"/>
  <c r="M29" i="68" s="1"/>
  <c r="M30" i="68" s="1"/>
  <c r="F28" i="68"/>
  <c r="L28" i="68" s="1"/>
  <c r="L30" i="68" s="1"/>
  <c r="F27" i="68"/>
  <c r="K27" i="68" s="1"/>
  <c r="K30" i="68" s="1"/>
  <c r="F26" i="68"/>
  <c r="J26" i="68" s="1"/>
  <c r="J30" i="68" s="1"/>
  <c r="I30" i="68"/>
  <c r="H24" i="68"/>
  <c r="H22" i="68"/>
  <c r="H20" i="68"/>
  <c r="H16" i="68"/>
  <c r="I13" i="68"/>
  <c r="H13" i="68"/>
  <c r="M5" i="68"/>
  <c r="J5" i="68"/>
  <c r="D5" i="68"/>
  <c r="A5" i="68"/>
  <c r="H24" i="67"/>
  <c r="H22" i="67"/>
  <c r="H20" i="67"/>
  <c r="H18" i="67"/>
  <c r="H16" i="67"/>
  <c r="A27" i="67"/>
  <c r="M26" i="67"/>
  <c r="L26" i="67"/>
  <c r="K26" i="67"/>
  <c r="J26" i="67"/>
  <c r="I26" i="67"/>
  <c r="I13" i="67"/>
  <c r="H13" i="67"/>
  <c r="M5" i="67"/>
  <c r="J5" i="67"/>
  <c r="D5" i="67"/>
  <c r="A5" i="67"/>
  <c r="L31" i="66"/>
  <c r="J31" i="66"/>
  <c r="I31" i="66"/>
  <c r="H30" i="66"/>
  <c r="H29" i="66"/>
  <c r="H28" i="66"/>
  <c r="H27" i="66"/>
  <c r="H26" i="66"/>
  <c r="H24" i="66"/>
  <c r="H22" i="66"/>
  <c r="H21" i="66"/>
  <c r="H19" i="66"/>
  <c r="H18" i="66"/>
  <c r="H17" i="66"/>
  <c r="H16" i="66"/>
  <c r="M31" i="66"/>
  <c r="A32" i="66"/>
  <c r="I13" i="66"/>
  <c r="H13" i="66"/>
  <c r="M5" i="66"/>
  <c r="J5" i="66"/>
  <c r="D5" i="66"/>
  <c r="A5" i="66"/>
  <c r="A30" i="65"/>
  <c r="F28" i="65"/>
  <c r="M28" i="65" s="1"/>
  <c r="M29" i="65" s="1"/>
  <c r="F27" i="65"/>
  <c r="L27" i="65" s="1"/>
  <c r="L29" i="65" s="1"/>
  <c r="F26" i="65"/>
  <c r="K26" i="65" s="1"/>
  <c r="K29" i="65" s="1"/>
  <c r="F25" i="65"/>
  <c r="J25" i="65" s="1"/>
  <c r="J29" i="65" s="1"/>
  <c r="I29" i="65"/>
  <c r="H23" i="65"/>
  <c r="H21" i="65"/>
  <c r="H19" i="65"/>
  <c r="H17" i="65"/>
  <c r="H15" i="65"/>
  <c r="I13" i="65"/>
  <c r="H13" i="65"/>
  <c r="M5" i="65"/>
  <c r="J5" i="65"/>
  <c r="D5" i="65"/>
  <c r="A5" i="65"/>
  <c r="F29" i="64"/>
  <c r="F28" i="64"/>
  <c r="F27" i="64"/>
  <c r="F26" i="64"/>
  <c r="H23" i="64"/>
  <c r="H21" i="64"/>
  <c r="H17" i="64"/>
  <c r="I13" i="64"/>
  <c r="H13" i="64"/>
  <c r="M5" i="64"/>
  <c r="J5" i="64"/>
  <c r="D5" i="64"/>
  <c r="A5" i="64"/>
  <c r="H24" i="63"/>
  <c r="H22" i="63"/>
  <c r="H20" i="63"/>
  <c r="H18" i="63"/>
  <c r="H15" i="63"/>
  <c r="A26" i="63"/>
  <c r="M25" i="63"/>
  <c r="L25" i="63"/>
  <c r="K25" i="63"/>
  <c r="J25" i="63"/>
  <c r="I25" i="63"/>
  <c r="I13" i="63"/>
  <c r="H13" i="63"/>
  <c r="M5" i="63"/>
  <c r="J5" i="63"/>
  <c r="D5" i="63"/>
  <c r="A5" i="63"/>
  <c r="H40" i="62"/>
  <c r="H38" i="62"/>
  <c r="H36" i="62"/>
  <c r="H32" i="62"/>
  <c r="H30" i="62"/>
  <c r="H28" i="62"/>
  <c r="H26" i="62"/>
  <c r="H24" i="62"/>
  <c r="H22" i="62"/>
  <c r="H20" i="62"/>
  <c r="H18" i="62"/>
  <c r="H16" i="62"/>
  <c r="A43" i="62"/>
  <c r="M42" i="62"/>
  <c r="L42" i="62"/>
  <c r="K42" i="62"/>
  <c r="J42" i="62"/>
  <c r="I42" i="62"/>
  <c r="I13" i="62"/>
  <c r="H13" i="62"/>
  <c r="M5" i="62"/>
  <c r="J5" i="62"/>
  <c r="D5" i="62"/>
  <c r="A5" i="62"/>
  <c r="F33" i="61"/>
  <c r="I33" i="61" s="1"/>
  <c r="I39" i="61" s="1"/>
  <c r="F31" i="61"/>
  <c r="H31" i="61" s="1"/>
  <c r="A40" i="61"/>
  <c r="J38" i="61"/>
  <c r="F37" i="61"/>
  <c r="M37" i="61" s="1"/>
  <c r="M39" i="61" s="1"/>
  <c r="F36" i="61"/>
  <c r="L36" i="61" s="1"/>
  <c r="L39" i="61" s="1"/>
  <c r="F35" i="61"/>
  <c r="K35" i="61" s="1"/>
  <c r="K39" i="61" s="1"/>
  <c r="F34" i="61"/>
  <c r="J34" i="61" s="1"/>
  <c r="J39" i="61" s="1"/>
  <c r="H29" i="61"/>
  <c r="H27" i="61"/>
  <c r="H25" i="61"/>
  <c r="I13" i="61"/>
  <c r="H13" i="61"/>
  <c r="M5" i="61"/>
  <c r="J5" i="61"/>
  <c r="D5" i="61"/>
  <c r="A5" i="61"/>
  <c r="F27" i="43"/>
  <c r="H22" i="60"/>
  <c r="H21" i="60"/>
  <c r="H20" i="60"/>
  <c r="H19" i="60"/>
  <c r="H18" i="60"/>
  <c r="H17" i="60"/>
  <c r="H16" i="60"/>
  <c r="A24" i="60"/>
  <c r="M23" i="60"/>
  <c r="L23" i="60"/>
  <c r="K23" i="60"/>
  <c r="J23" i="60"/>
  <c r="I23" i="60"/>
  <c r="I13" i="60"/>
  <c r="H13" i="60"/>
  <c r="M5" i="60"/>
  <c r="J5" i="60"/>
  <c r="D5" i="60"/>
  <c r="A5" i="60"/>
  <c r="H24" i="59"/>
  <c r="H23" i="59"/>
  <c r="H21" i="59"/>
  <c r="H19" i="59"/>
  <c r="H18" i="59"/>
  <c r="H17" i="59"/>
  <c r="H16" i="59"/>
  <c r="H15" i="59"/>
  <c r="A26" i="59"/>
  <c r="M25" i="59"/>
  <c r="L25" i="59"/>
  <c r="K25" i="59"/>
  <c r="J25" i="59"/>
  <c r="I25" i="59"/>
  <c r="I13" i="59"/>
  <c r="H13" i="59"/>
  <c r="M5" i="59"/>
  <c r="J5" i="59"/>
  <c r="D5" i="59"/>
  <c r="A5" i="59"/>
  <c r="H24" i="58"/>
  <c r="H23" i="58"/>
  <c r="H22" i="58"/>
  <c r="H21" i="58"/>
  <c r="H20" i="58"/>
  <c r="H19" i="58"/>
  <c r="H18" i="58"/>
  <c r="H17" i="58"/>
  <c r="H16" i="58"/>
  <c r="H15" i="58"/>
  <c r="A26" i="58"/>
  <c r="M25" i="58"/>
  <c r="L25" i="58"/>
  <c r="K25" i="58"/>
  <c r="J25" i="58"/>
  <c r="I25" i="58"/>
  <c r="I13" i="58"/>
  <c r="H13" i="58"/>
  <c r="M5" i="58"/>
  <c r="J5" i="58"/>
  <c r="D5" i="58"/>
  <c r="A5" i="58"/>
  <c r="H23" i="57"/>
  <c r="H22" i="57"/>
  <c r="H21" i="57"/>
  <c r="H20" i="57"/>
  <c r="H19" i="57"/>
  <c r="H18" i="57"/>
  <c r="H16" i="57"/>
  <c r="H15" i="57"/>
  <c r="A25" i="57"/>
  <c r="M24" i="57"/>
  <c r="L24" i="57"/>
  <c r="K24" i="57"/>
  <c r="J24" i="57"/>
  <c r="I24" i="57"/>
  <c r="I13" i="57"/>
  <c r="H13" i="57"/>
  <c r="M5" i="57"/>
  <c r="J5" i="57"/>
  <c r="D5" i="57"/>
  <c r="A5" i="57"/>
  <c r="A17" i="56"/>
  <c r="I13" i="56"/>
  <c r="H13" i="56"/>
  <c r="M5" i="56"/>
  <c r="J5" i="56"/>
  <c r="D5" i="56"/>
  <c r="A5" i="56"/>
  <c r="H39" i="61" l="1"/>
  <c r="H33" i="73"/>
  <c r="J31" i="73"/>
  <c r="H42" i="62"/>
  <c r="H25" i="63"/>
  <c r="H25" i="58"/>
  <c r="H25" i="59"/>
  <c r="H23" i="60"/>
  <c r="H31" i="66"/>
  <c r="H45" i="70"/>
  <c r="H26" i="67"/>
  <c r="H29" i="65"/>
  <c r="H24" i="57"/>
  <c r="H36" i="71"/>
  <c r="H37" i="69"/>
  <c r="K27" i="64"/>
  <c r="K30" i="64" s="1"/>
  <c r="M29" i="64"/>
  <c r="M30" i="64" s="1"/>
  <c r="I30" i="64"/>
  <c r="J26" i="64"/>
  <c r="J30" i="64" s="1"/>
  <c r="L28" i="64"/>
  <c r="L30" i="64" s="1"/>
  <c r="H30" i="68"/>
  <c r="H30" i="64"/>
  <c r="A30" i="54"/>
  <c r="M28" i="54"/>
  <c r="L27" i="54"/>
  <c r="K26" i="54"/>
  <c r="J25" i="54"/>
  <c r="H16" i="54"/>
  <c r="I13" i="54"/>
  <c r="H13" i="54"/>
  <c r="M5" i="54"/>
  <c r="J5" i="54"/>
  <c r="D5" i="54"/>
  <c r="H24" i="53"/>
  <c r="H23" i="53"/>
  <c r="H22" i="53"/>
  <c r="H21" i="53"/>
  <c r="H20" i="53"/>
  <c r="H19" i="53"/>
  <c r="H18" i="53"/>
  <c r="H17" i="53"/>
  <c r="H15" i="53"/>
  <c r="A26" i="53"/>
  <c r="I13" i="53"/>
  <c r="H13" i="53"/>
  <c r="M5" i="53"/>
  <c r="J5" i="53"/>
  <c r="D5" i="53"/>
  <c r="A5" i="53"/>
  <c r="H17" i="52"/>
  <c r="H16" i="52"/>
  <c r="H15" i="52"/>
  <c r="A19" i="52"/>
  <c r="M18" i="52"/>
  <c r="L18" i="52"/>
  <c r="K18" i="52"/>
  <c r="J18" i="52"/>
  <c r="I18" i="52"/>
  <c r="I13" i="52"/>
  <c r="H13" i="52"/>
  <c r="M5" i="52"/>
  <c r="J5" i="52"/>
  <c r="D5" i="52"/>
  <c r="A5" i="52"/>
  <c r="H24" i="51"/>
  <c r="H23" i="51"/>
  <c r="H22" i="51"/>
  <c r="H21" i="51"/>
  <c r="H20" i="51"/>
  <c r="H19" i="51"/>
  <c r="H18" i="51"/>
  <c r="H17" i="51"/>
  <c r="H16" i="51"/>
  <c r="H15" i="51"/>
  <c r="A26" i="51"/>
  <c r="M25" i="51"/>
  <c r="L25" i="51"/>
  <c r="K25" i="51"/>
  <c r="J25" i="51"/>
  <c r="I25" i="51"/>
  <c r="I13" i="51"/>
  <c r="H13" i="51"/>
  <c r="M5" i="51"/>
  <c r="J5" i="51"/>
  <c r="D5" i="51"/>
  <c r="A5" i="51"/>
  <c r="H33" i="50"/>
  <c r="H32" i="50"/>
  <c r="H31" i="50"/>
  <c r="H30" i="50"/>
  <c r="H29" i="50"/>
  <c r="H28" i="50"/>
  <c r="H27" i="50"/>
  <c r="H26" i="50"/>
  <c r="H24" i="50"/>
  <c r="H23" i="50"/>
  <c r="H22" i="50"/>
  <c r="H21" i="50"/>
  <c r="H20" i="50"/>
  <c r="H19" i="50"/>
  <c r="H18" i="50"/>
  <c r="H17" i="50"/>
  <c r="H16" i="50"/>
  <c r="A35" i="50"/>
  <c r="M34" i="50"/>
  <c r="L34" i="50"/>
  <c r="K34" i="50"/>
  <c r="J34" i="50"/>
  <c r="I34" i="50"/>
  <c r="I13" i="50"/>
  <c r="H13" i="50"/>
  <c r="M5" i="50"/>
  <c r="J5" i="50"/>
  <c r="D5" i="50"/>
  <c r="A5" i="50"/>
  <c r="H33" i="49"/>
  <c r="H32" i="49"/>
  <c r="H31" i="49"/>
  <c r="H30" i="49"/>
  <c r="H29" i="49"/>
  <c r="H28" i="49"/>
  <c r="H27" i="49"/>
  <c r="H26" i="49"/>
  <c r="H24" i="49"/>
  <c r="H23" i="49"/>
  <c r="H22" i="49"/>
  <c r="H21" i="49"/>
  <c r="H20" i="49"/>
  <c r="H19" i="49"/>
  <c r="H18" i="49"/>
  <c r="H17" i="49"/>
  <c r="H16" i="49"/>
  <c r="A35" i="49"/>
  <c r="M34" i="49"/>
  <c r="L34" i="49"/>
  <c r="K34" i="49"/>
  <c r="J34" i="49"/>
  <c r="I34" i="49"/>
  <c r="I13" i="49"/>
  <c r="H13" i="49"/>
  <c r="M5" i="49"/>
  <c r="J5" i="49"/>
  <c r="D5" i="49"/>
  <c r="A5" i="49"/>
  <c r="J33" i="48"/>
  <c r="J32" i="48"/>
  <c r="J31" i="48"/>
  <c r="J29" i="48"/>
  <c r="J30" i="48"/>
  <c r="J24" i="48"/>
  <c r="J23" i="48"/>
  <c r="J22" i="48"/>
  <c r="J21" i="48"/>
  <c r="J20" i="48"/>
  <c r="J19" i="48"/>
  <c r="J18" i="48"/>
  <c r="J17" i="48"/>
  <c r="J16" i="48"/>
  <c r="A35" i="48"/>
  <c r="J13" i="48"/>
  <c r="I13" i="48"/>
  <c r="H13" i="48"/>
  <c r="M5" i="48"/>
  <c r="J5" i="48"/>
  <c r="D5" i="48"/>
  <c r="A5" i="48"/>
  <c r="I33" i="47"/>
  <c r="I32" i="47"/>
  <c r="I31" i="47"/>
  <c r="I29" i="47"/>
  <c r="I24" i="47"/>
  <c r="I23" i="47"/>
  <c r="I22" i="47"/>
  <c r="I21" i="47"/>
  <c r="I20" i="47"/>
  <c r="I19" i="47"/>
  <c r="I18" i="47"/>
  <c r="I17" i="47"/>
  <c r="I16" i="47"/>
  <c r="H29" i="54" l="1"/>
  <c r="L29" i="54"/>
  <c r="J29" i="54"/>
  <c r="K29" i="54"/>
  <c r="I29" i="54"/>
  <c r="M29" i="54"/>
  <c r="J33" i="73"/>
  <c r="H25" i="53"/>
  <c r="H34" i="50"/>
  <c r="H34" i="49"/>
  <c r="H18" i="52"/>
  <c r="H25" i="51"/>
  <c r="J34" i="48"/>
  <c r="J17" i="25" s="1"/>
  <c r="A35" i="47"/>
  <c r="M34" i="47"/>
  <c r="L34" i="47"/>
  <c r="K34" i="47"/>
  <c r="J34" i="47"/>
  <c r="I34" i="47"/>
  <c r="H34" i="47"/>
  <c r="I13" i="47"/>
  <c r="H13" i="47"/>
  <c r="M5" i="47"/>
  <c r="J5" i="47"/>
  <c r="D5" i="47"/>
  <c r="A5" i="47"/>
  <c r="H38" i="46"/>
  <c r="H37" i="46"/>
  <c r="H36" i="46"/>
  <c r="H35" i="46"/>
  <c r="H34" i="46"/>
  <c r="H27" i="46"/>
  <c r="H26" i="46"/>
  <c r="H25" i="46"/>
  <c r="H24" i="46"/>
  <c r="H23" i="46"/>
  <c r="H22" i="46"/>
  <c r="H21" i="46"/>
  <c r="H20" i="46"/>
  <c r="H19" i="46"/>
  <c r="H18" i="46"/>
  <c r="H17" i="46"/>
  <c r="H16" i="46"/>
  <c r="A40" i="46"/>
  <c r="M39" i="46"/>
  <c r="L39" i="46"/>
  <c r="K39" i="46"/>
  <c r="J39" i="46"/>
  <c r="I13" i="46"/>
  <c r="H13" i="46"/>
  <c r="M5" i="46"/>
  <c r="J5" i="46"/>
  <c r="D5" i="46"/>
  <c r="A5" i="46"/>
  <c r="H39" i="45"/>
  <c r="H38" i="45"/>
  <c r="H37" i="45"/>
  <c r="H36" i="45"/>
  <c r="H35" i="45"/>
  <c r="H34" i="45"/>
  <c r="H33" i="45"/>
  <c r="H32" i="45"/>
  <c r="H25" i="45"/>
  <c r="H24" i="45"/>
  <c r="H23" i="45"/>
  <c r="H22" i="45"/>
  <c r="H21" i="45"/>
  <c r="H20" i="45"/>
  <c r="H19" i="45"/>
  <c r="H18" i="45"/>
  <c r="H17" i="45"/>
  <c r="H16" i="45"/>
  <c r="A41" i="45"/>
  <c r="M40" i="45"/>
  <c r="L40" i="45"/>
  <c r="K40" i="45"/>
  <c r="J40" i="45"/>
  <c r="I13" i="45"/>
  <c r="H13" i="45"/>
  <c r="M5" i="45"/>
  <c r="J5" i="45"/>
  <c r="D5" i="45"/>
  <c r="A5" i="45"/>
  <c r="A34" i="44"/>
  <c r="M33" i="44"/>
  <c r="L33" i="44"/>
  <c r="K33" i="44"/>
  <c r="J33" i="44"/>
  <c r="I33" i="44"/>
  <c r="H33" i="44"/>
  <c r="I13" i="44"/>
  <c r="H13" i="44"/>
  <c r="M5" i="44"/>
  <c r="J5" i="44"/>
  <c r="D5" i="44"/>
  <c r="A5" i="44"/>
  <c r="L27" i="43"/>
  <c r="L29" i="43" s="1"/>
  <c r="F28" i="43"/>
  <c r="M28" i="43" s="1"/>
  <c r="M29" i="43" s="1"/>
  <c r="F26" i="43"/>
  <c r="K26" i="43" s="1"/>
  <c r="K29" i="43" s="1"/>
  <c r="F25" i="43"/>
  <c r="J25" i="43" s="1"/>
  <c r="J29" i="43" s="1"/>
  <c r="I29" i="43"/>
  <c r="H23" i="43"/>
  <c r="H22" i="43"/>
  <c r="H21" i="43"/>
  <c r="H20" i="43"/>
  <c r="H19" i="43"/>
  <c r="H18" i="43"/>
  <c r="H17" i="43"/>
  <c r="H16" i="43"/>
  <c r="H15" i="43"/>
  <c r="A30" i="43"/>
  <c r="I13" i="43"/>
  <c r="H13" i="43"/>
  <c r="M5" i="43"/>
  <c r="J5" i="43"/>
  <c r="D5" i="43"/>
  <c r="A5" i="43"/>
  <c r="AF39" i="2"/>
  <c r="AF40" i="2"/>
  <c r="M5" i="2"/>
  <c r="J5" i="2"/>
  <c r="H13" i="2"/>
  <c r="J28" i="2"/>
  <c r="J32" i="2" s="1"/>
  <c r="A33" i="2"/>
  <c r="F15" i="2"/>
  <c r="H15" i="2" s="1"/>
  <c r="F16" i="2"/>
  <c r="H16" i="2" s="1"/>
  <c r="F17" i="2"/>
  <c r="H17" i="2" s="1"/>
  <c r="F18" i="2"/>
  <c r="H18" i="2" s="1"/>
  <c r="F19" i="2"/>
  <c r="H19" i="2" s="1"/>
  <c r="F20" i="2"/>
  <c r="H20" i="2" s="1"/>
  <c r="F21" i="2"/>
  <c r="H21" i="2" s="1"/>
  <c r="F22" i="2"/>
  <c r="H22" i="2" s="1"/>
  <c r="F23" i="2"/>
  <c r="H23" i="2" s="1"/>
  <c r="F24" i="2"/>
  <c r="H24" i="2" s="1"/>
  <c r="F31" i="2"/>
  <c r="M31" i="2" s="1"/>
  <c r="M32" i="2" s="1"/>
  <c r="AF46" i="2"/>
  <c r="AF59" i="2"/>
  <c r="AF47" i="2"/>
  <c r="AF56" i="2"/>
  <c r="AF57" i="2"/>
  <c r="AF58" i="2"/>
  <c r="AF44" i="2"/>
  <c r="F29" i="2" s="1"/>
  <c r="K29" i="2" s="1"/>
  <c r="K32" i="2" s="1"/>
  <c r="L17" i="25" s="1"/>
  <c r="AF45" i="2"/>
  <c r="AF51" i="2"/>
  <c r="I13" i="2"/>
  <c r="AF55" i="2"/>
  <c r="AF54" i="2"/>
  <c r="AF53" i="2"/>
  <c r="AF52" i="2"/>
  <c r="F30" i="2" s="1"/>
  <c r="L30" i="2" s="1"/>
  <c r="L32" i="2" s="1"/>
  <c r="AF43" i="2"/>
  <c r="AF42" i="2"/>
  <c r="AF41" i="2"/>
  <c r="A5" i="2"/>
  <c r="D5" i="2"/>
  <c r="N17" i="25" l="1"/>
  <c r="O17" i="25"/>
  <c r="K17" i="25"/>
  <c r="I32" i="2"/>
  <c r="I17" i="25" s="1"/>
  <c r="H32" i="2"/>
  <c r="H40" i="45"/>
  <c r="I39" i="46"/>
  <c r="H39" i="46"/>
  <c r="I40" i="45"/>
  <c r="H29" i="43"/>
  <c r="H17" i="25" l="1"/>
  <c r="D18" i="25" s="1"/>
</calcChain>
</file>

<file path=xl/comments1.xml><?xml version="1.0" encoding="utf-8"?>
<comments xmlns="http://schemas.openxmlformats.org/spreadsheetml/2006/main">
  <authors>
    <author>michelle.komiskey</author>
  </authors>
  <commentList>
    <comment ref="H7" authorId="0">
      <text>
        <r>
          <rPr>
            <b/>
            <sz val="8"/>
            <color indexed="81"/>
            <rFont val="Tahoma"/>
            <family val="2"/>
          </rPr>
          <t>Contract Number is Required on this document.</t>
        </r>
        <r>
          <rPr>
            <sz val="8"/>
            <color indexed="81"/>
            <rFont val="Tahoma"/>
            <family val="2"/>
          </rPr>
          <t xml:space="preserve">
</t>
        </r>
      </text>
    </comment>
  </commentList>
</comments>
</file>

<file path=xl/comments2.xml><?xml version="1.0" encoding="utf-8"?>
<comments xmlns="http://schemas.openxmlformats.org/spreadsheetml/2006/main">
  <authors>
    <author>michelle.komiskey</author>
  </authors>
  <commentList>
    <comment ref="H6" authorId="0">
      <text>
        <r>
          <rPr>
            <b/>
            <sz val="8"/>
            <color indexed="81"/>
            <rFont val="Tahoma"/>
            <family val="2"/>
          </rPr>
          <t>Contract Number is Required on this document.</t>
        </r>
        <r>
          <rPr>
            <sz val="8"/>
            <color indexed="81"/>
            <rFont val="Tahoma"/>
            <family val="2"/>
          </rPr>
          <t xml:space="preserve">
</t>
        </r>
      </text>
    </comment>
  </commentList>
</comments>
</file>

<file path=xl/sharedStrings.xml><?xml version="1.0" encoding="utf-8"?>
<sst xmlns="http://schemas.openxmlformats.org/spreadsheetml/2006/main" count="4092" uniqueCount="511">
  <si>
    <t>Choose Year 1 &amp; (2) Management Practice (Reenroll)</t>
  </si>
  <si>
    <t>Choose Year 1 &amp; (2) Management Practice Reenroll</t>
  </si>
  <si>
    <t>CRAE     CP1 SEED (SEE JOB SHEET 134)</t>
  </si>
  <si>
    <t>CRBD     TREE/SHRUB PLANTING (HAND OR MACHINE)</t>
  </si>
  <si>
    <t>CRBA     TEMPORARY SEEDING</t>
  </si>
  <si>
    <t>CRCD     SUBSURFACE DRAINS</t>
  </si>
  <si>
    <t>CRCC     ESTABLISHING SOD WATERWAYS</t>
  </si>
  <si>
    <t>CRCE     INSTALL &amp; REMOVE BERMS FOR CRP WATERWAY</t>
  </si>
  <si>
    <t>COST BASIS                         $</t>
  </si>
  <si>
    <t>REF. NO.</t>
  </si>
  <si>
    <t>Wisconsin</t>
  </si>
  <si>
    <t>CRBK      FENCING</t>
  </si>
  <si>
    <t>CRAN     WEED/INSECT CONTROL</t>
  </si>
  <si>
    <t>CRBL     ANIMAL CONTROL DEVICE(STC APPROVAL)</t>
  </si>
  <si>
    <t>CRCH    ROCK FILLED INFILTRATION TRENCH</t>
  </si>
  <si>
    <t>ROD</t>
  </si>
  <si>
    <t>CRCF      WETLAND RESTORATION</t>
  </si>
  <si>
    <t>Unit_Type</t>
  </si>
  <si>
    <t>Unit_Cost</t>
  </si>
  <si>
    <t>Share_Rate</t>
  </si>
  <si>
    <t>AC</t>
  </si>
  <si>
    <t>100</t>
  </si>
  <si>
    <t>NO</t>
  </si>
  <si>
    <t>FT</t>
  </si>
  <si>
    <t xml:space="preserve"> </t>
  </si>
  <si>
    <t>CONSERVATION PLAN</t>
  </si>
  <si>
    <t>SCHEDULE OF OPERATIONS</t>
  </si>
  <si>
    <t>FIELD</t>
  </si>
  <si>
    <t>NO.</t>
  </si>
  <si>
    <t>CRAR   11th/12th Year MANAGEMENT MOWING</t>
  </si>
  <si>
    <t>CRAW   11th/12th Year DISK/INTERSEED COOL</t>
  </si>
  <si>
    <t>Choose 11th/12th Year Management Practice</t>
  </si>
  <si>
    <t xml:space="preserve">CRAR     6th/7th Year MANAGEMENT MOWING </t>
  </si>
  <si>
    <t xml:space="preserve">CRAV     6th/7th  Year MANAGEMENT HERBICIDE    </t>
  </si>
  <si>
    <t xml:space="preserve">CRAR  11th/12th Year MANAGEMENT MOWING </t>
  </si>
  <si>
    <t xml:space="preserve">CRAV  11th/12th Year MANAGEMENT HERBICIDE    </t>
  </si>
  <si>
    <t xml:space="preserve">CRAW    1st/2nd Year DISK/INTERSEED COOL </t>
  </si>
  <si>
    <t xml:space="preserve">CRAR  11th/12th Year MANAGEMENT MOWING                              </t>
  </si>
  <si>
    <t>CRAV  11th/12th Year MANAGEMENT HERBICIDE</t>
  </si>
  <si>
    <t>CRAV  11th/12th Year HERBICDE APPLICATION</t>
  </si>
  <si>
    <t>CRAW 11th/12th Year DISK/INTERSEED COOL MIX</t>
  </si>
  <si>
    <t>Choose 11th/12th Year Management</t>
  </si>
  <si>
    <t>Choose 6th/7th Year Management Practice</t>
  </si>
  <si>
    <t>CRAR    6th/7th Year MANAGMENT  MOWING</t>
  </si>
  <si>
    <t>CRAV    6th/7th Year MANAGEMENT HERBICIDE</t>
  </si>
  <si>
    <t>CRAD      SEEDING OPERATION&gt;3AC</t>
  </si>
  <si>
    <t>CRBM    TREE SEED/HEAVY SEEDED</t>
  </si>
  <si>
    <t>Bu</t>
  </si>
  <si>
    <t>CRBN      TREE SEED/LIGHT SEEDED</t>
  </si>
  <si>
    <t>CRBO    DIRECT SEEDED TREES</t>
  </si>
  <si>
    <t>CRCI        PIPELINE  CAP $4000/CONTRACT</t>
  </si>
  <si>
    <t>CRCJ      WATER FACILITIES CAP $4000/CONTRACT</t>
  </si>
  <si>
    <t>CRCK     LIVESTOCK CROSSING CAP $3000/CONTRACT</t>
  </si>
  <si>
    <t>CRAH      CP30 NRCS AUTHORIZED SEED MIX</t>
  </si>
  <si>
    <t>CRBG    CONTINERIZED TREES/SHRUBS</t>
  </si>
  <si>
    <t>CRBH    CUTTINGS/TRAANSPLANTS</t>
  </si>
  <si>
    <t>CRBF     PRIVATE NURSERY TREES/SHRUBS</t>
  </si>
  <si>
    <t>CRAX   6th/7th Year DISK/INTERSEED WARM MIX</t>
  </si>
  <si>
    <t>CRAX  11th12th Year DISK/INTERSEED WARM MIX</t>
  </si>
  <si>
    <t>Choose Year 11 &amp; (12) Management Practice</t>
  </si>
  <si>
    <t>Choose Year 6 &amp; (7) Management Practice</t>
  </si>
  <si>
    <t>CRDG   6th/7th Year HERBICIDE/INTERSEED COOL MIX</t>
  </si>
  <si>
    <t>CRAK      CP27 NRCS AUTHORIZED SEED MIX</t>
  </si>
  <si>
    <t>CRAV    6th/7th Year Management HERBICDE</t>
  </si>
  <si>
    <t>CRAR    6th/7th Year Management MOWING</t>
  </si>
  <si>
    <t>CRAW   6th/7th Year Management DISK/INTERSEED COOL</t>
  </si>
  <si>
    <t>CRDG    6th/7th Year Management HERBICIDE/INTERSEED COOL MIX</t>
  </si>
  <si>
    <t>CRDG   11th/12th Year Management HERBICIDE/INTERSEED COOL MIX</t>
  </si>
  <si>
    <t>CRAW  11th/12th Year Management DISK/INTERSEED COOL</t>
  </si>
  <si>
    <t>CRAV   11th/12th Year Management HERBICDE</t>
  </si>
  <si>
    <t>CRAR   11th/12th Year Management MOWING</t>
  </si>
  <si>
    <t>CRAH   CP29 AUTHORIZED BY NRCS CUSTOM SEED MIX</t>
  </si>
  <si>
    <t>CRDD     WATER DEVELOPMENTS (spring, well, pond) CAP $6000/CONTRACT</t>
  </si>
  <si>
    <t>CRCI     PIPELINE  CAP $4000/CONTRACT</t>
  </si>
  <si>
    <t>CRBB   LIGHT SITE PREPARATION</t>
  </si>
  <si>
    <t>CRBC   MEDIUM SITE PREPARATION</t>
  </si>
  <si>
    <t>CRBL      ANIMAL CONTROL DEVICE (STC APPROVAL)</t>
  </si>
  <si>
    <t>No</t>
  </si>
  <si>
    <t>1</t>
  </si>
  <si>
    <t>CRAT      CP33 SEED</t>
  </si>
  <si>
    <t>CRAQ      CP33 REQUIRED MANAGEMENT PRACTICE DISKING (CP1, CP10 SIGN-UP 26 &amp; 29 ONLY)</t>
  </si>
  <si>
    <t>CRAZ   CP1,CP2,CP10,CP21,CP23,CP23A,CP25,CP28,CP29 REQUIRED MANAGEMENT BURNING AND INTER-SEEDING (WARM MIX)</t>
  </si>
  <si>
    <t>CRAY   CP1,CP2,CP10,CP21,CP23,CP23A,CP25,CP28,CP29 REQUIRED MANAGEMENT BURNING AND INTER-SEEDING (COOL MIX)</t>
  </si>
  <si>
    <t>CRBM    TREE SEED/HEAVY SEEDED SPECIES</t>
  </si>
  <si>
    <t>CRBN      TREE SEED/LIGHT SEEDED SPECIES</t>
  </si>
  <si>
    <t>CRBO     DIRECT SEEDING - TREES (BROADCAST OT DRILL)</t>
  </si>
  <si>
    <t>CRDB    WETLAND RESTORATION (NO C/S)</t>
  </si>
  <si>
    <t>CRDE    BOUNDARY MARKER</t>
  </si>
  <si>
    <t>CRAG     CP4B, CP4D, CP11, CP32 SEED (SEE JOB SHEET 134 OR 135)</t>
  </si>
  <si>
    <t>Totals:</t>
  </si>
  <si>
    <t>ITEM NO.</t>
  </si>
  <si>
    <t>Choose Year 1 &amp; (2) Management Practice</t>
  </si>
  <si>
    <t xml:space="preserve">CRAR     1st/2nd Year MANAGEMENT MOWING </t>
  </si>
  <si>
    <t>CRAV     1st/2nd Year MANAGEMENT HERBICIDE</t>
  </si>
  <si>
    <t>CRAV  6th/7th Year MANAGEMENT HERBICIDE</t>
  </si>
  <si>
    <t>CRAR   6th/7th Year MANAGEMENT MOWING</t>
  </si>
  <si>
    <t xml:space="preserve">CRCG      GRADING, LEVELING, FILLING </t>
  </si>
  <si>
    <t xml:space="preserve">CRAO     SEEDING RATE SMALL ACREAGE &lt;3 ACRES </t>
  </si>
  <si>
    <t>CRCF     SHALLOW WATER AREA FOR WILDLIFE</t>
  </si>
  <si>
    <t>CRAN     WEED AND INSECT CONTROL</t>
  </si>
  <si>
    <t>CRAN    WEED/INSECT CONTROL</t>
  </si>
  <si>
    <t>CRBF  Private Nursery Trees/Shrubs</t>
  </si>
  <si>
    <t>CRBG Containerized Trees</t>
  </si>
  <si>
    <t>CRBH Cuttings and Transplants</t>
  </si>
  <si>
    <t>CRBM Tree Seed/Heavy Seeded Species</t>
  </si>
  <si>
    <t>CRBN  Tree Seed/Light Seeded Species</t>
  </si>
  <si>
    <t>CRBD  Tree/Shrubs Planting (Hand or Machine)</t>
  </si>
  <si>
    <t>CRBO  Direct Seed Trees (Broadcast or Drill)</t>
  </si>
  <si>
    <t>CRBE  DNR Trees and Shrubs</t>
  </si>
  <si>
    <t>CRBL  Animal Damage Control Devise</t>
  </si>
  <si>
    <t>CRCF  SHALLOW WATER AREAS FOR WILDLIFE</t>
  </si>
  <si>
    <t>CRCG  GRADING, LEVELING, FILLING</t>
  </si>
  <si>
    <t>CRAY  *6th/7th Year BURN/INTERSEED COOL MIX</t>
  </si>
  <si>
    <t>CRAZ  *6th/7th Year BURN/INTERSEED WARM MIX</t>
  </si>
  <si>
    <t xml:space="preserve">CRAS  *11th/12th Year MANAGEMENT BURN                                     </t>
  </si>
  <si>
    <t>CRAY  *11th/12th Year BURN/INTERSEED COOL MIX</t>
  </si>
  <si>
    <t>CRAZ  *11th/12th Year BURN/INTERSEED WARM MIX</t>
  </si>
  <si>
    <t>CRAS  *6th/7th Year BURN</t>
  </si>
  <si>
    <t>CRAY   *6th/7th Year BURN/INTERSEED COOL MIX</t>
  </si>
  <si>
    <t>CRAZ   *6th/7th Year BURN/INTERSEED WARM MIX</t>
  </si>
  <si>
    <t>CRAS  *11th/12th Year BURN</t>
  </si>
  <si>
    <t>CRAS    *6th/7th Year PRESCRIBED BURN</t>
  </si>
  <si>
    <t>CRDF    *6th/7th year  BURN/INTERSEED CP25 MIX</t>
  </si>
  <si>
    <t>CRAS   *11th/12th Year PRESCRIBED BURN</t>
  </si>
  <si>
    <t>CRDF    *11th/12th Year BURN/INTERSEED CP25 MIX</t>
  </si>
  <si>
    <t>CRAS    *6th/7th Year Management PRESCRIBED BURN</t>
  </si>
  <si>
    <t>CRAY   *6th/7th Year Management BURN/INTERSEED COOL</t>
  </si>
  <si>
    <t>CRAZ    *6th/7th Year Management BURN/INTERSEED WARM</t>
  </si>
  <si>
    <t>CRAS   *11th/12th Year Management PRESCRIBED BURN</t>
  </si>
  <si>
    <t>CRAY   *11th/12th Year Management BURN/INTERSEED COOL</t>
  </si>
  <si>
    <t>CRAZ   *11th/12th Year Management BURN/INTERSEED WARM</t>
  </si>
  <si>
    <t>CRAS   *6th/7th Year MANAGEMENT PRESCRIBED BURN</t>
  </si>
  <si>
    <t>CRAS  *11th/12th Year  PRESCRIBED BURN</t>
  </si>
  <si>
    <t>You will need to enter the cost for these items in the Component List tab.</t>
  </si>
  <si>
    <t>CRDD   WATER DEVELOPMENTS (spring,well,pond)CAP $6000 TOTAL</t>
  </si>
  <si>
    <t>CRAI        CP28 CUSTOM SEED MIX (SEE JOB SHEET)</t>
  </si>
  <si>
    <t xml:space="preserve">Choose Year 1 &amp; (2) Management </t>
  </si>
  <si>
    <t xml:space="preserve">CRAR  1st/2nd Year MANAGEMENT MOWING                              </t>
  </si>
  <si>
    <t xml:space="preserve">CRAS  *1st/2nd Year MANAGEMENT BURN                        </t>
  </si>
  <si>
    <t>CRAV  1st/2nd Year MANAGEMENT HERBICIDE</t>
  </si>
  <si>
    <t>CRAY  *1st/2nd Year BURN/INTERSEED COOL MIX</t>
  </si>
  <si>
    <t>CRAZ  *1st/2nd Year BURN/INTERSEED WARM MIX</t>
  </si>
  <si>
    <t>CRDG  1st/2nd Year HERBICIDE/INTERSEED COOL MIX</t>
  </si>
  <si>
    <t>CRDH    CROP TREE RELEASE - SLASH LEFT ON SITE</t>
  </si>
  <si>
    <t>CRDI     EVERY OTHER ROW THINNING - SLASH LEFT ON SITE</t>
  </si>
  <si>
    <t>CRDK   PRUNING TO 12'</t>
  </si>
  <si>
    <t>CRDL   PRUNING TO 17'</t>
  </si>
  <si>
    <t xml:space="preserve">CRAX      6th/7th  Year  MGMT DISK/INTERSEED WARM </t>
  </si>
  <si>
    <t>CRAW     6th/7th  Year MGMT DISK/INTERSEED COOL</t>
  </si>
  <si>
    <t xml:space="preserve">CRAX      11th/12th  Year  MGMT DISK/INTERSEED WARM </t>
  </si>
  <si>
    <t>CRAQ     11th/12th Year MANAGEMENT LIGHT DISKING</t>
  </si>
  <si>
    <t>CRAX     1st/2nd Year DISK/INTERSEED WARM</t>
  </si>
  <si>
    <t>CRAR   11th/12th Year MANAGMENT  MOWING</t>
  </si>
  <si>
    <t>CRAV   11th/12th Year MANAGEMENT HERBICIDE</t>
  </si>
  <si>
    <t>CRAV   6th/7th Year MANAGEMENT HERBICDE</t>
  </si>
  <si>
    <t>CRAR  11th/12th Year MANAGEMENT MOWING</t>
  </si>
  <si>
    <t>CRAV  11th/12th Year MANAGEMENT HERBICDE</t>
  </si>
  <si>
    <t xml:space="preserve">Choose 11th/12th Year Management Practice </t>
  </si>
  <si>
    <t>CRAR  11th/12th Year MOW</t>
  </si>
  <si>
    <t>CRAB      LIME &amp; FERTILIZER PER SOIL TEST</t>
  </si>
  <si>
    <t xml:space="preserve">CRAA      LABORATORY SOIL ANALYSIS FEE </t>
  </si>
  <si>
    <t>CRAC      SEEDBED PREPARATION</t>
  </si>
  <si>
    <t>CRAD      SEEDING OPERATION</t>
  </si>
  <si>
    <t>CRAN      WEED/INSECT CONTROL - GRASS</t>
  </si>
  <si>
    <t>CRAM     COMPANION CROP</t>
  </si>
  <si>
    <t>CRBA      TEMPORARY SEEDING</t>
  </si>
  <si>
    <t>CRBB      LIGHT SITE PREPARATION</t>
  </si>
  <si>
    <t>CRBC      MEDIUM SITE PREPARATION</t>
  </si>
  <si>
    <t>CRBD      TREE/SHRUB PLANTING (HAND OR MACHINE)</t>
  </si>
  <si>
    <t>CRBE      DNR TREES/SHRUBS</t>
  </si>
  <si>
    <t>CRBL      ANIMAL CONTROL DEVICE</t>
  </si>
  <si>
    <t>CRBL     ANIMAL CONTROL DEVICE</t>
  </si>
  <si>
    <t>CRAD      SEEDING OPERATION&gt; 3 AC</t>
  </si>
  <si>
    <t>CRAR      6th/7th Year MANAGEMENT MOWING</t>
  </si>
  <si>
    <t>CRAV      6th/7th Year MANAGEMENT HERBICIDE</t>
  </si>
  <si>
    <t>CRDD  WATER (SPRING,WELL,POND)CAP $6000/contract</t>
  </si>
  <si>
    <t>CRAO     SEEDING RATE SMALL ACREAGE &lt;3 ACRES</t>
  </si>
  <si>
    <t>CRDG  11th/12th Year HERBICIDE/INTERSEED COOL MIX</t>
  </si>
  <si>
    <t xml:space="preserve">CRAR  6th/7th Year MANAGEMENT MOWING                              </t>
  </si>
  <si>
    <t>CRDG  6th/7th Year HERBICIDE/INTERSEED COOL MIX</t>
  </si>
  <si>
    <t>CRDG     6th/7th Year HERBICIDE/INTERSEED (Cool Mix)</t>
  </si>
  <si>
    <t>CRDG     11th/12th Year HERBICIDE/INTERSEED (Cool Mix)</t>
  </si>
  <si>
    <t>Choose  6th/7th Mid Management Practice</t>
  </si>
  <si>
    <t>Choose 11th/12thYear Management Practice</t>
  </si>
  <si>
    <t>CRAR   6th/7th Year MOW</t>
  </si>
  <si>
    <t>CRAV   6th/7th Year HERBICDE APPLICATION</t>
  </si>
  <si>
    <t>CRAW  6th/7th Year DISK/INTERSEED COOL MIX</t>
  </si>
  <si>
    <t>4. Enter the Tract number and acres of the practice for each component.</t>
  </si>
  <si>
    <t xml:space="preserve">Choose Year 6 &amp; (7) Management Practice </t>
  </si>
  <si>
    <t>Choose Year 11 &amp; 12 Management Practice</t>
  </si>
  <si>
    <t xml:space="preserve">Choose Year 6 &amp; (7) Management </t>
  </si>
  <si>
    <t xml:space="preserve">Choose Year 11 &amp; (12) Management </t>
  </si>
  <si>
    <t>Column1</t>
  </si>
  <si>
    <t>Column2</t>
  </si>
  <si>
    <t>NOTES:</t>
  </si>
  <si>
    <t xml:space="preserve">CRAS      *6th/7th Year MANAGEMENT BURNING               </t>
  </si>
  <si>
    <t>CRAY      *6th/7th  Year BURN/INTERSEED COOL</t>
  </si>
  <si>
    <t>CRAZ      *6th/7th Year BURN/INTERSEED WARM</t>
  </si>
  <si>
    <t xml:space="preserve">CRAS   *11th/12th Year MANAGEMENT BURNING               </t>
  </si>
  <si>
    <t>CRAY   *11th/12th Year BURN/INTERSEED COOL</t>
  </si>
  <si>
    <t>CRAZ      *11th/12th Year BURN/INTERSEED WARM</t>
  </si>
  <si>
    <t>CRAS     *6th/7th Year MANAGEMENT BURNING</t>
  </si>
  <si>
    <t xml:space="preserve">CRAZ     *6th/7th  Year BURN/INTERSEED WARM    </t>
  </si>
  <si>
    <t>CRAS  *11th/12th Year MANAGEMENT BURNING</t>
  </si>
  <si>
    <t xml:space="preserve">CRAZ *11th/12th Year BURN/INTERSEED WARM    </t>
  </si>
  <si>
    <t>B. When established, the conservation practices listed in Column 8 must be maintained by the participant at no cost to the government</t>
  </si>
  <si>
    <t xml:space="preserve">     FR = Flat Rate</t>
  </si>
  <si>
    <t xml:space="preserve">     NC = Non cost-shared. </t>
  </si>
  <si>
    <t xml:space="preserve">     the terms and conditions hereof.</t>
  </si>
  <si>
    <t>SIGNATURE</t>
  </si>
  <si>
    <t>Instructions for CRP Plan Sheet Usage</t>
  </si>
  <si>
    <t xml:space="preserve">2. Enter Contract Name, County, Contract Number and Total Acres </t>
  </si>
  <si>
    <t>1. Go to the tab named 'Signature Page'</t>
  </si>
  <si>
    <t>This will transfer these items to all worksheet pages.</t>
  </si>
  <si>
    <t>3. Go to the appropriate worksheet page for the planned practice</t>
  </si>
  <si>
    <t>NOTE:  Some components do not have a cost shown on the worksheet I.E. Lime and Fertilizer per Soil Test.</t>
  </si>
  <si>
    <t>5. Do this for each practice on the tract.</t>
  </si>
  <si>
    <t>6. The spreadsheet will automatically total the cost-sharing for each practice and the total cost-share for the contract.</t>
  </si>
  <si>
    <t xml:space="preserve">Be sure to save a copy of this spreadsheet with no tract information entered so that you will always have a blank one </t>
  </si>
  <si>
    <t>to start from.</t>
  </si>
  <si>
    <t xml:space="preserve">order for them to be correct.  </t>
  </si>
  <si>
    <t>NONDISCRIMINATION STATEMENT</t>
  </si>
  <si>
    <t>CRAL   CP25 CUSTOM SEED MIX (SEE JOB SHEET 135)</t>
  </si>
  <si>
    <t>CRAG   CP4B, CP4D SEED (SEE JOB SHEET 134 OR 135)</t>
  </si>
  <si>
    <t xml:space="preserve">     AA = Actual costs not to exceed average cost</t>
  </si>
  <si>
    <t>CRBL     ANIMAL DAMAGE CONTROL DEVICE</t>
  </si>
  <si>
    <t>CRAI       CP22 SEED (SEE JOB SHEET 134 OR 135)</t>
  </si>
  <si>
    <t>CRDD     WATER DEVELOPMENTS (spring,well,pond)</t>
  </si>
  <si>
    <t>WI</t>
  </si>
  <si>
    <t>CRCH  ROCK FILLED INFILTRATION TRENCH</t>
  </si>
  <si>
    <t>CRAD      SEEDING OPERATION &gt;3ACRES</t>
  </si>
  <si>
    <t>CRBE    DNR TREES/SHRUBS</t>
  </si>
  <si>
    <t>CRBF    PRIVATE NURSERY TREES/SHRUBS</t>
  </si>
  <si>
    <t>Lbs</t>
  </si>
  <si>
    <t>CRBD    TREE/SHRUBS PLANTING (HAND OR MACHINE)</t>
  </si>
  <si>
    <t>REMEMBER:  YOU ARE REQUIRED TO ENTER THE PRACTICE LAYER IN TOOLKIT AS A PLAN LAYER!</t>
  </si>
  <si>
    <t>CRAD      SEEDING OPERATION &gt;3 ac</t>
  </si>
  <si>
    <t>CRAI        CP29 CUSTOM SEED MIX (SEE JOB SHEET)</t>
  </si>
  <si>
    <t>CRAL       CP25 CUSTOM SEED MIX (SEE JOB SHEET 135)</t>
  </si>
  <si>
    <t>CRAI      CP21, CP22 SEED (SEE JOB SHEET 134 OR 135)</t>
  </si>
  <si>
    <t>CRAO     SEEDING RATE SMALL ACREAGE 3 ACRES OR LESS/CONTRACT</t>
  </si>
  <si>
    <t>CRCE     INSTALL &amp; REMOVE BERMS FOR CRP Waterway</t>
  </si>
  <si>
    <t>CRCG     GRADING, LEVELING, FILLING</t>
  </si>
  <si>
    <t>CRCH     ROCK FILLED INFILTRATION TRENCH</t>
  </si>
  <si>
    <t>CRBH     CUTTINGS AND TRANSPLANTS</t>
  </si>
  <si>
    <t>CRBM     TREE SEED/HEAVY SEEDED</t>
  </si>
  <si>
    <t>BU</t>
  </si>
  <si>
    <t xml:space="preserve">CRBN     TREE SEED/LIGHT SEEDED </t>
  </si>
  <si>
    <t>LB</t>
  </si>
  <si>
    <t>CRBO     DIRECT SEED BROADCAST TREE SEED</t>
  </si>
  <si>
    <t>CRAE      CP1 SEED</t>
  </si>
  <si>
    <t>CRAU     CP33 REQUIRED MANAGEMENT - STRIP HERBICIDE APPLICATION</t>
  </si>
  <si>
    <t xml:space="preserve">     AM = Actual cost not to exceed a specified maximum</t>
  </si>
  <si>
    <t>*The NRCS client must provide a written burn plan that meets the minimum requirements of NRCS 338 Standard before completing a prescribed burn.  The NRCS client acknowledges that he/she may be liable for damages or accidents caused by smoke or fire.  All prescribed burns will be completed in accordance with all federal, state, and local regulations.  All necessary permits will be obtained.</t>
  </si>
  <si>
    <t xml:space="preserve">CRAS     *1st/2nd Year MANAGEMENT BURNING </t>
  </si>
  <si>
    <t xml:space="preserve">CRAY     *1st/2nd Year BURNING/INTERSEED COOL </t>
  </si>
  <si>
    <t xml:space="preserve">CRAZ      *1st/2nd Year BURN/INTERSEED WARM </t>
  </si>
  <si>
    <t xml:space="preserve">CRAS  *6th/7th Year MANAGEMENT BURNING             </t>
  </si>
  <si>
    <t>CRAZ  *6th/7th Year BURN/INTERSEED WARM</t>
  </si>
  <si>
    <t xml:space="preserve">CRAS  *11th/12th Year MANAGEMENT BURNING             </t>
  </si>
  <si>
    <t>CRAZ  *11th/12th Year BURN/INTERSEED WARM</t>
  </si>
  <si>
    <t xml:space="preserve">CRAS  *6th/7th Year MANAGEMENT BURN                        </t>
  </si>
  <si>
    <t>OMB DISCLOSURE STATEMENT</t>
  </si>
  <si>
    <t>Note: If hardwood trees are being planted over more than one year, the cost share entries and year will need to be typed in</t>
  </si>
  <si>
    <t xml:space="preserve">CRCG    GRADING, LEVELING, FILLING </t>
  </si>
  <si>
    <t>CRCI      PIPELINE CAP $4000 TOTAL COST</t>
  </si>
  <si>
    <t>CRCJ      WATER FACILITIES  CAP $ 4000 TOTAL COST</t>
  </si>
  <si>
    <t>CRCK     LIVESTOCK CROSSINGS  CAP $ 3000 TOTAL</t>
  </si>
  <si>
    <t xml:space="preserve">CRDD     WATER DEVELOPMENTS (spring,well,pond) </t>
  </si>
  <si>
    <t>CRBF      PRIVATE NURSERY TREES/SHRUBS</t>
  </si>
  <si>
    <t>CRBG     CONTAINERIZED TREES</t>
  </si>
  <si>
    <t>CRBH     CUTTINGS &amp; TRANSPLANTS, ASPEN</t>
  </si>
  <si>
    <t>CRBJ      WEED/INSECT CONTROL - TREES</t>
  </si>
  <si>
    <t>CRBK     FENCING</t>
  </si>
  <si>
    <t>CRCA     ESTABLISHING FIELD DIVERSION SYSTEM</t>
  </si>
  <si>
    <t>CRCB     EROSION CONTROL STRUCTURE</t>
  </si>
  <si>
    <t>CRCC      ESTABLISHING SOD WATERWAYS</t>
  </si>
  <si>
    <t>CRCD      SUBSURFACE DRAINS</t>
  </si>
  <si>
    <t>CRCF      SHALLOW WATER AREAS FOR WILDLIFE</t>
  </si>
  <si>
    <t>CRCI      PIPELINE</t>
  </si>
  <si>
    <t>CRCG    GRADING, LEVELING, FILLING</t>
  </si>
  <si>
    <t>CRCJ      WATER FACILITIES</t>
  </si>
  <si>
    <t>CRCK     LIVESTOCK CROSSINGS</t>
  </si>
  <si>
    <t>CRDA     NO C/S AUTH. OR COVER ALREADY ESTAB.</t>
  </si>
  <si>
    <t>CRDC     CP12-WILDLIFE FOOT PLOT (NO C/S)</t>
  </si>
  <si>
    <t>COMPONENT</t>
  </si>
  <si>
    <t>CRBI       SEEDING FIREBREAKS</t>
  </si>
  <si>
    <t>Tree Planting</t>
  </si>
  <si>
    <t>CRAF      CP2 SEED (SEE JOB SHEET 135)</t>
  </si>
  <si>
    <t>CRAE      CP1 SEED (SEE JOB SHEET 134)</t>
  </si>
  <si>
    <t>CRAG     CP4D SEED (SEE JOB SHEET 135)</t>
  </si>
  <si>
    <t>CRAH     CP9 SEED (SEE JOB SHEET 134 OR 135)</t>
  </si>
  <si>
    <t>CRAJ      CP15A SEED (SEE JOB SHEET 134 OR 135)</t>
  </si>
  <si>
    <t>CRAK      CP23 SEED (SEE JOB SHEET 134 OR 135)</t>
  </si>
  <si>
    <t>CRAG     CP4B, CP4D SEED (SEE JOB SHEET 134 OR 135)</t>
  </si>
  <si>
    <t>Grass Planting</t>
  </si>
  <si>
    <t>Tree And Shrub Planting</t>
  </si>
  <si>
    <t>Grass/Forb/Legume Planting</t>
  </si>
  <si>
    <t>Tree/Shrub Planting</t>
  </si>
  <si>
    <t>Calculation</t>
  </si>
  <si>
    <t>CRAD      SEEDING OPERATION &gt;3 ACRES</t>
  </si>
  <si>
    <t>CRAD      SEEDING OPERATION&gt;3 AC</t>
  </si>
  <si>
    <t>CRAD      SEEDING OPERATION &gt;3AC</t>
  </si>
  <si>
    <t>CRCJ      WATER FACILITIES  CAP $4000 TOTAL</t>
  </si>
  <si>
    <t>CRCK     LIVESTOCK CROSSINGS CAP $3000 TOTAL</t>
  </si>
  <si>
    <t>CRCI      PIPELINE  CAP $4000 TOTAL)</t>
  </si>
  <si>
    <t>(For Non-cost-Share Items Show Units)</t>
  </si>
  <si>
    <t>CRAQ     6th/7th Year MANAGEMENT LIGHT DISKING</t>
  </si>
  <si>
    <t xml:space="preserve">FT </t>
  </si>
  <si>
    <t>CRBE     DNR TREES/SHRUBS</t>
  </si>
  <si>
    <t>CRBN    TREE SEED/LIGHT SEEDED SPECIES</t>
  </si>
  <si>
    <t>CRBD    TREE/SHRUB PLANTING (HAND or MACHINE)</t>
  </si>
  <si>
    <t>CRBO    DIRECT SEEDING TREES (BROADCAST/DRILL)</t>
  </si>
  <si>
    <t>CRBL    ANIMAL CONTROL DEVICE</t>
  </si>
  <si>
    <t>CRBJ     WEED/INSECT CONTROL</t>
  </si>
  <si>
    <t>CRAN     WEED/INSECT CONTROL - GRASS</t>
  </si>
  <si>
    <t>CRAQ    1st/2nd Year MANAGEMENT DISKING COOL MIX</t>
  </si>
  <si>
    <t>CRDG      1st/2nd Year HERBICIDE/INTERSEED COOL MIX</t>
  </si>
  <si>
    <t>CRBA    TEMPORARY SEEDING</t>
  </si>
  <si>
    <t>CRAT     CP33 SEED</t>
  </si>
  <si>
    <t>CRAN   WEED/INSECT CONTROL - GRASS</t>
  </si>
  <si>
    <t>CRBJ    WEED/INSECT CONTROL - TREES</t>
  </si>
  <si>
    <t>CRCG   GRADING, LEVELING AND FILLING</t>
  </si>
  <si>
    <t>CRDE   BOUNDARY MARKER</t>
  </si>
  <si>
    <t xml:space="preserve">header information is automatically populated. </t>
  </si>
  <si>
    <t>Rescheduling mid-management</t>
  </si>
  <si>
    <t>Adding or changing contract number</t>
  </si>
  <si>
    <t>Adding or deleting participants</t>
  </si>
  <si>
    <t>Changing the year of practice implementation</t>
  </si>
  <si>
    <t>Switching to a different mid-management practice</t>
  </si>
  <si>
    <r>
      <rPr>
        <u/>
        <sz val="10"/>
        <color indexed="40"/>
        <rFont val="Arial"/>
        <family val="2"/>
      </rPr>
      <t>Pen-and-ink changes</t>
    </r>
    <r>
      <rPr>
        <u/>
        <sz val="10"/>
        <rFont val="Arial"/>
        <family val="2"/>
      </rPr>
      <t xml:space="preserve"> are allowed for the following:</t>
    </r>
  </si>
  <si>
    <t xml:space="preserve">Changing the quantity or dollar amount of a component code </t>
  </si>
  <si>
    <t>ALSO: BE SURE TO NOTIFY LANDOWNERS THAT THESE COSTS ARE ESTIMATES AND MAY CHANGE!</t>
  </si>
  <si>
    <t>Producers need to refer to the FSA contract for exact dollar figures.</t>
  </si>
  <si>
    <t xml:space="preserve">B. Total Contract Payment: </t>
  </si>
  <si>
    <t>A. Total Cost-Share or Payment by Year:</t>
  </si>
  <si>
    <t>5. STATE</t>
  </si>
  <si>
    <t>4. COUNTY</t>
  </si>
  <si>
    <t>3. NAME</t>
  </si>
  <si>
    <t>Year</t>
  </si>
  <si>
    <t>COMPLETION SCHEDULE AND ESTIMATED</t>
  </si>
  <si>
    <t>COST-SHARE OR PAYMENT BY YEAR</t>
  </si>
  <si>
    <t>(For Non-Cost Share Items Show Units)</t>
  </si>
  <si>
    <t>ITEM</t>
  </si>
  <si>
    <t xml:space="preserve">PLANNED  CONSERVATION </t>
  </si>
  <si>
    <t>TREATMENT</t>
  </si>
  <si>
    <t>(Record of Decisions)</t>
  </si>
  <si>
    <t>AMOUNT</t>
  </si>
  <si>
    <t>(UNITS)</t>
  </si>
  <si>
    <t>ESTIMATED</t>
  </si>
  <si>
    <t>COST</t>
  </si>
  <si>
    <t>BASIS</t>
  </si>
  <si>
    <t>$</t>
  </si>
  <si>
    <t>COST SHARE</t>
  </si>
  <si>
    <t>OR PAYMENT</t>
  </si>
  <si>
    <t>RATE</t>
  </si>
  <si>
    <t>%</t>
  </si>
  <si>
    <t xml:space="preserve">6. CONTRACT OR                                               </t>
  </si>
  <si>
    <t>AGREEMENT NO.</t>
  </si>
  <si>
    <t xml:space="preserve">7. TOTAL ACRES UNDER </t>
  </si>
  <si>
    <t>CONTRACT</t>
  </si>
  <si>
    <t>35. CERTIFICATION OF PARTICIPANTS</t>
  </si>
  <si>
    <t>36. REVIEWING OFFICIALS SIGNATURE</t>
  </si>
  <si>
    <t>U.S. DEPARTMENT OF AGRICULTURE</t>
  </si>
  <si>
    <t>Page</t>
  </si>
  <si>
    <t>of</t>
  </si>
  <si>
    <t>1. To be completed by NRCS; check appropriate box:</t>
  </si>
  <si>
    <t>OMB No. 0578-0013</t>
  </si>
  <si>
    <t xml:space="preserve">               This transaction is for CCC.</t>
  </si>
  <si>
    <t xml:space="preserve">                 This transaction is for NRCS.</t>
  </si>
  <si>
    <t>The U.S. Department of Agriculture (USDA) prohibits discrimination in all its programs and activities on the basis of race, color, national origin, gender, religion, age, disability, and where applicable, sex, marital status, familial status, parental status, religion, sexual orientation, genetic information, political beliefs, reprisal or because all or part of an individuals income is derived from any public assistance program..  (Not all prohibited bases apply to all programs).  Persons with disabilities who require alternative means for communication of program information (Braille, large print, audiotape, etc.) should contact USDA's TARGET Center at (202) 720-2600 (voice and TDD).  To file a complaint of discrimination, write USDA, Director, Office of Civil Rights, 1400 Independence Avenue, SW., Washington D.C. 20250-9410, or call (800) 795-3272 (voice) or (202)720-6382 (TDD).</t>
  </si>
  <si>
    <t>A. All Items numbered in column 8 on form AD-1155 must be carried out as a part of this contract to prevent violation.</t>
  </si>
  <si>
    <t>C. Enter total cost per unit in column 12 unless the method of cost-share is flat rate.  When flat rate, enter the amount per unit to be paid to the participant</t>
  </si>
  <si>
    <t>D. All cost share rates in column 13 are based on average cost with the following exceptions:</t>
  </si>
  <si>
    <t xml:space="preserve">     AP = Annual Payment</t>
  </si>
  <si>
    <t>E. Modifications will be referenced by number in column number 34 on form AD-1155.</t>
  </si>
  <si>
    <t>A. District Conservationist - Technical Adequacy Certification</t>
  </si>
  <si>
    <t>A. SIGNATURE</t>
  </si>
  <si>
    <t>B. Date</t>
  </si>
  <si>
    <t>C. SIGNATURE</t>
  </si>
  <si>
    <t>D. Date</t>
  </si>
  <si>
    <t>E. SIGNATURE</t>
  </si>
  <si>
    <t>F. Date</t>
  </si>
  <si>
    <t>COMPLETION SCHEDULE AND ESTIMATED COST SHARE OR PAYMENT BY YEAR</t>
  </si>
  <si>
    <t>COST SHARE OR PAYMENT RATE %</t>
  </si>
  <si>
    <t xml:space="preserve">4. CONTRACT OR AGREEMENT NO.                                                </t>
  </si>
  <si>
    <t>1. NAME</t>
  </si>
  <si>
    <t>2. COUNTY</t>
  </si>
  <si>
    <t>3. STATE</t>
  </si>
  <si>
    <t>5. TOTAL ACRES UNDER CONTRACT</t>
  </si>
  <si>
    <t>PRIVACY ACT STATEMENT</t>
  </si>
  <si>
    <t>ESTIMATED AMOUNTS (UNITS)</t>
  </si>
  <si>
    <t xml:space="preserve">The above statements are made in accordance with the Privacy Act of 1974 (5 U.S.C. 522a).  Furnishing this information is voluntary; however, failure to furnish correct, complete information will result in the withholding or withdrawal of such technical or financial assistance.  The information may be furnished to other USDA agencies, the Internal Revenue Service, the Department of Justice, or other State or Federal law enforcement agencies, or in response to orders of a court, magistrate, or administrative tribunal. </t>
  </si>
  <si>
    <t>PLANNED CONSERVATION TREATMENT                              (Record of Decisions)</t>
  </si>
  <si>
    <t>PLANNED CONSERVATION TREATMENT                             (Record of Decisions)</t>
  </si>
  <si>
    <t>PLANNED CONSERVATION TREATMENT                                           (Record of Decisions)</t>
  </si>
  <si>
    <t>PLANNED CONSERVATION TREATMENT                                            (Record of Decisions)</t>
  </si>
  <si>
    <t>PLANNED CONSERVATION TREATMENT                                              (Record of Decisions)</t>
  </si>
  <si>
    <t>CRP-CP3A:  Hardwood Tree Planting.   These fields will be planted to hardwood trees according to the tree-planting plan prepared by the local DNR forester or Wisconsin NRCS Job Sheets 624 and 143. The planted acreage will not be managed for Christmas trees.  To establish the seeding, control weeds and brush as needed by spraying, burning, or mowing until the seeding is certified as established (may require up to 3 years of intensive management). Once the seeding is established, the entire contract acreage and type of permanent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</si>
  <si>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 xml:space="preserve">CRBL      ANIMAL CONTROL DEVICE </t>
  </si>
  <si>
    <t>CRP-CP12:  Wildlife Food Plot.   A wildlife food plot will be planted annually where shown on the conservation plan map to enhance the area for upland wildlife.  The food plot must be planted each year of the contract.  Food Plots may not be harvested.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See Wisconsin Job Sheet 136 for establishment requirements and Job Sheet 397 for Maintenance on CRP.</t>
  </si>
  <si>
    <t>REVISION OF PLAN OR SCHEDULE OF OPERATIONS</t>
  </si>
  <si>
    <t>OR MODIFICATION OF CONTRACT</t>
  </si>
  <si>
    <t>7. REVISION OR</t>
  </si>
  <si>
    <t>MODIFICATION NO.</t>
  </si>
  <si>
    <t>CRAC     SEEDBED PREPARATION</t>
  </si>
  <si>
    <t>CRAB     LIME AND FERTILIZER PER SOIL TEST</t>
  </si>
  <si>
    <t>CRAA     LABORATORY SOIL ANALYSIS FEE</t>
  </si>
  <si>
    <t>CRDM    POLLINATOR HABITAT</t>
  </si>
  <si>
    <t xml:space="preserve">AD-1156 is included in this spreadsheet.  It is found between the CP33 tab and the Component List tab. Only the  </t>
  </si>
  <si>
    <t>Modifications (AD-1156) should be made for:</t>
  </si>
  <si>
    <t>CRDF      1st/2nd Year BURN/INTERSEED CP25 MIX</t>
  </si>
  <si>
    <r>
      <t xml:space="preserve">CRAO     SEEDING RATE SMALL ACREAGE </t>
    </r>
    <r>
      <rPr>
        <u/>
        <sz val="14"/>
        <rFont val="Arial"/>
        <family val="2"/>
      </rPr>
      <t>&lt;</t>
    </r>
    <r>
      <rPr>
        <sz val="14"/>
        <rFont val="Arial"/>
        <family val="2"/>
      </rPr>
      <t xml:space="preserve">3 ACRES </t>
    </r>
  </si>
  <si>
    <r>
      <t>C. APPROVED BY</t>
    </r>
    <r>
      <rPr>
        <sz val="12"/>
        <rFont val="Small Fonts"/>
        <family val="2"/>
      </rPr>
      <t xml:space="preserve"> </t>
    </r>
    <r>
      <rPr>
        <sz val="12"/>
        <rFont val="Arial"/>
        <family val="2"/>
      </rPr>
      <t>(Conservation District Representative)</t>
    </r>
  </si>
  <si>
    <t>CRAX    6th/7th Year Management DISK/INTERSEED  WARM</t>
  </si>
  <si>
    <t>CRAX   11th/12th Year Management DISK/INTERSEED WARM</t>
  </si>
  <si>
    <r>
      <t xml:space="preserve">CRAO     SEEDING RATE SMALL ACREAGE </t>
    </r>
    <r>
      <rPr>
        <u/>
        <sz val="14"/>
        <rFont val="Arial"/>
        <family val="2"/>
      </rPr>
      <t>&lt;</t>
    </r>
    <r>
      <rPr>
        <sz val="14"/>
        <rFont val="Arial"/>
        <family val="2"/>
      </rPr>
      <t>3 ACRES</t>
    </r>
  </si>
  <si>
    <r>
      <t xml:space="preserve">CRAO    SEEDING OPERATION </t>
    </r>
    <r>
      <rPr>
        <u/>
        <sz val="14"/>
        <rFont val="Arial"/>
        <family val="2"/>
      </rPr>
      <t xml:space="preserve">&lt; </t>
    </r>
    <r>
      <rPr>
        <sz val="14"/>
        <rFont val="Arial"/>
        <family val="2"/>
      </rPr>
      <t>3 ACRES</t>
    </r>
  </si>
  <si>
    <r>
      <t>CRAO     SEEDING RATE SMALL ACREAGE</t>
    </r>
    <r>
      <rPr>
        <u/>
        <sz val="14"/>
        <rFont val="Arial"/>
        <family val="2"/>
      </rPr>
      <t>&lt;</t>
    </r>
    <r>
      <rPr>
        <sz val="14"/>
        <rFont val="Arial"/>
        <family val="2"/>
      </rPr>
      <t xml:space="preserve"> 3 ACRES </t>
    </r>
  </si>
  <si>
    <r>
      <t xml:space="preserve">CRAO      SEEDING OPERATION  </t>
    </r>
    <r>
      <rPr>
        <u/>
        <sz val="14"/>
        <rFont val="Arial"/>
        <family val="2"/>
      </rPr>
      <t>&lt;</t>
    </r>
    <r>
      <rPr>
        <sz val="14"/>
        <rFont val="Arial"/>
        <family val="2"/>
      </rPr>
      <t xml:space="preserve">3 ACRES </t>
    </r>
  </si>
  <si>
    <t>2.</t>
  </si>
  <si>
    <t>F. By signing, the participant acknowledges receipt of this conservation plan including form AD-1155 and agrees to comply with</t>
  </si>
  <si>
    <t xml:space="preserve">Choose 6th Year Management Practice </t>
  </si>
  <si>
    <t>Choose 3rd Year Management Practice</t>
  </si>
  <si>
    <t>CRAQ   3rd Year REQUIRED MGT PRACTICE - DISKING</t>
  </si>
  <si>
    <t>CRAS   *3rd Year REQURIED MGT PRACTICE - BURNING</t>
  </si>
  <si>
    <t>CRAU   3rd Year REQURIED MGT PRACTICE - STRIP HERBICIDE</t>
  </si>
  <si>
    <t>CRAQ   6th Year REQUIRED MGT PRACTICE - DISKING</t>
  </si>
  <si>
    <t>CRAS   *6th Year REQURIED MGT PRACTICE - BURNING</t>
  </si>
  <si>
    <t>CRAU   6th Year REQURIED MGT PRACTICE - STRIP HERBICIDE</t>
  </si>
  <si>
    <t>Choose 9th Year Management Practice</t>
  </si>
  <si>
    <t>CRAQ   9th Year REQUIRED MGT PRACTICE - DISKING</t>
  </si>
  <si>
    <t>CRAS   *9thYear REQURIED MGT PRACTICE - BURNING</t>
  </si>
  <si>
    <t>CRAU   9th Year REQURIED MGT PRACTICE - STRIP HERBICIDE</t>
  </si>
  <si>
    <t>Federal Agencies may not conduct or sponsor, and a person is not required to respond to a collection of information unless it displays a currently valid OMB control number.  Public reporting burden for this collection is estimated to average 37.5 mins.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Department of Agriculture, OIRM, Stop 7630, Wash. DC</t>
  </si>
  <si>
    <t>CRAV     CP1,CP2,CP10,CP21,CP23,CP23A,CP25,CP28,CP29,CP38B,CP38E REQUIRED MANAGEMENT - HERBICIDE APPLICATION</t>
  </si>
  <si>
    <t>CRAE      CP1, CP38E SEED (SEE JOB SHEET 134)</t>
  </si>
  <si>
    <t>CRAF      CP2, CP38E SEED (SEE JOB SHEET 135)</t>
  </si>
  <si>
    <t>CRAH     CP9, CP29, CP30 SEED (SEE JOB SHEET 134 OR 135)</t>
  </si>
  <si>
    <t>CRAI      CP21, CP22, CP28, CP31 SEED (SEE JOB SHEET 134 OR 135)</t>
  </si>
  <si>
    <t>CRAJ      CP15A, CP15B SEED (SEE JOB SHEET 134 OR 135)</t>
  </si>
  <si>
    <t>CRAK     CP23, CP23A, CP27, CP38B SEED (SEE JOB SHEET 134 OR 135)</t>
  </si>
  <si>
    <t>CRAL      CP25, CP38B, CP38E CUSTOM SEED MIX (SEE JOB SHEET 135)</t>
  </si>
  <si>
    <t>CRAR     REQUIRED MANAGEMENT PRACTICE - Mowing</t>
  </si>
  <si>
    <t>CRAS     REQUIRED MANAGEMENT PRACTICE - Burning</t>
  </si>
  <si>
    <t>CRAW   CP1,CP10,CP23,CP23A,CP28 REQUIRED MANAGEMENT DISKING AND INTER-SEEDING (Cool Mix)</t>
  </si>
  <si>
    <t>CRAX    CP1,CP10,CP23,CP23A,CP28 REQUIRED MANAGEMENT DISKING AND INTER-SEEDING (Warm Mix)</t>
  </si>
  <si>
    <t>CRDF   CP25, CP38E  REQUIRED MANAGEMENT BURNING AND INTER-SEEDING (CP25, CP38E MIX)</t>
  </si>
  <si>
    <t>CRDG   CP1, CP10, CP21, CP23, CP23A, CP28, CP38B, CP38E REQUIRED MIDMANAGEMENT HERBICIDE AND INTERSEED (COOL MIX)</t>
  </si>
  <si>
    <t>CRDM   CP 42 POLLINATOR HABITAT</t>
  </si>
  <si>
    <t>CRDJ    EVERY OTHER ROW THINNING - SLASH REMOVED FROM SITE</t>
  </si>
  <si>
    <t>CRDH     CROP TREE RELEASE - SLASH LEFT</t>
  </si>
  <si>
    <t>CRDI       THINNING - SLASH LEFT</t>
  </si>
  <si>
    <t>CRDK     PRUNING UP TO 12 FT</t>
  </si>
  <si>
    <t>CRDL     PRUNING UP TO 17 FT</t>
  </si>
  <si>
    <t>CRDJ      THINNING - SLASH REMOVED</t>
  </si>
  <si>
    <t>CRAD     SEEDING OPERATION &gt; 3 ACRES</t>
  </si>
  <si>
    <r>
      <t xml:space="preserve">CRP-CP1:  Permanent Introduced Grasses and Legumes.  </t>
    </r>
    <r>
      <rPr>
        <sz val="16"/>
        <rFont val="Times New Roman"/>
        <family val="1"/>
      </rPr>
      <t xml:space="preserve">These fields will be seeded to permanent introduced grasses or permanent introduced grasses and legumes according to Wisconsin Job Sheet 134. To establish the seeding, control weeds and brush as needed by spraying, burning, or mowing until the seeding is certified as established (may require up to 3 years of intensive management). Once the seeding is established,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CP1 cover requires a management practice as specified on the CRP contract. See attached Required Management Job Sheet _____ for details.
</t>
    </r>
  </si>
  <si>
    <t xml:space="preserve">CRP-CP1:  Permanent Introduced Grasses and Legumes.  These fields are already established to permanent introduced grasses and legumes.  All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CP1 cover requires a management practice as specified on the CRP contract. See attached Required Management Job Sheet _____ for details.
</t>
  </si>
  <si>
    <r>
      <t xml:space="preserve">CRP-CP2:  Establishment of Permanent Native Grasses.   </t>
    </r>
    <r>
      <rPr>
        <sz val="16"/>
        <rFont val="Times New Roman"/>
        <family val="1"/>
      </rPr>
      <t xml:space="preserve">These fields will be seeded to permanent warm season grasses or warm season grasses and forbs according to Wisconsin Job Sheet 135. To establish the seeding, control weeds and brush as needed by spraying, burning, or mowing until the seeding is certified as established (may require up to 3 years of intensive management). Once the seeding is established,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 cover requires a management practice as specified on the CRP contract. See attached Required Management Job Sheet _____ for details.
</t>
    </r>
  </si>
  <si>
    <r>
      <t xml:space="preserve">CRP-CP2:  Establishment of Permanent Native Grasses.   </t>
    </r>
    <r>
      <rPr>
        <sz val="16"/>
        <rFont val="Times New Roman"/>
        <family val="1"/>
      </rPr>
      <t xml:space="preserve">These fields are already established to permanent warm season grasses or warm season grasses and forbs.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 cover requires a management practice as specified on the CRP contract. See attached Required Management Job Sheet _____ for details.
</t>
    </r>
  </si>
  <si>
    <t>CRP-CP3:  Tree Planting (Softwoods).   These fields will be planted to softwood trees according to the tree-planting plan prepared by the DNR Forester or Wisconsin NRCS Job Sheets 623 and 143. The planted acreage will not be managed for Christmas trees.  To establish the seeding, control weeds and brush as needed by spraying, burning, or mowing until the seeding is certified as established (may require up to 3 years of intensive management). Once the seeding is established, the entire contract acreage and type of permanent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Refer to Job Sheet 626 for Woodland Opening Requirements.</t>
  </si>
  <si>
    <t>CRP-CP3:  Tree Planting (Softwoods).   These fields are already established to sofwood trees according to the tree-planting plan prepared by the DNR Forester or NRCS.  These fields will not be managed for Christmas trees and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Refer to Job Sheet 626 for Woodland Opening Requirements.</t>
  </si>
  <si>
    <t>CRP-CP3A:  Hardwood Tree Planting.  These fields are already established according to the tree-planting plan prepared by the local DNR forester or NRCS.  These fields will not be managed for Christmas trees and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</si>
  <si>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CRP-CP4B:  Permanent Wildlife Habitat (Corridors).   Trees/shrubs and grass/forbs/legumes will be planted to serve as a wildlife corridor between existing areas of wildlife habitat according to Wisconsin Job Sheets 142 and 134 or 135.   To establish the seeding, control weeds and brush as needed by spraying, burning, or mowing until the seeding is certified as established (may require up to 3 years of intensive management). Once the seeding is established,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</si>
  <si>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CRP-CP4B:  Permanent Wildlife Habitat (Corridors).   Trees/shrubs and grass/forbs/legumes are already established to serve as a wildlife corridor between existing areas of wildlife habitat.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</si>
  <si>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 xml:space="preserve">CRP-CP4D:  Permanent Wildlife Habitat.  These fields are already established to trees/shrubs and grass/forbs/legumes.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</si>
  <si>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CRP-CP4D:  Permanent Wildlife Habitat.  These fields will be planted to trees/shrubs and grass/forbs/legumes according to Wisconsin Job Sheets 142 and 134 or 135. To establish the seeding, control weeds and brush as needed by spraying, burning, or mowing until the seeding is certified as established (may require up to 3 years of intensive management). Once the seeding is established,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</si>
  <si>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CRP-CP3A:  Hardwood Tree Planting.  These fields will be planted to hardwood trees according to the tree-planting plan prepared by the local DNR forester or Wisconsin NRCS Job Sheets 624 and 143. The planted acreage will not be managed for Christmas trees.  To establish the seeding, control weeds and brush as needed by spraying, burning, or mowing until the seeding is certified as established (may require up to 3 years of intensive management). Once the seeding is established, these fields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</si>
  <si>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CRP-CP5A:  Field Windbreak Establishment.   This field windbreak is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</si>
  <si>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CRP-CP5A:  Field Windbreak Establishment.   A field windbreak will be established according to Wisconsin Job Sheet 144.  To establish the plants, control weeds and brush as needed by spraying, burning, or mowing until the planting is certified as established (may require up to 3 years of intensive management). Once the planting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</si>
  <si>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CRP-CP8A:  Grass Waterway.  The grassed waterway is already established to NRCS standards and specifications. The waterway will be maintained according to the Operation and Maintenance Plan for the duration of the CRP contract.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Forage shall not be harvested from the CRP waterway. Grazing that is incidental to the gleaning of the adjacent cropped field may be authorized with prior approval from FSA.</t>
  </si>
  <si>
    <t>CRP-CP8A:  Grass Waterway.  A grassed waterway will be constructed according to NRCS standards and specifications. The waterway will be maintained according to the Operation and Maintenance Plan for the duration of the CRP contract. Seeding will be established according to Wisconsin Standard Drawings 710 or 711 or Job Sheet 134.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Forage shall not be harvested from the CRP waterway. Grazing that is incidental to the gleaning of the adjacent cropped field may be authorized with prior approval from FSA.</t>
  </si>
  <si>
    <t xml:space="preserve">CRP-CP9:  Shallow Water Area for Wildlife.   This shallow water area for wildlife is already created.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</si>
  <si>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CRP-CP9:  Shallow Water Area for Wildlife.   A shallow water area for wildlife will be created according to Wisconsin Job Sheet 628 and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</si>
  <si>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CRP-CP15A:  Establishment of Permanent Vegetative Cover (Contour Grass Strips).  The contour buffer strips are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</si>
  <si>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CRP-CP15A:  Establishment of Permanent Vegetative Cover (Contour Grass Strips).   Contour buffer strips will be established according to Wisconsin Job Sheets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</si>
  <si>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 xml:space="preserve">CRP-CP16A:  Shelterbelt Establishment.   This farmstead or feedlot windbreak is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</si>
  <si>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CRP-CP16A:  Shelterbelt Establishment.   A farmstead or feedlot windbreak will be established according to Wisconsin Job Sheet 144.  To establish the seeding or planting, control weeds and brush as needed by spraying, burning, or mowing until the seeding is certified as established (may require up to 3 years of intensive management). Once the planting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</si>
  <si>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CRP-CP17A:  Living Snow Fence.   This living snow fence is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</si>
  <si>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CRP-CP17A:  Living Snow Fence.   A living snow fence will be established according to Wisconsin Job Sheet 144.  To establish the seeding or planting, control weeds and brush as needed by spraying, burning, or mowing until the seeding is certified as established (may require up to 3 years of intensive management). Once the planting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</si>
  <si>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CRP-CP21:  Filter Strip.   This grass filter strip is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See WI Job Sheet 393 for filter area maintenance requirements The CP21 cover requires a management practice as specified on the CRP contract. See attached Required Management Job Sheet _____ for details. </t>
  </si>
  <si>
    <t xml:space="preserve">CRP-CP21:  Filter Strip.   A grass filter strip will be established according to Wisconsin Job Sheet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See WI Job Sheet 393 for filter area maintenance requirements.  The CP21 cover requires a management practice as specified on the CRP contract. See attached Required Management Job Sheet _____ for details. </t>
  </si>
  <si>
    <t xml:space="preserve">CRP-CP22:  Riparian Buffer.  This riparian buffer is already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</si>
  <si>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CRP-CP22:  Riparian Buffer.  A riparian buffer will be established according to Wisconsin Job Sheets 143, 134 or 135 and Job Sheet 391.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</si>
  <si>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CRP-CP23 or CP23A:  Wetland Restoration (Floodplain or Non-Floodplain).   The functions and values of the wetlands identified on the conservation plan map are already restored.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Farm Service Agency (FSA) County Committee.  The CRP cover will not be harvested, and will be protected from grazing by livestock for the duration of the contract.  </t>
  </si>
  <si>
    <t xml:space="preserve">CRP-CP23 or CP23A:  Wetland Restoration (Floodplain or Non-Floodplain).   The functions and values of the wetlands identified on the conservation plan map will be restored according to Wisconsin Standards and Specifications.  Seeding will be established according to Wisconsin Job Sheets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</si>
  <si>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CRP-CP23 or CP23A:  Wetland Restoration (Floodplain or Non-Floodplain).   The functions and values of the wetlands identified on the conservation plan map are already restored.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CP23 or CP23A cover requires a management practice as specified on the CRP contract. See attached Required Management Job Sheet _____ for details.  </t>
  </si>
  <si>
    <t xml:space="preserve">CRP-CP23 or CP23A:  Wetland Restoration (Floodplain or Non-Floodplain).   The functions and values of the wetlands identified on the conservation plan map will be restored according to Wisconsin Standards and Specifications.  Seeding will be established according to Wisconsin Job Sheets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CP23 or CP23A cover requires a management practice as specified on the CRP contract. See attached Required Management Job Sheet _____ for details.  </t>
  </si>
  <si>
    <t>CRP-CP25:  Restoration and Management of Declining Habitats - Tall grass Prairie.  These fields are already established to permanent native grasses and forbs/legumes.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CP25 cover requires a management practice as specified on the CRP contract. See attached Required Management Job Sheet _____ for details.</t>
  </si>
  <si>
    <t>CRP-CP25:  Restoration and Management of Declining Habitats - Tall grass Prairie.  These fields will be seeded to permanent native grasses and forbs/legumes according to Wisconsin Job Sheet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CP25 cover requires a management practice as specified on the CRP contract. See attached Required Management Job Sheet _____ for details.</t>
  </si>
  <si>
    <t>CRP-CP25:  Restoration of Rare and Declining Wildlife Habitat - Oak Savanna.   These fields are already established to permanent native grasses and forbs/legumes, oak and hickory trees.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</si>
  <si>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CRP-CP25:  Restoration of Rare and Declining Wildlife Habitat - Oak Savanna.   These fields will be seeded to permanent native grasses and forbs/legumes, and will be planted to approved oak and hickory trees according to Wisconsin job sheets 135, 143 and 624.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</si>
  <si>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 xml:space="preserve">CP27 Farmable Wetland.  A CP28 Buffer has already been established in conjunction with this practice. The functional values of these wetlands have already been restored.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CP27 cover requires a management practice as specified on the CRP contract. See attached Required Management Job Sheet _____ for details.   </t>
  </si>
  <si>
    <t xml:space="preserve">CP27 Farmable Wetland.  A CP28 Buffer will be established in conjunction with this practice.  The functions and values of the wetlands will be restored.  These fields will be seeded according to Job sheet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CP27 cover requires a management practice as specified on the CRP contract. See attached Required Management Job Sheet _____ for details.   </t>
  </si>
  <si>
    <t>CRP-CP28:  Farmable Wetland Buffer. This practice is in conjunction with CP27 Farmable Wetland Practice. These fields are already established to an approved cover.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CP28 cover requires a management practice as specified on the CRP contract. See attached Required Management Job Sheet _____ for details.</t>
  </si>
  <si>
    <t>CRP-CP28:  Farmable Wetland Buffer. This practice is in conjunction with CP27 Farmable Wetland Practice. These fields will be seeded to an NRCS approved seed mixture according to Job sheet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CP28 cover requires a management practice as specified on the CRP contract. See attached Required Management Job Sheet _____ for details.</t>
  </si>
  <si>
    <t>CRP-CP29:  Marginal Pastureland Wildlife Habitat Buffer.   These fields are already seeded to an NRCS approved cover.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CP29 cover requires a management practice as specified on the CRP contract. See attached Required Management Job Sheet _____ for details.</t>
  </si>
  <si>
    <t>CRP-CP29:  Marginal Pastureland Wildlife Habitat Buffer.   These fields will be seeded to an NRCS approved seed mixture according to Job sheet 135 AND Job Sheet 394.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CP29 cover requires a management practice as specified on the CRP contract. See attached Required Management Job Sheet _____ for details.</t>
  </si>
  <si>
    <t xml:space="preserve">CRP-CP30:  Marginal Pastureland Wetland Buffer. These fields are already established to approved cover.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</si>
  <si>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CRP-CP30:  Marginal Pastureland Wetland Buffer. These fields will be seeded according to Wisconsin Job Sheet 134 or 135 AND Job Sheet 395.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</si>
  <si>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CRP-CP31:  Bottomland Timber Establishment on Wetlands.  These fields are already established to an NRCS approved cover.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</si>
  <si>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CRP-CP31:  Bottomland Timber Establishment on Wetlands.  These fields will be planted to an NRCS approved seed mixture according to Job sheet 134 or 135 AND approved trees according to Job Sheet 143.  To establish the planting control weeds and brush as needed by spraying, burning, or mowing until the planting is certified as established (may require up to 3 years of intensive management). Once the planting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t>
  </si>
  <si>
    <t xml:space="preserve">CRP-CP33:  Habitat Buffers for Upland Birds.  These fields will be established according to Wisconsin Job Sheet 396.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The CP33 cover requires a management practice as specified on the CRP contract. See attached Required Management Job Sheet _____ for details.    </t>
  </si>
  <si>
    <t>CRAV   11th/12th Year Management HERBICIDE</t>
  </si>
  <si>
    <t xml:space="preserve">CRP-CP15B:  Establishment of Permanent Vegetative Cover (Contour Grass Strips) on Terraces.   The contour buffer strips on terraces are already established on the terraces.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</si>
  <si>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 xml:space="preserve">CRP-CP15B:  Establishment of Permanent Vegetative Cover (Contour Grass Strips) on Terraces.   Contour buffer strips on terraces will be established according to Wisconsin Job Sheets 134 or 135.  To establish the seeding, control weeds and brush as needed by spraying, burning, or mowing until the seeding is certified as established (may require up to 3 years of intensive management). Once the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FSA Service Agency (FSA) County Committee.  The CRP cover will not be harvested, and will be protected from grazing by livestock for the duration of the contract.   </t>
  </si>
  <si>
    <t>CRP-CP10: Established Permanent Grasses, Legumes and Forbs.  These fields are already established to permanent grasses, legumes and forbs.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Farm Service Agency (FSA) County Committee.  The CRP cover will not be harvested, and will be protected from grazing by livestock for the duration of the contract.  The CP10 cover requires a management practice as specified on the CRP contract.  See attached Required Management Job Sheet _____ for details.</t>
  </si>
  <si>
    <t>CRDC     CP12-WILDLIFE FOOD PLOT (NO C/S)</t>
  </si>
  <si>
    <t xml:space="preserve">CRP-CP42: Establishment of Pollinator Habitat.    These fields are already established to permanent native grasses and wildflowers to support a diversity of pollinator species.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Farm Service Agency (FSA) County Committee. The CRP cover will not be harvested, and will be protected from grazing by livestock for the duration of the contract.  The CP42 cover requires a management practice as specified on the contract.   Review the attached required management Job Sheet 388 or 389 for details. </t>
  </si>
  <si>
    <t xml:space="preserve">CRP-CP42: Establishment of Pollinator Habitat.    These fields will be seeded to permanent native warm season grasses and wildflowers to support a diversity of pollinator species according to Job Sheet 130.  To establish the seeding, control weeds and brush as needed by spraying, burning, and or mowing until the seeding is certified as established (may require up to 3 years of intensive management). Once seeding is established, the cover will be maintained as required by Job Sheet 397.  CRP rules do not allow disturbance of cover including maintenance or required management during the primary nesting season recorded in the CRP contract (May 15 through August 1). Spot clipping or spot spraying may be done during the primary nesting season with prior approval from the local Farm Service Agency (FSA) County Committee. The CRP cover will not be harvested, and will be protected from grazing by livestock for the duration of the contract.  The CP42 cover requires a management practice as specified on the contract.   Review the attached required management Job Sheet 388 or 389 for details.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</si>
</sst>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0.0"/>
    <numFmt numFmtId="166" formatCode="&quot;$&quot;#,##0"/>
    <numFmt numFmtId="167" formatCode="0.0"/>
  </numFmts>
  <fonts count="41">
    <font>
      <sz val="10"/>
      <name val="Arial"/>
    </font>
    <font>
      <sz val="10"/>
      <name val="Arial"/>
      <family val="2"/>
    </font>
    <font>
      <sz val="8"/>
      <name val="Arial"/>
      <family val="2"/>
    </font>
    <font>
      <sz val="8"/>
      <name val="Times New Roman"/>
      <family val="1"/>
    </font>
    <font>
      <b/>
      <sz val="12"/>
      <name val="Times New Roman"/>
      <family val="1"/>
    </font>
    <font>
      <sz val="10"/>
      <name val="Times New Roman"/>
      <family val="1"/>
    </font>
    <font>
      <b/>
      <sz val="10"/>
      <name val="Arial"/>
      <family val="2"/>
    </font>
    <font>
      <sz val="10"/>
      <name val="Arial"/>
      <family val="2"/>
    </font>
    <font>
      <sz val="9"/>
      <name val="Arial"/>
      <family val="2"/>
    </font>
    <font>
      <b/>
      <u/>
      <sz val="10"/>
      <name val="Arial"/>
      <family val="2"/>
    </font>
    <font>
      <b/>
      <i/>
      <sz val="10"/>
      <name val="Arial"/>
      <family val="2"/>
    </font>
    <font>
      <sz val="10"/>
      <name val="Arial Narrow"/>
      <family val="2"/>
    </font>
    <font>
      <b/>
      <sz val="11"/>
      <name val="Times New Roman"/>
      <family val="1"/>
    </font>
    <font>
      <sz val="12"/>
      <name val="Arial"/>
      <family val="2"/>
    </font>
    <font>
      <b/>
      <sz val="16"/>
      <name val="Times New Roman"/>
      <family val="1"/>
    </font>
    <font>
      <b/>
      <sz val="14"/>
      <name val="Times New Roman"/>
      <family val="1"/>
    </font>
    <font>
      <b/>
      <sz val="16"/>
      <name val="SlideWrite Roman"/>
      <family val="1"/>
    </font>
    <font>
      <u/>
      <sz val="10"/>
      <name val="Arial"/>
      <family val="2"/>
    </font>
    <font>
      <b/>
      <sz val="10"/>
      <color indexed="10"/>
      <name val="Arial"/>
      <family val="2"/>
    </font>
    <font>
      <sz val="12"/>
      <name val="Times New Roman"/>
      <family val="1"/>
    </font>
    <font>
      <b/>
      <sz val="12"/>
      <name val="Arial"/>
      <family val="2"/>
    </font>
    <font>
      <sz val="8"/>
      <color indexed="81"/>
      <name val="Tahoma"/>
      <family val="2"/>
    </font>
    <font>
      <b/>
      <sz val="8"/>
      <color indexed="81"/>
      <name val="Tahoma"/>
      <family val="2"/>
    </font>
    <font>
      <sz val="7"/>
      <name val="Arial"/>
      <family val="2"/>
    </font>
    <font>
      <b/>
      <sz val="12"/>
      <color indexed="10"/>
      <name val="Times New Roman"/>
      <family val="1"/>
    </font>
    <font>
      <u/>
      <sz val="10"/>
      <color indexed="40"/>
      <name val="Arial"/>
      <family val="2"/>
    </font>
    <font>
      <b/>
      <sz val="10"/>
      <color rgb="FFFF0000"/>
      <name val="Arial"/>
      <family val="2"/>
    </font>
    <font>
      <sz val="12"/>
      <name val="Arial"/>
      <family val="2"/>
    </font>
    <font>
      <sz val="14"/>
      <name val="SlideWrite Roman"/>
    </font>
    <font>
      <vertAlign val="subscript"/>
      <sz val="14"/>
      <name val="Arial"/>
      <family val="2"/>
    </font>
    <font>
      <vertAlign val="subscript"/>
      <sz val="14"/>
      <name val="Times New Roman"/>
      <family val="1"/>
    </font>
    <font>
      <sz val="14"/>
      <name val="Arial"/>
      <family val="2"/>
    </font>
    <font>
      <u/>
      <sz val="14"/>
      <name val="Arial"/>
      <family val="2"/>
    </font>
    <font>
      <sz val="14"/>
      <color theme="0"/>
      <name val="Arial"/>
      <family val="2"/>
    </font>
    <font>
      <sz val="12"/>
      <name val="Arial Narrow"/>
      <family val="2"/>
    </font>
    <font>
      <sz val="12"/>
      <name val="Small Fonts"/>
      <family val="2"/>
    </font>
    <font>
      <b/>
      <i/>
      <sz val="12"/>
      <name val="Arial"/>
      <family val="2"/>
    </font>
    <font>
      <sz val="16"/>
      <name val="Times New Roman"/>
      <family val="1"/>
    </font>
    <font>
      <b/>
      <sz val="14"/>
      <name val="Arial"/>
      <family val="2"/>
    </font>
    <font>
      <sz val="14"/>
      <name val="Times New Roman"/>
      <family val="1"/>
    </font>
    <font>
      <b/>
      <sz val="14"/>
      <name val="Arial"/>
    </font>
  </fonts>
  <fills count="8">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mediumGray">
        <bgColor indexed="41"/>
      </patternFill>
    </fill>
    <fill>
      <patternFill patternType="solid">
        <fgColor theme="1"/>
        <bgColor indexed="64"/>
      </patternFill>
    </fill>
    <fill>
      <patternFill patternType="solid">
        <fgColor theme="0" tint="-0.249977111117893"/>
        <bgColor indexed="64"/>
      </patternFill>
    </fill>
  </fills>
  <borders count="16">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35">
    <xf numFmtId="0" fontId="0" fillId="0" borderId="0" xfId="0"/>
    <xf numFmtId="0" fontId="0" fillId="0" borderId="0" xfId="0" applyAlignment="1">
      <alignment horizontal="left"/>
    </xf>
    <xf numFmtId="0" fontId="7" fillId="0" borderId="0" xfId="0" applyFont="1"/>
    <xf numFmtId="0" fontId="0" fillId="0" borderId="1" xfId="0" applyBorder="1" applyAlignment="1">
      <alignment horizontal="center"/>
    </xf>
    <xf numFmtId="0" fontId="0" fillId="0" borderId="3" xfId="0" applyBorder="1" applyAlignment="1">
      <alignment horizontal="center"/>
    </xf>
    <xf numFmtId="0" fontId="0" fillId="0" borderId="3" xfId="0" applyBorder="1" applyAlignment="1">
      <alignment wrapText="1" shrinkToFit="1"/>
    </xf>
    <xf numFmtId="0" fontId="0" fillId="0" borderId="3" xfId="0" applyBorder="1" applyAlignment="1">
      <alignment horizontal="center" vertical="top"/>
    </xf>
    <xf numFmtId="164" fontId="0" fillId="0" borderId="3" xfId="0" applyNumberFormat="1" applyBorder="1" applyAlignment="1">
      <alignment horizontal="center" vertical="top"/>
    </xf>
    <xf numFmtId="9" fontId="0" fillId="0" borderId="3" xfId="0" applyNumberFormat="1" applyBorder="1" applyAlignment="1">
      <alignment horizontal="center" vertical="top"/>
    </xf>
    <xf numFmtId="164" fontId="0" fillId="0" borderId="3" xfId="0" applyNumberFormat="1" applyBorder="1" applyAlignment="1">
      <alignment vertical="top"/>
    </xf>
    <xf numFmtId="0" fontId="0" fillId="0" borderId="0" xfId="0" applyBorder="1" applyAlignment="1">
      <alignment horizontal="center"/>
    </xf>
    <xf numFmtId="0" fontId="0" fillId="0" borderId="0" xfId="0" applyBorder="1"/>
    <xf numFmtId="0" fontId="0" fillId="0" borderId="7" xfId="0" applyBorder="1" applyAlignment="1" applyProtection="1">
      <alignment horizontal="center"/>
      <protection locked="0"/>
    </xf>
    <xf numFmtId="0" fontId="0" fillId="0" borderId="7" xfId="0" applyBorder="1" applyProtection="1">
      <protection locked="0"/>
    </xf>
    <xf numFmtId="49" fontId="7" fillId="0" borderId="7" xfId="0" applyNumberFormat="1" applyFont="1" applyBorder="1" applyAlignment="1">
      <alignment horizontal="left" vertical="center"/>
    </xf>
    <xf numFmtId="49" fontId="7" fillId="0" borderId="7" xfId="0" applyNumberFormat="1" applyFont="1" applyBorder="1" applyAlignment="1">
      <alignment horizontal="center" vertical="center"/>
    </xf>
    <xf numFmtId="0" fontId="0" fillId="0" borderId="0" xfId="0" applyAlignment="1">
      <alignment horizontal="center"/>
    </xf>
    <xf numFmtId="0" fontId="4" fillId="0" borderId="0" xfId="0" applyFont="1" applyBorder="1" applyAlignment="1">
      <alignment horizontal="center" vertical="top" wrapText="1"/>
    </xf>
    <xf numFmtId="43" fontId="7" fillId="2" borderId="7" xfId="1" applyFont="1" applyFill="1" applyBorder="1" applyAlignment="1">
      <alignment horizontal="center" vertical="center"/>
    </xf>
    <xf numFmtId="43" fontId="7" fillId="2" borderId="7" xfId="1" applyFont="1" applyFill="1" applyBorder="1" applyAlignment="1">
      <alignment horizontal="center" vertical="top"/>
    </xf>
    <xf numFmtId="0" fontId="7" fillId="3" borderId="7" xfId="0" applyFont="1" applyFill="1" applyBorder="1" applyAlignment="1">
      <alignment horizontal="center" vertical="top"/>
    </xf>
    <xf numFmtId="0" fontId="0" fillId="0" borderId="0" xfId="0" applyAlignment="1">
      <alignment vertical="center"/>
    </xf>
    <xf numFmtId="0" fontId="0" fillId="0" borderId="0" xfId="0" applyFill="1"/>
    <xf numFmtId="164" fontId="6" fillId="4" borderId="7" xfId="0" applyNumberFormat="1" applyFont="1" applyFill="1" applyBorder="1" applyAlignment="1">
      <alignment horizontal="center" vertical="center"/>
    </xf>
    <xf numFmtId="9" fontId="6" fillId="4" borderId="7" xfId="0" applyNumberFormat="1" applyFont="1" applyFill="1" applyBorder="1" applyAlignment="1">
      <alignment horizontal="center" vertical="center"/>
    </xf>
    <xf numFmtId="0" fontId="6" fillId="4" borderId="7" xfId="0" applyFont="1" applyFill="1" applyBorder="1" applyAlignment="1">
      <alignment vertical="center"/>
    </xf>
    <xf numFmtId="0" fontId="13" fillId="0" borderId="0" xfId="0" applyFont="1"/>
    <xf numFmtId="164" fontId="0" fillId="2" borderId="7" xfId="0" applyNumberFormat="1" applyFill="1" applyBorder="1" applyAlignment="1" applyProtection="1">
      <alignment horizontal="center"/>
      <protection locked="0"/>
    </xf>
    <xf numFmtId="164" fontId="0" fillId="2" borderId="7" xfId="0" applyNumberFormat="1" applyFill="1" applyBorder="1" applyAlignment="1" applyProtection="1">
      <alignment horizontal="center" vertical="top"/>
      <protection locked="0"/>
    </xf>
    <xf numFmtId="0" fontId="0" fillId="2" borderId="7" xfId="0" applyFill="1" applyBorder="1"/>
    <xf numFmtId="49" fontId="6" fillId="4" borderId="7" xfId="0" applyNumberFormat="1" applyFont="1" applyFill="1" applyBorder="1" applyAlignment="1">
      <alignment horizontal="left" vertical="center"/>
    </xf>
    <xf numFmtId="49" fontId="6" fillId="4" borderId="7" xfId="0" applyNumberFormat="1" applyFont="1" applyFill="1" applyBorder="1" applyAlignment="1">
      <alignment horizontal="center" vertical="center"/>
    </xf>
    <xf numFmtId="0" fontId="6" fillId="0" borderId="0" xfId="0" applyFont="1"/>
    <xf numFmtId="0" fontId="9" fillId="0" borderId="0" xfId="0" applyFont="1"/>
    <xf numFmtId="0" fontId="0" fillId="0" borderId="0" xfId="0" applyBorder="1" applyAlignment="1" applyProtection="1">
      <alignment horizontal="center"/>
      <protection locked="0"/>
    </xf>
    <xf numFmtId="0" fontId="0" fillId="0" borderId="4" xfId="0" applyBorder="1" applyAlignment="1" applyProtection="1">
      <alignment horizontal="center"/>
      <protection locked="0"/>
    </xf>
    <xf numFmtId="0" fontId="18" fillId="0" borderId="0" xfId="0" applyFont="1"/>
    <xf numFmtId="43" fontId="7" fillId="0" borderId="0" xfId="1" applyFont="1" applyFill="1" applyBorder="1" applyAlignment="1">
      <alignment horizontal="center" vertical="center"/>
    </xf>
    <xf numFmtId="49" fontId="7" fillId="0" borderId="0" xfId="0" applyNumberFormat="1" applyFont="1" applyFill="1" applyBorder="1" applyAlignment="1">
      <alignment horizontal="left" vertical="center"/>
    </xf>
    <xf numFmtId="0" fontId="7" fillId="0" borderId="0" xfId="0" applyFont="1" applyFill="1" applyBorder="1" applyAlignment="1">
      <alignment wrapText="1"/>
    </xf>
    <xf numFmtId="49" fontId="7" fillId="0" borderId="7" xfId="0" applyNumberFormat="1" applyFont="1" applyBorder="1" applyAlignment="1">
      <alignment horizontal="left" vertical="center" wrapText="1"/>
    </xf>
    <xf numFmtId="49" fontId="7" fillId="0" borderId="7" xfId="0" applyNumberFormat="1" applyFont="1" applyBorder="1" applyAlignment="1">
      <alignment horizontal="center" vertical="center" wrapText="1"/>
    </xf>
    <xf numFmtId="0" fontId="0" fillId="0" borderId="0" xfId="0" applyAlignment="1">
      <alignment wrapText="1"/>
    </xf>
    <xf numFmtId="0" fontId="0" fillId="0" borderId="4" xfId="0" applyBorder="1" applyAlignment="1" applyProtection="1">
      <protection locked="0"/>
    </xf>
    <xf numFmtId="0" fontId="7" fillId="0" borderId="7" xfId="0" applyNumberFormat="1" applyFont="1" applyBorder="1" applyAlignment="1">
      <alignment horizontal="center" vertical="center"/>
    </xf>
    <xf numFmtId="2" fontId="0" fillId="2" borderId="7" xfId="0" applyNumberFormat="1" applyFill="1" applyBorder="1" applyAlignment="1">
      <alignment horizontal="center"/>
    </xf>
    <xf numFmtId="0" fontId="0" fillId="0" borderId="0" xfId="0" applyFill="1" applyBorder="1"/>
    <xf numFmtId="0" fontId="0" fillId="0" borderId="0" xfId="0" applyFill="1" applyBorder="1" applyAlignment="1"/>
    <xf numFmtId="0" fontId="0" fillId="0" borderId="0" xfId="0" applyAlignment="1">
      <alignment horizontal="right"/>
    </xf>
    <xf numFmtId="0" fontId="0" fillId="0" borderId="0" xfId="0" applyFill="1" applyBorder="1" applyAlignment="1">
      <alignment horizontal="right"/>
    </xf>
    <xf numFmtId="2" fontId="0" fillId="2" borderId="7" xfId="0" applyNumberFormat="1" applyFill="1" applyBorder="1" applyAlignment="1">
      <alignment horizontal="right"/>
    </xf>
    <xf numFmtId="0" fontId="0" fillId="0" borderId="0" xfId="0" applyFill="1" applyAlignment="1">
      <alignment horizontal="center"/>
    </xf>
    <xf numFmtId="0" fontId="0" fillId="0" borderId="0" xfId="0" applyFill="1" applyBorder="1" applyAlignment="1">
      <alignment horizontal="center"/>
    </xf>
    <xf numFmtId="164" fontId="0" fillId="0" borderId="0" xfId="0" applyNumberFormat="1"/>
    <xf numFmtId="164" fontId="0" fillId="0" borderId="7" xfId="0" applyNumberFormat="1" applyBorder="1" applyAlignment="1">
      <alignment horizontal="center"/>
    </xf>
    <xf numFmtId="1" fontId="7" fillId="0" borderId="7" xfId="0" applyNumberFormat="1" applyFont="1" applyBorder="1" applyAlignment="1">
      <alignment horizontal="center" vertical="center"/>
    </xf>
    <xf numFmtId="0" fontId="0" fillId="2" borderId="7" xfId="0" applyFill="1" applyBorder="1" applyAlignment="1">
      <alignment horizontal="center"/>
    </xf>
    <xf numFmtId="49" fontId="7" fillId="0" borderId="7" xfId="0" applyNumberFormat="1" applyFont="1" applyFill="1" applyBorder="1" applyAlignment="1">
      <alignment horizontal="center" vertical="center"/>
    </xf>
    <xf numFmtId="1" fontId="7" fillId="0" borderId="7" xfId="0" applyNumberFormat="1" applyFont="1" applyFill="1" applyBorder="1" applyAlignment="1">
      <alignment horizontal="center" vertical="center"/>
    </xf>
    <xf numFmtId="0" fontId="0" fillId="0" borderId="7" xfId="0" applyBorder="1" applyAlignment="1">
      <alignment horizontal="left" vertical="center" wrapText="1"/>
    </xf>
    <xf numFmtId="0" fontId="0" fillId="0" borderId="7" xfId="0" applyBorder="1" applyAlignment="1">
      <alignment horizontal="center" vertical="center"/>
    </xf>
    <xf numFmtId="164" fontId="0" fillId="0" borderId="7" xfId="0" applyNumberFormat="1" applyBorder="1" applyAlignment="1">
      <alignment horizontal="center" vertical="center"/>
    </xf>
    <xf numFmtId="0" fontId="13" fillId="0" borderId="0" xfId="0" applyFont="1" applyAlignment="1">
      <alignment horizontal="center"/>
    </xf>
    <xf numFmtId="0" fontId="1" fillId="0" borderId="0" xfId="0" applyFont="1"/>
    <xf numFmtId="49" fontId="7" fillId="2" borderId="13" xfId="0" applyNumberFormat="1" applyFont="1" applyFill="1" applyBorder="1" applyAlignment="1" applyProtection="1">
      <alignment horizontal="center" vertical="center"/>
      <protection locked="0"/>
    </xf>
    <xf numFmtId="0" fontId="6" fillId="4" borderId="13" xfId="0" applyFont="1" applyFill="1" applyBorder="1" applyAlignment="1">
      <alignment horizontal="center" vertical="center"/>
    </xf>
    <xf numFmtId="164" fontId="0" fillId="2" borderId="7" xfId="0" applyNumberFormat="1" applyFill="1" applyBorder="1"/>
    <xf numFmtId="3" fontId="0" fillId="2" borderId="7" xfId="0" applyNumberFormat="1" applyFill="1" applyBorder="1" applyAlignment="1" applyProtection="1">
      <alignment horizontal="center" vertical="top"/>
      <protection locked="0"/>
    </xf>
    <xf numFmtId="164" fontId="0" fillId="2" borderId="4" xfId="0" applyNumberFormat="1" applyFill="1" applyBorder="1" applyAlignment="1" applyProtection="1">
      <alignment horizontal="center" vertical="top"/>
      <protection locked="0"/>
    </xf>
    <xf numFmtId="0" fontId="0" fillId="2" borderId="7" xfId="0" applyFill="1" applyBorder="1" applyProtection="1">
      <protection locked="0"/>
    </xf>
    <xf numFmtId="0" fontId="7" fillId="2" borderId="7" xfId="0" applyFont="1" applyFill="1" applyBorder="1" applyAlignment="1" applyProtection="1">
      <alignment horizontal="center" vertical="top"/>
      <protection locked="0"/>
    </xf>
    <xf numFmtId="0" fontId="0" fillId="0" borderId="5" xfId="0" applyBorder="1" applyAlignment="1"/>
    <xf numFmtId="43" fontId="1" fillId="2" borderId="7" xfId="1" applyFill="1" applyBorder="1" applyAlignment="1">
      <alignment horizontal="center" vertical="top"/>
    </xf>
    <xf numFmtId="0" fontId="0" fillId="0" borderId="7" xfId="0" applyBorder="1" applyAlignment="1">
      <alignment horizontal="left"/>
    </xf>
    <xf numFmtId="0" fontId="0" fillId="0" borderId="7" xfId="0" applyBorder="1" applyAlignment="1">
      <alignment horizontal="center"/>
    </xf>
    <xf numFmtId="0" fontId="0" fillId="0" borderId="7" xfId="0" applyFill="1" applyBorder="1" applyAlignment="1">
      <alignment horizontal="center"/>
    </xf>
    <xf numFmtId="43" fontId="1" fillId="2" borderId="4" xfId="1" applyFill="1" applyBorder="1" applyAlignment="1">
      <alignment horizontal="center" vertical="top"/>
    </xf>
    <xf numFmtId="0" fontId="17" fillId="0" borderId="0" xfId="0" applyFont="1"/>
    <xf numFmtId="0" fontId="0" fillId="0" borderId="0" xfId="0"/>
    <xf numFmtId="0" fontId="26" fillId="0" borderId="0" xfId="0" applyFont="1"/>
    <xf numFmtId="0" fontId="0" fillId="0" borderId="0" xfId="0" applyAlignment="1">
      <alignment horizontal="center"/>
    </xf>
    <xf numFmtId="0" fontId="0" fillId="0" borderId="3" xfId="0" applyBorder="1" applyAlignment="1">
      <alignment horizontal="center" vertical="center"/>
    </xf>
    <xf numFmtId="0" fontId="3" fillId="0" borderId="0" xfId="0" applyFont="1" applyBorder="1" applyAlignment="1">
      <alignment horizontal="left"/>
    </xf>
    <xf numFmtId="0" fontId="0" fillId="0" borderId="0" xfId="0" applyBorder="1" applyAlignment="1">
      <alignment horizontal="left"/>
    </xf>
    <xf numFmtId="0" fontId="3" fillId="0" borderId="0" xfId="0" applyFont="1" applyBorder="1" applyAlignment="1">
      <alignment vertical="top" wrapText="1"/>
    </xf>
    <xf numFmtId="0" fontId="24" fillId="0" borderId="0" xfId="0" applyFont="1" applyFill="1" applyBorder="1" applyAlignment="1">
      <alignment horizontal="center" vertical="top" wrapText="1"/>
    </xf>
    <xf numFmtId="0" fontId="0" fillId="0" borderId="0" xfId="0" applyBorder="1" applyAlignment="1"/>
    <xf numFmtId="0" fontId="4" fillId="0" borderId="5" xfId="0" applyFont="1" applyBorder="1" applyAlignment="1" applyProtection="1">
      <alignment horizontal="center" vertical="center" wrapText="1"/>
      <protection locked="0"/>
    </xf>
    <xf numFmtId="0" fontId="4" fillId="0" borderId="0" xfId="0" applyFont="1" applyBorder="1" applyAlignment="1" applyProtection="1">
      <alignment horizontal="center" vertical="center" wrapText="1"/>
      <protection locked="0"/>
    </xf>
    <xf numFmtId="0" fontId="0" fillId="0" borderId="0" xfId="0"/>
    <xf numFmtId="0" fontId="4" fillId="0" borderId="10" xfId="0" applyFont="1" applyBorder="1" applyAlignment="1" applyProtection="1">
      <alignment horizontal="center" vertical="center" wrapText="1"/>
      <protection locked="0"/>
    </xf>
    <xf numFmtId="0" fontId="0" fillId="0" borderId="14" xfId="0" applyBorder="1"/>
    <xf numFmtId="0" fontId="13" fillId="0" borderId="3" xfId="0" applyFont="1" applyBorder="1" applyAlignment="1">
      <alignment wrapText="1"/>
    </xf>
    <xf numFmtId="0" fontId="0" fillId="0" borderId="0" xfId="0"/>
    <xf numFmtId="0" fontId="0" fillId="0" borderId="6" xfId="0" applyBorder="1"/>
    <xf numFmtId="0" fontId="7" fillId="3" borderId="10" xfId="0" applyFont="1" applyFill="1" applyBorder="1" applyAlignment="1">
      <alignment horizontal="center" vertical="top"/>
    </xf>
    <xf numFmtId="0" fontId="0" fillId="5" borderId="4" xfId="0" applyFill="1" applyBorder="1" applyAlignment="1"/>
    <xf numFmtId="0" fontId="0" fillId="0" borderId="6" xfId="0" applyBorder="1" applyAlignment="1"/>
    <xf numFmtId="0" fontId="2" fillId="0" borderId="3" xfId="0" applyFont="1" applyBorder="1" applyAlignment="1"/>
    <xf numFmtId="0" fontId="0" fillId="0" borderId="11" xfId="0" applyBorder="1" applyAlignment="1"/>
    <xf numFmtId="0" fontId="0" fillId="0" borderId="8" xfId="0" applyBorder="1" applyAlignment="1" applyProtection="1">
      <protection locked="0"/>
    </xf>
    <xf numFmtId="0" fontId="0" fillId="0" borderId="5" xfId="0" applyBorder="1" applyAlignment="1"/>
    <xf numFmtId="0" fontId="0" fillId="0" borderId="0" xfId="0" applyAlignment="1">
      <alignment vertical="top" wrapText="1"/>
    </xf>
    <xf numFmtId="0" fontId="2" fillId="0" borderId="4"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13" fillId="0" borderId="3" xfId="0" applyFont="1" applyBorder="1" applyAlignment="1">
      <alignment wrapText="1"/>
    </xf>
    <xf numFmtId="0" fontId="7" fillId="3" borderId="10" xfId="0" applyFont="1" applyFill="1" applyBorder="1" applyAlignment="1">
      <alignment horizontal="center" vertical="top"/>
    </xf>
    <xf numFmtId="0" fontId="2" fillId="0" borderId="12" xfId="0" applyFont="1" applyFill="1" applyBorder="1" applyAlignment="1">
      <alignment horizontal="center" vertical="center" wrapText="1"/>
    </xf>
    <xf numFmtId="0" fontId="0" fillId="0" borderId="7" xfId="0" applyBorder="1"/>
    <xf numFmtId="0" fontId="2" fillId="0" borderId="7" xfId="0" applyFont="1" applyFill="1" applyBorder="1" applyAlignment="1">
      <alignment horizontal="center" vertical="top" wrapText="1"/>
    </xf>
    <xf numFmtId="0" fontId="2" fillId="0" borderId="7" xfId="0" applyFont="1" applyBorder="1" applyAlignment="1">
      <alignment horizontal="center" vertical="top"/>
    </xf>
    <xf numFmtId="0" fontId="19" fillId="0" borderId="11"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19" fillId="0" borderId="1" xfId="0" applyFont="1" applyBorder="1" applyAlignment="1">
      <alignment vertical="center" wrapText="1"/>
    </xf>
    <xf numFmtId="0" fontId="19" fillId="0" borderId="3" xfId="0" applyFont="1" applyBorder="1" applyAlignment="1">
      <alignment vertical="center" wrapText="1"/>
    </xf>
    <xf numFmtId="0" fontId="19" fillId="0" borderId="6" xfId="0" applyFont="1" applyBorder="1" applyAlignment="1">
      <alignment vertical="center" wrapText="1"/>
    </xf>
    <xf numFmtId="0" fontId="19" fillId="0" borderId="1" xfId="0" applyFont="1" applyBorder="1" applyAlignment="1">
      <alignment horizontal="left" vertical="center" wrapText="1"/>
    </xf>
    <xf numFmtId="0" fontId="19" fillId="0" borderId="3" xfId="0" applyFont="1" applyBorder="1" applyAlignment="1">
      <alignment horizontal="left" vertical="center" wrapText="1"/>
    </xf>
    <xf numFmtId="0" fontId="5" fillId="0" borderId="0"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7" fillId="0" borderId="14" xfId="0" applyFont="1" applyFill="1" applyBorder="1" applyAlignment="1">
      <alignment horizontal="center" vertical="top" wrapText="1"/>
    </xf>
    <xf numFmtId="0" fontId="5" fillId="0" borderId="8" xfId="0" applyFont="1" applyBorder="1" applyAlignment="1">
      <alignment vertical="center"/>
    </xf>
    <xf numFmtId="0" fontId="27" fillId="0" borderId="10" xfId="0" applyFont="1" applyBorder="1" applyAlignment="1">
      <alignment vertical="top"/>
    </xf>
    <xf numFmtId="0" fontId="0" fillId="0" borderId="5" xfId="0" applyBorder="1" applyAlignment="1" applyProtection="1">
      <protection locked="0"/>
    </xf>
    <xf numFmtId="0" fontId="8" fillId="6" borderId="15" xfId="0" applyFont="1" applyFill="1" applyBorder="1" applyAlignment="1"/>
    <xf numFmtId="0" fontId="8" fillId="6" borderId="13" xfId="0" applyFont="1" applyFill="1" applyBorder="1" applyAlignment="1"/>
    <xf numFmtId="0" fontId="7" fillId="0" borderId="14" xfId="0" applyFont="1" applyFill="1" applyBorder="1" applyAlignment="1">
      <alignment horizontal="center" vertical="center" wrapText="1"/>
    </xf>
    <xf numFmtId="0" fontId="19" fillId="0" borderId="14" xfId="0" applyFont="1" applyFill="1" applyBorder="1" applyAlignment="1">
      <alignment horizontal="center" wrapText="1"/>
    </xf>
    <xf numFmtId="0" fontId="5" fillId="0" borderId="14" xfId="0" applyFont="1" applyBorder="1" applyAlignment="1" applyProtection="1">
      <alignment horizontal="center" wrapText="1"/>
      <protection locked="0"/>
    </xf>
    <xf numFmtId="0" fontId="5" fillId="0" borderId="0" xfId="0" applyFont="1" applyBorder="1" applyAlignment="1" applyProtection="1">
      <alignment horizontal="center" wrapText="1"/>
      <protection locked="0"/>
    </xf>
    <xf numFmtId="0" fontId="16" fillId="0" borderId="3" xfId="0" applyFont="1" applyBorder="1" applyAlignment="1">
      <alignment horizontal="center" vertical="top" wrapText="1"/>
    </xf>
    <xf numFmtId="0" fontId="19" fillId="0" borderId="3" xfId="0" applyFont="1" applyBorder="1" applyAlignment="1">
      <alignment horizontal="right" vertical="center" wrapText="1"/>
    </xf>
    <xf numFmtId="0" fontId="19" fillId="0" borderId="15" xfId="0" applyFont="1" applyBorder="1" applyAlignment="1">
      <alignment horizontal="center" vertical="top" wrapText="1"/>
    </xf>
    <xf numFmtId="0" fontId="19" fillId="0" borderId="3" xfId="0" applyFont="1" applyBorder="1" applyAlignment="1">
      <alignment horizontal="center" vertical="center" wrapText="1"/>
    </xf>
    <xf numFmtId="0" fontId="19" fillId="0" borderId="13" xfId="0" applyFont="1" applyBorder="1" applyAlignment="1">
      <alignment horizontal="center" vertical="top" wrapText="1"/>
    </xf>
    <xf numFmtId="0" fontId="4" fillId="0" borderId="10" xfId="0" applyFont="1" applyBorder="1" applyAlignment="1">
      <alignment horizontal="center" vertical="top" wrapText="1"/>
    </xf>
    <xf numFmtId="0" fontId="5" fillId="0" borderId="13" xfId="0" applyFont="1" applyBorder="1" applyAlignment="1">
      <alignment vertical="top" wrapText="1"/>
    </xf>
    <xf numFmtId="0" fontId="27" fillId="0" borderId="0" xfId="0" applyFont="1" applyAlignment="1"/>
    <xf numFmtId="0" fontId="27" fillId="0" borderId="0" xfId="0" applyFont="1" applyAlignment="1">
      <alignment horizontal="left" vertical="center"/>
    </xf>
    <xf numFmtId="0" fontId="27" fillId="0" borderId="0" xfId="0" applyFont="1" applyAlignment="1">
      <alignment vertical="center"/>
    </xf>
    <xf numFmtId="0" fontId="13" fillId="0" borderId="14" xfId="0" applyFont="1" applyBorder="1"/>
    <xf numFmtId="0" fontId="29" fillId="0" borderId="8" xfId="0" applyFont="1" applyFill="1" applyBorder="1" applyAlignment="1">
      <alignment horizontal="center"/>
    </xf>
    <xf numFmtId="0" fontId="29" fillId="0" borderId="9" xfId="0" applyFont="1" applyFill="1" applyBorder="1" applyAlignment="1">
      <alignment horizontal="center"/>
    </xf>
    <xf numFmtId="0" fontId="29" fillId="0" borderId="10" xfId="0" applyFont="1" applyFill="1" applyBorder="1" applyAlignment="1">
      <alignment horizontal="center"/>
    </xf>
    <xf numFmtId="0" fontId="30" fillId="0" borderId="7" xfId="0" applyFont="1" applyFill="1" applyBorder="1" applyAlignment="1">
      <alignment horizontal="center"/>
    </xf>
    <xf numFmtId="0" fontId="30" fillId="0" borderId="8" xfId="0" applyFont="1" applyFill="1" applyBorder="1" applyAlignment="1">
      <alignment horizontal="center"/>
    </xf>
    <xf numFmtId="0" fontId="7" fillId="0" borderId="4" xfId="0" applyFont="1" applyFill="1" applyBorder="1" applyAlignment="1">
      <alignment horizontal="center" vertical="top"/>
    </xf>
    <xf numFmtId="0" fontId="5" fillId="0" borderId="11" xfId="0" applyFont="1" applyFill="1" applyBorder="1" applyAlignment="1" applyProtection="1">
      <alignment horizontal="center" vertical="top" wrapText="1"/>
      <protection locked="0"/>
    </xf>
    <xf numFmtId="0" fontId="7" fillId="3" borderId="8" xfId="0" applyFont="1" applyFill="1" applyBorder="1" applyAlignment="1">
      <alignment horizontal="center" vertical="top"/>
    </xf>
    <xf numFmtId="0" fontId="0" fillId="0" borderId="8" xfId="0"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49" fontId="7" fillId="0" borderId="0" xfId="0" applyNumberFormat="1" applyFont="1" applyFill="1" applyBorder="1" applyAlignment="1">
      <alignment horizontal="center"/>
    </xf>
    <xf numFmtId="43" fontId="7" fillId="0" borderId="0" xfId="1" applyFont="1" applyFill="1" applyBorder="1" applyAlignment="1">
      <alignment horizontal="center"/>
    </xf>
    <xf numFmtId="0" fontId="7" fillId="3" borderId="10" xfId="0" applyFont="1" applyFill="1" applyBorder="1" applyAlignment="1">
      <alignment horizontal="center"/>
    </xf>
    <xf numFmtId="0" fontId="0" fillId="7" borderId="8" xfId="0" applyFill="1" applyBorder="1" applyAlignment="1">
      <alignment horizontal="center"/>
    </xf>
    <xf numFmtId="0" fontId="0" fillId="0" borderId="3" xfId="0" applyBorder="1" applyAlignment="1"/>
    <xf numFmtId="0" fontId="0" fillId="7" borderId="10" xfId="0" applyFill="1" applyBorder="1" applyAlignment="1">
      <alignment horizontal="center"/>
    </xf>
    <xf numFmtId="0" fontId="0" fillId="7" borderId="9" xfId="0" applyFill="1" applyBorder="1" applyAlignment="1">
      <alignment horizontal="center"/>
    </xf>
    <xf numFmtId="0" fontId="6" fillId="4" borderId="2" xfId="0" applyFont="1" applyFill="1" applyBorder="1" applyAlignment="1">
      <alignment vertical="center" wrapText="1"/>
    </xf>
    <xf numFmtId="0" fontId="7" fillId="2" borderId="13" xfId="0" applyFont="1" applyFill="1" applyBorder="1" applyAlignment="1" applyProtection="1">
      <alignment horizontal="center" vertical="top"/>
      <protection locked="0"/>
    </xf>
    <xf numFmtId="49" fontId="7" fillId="2" borderId="15" xfId="0" applyNumberFormat="1" applyFont="1" applyFill="1" applyBorder="1" applyAlignment="1" applyProtection="1">
      <alignment horizontal="center" vertical="center"/>
      <protection locked="0"/>
    </xf>
    <xf numFmtId="0" fontId="0" fillId="0" borderId="3" xfId="0" applyBorder="1" applyAlignment="1">
      <alignment horizontal="center" vertical="center"/>
    </xf>
    <xf numFmtId="0" fontId="19" fillId="0" borderId="1" xfId="0" applyFont="1" applyBorder="1" applyAlignment="1">
      <alignment vertical="center" wrapText="1"/>
    </xf>
    <xf numFmtId="0" fontId="4" fillId="0" borderId="5" xfId="0" applyFont="1" applyBorder="1" applyAlignment="1" applyProtection="1">
      <alignment horizontal="center" vertical="center" wrapText="1"/>
      <protection locked="0"/>
    </xf>
    <xf numFmtId="0" fontId="19" fillId="0" borderId="11" xfId="0" applyFont="1" applyBorder="1" applyAlignment="1" applyProtection="1">
      <alignment horizontal="center" vertical="center" wrapText="1"/>
      <protection locked="0"/>
    </xf>
    <xf numFmtId="0" fontId="0" fillId="0" borderId="14" xfId="0" applyBorder="1"/>
    <xf numFmtId="0" fontId="12" fillId="0" borderId="0" xfId="0" applyFont="1" applyFill="1" applyBorder="1" applyAlignment="1">
      <alignment horizontal="left" vertical="center" wrapText="1"/>
    </xf>
    <xf numFmtId="0" fontId="27" fillId="0" borderId="0" xfId="0" applyFont="1" applyFill="1" applyAlignment="1"/>
    <xf numFmtId="0" fontId="19" fillId="0" borderId="0" xfId="0" applyFont="1" applyFill="1" applyBorder="1" applyAlignment="1">
      <alignment horizontal="center" vertical="top" wrapText="1"/>
    </xf>
    <xf numFmtId="0" fontId="5" fillId="0" borderId="0" xfId="0" applyFont="1" applyFill="1" applyBorder="1" applyAlignment="1">
      <alignment vertical="top" wrapText="1"/>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3" fillId="0" borderId="0" xfId="0" applyFont="1" applyFill="1" applyBorder="1" applyAlignment="1" applyProtection="1">
      <alignment vertical="center" wrapText="1"/>
    </xf>
    <xf numFmtId="0" fontId="12" fillId="0" borderId="0" xfId="0" applyFont="1" applyFill="1" applyBorder="1" applyAlignment="1" applyProtection="1">
      <alignment horizontal="left" vertical="center" wrapText="1"/>
      <protection locked="0"/>
    </xf>
    <xf numFmtId="0" fontId="7" fillId="0" borderId="0" xfId="0" applyFont="1" applyFill="1" applyBorder="1" applyAlignment="1">
      <alignment horizontal="center" vertical="center" wrapText="1"/>
    </xf>
    <xf numFmtId="0" fontId="0" fillId="0" borderId="0" xfId="0" applyFill="1" applyBorder="1" applyProtection="1">
      <protection locked="0"/>
    </xf>
    <xf numFmtId="0" fontId="0" fillId="0" borderId="0" xfId="0" applyFill="1" applyBorder="1" applyAlignment="1" applyProtection="1">
      <protection locked="0"/>
    </xf>
    <xf numFmtId="0" fontId="27" fillId="0" borderId="0" xfId="0" applyFont="1" applyFill="1" applyBorder="1" applyAlignment="1"/>
    <xf numFmtId="0" fontId="6" fillId="0" borderId="11" xfId="0" applyFont="1" applyFill="1" applyBorder="1" applyAlignment="1">
      <alignment vertical="center"/>
    </xf>
    <xf numFmtId="0" fontId="6" fillId="0" borderId="0" xfId="0" applyFont="1" applyFill="1" applyBorder="1" applyAlignment="1">
      <alignment vertical="center"/>
    </xf>
    <xf numFmtId="0" fontId="0" fillId="0" borderId="0" xfId="0" applyFill="1" applyBorder="1" applyAlignment="1">
      <alignment horizontal="center" vertical="center"/>
    </xf>
    <xf numFmtId="0" fontId="0" fillId="0" borderId="0" xfId="0" applyFill="1" applyBorder="1" applyAlignment="1">
      <alignment horizontal="left" vertical="center" wrapText="1"/>
    </xf>
    <xf numFmtId="0" fontId="23" fillId="0" borderId="0" xfId="0" applyFont="1" applyFill="1" applyBorder="1" applyAlignment="1"/>
    <xf numFmtId="0" fontId="0" fillId="0" borderId="0" xfId="0" applyFill="1" applyBorder="1" applyAlignment="1">
      <alignment horizontal="justify" vertical="center" wrapText="1"/>
    </xf>
    <xf numFmtId="164" fontId="0" fillId="0" borderId="7" xfId="0" applyNumberFormat="1" applyFill="1" applyBorder="1" applyAlignment="1" applyProtection="1">
      <alignment horizontal="center"/>
      <protection locked="0"/>
    </xf>
    <xf numFmtId="43" fontId="1" fillId="2" borderId="0" xfId="1" applyFill="1" applyBorder="1" applyAlignment="1">
      <alignment horizontal="center" vertical="top"/>
    </xf>
    <xf numFmtId="0" fontId="0" fillId="0" borderId="4" xfId="0" applyFill="1" applyBorder="1" applyAlignment="1"/>
    <xf numFmtId="0" fontId="0" fillId="0" borderId="7" xfId="0" applyFill="1" applyBorder="1"/>
    <xf numFmtId="164" fontId="0" fillId="0" borderId="7" xfId="0" applyNumberFormat="1" applyBorder="1" applyAlignment="1">
      <alignment horizontal="center" vertical="top"/>
    </xf>
    <xf numFmtId="0" fontId="0" fillId="0" borderId="7" xfId="0" applyBorder="1" applyAlignment="1"/>
    <xf numFmtId="43" fontId="1" fillId="0" borderId="7" xfId="1" applyFill="1" applyBorder="1" applyAlignment="1">
      <alignment horizontal="center" vertical="top"/>
    </xf>
    <xf numFmtId="0" fontId="20" fillId="0" borderId="2" xfId="0" applyFont="1" applyBorder="1" applyAlignment="1">
      <alignment vertical="center" wrapText="1" shrinkToFit="1"/>
    </xf>
    <xf numFmtId="0" fontId="13" fillId="0" borderId="10" xfId="0" applyFont="1" applyBorder="1" applyAlignment="1"/>
    <xf numFmtId="0" fontId="13" fillId="2" borderId="7" xfId="0" applyFont="1" applyFill="1" applyBorder="1"/>
    <xf numFmtId="0" fontId="13" fillId="2" borderId="7" xfId="0" applyFont="1" applyFill="1" applyBorder="1" applyAlignment="1"/>
    <xf numFmtId="0" fontId="13" fillId="0" borderId="0" xfId="0" applyFont="1" applyBorder="1"/>
    <xf numFmtId="49" fontId="13" fillId="2" borderId="7" xfId="0" applyNumberFormat="1" applyFont="1" applyFill="1" applyBorder="1" applyAlignment="1">
      <alignment horizontal="left" vertical="center"/>
    </xf>
    <xf numFmtId="0" fontId="13" fillId="2" borderId="7" xfId="0" applyFont="1" applyFill="1" applyBorder="1" applyAlignment="1">
      <alignment wrapText="1"/>
    </xf>
    <xf numFmtId="49" fontId="13" fillId="0" borderId="0" xfId="0" applyNumberFormat="1" applyFont="1" applyFill="1" applyBorder="1" applyAlignment="1">
      <alignment horizontal="left" vertical="center"/>
    </xf>
    <xf numFmtId="49" fontId="31" fillId="2" borderId="7" xfId="0" applyNumberFormat="1" applyFont="1" applyFill="1" applyBorder="1" applyAlignment="1" applyProtection="1">
      <alignment horizontal="left" vertical="center"/>
      <protection locked="0"/>
    </xf>
    <xf numFmtId="49" fontId="31" fillId="2" borderId="4" xfId="0" applyNumberFormat="1" applyFont="1" applyFill="1" applyBorder="1" applyAlignment="1" applyProtection="1">
      <alignment horizontal="left" vertical="center"/>
      <protection locked="0"/>
    </xf>
    <xf numFmtId="0" fontId="13" fillId="0" borderId="0" xfId="0" applyFont="1" applyFill="1" applyBorder="1" applyAlignment="1"/>
    <xf numFmtId="0" fontId="13" fillId="0" borderId="0" xfId="0" applyFont="1" applyAlignment="1">
      <alignment horizontal="left"/>
    </xf>
    <xf numFmtId="0" fontId="13" fillId="0" borderId="0" xfId="0" applyFont="1" applyAlignment="1">
      <alignment horizontal="right"/>
    </xf>
    <xf numFmtId="0" fontId="13" fillId="0" borderId="5" xfId="0" applyFont="1" applyBorder="1" applyAlignment="1"/>
    <xf numFmtId="49" fontId="13" fillId="2" borderId="2" xfId="0" applyNumberFormat="1" applyFont="1" applyFill="1" applyBorder="1" applyAlignment="1">
      <alignment horizontal="left" vertical="center"/>
    </xf>
    <xf numFmtId="2" fontId="13" fillId="2" borderId="7" xfId="0" applyNumberFormat="1" applyFont="1" applyFill="1" applyBorder="1" applyAlignment="1">
      <alignment horizontal="right"/>
    </xf>
    <xf numFmtId="49" fontId="13" fillId="2" borderId="2" xfId="0" applyNumberFormat="1" applyFont="1" applyFill="1" applyBorder="1" applyAlignment="1">
      <alignment vertical="center"/>
    </xf>
    <xf numFmtId="2" fontId="13" fillId="0" borderId="0" xfId="0" applyNumberFormat="1" applyFont="1" applyAlignment="1">
      <alignment horizontal="right"/>
    </xf>
    <xf numFmtId="0" fontId="13" fillId="0" borderId="7" xfId="0" applyFont="1" applyFill="1" applyBorder="1" applyAlignment="1"/>
    <xf numFmtId="0" fontId="13" fillId="2" borderId="0" xfId="0" applyFont="1" applyFill="1" applyBorder="1" applyAlignment="1"/>
    <xf numFmtId="49" fontId="13" fillId="2" borderId="0" xfId="0" applyNumberFormat="1" applyFont="1" applyFill="1" applyBorder="1" applyAlignment="1">
      <alignment horizontal="left" vertical="center"/>
    </xf>
    <xf numFmtId="0" fontId="31" fillId="0" borderId="11" xfId="0" applyFont="1" applyBorder="1" applyAlignment="1">
      <alignment horizontal="right" wrapText="1" shrinkToFit="1"/>
    </xf>
    <xf numFmtId="0" fontId="31" fillId="0" borderId="11" xfId="0" applyFont="1" applyBorder="1" applyAlignment="1">
      <alignment horizontal="center"/>
    </xf>
    <xf numFmtId="0" fontId="33" fillId="6" borderId="2" xfId="0" applyFont="1" applyFill="1" applyBorder="1" applyAlignment="1"/>
    <xf numFmtId="0" fontId="13" fillId="0" borderId="1" xfId="0" applyFont="1" applyBorder="1" applyAlignment="1"/>
    <xf numFmtId="0" fontId="13" fillId="0" borderId="3" xfId="0" applyFont="1" applyBorder="1" applyAlignment="1"/>
    <xf numFmtId="0" fontId="13" fillId="0" borderId="6" xfId="0" applyFont="1" applyBorder="1" applyAlignment="1"/>
    <xf numFmtId="0" fontId="13" fillId="0" borderId="4" xfId="0" applyFont="1" applyBorder="1" applyAlignment="1"/>
    <xf numFmtId="0" fontId="13" fillId="0" borderId="1" xfId="0" applyFont="1" applyBorder="1" applyAlignment="1">
      <alignment vertical="center"/>
    </xf>
    <xf numFmtId="0" fontId="34" fillId="0" borderId="3" xfId="0" applyFont="1" applyBorder="1" applyAlignment="1">
      <alignment vertical="center"/>
    </xf>
    <xf numFmtId="0" fontId="13" fillId="0" borderId="3" xfId="0" applyFont="1" applyBorder="1"/>
    <xf numFmtId="0" fontId="7" fillId="0" borderId="0" xfId="0" applyFont="1" applyBorder="1" applyAlignment="1">
      <alignment horizontal="justify" vertical="center" wrapText="1"/>
    </xf>
    <xf numFmtId="0" fontId="0" fillId="0" borderId="0" xfId="0" applyBorder="1" applyAlignment="1">
      <alignment horizontal="justify" vertical="center" wrapText="1"/>
    </xf>
    <xf numFmtId="164" fontId="13" fillId="2" borderId="7" xfId="0" applyNumberFormat="1" applyFont="1" applyFill="1" applyBorder="1" applyAlignment="1" applyProtection="1">
      <alignment horizontal="center"/>
      <protection locked="0"/>
    </xf>
    <xf numFmtId="164" fontId="13" fillId="2" borderId="7" xfId="1" applyNumberFormat="1" applyFont="1" applyFill="1" applyBorder="1" applyAlignment="1" applyProtection="1">
      <alignment horizontal="center" vertical="center"/>
      <protection locked="0"/>
    </xf>
    <xf numFmtId="0" fontId="0" fillId="0" borderId="0" xfId="0" applyAlignment="1">
      <alignment horizontal="justify" vertical="center"/>
    </xf>
    <xf numFmtId="0" fontId="1" fillId="0" borderId="0" xfId="0" applyFont="1" applyAlignment="1">
      <alignment horizontal="justify" vertical="center"/>
    </xf>
    <xf numFmtId="0" fontId="31" fillId="0" borderId="0" xfId="0" applyFont="1"/>
    <xf numFmtId="0" fontId="31" fillId="2" borderId="7" xfId="0" applyFont="1" applyFill="1" applyBorder="1"/>
    <xf numFmtId="0" fontId="31" fillId="2" borderId="7" xfId="0" applyFont="1" applyFill="1" applyBorder="1" applyAlignment="1"/>
    <xf numFmtId="0" fontId="31" fillId="2" borderId="4" xfId="0" applyFont="1" applyFill="1" applyBorder="1" applyAlignment="1"/>
    <xf numFmtId="0" fontId="38" fillId="0" borderId="0" xfId="0" applyFont="1"/>
    <xf numFmtId="0" fontId="38" fillId="0" borderId="0" xfId="0" applyFont="1" applyFill="1" applyBorder="1"/>
    <xf numFmtId="0" fontId="38" fillId="2" borderId="7" xfId="0" applyFont="1" applyFill="1" applyBorder="1" applyAlignment="1" applyProtection="1">
      <alignment wrapText="1"/>
      <protection locked="0"/>
    </xf>
    <xf numFmtId="0" fontId="38" fillId="2" borderId="8" xfId="0" applyFont="1" applyFill="1" applyBorder="1" applyAlignment="1" applyProtection="1">
      <alignment wrapText="1"/>
      <protection locked="0"/>
    </xf>
    <xf numFmtId="0" fontId="13" fillId="0" borderId="1" xfId="0" applyFont="1" applyBorder="1" applyAlignment="1">
      <alignment vertical="center" wrapText="1"/>
    </xf>
    <xf numFmtId="49" fontId="31" fillId="2" borderId="7" xfId="0" applyNumberFormat="1" applyFont="1" applyFill="1" applyBorder="1" applyAlignment="1" applyProtection="1">
      <alignment horizontal="left" vertical="center" wrapText="1"/>
      <protection locked="0"/>
    </xf>
    <xf numFmtId="49" fontId="31" fillId="2" borderId="8" xfId="0" applyNumberFormat="1" applyFont="1" applyFill="1" applyBorder="1" applyAlignment="1" applyProtection="1">
      <alignment horizontal="left" vertical="center"/>
      <protection locked="0"/>
    </xf>
    <xf numFmtId="0" fontId="13" fillId="7" borderId="8" xfId="0" applyFont="1" applyFill="1" applyBorder="1" applyAlignment="1">
      <alignment horizontal="center"/>
    </xf>
    <xf numFmtId="0" fontId="31" fillId="7" borderId="8" xfId="0" applyFont="1" applyFill="1" applyBorder="1" applyAlignment="1">
      <alignment horizontal="center"/>
    </xf>
    <xf numFmtId="0" fontId="31" fillId="2" borderId="7" xfId="0" applyFont="1" applyFill="1" applyBorder="1" applyAlignment="1" applyProtection="1">
      <alignment wrapText="1"/>
      <protection locked="0"/>
    </xf>
    <xf numFmtId="49" fontId="31" fillId="2" borderId="0" xfId="0" applyNumberFormat="1" applyFont="1" applyFill="1" applyBorder="1" applyAlignment="1" applyProtection="1">
      <alignment horizontal="left" vertical="center"/>
      <protection locked="0"/>
    </xf>
    <xf numFmtId="0" fontId="31" fillId="2" borderId="8" xfId="0" applyFont="1" applyFill="1" applyBorder="1" applyAlignment="1" applyProtection="1">
      <alignment wrapText="1"/>
      <protection locked="0"/>
    </xf>
    <xf numFmtId="0" fontId="31" fillId="2" borderId="0" xfId="0" applyFont="1" applyFill="1" applyAlignment="1" applyProtection="1">
      <alignment vertical="center" wrapText="1"/>
      <protection locked="0"/>
    </xf>
    <xf numFmtId="49" fontId="31" fillId="2" borderId="14" xfId="0" applyNumberFormat="1" applyFont="1" applyFill="1" applyBorder="1" applyAlignment="1" applyProtection="1">
      <alignment horizontal="left" vertical="center"/>
      <protection locked="0"/>
    </xf>
    <xf numFmtId="49" fontId="31" fillId="2" borderId="13" xfId="0" applyNumberFormat="1" applyFont="1" applyFill="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13" fillId="0" borderId="3" xfId="0" applyFont="1" applyBorder="1" applyAlignment="1"/>
    <xf numFmtId="0" fontId="13" fillId="0" borderId="6" xfId="0" applyFont="1" applyBorder="1" applyAlignment="1"/>
    <xf numFmtId="0" fontId="13" fillId="0" borderId="0" xfId="0" applyFont="1" applyBorder="1" applyAlignment="1"/>
    <xf numFmtId="164" fontId="31" fillId="0" borderId="6" xfId="0" applyNumberFormat="1" applyFont="1" applyBorder="1" applyAlignment="1">
      <alignment vertical="center" wrapText="1" shrinkToFit="1"/>
    </xf>
    <xf numFmtId="164" fontId="31" fillId="0" borderId="7" xfId="0" applyNumberFormat="1" applyFont="1" applyFill="1" applyBorder="1" applyAlignment="1">
      <alignment horizontal="center"/>
    </xf>
    <xf numFmtId="0" fontId="39" fillId="0" borderId="8" xfId="0" applyFont="1" applyFill="1" applyBorder="1" applyAlignment="1">
      <alignment horizontal="center" vertical="center"/>
    </xf>
    <xf numFmtId="0" fontId="39" fillId="0" borderId="8" xfId="0" applyFont="1" applyBorder="1" applyAlignment="1">
      <alignment horizontal="center" vertical="center"/>
    </xf>
    <xf numFmtId="49" fontId="19" fillId="0" borderId="3" xfId="0" applyNumberFormat="1" applyFont="1" applyBorder="1" applyAlignment="1">
      <alignment horizontal="right" vertical="center" wrapText="1"/>
    </xf>
    <xf numFmtId="164" fontId="13" fillId="2" borderId="4" xfId="0" applyNumberFormat="1" applyFont="1" applyFill="1" applyBorder="1" applyAlignment="1" applyProtection="1">
      <alignment horizontal="center" vertical="center"/>
      <protection locked="0"/>
    </xf>
    <xf numFmtId="164" fontId="13" fillId="2" borderId="7" xfId="0" applyNumberFormat="1" applyFont="1" applyFill="1" applyBorder="1" applyAlignment="1" applyProtection="1">
      <alignment horizontal="center" vertical="top"/>
      <protection locked="0"/>
    </xf>
    <xf numFmtId="164" fontId="20" fillId="4" borderId="7" xfId="0" applyNumberFormat="1" applyFont="1" applyFill="1" applyBorder="1" applyAlignment="1">
      <alignment horizontal="center" vertical="center"/>
    </xf>
    <xf numFmtId="165" fontId="13" fillId="0" borderId="2" xfId="0" applyNumberFormat="1" applyFont="1" applyFill="1" applyBorder="1" applyAlignment="1" applyProtection="1">
      <alignment horizontal="center" vertical="top"/>
      <protection locked="0"/>
    </xf>
    <xf numFmtId="49" fontId="13" fillId="2" borderId="15" xfId="0" applyNumberFormat="1" applyFont="1" applyFill="1" applyBorder="1" applyAlignment="1" applyProtection="1">
      <alignment horizontal="center" vertical="center"/>
      <protection locked="0"/>
    </xf>
    <xf numFmtId="3" fontId="13" fillId="2" borderId="7" xfId="0" applyNumberFormat="1" applyFont="1" applyFill="1" applyBorder="1" applyAlignment="1" applyProtection="1">
      <alignment horizontal="center" vertical="top"/>
      <protection locked="0"/>
    </xf>
    <xf numFmtId="164" fontId="13" fillId="2" borderId="4" xfId="0" applyNumberFormat="1" applyFont="1" applyFill="1" applyBorder="1" applyAlignment="1" applyProtection="1">
      <alignment horizontal="center" vertical="top"/>
      <protection locked="0"/>
    </xf>
    <xf numFmtId="0" fontId="13" fillId="2" borderId="7" xfId="0" applyFont="1" applyFill="1" applyBorder="1" applyProtection="1">
      <protection locked="0"/>
    </xf>
    <xf numFmtId="4" fontId="20" fillId="4" borderId="7" xfId="0" applyNumberFormat="1" applyFont="1" applyFill="1" applyBorder="1" applyAlignment="1">
      <alignment horizontal="center" vertical="center"/>
    </xf>
    <xf numFmtId="49" fontId="13" fillId="2" borderId="13" xfId="0" applyNumberFormat="1" applyFont="1" applyFill="1" applyBorder="1" applyAlignment="1" applyProtection="1">
      <alignment horizontal="center" vertical="center"/>
      <protection locked="0"/>
    </xf>
    <xf numFmtId="49" fontId="13" fillId="2" borderId="6" xfId="0" applyNumberFormat="1" applyFont="1" applyFill="1" applyBorder="1" applyAlignment="1" applyProtection="1">
      <alignment horizontal="center" vertical="center"/>
      <protection locked="0"/>
    </xf>
    <xf numFmtId="49" fontId="13" fillId="2" borderId="7" xfId="0" applyNumberFormat="1" applyFont="1" applyFill="1" applyBorder="1" applyAlignment="1" applyProtection="1">
      <alignment horizontal="center" vertical="center"/>
      <protection locked="0"/>
    </xf>
    <xf numFmtId="164" fontId="13" fillId="2" borderId="7"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protection locked="0"/>
    </xf>
    <xf numFmtId="49" fontId="13" fillId="2" borderId="4" xfId="0" applyNumberFormat="1" applyFont="1" applyFill="1" applyBorder="1" applyAlignment="1" applyProtection="1">
      <alignment horizontal="center" vertical="center"/>
      <protection locked="0"/>
    </xf>
    <xf numFmtId="164" fontId="13" fillId="2" borderId="2" xfId="0" applyNumberFormat="1" applyFont="1" applyFill="1" applyBorder="1" applyAlignment="1" applyProtection="1">
      <alignment horizontal="center"/>
      <protection locked="0"/>
    </xf>
    <xf numFmtId="0" fontId="13" fillId="2" borderId="2" xfId="0" applyFont="1" applyFill="1" applyBorder="1" applyProtection="1">
      <protection locked="0"/>
    </xf>
    <xf numFmtId="0" fontId="20" fillId="4" borderId="13" xfId="0" applyFont="1" applyFill="1" applyBorder="1" applyAlignment="1">
      <alignment horizontal="center" vertical="center"/>
    </xf>
    <xf numFmtId="9" fontId="20" fillId="4" borderId="7" xfId="0" applyNumberFormat="1" applyFont="1" applyFill="1" applyBorder="1" applyAlignment="1">
      <alignment horizontal="center" vertical="center"/>
    </xf>
    <xf numFmtId="3" fontId="13" fillId="2" borderId="7" xfId="0" applyNumberFormat="1" applyFont="1" applyFill="1" applyBorder="1" applyAlignment="1" applyProtection="1">
      <alignment horizontal="center"/>
      <protection locked="0"/>
    </xf>
    <xf numFmtId="3" fontId="13" fillId="2" borderId="13" xfId="0" applyNumberFormat="1" applyFont="1" applyFill="1" applyBorder="1" applyAlignment="1" applyProtection="1">
      <alignment horizontal="center" vertical="top"/>
      <protection locked="0"/>
    </xf>
    <xf numFmtId="0" fontId="13" fillId="2" borderId="13" xfId="0" applyFont="1" applyFill="1" applyBorder="1" applyAlignment="1" applyProtection="1">
      <alignment horizontal="center" vertical="top"/>
      <protection locked="0"/>
    </xf>
    <xf numFmtId="0" fontId="13" fillId="2" borderId="7" xfId="0" applyFont="1" applyFill="1" applyBorder="1" applyAlignment="1" applyProtection="1">
      <alignment horizontal="center" vertical="top"/>
      <protection locked="0"/>
    </xf>
    <xf numFmtId="0" fontId="20" fillId="4" borderId="2" xfId="0" applyFont="1" applyFill="1" applyBorder="1" applyAlignment="1">
      <alignment vertical="center" wrapText="1"/>
    </xf>
    <xf numFmtId="1" fontId="13" fillId="2" borderId="7" xfId="0" applyNumberFormat="1" applyFont="1" applyFill="1" applyBorder="1" applyAlignment="1" applyProtection="1">
      <alignment horizontal="center"/>
      <protection locked="0"/>
    </xf>
    <xf numFmtId="164" fontId="13" fillId="2" borderId="7" xfId="0" applyNumberFormat="1" applyFont="1" applyFill="1" applyBorder="1" applyAlignment="1" applyProtection="1">
      <protection locked="0"/>
    </xf>
    <xf numFmtId="1" fontId="13" fillId="2" borderId="13" xfId="0" applyNumberFormat="1" applyFont="1" applyFill="1" applyBorder="1" applyAlignment="1" applyProtection="1">
      <alignment horizontal="center" vertical="center"/>
      <protection locked="0"/>
    </xf>
    <xf numFmtId="164" fontId="13" fillId="2" borderId="4" xfId="0" applyNumberFormat="1" applyFont="1" applyFill="1" applyBorder="1" applyAlignment="1" applyProtection="1">
      <protection locked="0"/>
    </xf>
    <xf numFmtId="164" fontId="13" fillId="2" borderId="7" xfId="0" applyNumberFormat="1" applyFont="1" applyFill="1" applyBorder="1" applyAlignment="1" applyProtection="1">
      <alignment vertical="top"/>
      <protection locked="0"/>
    </xf>
    <xf numFmtId="164" fontId="13" fillId="2" borderId="4" xfId="0" applyNumberFormat="1" applyFont="1" applyFill="1" applyBorder="1" applyAlignment="1" applyProtection="1">
      <alignment horizontal="center"/>
      <protection locked="0"/>
    </xf>
    <xf numFmtId="164" fontId="13" fillId="2" borderId="7" xfId="1" applyNumberFormat="1" applyFont="1" applyFill="1" applyBorder="1" applyAlignment="1" applyProtection="1">
      <alignment horizontal="center"/>
      <protection locked="0"/>
    </xf>
    <xf numFmtId="1" fontId="13" fillId="2" borderId="7" xfId="0" applyNumberFormat="1" applyFont="1" applyFill="1" applyBorder="1" applyAlignment="1" applyProtection="1">
      <alignment horizontal="center" vertical="top"/>
      <protection locked="0"/>
    </xf>
    <xf numFmtId="49" fontId="13" fillId="0" borderId="15" xfId="0" applyNumberFormat="1" applyFont="1" applyFill="1" applyBorder="1" applyAlignment="1" applyProtection="1">
      <alignment horizontal="center" vertical="center"/>
      <protection locked="0"/>
    </xf>
    <xf numFmtId="0" fontId="13" fillId="2" borderId="2" xfId="0" applyFont="1" applyFill="1" applyBorder="1" applyAlignment="1" applyProtection="1">
      <alignment horizontal="center" vertical="top"/>
      <protection locked="0"/>
    </xf>
    <xf numFmtId="49" fontId="13" fillId="2" borderId="13" xfId="0" applyNumberFormat="1" applyFont="1" applyFill="1" applyBorder="1" applyAlignment="1" applyProtection="1">
      <alignment horizontal="center"/>
      <protection locked="0"/>
    </xf>
    <xf numFmtId="165" fontId="13" fillId="2" borderId="7" xfId="0" applyNumberFormat="1" applyFont="1" applyFill="1" applyBorder="1" applyAlignment="1" applyProtection="1">
      <alignment horizontal="center"/>
      <protection locked="0"/>
    </xf>
    <xf numFmtId="0" fontId="13" fillId="2" borderId="13" xfId="0" applyFont="1" applyFill="1" applyBorder="1" applyAlignment="1" applyProtection="1">
      <alignment horizontal="center"/>
      <protection locked="0"/>
    </xf>
    <xf numFmtId="0" fontId="13" fillId="2" borderId="7" xfId="0" applyFont="1" applyFill="1" applyBorder="1" applyAlignment="1" applyProtection="1">
      <alignment horizontal="center"/>
      <protection locked="0"/>
    </xf>
    <xf numFmtId="43" fontId="13" fillId="2" borderId="7" xfId="0" applyNumberFormat="1" applyFont="1" applyFill="1" applyBorder="1" applyAlignment="1" applyProtection="1">
      <alignment horizontal="center"/>
      <protection locked="0"/>
    </xf>
    <xf numFmtId="0" fontId="13" fillId="2" borderId="4" xfId="0" applyFont="1" applyFill="1" applyBorder="1" applyAlignment="1" applyProtection="1">
      <alignment horizontal="center"/>
      <protection locked="0"/>
    </xf>
    <xf numFmtId="43" fontId="13" fillId="2" borderId="7" xfId="0" applyNumberFormat="1" applyFont="1" applyFill="1" applyBorder="1" applyAlignment="1" applyProtection="1">
      <protection locked="0"/>
    </xf>
    <xf numFmtId="7" fontId="13" fillId="2" borderId="7" xfId="0" applyNumberFormat="1" applyFont="1" applyFill="1" applyBorder="1" applyAlignment="1" applyProtection="1">
      <alignment horizontal="center"/>
      <protection locked="0"/>
    </xf>
    <xf numFmtId="49" fontId="31" fillId="2" borderId="7" xfId="0" applyNumberFormat="1" applyFont="1" applyFill="1" applyBorder="1" applyAlignment="1" applyProtection="1">
      <alignment horizontal="left"/>
      <protection locked="0"/>
    </xf>
    <xf numFmtId="43" fontId="13" fillId="2" borderId="7" xfId="1" applyFont="1" applyFill="1" applyBorder="1" applyAlignment="1">
      <alignment horizontal="center" vertical="top"/>
    </xf>
    <xf numFmtId="0" fontId="31" fillId="2" borderId="7" xfId="0" applyFont="1" applyFill="1" applyBorder="1" applyAlignment="1" applyProtection="1">
      <alignment vertical="center" wrapText="1"/>
      <protection locked="0"/>
    </xf>
    <xf numFmtId="165" fontId="13" fillId="0" borderId="2" xfId="0" applyNumberFormat="1" applyFont="1" applyFill="1" applyBorder="1" applyAlignment="1" applyProtection="1">
      <alignment horizontal="center" vertical="center"/>
      <protection locked="0"/>
    </xf>
    <xf numFmtId="4" fontId="13" fillId="2" borderId="7" xfId="0" applyNumberFormat="1" applyFont="1" applyFill="1" applyBorder="1" applyAlignment="1" applyProtection="1">
      <alignment horizontal="center"/>
      <protection locked="0"/>
    </xf>
    <xf numFmtId="1" fontId="13" fillId="2" borderId="13" xfId="0" applyNumberFormat="1" applyFont="1" applyFill="1" applyBorder="1" applyAlignment="1" applyProtection="1">
      <alignment horizontal="center"/>
      <protection locked="0"/>
    </xf>
    <xf numFmtId="166" fontId="13" fillId="2" borderId="7" xfId="0" applyNumberFormat="1" applyFont="1" applyFill="1" applyBorder="1" applyAlignment="1" applyProtection="1">
      <alignment horizontal="center"/>
      <protection locked="0"/>
    </xf>
    <xf numFmtId="49" fontId="13" fillId="2" borderId="6" xfId="0" applyNumberFormat="1" applyFont="1" applyFill="1" applyBorder="1" applyAlignment="1" applyProtection="1">
      <alignment horizontal="center"/>
      <protection locked="0"/>
    </xf>
    <xf numFmtId="0" fontId="13" fillId="2" borderId="13" xfId="0" applyNumberFormat="1" applyFont="1" applyFill="1" applyBorder="1" applyAlignment="1" applyProtection="1">
      <alignment horizontal="center"/>
      <protection locked="0"/>
    </xf>
    <xf numFmtId="164" fontId="13" fillId="2" borderId="7" xfId="0" applyNumberFormat="1" applyFont="1" applyFill="1" applyBorder="1" applyProtection="1">
      <protection locked="0"/>
    </xf>
    <xf numFmtId="49" fontId="13" fillId="2" borderId="7" xfId="0" applyNumberFormat="1" applyFont="1" applyFill="1" applyBorder="1" applyAlignment="1" applyProtection="1">
      <alignment horizontal="center"/>
      <protection locked="0"/>
    </xf>
    <xf numFmtId="165" fontId="13" fillId="0" borderId="2" xfId="0" applyNumberFormat="1" applyFont="1" applyFill="1" applyBorder="1" applyAlignment="1" applyProtection="1">
      <alignment horizontal="center"/>
      <protection locked="0"/>
    </xf>
    <xf numFmtId="164" fontId="13" fillId="2" borderId="14" xfId="0" applyNumberFormat="1" applyFont="1" applyFill="1" applyBorder="1" applyAlignment="1" applyProtection="1">
      <alignment horizontal="center"/>
      <protection locked="0"/>
    </xf>
    <xf numFmtId="4" fontId="13" fillId="2" borderId="7" xfId="1" applyNumberFormat="1" applyFont="1" applyFill="1" applyBorder="1" applyAlignment="1" applyProtection="1">
      <alignment horizontal="center"/>
      <protection locked="0"/>
    </xf>
    <xf numFmtId="49" fontId="13" fillId="2" borderId="12" xfId="0" applyNumberFormat="1" applyFont="1" applyFill="1" applyBorder="1" applyAlignment="1" applyProtection="1">
      <alignment horizontal="center"/>
      <protection locked="0"/>
    </xf>
    <xf numFmtId="0" fontId="13" fillId="0" borderId="1" xfId="0" applyFont="1" applyBorder="1" applyAlignment="1">
      <alignment vertical="center" wrapText="1"/>
    </xf>
    <xf numFmtId="0" fontId="31" fillId="0" borderId="4" xfId="0" applyFont="1" applyFill="1" applyBorder="1" applyAlignment="1"/>
    <xf numFmtId="0" fontId="31" fillId="0" borderId="7" xfId="0" applyFont="1" applyBorder="1" applyAlignment="1">
      <alignment horizontal="center"/>
    </xf>
    <xf numFmtId="0" fontId="13" fillId="0" borderId="4" xfId="0" applyFont="1" applyFill="1" applyBorder="1" applyAlignment="1"/>
    <xf numFmtId="164" fontId="13" fillId="0" borderId="7" xfId="0" applyNumberFormat="1" applyFont="1" applyFill="1" applyBorder="1" applyAlignment="1">
      <alignment horizontal="center"/>
    </xf>
    <xf numFmtId="0" fontId="13" fillId="0" borderId="7" xfId="0" applyFont="1" applyFill="1" applyBorder="1"/>
    <xf numFmtId="0" fontId="13" fillId="0" borderId="7" xfId="0" applyFont="1" applyBorder="1" applyAlignment="1">
      <alignment horizontal="center" vertical="top"/>
    </xf>
    <xf numFmtId="164" fontId="13" fillId="0" borderId="7" xfId="0" applyNumberFormat="1" applyFont="1" applyBorder="1" applyAlignment="1">
      <alignment horizontal="center" vertical="top"/>
    </xf>
    <xf numFmtId="9" fontId="13" fillId="0" borderId="7" xfId="0" applyNumberFormat="1" applyFont="1" applyBorder="1" applyAlignment="1">
      <alignment horizontal="center" vertical="top"/>
    </xf>
    <xf numFmtId="164" fontId="13" fillId="0" borderId="7" xfId="0" applyNumberFormat="1" applyFont="1" applyBorder="1" applyAlignment="1">
      <alignment vertical="top"/>
    </xf>
    <xf numFmtId="0" fontId="39" fillId="0" borderId="8" xfId="0" applyFont="1" applyBorder="1" applyAlignment="1">
      <alignment vertical="center"/>
    </xf>
    <xf numFmtId="0" fontId="13" fillId="0" borderId="6" xfId="0" applyFont="1" applyBorder="1"/>
    <xf numFmtId="0" fontId="13" fillId="0" borderId="11" xfId="0" applyFont="1" applyBorder="1" applyAlignment="1"/>
    <xf numFmtId="0" fontId="13" fillId="0" borderId="8" xfId="0" applyFont="1" applyBorder="1" applyAlignment="1" applyProtection="1">
      <protection locked="0"/>
    </xf>
    <xf numFmtId="0" fontId="13" fillId="0" borderId="1" xfId="0" applyFont="1" applyBorder="1" applyAlignment="1">
      <alignment vertical="top"/>
    </xf>
    <xf numFmtId="0" fontId="13" fillId="0" borderId="4" xfId="0" applyFont="1" applyBorder="1" applyAlignment="1">
      <alignment vertical="top"/>
    </xf>
    <xf numFmtId="0" fontId="13" fillId="0" borderId="5" xfId="0" applyFont="1" applyBorder="1" applyAlignment="1" applyProtection="1">
      <protection locked="0"/>
    </xf>
    <xf numFmtId="0" fontId="13" fillId="3" borderId="7" xfId="0" applyFont="1" applyFill="1" applyBorder="1" applyAlignment="1">
      <alignment horizontal="center" vertical="top"/>
    </xf>
    <xf numFmtId="0" fontId="31" fillId="0" borderId="0" xfId="0" applyFont="1" applyFill="1" applyBorder="1" applyAlignment="1"/>
    <xf numFmtId="2" fontId="13" fillId="2" borderId="7" xfId="0" applyNumberFormat="1" applyFont="1" applyFill="1" applyBorder="1"/>
    <xf numFmtId="43" fontId="13" fillId="0" borderId="0" xfId="1" applyFont="1" applyFill="1" applyBorder="1" applyAlignment="1">
      <alignment horizontal="center" vertical="top"/>
    </xf>
    <xf numFmtId="0" fontId="13" fillId="2" borderId="7" xfId="0" applyFont="1" applyFill="1" applyBorder="1" applyAlignment="1" applyProtection="1">
      <protection locked="0"/>
    </xf>
    <xf numFmtId="43" fontId="13" fillId="2" borderId="7" xfId="0" applyNumberFormat="1" applyFont="1" applyFill="1" applyBorder="1" applyAlignment="1">
      <alignment horizontal="center"/>
    </xf>
    <xf numFmtId="164" fontId="1" fillId="0" borderId="7" xfId="0" applyNumberFormat="1" applyFont="1" applyBorder="1" applyAlignment="1">
      <alignment horizontal="center"/>
    </xf>
    <xf numFmtId="49" fontId="1" fillId="0" borderId="7" xfId="0" applyNumberFormat="1" applyFont="1" applyBorder="1" applyAlignment="1">
      <alignment horizontal="left" vertical="center" wrapText="1"/>
    </xf>
    <xf numFmtId="49" fontId="1" fillId="0" borderId="7" xfId="0" applyNumberFormat="1" applyFont="1" applyBorder="1" applyAlignment="1">
      <alignment horizontal="left" vertical="center"/>
    </xf>
    <xf numFmtId="0" fontId="0" fillId="0" borderId="13" xfId="0" applyBorder="1" applyAlignment="1" applyProtection="1">
      <alignment horizontal="center"/>
      <protection locked="0"/>
    </xf>
    <xf numFmtId="49" fontId="0" fillId="0" borderId="7" xfId="0" applyNumberFormat="1" applyBorder="1" applyAlignment="1" applyProtection="1">
      <alignment horizontal="center"/>
      <protection locked="0"/>
    </xf>
    <xf numFmtId="49" fontId="1" fillId="0" borderId="7" xfId="0" applyNumberFormat="1" applyFont="1" applyBorder="1" applyAlignment="1" applyProtection="1">
      <alignment horizontal="center"/>
      <protection locked="0"/>
    </xf>
    <xf numFmtId="49" fontId="0" fillId="0" borderId="4" xfId="0" applyNumberFormat="1" applyBorder="1" applyAlignment="1" applyProtection="1">
      <alignment horizontal="center"/>
      <protection locked="0"/>
    </xf>
    <xf numFmtId="49" fontId="0" fillId="0" borderId="13" xfId="0" applyNumberFormat="1" applyBorder="1" applyAlignment="1" applyProtection="1">
      <alignment horizontal="center"/>
      <protection locked="0"/>
    </xf>
    <xf numFmtId="49" fontId="7" fillId="2" borderId="7" xfId="0" applyNumberFormat="1" applyFont="1" applyFill="1" applyBorder="1" applyAlignment="1" applyProtection="1">
      <alignment horizontal="center" vertical="top"/>
      <protection locked="0"/>
    </xf>
    <xf numFmtId="49" fontId="31" fillId="0" borderId="7" xfId="0" applyNumberFormat="1" applyFont="1" applyFill="1" applyBorder="1" applyAlignment="1" applyProtection="1">
      <alignment horizontal="center"/>
      <protection locked="0"/>
    </xf>
    <xf numFmtId="49" fontId="31" fillId="0" borderId="4" xfId="0" applyNumberFormat="1" applyFont="1" applyFill="1" applyBorder="1" applyAlignment="1"/>
    <xf numFmtId="49" fontId="31" fillId="0" borderId="7" xfId="0" applyNumberFormat="1" applyFont="1" applyBorder="1" applyAlignment="1">
      <alignment horizontal="center"/>
    </xf>
    <xf numFmtId="0" fontId="0" fillId="0" borderId="3" xfId="0" applyBorder="1" applyAlignment="1"/>
    <xf numFmtId="0" fontId="13" fillId="0" borderId="1" xfId="0" applyFont="1" applyBorder="1" applyAlignment="1">
      <alignment vertical="center" wrapText="1"/>
    </xf>
    <xf numFmtId="0" fontId="7" fillId="3" borderId="10" xfId="0" applyFont="1" applyFill="1" applyBorder="1" applyAlignment="1">
      <alignment horizontal="center" vertical="top"/>
    </xf>
    <xf numFmtId="0" fontId="13" fillId="0" borderId="3" xfId="0" applyFont="1" applyBorder="1" applyAlignment="1">
      <alignment wrapText="1"/>
    </xf>
    <xf numFmtId="0" fontId="13" fillId="2" borderId="7" xfId="0" applyFont="1" applyFill="1" applyBorder="1" applyAlignment="1">
      <alignment vertical="center" wrapText="1"/>
    </xf>
    <xf numFmtId="0" fontId="0" fillId="0" borderId="3" xfId="0" applyBorder="1" applyAlignment="1"/>
    <xf numFmtId="0" fontId="7" fillId="3" borderId="10" xfId="0" applyFont="1" applyFill="1" applyBorder="1" applyAlignment="1">
      <alignment horizontal="center" vertical="top"/>
    </xf>
    <xf numFmtId="0" fontId="13" fillId="0" borderId="1" xfId="0" applyFont="1" applyBorder="1" applyAlignment="1">
      <alignment vertical="center" wrapText="1"/>
    </xf>
    <xf numFmtId="0" fontId="13" fillId="0" borderId="3" xfId="0" applyFont="1" applyBorder="1" applyAlignment="1">
      <alignment wrapText="1"/>
    </xf>
    <xf numFmtId="0" fontId="40" fillId="0" borderId="0" xfId="0" applyFont="1"/>
    <xf numFmtId="0" fontId="31" fillId="0" borderId="0" xfId="0" applyFont="1" applyFill="1" applyBorder="1"/>
    <xf numFmtId="43" fontId="1" fillId="0" borderId="0" xfId="1" applyFill="1" applyBorder="1" applyAlignment="1">
      <alignment horizontal="center" vertical="top"/>
    </xf>
    <xf numFmtId="0" fontId="0" fillId="0" borderId="3" xfId="0" applyBorder="1" applyAlignment="1"/>
    <xf numFmtId="0" fontId="13" fillId="0" borderId="1" xfId="0" applyFont="1" applyBorder="1" applyAlignment="1">
      <alignment vertical="center" wrapText="1"/>
    </xf>
    <xf numFmtId="0" fontId="7" fillId="3" borderId="10" xfId="0" applyFont="1" applyFill="1" applyBorder="1" applyAlignment="1">
      <alignment horizontal="center" vertical="top"/>
    </xf>
    <xf numFmtId="0" fontId="13" fillId="0" borderId="3" xfId="0" applyFont="1" applyBorder="1" applyAlignment="1">
      <alignment wrapText="1"/>
    </xf>
    <xf numFmtId="0" fontId="13" fillId="0" borderId="0" xfId="0" applyFont="1" applyAlignment="1">
      <alignment wrapText="1"/>
    </xf>
    <xf numFmtId="0" fontId="0" fillId="0" borderId="0" xfId="0" applyAlignment="1">
      <alignment wrapText="1"/>
    </xf>
    <xf numFmtId="0" fontId="13" fillId="0" borderId="5" xfId="0" applyFont="1" applyBorder="1" applyAlignment="1"/>
    <xf numFmtId="0" fontId="7" fillId="3" borderId="10" xfId="0" applyFont="1" applyFill="1" applyBorder="1" applyAlignment="1">
      <alignment horizontal="center" vertical="top"/>
    </xf>
    <xf numFmtId="0" fontId="13" fillId="0" borderId="1" xfId="0" applyFont="1" applyBorder="1" applyAlignment="1">
      <alignment vertical="center" wrapText="1"/>
    </xf>
    <xf numFmtId="49" fontId="7" fillId="0" borderId="13" xfId="0" applyNumberFormat="1" applyFont="1" applyFill="1" applyBorder="1" applyAlignment="1" applyProtection="1">
      <alignment horizontal="center" vertical="center"/>
      <protection locked="0"/>
    </xf>
    <xf numFmtId="0" fontId="0" fillId="0" borderId="3" xfId="0" applyBorder="1" applyAlignment="1"/>
    <xf numFmtId="0" fontId="13" fillId="0" borderId="1" xfId="0" applyFont="1" applyBorder="1" applyAlignment="1">
      <alignment vertical="center" wrapText="1"/>
    </xf>
    <xf numFmtId="0" fontId="7" fillId="3" borderId="10" xfId="0" applyFont="1" applyFill="1" applyBorder="1" applyAlignment="1">
      <alignment horizontal="center" vertical="top"/>
    </xf>
    <xf numFmtId="0" fontId="13" fillId="0" borderId="3" xfId="0" applyFont="1" applyBorder="1" applyAlignment="1">
      <alignment wrapText="1"/>
    </xf>
    <xf numFmtId="165" fontId="13" fillId="0" borderId="7" xfId="0" applyNumberFormat="1" applyFont="1" applyFill="1" applyBorder="1" applyAlignment="1" applyProtection="1">
      <alignment horizontal="center" vertical="center"/>
      <protection locked="0"/>
    </xf>
    <xf numFmtId="165" fontId="0" fillId="0" borderId="2" xfId="0" applyNumberFormat="1" applyFill="1" applyBorder="1" applyAlignment="1" applyProtection="1">
      <alignment horizontal="center" vertical="center"/>
      <protection locked="0"/>
    </xf>
    <xf numFmtId="0" fontId="13" fillId="2" borderId="2" xfId="0" applyFont="1" applyFill="1" applyBorder="1" applyAlignment="1" applyProtection="1">
      <alignment horizontal="center" vertical="center"/>
      <protection locked="0"/>
    </xf>
    <xf numFmtId="165" fontId="13" fillId="0" borderId="15" xfId="0" applyNumberFormat="1" applyFont="1" applyFill="1" applyBorder="1" applyAlignment="1" applyProtection="1">
      <alignment horizontal="center" vertical="center"/>
      <protection locked="0"/>
    </xf>
    <xf numFmtId="167" fontId="13" fillId="0" borderId="15" xfId="0" applyNumberFormat="1" applyFont="1" applyFill="1" applyBorder="1" applyAlignment="1" applyProtection="1">
      <alignment horizontal="center" vertical="center"/>
      <protection locked="0"/>
    </xf>
    <xf numFmtId="164" fontId="20" fillId="0" borderId="2" xfId="0" applyNumberFormat="1" applyFont="1" applyBorder="1" applyAlignment="1">
      <alignment vertical="center" wrapText="1"/>
    </xf>
    <xf numFmtId="0" fontId="13" fillId="0" borderId="13" xfId="0" applyFont="1" applyBorder="1" applyAlignment="1">
      <alignment vertical="center"/>
    </xf>
    <xf numFmtId="0" fontId="31" fillId="0" borderId="0" xfId="0" applyFont="1" applyBorder="1" applyAlignment="1">
      <alignment wrapText="1" shrinkToFit="1"/>
    </xf>
    <xf numFmtId="0" fontId="31" fillId="0" borderId="0" xfId="0" applyFont="1" applyAlignment="1"/>
    <xf numFmtId="0" fontId="31" fillId="0" borderId="12" xfId="0" applyFont="1" applyBorder="1" applyAlignment="1"/>
    <xf numFmtId="0" fontId="31" fillId="0" borderId="0" xfId="0" applyFont="1" applyBorder="1" applyAlignment="1">
      <alignment shrinkToFit="1"/>
    </xf>
    <xf numFmtId="0" fontId="31" fillId="0" borderId="0" xfId="0" applyFont="1" applyBorder="1" applyAlignment="1"/>
    <xf numFmtId="0" fontId="13" fillId="0" borderId="11" xfId="0" applyFont="1" applyBorder="1" applyAlignment="1">
      <alignment horizontal="left" vertical="center" wrapText="1"/>
    </xf>
    <xf numFmtId="0" fontId="13" fillId="0" borderId="0" xfId="0" applyFont="1" applyBorder="1" applyAlignment="1">
      <alignment horizontal="left" vertical="center" wrapText="1"/>
    </xf>
    <xf numFmtId="0" fontId="13" fillId="0" borderId="12" xfId="0" applyFont="1" applyBorder="1" applyAlignment="1">
      <alignment horizontal="left" vertical="center" wrapText="1"/>
    </xf>
    <xf numFmtId="0" fontId="13" fillId="0" borderId="10" xfId="0" applyFont="1" applyBorder="1" applyAlignment="1">
      <alignment horizontal="justify" vertical="center" wrapText="1"/>
    </xf>
    <xf numFmtId="0" fontId="13" fillId="0" borderId="5" xfId="0" applyFont="1" applyBorder="1" applyAlignment="1">
      <alignment horizontal="justify" vertical="center" wrapText="1"/>
    </xf>
    <xf numFmtId="0" fontId="13" fillId="0" borderId="9" xfId="0" applyFont="1" applyBorder="1" applyAlignment="1">
      <alignment horizontal="justify" vertical="center" wrapText="1"/>
    </xf>
    <xf numFmtId="0" fontId="4" fillId="0" borderId="1"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3" fillId="0" borderId="6" xfId="0" applyFont="1" applyBorder="1" applyAlignment="1">
      <alignment horizontal="center" vertical="center"/>
    </xf>
    <xf numFmtId="0" fontId="2" fillId="0" borderId="11" xfId="0" applyFont="1" applyFill="1" applyBorder="1" applyAlignment="1">
      <alignment horizontal="center" vertical="top" wrapText="1"/>
    </xf>
    <xf numFmtId="0" fontId="0" fillId="0" borderId="0" xfId="0" applyAlignment="1">
      <alignment horizontal="center" vertical="top" wrapText="1"/>
    </xf>
    <xf numFmtId="0" fontId="0" fillId="0" borderId="12" xfId="0" applyBorder="1" applyAlignment="1">
      <alignment horizontal="center" vertical="top" wrapText="1"/>
    </xf>
    <xf numFmtId="0" fontId="0" fillId="0" borderId="10" xfId="0" applyBorder="1" applyAlignment="1" applyProtection="1">
      <protection locked="0"/>
    </xf>
    <xf numFmtId="0" fontId="0" fillId="0" borderId="5" xfId="0" applyBorder="1" applyAlignment="1"/>
    <xf numFmtId="0" fontId="0" fillId="0" borderId="9" xfId="0" applyBorder="1" applyAlignment="1"/>
    <xf numFmtId="0" fontId="0" fillId="0" borderId="10" xfId="0" applyBorder="1" applyAlignment="1"/>
    <xf numFmtId="0" fontId="5" fillId="0" borderId="11" xfId="0" applyFont="1" applyFill="1" applyBorder="1" applyAlignment="1">
      <alignment horizontal="center" vertical="top" wrapText="1"/>
    </xf>
    <xf numFmtId="0" fontId="0" fillId="0" borderId="12" xfId="0" applyBorder="1" applyAlignment="1">
      <alignment horizontal="center" wrapText="1"/>
    </xf>
    <xf numFmtId="0" fontId="13" fillId="0" borderId="11" xfId="0" applyFont="1" applyBorder="1" applyAlignment="1">
      <alignment horizontal="center" vertical="center"/>
    </xf>
    <xf numFmtId="0" fontId="13" fillId="0" borderId="0" xfId="0" applyFont="1" applyBorder="1" applyAlignment="1">
      <alignment horizontal="center" vertical="center"/>
    </xf>
    <xf numFmtId="0" fontId="13" fillId="0" borderId="12" xfId="0" applyFont="1" applyBorder="1" applyAlignment="1">
      <alignment horizontal="center" vertical="center"/>
    </xf>
    <xf numFmtId="0" fontId="19" fillId="0" borderId="0" xfId="0" applyFont="1" applyBorder="1" applyAlignment="1" applyProtection="1">
      <alignment horizontal="center" vertical="top" wrapText="1"/>
      <protection locked="0"/>
    </xf>
    <xf numFmtId="0" fontId="0" fillId="0" borderId="0" xfId="0" applyAlignment="1">
      <alignment vertical="top"/>
    </xf>
    <xf numFmtId="0" fontId="0" fillId="0" borderId="12" xfId="0" applyBorder="1" applyAlignment="1">
      <alignment vertical="top"/>
    </xf>
    <xf numFmtId="0" fontId="19" fillId="0" borderId="1" xfId="0" applyFont="1" applyBorder="1" applyAlignment="1" applyProtection="1">
      <alignment horizontal="center" wrapText="1"/>
      <protection locked="0"/>
    </xf>
    <xf numFmtId="0" fontId="0" fillId="0" borderId="3" xfId="0" applyBorder="1" applyAlignment="1"/>
    <xf numFmtId="0" fontId="0" fillId="0" borderId="6" xfId="0" applyBorder="1" applyAlignment="1"/>
    <xf numFmtId="0" fontId="19" fillId="0" borderId="11" xfId="0" applyFont="1" applyBorder="1" applyAlignment="1" applyProtection="1">
      <alignment horizontal="center" wrapText="1"/>
      <protection locked="0"/>
    </xf>
    <xf numFmtId="0" fontId="19" fillId="0" borderId="11" xfId="0" applyFont="1" applyBorder="1" applyAlignment="1" applyProtection="1">
      <alignment horizontal="center" vertical="center" wrapText="1"/>
      <protection locked="0"/>
    </xf>
    <xf numFmtId="0" fontId="0" fillId="0" borderId="12" xfId="0" applyBorder="1" applyAlignment="1">
      <alignment horizontal="center" vertical="center" wrapText="1"/>
    </xf>
    <xf numFmtId="0" fontId="14" fillId="0" borderId="3" xfId="0" applyFont="1" applyBorder="1" applyAlignment="1">
      <alignment horizontal="center" vertical="center" wrapText="1"/>
    </xf>
    <xf numFmtId="0" fontId="0" fillId="0" borderId="3" xfId="0" applyBorder="1" applyAlignment="1">
      <alignment horizontal="center" vertical="center" wrapText="1"/>
    </xf>
    <xf numFmtId="0" fontId="14" fillId="0" borderId="5" xfId="0" applyFont="1" applyFill="1" applyBorder="1" applyAlignment="1">
      <alignment horizontal="center" vertical="top" wrapText="1"/>
    </xf>
    <xf numFmtId="0" fontId="0" fillId="0" borderId="5" xfId="0" applyBorder="1" applyAlignment="1">
      <alignment horizontal="center" vertical="top" wrapText="1"/>
    </xf>
    <xf numFmtId="0" fontId="28" fillId="0" borderId="1" xfId="0" applyFont="1" applyBorder="1" applyAlignment="1">
      <alignment horizontal="left" vertical="top" wrapText="1"/>
    </xf>
    <xf numFmtId="0" fontId="0" fillId="0" borderId="3" xfId="0" applyBorder="1" applyAlignment="1">
      <alignment horizontal="left" vertical="top" wrapText="1"/>
    </xf>
    <xf numFmtId="0" fontId="19" fillId="0" borderId="0" xfId="0" applyFont="1" applyBorder="1" applyAlignment="1" applyProtection="1">
      <alignment horizontal="center" vertical="center" wrapText="1"/>
      <protection locked="0"/>
    </xf>
    <xf numFmtId="0" fontId="0" fillId="0" borderId="0" xfId="0" applyAlignment="1"/>
    <xf numFmtId="0" fontId="0" fillId="0" borderId="12" xfId="0" applyBorder="1" applyAlignment="1"/>
    <xf numFmtId="0" fontId="19" fillId="0" borderId="5" xfId="0" applyFont="1" applyBorder="1" applyAlignment="1">
      <alignment horizontal="left" vertical="top" wrapText="1"/>
    </xf>
    <xf numFmtId="0" fontId="27" fillId="0" borderId="5" xfId="0" applyFont="1" applyBorder="1" applyAlignment="1"/>
    <xf numFmtId="0" fontId="19" fillId="0" borderId="1" xfId="0" applyFont="1" applyBorder="1" applyAlignment="1">
      <alignment vertical="center" wrapText="1"/>
    </xf>
    <xf numFmtId="0" fontId="19" fillId="0" borderId="10" xfId="0" applyFont="1" applyBorder="1" applyAlignment="1" applyProtection="1">
      <alignment horizontal="center" vertical="top" wrapText="1"/>
      <protection locked="0"/>
    </xf>
    <xf numFmtId="0" fontId="15" fillId="0" borderId="5" xfId="0" applyFont="1" applyBorder="1" applyAlignment="1" applyProtection="1">
      <alignment horizontal="center" vertical="center" wrapText="1"/>
      <protection locked="0"/>
    </xf>
    <xf numFmtId="0" fontId="31" fillId="0" borderId="5" xfId="0" applyFont="1" applyBorder="1" applyAlignment="1">
      <alignment horizontal="center" vertical="center" wrapText="1"/>
    </xf>
    <xf numFmtId="0" fontId="31" fillId="0" borderId="9" xfId="0" applyFont="1" applyBorder="1" applyAlignment="1">
      <alignment horizontal="center" vertical="center" wrapText="1"/>
    </xf>
    <xf numFmtId="0" fontId="15" fillId="0" borderId="10" xfId="0" applyFont="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5" fillId="0" borderId="2" xfId="0" applyFont="1" applyBorder="1" applyAlignment="1">
      <alignment horizontal="justify" vertical="center" wrapText="1"/>
    </xf>
    <xf numFmtId="0" fontId="23" fillId="0" borderId="15" xfId="0" applyFont="1" applyBorder="1" applyAlignment="1"/>
    <xf numFmtId="0" fontId="23" fillId="0" borderId="13" xfId="0" applyFont="1" applyBorder="1" applyAlignment="1"/>
    <xf numFmtId="0" fontId="27" fillId="0" borderId="5" xfId="0" applyFont="1" applyBorder="1" applyAlignment="1">
      <alignment horizontal="right" vertical="center"/>
    </xf>
    <xf numFmtId="0" fontId="0" fillId="0" borderId="5" xfId="0" applyBorder="1" applyAlignment="1">
      <alignment horizontal="right" vertical="center"/>
    </xf>
    <xf numFmtId="0" fontId="31" fillId="0" borderId="3" xfId="0" applyFont="1" applyBorder="1" applyAlignment="1">
      <alignment wrapText="1"/>
    </xf>
    <xf numFmtId="0" fontId="31" fillId="0" borderId="0" xfId="0" applyFont="1" applyAlignment="1">
      <alignment wrapText="1"/>
    </xf>
    <xf numFmtId="0" fontId="7" fillId="3" borderId="1" xfId="0" applyFont="1" applyFill="1" applyBorder="1" applyAlignment="1">
      <alignment horizontal="center" wrapText="1"/>
    </xf>
    <xf numFmtId="0" fontId="7" fillId="3" borderId="4" xfId="0" applyFont="1" applyFill="1" applyBorder="1" applyAlignment="1">
      <alignment horizontal="center" vertical="center" wrapText="1"/>
    </xf>
    <xf numFmtId="0" fontId="0" fillId="0" borderId="14" xfId="0" applyBorder="1"/>
    <xf numFmtId="0" fontId="0" fillId="0" borderId="8" xfId="0" applyBorder="1"/>
    <xf numFmtId="0" fontId="7" fillId="3" borderId="10" xfId="0" applyFont="1" applyFill="1" applyBorder="1" applyAlignment="1">
      <alignment horizontal="center" vertical="top"/>
    </xf>
    <xf numFmtId="0" fontId="36" fillId="4" borderId="2" xfId="0" applyFont="1" applyFill="1" applyBorder="1" applyAlignment="1">
      <alignment horizontal="right" vertical="center" wrapText="1"/>
    </xf>
    <xf numFmtId="0" fontId="13" fillId="0" borderId="15" xfId="0" applyFont="1" applyBorder="1"/>
    <xf numFmtId="0" fontId="13" fillId="0" borderId="13" xfId="0" applyFont="1" applyBorder="1"/>
    <xf numFmtId="0" fontId="31" fillId="0" borderId="15" xfId="0" applyFont="1" applyBorder="1" applyAlignment="1">
      <alignment vertical="center" wrapText="1"/>
    </xf>
    <xf numFmtId="0" fontId="13" fillId="0" borderId="11" xfId="0" applyFont="1" applyBorder="1" applyAlignment="1">
      <alignment horizontal="center"/>
    </xf>
    <xf numFmtId="0" fontId="13" fillId="0" borderId="0" xfId="0" applyFont="1" applyBorder="1" applyAlignment="1">
      <alignment horizontal="center"/>
    </xf>
    <xf numFmtId="0" fontId="13" fillId="0" borderId="12" xfId="0" applyFont="1" applyBorder="1" applyAlignment="1">
      <alignment horizontal="center"/>
    </xf>
    <xf numFmtId="0" fontId="19" fillId="0" borderId="11" xfId="0" applyFont="1" applyBorder="1" applyAlignment="1">
      <alignment horizontal="justify" vertical="center" wrapText="1"/>
    </xf>
    <xf numFmtId="0" fontId="13" fillId="0" borderId="0" xfId="0" applyFont="1" applyBorder="1" applyAlignment="1"/>
    <xf numFmtId="0" fontId="13" fillId="0" borderId="12" xfId="0" applyFont="1" applyBorder="1" applyAlignment="1"/>
    <xf numFmtId="0" fontId="3" fillId="0" borderId="15" xfId="0" applyFont="1" applyBorder="1" applyAlignment="1" applyProtection="1">
      <alignment vertical="center" wrapText="1"/>
    </xf>
    <xf numFmtId="0" fontId="14" fillId="4" borderId="2" xfId="0" applyFont="1" applyFill="1" applyBorder="1" applyAlignment="1" applyProtection="1">
      <alignment horizontal="left" vertical="center" wrapText="1"/>
      <protection locked="0"/>
    </xf>
    <xf numFmtId="0" fontId="14" fillId="4" borderId="15" xfId="0" applyFont="1" applyFill="1" applyBorder="1" applyAlignment="1" applyProtection="1">
      <alignment horizontal="left" vertical="center" wrapText="1"/>
      <protection locked="0"/>
    </xf>
    <xf numFmtId="0" fontId="14" fillId="4" borderId="13" xfId="0" applyFont="1" applyFill="1" applyBorder="1" applyAlignment="1" applyProtection="1">
      <alignment horizontal="left" vertical="center" wrapText="1"/>
      <protection locked="0"/>
    </xf>
    <xf numFmtId="0" fontId="12" fillId="0" borderId="15" xfId="0" applyFont="1" applyFill="1" applyBorder="1" applyAlignment="1">
      <alignment horizontal="left" vertical="center" wrapText="1"/>
    </xf>
    <xf numFmtId="0" fontId="13" fillId="3" borderId="4" xfId="0" applyFont="1" applyFill="1" applyBorder="1" applyAlignment="1">
      <alignment horizontal="center" vertical="center" wrapText="1"/>
    </xf>
    <xf numFmtId="0" fontId="13" fillId="0" borderId="14" xfId="0" applyFont="1" applyBorder="1"/>
    <xf numFmtId="0" fontId="13" fillId="0" borderId="8" xfId="0" applyFont="1" applyBorder="1"/>
    <xf numFmtId="0" fontId="11" fillId="3" borderId="1" xfId="0" applyFont="1" applyFill="1" applyBorder="1" applyAlignment="1">
      <alignment horizontal="center" vertical="center" wrapText="1"/>
    </xf>
    <xf numFmtId="0" fontId="0" fillId="0" borderId="11" xfId="0" applyBorder="1"/>
    <xf numFmtId="0" fontId="0" fillId="0" borderId="10" xfId="0" applyBorder="1"/>
    <xf numFmtId="0" fontId="7" fillId="3" borderId="6" xfId="0" applyFont="1" applyFill="1" applyBorder="1" applyAlignment="1">
      <alignment horizontal="center" vertical="center" wrapText="1"/>
    </xf>
    <xf numFmtId="0" fontId="0" fillId="0" borderId="12" xfId="0" applyBorder="1"/>
    <xf numFmtId="0" fontId="0" fillId="0" borderId="9" xfId="0" applyBorder="1"/>
    <xf numFmtId="0" fontId="13" fillId="0" borderId="1" xfId="0" applyFont="1" applyBorder="1" applyAlignment="1">
      <alignment vertical="center" wrapText="1"/>
    </xf>
    <xf numFmtId="0" fontId="13" fillId="0" borderId="3" xfId="0" applyFont="1" applyBorder="1" applyAlignment="1"/>
    <xf numFmtId="0" fontId="13" fillId="0" borderId="6" xfId="0" applyFont="1" applyBorder="1" applyAlignment="1"/>
    <xf numFmtId="0" fontId="13" fillId="0" borderId="3" xfId="0" applyFont="1" applyBorder="1" applyAlignment="1">
      <alignment vertical="center" wrapText="1"/>
    </xf>
    <xf numFmtId="0" fontId="13" fillId="0" borderId="6" xfId="0" applyFont="1" applyBorder="1" applyAlignment="1">
      <alignment vertical="center" wrapText="1"/>
    </xf>
    <xf numFmtId="0" fontId="15" fillId="0" borderId="10" xfId="0" applyFont="1" applyBorder="1" applyAlignment="1" applyProtection="1">
      <alignment horizontal="center" vertical="center" wrapText="1"/>
    </xf>
    <xf numFmtId="0" fontId="15" fillId="0" borderId="5" xfId="0" applyFont="1" applyBorder="1" applyAlignment="1" applyProtection="1">
      <alignment horizontal="center" vertical="center" wrapText="1"/>
    </xf>
    <xf numFmtId="0" fontId="15" fillId="0" borderId="9" xfId="0" applyFont="1" applyBorder="1" applyAlignment="1" applyProtection="1">
      <alignment horizontal="center" vertical="center" wrapText="1"/>
    </xf>
    <xf numFmtId="0" fontId="31" fillId="0" borderId="9" xfId="0" applyFont="1" applyBorder="1" applyAlignment="1"/>
    <xf numFmtId="0" fontId="31" fillId="0" borderId="5" xfId="0" applyFont="1" applyBorder="1" applyAlignment="1"/>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6" xfId="0" applyFont="1" applyBorder="1" applyAlignment="1">
      <alignment horizontal="left" vertical="center" wrapText="1"/>
    </xf>
    <xf numFmtId="0" fontId="13" fillId="0" borderId="3" xfId="0" applyFont="1" applyBorder="1" applyAlignment="1">
      <alignment wrapText="1"/>
    </xf>
    <xf numFmtId="0" fontId="13" fillId="0" borderId="0" xfId="0" applyFont="1" applyAlignment="1">
      <alignment wrapText="1"/>
    </xf>
    <xf numFmtId="0" fontId="0" fillId="0" borderId="0" xfId="0" applyAlignment="1">
      <alignment wrapText="1"/>
    </xf>
    <xf numFmtId="0" fontId="13" fillId="0" borderId="15" xfId="0" applyFont="1" applyBorder="1" applyAlignment="1">
      <alignment vertical="center" wrapText="1"/>
    </xf>
    <xf numFmtId="0" fontId="0" fillId="0" borderId="15" xfId="0" applyBorder="1" applyAlignment="1">
      <alignment vertical="center" wrapText="1"/>
    </xf>
    <xf numFmtId="0" fontId="31" fillId="3" borderId="4" xfId="0" applyFont="1" applyFill="1" applyBorder="1" applyAlignment="1">
      <alignment horizontal="center" vertical="center" wrapText="1"/>
    </xf>
    <xf numFmtId="0" fontId="31" fillId="0" borderId="14" xfId="0" applyFont="1" applyBorder="1"/>
    <xf numFmtId="0" fontId="31" fillId="0" borderId="8" xfId="0" applyFont="1" applyBorder="1"/>
    <xf numFmtId="0" fontId="10" fillId="4" borderId="2" xfId="0" applyFont="1" applyFill="1" applyBorder="1" applyAlignment="1">
      <alignment horizontal="right" vertical="center" wrapText="1"/>
    </xf>
    <xf numFmtId="0" fontId="0" fillId="0" borderId="15" xfId="0" applyBorder="1"/>
    <xf numFmtId="0" fontId="0" fillId="0" borderId="13" xfId="0" applyBorder="1"/>
    <xf numFmtId="0" fontId="0" fillId="0" borderId="3" xfId="0" applyBorder="1" applyAlignment="1">
      <alignment horizontal="center" wrapText="1"/>
    </xf>
    <xf numFmtId="0" fontId="4" fillId="0" borderId="10" xfId="0" applyFont="1" applyBorder="1" applyAlignment="1" applyProtection="1">
      <alignment horizontal="center" vertical="center" wrapText="1"/>
    </xf>
    <xf numFmtId="0" fontId="4" fillId="0" borderId="5" xfId="0" applyFont="1" applyBorder="1" applyAlignment="1" applyProtection="1">
      <alignment horizontal="center" vertical="center" wrapText="1"/>
    </xf>
    <xf numFmtId="0" fontId="4" fillId="0" borderId="9" xfId="0" applyFont="1" applyBorder="1" applyAlignment="1" applyProtection="1">
      <alignment horizontal="center" vertical="center" wrapText="1"/>
    </xf>
    <xf numFmtId="0" fontId="4" fillId="0" borderId="10"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12" fillId="0" borderId="15" xfId="0" applyFont="1" applyFill="1" applyBorder="1" applyAlignment="1">
      <alignment horizontal="center" vertical="center" wrapText="1"/>
    </xf>
    <xf numFmtId="0" fontId="0" fillId="0" borderId="3" xfId="0" applyBorder="1" applyAlignment="1">
      <alignment wrapText="1"/>
    </xf>
    <xf numFmtId="0" fontId="13" fillId="0" borderId="7" xfId="0" applyFont="1" applyBorder="1" applyAlignment="1">
      <alignment wrapText="1"/>
    </xf>
    <xf numFmtId="0" fontId="0" fillId="0" borderId="7" xfId="0" applyBorder="1" applyAlignment="1">
      <alignment wrapText="1"/>
    </xf>
    <xf numFmtId="0" fontId="31" fillId="0" borderId="5" xfId="0" applyFont="1" applyBorder="1"/>
    <xf numFmtId="0" fontId="31" fillId="0" borderId="9" xfId="0" applyFont="1" applyBorder="1"/>
    <xf numFmtId="0" fontId="19" fillId="0" borderId="2" xfId="0" applyFont="1" applyBorder="1" applyAlignment="1">
      <alignment horizontal="justify" vertical="center" wrapText="1"/>
    </xf>
    <xf numFmtId="0" fontId="13" fillId="0" borderId="15" xfId="0" applyFont="1" applyBorder="1" applyAlignment="1"/>
    <xf numFmtId="0" fontId="13" fillId="0" borderId="13" xfId="0" applyFont="1" applyBorder="1" applyAlignment="1"/>
    <xf numFmtId="0" fontId="13" fillId="0" borderId="10" xfId="0" applyFont="1" applyBorder="1" applyAlignment="1">
      <alignment horizontal="justify" vertical="top" wrapText="1"/>
    </xf>
    <xf numFmtId="0" fontId="13" fillId="0" borderId="5" xfId="0" applyFont="1" applyBorder="1" applyAlignment="1">
      <alignment horizontal="justify" vertical="top" wrapText="1"/>
    </xf>
    <xf numFmtId="0" fontId="13" fillId="0" borderId="9" xfId="0" applyFont="1" applyBorder="1" applyAlignment="1">
      <alignment horizontal="justify" vertical="top" wrapText="1"/>
    </xf>
    <xf numFmtId="0" fontId="38" fillId="0" borderId="2" xfId="0" applyFont="1" applyBorder="1" applyAlignment="1">
      <alignment vertical="center" wrapText="1" shrinkToFit="1"/>
    </xf>
    <xf numFmtId="0" fontId="31" fillId="0" borderId="13" xfId="0" applyFont="1" applyBorder="1" applyAlignment="1">
      <alignment vertical="center" wrapText="1" shrinkToFit="1"/>
    </xf>
    <xf numFmtId="0" fontId="31" fillId="0" borderId="2" xfId="0" applyFont="1" applyBorder="1" applyAlignment="1">
      <alignment wrapText="1" shrinkToFit="1"/>
    </xf>
    <xf numFmtId="0" fontId="31" fillId="0" borderId="13" xfId="0" applyFont="1" applyBorder="1" applyAlignment="1">
      <alignment wrapText="1" shrinkToFit="1"/>
    </xf>
    <xf numFmtId="0" fontId="29" fillId="0" borderId="2" xfId="0" applyFont="1" applyFill="1" applyBorder="1" applyAlignment="1">
      <alignment horizontal="center"/>
    </xf>
    <xf numFmtId="0" fontId="0" fillId="0" borderId="13" xfId="0" applyBorder="1" applyAlignment="1">
      <alignment horizontal="center"/>
    </xf>
    <xf numFmtId="0" fontId="13" fillId="0" borderId="10" xfId="0" applyFont="1" applyBorder="1" applyAlignment="1"/>
    <xf numFmtId="0" fontId="13" fillId="0" borderId="5" xfId="0" applyFont="1" applyBorder="1" applyAlignment="1"/>
    <xf numFmtId="0" fontId="13" fillId="0" borderId="9" xfId="0" applyFont="1" applyBorder="1" applyAlignment="1"/>
    <xf numFmtId="0" fontId="13" fillId="0" borderId="10" xfId="0" applyFont="1" applyBorder="1" applyAlignment="1" applyProtection="1">
      <protection locked="0"/>
    </xf>
    <xf numFmtId="164" fontId="38" fillId="0" borderId="2" xfId="0" applyNumberFormat="1" applyFont="1" applyBorder="1" applyAlignment="1">
      <alignment vertical="center" wrapText="1"/>
    </xf>
    <xf numFmtId="0" fontId="31" fillId="0" borderId="13" xfId="0" applyFont="1" applyBorder="1" applyAlignment="1">
      <alignment vertical="center"/>
    </xf>
    <xf numFmtId="0" fontId="13" fillId="0" borderId="11" xfId="0" applyFont="1" applyBorder="1" applyAlignment="1">
      <alignment horizontal="justify" vertical="center" wrapText="1"/>
    </xf>
  </cellXfs>
  <cellStyles count="2">
    <cellStyle name="Comma" xfId="1" builtinId="3"/>
    <cellStyle name="Normal" xfId="0" builtinId="0"/>
  </cellStyles>
  <dxfs count="4">
    <dxf>
      <fill>
        <patternFill patternType="solid">
          <fgColor indexed="64"/>
          <bgColor indexed="41"/>
        </patternFill>
      </fill>
      <alignment horizontal="center" vertical="top"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4"/>
        <color auto="1"/>
        <name val="Arial"/>
        <scheme val="none"/>
      </font>
      <fill>
        <patternFill patternType="solid">
          <fgColor indexed="64"/>
          <bgColor indexed="41"/>
        </patternFill>
      </fill>
      <alignment horizontal="general"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outline val="0"/>
        <shadow val="0"/>
        <u val="none"/>
        <vertAlign val="baseline"/>
        <sz val="14"/>
        <color auto="1"/>
        <name val="Arial"/>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114300</xdr:colOff>
          <xdr:row>1</xdr:row>
          <xdr:rowOff>31750</xdr:rowOff>
        </xdr:from>
        <xdr:to>
          <xdr:col>3</xdr:col>
          <xdr:colOff>317500</xdr:colOff>
          <xdr:row>3</xdr:row>
          <xdr:rowOff>50800</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146050</xdr:colOff>
          <xdr:row>1</xdr:row>
          <xdr:rowOff>82550</xdr:rowOff>
        </xdr:from>
        <xdr:to>
          <xdr:col>7</xdr:col>
          <xdr:colOff>584200</xdr:colOff>
          <xdr:row>3</xdr:row>
          <xdr:rowOff>19050</xdr:rowOff>
        </xdr:to>
        <xdr:sp macro="" textlink="">
          <xdr:nvSpPr>
            <xdr:cNvPr id="2052" name="Check Box 4" hidden="1">
              <a:extLst>
                <a:ext uri="{63B3BB69-23CF-44E3-9099-C40C66FF867C}">
                  <a14:compatExt spid="_x0000_s2052"/>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127000</xdr:colOff>
          <xdr:row>0</xdr:row>
          <xdr:rowOff>38100</xdr:rowOff>
        </xdr:from>
        <xdr:to>
          <xdr:col>3</xdr:col>
          <xdr:colOff>330200</xdr:colOff>
          <xdr:row>0</xdr:row>
          <xdr:rowOff>184150</xdr:rowOff>
        </xdr:to>
        <xdr:sp macro="" textlink="">
          <xdr:nvSpPr>
            <xdr:cNvPr id="77828" name="Check Box 4" hidden="1">
              <a:extLst>
                <a:ext uri="{63B3BB69-23CF-44E3-9099-C40C66FF867C}">
                  <a14:compatExt spid="_x0000_s778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260350</xdr:colOff>
          <xdr:row>0</xdr:row>
          <xdr:rowOff>50800</xdr:rowOff>
        </xdr:from>
        <xdr:to>
          <xdr:col>8</xdr:col>
          <xdr:colOff>63500</xdr:colOff>
          <xdr:row>0</xdr:row>
          <xdr:rowOff>190500</xdr:rowOff>
        </xdr:to>
        <xdr:sp macro="" textlink="">
          <xdr:nvSpPr>
            <xdr:cNvPr id="77829" name="Check Box 5" hidden="1">
              <a:extLst>
                <a:ext uri="{63B3BB69-23CF-44E3-9099-C40C66FF867C}">
                  <a14:compatExt spid="_x0000_s77829"/>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241300</xdr:colOff>
          <xdr:row>0</xdr:row>
          <xdr:rowOff>12700</xdr:rowOff>
        </xdr:from>
        <xdr:to>
          <xdr:col>4</xdr:col>
          <xdr:colOff>215900</xdr:colOff>
          <xdr:row>0</xdr:row>
          <xdr:rowOff>146050</xdr:rowOff>
        </xdr:to>
        <xdr:sp macro="" textlink="">
          <xdr:nvSpPr>
            <xdr:cNvPr id="40961" name="Check Box 1" hidden="1">
              <a:extLst>
                <a:ext uri="{63B3BB69-23CF-44E3-9099-C40C66FF867C}">
                  <a14:compatExt spid="_x0000_s409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0</xdr:row>
          <xdr:rowOff>0</xdr:rowOff>
        </xdr:from>
        <xdr:to>
          <xdr:col>8</xdr:col>
          <xdr:colOff>158750</xdr:colOff>
          <xdr:row>0</xdr:row>
          <xdr:rowOff>133350</xdr:rowOff>
        </xdr:to>
        <xdr:sp macro="" textlink="">
          <xdr:nvSpPr>
            <xdr:cNvPr id="40962" name="Check Box 2" hidden="1">
              <a:extLst>
                <a:ext uri="{63B3BB69-23CF-44E3-9099-C40C66FF867C}">
                  <a14:compatExt spid="_x0000_s40962"/>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139700</xdr:colOff>
          <xdr:row>0</xdr:row>
          <xdr:rowOff>12700</xdr:rowOff>
        </xdr:from>
        <xdr:to>
          <xdr:col>4</xdr:col>
          <xdr:colOff>88900</xdr:colOff>
          <xdr:row>0</xdr:row>
          <xdr:rowOff>152400</xdr:rowOff>
        </xdr:to>
        <xdr:sp macro="" textlink="">
          <xdr:nvSpPr>
            <xdr:cNvPr id="112641" name="Check Box 1" hidden="1">
              <a:extLst>
                <a:ext uri="{63B3BB69-23CF-44E3-9099-C40C66FF867C}">
                  <a14:compatExt spid="_x0000_s1126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196850</xdr:colOff>
          <xdr:row>0</xdr:row>
          <xdr:rowOff>19050</xdr:rowOff>
        </xdr:from>
        <xdr:to>
          <xdr:col>8</xdr:col>
          <xdr:colOff>82550</xdr:colOff>
          <xdr:row>0</xdr:row>
          <xdr:rowOff>158750</xdr:rowOff>
        </xdr:to>
        <xdr:sp macro="" textlink="">
          <xdr:nvSpPr>
            <xdr:cNvPr id="112642" name="Check Box 2" hidden="1">
              <a:extLst>
                <a:ext uri="{63B3BB69-23CF-44E3-9099-C40C66FF867C}">
                  <a14:compatExt spid="_x0000_s112642"/>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0</xdr:row>
          <xdr:rowOff>0</xdr:rowOff>
        </xdr:from>
        <xdr:to>
          <xdr:col>4</xdr:col>
          <xdr:colOff>152400</xdr:colOff>
          <xdr:row>0</xdr:row>
          <xdr:rowOff>139700</xdr:rowOff>
        </xdr:to>
        <xdr:sp macro="" textlink="">
          <xdr:nvSpPr>
            <xdr:cNvPr id="24577" name="Check Box 1" hidden="1">
              <a:extLst>
                <a:ext uri="{63B3BB69-23CF-44E3-9099-C40C66FF867C}">
                  <a14:compatExt spid="_x0000_s245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0</xdr:row>
          <xdr:rowOff>0</xdr:rowOff>
        </xdr:from>
        <xdr:to>
          <xdr:col>8</xdr:col>
          <xdr:colOff>95250</xdr:colOff>
          <xdr:row>0</xdr:row>
          <xdr:rowOff>139700</xdr:rowOff>
        </xdr:to>
        <xdr:sp macro="" textlink="">
          <xdr:nvSpPr>
            <xdr:cNvPr id="24578" name="Check Box 2" hidden="1">
              <a:extLst>
                <a:ext uri="{63B3BB69-23CF-44E3-9099-C40C66FF867C}">
                  <a14:compatExt spid="_x0000_s24578"/>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165100</xdr:colOff>
          <xdr:row>0</xdr:row>
          <xdr:rowOff>0</xdr:rowOff>
        </xdr:from>
        <xdr:to>
          <xdr:col>4</xdr:col>
          <xdr:colOff>114300</xdr:colOff>
          <xdr:row>0</xdr:row>
          <xdr:rowOff>146050</xdr:rowOff>
        </xdr:to>
        <xdr:sp macro="" textlink="">
          <xdr:nvSpPr>
            <xdr:cNvPr id="111617" name="Check Box 1" hidden="1">
              <a:extLst>
                <a:ext uri="{63B3BB69-23CF-44E3-9099-C40C66FF867C}">
                  <a14:compatExt spid="_x0000_s1116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158750</xdr:colOff>
          <xdr:row>0</xdr:row>
          <xdr:rowOff>12700</xdr:rowOff>
        </xdr:from>
        <xdr:to>
          <xdr:col>7</xdr:col>
          <xdr:colOff>730250</xdr:colOff>
          <xdr:row>0</xdr:row>
          <xdr:rowOff>158750</xdr:rowOff>
        </xdr:to>
        <xdr:sp macro="" textlink="">
          <xdr:nvSpPr>
            <xdr:cNvPr id="111618" name="Check Box 2" hidden="1">
              <a:extLst>
                <a:ext uri="{63B3BB69-23CF-44E3-9099-C40C66FF867C}">
                  <a14:compatExt spid="_x0000_s111618"/>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146050</xdr:colOff>
          <xdr:row>0</xdr:row>
          <xdr:rowOff>0</xdr:rowOff>
        </xdr:from>
        <xdr:to>
          <xdr:col>4</xdr:col>
          <xdr:colOff>76200</xdr:colOff>
          <xdr:row>0</xdr:row>
          <xdr:rowOff>139700</xdr:rowOff>
        </xdr:to>
        <xdr:sp macro="" textlink="">
          <xdr:nvSpPr>
            <xdr:cNvPr id="7170" name="Check Box 2" hidden="1">
              <a:extLst>
                <a:ext uri="{63B3BB69-23CF-44E3-9099-C40C66FF867C}">
                  <a14:compatExt spid="_x0000_s7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0</xdr:row>
          <xdr:rowOff>0</xdr:rowOff>
        </xdr:from>
        <xdr:to>
          <xdr:col>7</xdr:col>
          <xdr:colOff>723900</xdr:colOff>
          <xdr:row>0</xdr:row>
          <xdr:rowOff>139700</xdr:rowOff>
        </xdr:to>
        <xdr:sp macro="" textlink="">
          <xdr:nvSpPr>
            <xdr:cNvPr id="7171" name="Check Box 3" hidden="1">
              <a:extLst>
                <a:ext uri="{63B3BB69-23CF-44E3-9099-C40C66FF867C}">
                  <a14:compatExt spid="_x0000_s7171"/>
                </a:ext>
              </a:extLst>
            </xdr:cNvPr>
            <xdr:cNvSpPr/>
          </xdr:nvSpPr>
          <xdr:spPr>
            <a:xfrm>
              <a:off x="0" y="0"/>
              <a:ext cx="0" cy="0"/>
            </a:xfrm>
            <a:prstGeom prst="rect">
              <a:avLst/>
            </a:prstGeom>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215900</xdr:colOff>
          <xdr:row>0</xdr:row>
          <xdr:rowOff>12700</xdr:rowOff>
        </xdr:from>
        <xdr:to>
          <xdr:col>3</xdr:col>
          <xdr:colOff>584200</xdr:colOff>
          <xdr:row>0</xdr:row>
          <xdr:rowOff>165100</xdr:rowOff>
        </xdr:to>
        <xdr:sp macro="" textlink="">
          <xdr:nvSpPr>
            <xdr:cNvPr id="113665" name="Check Box 1" hidden="1">
              <a:extLst>
                <a:ext uri="{63B3BB69-23CF-44E3-9099-C40C66FF867C}">
                  <a14:compatExt spid="_x0000_s1136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0</xdr:row>
          <xdr:rowOff>25400</xdr:rowOff>
        </xdr:from>
        <xdr:to>
          <xdr:col>8</xdr:col>
          <xdr:colOff>107950</xdr:colOff>
          <xdr:row>0</xdr:row>
          <xdr:rowOff>165100</xdr:rowOff>
        </xdr:to>
        <xdr:sp macro="" textlink="">
          <xdr:nvSpPr>
            <xdr:cNvPr id="113666" name="Check Box 2" hidden="1">
              <a:extLst>
                <a:ext uri="{63B3BB69-23CF-44E3-9099-C40C66FF867C}">
                  <a14:compatExt spid="_x0000_s113666"/>
                </a:ext>
              </a:extLst>
            </xdr:cNvPr>
            <xdr:cNvSpPr/>
          </xdr:nvSpPr>
          <xdr:spPr>
            <a:xfrm>
              <a:off x="0" y="0"/>
              <a:ext cx="0" cy="0"/>
            </a:xfrm>
            <a:prstGeom prst="rect">
              <a:avLst/>
            </a:prstGeom>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1</xdr:row>
          <xdr:rowOff>0</xdr:rowOff>
        </xdr:to>
        <xdr:sp macro="" textlink="">
          <xdr:nvSpPr>
            <xdr:cNvPr id="8193" name="Check Box 1" hidden="1">
              <a:extLst>
                <a:ext uri="{63B3BB69-23CF-44E3-9099-C40C66FF867C}">
                  <a14:compatExt spid="_x0000_s8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0</xdr:rowOff>
        </xdr:from>
        <xdr:to>
          <xdr:col>8</xdr:col>
          <xdr:colOff>127000</xdr:colOff>
          <xdr:row>0</xdr:row>
          <xdr:rowOff>139700</xdr:rowOff>
        </xdr:to>
        <xdr:sp macro="" textlink="">
          <xdr:nvSpPr>
            <xdr:cNvPr id="8194" name="Check Box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9217" name="Check Box 1" hidden="1">
              <a:extLst>
                <a:ext uri="{63B3BB69-23CF-44E3-9099-C40C66FF867C}">
                  <a14:compatExt spid="_x0000_s9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241300</xdr:colOff>
          <xdr:row>0</xdr:row>
          <xdr:rowOff>152400</xdr:rowOff>
        </xdr:to>
        <xdr:sp macro="" textlink="">
          <xdr:nvSpPr>
            <xdr:cNvPr id="9218" name="Check Box 2" hidden="1">
              <a:extLst>
                <a:ext uri="{63B3BB69-23CF-44E3-9099-C40C66FF867C}">
                  <a14:compatExt spid="_x0000_s9218"/>
                </a:ext>
              </a:extLst>
            </xdr:cNvPr>
            <xdr:cNvSpPr/>
          </xdr:nvSpPr>
          <xdr:spPr>
            <a:xfrm>
              <a:off x="0" y="0"/>
              <a:ext cx="0" cy="0"/>
            </a:xfrm>
            <a:prstGeom prst="rect">
              <a:avLst/>
            </a:prstGeom>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184150</xdr:colOff>
          <xdr:row>0</xdr:row>
          <xdr:rowOff>0</xdr:rowOff>
        </xdr:from>
        <xdr:to>
          <xdr:col>3</xdr:col>
          <xdr:colOff>387350</xdr:colOff>
          <xdr:row>1</xdr:row>
          <xdr:rowOff>0</xdr:rowOff>
        </xdr:to>
        <xdr:sp macro="" textlink="">
          <xdr:nvSpPr>
            <xdr:cNvPr id="10241" name="Check Box 1" hidden="1">
              <a:extLst>
                <a:ext uri="{63B3BB69-23CF-44E3-9099-C40C66FF867C}">
                  <a14:compatExt spid="_x0000_s10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260350</xdr:colOff>
          <xdr:row>0</xdr:row>
          <xdr:rowOff>0</xdr:rowOff>
        </xdr:from>
        <xdr:to>
          <xdr:col>8</xdr:col>
          <xdr:colOff>298450</xdr:colOff>
          <xdr:row>0</xdr:row>
          <xdr:rowOff>139700</xdr:rowOff>
        </xdr:to>
        <xdr:sp macro="" textlink="">
          <xdr:nvSpPr>
            <xdr:cNvPr id="10242" name="Check Box 2" hidden="1">
              <a:extLst>
                <a:ext uri="{63B3BB69-23CF-44E3-9099-C40C66FF867C}">
                  <a14:compatExt spid="_x0000_s10242"/>
                </a:ext>
              </a:extLst>
            </xdr:cNvPr>
            <xdr:cNvSpPr/>
          </xdr:nvSpPr>
          <xdr:spPr>
            <a:xfrm>
              <a:off x="0" y="0"/>
              <a:ext cx="0" cy="0"/>
            </a:xfrm>
            <a:prstGeom prst="rect">
              <a:avLst/>
            </a:prstGeom>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209550</xdr:colOff>
          <xdr:row>0</xdr:row>
          <xdr:rowOff>12700</xdr:rowOff>
        </xdr:from>
        <xdr:to>
          <xdr:col>4</xdr:col>
          <xdr:colOff>139700</xdr:colOff>
          <xdr:row>0</xdr:row>
          <xdr:rowOff>139700</xdr:rowOff>
        </xdr:to>
        <xdr:sp macro="" textlink="">
          <xdr:nvSpPr>
            <xdr:cNvPr id="114689" name="Check Box 1" hidden="1">
              <a:extLst>
                <a:ext uri="{63B3BB69-23CF-44E3-9099-C40C66FF867C}">
                  <a14:compatExt spid="_x0000_s1146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0</xdr:row>
          <xdr:rowOff>0</xdr:rowOff>
        </xdr:from>
        <xdr:to>
          <xdr:col>8</xdr:col>
          <xdr:colOff>127000</xdr:colOff>
          <xdr:row>0</xdr:row>
          <xdr:rowOff>127000</xdr:rowOff>
        </xdr:to>
        <xdr:sp macro="" textlink="">
          <xdr:nvSpPr>
            <xdr:cNvPr id="114690" name="Check Box 2" hidden="1">
              <a:extLst>
                <a:ext uri="{63B3BB69-23CF-44E3-9099-C40C66FF867C}">
                  <a14:compatExt spid="_x0000_s114690"/>
                </a:ext>
              </a:extLst>
            </xdr:cNvPr>
            <xdr:cNvSpPr/>
          </xdr:nvSpPr>
          <xdr:spPr>
            <a:xfrm>
              <a:off x="0" y="0"/>
              <a:ext cx="0" cy="0"/>
            </a:xfrm>
            <a:prstGeom prst="rect">
              <a:avLst/>
            </a:prstGeom>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0</xdr:row>
          <xdr:rowOff>0</xdr:rowOff>
        </xdr:from>
        <xdr:to>
          <xdr:col>3</xdr:col>
          <xdr:colOff>393700</xdr:colOff>
          <xdr:row>1</xdr:row>
          <xdr:rowOff>0</xdr:rowOff>
        </xdr:to>
        <xdr:sp macro="" textlink="">
          <xdr:nvSpPr>
            <xdr:cNvPr id="11265" name="Check Box 1" hidden="1">
              <a:extLst>
                <a:ext uri="{63B3BB69-23CF-44E3-9099-C40C66FF867C}">
                  <a14:compatExt spid="_x0000_s112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260350</xdr:colOff>
          <xdr:row>0</xdr:row>
          <xdr:rowOff>6350</xdr:rowOff>
        </xdr:from>
        <xdr:to>
          <xdr:col>8</xdr:col>
          <xdr:colOff>114300</xdr:colOff>
          <xdr:row>1</xdr:row>
          <xdr:rowOff>0</xdr:rowOff>
        </xdr:to>
        <xdr:sp macro="" textlink="">
          <xdr:nvSpPr>
            <xdr:cNvPr id="11266" name="Check Box 2" hidden="1">
              <a:extLst>
                <a:ext uri="{63B3BB69-23CF-44E3-9099-C40C66FF867C}">
                  <a14:compatExt spid="_x0000_s11266"/>
                </a:ext>
              </a:extLst>
            </xdr:cNvPr>
            <xdr:cNvSpPr/>
          </xdr:nvSpPr>
          <xdr:spPr>
            <a:xfrm>
              <a:off x="0" y="0"/>
              <a:ext cx="0" cy="0"/>
            </a:xfrm>
            <a:prstGeom prst="rect">
              <a:avLst/>
            </a:prstGeom>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209550</xdr:colOff>
          <xdr:row>0</xdr:row>
          <xdr:rowOff>25400</xdr:rowOff>
        </xdr:from>
        <xdr:to>
          <xdr:col>4</xdr:col>
          <xdr:colOff>107950</xdr:colOff>
          <xdr:row>0</xdr:row>
          <xdr:rowOff>152400</xdr:rowOff>
        </xdr:to>
        <xdr:sp macro="" textlink="">
          <xdr:nvSpPr>
            <xdr:cNvPr id="115713" name="Check Box 1" hidden="1">
              <a:extLst>
                <a:ext uri="{63B3BB69-23CF-44E3-9099-C40C66FF867C}">
                  <a14:compatExt spid="_x0000_s1157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273050</xdr:colOff>
          <xdr:row>0</xdr:row>
          <xdr:rowOff>12700</xdr:rowOff>
        </xdr:from>
        <xdr:to>
          <xdr:col>8</xdr:col>
          <xdr:colOff>120650</xdr:colOff>
          <xdr:row>0</xdr:row>
          <xdr:rowOff>139700</xdr:rowOff>
        </xdr:to>
        <xdr:sp macro="" textlink="">
          <xdr:nvSpPr>
            <xdr:cNvPr id="115714" name="Check Box 2" hidden="1">
              <a:extLst>
                <a:ext uri="{63B3BB69-23CF-44E3-9099-C40C66FF867C}">
                  <a14:compatExt spid="_x0000_s115714"/>
                </a:ext>
              </a:extLst>
            </xdr:cNvPr>
            <xdr:cNvSpPr/>
          </xdr:nvSpPr>
          <xdr:spPr>
            <a:xfrm>
              <a:off x="0" y="0"/>
              <a:ext cx="0" cy="0"/>
            </a:xfrm>
            <a:prstGeom prst="rect">
              <a:avLst/>
            </a:prstGeom>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0</xdr:row>
          <xdr:rowOff>0</xdr:rowOff>
        </xdr:from>
        <xdr:to>
          <xdr:col>3</xdr:col>
          <xdr:colOff>393700</xdr:colOff>
          <xdr:row>0</xdr:row>
          <xdr:rowOff>146050</xdr:rowOff>
        </xdr:to>
        <xdr:sp macro="" textlink="">
          <xdr:nvSpPr>
            <xdr:cNvPr id="12289" name="Check Box 1" hidden="1">
              <a:extLst>
                <a:ext uri="{63B3BB69-23CF-44E3-9099-C40C66FF867C}">
                  <a14:compatExt spid="_x0000_s122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0</xdr:rowOff>
        </xdr:from>
        <xdr:to>
          <xdr:col>8</xdr:col>
          <xdr:colOff>196850</xdr:colOff>
          <xdr:row>0</xdr:row>
          <xdr:rowOff>139700</xdr:rowOff>
        </xdr:to>
        <xdr:sp macro="" textlink="">
          <xdr:nvSpPr>
            <xdr:cNvPr id="12290" name="Check Box 2" hidden="1">
              <a:extLst>
                <a:ext uri="{63B3BB69-23CF-44E3-9099-C40C66FF867C}">
                  <a14:compatExt spid="_x0000_s12290"/>
                </a:ext>
              </a:extLst>
            </xdr:cNvPr>
            <xdr:cNvSpPr/>
          </xdr:nvSpPr>
          <xdr:spPr>
            <a:xfrm>
              <a:off x="0" y="0"/>
              <a:ext cx="0" cy="0"/>
            </a:xfrm>
            <a:prstGeom prst="rect">
              <a:avLst/>
            </a:prstGeom>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165100</xdr:colOff>
          <xdr:row>0</xdr:row>
          <xdr:rowOff>19050</xdr:rowOff>
        </xdr:from>
        <xdr:to>
          <xdr:col>4</xdr:col>
          <xdr:colOff>19050</xdr:colOff>
          <xdr:row>0</xdr:row>
          <xdr:rowOff>158750</xdr:rowOff>
        </xdr:to>
        <xdr:sp macro="" textlink="">
          <xdr:nvSpPr>
            <xdr:cNvPr id="176129" name="Check Box 1" hidden="1">
              <a:extLst>
                <a:ext uri="{63B3BB69-23CF-44E3-9099-C40C66FF867C}">
                  <a14:compatExt spid="_x0000_s176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196850</xdr:colOff>
          <xdr:row>0</xdr:row>
          <xdr:rowOff>19050</xdr:rowOff>
        </xdr:from>
        <xdr:to>
          <xdr:col>8</xdr:col>
          <xdr:colOff>241300</xdr:colOff>
          <xdr:row>0</xdr:row>
          <xdr:rowOff>158750</xdr:rowOff>
        </xdr:to>
        <xdr:sp macro="" textlink="">
          <xdr:nvSpPr>
            <xdr:cNvPr id="176130" name="Check Box 2" hidden="1">
              <a:extLst>
                <a:ext uri="{63B3BB69-23CF-44E3-9099-C40C66FF867C}">
                  <a14:compatExt spid="_x0000_s176130"/>
                </a:ext>
              </a:extLst>
            </xdr:cNvPr>
            <xdr:cNvSpPr/>
          </xdr:nvSpPr>
          <xdr:spPr>
            <a:xfrm>
              <a:off x="0" y="0"/>
              <a:ext cx="0" cy="0"/>
            </a:xfrm>
            <a:prstGeom prst="rect">
              <a:avLst/>
            </a:prstGeom>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196850</xdr:colOff>
          <xdr:row>0</xdr:row>
          <xdr:rowOff>0</xdr:rowOff>
        </xdr:from>
        <xdr:to>
          <xdr:col>3</xdr:col>
          <xdr:colOff>400050</xdr:colOff>
          <xdr:row>0</xdr:row>
          <xdr:rowOff>146050</xdr:rowOff>
        </xdr:to>
        <xdr:sp macro="" textlink="">
          <xdr:nvSpPr>
            <xdr:cNvPr id="13313" name="Check Box 1" hidden="1">
              <a:extLst>
                <a:ext uri="{63B3BB69-23CF-44E3-9099-C40C66FF867C}">
                  <a14:compatExt spid="_x0000_s133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273050</xdr:colOff>
          <xdr:row>0</xdr:row>
          <xdr:rowOff>6350</xdr:rowOff>
        </xdr:from>
        <xdr:to>
          <xdr:col>8</xdr:col>
          <xdr:colOff>203200</xdr:colOff>
          <xdr:row>0</xdr:row>
          <xdr:rowOff>146050</xdr:rowOff>
        </xdr:to>
        <xdr:sp macro="" textlink="">
          <xdr:nvSpPr>
            <xdr:cNvPr id="13314" name="Check Box 2" hidden="1">
              <a:extLst>
                <a:ext uri="{63B3BB69-23CF-44E3-9099-C40C66FF867C}">
                  <a14:compatExt spid="_x0000_s13314"/>
                </a:ext>
              </a:extLst>
            </xdr:cNvPr>
            <xdr:cNvSpPr/>
          </xdr:nvSpPr>
          <xdr:spPr>
            <a:xfrm>
              <a:off x="0" y="0"/>
              <a:ext cx="0" cy="0"/>
            </a:xfrm>
            <a:prstGeom prst="rect">
              <a:avLst/>
            </a:prstGeom>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4</xdr:col>
          <xdr:colOff>0</xdr:colOff>
          <xdr:row>0</xdr:row>
          <xdr:rowOff>152400</xdr:rowOff>
        </xdr:to>
        <xdr:sp macro="" textlink="">
          <xdr:nvSpPr>
            <xdr:cNvPr id="177153" name="Check Box 1" hidden="1">
              <a:extLst>
                <a:ext uri="{63B3BB69-23CF-44E3-9099-C40C66FF867C}">
                  <a14:compatExt spid="_x0000_s177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0</xdr:row>
          <xdr:rowOff>12700</xdr:rowOff>
        </xdr:from>
        <xdr:to>
          <xdr:col>7</xdr:col>
          <xdr:colOff>520700</xdr:colOff>
          <xdr:row>0</xdr:row>
          <xdr:rowOff>158750</xdr:rowOff>
        </xdr:to>
        <xdr:sp macro="" textlink="">
          <xdr:nvSpPr>
            <xdr:cNvPr id="177154" name="Check Box 2" hidden="1">
              <a:extLst>
                <a:ext uri="{63B3BB69-23CF-44E3-9099-C40C66FF867C}">
                  <a14:compatExt spid="_x0000_s177154"/>
                </a:ext>
              </a:extLst>
            </xdr:cNvPr>
            <xdr:cNvSpPr/>
          </xdr:nvSpPr>
          <xdr:spPr>
            <a:xfrm>
              <a:off x="0" y="0"/>
              <a:ext cx="0" cy="0"/>
            </a:xfrm>
            <a:prstGeom prst="rect">
              <a:avLst/>
            </a:prstGeom>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14337" name="Check Box 1" hidden="1">
              <a:extLst>
                <a:ext uri="{63B3BB69-23CF-44E3-9099-C40C66FF867C}">
                  <a14:compatExt spid="_x0000_s143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127000</xdr:colOff>
          <xdr:row>0</xdr:row>
          <xdr:rowOff>152400</xdr:rowOff>
        </xdr:to>
        <xdr:sp macro="" textlink="">
          <xdr:nvSpPr>
            <xdr:cNvPr id="14338" name="Check Box 2" hidden="1">
              <a:extLst>
                <a:ext uri="{63B3BB69-23CF-44E3-9099-C40C66FF867C}">
                  <a14:compatExt spid="_x0000_s14338"/>
                </a:ext>
              </a:extLst>
            </xdr:cNvPr>
            <xdr:cNvSpPr/>
          </xdr:nvSpPr>
          <xdr:spPr>
            <a:xfrm>
              <a:off x="0" y="0"/>
              <a:ext cx="0" cy="0"/>
            </a:xfrm>
            <a:prstGeom prst="rect">
              <a:avLst/>
            </a:prstGeom>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666750</xdr:colOff>
          <xdr:row>0</xdr:row>
          <xdr:rowOff>152400</xdr:rowOff>
        </xdr:to>
        <xdr:sp macro="" textlink="">
          <xdr:nvSpPr>
            <xdr:cNvPr id="178177" name="Check Box 1" hidden="1">
              <a:extLst>
                <a:ext uri="{63B3BB69-23CF-44E3-9099-C40C66FF867C}">
                  <a14:compatExt spid="_x0000_s178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12700</xdr:rowOff>
        </xdr:from>
        <xdr:to>
          <xdr:col>8</xdr:col>
          <xdr:colOff>317500</xdr:colOff>
          <xdr:row>0</xdr:row>
          <xdr:rowOff>146050</xdr:rowOff>
        </xdr:to>
        <xdr:sp macro="" textlink="">
          <xdr:nvSpPr>
            <xdr:cNvPr id="178178" name="Check Box 2" hidden="1">
              <a:extLst>
                <a:ext uri="{63B3BB69-23CF-44E3-9099-C40C66FF867C}">
                  <a14:compatExt spid="_x0000_s178178"/>
                </a:ext>
              </a:extLst>
            </xdr:cNvPr>
            <xdr:cNvSpPr/>
          </xdr:nvSpPr>
          <xdr:spPr>
            <a:xfrm>
              <a:off x="0" y="0"/>
              <a:ext cx="0" cy="0"/>
            </a:xfrm>
            <a:prstGeom prst="rect">
              <a:avLst/>
            </a:prstGeom>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0</xdr:row>
          <xdr:rowOff>0</xdr:rowOff>
        </xdr:from>
        <xdr:to>
          <xdr:col>3</xdr:col>
          <xdr:colOff>406400</xdr:colOff>
          <xdr:row>1</xdr:row>
          <xdr:rowOff>0</xdr:rowOff>
        </xdr:to>
        <xdr:sp macro="" textlink="">
          <xdr:nvSpPr>
            <xdr:cNvPr id="15361" name="Check Box 1" hidden="1">
              <a:extLst>
                <a:ext uri="{63B3BB69-23CF-44E3-9099-C40C66FF867C}">
                  <a14:compatExt spid="_x0000_s153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0</xdr:row>
          <xdr:rowOff>0</xdr:rowOff>
        </xdr:from>
        <xdr:to>
          <xdr:col>8</xdr:col>
          <xdr:colOff>95250</xdr:colOff>
          <xdr:row>0</xdr:row>
          <xdr:rowOff>139700</xdr:rowOff>
        </xdr:to>
        <xdr:sp macro="" textlink="">
          <xdr:nvSpPr>
            <xdr:cNvPr id="15362" name="Check Box 2" hidden="1">
              <a:extLst>
                <a:ext uri="{63B3BB69-23CF-44E3-9099-C40C66FF867C}">
                  <a14:compatExt spid="_x0000_s15362"/>
                </a:ext>
              </a:extLst>
            </xdr:cNvPr>
            <xdr:cNvSpPr/>
          </xdr:nvSpPr>
          <xdr:spPr>
            <a:xfrm>
              <a:off x="0" y="0"/>
              <a:ext cx="0" cy="0"/>
            </a:xfrm>
            <a:prstGeom prst="rect">
              <a:avLst/>
            </a:prstGeom>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215900</xdr:colOff>
          <xdr:row>0</xdr:row>
          <xdr:rowOff>12700</xdr:rowOff>
        </xdr:from>
        <xdr:to>
          <xdr:col>4</xdr:col>
          <xdr:colOff>127000</xdr:colOff>
          <xdr:row>0</xdr:row>
          <xdr:rowOff>152400</xdr:rowOff>
        </xdr:to>
        <xdr:sp macro="" textlink="">
          <xdr:nvSpPr>
            <xdr:cNvPr id="151553" name="Check Box 1" hidden="1">
              <a:extLst>
                <a:ext uri="{63B3BB69-23CF-44E3-9099-C40C66FF867C}">
                  <a14:compatExt spid="_x0000_s1515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266700</xdr:colOff>
          <xdr:row>0</xdr:row>
          <xdr:rowOff>0</xdr:rowOff>
        </xdr:from>
        <xdr:to>
          <xdr:col>8</xdr:col>
          <xdr:colOff>190500</xdr:colOff>
          <xdr:row>0</xdr:row>
          <xdr:rowOff>139700</xdr:rowOff>
        </xdr:to>
        <xdr:sp macro="" textlink="">
          <xdr:nvSpPr>
            <xdr:cNvPr id="151554" name="Check Box 2" hidden="1">
              <a:extLst>
                <a:ext uri="{63B3BB69-23CF-44E3-9099-C40C66FF867C}">
                  <a14:compatExt spid="_x0000_s151554"/>
                </a:ext>
              </a:extLst>
            </xdr:cNvPr>
            <xdr:cNvSpPr/>
          </xdr:nvSpPr>
          <xdr:spPr>
            <a:xfrm>
              <a:off x="0" y="0"/>
              <a:ext cx="0" cy="0"/>
            </a:xfrm>
            <a:prstGeom prst="rect">
              <a:avLst/>
            </a:prstGeom>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0</xdr:row>
          <xdr:rowOff>0</xdr:rowOff>
        </xdr:from>
        <xdr:to>
          <xdr:col>3</xdr:col>
          <xdr:colOff>406400</xdr:colOff>
          <xdr:row>1</xdr:row>
          <xdr:rowOff>0</xdr:rowOff>
        </xdr:to>
        <xdr:sp macro="" textlink="">
          <xdr:nvSpPr>
            <xdr:cNvPr id="19457" name="Check Box 1" hidden="1">
              <a:extLst>
                <a:ext uri="{63B3BB69-23CF-44E3-9099-C40C66FF867C}">
                  <a14:compatExt spid="_x0000_s194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0</xdr:rowOff>
        </xdr:from>
        <xdr:to>
          <xdr:col>8</xdr:col>
          <xdr:colOff>215900</xdr:colOff>
          <xdr:row>0</xdr:row>
          <xdr:rowOff>139700</xdr:rowOff>
        </xdr:to>
        <xdr:sp macro="" textlink="">
          <xdr:nvSpPr>
            <xdr:cNvPr id="19458" name="Check Box 2" hidden="1">
              <a:extLst>
                <a:ext uri="{63B3BB69-23CF-44E3-9099-C40C66FF867C}">
                  <a14:compatExt spid="_x0000_s19458"/>
                </a:ext>
              </a:extLst>
            </xdr:cNvPr>
            <xdr:cNvSpPr/>
          </xdr:nvSpPr>
          <xdr:spPr>
            <a:xfrm>
              <a:off x="0" y="0"/>
              <a:ext cx="0" cy="0"/>
            </a:xfrm>
            <a:prstGeom prst="rect">
              <a:avLst/>
            </a:prstGeom>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165100</xdr:colOff>
          <xdr:row>0</xdr:row>
          <xdr:rowOff>0</xdr:rowOff>
        </xdr:from>
        <xdr:to>
          <xdr:col>3</xdr:col>
          <xdr:colOff>482600</xdr:colOff>
          <xdr:row>0</xdr:row>
          <xdr:rowOff>139700</xdr:rowOff>
        </xdr:to>
        <xdr:sp macro="" textlink="">
          <xdr:nvSpPr>
            <xdr:cNvPr id="179201" name="Check Box 1" hidden="1">
              <a:extLst>
                <a:ext uri="{63B3BB69-23CF-44E3-9099-C40C66FF867C}">
                  <a14:compatExt spid="_x0000_s179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0</xdr:row>
          <xdr:rowOff>12700</xdr:rowOff>
        </xdr:from>
        <xdr:to>
          <xdr:col>8</xdr:col>
          <xdr:colOff>88900</xdr:colOff>
          <xdr:row>0</xdr:row>
          <xdr:rowOff>146050</xdr:rowOff>
        </xdr:to>
        <xdr:sp macro="" textlink="">
          <xdr:nvSpPr>
            <xdr:cNvPr id="179202" name="Check Box 2" hidden="1">
              <a:extLst>
                <a:ext uri="{63B3BB69-23CF-44E3-9099-C40C66FF867C}">
                  <a14:compatExt spid="_x0000_s179202"/>
                </a:ext>
              </a:extLst>
            </xdr:cNvPr>
            <xdr:cNvSpPr/>
          </xdr:nvSpPr>
          <xdr:spPr>
            <a:xfrm>
              <a:off x="0" y="0"/>
              <a:ext cx="0" cy="0"/>
            </a:xfrm>
            <a:prstGeom prst="rect">
              <a:avLst/>
            </a:prstGeom>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20481" name="Check Box 1" hidden="1">
              <a:extLst>
                <a:ext uri="{63B3BB69-23CF-44E3-9099-C40C66FF867C}">
                  <a14:compatExt spid="_x0000_s204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0</xdr:row>
          <xdr:rowOff>0</xdr:rowOff>
        </xdr:from>
        <xdr:to>
          <xdr:col>8</xdr:col>
          <xdr:colOff>146050</xdr:colOff>
          <xdr:row>0</xdr:row>
          <xdr:rowOff>139700</xdr:rowOff>
        </xdr:to>
        <xdr:sp macro="" textlink="">
          <xdr:nvSpPr>
            <xdr:cNvPr id="20482" name="Check Box 2" hidden="1">
              <a:extLst>
                <a:ext uri="{63B3BB69-23CF-44E3-9099-C40C66FF867C}">
                  <a14:compatExt spid="_x0000_s20482"/>
                </a:ext>
              </a:extLst>
            </xdr:cNvPr>
            <xdr:cNvSpPr/>
          </xdr:nvSpPr>
          <xdr:spPr>
            <a:xfrm>
              <a:off x="0" y="0"/>
              <a:ext cx="0" cy="0"/>
            </a:xfrm>
            <a:prstGeom prst="rect">
              <a:avLst/>
            </a:prstGeom>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4</xdr:col>
          <xdr:colOff>101600</xdr:colOff>
          <xdr:row>0</xdr:row>
          <xdr:rowOff>152400</xdr:rowOff>
        </xdr:to>
        <xdr:sp macro="" textlink="">
          <xdr:nvSpPr>
            <xdr:cNvPr id="223233" name="Check Box 1" hidden="1">
              <a:extLst>
                <a:ext uri="{63B3BB69-23CF-44E3-9099-C40C66FF867C}">
                  <a14:compatExt spid="_x0000_s223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50800</xdr:colOff>
          <xdr:row>0</xdr:row>
          <xdr:rowOff>152400</xdr:rowOff>
        </xdr:to>
        <xdr:sp macro="" textlink="">
          <xdr:nvSpPr>
            <xdr:cNvPr id="223234" name="Check Box 2" hidden="1">
              <a:extLst>
                <a:ext uri="{63B3BB69-23CF-44E3-9099-C40C66FF867C}">
                  <a14:compatExt spid="_x0000_s223234"/>
                </a:ext>
              </a:extLst>
            </xdr:cNvPr>
            <xdr:cNvSpPr/>
          </xdr:nvSpPr>
          <xdr:spPr>
            <a:xfrm>
              <a:off x="0" y="0"/>
              <a:ext cx="0" cy="0"/>
            </a:xfrm>
            <a:prstGeom prst="rect">
              <a:avLst/>
            </a:prstGeom>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1</xdr:row>
          <xdr:rowOff>0</xdr:rowOff>
        </xdr:to>
        <xdr:sp macro="" textlink="">
          <xdr:nvSpPr>
            <xdr:cNvPr id="21505" name="Check Box 1" hidden="1">
              <a:extLst>
                <a:ext uri="{63B3BB69-23CF-44E3-9099-C40C66FF867C}">
                  <a14:compatExt spid="_x0000_s215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0</xdr:rowOff>
        </xdr:from>
        <xdr:to>
          <xdr:col>8</xdr:col>
          <xdr:colOff>146050</xdr:colOff>
          <xdr:row>0</xdr:row>
          <xdr:rowOff>139700</xdr:rowOff>
        </xdr:to>
        <xdr:sp macro="" textlink="">
          <xdr:nvSpPr>
            <xdr:cNvPr id="21506" name="Check Box 2" hidden="1">
              <a:extLst>
                <a:ext uri="{63B3BB69-23CF-44E3-9099-C40C66FF867C}">
                  <a14:compatExt spid="_x0000_s21506"/>
                </a:ext>
              </a:extLst>
            </xdr:cNvPr>
            <xdr:cNvSpPr/>
          </xdr:nvSpPr>
          <xdr:spPr>
            <a:xfrm>
              <a:off x="0" y="0"/>
              <a:ext cx="0" cy="0"/>
            </a:xfrm>
            <a:prstGeom prst="rect">
              <a:avLst/>
            </a:prstGeom>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0</xdr:row>
          <xdr:rowOff>19050</xdr:rowOff>
        </xdr:from>
        <xdr:to>
          <xdr:col>4</xdr:col>
          <xdr:colOff>196850</xdr:colOff>
          <xdr:row>0</xdr:row>
          <xdr:rowOff>152400</xdr:rowOff>
        </xdr:to>
        <xdr:sp macro="" textlink="">
          <xdr:nvSpPr>
            <xdr:cNvPr id="180225" name="Check Box 1" hidden="1">
              <a:extLst>
                <a:ext uri="{63B3BB69-23CF-44E3-9099-C40C66FF867C}">
                  <a14:compatExt spid="_x0000_s1802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247650</xdr:colOff>
          <xdr:row>0</xdr:row>
          <xdr:rowOff>12700</xdr:rowOff>
        </xdr:from>
        <xdr:to>
          <xdr:col>8</xdr:col>
          <xdr:colOff>298450</xdr:colOff>
          <xdr:row>0</xdr:row>
          <xdr:rowOff>146050</xdr:rowOff>
        </xdr:to>
        <xdr:sp macro="" textlink="">
          <xdr:nvSpPr>
            <xdr:cNvPr id="180226" name="Check Box 2" hidden="1">
              <a:extLst>
                <a:ext uri="{63B3BB69-23CF-44E3-9099-C40C66FF867C}">
                  <a14:compatExt spid="_x0000_s180226"/>
                </a:ext>
              </a:extLst>
            </xdr:cNvPr>
            <xdr:cNvSpPr/>
          </xdr:nvSpPr>
          <xdr:spPr>
            <a:xfrm>
              <a:off x="0" y="0"/>
              <a:ext cx="0" cy="0"/>
            </a:xfrm>
            <a:prstGeom prst="rect">
              <a:avLst/>
            </a:prstGeom>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22529" name="Check Box 1" hidden="1">
              <a:extLst>
                <a:ext uri="{63B3BB69-23CF-44E3-9099-C40C66FF867C}">
                  <a14:compatExt spid="_x0000_s225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0</xdr:rowOff>
        </xdr:from>
        <xdr:to>
          <xdr:col>8</xdr:col>
          <xdr:colOff>152400</xdr:colOff>
          <xdr:row>0</xdr:row>
          <xdr:rowOff>139700</xdr:rowOff>
        </xdr:to>
        <xdr:sp macro="" textlink="">
          <xdr:nvSpPr>
            <xdr:cNvPr id="22530" name="Check Box 2" hidden="1">
              <a:extLst>
                <a:ext uri="{63B3BB69-23CF-44E3-9099-C40C66FF867C}">
                  <a14:compatExt spid="_x0000_s22530"/>
                </a:ext>
              </a:extLst>
            </xdr:cNvPr>
            <xdr:cNvSpPr/>
          </xdr:nvSpPr>
          <xdr:spPr>
            <a:xfrm>
              <a:off x="0" y="0"/>
              <a:ext cx="0" cy="0"/>
            </a:xfrm>
            <a:prstGeom prst="rect">
              <a:avLst/>
            </a:prstGeom>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184150</xdr:colOff>
          <xdr:row>0</xdr:row>
          <xdr:rowOff>19050</xdr:rowOff>
        </xdr:from>
        <xdr:to>
          <xdr:col>4</xdr:col>
          <xdr:colOff>184150</xdr:colOff>
          <xdr:row>0</xdr:row>
          <xdr:rowOff>152400</xdr:rowOff>
        </xdr:to>
        <xdr:sp macro="" textlink="">
          <xdr:nvSpPr>
            <xdr:cNvPr id="181249" name="Check Box 1" hidden="1">
              <a:extLst>
                <a:ext uri="{63B3BB69-23CF-44E3-9099-C40C66FF867C}">
                  <a14:compatExt spid="_x0000_s1812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0</xdr:row>
          <xdr:rowOff>0</xdr:rowOff>
        </xdr:from>
        <xdr:to>
          <xdr:col>8</xdr:col>
          <xdr:colOff>215900</xdr:colOff>
          <xdr:row>0</xdr:row>
          <xdr:rowOff>139700</xdr:rowOff>
        </xdr:to>
        <xdr:sp macro="" textlink="">
          <xdr:nvSpPr>
            <xdr:cNvPr id="181250" name="Check Box 2" hidden="1">
              <a:extLst>
                <a:ext uri="{63B3BB69-23CF-44E3-9099-C40C66FF867C}">
                  <a14:compatExt spid="_x0000_s181250"/>
                </a:ext>
              </a:extLst>
            </xdr:cNvPr>
            <xdr:cNvSpPr/>
          </xdr:nvSpPr>
          <xdr:spPr>
            <a:xfrm>
              <a:off x="0" y="0"/>
              <a:ext cx="0" cy="0"/>
            </a:xfrm>
            <a:prstGeom prst="rect">
              <a:avLst/>
            </a:prstGeom>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381000</xdr:colOff>
          <xdr:row>0</xdr:row>
          <xdr:rowOff>158750</xdr:rowOff>
        </xdr:to>
        <xdr:sp macro="" textlink="">
          <xdr:nvSpPr>
            <xdr:cNvPr id="23553" name="Check Box 1" hidden="1">
              <a:extLst>
                <a:ext uri="{63B3BB69-23CF-44E3-9099-C40C66FF867C}">
                  <a14:compatExt spid="_x0000_s235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114300</xdr:colOff>
          <xdr:row>0</xdr:row>
          <xdr:rowOff>152400</xdr:rowOff>
        </xdr:to>
        <xdr:sp macro="" textlink="">
          <xdr:nvSpPr>
            <xdr:cNvPr id="23554" name="Check Box 2" hidden="1">
              <a:extLst>
                <a:ext uri="{63B3BB69-23CF-44E3-9099-C40C66FF867C}">
                  <a14:compatExt spid="_x0000_s23554"/>
                </a:ext>
              </a:extLst>
            </xdr:cNvPr>
            <xdr:cNvSpPr/>
          </xdr:nvSpPr>
          <xdr:spPr>
            <a:xfrm>
              <a:off x="0" y="0"/>
              <a:ext cx="0" cy="0"/>
            </a:xfrm>
            <a:prstGeom prst="rect">
              <a:avLst/>
            </a:prstGeom>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127000</xdr:colOff>
          <xdr:row>0</xdr:row>
          <xdr:rowOff>19050</xdr:rowOff>
        </xdr:from>
        <xdr:to>
          <xdr:col>4</xdr:col>
          <xdr:colOff>31750</xdr:colOff>
          <xdr:row>0</xdr:row>
          <xdr:rowOff>158750</xdr:rowOff>
        </xdr:to>
        <xdr:sp macro="" textlink="">
          <xdr:nvSpPr>
            <xdr:cNvPr id="182274" name="Check Box 2" hidden="1">
              <a:extLst>
                <a:ext uri="{63B3BB69-23CF-44E3-9099-C40C66FF867C}">
                  <a14:compatExt spid="_x0000_s1822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0</xdr:row>
          <xdr:rowOff>19050</xdr:rowOff>
        </xdr:from>
        <xdr:to>
          <xdr:col>8</xdr:col>
          <xdr:colOff>196850</xdr:colOff>
          <xdr:row>0</xdr:row>
          <xdr:rowOff>152400</xdr:rowOff>
        </xdr:to>
        <xdr:sp macro="" textlink="">
          <xdr:nvSpPr>
            <xdr:cNvPr id="182275" name="Check Box 3" hidden="1">
              <a:extLst>
                <a:ext uri="{63B3BB69-23CF-44E3-9099-C40C66FF867C}">
                  <a14:compatExt spid="_x0000_s182275"/>
                </a:ext>
              </a:extLst>
            </xdr:cNvPr>
            <xdr:cNvSpPr/>
          </xdr:nvSpPr>
          <xdr:spPr>
            <a:xfrm>
              <a:off x="0" y="0"/>
              <a:ext cx="0" cy="0"/>
            </a:xfrm>
            <a:prstGeom prst="rect">
              <a:avLst/>
            </a:prstGeom>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381000</xdr:colOff>
          <xdr:row>1</xdr:row>
          <xdr:rowOff>0</xdr:rowOff>
        </xdr:to>
        <xdr:sp macro="" textlink="">
          <xdr:nvSpPr>
            <xdr:cNvPr id="25601" name="Check Box 1" hidden="1">
              <a:extLst>
                <a:ext uri="{63B3BB69-23CF-44E3-9099-C40C66FF867C}">
                  <a14:compatExt spid="_x0000_s256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114300</xdr:colOff>
          <xdr:row>0</xdr:row>
          <xdr:rowOff>146050</xdr:rowOff>
        </xdr:to>
        <xdr:sp macro="" textlink="">
          <xdr:nvSpPr>
            <xdr:cNvPr id="25602" name="Check Box 2" hidden="1">
              <a:extLst>
                <a:ext uri="{63B3BB69-23CF-44E3-9099-C40C66FF867C}">
                  <a14:compatExt spid="_x0000_s25602"/>
                </a:ext>
              </a:extLst>
            </xdr:cNvPr>
            <xdr:cNvSpPr/>
          </xdr:nvSpPr>
          <xdr:spPr>
            <a:xfrm>
              <a:off x="0" y="0"/>
              <a:ext cx="0" cy="0"/>
            </a:xfrm>
            <a:prstGeom prst="rect">
              <a:avLst/>
            </a:prstGeom>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381000</xdr:colOff>
          <xdr:row>1</xdr:row>
          <xdr:rowOff>0</xdr:rowOff>
        </xdr:to>
        <xdr:sp macro="" textlink="">
          <xdr:nvSpPr>
            <xdr:cNvPr id="27649" name="Check Box 1" hidden="1">
              <a:extLst>
                <a:ext uri="{63B3BB69-23CF-44E3-9099-C40C66FF867C}">
                  <a14:compatExt spid="_x0000_s276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38100</xdr:colOff>
          <xdr:row>0</xdr:row>
          <xdr:rowOff>152400</xdr:rowOff>
        </xdr:to>
        <xdr:sp macro="" textlink="">
          <xdr:nvSpPr>
            <xdr:cNvPr id="27650" name="Check Box 2" hidden="1">
              <a:extLst>
                <a:ext uri="{63B3BB69-23CF-44E3-9099-C40C66FF867C}">
                  <a14:compatExt spid="_x0000_s27650"/>
                </a:ext>
              </a:extLst>
            </xdr:cNvPr>
            <xdr:cNvSpPr/>
          </xdr:nvSpPr>
          <xdr:spPr>
            <a:xfrm>
              <a:off x="0" y="0"/>
              <a:ext cx="0" cy="0"/>
            </a:xfrm>
            <a:prstGeom prst="rect">
              <a:avLst/>
            </a:prstGeom>
          </xdr:spPr>
        </xdr:sp>
        <xdr:clientData/>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171450</xdr:colOff>
          <xdr:row>0</xdr:row>
          <xdr:rowOff>12700</xdr:rowOff>
        </xdr:from>
        <xdr:to>
          <xdr:col>4</xdr:col>
          <xdr:colOff>152400</xdr:colOff>
          <xdr:row>0</xdr:row>
          <xdr:rowOff>146050</xdr:rowOff>
        </xdr:to>
        <xdr:sp macro="" textlink="">
          <xdr:nvSpPr>
            <xdr:cNvPr id="183297" name="Check Box 1" hidden="1">
              <a:extLst>
                <a:ext uri="{63B3BB69-23CF-44E3-9099-C40C66FF867C}">
                  <a14:compatExt spid="_x0000_s1832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222250</xdr:colOff>
          <xdr:row>0</xdr:row>
          <xdr:rowOff>12700</xdr:rowOff>
        </xdr:from>
        <xdr:to>
          <xdr:col>8</xdr:col>
          <xdr:colOff>152400</xdr:colOff>
          <xdr:row>0</xdr:row>
          <xdr:rowOff>139700</xdr:rowOff>
        </xdr:to>
        <xdr:sp macro="" textlink="">
          <xdr:nvSpPr>
            <xdr:cNvPr id="183298" name="Check Box 2" hidden="1">
              <a:extLst>
                <a:ext uri="{63B3BB69-23CF-44E3-9099-C40C66FF867C}">
                  <a14:compatExt spid="_x0000_s183298"/>
                </a:ext>
              </a:extLst>
            </xdr:cNvPr>
            <xdr:cNvSpPr/>
          </xdr:nvSpPr>
          <xdr:spPr>
            <a:xfrm>
              <a:off x="0" y="0"/>
              <a:ext cx="0" cy="0"/>
            </a:xfrm>
            <a:prstGeom prst="rect">
              <a:avLst/>
            </a:prstGeom>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28673" name="Check Box 1" hidden="1">
              <a:extLst>
                <a:ext uri="{63B3BB69-23CF-44E3-9099-C40C66FF867C}">
                  <a14:compatExt spid="_x0000_s286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19050</xdr:rowOff>
        </xdr:from>
        <xdr:to>
          <xdr:col>8</xdr:col>
          <xdr:colOff>171450</xdr:colOff>
          <xdr:row>1</xdr:row>
          <xdr:rowOff>0</xdr:rowOff>
        </xdr:to>
        <xdr:sp macro="" textlink="">
          <xdr:nvSpPr>
            <xdr:cNvPr id="28674" name="Check Box 2" hidden="1">
              <a:extLst>
                <a:ext uri="{63B3BB69-23CF-44E3-9099-C40C66FF867C}">
                  <a14:compatExt spid="_x0000_s28674"/>
                </a:ext>
              </a:extLst>
            </xdr:cNvPr>
            <xdr:cNvSpPr/>
          </xdr:nvSpPr>
          <xdr:spPr>
            <a:xfrm>
              <a:off x="0" y="0"/>
              <a:ext cx="0" cy="0"/>
            </a:xfrm>
            <a:prstGeom prst="rect">
              <a:avLst/>
            </a:prstGeom>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0</xdr:row>
          <xdr:rowOff>19050</xdr:rowOff>
        </xdr:from>
        <xdr:to>
          <xdr:col>4</xdr:col>
          <xdr:colOff>171450</xdr:colOff>
          <xdr:row>0</xdr:row>
          <xdr:rowOff>158750</xdr:rowOff>
        </xdr:to>
        <xdr:sp macro="" textlink="">
          <xdr:nvSpPr>
            <xdr:cNvPr id="184322" name="Check Box 2" hidden="1">
              <a:extLst>
                <a:ext uri="{63B3BB69-23CF-44E3-9099-C40C66FF867C}">
                  <a14:compatExt spid="_x0000_s1843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19050</xdr:rowOff>
        </xdr:from>
        <xdr:to>
          <xdr:col>8</xdr:col>
          <xdr:colOff>95250</xdr:colOff>
          <xdr:row>0</xdr:row>
          <xdr:rowOff>158750</xdr:rowOff>
        </xdr:to>
        <xdr:sp macro="" textlink="">
          <xdr:nvSpPr>
            <xdr:cNvPr id="184323" name="Check Box 3" hidden="1">
              <a:extLst>
                <a:ext uri="{63B3BB69-23CF-44E3-9099-C40C66FF867C}">
                  <a14:compatExt spid="_x0000_s184323"/>
                </a:ext>
              </a:extLst>
            </xdr:cNvPr>
            <xdr:cNvSpPr/>
          </xdr:nvSpPr>
          <xdr:spPr>
            <a:xfrm>
              <a:off x="0" y="0"/>
              <a:ext cx="0" cy="0"/>
            </a:xfrm>
            <a:prstGeom prst="rect">
              <a:avLst/>
            </a:prstGeom>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29697" name="Check Box 1" hidden="1">
              <a:extLst>
                <a:ext uri="{63B3BB69-23CF-44E3-9099-C40C66FF867C}">
                  <a14:compatExt spid="_x0000_s296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0</xdr:row>
          <xdr:rowOff>0</xdr:rowOff>
        </xdr:from>
        <xdr:to>
          <xdr:col>8</xdr:col>
          <xdr:colOff>139700</xdr:colOff>
          <xdr:row>0</xdr:row>
          <xdr:rowOff>139700</xdr:rowOff>
        </xdr:to>
        <xdr:sp macro="" textlink="">
          <xdr:nvSpPr>
            <xdr:cNvPr id="29698" name="Check Box 2" hidden="1">
              <a:extLst>
                <a:ext uri="{63B3BB69-23CF-44E3-9099-C40C66FF867C}">
                  <a14:compatExt spid="_x0000_s29698"/>
                </a:ext>
              </a:extLst>
            </xdr:cNvPr>
            <xdr:cNvSpPr/>
          </xdr:nvSpPr>
          <xdr:spPr>
            <a:xfrm>
              <a:off x="0" y="0"/>
              <a:ext cx="0" cy="0"/>
            </a:xfrm>
            <a:prstGeom prst="rect">
              <a:avLst/>
            </a:prstGeom>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222250</xdr:colOff>
          <xdr:row>0</xdr:row>
          <xdr:rowOff>25400</xdr:rowOff>
        </xdr:from>
        <xdr:to>
          <xdr:col>4</xdr:col>
          <xdr:colOff>57150</xdr:colOff>
          <xdr:row>0</xdr:row>
          <xdr:rowOff>165100</xdr:rowOff>
        </xdr:to>
        <xdr:sp macro="" textlink="">
          <xdr:nvSpPr>
            <xdr:cNvPr id="116737" name="Check Box 1" hidden="1">
              <a:extLst>
                <a:ext uri="{63B3BB69-23CF-44E3-9099-C40C66FF867C}">
                  <a14:compatExt spid="_x0000_s1167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0</xdr:row>
          <xdr:rowOff>25400</xdr:rowOff>
        </xdr:from>
        <xdr:to>
          <xdr:col>8</xdr:col>
          <xdr:colOff>158750</xdr:colOff>
          <xdr:row>0</xdr:row>
          <xdr:rowOff>165100</xdr:rowOff>
        </xdr:to>
        <xdr:sp macro="" textlink="">
          <xdr:nvSpPr>
            <xdr:cNvPr id="116738" name="Check Box 2" hidden="1">
              <a:extLst>
                <a:ext uri="{63B3BB69-23CF-44E3-9099-C40C66FF867C}">
                  <a14:compatExt spid="_x0000_s116738"/>
                </a:ext>
              </a:extLst>
            </xdr:cNvPr>
            <xdr:cNvSpPr/>
          </xdr:nvSpPr>
          <xdr:spPr>
            <a:xfrm>
              <a:off x="0" y="0"/>
              <a:ext cx="0" cy="0"/>
            </a:xfrm>
            <a:prstGeom prst="rect">
              <a:avLst/>
            </a:prstGeom>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30721" name="Check Box 1" hidden="1">
              <a:extLst>
                <a:ext uri="{63B3BB69-23CF-44E3-9099-C40C66FF867C}">
                  <a14:compatExt spid="_x0000_s307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127000</xdr:colOff>
          <xdr:row>0</xdr:row>
          <xdr:rowOff>152400</xdr:rowOff>
        </xdr:to>
        <xdr:sp macro="" textlink="">
          <xdr:nvSpPr>
            <xdr:cNvPr id="30722" name="Check Box 2" hidden="1">
              <a:extLst>
                <a:ext uri="{63B3BB69-23CF-44E3-9099-C40C66FF867C}">
                  <a14:compatExt spid="_x0000_s30722"/>
                </a:ext>
              </a:extLst>
            </xdr:cNvPr>
            <xdr:cNvSpPr/>
          </xdr:nvSpPr>
          <xdr:spPr>
            <a:xfrm>
              <a:off x="0" y="0"/>
              <a:ext cx="0" cy="0"/>
            </a:xfrm>
            <a:prstGeom prst="rect">
              <a:avLst/>
            </a:prstGeom>
          </xdr:spPr>
        </xdr:sp>
        <xdr:clientData/>
      </xdr:twoCellAnchor>
    </mc:Choice>
    <mc:Fallback/>
  </mc:AlternateContent>
</xdr:wsDr>
</file>

<file path=xl/drawings/drawing4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228600</xdr:colOff>
          <xdr:row>0</xdr:row>
          <xdr:rowOff>25400</xdr:rowOff>
        </xdr:from>
        <xdr:to>
          <xdr:col>4</xdr:col>
          <xdr:colOff>95250</xdr:colOff>
          <xdr:row>0</xdr:row>
          <xdr:rowOff>165100</xdr:rowOff>
        </xdr:to>
        <xdr:sp macro="" textlink="">
          <xdr:nvSpPr>
            <xdr:cNvPr id="117761" name="Check Box 1" hidden="1">
              <a:extLst>
                <a:ext uri="{63B3BB69-23CF-44E3-9099-C40C66FF867C}">
                  <a14:compatExt spid="_x0000_s1177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0</xdr:row>
          <xdr:rowOff>12700</xdr:rowOff>
        </xdr:from>
        <xdr:to>
          <xdr:col>8</xdr:col>
          <xdr:colOff>266700</xdr:colOff>
          <xdr:row>0</xdr:row>
          <xdr:rowOff>152400</xdr:rowOff>
        </xdr:to>
        <xdr:sp macro="" textlink="">
          <xdr:nvSpPr>
            <xdr:cNvPr id="117762" name="Check Box 2" hidden="1">
              <a:extLst>
                <a:ext uri="{63B3BB69-23CF-44E3-9099-C40C66FF867C}">
                  <a14:compatExt spid="_x0000_s117762"/>
                </a:ext>
              </a:extLst>
            </xdr:cNvPr>
            <xdr:cNvSpPr/>
          </xdr:nvSpPr>
          <xdr:spPr>
            <a:xfrm>
              <a:off x="0" y="0"/>
              <a:ext cx="0" cy="0"/>
            </a:xfrm>
            <a:prstGeom prst="rect">
              <a:avLst/>
            </a:prstGeom>
          </xdr:spPr>
        </xdr:sp>
        <xdr:clientData/>
      </xdr:twoCellAnchor>
    </mc:Choice>
    <mc:Fallback/>
  </mc:AlternateContent>
</xdr:wsDr>
</file>

<file path=xl/drawings/drawing4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1</xdr:row>
          <xdr:rowOff>0</xdr:rowOff>
        </xdr:to>
        <xdr:sp macro="" textlink="">
          <xdr:nvSpPr>
            <xdr:cNvPr id="31745" name="Check Box 1" hidden="1">
              <a:extLst>
                <a:ext uri="{63B3BB69-23CF-44E3-9099-C40C66FF867C}">
                  <a14:compatExt spid="_x0000_s317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0</xdr:rowOff>
        </xdr:from>
        <xdr:to>
          <xdr:col>8</xdr:col>
          <xdr:colOff>158750</xdr:colOff>
          <xdr:row>0</xdr:row>
          <xdr:rowOff>139700</xdr:rowOff>
        </xdr:to>
        <xdr:sp macro="" textlink="">
          <xdr:nvSpPr>
            <xdr:cNvPr id="31746" name="Check Box 2" hidden="1">
              <a:extLst>
                <a:ext uri="{63B3BB69-23CF-44E3-9099-C40C66FF867C}">
                  <a14:compatExt spid="_x0000_s31746"/>
                </a:ext>
              </a:extLst>
            </xdr:cNvPr>
            <xdr:cNvSpPr/>
          </xdr:nvSpPr>
          <xdr:spPr>
            <a:xfrm>
              <a:off x="0" y="0"/>
              <a:ext cx="0" cy="0"/>
            </a:xfrm>
            <a:prstGeom prst="rect">
              <a:avLst/>
            </a:prstGeom>
          </xdr:spPr>
        </xdr:sp>
        <xdr:clientData/>
      </xdr:twoCellAnchor>
    </mc:Choice>
    <mc:Fallback/>
  </mc:AlternateContent>
</xdr:wsDr>
</file>

<file path=xl/drawings/drawing4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203200</xdr:colOff>
          <xdr:row>0</xdr:row>
          <xdr:rowOff>0</xdr:rowOff>
        </xdr:from>
        <xdr:to>
          <xdr:col>4</xdr:col>
          <xdr:colOff>228600</xdr:colOff>
          <xdr:row>0</xdr:row>
          <xdr:rowOff>133350</xdr:rowOff>
        </xdr:to>
        <xdr:sp macro="" textlink="">
          <xdr:nvSpPr>
            <xdr:cNvPr id="185345" name="Check Box 1" hidden="1">
              <a:extLst>
                <a:ext uri="{63B3BB69-23CF-44E3-9099-C40C66FF867C}">
                  <a14:compatExt spid="_x0000_s1853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266700</xdr:colOff>
          <xdr:row>0</xdr:row>
          <xdr:rowOff>12700</xdr:rowOff>
        </xdr:from>
        <xdr:to>
          <xdr:col>8</xdr:col>
          <xdr:colOff>209550</xdr:colOff>
          <xdr:row>0</xdr:row>
          <xdr:rowOff>139700</xdr:rowOff>
        </xdr:to>
        <xdr:sp macro="" textlink="">
          <xdr:nvSpPr>
            <xdr:cNvPr id="185346" name="Check Box 2" hidden="1">
              <a:extLst>
                <a:ext uri="{63B3BB69-23CF-44E3-9099-C40C66FF867C}">
                  <a14:compatExt spid="_x0000_s185346"/>
                </a:ext>
              </a:extLst>
            </xdr:cNvPr>
            <xdr:cNvSpPr/>
          </xdr:nvSpPr>
          <xdr:spPr>
            <a:xfrm>
              <a:off x="0" y="0"/>
              <a:ext cx="0" cy="0"/>
            </a:xfrm>
            <a:prstGeom prst="rect">
              <a:avLst/>
            </a:prstGeom>
          </xdr:spPr>
        </xdr:sp>
        <xdr:clientData/>
      </xdr:twoCellAnchor>
    </mc:Choice>
    <mc:Fallback/>
  </mc:AlternateContent>
</xdr:wsDr>
</file>

<file path=xl/drawings/drawing4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381000</xdr:colOff>
          <xdr:row>0</xdr:row>
          <xdr:rowOff>158750</xdr:rowOff>
        </xdr:to>
        <xdr:sp macro="" textlink="">
          <xdr:nvSpPr>
            <xdr:cNvPr id="32769" name="Check Box 1" hidden="1">
              <a:extLst>
                <a:ext uri="{63B3BB69-23CF-44E3-9099-C40C66FF867C}">
                  <a14:compatExt spid="_x0000_s327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19050</xdr:rowOff>
        </xdr:from>
        <xdr:to>
          <xdr:col>8</xdr:col>
          <xdr:colOff>133350</xdr:colOff>
          <xdr:row>0</xdr:row>
          <xdr:rowOff>158750</xdr:rowOff>
        </xdr:to>
        <xdr:sp macro="" textlink="">
          <xdr:nvSpPr>
            <xdr:cNvPr id="32770" name="Check Box 2" hidden="1">
              <a:extLst>
                <a:ext uri="{63B3BB69-23CF-44E3-9099-C40C66FF867C}">
                  <a14:compatExt spid="_x0000_s32770"/>
                </a:ext>
              </a:extLst>
            </xdr:cNvPr>
            <xdr:cNvSpPr/>
          </xdr:nvSpPr>
          <xdr:spPr>
            <a:xfrm>
              <a:off x="0" y="0"/>
              <a:ext cx="0" cy="0"/>
            </a:xfrm>
            <a:prstGeom prst="rect">
              <a:avLst/>
            </a:prstGeom>
          </xdr:spPr>
        </xdr:sp>
        <xdr:clientData/>
      </xdr:twoCellAnchor>
    </mc:Choice>
    <mc:Fallback/>
  </mc:AlternateContent>
</xdr:wsDr>
</file>

<file path=xl/drawings/drawing4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19050</xdr:rowOff>
        </xdr:from>
        <xdr:to>
          <xdr:col>4</xdr:col>
          <xdr:colOff>63500</xdr:colOff>
          <xdr:row>0</xdr:row>
          <xdr:rowOff>146050</xdr:rowOff>
        </xdr:to>
        <xdr:sp macro="" textlink="">
          <xdr:nvSpPr>
            <xdr:cNvPr id="186369" name="Check Box 1" hidden="1">
              <a:extLst>
                <a:ext uri="{63B3BB69-23CF-44E3-9099-C40C66FF867C}">
                  <a14:compatExt spid="_x0000_s1863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0</xdr:row>
          <xdr:rowOff>19050</xdr:rowOff>
        </xdr:from>
        <xdr:to>
          <xdr:col>7</xdr:col>
          <xdr:colOff>577850</xdr:colOff>
          <xdr:row>0</xdr:row>
          <xdr:rowOff>158750</xdr:rowOff>
        </xdr:to>
        <xdr:sp macro="" textlink="">
          <xdr:nvSpPr>
            <xdr:cNvPr id="186370" name="Check Box 2" hidden="1">
              <a:extLst>
                <a:ext uri="{63B3BB69-23CF-44E3-9099-C40C66FF867C}">
                  <a14:compatExt spid="_x0000_s186370"/>
                </a:ext>
              </a:extLst>
            </xdr:cNvPr>
            <xdr:cNvSpPr/>
          </xdr:nvSpPr>
          <xdr:spPr>
            <a:xfrm>
              <a:off x="0" y="0"/>
              <a:ext cx="0" cy="0"/>
            </a:xfrm>
            <a:prstGeom prst="rect">
              <a:avLst/>
            </a:prstGeom>
          </xdr:spPr>
        </xdr:sp>
        <xdr:clientData/>
      </xdr:twoCellAnchor>
    </mc:Choice>
    <mc:Fallback/>
  </mc:AlternateContent>
</xdr:wsDr>
</file>

<file path=xl/drawings/drawing4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33793" name="Check Box 1" hidden="1">
              <a:extLst>
                <a:ext uri="{63B3BB69-23CF-44E3-9099-C40C66FF867C}">
                  <a14:compatExt spid="_x0000_s337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8</xdr:col>
          <xdr:colOff>107950</xdr:colOff>
          <xdr:row>0</xdr:row>
          <xdr:rowOff>152400</xdr:rowOff>
        </xdr:to>
        <xdr:sp macro="" textlink="">
          <xdr:nvSpPr>
            <xdr:cNvPr id="33794" name="Check Box 2" hidden="1">
              <a:extLst>
                <a:ext uri="{63B3BB69-23CF-44E3-9099-C40C66FF867C}">
                  <a14:compatExt spid="_x0000_s33794"/>
                </a:ext>
              </a:extLst>
            </xdr:cNvPr>
            <xdr:cNvSpPr/>
          </xdr:nvSpPr>
          <xdr:spPr>
            <a:xfrm>
              <a:off x="0" y="0"/>
              <a:ext cx="0" cy="0"/>
            </a:xfrm>
            <a:prstGeom prst="rect">
              <a:avLst/>
            </a:prstGeom>
          </xdr:spPr>
        </xdr:sp>
        <xdr:clientData/>
      </xdr:twoCellAnchor>
    </mc:Choice>
    <mc:Fallback/>
  </mc:AlternateContent>
</xdr:wsDr>
</file>

<file path=xl/drawings/drawing4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196850</xdr:colOff>
          <xdr:row>0</xdr:row>
          <xdr:rowOff>19050</xdr:rowOff>
        </xdr:from>
        <xdr:to>
          <xdr:col>4</xdr:col>
          <xdr:colOff>57150</xdr:colOff>
          <xdr:row>0</xdr:row>
          <xdr:rowOff>158750</xdr:rowOff>
        </xdr:to>
        <xdr:sp macro="" textlink="">
          <xdr:nvSpPr>
            <xdr:cNvPr id="187393" name="Check Box 1" hidden="1">
              <a:extLst>
                <a:ext uri="{63B3BB69-23CF-44E3-9099-C40C66FF867C}">
                  <a14:compatExt spid="_x0000_s187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0</xdr:row>
          <xdr:rowOff>12700</xdr:rowOff>
        </xdr:from>
        <xdr:to>
          <xdr:col>8</xdr:col>
          <xdr:colOff>95250</xdr:colOff>
          <xdr:row>0</xdr:row>
          <xdr:rowOff>146050</xdr:rowOff>
        </xdr:to>
        <xdr:sp macro="" textlink="">
          <xdr:nvSpPr>
            <xdr:cNvPr id="187394" name="Check Box 2" hidden="1">
              <a:extLst>
                <a:ext uri="{63B3BB69-23CF-44E3-9099-C40C66FF867C}">
                  <a14:compatExt spid="_x0000_s187394"/>
                </a:ext>
              </a:extLst>
            </xdr:cNvPr>
            <xdr:cNvSpPr/>
          </xdr:nvSpPr>
          <xdr:spPr>
            <a:xfrm>
              <a:off x="0" y="0"/>
              <a:ext cx="0" cy="0"/>
            </a:xfrm>
            <a:prstGeom prst="rect">
              <a:avLst/>
            </a:prstGeom>
          </xdr:spPr>
        </xdr:sp>
        <xdr:clientData/>
      </xdr:twoCellAnchor>
    </mc:Choice>
    <mc:Fallback/>
  </mc:AlternateContent>
</xdr:wsDr>
</file>

<file path=xl/drawings/drawing4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34817" name="Check Box 1" hidden="1">
              <a:extLst>
                <a:ext uri="{63B3BB69-23CF-44E3-9099-C40C66FF867C}">
                  <a14:compatExt spid="_x0000_s348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0</xdr:rowOff>
        </xdr:from>
        <xdr:to>
          <xdr:col>8</xdr:col>
          <xdr:colOff>82550</xdr:colOff>
          <xdr:row>0</xdr:row>
          <xdr:rowOff>139700</xdr:rowOff>
        </xdr:to>
        <xdr:sp macro="" textlink="">
          <xdr:nvSpPr>
            <xdr:cNvPr id="34818" name="Check Box 2" hidden="1">
              <a:extLst>
                <a:ext uri="{63B3BB69-23CF-44E3-9099-C40C66FF867C}">
                  <a14:compatExt spid="_x0000_s34818"/>
                </a:ext>
              </a:extLst>
            </xdr:cNvPr>
            <xdr:cNvSpPr/>
          </xdr:nvSpPr>
          <xdr:spPr>
            <a:xfrm>
              <a:off x="0" y="0"/>
              <a:ext cx="0" cy="0"/>
            </a:xfrm>
            <a:prstGeom prst="rect">
              <a:avLst/>
            </a:prstGeom>
          </xdr:spPr>
        </xdr:sp>
        <xdr:clientData/>
      </xdr:twoCellAnchor>
    </mc:Choice>
    <mc:Fallback/>
  </mc:AlternateContent>
</xdr:wsDr>
</file>

<file path=xl/drawings/drawing4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196850</xdr:colOff>
          <xdr:row>0</xdr:row>
          <xdr:rowOff>19050</xdr:rowOff>
        </xdr:from>
        <xdr:to>
          <xdr:col>4</xdr:col>
          <xdr:colOff>31750</xdr:colOff>
          <xdr:row>0</xdr:row>
          <xdr:rowOff>146050</xdr:rowOff>
        </xdr:to>
        <xdr:sp macro="" textlink="">
          <xdr:nvSpPr>
            <xdr:cNvPr id="188417" name="Check Box 1" hidden="1">
              <a:extLst>
                <a:ext uri="{63B3BB69-23CF-44E3-9099-C40C66FF867C}">
                  <a14:compatExt spid="_x0000_s1884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0</xdr:row>
          <xdr:rowOff>0</xdr:rowOff>
        </xdr:from>
        <xdr:to>
          <xdr:col>8</xdr:col>
          <xdr:colOff>88900</xdr:colOff>
          <xdr:row>0</xdr:row>
          <xdr:rowOff>127000</xdr:rowOff>
        </xdr:to>
        <xdr:sp macro="" textlink="">
          <xdr:nvSpPr>
            <xdr:cNvPr id="188418" name="Check Box 2" hidden="1">
              <a:extLst>
                <a:ext uri="{63B3BB69-23CF-44E3-9099-C40C66FF867C}">
                  <a14:compatExt spid="_x0000_s188418"/>
                </a:ext>
              </a:extLst>
            </xdr:cNvPr>
            <xdr:cNvSpPr/>
          </xdr:nvSpPr>
          <xdr:spPr>
            <a:xfrm>
              <a:off x="0" y="0"/>
              <a:ext cx="0" cy="0"/>
            </a:xfrm>
            <a:prstGeom prst="rect">
              <a:avLst/>
            </a:prstGeom>
          </xdr:spPr>
        </xdr:sp>
        <xdr:clientData/>
      </xdr:twoCellAnchor>
    </mc:Choice>
    <mc:Fallback/>
  </mc:AlternateContent>
</xdr:wsDr>
</file>

<file path=xl/drawings/drawing5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0</xdr:row>
          <xdr:rowOff>146050</xdr:rowOff>
        </xdr:to>
        <xdr:sp macro="" textlink="">
          <xdr:nvSpPr>
            <xdr:cNvPr id="35841" name="Check Box 1" hidden="1">
              <a:extLst>
                <a:ext uri="{63B3BB69-23CF-44E3-9099-C40C66FF867C}">
                  <a14:compatExt spid="_x0000_s358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12700</xdr:rowOff>
        </xdr:from>
        <xdr:to>
          <xdr:col>7</xdr:col>
          <xdr:colOff>768350</xdr:colOff>
          <xdr:row>0</xdr:row>
          <xdr:rowOff>152400</xdr:rowOff>
        </xdr:to>
        <xdr:sp macro="" textlink="">
          <xdr:nvSpPr>
            <xdr:cNvPr id="35842" name="Check Box 2" hidden="1">
              <a:extLst>
                <a:ext uri="{63B3BB69-23CF-44E3-9099-C40C66FF867C}">
                  <a14:compatExt spid="_x0000_s35842"/>
                </a:ext>
              </a:extLst>
            </xdr:cNvPr>
            <xdr:cNvSpPr/>
          </xdr:nvSpPr>
          <xdr:spPr>
            <a:xfrm>
              <a:off x="0" y="0"/>
              <a:ext cx="0" cy="0"/>
            </a:xfrm>
            <a:prstGeom prst="rect">
              <a:avLst/>
            </a:prstGeom>
          </xdr:spPr>
        </xdr:sp>
        <xdr:clientData/>
      </xdr:twoCellAnchor>
    </mc:Choice>
    <mc:Fallback/>
  </mc:AlternateContent>
</xdr:wsDr>
</file>

<file path=xl/drawings/drawing5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171450</xdr:colOff>
          <xdr:row>0</xdr:row>
          <xdr:rowOff>19050</xdr:rowOff>
        </xdr:from>
        <xdr:to>
          <xdr:col>4</xdr:col>
          <xdr:colOff>152400</xdr:colOff>
          <xdr:row>0</xdr:row>
          <xdr:rowOff>146050</xdr:rowOff>
        </xdr:to>
        <xdr:sp macro="" textlink="">
          <xdr:nvSpPr>
            <xdr:cNvPr id="189441" name="Check Box 1" hidden="1">
              <a:extLst>
                <a:ext uri="{63B3BB69-23CF-44E3-9099-C40C66FF867C}">
                  <a14:compatExt spid="_x0000_s1894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222250</xdr:colOff>
          <xdr:row>0</xdr:row>
          <xdr:rowOff>19050</xdr:rowOff>
        </xdr:from>
        <xdr:to>
          <xdr:col>8</xdr:col>
          <xdr:colOff>127000</xdr:colOff>
          <xdr:row>0</xdr:row>
          <xdr:rowOff>146050</xdr:rowOff>
        </xdr:to>
        <xdr:sp macro="" textlink="">
          <xdr:nvSpPr>
            <xdr:cNvPr id="189442" name="Check Box 2" hidden="1">
              <a:extLst>
                <a:ext uri="{63B3BB69-23CF-44E3-9099-C40C66FF867C}">
                  <a14:compatExt spid="_x0000_s189442"/>
                </a:ext>
              </a:extLst>
            </xdr:cNvPr>
            <xdr:cNvSpPr/>
          </xdr:nvSpPr>
          <xdr:spPr>
            <a:xfrm>
              <a:off x="0" y="0"/>
              <a:ext cx="0" cy="0"/>
            </a:xfrm>
            <a:prstGeom prst="rect">
              <a:avLst/>
            </a:prstGeom>
          </xdr:spPr>
        </xdr:sp>
        <xdr:clientData/>
      </xdr:twoCellAnchor>
    </mc:Choice>
    <mc:Fallback/>
  </mc:AlternateContent>
</xdr:wsDr>
</file>

<file path=xl/drawings/drawing5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12700</xdr:rowOff>
        </xdr:from>
        <xdr:to>
          <xdr:col>3</xdr:col>
          <xdr:colOff>381000</xdr:colOff>
          <xdr:row>1</xdr:row>
          <xdr:rowOff>0</xdr:rowOff>
        </xdr:to>
        <xdr:sp macro="" textlink="">
          <xdr:nvSpPr>
            <xdr:cNvPr id="37889" name="Check Box 1" hidden="1">
              <a:extLst>
                <a:ext uri="{63B3BB69-23CF-44E3-9099-C40C66FF867C}">
                  <a14:compatExt spid="_x0000_s378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0</xdr:row>
          <xdr:rowOff>19050</xdr:rowOff>
        </xdr:from>
        <xdr:to>
          <xdr:col>8</xdr:col>
          <xdr:colOff>158750</xdr:colOff>
          <xdr:row>1</xdr:row>
          <xdr:rowOff>0</xdr:rowOff>
        </xdr:to>
        <xdr:sp macro="" textlink="">
          <xdr:nvSpPr>
            <xdr:cNvPr id="37890" name="Check Box 2" hidden="1">
              <a:extLst>
                <a:ext uri="{63B3BB69-23CF-44E3-9099-C40C66FF867C}">
                  <a14:compatExt spid="_x0000_s37890"/>
                </a:ext>
              </a:extLst>
            </xdr:cNvPr>
            <xdr:cNvSpPr/>
          </xdr:nvSpPr>
          <xdr:spPr>
            <a:xfrm>
              <a:off x="0" y="0"/>
              <a:ext cx="0" cy="0"/>
            </a:xfrm>
            <a:prstGeom prst="rect">
              <a:avLst/>
            </a:prstGeom>
          </xdr:spPr>
        </xdr:sp>
        <xdr:clientData/>
      </xdr:twoCellAnchor>
    </mc:Choice>
    <mc:Fallback/>
  </mc:AlternateContent>
</xdr:wsDr>
</file>

<file path=xl/drawings/drawing5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0</xdr:rowOff>
        </xdr:from>
        <xdr:to>
          <xdr:col>3</xdr:col>
          <xdr:colOff>381000</xdr:colOff>
          <xdr:row>1</xdr:row>
          <xdr:rowOff>0</xdr:rowOff>
        </xdr:to>
        <xdr:sp macro="" textlink="">
          <xdr:nvSpPr>
            <xdr:cNvPr id="39937" name="Check Box 1" hidden="1">
              <a:extLst>
                <a:ext uri="{63B3BB69-23CF-44E3-9099-C40C66FF867C}">
                  <a14:compatExt spid="_x0000_s399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0</xdr:rowOff>
        </xdr:from>
        <xdr:to>
          <xdr:col>8</xdr:col>
          <xdr:colOff>171450</xdr:colOff>
          <xdr:row>0</xdr:row>
          <xdr:rowOff>139700</xdr:rowOff>
        </xdr:to>
        <xdr:sp macro="" textlink="">
          <xdr:nvSpPr>
            <xdr:cNvPr id="39938" name="Check Box 2" hidden="1">
              <a:extLst>
                <a:ext uri="{63B3BB69-23CF-44E3-9099-C40C66FF867C}">
                  <a14:compatExt spid="_x0000_s39938"/>
                </a:ext>
              </a:extLst>
            </xdr:cNvPr>
            <xdr:cNvSpPr/>
          </xdr:nvSpPr>
          <xdr:spPr>
            <a:xfrm>
              <a:off x="0" y="0"/>
              <a:ext cx="0" cy="0"/>
            </a:xfrm>
            <a:prstGeom prst="rect">
              <a:avLst/>
            </a:prstGeom>
          </xdr:spPr>
        </xdr:sp>
        <xdr:clientData/>
      </xdr:twoCellAnchor>
    </mc:Choice>
    <mc:Fallback/>
  </mc:AlternateContent>
</xdr:wsDr>
</file>

<file path=xl/drawings/drawing5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196850</xdr:colOff>
          <xdr:row>0</xdr:row>
          <xdr:rowOff>19050</xdr:rowOff>
        </xdr:from>
        <xdr:to>
          <xdr:col>4</xdr:col>
          <xdr:colOff>133350</xdr:colOff>
          <xdr:row>0</xdr:row>
          <xdr:rowOff>158750</xdr:rowOff>
        </xdr:to>
        <xdr:sp macro="" textlink="">
          <xdr:nvSpPr>
            <xdr:cNvPr id="219137" name="Check Box 1" hidden="1">
              <a:extLst>
                <a:ext uri="{63B3BB69-23CF-44E3-9099-C40C66FF867C}">
                  <a14:compatExt spid="_x0000_s2191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228600</xdr:colOff>
          <xdr:row>0</xdr:row>
          <xdr:rowOff>44450</xdr:rowOff>
        </xdr:from>
        <xdr:to>
          <xdr:col>8</xdr:col>
          <xdr:colOff>76200</xdr:colOff>
          <xdr:row>0</xdr:row>
          <xdr:rowOff>184150</xdr:rowOff>
        </xdr:to>
        <xdr:sp macro="" textlink="">
          <xdr:nvSpPr>
            <xdr:cNvPr id="219138" name="Check Box 2" hidden="1">
              <a:extLst>
                <a:ext uri="{63B3BB69-23CF-44E3-9099-C40C66FF867C}">
                  <a14:compatExt spid="_x0000_s219138"/>
                </a:ext>
              </a:extLst>
            </xdr:cNvPr>
            <xdr:cNvSpPr/>
          </xdr:nvSpPr>
          <xdr:spPr>
            <a:xfrm>
              <a:off x="0" y="0"/>
              <a:ext cx="0" cy="0"/>
            </a:xfrm>
            <a:prstGeom prst="rect">
              <a:avLst/>
            </a:prstGeom>
          </xdr:spPr>
        </xdr:sp>
        <xdr:clientData/>
      </xdr:twoCellAnchor>
    </mc:Choice>
    <mc:Fallback/>
  </mc:AlternateContent>
</xdr:wsDr>
</file>

<file path=xl/drawings/drawing5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0</xdr:row>
          <xdr:rowOff>12700</xdr:rowOff>
        </xdr:from>
        <xdr:to>
          <xdr:col>3</xdr:col>
          <xdr:colOff>393700</xdr:colOff>
          <xdr:row>0</xdr:row>
          <xdr:rowOff>158750</xdr:rowOff>
        </xdr:to>
        <xdr:sp macro="" textlink="">
          <xdr:nvSpPr>
            <xdr:cNvPr id="16385" name="Check Box 1" hidden="1">
              <a:extLst>
                <a:ext uri="{63B3BB69-23CF-44E3-9099-C40C66FF867C}">
                  <a14:compatExt spid="_x0000_s163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234950</xdr:colOff>
          <xdr:row>0</xdr:row>
          <xdr:rowOff>31750</xdr:rowOff>
        </xdr:from>
        <xdr:to>
          <xdr:col>8</xdr:col>
          <xdr:colOff>158750</xdr:colOff>
          <xdr:row>1</xdr:row>
          <xdr:rowOff>0</xdr:rowOff>
        </xdr:to>
        <xdr:sp macro="" textlink="">
          <xdr:nvSpPr>
            <xdr:cNvPr id="16386" name="Check Box 2" hidden="1">
              <a:extLst>
                <a:ext uri="{63B3BB69-23CF-44E3-9099-C40C66FF867C}">
                  <a14:compatExt spid="_x0000_s16386"/>
                </a:ext>
              </a:extLst>
            </xdr:cNvPr>
            <xdr:cNvSpPr/>
          </xdr:nvSpPr>
          <xdr:spPr>
            <a:xfrm>
              <a:off x="0" y="0"/>
              <a:ext cx="0" cy="0"/>
            </a:xfrm>
            <a:prstGeom prst="rect">
              <a:avLst/>
            </a:prstGeom>
          </xdr:spPr>
        </xdr:sp>
        <xdr:clientData/>
      </xdr:twoCellAnchor>
    </mc:Choice>
    <mc:Fallback/>
  </mc:AlternateContent>
</xdr:wsDr>
</file>

<file path=xl/drawings/drawing5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114300</xdr:colOff>
          <xdr:row>0</xdr:row>
          <xdr:rowOff>0</xdr:rowOff>
        </xdr:from>
        <xdr:to>
          <xdr:col>3</xdr:col>
          <xdr:colOff>317500</xdr:colOff>
          <xdr:row>2</xdr:row>
          <xdr:rowOff>31750</xdr:rowOff>
        </xdr:to>
        <xdr:sp macro="" textlink="">
          <xdr:nvSpPr>
            <xdr:cNvPr id="74755" name="Check Box 3" hidden="1">
              <a:extLst>
                <a:ext uri="{63B3BB69-23CF-44E3-9099-C40C66FF867C}">
                  <a14:compatExt spid="_x0000_s747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0</xdr:row>
          <xdr:rowOff>50800</xdr:rowOff>
        </xdr:from>
        <xdr:to>
          <xdr:col>7</xdr:col>
          <xdr:colOff>622300</xdr:colOff>
          <xdr:row>1</xdr:row>
          <xdr:rowOff>139700</xdr:rowOff>
        </xdr:to>
        <xdr:sp macro="" textlink="">
          <xdr:nvSpPr>
            <xdr:cNvPr id="74756" name="Check Box 4" hidden="1">
              <a:extLst>
                <a:ext uri="{63B3BB69-23CF-44E3-9099-C40C66FF867C}">
                  <a14:compatExt spid="_x0000_s74756"/>
                </a:ext>
              </a:extLst>
            </xdr:cNvPr>
            <xdr:cNvSpPr/>
          </xdr:nvSpPr>
          <xdr:spPr>
            <a:xfrm>
              <a:off x="0" y="0"/>
              <a:ext cx="0" cy="0"/>
            </a:xfrm>
            <a:prstGeom prst="rect">
              <a:avLst/>
            </a:prstGeom>
          </xdr:spPr>
        </xdr:sp>
        <xdr:clientData/>
      </xdr:twoCellAnchor>
    </mc:Choice>
    <mc:Fallback/>
  </mc:AlternateContent>
</xdr:wsDr>
</file>

<file path=xl/drawings/drawing5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0</xdr:row>
          <xdr:rowOff>38100</xdr:rowOff>
        </xdr:from>
        <xdr:to>
          <xdr:col>3</xdr:col>
          <xdr:colOff>381000</xdr:colOff>
          <xdr:row>0</xdr:row>
          <xdr:rowOff>184150</xdr:rowOff>
        </xdr:to>
        <xdr:sp macro="" textlink="">
          <xdr:nvSpPr>
            <xdr:cNvPr id="6145" name="Check Box 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0</xdr:row>
          <xdr:rowOff>38100</xdr:rowOff>
        </xdr:from>
        <xdr:to>
          <xdr:col>8</xdr:col>
          <xdr:colOff>63500</xdr:colOff>
          <xdr:row>0</xdr:row>
          <xdr:rowOff>177800</xdr:rowOff>
        </xdr:to>
        <xdr:sp macro="" textlink="">
          <xdr:nvSpPr>
            <xdr:cNvPr id="6146" name="Check Box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xdr:wsDr>
</file>

<file path=xl/tables/table1.xml><?xml version="1.0" encoding="utf-8"?>
<table xmlns="http://schemas.openxmlformats.org/spreadsheetml/2006/main" id="1" name="List1" displayName="List1" ref="AE27:AF37" totalsRowShown="0" headerRowDxfId="3" tableBorderDxfId="2">
  <autoFilter ref="AE27:AF37"/>
  <tableColumns count="2">
    <tableColumn id="1" name="Column1" dataDxfId="1"/>
    <tableColumn id="2" name="Column2"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 Id="rId5" Type="http://schemas.openxmlformats.org/officeDocument/2006/relationships/ctrlProp" Target="../ctrlProps/ctrlProp24.xml"/><Relationship Id="rId4" Type="http://schemas.openxmlformats.org/officeDocument/2006/relationships/ctrlProp" Target="../ctrlProps/ctrlProp2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 Id="rId5" Type="http://schemas.openxmlformats.org/officeDocument/2006/relationships/ctrlProp" Target="../ctrlProps/ctrlProp26.xml"/><Relationship Id="rId4" Type="http://schemas.openxmlformats.org/officeDocument/2006/relationships/ctrlProp" Target="../ctrlProps/ctrlProp2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5.bin"/><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6.bin"/><Relationship Id="rId5" Type="http://schemas.openxmlformats.org/officeDocument/2006/relationships/ctrlProp" Target="../ctrlProps/ctrlProp30.xml"/><Relationship Id="rId4" Type="http://schemas.openxmlformats.org/officeDocument/2006/relationships/ctrlProp" Target="../ctrlProps/ctrlProp29.xm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31.xml"/><Relationship Id="rId2" Type="http://schemas.openxmlformats.org/officeDocument/2006/relationships/vmlDrawing" Target="../drawings/vmlDrawing16.vml"/><Relationship Id="rId1" Type="http://schemas.openxmlformats.org/officeDocument/2006/relationships/drawing" Target="../drawings/drawing16.xml"/><Relationship Id="rId4" Type="http://schemas.openxmlformats.org/officeDocument/2006/relationships/ctrlProp" Target="../ctrlProps/ctrlProp3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ctrlProp" Target="../ctrlProps/ctrlProp34.xml"/><Relationship Id="rId4" Type="http://schemas.openxmlformats.org/officeDocument/2006/relationships/ctrlProp" Target="../ctrlProps/ctrlProp33.xml"/></Relationships>
</file>

<file path=xl/worksheets/_rels/sheet19.xml.rels><?xml version="1.0" encoding="UTF-8" standalone="yes"?>
<Relationships xmlns="http://schemas.openxmlformats.org/package/2006/relationships"><Relationship Id="rId3" Type="http://schemas.openxmlformats.org/officeDocument/2006/relationships/ctrlProp" Target="../ctrlProps/ctrlProp35.xml"/><Relationship Id="rId2" Type="http://schemas.openxmlformats.org/officeDocument/2006/relationships/vmlDrawing" Target="../drawings/vmlDrawing18.vml"/><Relationship Id="rId1" Type="http://schemas.openxmlformats.org/officeDocument/2006/relationships/drawing" Target="../drawings/drawing18.xml"/><Relationship Id="rId4" Type="http://schemas.openxmlformats.org/officeDocument/2006/relationships/ctrlProp" Target="../ctrlProps/ctrlProp3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8.bin"/><Relationship Id="rId5" Type="http://schemas.openxmlformats.org/officeDocument/2006/relationships/ctrlProp" Target="../ctrlProps/ctrlProp38.xml"/><Relationship Id="rId4" Type="http://schemas.openxmlformats.org/officeDocument/2006/relationships/ctrlProp" Target="../ctrlProps/ctrlProp37.xml"/></Relationships>
</file>

<file path=xl/worksheets/_rels/sheet21.xml.rels><?xml version="1.0" encoding="UTF-8" standalone="yes"?>
<Relationships xmlns="http://schemas.openxmlformats.org/package/2006/relationships"><Relationship Id="rId3" Type="http://schemas.openxmlformats.org/officeDocument/2006/relationships/ctrlProp" Target="../ctrlProps/ctrlProp39.xml"/><Relationship Id="rId2" Type="http://schemas.openxmlformats.org/officeDocument/2006/relationships/vmlDrawing" Target="../drawings/vmlDrawing20.vml"/><Relationship Id="rId1" Type="http://schemas.openxmlformats.org/officeDocument/2006/relationships/drawing" Target="../drawings/drawing20.xml"/><Relationship Id="rId4" Type="http://schemas.openxmlformats.org/officeDocument/2006/relationships/ctrlProp" Target="../ctrlProps/ctrlProp4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19.bin"/><Relationship Id="rId5" Type="http://schemas.openxmlformats.org/officeDocument/2006/relationships/ctrlProp" Target="../ctrlProps/ctrlProp42.xml"/><Relationship Id="rId4" Type="http://schemas.openxmlformats.org/officeDocument/2006/relationships/ctrlProp" Target="../ctrlProps/ctrlProp4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0.bin"/><Relationship Id="rId5" Type="http://schemas.openxmlformats.org/officeDocument/2006/relationships/ctrlProp" Target="../ctrlProps/ctrlProp44.xml"/><Relationship Id="rId4" Type="http://schemas.openxmlformats.org/officeDocument/2006/relationships/ctrlProp" Target="../ctrlProps/ctrlProp4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1.bin"/><Relationship Id="rId5" Type="http://schemas.openxmlformats.org/officeDocument/2006/relationships/ctrlProp" Target="../ctrlProps/ctrlProp46.xml"/><Relationship Id="rId4" Type="http://schemas.openxmlformats.org/officeDocument/2006/relationships/ctrlProp" Target="../ctrlProps/ctrlProp45.xml"/></Relationships>
</file>

<file path=xl/worksheets/_rels/sheet25.xml.rels><?xml version="1.0" encoding="UTF-8" standalone="yes"?>
<Relationships xmlns="http://schemas.openxmlformats.org/package/2006/relationships"><Relationship Id="rId3" Type="http://schemas.openxmlformats.org/officeDocument/2006/relationships/ctrlProp" Target="../ctrlProps/ctrlProp47.xml"/><Relationship Id="rId2" Type="http://schemas.openxmlformats.org/officeDocument/2006/relationships/vmlDrawing" Target="../drawings/vmlDrawing24.vml"/><Relationship Id="rId1" Type="http://schemas.openxmlformats.org/officeDocument/2006/relationships/drawing" Target="../drawings/drawing24.xml"/><Relationship Id="rId4" Type="http://schemas.openxmlformats.org/officeDocument/2006/relationships/ctrlProp" Target="../ctrlProps/ctrlProp48.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2.bin"/><Relationship Id="rId5" Type="http://schemas.openxmlformats.org/officeDocument/2006/relationships/ctrlProp" Target="../ctrlProps/ctrlProp50.xml"/><Relationship Id="rId4" Type="http://schemas.openxmlformats.org/officeDocument/2006/relationships/ctrlProp" Target="../ctrlProps/ctrlProp49.xml"/></Relationships>
</file>

<file path=xl/worksheets/_rels/sheet27.xml.rels><?xml version="1.0" encoding="UTF-8" standalone="yes"?>
<Relationships xmlns="http://schemas.openxmlformats.org/package/2006/relationships"><Relationship Id="rId3" Type="http://schemas.openxmlformats.org/officeDocument/2006/relationships/ctrlProp" Target="../ctrlProps/ctrlProp51.xml"/><Relationship Id="rId2" Type="http://schemas.openxmlformats.org/officeDocument/2006/relationships/vmlDrawing" Target="../drawings/vmlDrawing26.vml"/><Relationship Id="rId1" Type="http://schemas.openxmlformats.org/officeDocument/2006/relationships/drawing" Target="../drawings/drawing26.xml"/><Relationship Id="rId4" Type="http://schemas.openxmlformats.org/officeDocument/2006/relationships/ctrlProp" Target="../ctrlProps/ctrlProp52.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3.bin"/><Relationship Id="rId5" Type="http://schemas.openxmlformats.org/officeDocument/2006/relationships/ctrlProp" Target="../ctrlProps/ctrlProp54.xml"/><Relationship Id="rId4" Type="http://schemas.openxmlformats.org/officeDocument/2006/relationships/ctrlProp" Target="../ctrlProps/ctrlProp53.xml"/></Relationships>
</file>

<file path=xl/worksheets/_rels/sheet29.xml.rels><?xml version="1.0" encoding="UTF-8" standalone="yes"?>
<Relationships xmlns="http://schemas.openxmlformats.org/package/2006/relationships"><Relationship Id="rId3" Type="http://schemas.openxmlformats.org/officeDocument/2006/relationships/ctrlProp" Target="../ctrlProps/ctrlProp55.xml"/><Relationship Id="rId2" Type="http://schemas.openxmlformats.org/officeDocument/2006/relationships/vmlDrawing" Target="../drawings/vmlDrawing28.vml"/><Relationship Id="rId1" Type="http://schemas.openxmlformats.org/officeDocument/2006/relationships/drawing" Target="../drawings/drawing28.xml"/><Relationship Id="rId4" Type="http://schemas.openxmlformats.org/officeDocument/2006/relationships/ctrlProp" Target="../ctrlProps/ctrlProp56.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4.bin"/><Relationship Id="rId5" Type="http://schemas.openxmlformats.org/officeDocument/2006/relationships/ctrlProp" Target="../ctrlProps/ctrlProp58.xml"/><Relationship Id="rId4" Type="http://schemas.openxmlformats.org/officeDocument/2006/relationships/ctrlProp" Target="../ctrlProps/ctrlProp57.xml"/></Relationships>
</file>

<file path=xl/worksheets/_rels/sheet31.xml.rels><?xml version="1.0" encoding="UTF-8" standalone="yes"?>
<Relationships xmlns="http://schemas.openxmlformats.org/package/2006/relationships"><Relationship Id="rId3" Type="http://schemas.openxmlformats.org/officeDocument/2006/relationships/ctrlProp" Target="../ctrlProps/ctrlProp59.xml"/><Relationship Id="rId2" Type="http://schemas.openxmlformats.org/officeDocument/2006/relationships/vmlDrawing" Target="../drawings/vmlDrawing30.vml"/><Relationship Id="rId1" Type="http://schemas.openxmlformats.org/officeDocument/2006/relationships/drawing" Target="../drawings/drawing30.xml"/><Relationship Id="rId4" Type="http://schemas.openxmlformats.org/officeDocument/2006/relationships/ctrlProp" Target="../ctrlProps/ctrlProp6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25.bin"/><Relationship Id="rId5" Type="http://schemas.openxmlformats.org/officeDocument/2006/relationships/ctrlProp" Target="../ctrlProps/ctrlProp62.xml"/><Relationship Id="rId4" Type="http://schemas.openxmlformats.org/officeDocument/2006/relationships/ctrlProp" Target="../ctrlProps/ctrlProp61.xml"/></Relationships>
</file>

<file path=xl/worksheets/_rels/sheet33.xml.rels><?xml version="1.0" encoding="UTF-8" standalone="yes"?>
<Relationships xmlns="http://schemas.openxmlformats.org/package/2006/relationships"><Relationship Id="rId3" Type="http://schemas.openxmlformats.org/officeDocument/2006/relationships/ctrlProp" Target="../ctrlProps/ctrlProp63.xml"/><Relationship Id="rId2" Type="http://schemas.openxmlformats.org/officeDocument/2006/relationships/vmlDrawing" Target="../drawings/vmlDrawing32.vml"/><Relationship Id="rId1" Type="http://schemas.openxmlformats.org/officeDocument/2006/relationships/drawing" Target="../drawings/drawing32.xml"/><Relationship Id="rId4" Type="http://schemas.openxmlformats.org/officeDocument/2006/relationships/ctrlProp" Target="../ctrlProps/ctrlProp64.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26.bin"/><Relationship Id="rId5" Type="http://schemas.openxmlformats.org/officeDocument/2006/relationships/ctrlProp" Target="../ctrlProps/ctrlProp66.xml"/><Relationship Id="rId4" Type="http://schemas.openxmlformats.org/officeDocument/2006/relationships/ctrlProp" Target="../ctrlProps/ctrlProp65.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27.bin"/><Relationship Id="rId5" Type="http://schemas.openxmlformats.org/officeDocument/2006/relationships/ctrlProp" Target="../ctrlProps/ctrlProp68.xml"/><Relationship Id="rId4" Type="http://schemas.openxmlformats.org/officeDocument/2006/relationships/ctrlProp" Target="../ctrlProps/ctrlProp67.xml"/></Relationships>
</file>

<file path=xl/worksheets/_rels/sheet37.xml.rels><?xml version="1.0" encoding="UTF-8" standalone="yes"?>
<Relationships xmlns="http://schemas.openxmlformats.org/package/2006/relationships"><Relationship Id="rId3" Type="http://schemas.openxmlformats.org/officeDocument/2006/relationships/ctrlProp" Target="../ctrlProps/ctrlProp69.xml"/><Relationship Id="rId2" Type="http://schemas.openxmlformats.org/officeDocument/2006/relationships/vmlDrawing" Target="../drawings/vmlDrawing35.vml"/><Relationship Id="rId1" Type="http://schemas.openxmlformats.org/officeDocument/2006/relationships/drawing" Target="../drawings/drawing35.xml"/><Relationship Id="rId4" Type="http://schemas.openxmlformats.org/officeDocument/2006/relationships/ctrlProp" Target="../ctrlProps/ctrlProp70.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6.xml"/><Relationship Id="rId1" Type="http://schemas.openxmlformats.org/officeDocument/2006/relationships/printerSettings" Target="../printerSettings/printerSettings28.bin"/><Relationship Id="rId5" Type="http://schemas.openxmlformats.org/officeDocument/2006/relationships/ctrlProp" Target="../ctrlProps/ctrlProp72.xml"/><Relationship Id="rId4" Type="http://schemas.openxmlformats.org/officeDocument/2006/relationships/ctrlProp" Target="../ctrlProps/ctrlProp71.xml"/></Relationships>
</file>

<file path=xl/worksheets/_rels/sheet39.xml.rels><?xml version="1.0" encoding="UTF-8" standalone="yes"?>
<Relationships xmlns="http://schemas.openxmlformats.org/package/2006/relationships"><Relationship Id="rId3" Type="http://schemas.openxmlformats.org/officeDocument/2006/relationships/ctrlProp" Target="../ctrlProps/ctrlProp73.xml"/><Relationship Id="rId2" Type="http://schemas.openxmlformats.org/officeDocument/2006/relationships/vmlDrawing" Target="../drawings/vmlDrawing37.vml"/><Relationship Id="rId1" Type="http://schemas.openxmlformats.org/officeDocument/2006/relationships/drawing" Target="../drawings/drawing37.xml"/><Relationship Id="rId4" Type="http://schemas.openxmlformats.org/officeDocument/2006/relationships/ctrlProp" Target="../ctrlProps/ctrlProp74.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8.xml"/><Relationship Id="rId1" Type="http://schemas.openxmlformats.org/officeDocument/2006/relationships/printerSettings" Target="../printerSettings/printerSettings29.bin"/><Relationship Id="rId5" Type="http://schemas.openxmlformats.org/officeDocument/2006/relationships/ctrlProp" Target="../ctrlProps/ctrlProp76.xml"/><Relationship Id="rId4" Type="http://schemas.openxmlformats.org/officeDocument/2006/relationships/ctrlProp" Target="../ctrlProps/ctrlProp75.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9.xml"/><Relationship Id="rId1" Type="http://schemas.openxmlformats.org/officeDocument/2006/relationships/printerSettings" Target="../printerSettings/printerSettings30.bin"/><Relationship Id="rId5" Type="http://schemas.openxmlformats.org/officeDocument/2006/relationships/ctrlProp" Target="../ctrlProps/ctrlProp78.xml"/><Relationship Id="rId4" Type="http://schemas.openxmlformats.org/officeDocument/2006/relationships/ctrlProp" Target="../ctrlProps/ctrlProp77.x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40.xml"/><Relationship Id="rId1" Type="http://schemas.openxmlformats.org/officeDocument/2006/relationships/printerSettings" Target="../printerSettings/printerSettings31.bin"/><Relationship Id="rId5" Type="http://schemas.openxmlformats.org/officeDocument/2006/relationships/ctrlProp" Target="../ctrlProps/ctrlProp80.xml"/><Relationship Id="rId4" Type="http://schemas.openxmlformats.org/officeDocument/2006/relationships/ctrlProp" Target="../ctrlProps/ctrlProp79.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1.xml"/><Relationship Id="rId1" Type="http://schemas.openxmlformats.org/officeDocument/2006/relationships/printerSettings" Target="../printerSettings/printerSettings32.bin"/><Relationship Id="rId5" Type="http://schemas.openxmlformats.org/officeDocument/2006/relationships/ctrlProp" Target="../ctrlProps/ctrlProp82.xml"/><Relationship Id="rId4" Type="http://schemas.openxmlformats.org/officeDocument/2006/relationships/ctrlProp" Target="../ctrlProps/ctrlProp81.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42.vml"/><Relationship Id="rId2" Type="http://schemas.openxmlformats.org/officeDocument/2006/relationships/drawing" Target="../drawings/drawing42.xml"/><Relationship Id="rId1" Type="http://schemas.openxmlformats.org/officeDocument/2006/relationships/printerSettings" Target="../printerSettings/printerSettings33.bin"/><Relationship Id="rId5" Type="http://schemas.openxmlformats.org/officeDocument/2006/relationships/ctrlProp" Target="../ctrlProps/ctrlProp84.xml"/><Relationship Id="rId4" Type="http://schemas.openxmlformats.org/officeDocument/2006/relationships/ctrlProp" Target="../ctrlProps/ctrlProp83.xml"/></Relationships>
</file>

<file path=xl/worksheets/_rels/sheet45.xml.rels><?xml version="1.0" encoding="UTF-8" standalone="yes"?>
<Relationships xmlns="http://schemas.openxmlformats.org/package/2006/relationships"><Relationship Id="rId3" Type="http://schemas.openxmlformats.org/officeDocument/2006/relationships/ctrlProp" Target="../ctrlProps/ctrlProp85.xml"/><Relationship Id="rId2" Type="http://schemas.openxmlformats.org/officeDocument/2006/relationships/vmlDrawing" Target="../drawings/vmlDrawing43.vml"/><Relationship Id="rId1" Type="http://schemas.openxmlformats.org/officeDocument/2006/relationships/drawing" Target="../drawings/drawing43.xml"/><Relationship Id="rId4" Type="http://schemas.openxmlformats.org/officeDocument/2006/relationships/ctrlProp" Target="../ctrlProps/ctrlProp86.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44.xml"/><Relationship Id="rId1" Type="http://schemas.openxmlformats.org/officeDocument/2006/relationships/printerSettings" Target="../printerSettings/printerSettings34.bin"/><Relationship Id="rId5" Type="http://schemas.openxmlformats.org/officeDocument/2006/relationships/ctrlProp" Target="../ctrlProps/ctrlProp88.xml"/><Relationship Id="rId4" Type="http://schemas.openxmlformats.org/officeDocument/2006/relationships/ctrlProp" Target="../ctrlProps/ctrlProp87.xml"/></Relationships>
</file>

<file path=xl/worksheets/_rels/sheet47.xml.rels><?xml version="1.0" encoding="UTF-8" standalone="yes"?>
<Relationships xmlns="http://schemas.openxmlformats.org/package/2006/relationships"><Relationship Id="rId3" Type="http://schemas.openxmlformats.org/officeDocument/2006/relationships/ctrlProp" Target="../ctrlProps/ctrlProp89.xml"/><Relationship Id="rId2" Type="http://schemas.openxmlformats.org/officeDocument/2006/relationships/vmlDrawing" Target="../drawings/vmlDrawing45.vml"/><Relationship Id="rId1" Type="http://schemas.openxmlformats.org/officeDocument/2006/relationships/drawing" Target="../drawings/drawing45.xml"/><Relationship Id="rId4" Type="http://schemas.openxmlformats.org/officeDocument/2006/relationships/ctrlProp" Target="../ctrlProps/ctrlProp90.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drawing" Target="../drawings/drawing46.xml"/><Relationship Id="rId1" Type="http://schemas.openxmlformats.org/officeDocument/2006/relationships/printerSettings" Target="../printerSettings/printerSettings35.bin"/><Relationship Id="rId5" Type="http://schemas.openxmlformats.org/officeDocument/2006/relationships/ctrlProp" Target="../ctrlProps/ctrlProp92.xml"/><Relationship Id="rId4" Type="http://schemas.openxmlformats.org/officeDocument/2006/relationships/ctrlProp" Target="../ctrlProps/ctrlProp91.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drawing" Target="../drawings/drawing47.xml"/><Relationship Id="rId1" Type="http://schemas.openxmlformats.org/officeDocument/2006/relationships/printerSettings" Target="../printerSettings/printerSettings36.bin"/><Relationship Id="rId5" Type="http://schemas.openxmlformats.org/officeDocument/2006/relationships/ctrlProp" Target="../ctrlProps/ctrlProp94.xml"/><Relationship Id="rId4" Type="http://schemas.openxmlformats.org/officeDocument/2006/relationships/ctrlProp" Target="../ctrlProps/ctrlProp93.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drawing" Target="../drawings/drawing48.xml"/><Relationship Id="rId1" Type="http://schemas.openxmlformats.org/officeDocument/2006/relationships/printerSettings" Target="../printerSettings/printerSettings37.bin"/><Relationship Id="rId5" Type="http://schemas.openxmlformats.org/officeDocument/2006/relationships/ctrlProp" Target="../ctrlProps/ctrlProp96.xml"/><Relationship Id="rId4" Type="http://schemas.openxmlformats.org/officeDocument/2006/relationships/ctrlProp" Target="../ctrlProps/ctrlProp95.xml"/></Relationships>
</file>

<file path=xl/worksheets/_rels/sheet51.xml.rels><?xml version="1.0" encoding="UTF-8" standalone="yes"?>
<Relationships xmlns="http://schemas.openxmlformats.org/package/2006/relationships"><Relationship Id="rId3" Type="http://schemas.openxmlformats.org/officeDocument/2006/relationships/ctrlProp" Target="../ctrlProps/ctrlProp97.xml"/><Relationship Id="rId2" Type="http://schemas.openxmlformats.org/officeDocument/2006/relationships/vmlDrawing" Target="../drawings/vmlDrawing49.vml"/><Relationship Id="rId1" Type="http://schemas.openxmlformats.org/officeDocument/2006/relationships/drawing" Target="../drawings/drawing49.xml"/><Relationship Id="rId4" Type="http://schemas.openxmlformats.org/officeDocument/2006/relationships/ctrlProp" Target="../ctrlProps/ctrlProp98.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50.vml"/><Relationship Id="rId2" Type="http://schemas.openxmlformats.org/officeDocument/2006/relationships/drawing" Target="../drawings/drawing50.xml"/><Relationship Id="rId1" Type="http://schemas.openxmlformats.org/officeDocument/2006/relationships/printerSettings" Target="../printerSettings/printerSettings38.bin"/><Relationship Id="rId5" Type="http://schemas.openxmlformats.org/officeDocument/2006/relationships/ctrlProp" Target="../ctrlProps/ctrlProp100.xml"/><Relationship Id="rId4" Type="http://schemas.openxmlformats.org/officeDocument/2006/relationships/ctrlProp" Target="../ctrlProps/ctrlProp99.xml"/></Relationships>
</file>

<file path=xl/worksheets/_rels/sheet53.xml.rels><?xml version="1.0" encoding="UTF-8" standalone="yes"?>
<Relationships xmlns="http://schemas.openxmlformats.org/package/2006/relationships"><Relationship Id="rId3" Type="http://schemas.openxmlformats.org/officeDocument/2006/relationships/ctrlProp" Target="../ctrlProps/ctrlProp101.xml"/><Relationship Id="rId2" Type="http://schemas.openxmlformats.org/officeDocument/2006/relationships/vmlDrawing" Target="../drawings/vmlDrawing51.vml"/><Relationship Id="rId1" Type="http://schemas.openxmlformats.org/officeDocument/2006/relationships/drawing" Target="../drawings/drawing51.xml"/><Relationship Id="rId4" Type="http://schemas.openxmlformats.org/officeDocument/2006/relationships/ctrlProp" Target="../ctrlProps/ctrlProp102.xml"/></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52.vml"/><Relationship Id="rId2" Type="http://schemas.openxmlformats.org/officeDocument/2006/relationships/drawing" Target="../drawings/drawing52.xml"/><Relationship Id="rId1" Type="http://schemas.openxmlformats.org/officeDocument/2006/relationships/printerSettings" Target="../printerSettings/printerSettings39.bin"/><Relationship Id="rId5" Type="http://schemas.openxmlformats.org/officeDocument/2006/relationships/ctrlProp" Target="../ctrlProps/ctrlProp104.xml"/><Relationship Id="rId4" Type="http://schemas.openxmlformats.org/officeDocument/2006/relationships/ctrlProp" Target="../ctrlProps/ctrlProp103.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53.vml"/><Relationship Id="rId2" Type="http://schemas.openxmlformats.org/officeDocument/2006/relationships/drawing" Target="../drawings/drawing53.xml"/><Relationship Id="rId1" Type="http://schemas.openxmlformats.org/officeDocument/2006/relationships/printerSettings" Target="../printerSettings/printerSettings40.bin"/><Relationship Id="rId5" Type="http://schemas.openxmlformats.org/officeDocument/2006/relationships/ctrlProp" Target="../ctrlProps/ctrlProp106.xml"/><Relationship Id="rId4" Type="http://schemas.openxmlformats.org/officeDocument/2006/relationships/ctrlProp" Target="../ctrlProps/ctrlProp105.xml"/></Relationships>
</file>

<file path=xl/worksheets/_rels/sheet56.xml.rels><?xml version="1.0" encoding="UTF-8" standalone="yes"?>
<Relationships xmlns="http://schemas.openxmlformats.org/package/2006/relationships"><Relationship Id="rId3" Type="http://schemas.openxmlformats.org/officeDocument/2006/relationships/ctrlProp" Target="../ctrlProps/ctrlProp107.xml"/><Relationship Id="rId2" Type="http://schemas.openxmlformats.org/officeDocument/2006/relationships/vmlDrawing" Target="../drawings/vmlDrawing54.vml"/><Relationship Id="rId1" Type="http://schemas.openxmlformats.org/officeDocument/2006/relationships/drawing" Target="../drawings/drawing54.xml"/><Relationship Id="rId4" Type="http://schemas.openxmlformats.org/officeDocument/2006/relationships/ctrlProp" Target="../ctrlProps/ctrlProp108.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55.vml"/><Relationship Id="rId2" Type="http://schemas.openxmlformats.org/officeDocument/2006/relationships/drawing" Target="../drawings/drawing55.xml"/><Relationship Id="rId1" Type="http://schemas.openxmlformats.org/officeDocument/2006/relationships/printerSettings" Target="../printerSettings/printerSettings41.bin"/><Relationship Id="rId5" Type="http://schemas.openxmlformats.org/officeDocument/2006/relationships/ctrlProp" Target="../ctrlProps/ctrlProp110.xml"/><Relationship Id="rId4" Type="http://schemas.openxmlformats.org/officeDocument/2006/relationships/ctrlProp" Target="../ctrlProps/ctrlProp109.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56.vml"/><Relationship Id="rId2" Type="http://schemas.openxmlformats.org/officeDocument/2006/relationships/drawing" Target="../drawings/drawing56.xml"/><Relationship Id="rId1" Type="http://schemas.openxmlformats.org/officeDocument/2006/relationships/printerSettings" Target="../printerSettings/printerSettings42.bin"/><Relationship Id="rId6" Type="http://schemas.openxmlformats.org/officeDocument/2006/relationships/comments" Target="../comments2.xml"/><Relationship Id="rId5" Type="http://schemas.openxmlformats.org/officeDocument/2006/relationships/ctrlProp" Target="../ctrlProps/ctrlProp112.xml"/><Relationship Id="rId4" Type="http://schemas.openxmlformats.org/officeDocument/2006/relationships/ctrlProp" Target="../ctrlProps/ctrlProp111.xml"/></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57.vml"/><Relationship Id="rId2" Type="http://schemas.openxmlformats.org/officeDocument/2006/relationships/drawing" Target="../drawings/drawing57.xml"/><Relationship Id="rId1" Type="http://schemas.openxmlformats.org/officeDocument/2006/relationships/printerSettings" Target="../printerSettings/printerSettings44.bin"/><Relationship Id="rId5" Type="http://schemas.openxmlformats.org/officeDocument/2006/relationships/ctrlProp" Target="../ctrlProps/ctrlProp114.xml"/><Relationship Id="rId4" Type="http://schemas.openxmlformats.org/officeDocument/2006/relationships/ctrlProp" Target="../ctrlProps/ctrlProp113.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32"/>
  <sheetViews>
    <sheetView topLeftCell="A13" workbookViewId="0">
      <selection activeCell="F34" sqref="F34"/>
    </sheetView>
  </sheetViews>
  <sheetFormatPr defaultRowHeight="12.5"/>
  <sheetData>
    <row r="1" spans="1:1" ht="13">
      <c r="A1" s="33" t="s">
        <v>210</v>
      </c>
    </row>
    <row r="3" spans="1:1">
      <c r="A3" t="s">
        <v>212</v>
      </c>
    </row>
    <row r="4" spans="1:1">
      <c r="A4" t="s">
        <v>211</v>
      </c>
    </row>
    <row r="5" spans="1:1">
      <c r="A5" t="s">
        <v>213</v>
      </c>
    </row>
    <row r="6" spans="1:1">
      <c r="A6" t="s">
        <v>214</v>
      </c>
    </row>
    <row r="7" spans="1:1">
      <c r="A7" t="s">
        <v>187</v>
      </c>
    </row>
    <row r="8" spans="1:1">
      <c r="A8" t="s">
        <v>215</v>
      </c>
    </row>
    <row r="9" spans="1:1">
      <c r="A9" t="s">
        <v>133</v>
      </c>
    </row>
    <row r="10" spans="1:1">
      <c r="A10" t="s">
        <v>216</v>
      </c>
    </row>
    <row r="11" spans="1:1">
      <c r="A11" t="s">
        <v>217</v>
      </c>
    </row>
    <row r="13" spans="1:1">
      <c r="A13" t="s">
        <v>263</v>
      </c>
    </row>
    <row r="14" spans="1:1">
      <c r="A14" t="s">
        <v>220</v>
      </c>
    </row>
    <row r="15" spans="1:1">
      <c r="A15" t="s">
        <v>218</v>
      </c>
    </row>
    <row r="16" spans="1:1">
      <c r="A16" t="s">
        <v>219</v>
      </c>
    </row>
    <row r="18" spans="1:1" ht="13">
      <c r="A18" s="36" t="s">
        <v>235</v>
      </c>
    </row>
    <row r="19" spans="1:1" ht="13">
      <c r="A19" s="79" t="s">
        <v>332</v>
      </c>
    </row>
    <row r="20" spans="1:1" s="78" customFormat="1" ht="13">
      <c r="A20" s="79" t="s">
        <v>333</v>
      </c>
    </row>
    <row r="21" spans="1:1">
      <c r="A21" s="63" t="s">
        <v>409</v>
      </c>
    </row>
    <row r="22" spans="1:1">
      <c r="A22" t="s">
        <v>324</v>
      </c>
    </row>
    <row r="24" spans="1:1">
      <c r="A24" s="77" t="s">
        <v>330</v>
      </c>
    </row>
    <row r="25" spans="1:1">
      <c r="A25" s="2" t="s">
        <v>325</v>
      </c>
    </row>
    <row r="26" spans="1:1">
      <c r="A26" s="2" t="s">
        <v>326</v>
      </c>
    </row>
    <row r="27" spans="1:1">
      <c r="A27" s="2" t="s">
        <v>327</v>
      </c>
    </row>
    <row r="28" spans="1:1">
      <c r="A28" s="2" t="s">
        <v>328</v>
      </c>
    </row>
    <row r="29" spans="1:1">
      <c r="A29" s="2" t="s">
        <v>331</v>
      </c>
    </row>
    <row r="30" spans="1:1">
      <c r="A30" s="2"/>
    </row>
    <row r="31" spans="1:1">
      <c r="A31" s="77" t="s">
        <v>410</v>
      </c>
    </row>
    <row r="32" spans="1:1">
      <c r="A32" s="2" t="s">
        <v>329</v>
      </c>
    </row>
  </sheetData>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S45"/>
  <sheetViews>
    <sheetView topLeftCell="A2" zoomScale="50" zoomScaleNormal="50" workbookViewId="0">
      <selection activeCell="H17" sqref="H17"/>
    </sheetView>
  </sheetViews>
  <sheetFormatPr defaultRowHeight="12.5"/>
  <cols>
    <col min="1" max="1" width="11.453125" customWidth="1"/>
    <col min="3" max="3" width="36.1796875" customWidth="1"/>
    <col min="4" max="4" width="15.26953125" customWidth="1"/>
    <col min="5" max="5" width="13.81640625" customWidth="1"/>
    <col min="6" max="6" width="7.26953125" customWidth="1"/>
    <col min="7" max="7" width="11.453125" customWidth="1"/>
    <col min="8" max="8" width="22.7265625" customWidth="1"/>
    <col min="9" max="9" width="17.7265625" style="89" customWidth="1"/>
    <col min="10" max="10" width="17" style="89" customWidth="1"/>
    <col min="11" max="11" width="15.54296875" style="89" customWidth="1"/>
    <col min="12" max="12" width="16.54296875" style="89" customWidth="1"/>
    <col min="13" max="13" width="16.7265625" style="89" customWidth="1"/>
    <col min="14" max="14" width="16.54296875" customWidth="1"/>
    <col min="15" max="15" width="15.1796875" customWidth="1"/>
    <col min="16" max="16" width="5" customWidth="1"/>
    <col min="17" max="17" width="4.7265625" customWidth="1"/>
    <col min="18" max="18" width="8" customWidth="1"/>
  </cols>
  <sheetData>
    <row r="1" spans="1:19">
      <c r="A1" s="82"/>
      <c r="B1" s="83"/>
      <c r="C1" s="83"/>
      <c r="D1" s="83"/>
      <c r="E1" s="83"/>
      <c r="F1" s="83"/>
      <c r="G1" s="83"/>
      <c r="H1" s="83"/>
      <c r="I1" s="83"/>
      <c r="J1" s="83"/>
      <c r="K1" s="83"/>
      <c r="L1" s="83"/>
      <c r="M1" s="83"/>
      <c r="N1" s="83"/>
      <c r="O1" s="83"/>
      <c r="P1" s="83"/>
      <c r="Q1" s="83"/>
      <c r="R1" s="10"/>
    </row>
    <row r="2" spans="1:19">
      <c r="A2" s="84"/>
      <c r="B2" s="102"/>
      <c r="C2" s="102"/>
      <c r="D2" s="84"/>
      <c r="E2" s="84"/>
      <c r="F2" s="84"/>
      <c r="G2" s="84"/>
      <c r="H2" s="84"/>
      <c r="I2" s="84"/>
      <c r="J2" s="84"/>
      <c r="K2" s="84"/>
      <c r="L2" s="84"/>
      <c r="M2" s="84"/>
      <c r="N2" s="84"/>
      <c r="O2" s="84"/>
      <c r="P2" s="84"/>
      <c r="Q2" s="84"/>
      <c r="R2" s="34"/>
    </row>
    <row r="3" spans="1:19" ht="18.75" customHeight="1">
      <c r="A3" s="434" t="s">
        <v>366</v>
      </c>
      <c r="B3" s="435"/>
      <c r="C3" s="435"/>
      <c r="D3" s="144" t="s">
        <v>368</v>
      </c>
      <c r="E3" s="143"/>
      <c r="F3" s="143"/>
      <c r="G3" s="143"/>
      <c r="H3" s="145" t="s">
        <v>369</v>
      </c>
      <c r="I3" s="143"/>
      <c r="J3" s="143"/>
      <c r="K3" s="143"/>
      <c r="L3" s="143"/>
      <c r="M3" s="143"/>
      <c r="N3" s="143"/>
      <c r="O3" s="447" t="s">
        <v>367</v>
      </c>
      <c r="P3" s="448"/>
      <c r="Q3" s="448"/>
      <c r="R3" s="448"/>
    </row>
    <row r="4" spans="1:19" ht="24" customHeight="1">
      <c r="A4" s="429" t="s">
        <v>363</v>
      </c>
      <c r="B4" s="430"/>
      <c r="C4" s="430"/>
      <c r="D4" s="136"/>
      <c r="E4" s="136"/>
      <c r="F4" s="425" t="s">
        <v>25</v>
      </c>
      <c r="G4" s="426"/>
      <c r="H4" s="426"/>
      <c r="I4" s="426"/>
      <c r="J4" s="136"/>
      <c r="K4" s="136"/>
      <c r="L4" s="136"/>
      <c r="M4" s="136"/>
      <c r="N4" s="262" t="s">
        <v>420</v>
      </c>
      <c r="O4" s="139" t="s">
        <v>364</v>
      </c>
      <c r="P4" s="138"/>
      <c r="Q4" s="139" t="s">
        <v>365</v>
      </c>
      <c r="R4" s="140"/>
    </row>
    <row r="5" spans="1:19" ht="23.25" customHeight="1">
      <c r="A5" s="141"/>
      <c r="B5" s="85"/>
      <c r="C5" s="85"/>
      <c r="D5" s="85"/>
      <c r="E5" s="85"/>
      <c r="F5" s="427" t="s">
        <v>26</v>
      </c>
      <c r="G5" s="428"/>
      <c r="H5" s="428"/>
      <c r="I5" s="428"/>
      <c r="J5" s="85"/>
      <c r="K5" s="85"/>
      <c r="L5" s="85"/>
      <c r="M5" s="85"/>
      <c r="N5" s="85"/>
      <c r="O5" s="17"/>
      <c r="P5" s="17"/>
      <c r="Q5" s="17"/>
      <c r="R5" s="142"/>
    </row>
    <row r="6" spans="1:19" ht="36" customHeight="1">
      <c r="A6" s="444" t="s">
        <v>392</v>
      </c>
      <c r="B6" s="445"/>
      <c r="C6" s="445"/>
      <c r="D6" s="445"/>
      <c r="E6" s="445"/>
      <c r="F6" s="445"/>
      <c r="G6" s="445"/>
      <c r="H6" s="445"/>
      <c r="I6" s="445"/>
      <c r="J6" s="445"/>
      <c r="K6" s="445"/>
      <c r="L6" s="445"/>
      <c r="M6" s="445"/>
      <c r="N6" s="445"/>
      <c r="O6" s="445"/>
      <c r="P6" s="445"/>
      <c r="Q6" s="445"/>
      <c r="R6" s="446"/>
    </row>
    <row r="7" spans="1:19" ht="19.5" customHeight="1">
      <c r="A7" s="118" t="s">
        <v>338</v>
      </c>
      <c r="B7" s="119"/>
      <c r="C7" s="120"/>
      <c r="D7" s="121" t="s">
        <v>337</v>
      </c>
      <c r="E7" s="122"/>
      <c r="F7" s="122"/>
      <c r="G7" s="118" t="s">
        <v>336</v>
      </c>
      <c r="H7" s="118" t="s">
        <v>357</v>
      </c>
      <c r="I7" s="119"/>
      <c r="J7" s="119"/>
      <c r="K7" s="119"/>
      <c r="L7" s="119"/>
      <c r="M7" s="119"/>
      <c r="N7" s="436" t="s">
        <v>359</v>
      </c>
      <c r="O7" s="420"/>
      <c r="P7" s="420"/>
      <c r="Q7" s="420"/>
      <c r="R7" s="421"/>
    </row>
    <row r="8" spans="1:19" s="26" customFormat="1" ht="27.75" customHeight="1">
      <c r="A8" s="441"/>
      <c r="B8" s="442"/>
      <c r="C8" s="443"/>
      <c r="D8" s="441"/>
      <c r="E8" s="439"/>
      <c r="F8" s="440"/>
      <c r="G8" s="90" t="s">
        <v>228</v>
      </c>
      <c r="H8" s="128" t="s">
        <v>358</v>
      </c>
      <c r="I8" s="438"/>
      <c r="J8" s="438"/>
      <c r="K8" s="87"/>
      <c r="L8" s="87"/>
      <c r="M8" s="87"/>
      <c r="N8" s="437" t="s">
        <v>360</v>
      </c>
      <c r="O8" s="428"/>
      <c r="P8" s="438"/>
      <c r="Q8" s="439"/>
      <c r="R8" s="440"/>
      <c r="S8"/>
    </row>
    <row r="9" spans="1:19" s="26" customFormat="1" ht="27.75" customHeight="1">
      <c r="A9" s="124"/>
      <c r="B9" s="124"/>
      <c r="C9" s="399"/>
      <c r="D9" s="400"/>
      <c r="E9" s="124"/>
      <c r="F9" s="88"/>
      <c r="G9" s="124"/>
      <c r="H9" s="419" t="s">
        <v>340</v>
      </c>
      <c r="I9" s="420"/>
      <c r="J9" s="420"/>
      <c r="K9" s="420"/>
      <c r="L9" s="420"/>
      <c r="M9" s="420"/>
      <c r="N9" s="420"/>
      <c r="O9" s="420"/>
      <c r="P9" s="420"/>
      <c r="Q9" s="420"/>
      <c r="R9" s="421"/>
      <c r="S9" s="93"/>
    </row>
    <row r="10" spans="1:19" s="26" customFormat="1" ht="24.75" customHeight="1">
      <c r="A10" s="133" t="s">
        <v>343</v>
      </c>
      <c r="B10" s="133" t="s">
        <v>27</v>
      </c>
      <c r="C10" s="422" t="s">
        <v>344</v>
      </c>
      <c r="D10" s="412"/>
      <c r="E10" s="134" t="s">
        <v>349</v>
      </c>
      <c r="F10" s="135" t="s">
        <v>350</v>
      </c>
      <c r="G10" s="125" t="s">
        <v>353</v>
      </c>
      <c r="H10" s="431" t="s">
        <v>341</v>
      </c>
      <c r="I10" s="432"/>
      <c r="J10" s="432"/>
      <c r="K10" s="432"/>
      <c r="L10" s="432"/>
      <c r="M10" s="432"/>
      <c r="N10" s="432"/>
      <c r="O10" s="432"/>
      <c r="P10" s="432"/>
      <c r="Q10" s="432"/>
      <c r="R10" s="433"/>
      <c r="S10" s="93"/>
    </row>
    <row r="11" spans="1:19" s="26" customFormat="1" ht="28.5" customHeight="1">
      <c r="A11" s="116" t="s">
        <v>28</v>
      </c>
      <c r="B11" s="117"/>
      <c r="C11" s="423" t="s">
        <v>345</v>
      </c>
      <c r="D11" s="424"/>
      <c r="E11" s="125" t="s">
        <v>347</v>
      </c>
      <c r="F11" s="123" t="s">
        <v>351</v>
      </c>
      <c r="G11" s="125" t="s">
        <v>354</v>
      </c>
      <c r="H11" s="416" t="s">
        <v>342</v>
      </c>
      <c r="I11" s="417"/>
      <c r="J11" s="417"/>
      <c r="K11" s="417"/>
      <c r="L11" s="417"/>
      <c r="M11" s="417"/>
      <c r="N11" s="417"/>
      <c r="O11" s="417"/>
      <c r="P11" s="417"/>
      <c r="Q11" s="417"/>
      <c r="R11" s="418"/>
      <c r="S11" s="93"/>
    </row>
    <row r="12" spans="1:19" s="26" customFormat="1" ht="15" customHeight="1">
      <c r="A12" s="146"/>
      <c r="B12" s="104"/>
      <c r="C12" s="411" t="s">
        <v>346</v>
      </c>
      <c r="D12" s="412"/>
      <c r="E12" s="126" t="s">
        <v>348</v>
      </c>
      <c r="F12" s="126" t="s">
        <v>352</v>
      </c>
      <c r="G12" s="132" t="s">
        <v>355</v>
      </c>
      <c r="H12" s="404"/>
      <c r="I12" s="405"/>
      <c r="J12" s="405"/>
      <c r="K12" s="405"/>
      <c r="L12" s="405"/>
      <c r="M12" s="405"/>
      <c r="N12" s="405"/>
      <c r="O12" s="405"/>
      <c r="P12" s="405"/>
      <c r="Q12" s="405"/>
      <c r="R12" s="406"/>
      <c r="S12" s="89"/>
    </row>
    <row r="13" spans="1:19" ht="12.75" customHeight="1">
      <c r="A13" s="91"/>
      <c r="B13" s="91"/>
      <c r="D13" s="112"/>
      <c r="E13" s="91"/>
      <c r="G13" s="153" t="s">
        <v>356</v>
      </c>
      <c r="H13" s="114">
        <v>14</v>
      </c>
      <c r="I13" s="115">
        <v>15</v>
      </c>
      <c r="J13" s="115">
        <v>16</v>
      </c>
      <c r="K13" s="115">
        <v>17</v>
      </c>
      <c r="L13" s="115">
        <v>18</v>
      </c>
      <c r="M13" s="115">
        <v>19</v>
      </c>
      <c r="N13" s="115">
        <v>20</v>
      </c>
      <c r="O13" s="115">
        <v>21</v>
      </c>
      <c r="P13" s="115">
        <v>22</v>
      </c>
      <c r="Q13" s="115">
        <v>23</v>
      </c>
      <c r="R13" s="103" t="s">
        <v>9</v>
      </c>
    </row>
    <row r="14" spans="1:19" ht="18.75" customHeight="1">
      <c r="A14" s="104"/>
      <c r="B14" s="104"/>
      <c r="C14" s="105"/>
      <c r="D14" s="106"/>
      <c r="E14" s="104"/>
      <c r="F14" s="104"/>
      <c r="G14" s="104"/>
      <c r="H14" s="152" t="s">
        <v>339</v>
      </c>
      <c r="I14" s="152" t="s">
        <v>339</v>
      </c>
      <c r="J14" s="152" t="s">
        <v>339</v>
      </c>
      <c r="K14" s="152" t="s">
        <v>339</v>
      </c>
      <c r="L14" s="152" t="s">
        <v>339</v>
      </c>
      <c r="M14" s="152" t="s">
        <v>339</v>
      </c>
      <c r="N14" s="152" t="s">
        <v>339</v>
      </c>
      <c r="O14" s="152" t="s">
        <v>339</v>
      </c>
      <c r="P14" s="152" t="s">
        <v>339</v>
      </c>
      <c r="Q14" s="152" t="s">
        <v>339</v>
      </c>
      <c r="R14" s="104"/>
    </row>
    <row r="15" spans="1:19" ht="17.25" customHeight="1">
      <c r="A15" s="107"/>
      <c r="B15" s="107"/>
      <c r="C15" s="108"/>
      <c r="D15" s="109"/>
      <c r="E15" s="107"/>
      <c r="F15" s="107"/>
      <c r="G15" s="107"/>
      <c r="H15" s="260">
        <v>2014</v>
      </c>
      <c r="I15" s="260">
        <v>2015</v>
      </c>
      <c r="J15" s="260">
        <v>2016</v>
      </c>
      <c r="K15" s="260">
        <v>2019</v>
      </c>
      <c r="L15" s="260">
        <v>2020</v>
      </c>
      <c r="M15" s="260">
        <v>2022</v>
      </c>
      <c r="N15" s="260">
        <v>2024</v>
      </c>
      <c r="O15" s="261">
        <v>2026</v>
      </c>
      <c r="P15" s="127"/>
      <c r="Q15" s="127"/>
      <c r="R15" s="107"/>
    </row>
    <row r="16" spans="1:19" ht="18" customHeight="1">
      <c r="A16" s="147">
        <v>8</v>
      </c>
      <c r="B16" s="148">
        <v>9</v>
      </c>
      <c r="C16" s="149">
        <v>10</v>
      </c>
      <c r="D16" s="148"/>
      <c r="E16" s="147">
        <v>11</v>
      </c>
      <c r="F16" s="150">
        <v>12</v>
      </c>
      <c r="G16" s="151">
        <v>13</v>
      </c>
      <c r="H16" s="150">
        <v>24</v>
      </c>
      <c r="I16" s="150">
        <v>25</v>
      </c>
      <c r="J16" s="150">
        <v>26</v>
      </c>
      <c r="K16" s="150">
        <v>27</v>
      </c>
      <c r="L16" s="150">
        <v>28</v>
      </c>
      <c r="M16" s="150">
        <v>29</v>
      </c>
      <c r="N16" s="150">
        <v>30</v>
      </c>
      <c r="O16" s="150">
        <v>31</v>
      </c>
      <c r="P16" s="150">
        <v>32</v>
      </c>
      <c r="Q16" s="150">
        <v>33</v>
      </c>
      <c r="R16" s="147">
        <v>34</v>
      </c>
    </row>
    <row r="17" spans="1:18" ht="36" customHeight="1">
      <c r="A17" s="96"/>
      <c r="B17" s="12"/>
      <c r="C17" s="386" t="s">
        <v>335</v>
      </c>
      <c r="D17" s="387"/>
      <c r="E17" s="96"/>
      <c r="F17" s="96"/>
      <c r="G17" s="96" t="s">
        <v>24</v>
      </c>
      <c r="H17" s="259">
        <f>existCP1!H22+existCP2!H22+existCP3!H30+existCP3A!H22+existCP21!H22+'existCP23&amp;23ABuffer'!H22+existCP25P!H22+existCP28!H22+existCP29!H22+existCP42!H22+'CP1'!H32+'CP2'!H29+'CP3'!H40+CP3A!H39+CP4B!H34+CP4D!H34+CP5A!H25+CP8A!H18+'CP9'!H25+'CP42'!H29+CP15A!H24+CP15B!H25+CP16A!H25+CP17A!H23+'CP21'!H39+'CP22'!H42+'CP23&amp;23A'!H25+'CP23&amp;23ABuffer'!H30+'CP25 Prairie'!H29+'CP25 Savanna'!H31+'CP27'!H26+'CP28'!H30+'CP29'!H37+'CP30'!H45+'CP31'!H36+'CP33'!H33</f>
        <v>0</v>
      </c>
      <c r="I17" s="259">
        <f>existCP1!I22+existCP2!I22+existCP21!I22+'existCP23&amp;23ABuffer'!I22+existCP25P!I22+existCP28!I22+existCP29!I22+existCP42!I22+'CP1'!I32+'CP2'!I29+'CP3'!I40+CP3A!I39+'CP3A year 2'!I34+CP4B!I34+CP4D!I34+CP5A!I25+CP8A!I18+'CP42'!I29+CP15A!I24+CP15B!I25+CP16A!I25+CP17A!I23+'CP21'!I39+'CP22'!I42+'CP23&amp;23A'!I25+'CP23&amp;23ABuffer'!I30+'CP25 Prairie'!I29+'CP25 Savanna'!I31+'CP27'!I26+'CP28'!I30+'CP29'!I37+'CP30'!I45+'CP31'!I36</f>
        <v>0</v>
      </c>
      <c r="J17" s="259">
        <f>'CP3A year 3'!J34+'CP33'!I33</f>
        <v>0</v>
      </c>
      <c r="K17" s="259">
        <f>existCP1!J22+existCP2!J22+existCP21!J22+'existCP23&amp;23ABuffer'!J22+existCP25P!J22+existCP28!J22+existCP29!J22+existCP42!J22+'CP1'!J32+'CP2'!J29+'CP3'!J40+CP3A!J39+'CP3A year 2'!J34+CP4B!J34+CP4D!J34+CP5A!J25+CP8A!J18+'CP42'!J29+CP15A!J24+CP15B!J25+CP16A!J25+CP17A!J23+'CP21'!J39+'CP22'!J42+'CP23&amp;23A'!J25+'CP23&amp;23ABuffer'!J30+'CP25 Prairie'!J29+'CP25 Savanna'!J31+'CP27'!J26+'CP28'!J30+'CP29'!J37+'CP30'!J45+'CP31'!J36+'CP33'!J33</f>
        <v>0</v>
      </c>
      <c r="L17" s="259">
        <f>existCP1!K22+existCP2!K22+existCP21!K22+'existCP23&amp;23ABuffer'!K22+existCP25P!K22+existCP28!K22+existCP29!K22+existCP42!K22+'CP1'!K32+'CP2'!K29+'CP3'!K40+CP3A!K39+'CP3A year 2'!K34+CP4B!K34+CP4D!K34+CP5A!K25+CP8A!K18+'CP42'!K29+CP15A!K24+CP15B!K25+CP16A!K25+CP17A!K23+'CP21'!K39+'CP22'!K42+'CP23&amp;23A'!K25+'CP23&amp;23ABuffer'!K30+'CP25 Prairie'!K29+'CP25 Savanna'!K31+'CP27'!K26+'CP28'!K30+'CP29'!K37+'CP30'!K45+'CP31'!K36</f>
        <v>0</v>
      </c>
      <c r="M17" s="259">
        <f>'CP33'!K33</f>
        <v>0</v>
      </c>
      <c r="N17" s="259">
        <f>existCP1!L22+existCP2!L22+existCP21!L22+'existCP23&amp;23ABuffer'!L22+existCP25P!L22+existCP28!L22+existCP29!L22+existCP42!L22+'CP1'!L32+'CP2'!L29+'CP3'!L40+CP3A!L39+'CP3A year 2'!L34+CP4B!L34+CP4D!L34+CP5A!L25+CP8A!L18+'CP42'!L29+CP15A!L24+CP15B!L25+CP16A!L25+CP17A!L23+'CP21'!L39+'CP22'!L42+'CP23&amp;23A'!L25+'CP23&amp;23ABuffer'!L30+'CP25 Prairie'!L29+'CP25 Savanna'!L31+'CP27'!L26+'CP28'!L30+'CP29'!L37+'CP30'!L45+'CP31'!L36</f>
        <v>0</v>
      </c>
      <c r="O17" s="259">
        <f>existCP1!M22+existCP2!M22+existCP21!M22+'existCP23&amp;23ABuffer'!M22+existCP25P!M22+existCP28!M22+existCP29!M22+existCP42!M22+'CP1'!M32+'CP2'!M29+'CP3'!M40+CP3A!M39+'CP3A year 2'!M34+CP4B!M34+CP4D!M34+CP5A!M25+CP8A!M18+'CP42'!M29+CP15A!M24+CP15B!M25+CP16A!M25+CP17A!M23+'CP21'!M39+'CP22'!M42+'CP23&amp;23A'!M25+'CP23&amp;23ABuffer'!M30+'CP25 Prairie'!M29+'CP25 Savanna'!M31+'CP27'!M26+'CP28'!M30+'CP29'!M37+'CP30'!M45+'CP31'!M36</f>
        <v>0</v>
      </c>
      <c r="P17" s="113"/>
      <c r="Q17" s="113"/>
      <c r="R17" s="96"/>
    </row>
    <row r="18" spans="1:18" ht="40.5" customHeight="1">
      <c r="A18" s="96"/>
      <c r="B18" s="96"/>
      <c r="C18" s="198" t="s">
        <v>334</v>
      </c>
      <c r="D18" s="258">
        <f>H17+I17+J17+K17+L17+N17+O17+P17+Q17+M17</f>
        <v>0</v>
      </c>
      <c r="E18" s="96"/>
      <c r="F18" s="96"/>
      <c r="G18" s="96"/>
      <c r="H18" s="96"/>
      <c r="I18" s="96"/>
      <c r="J18" s="96"/>
      <c r="K18" s="96"/>
      <c r="L18" s="96"/>
      <c r="M18" s="96"/>
      <c r="N18" s="96"/>
      <c r="O18" s="96"/>
      <c r="P18" s="96"/>
      <c r="Q18" s="96"/>
      <c r="R18" s="96"/>
    </row>
    <row r="19" spans="1:18">
      <c r="A19" s="3"/>
      <c r="B19" s="4"/>
      <c r="C19" s="5"/>
      <c r="D19" s="5"/>
      <c r="E19" s="6"/>
      <c r="F19" s="7"/>
      <c r="G19" s="8"/>
      <c r="H19" s="9"/>
      <c r="I19" s="9"/>
      <c r="J19" s="9"/>
      <c r="K19" s="9"/>
      <c r="L19" s="9"/>
      <c r="M19" s="9"/>
      <c r="N19" s="9"/>
      <c r="O19" s="7"/>
      <c r="P19" s="7"/>
      <c r="Q19" s="7"/>
      <c r="R19" s="97"/>
    </row>
    <row r="20" spans="1:18" ht="18.75" customHeight="1">
      <c r="A20" s="219" t="s">
        <v>194</v>
      </c>
      <c r="B20" s="388" t="s">
        <v>371</v>
      </c>
      <c r="C20" s="389"/>
      <c r="D20" s="389"/>
      <c r="E20" s="389"/>
      <c r="F20" s="389"/>
      <c r="G20" s="389"/>
      <c r="H20" s="389"/>
      <c r="I20" s="389"/>
      <c r="J20" s="389"/>
      <c r="K20" s="389"/>
      <c r="L20" s="389"/>
      <c r="M20" s="389"/>
      <c r="N20" s="389"/>
      <c r="O20" s="389"/>
      <c r="P20" s="389"/>
      <c r="Q20" s="389"/>
      <c r="R20" s="390"/>
    </row>
    <row r="21" spans="1:18" ht="17.5">
      <c r="A21" s="220"/>
      <c r="B21" s="388" t="s">
        <v>205</v>
      </c>
      <c r="C21" s="389"/>
      <c r="D21" s="389"/>
      <c r="E21" s="389"/>
      <c r="F21" s="389"/>
      <c r="G21" s="389"/>
      <c r="H21" s="389"/>
      <c r="I21" s="389"/>
      <c r="J21" s="389"/>
      <c r="K21" s="389"/>
      <c r="L21" s="389"/>
      <c r="M21" s="389"/>
      <c r="N21" s="389"/>
      <c r="O21" s="389"/>
      <c r="P21" s="389"/>
      <c r="Q21" s="389"/>
      <c r="R21" s="390"/>
    </row>
    <row r="22" spans="1:18" ht="17.5">
      <c r="A22" s="220"/>
      <c r="B22" s="388" t="s">
        <v>372</v>
      </c>
      <c r="C22" s="389"/>
      <c r="D22" s="389"/>
      <c r="E22" s="389"/>
      <c r="F22" s="389"/>
      <c r="G22" s="389"/>
      <c r="H22" s="389"/>
      <c r="I22" s="389"/>
      <c r="J22" s="389"/>
      <c r="K22" s="389"/>
      <c r="L22" s="389"/>
      <c r="M22" s="389"/>
      <c r="N22" s="389"/>
      <c r="O22" s="389"/>
      <c r="P22" s="389"/>
      <c r="Q22" s="389"/>
      <c r="R22" s="390"/>
    </row>
    <row r="23" spans="1:18" ht="17.5">
      <c r="A23" s="220"/>
      <c r="B23" s="388" t="s">
        <v>373</v>
      </c>
      <c r="C23" s="389"/>
      <c r="D23" s="389"/>
      <c r="E23" s="389"/>
      <c r="F23" s="389"/>
      <c r="G23" s="389"/>
      <c r="H23" s="389"/>
      <c r="I23" s="389"/>
      <c r="J23" s="389"/>
      <c r="K23" s="389"/>
      <c r="L23" s="389"/>
      <c r="M23" s="389"/>
      <c r="N23" s="389"/>
      <c r="O23" s="389"/>
      <c r="P23" s="389"/>
      <c r="Q23" s="389"/>
      <c r="R23" s="390"/>
    </row>
    <row r="24" spans="1:18" ht="17.5">
      <c r="A24" s="220"/>
      <c r="B24" s="391" t="s">
        <v>224</v>
      </c>
      <c r="C24" s="389"/>
      <c r="D24" s="389"/>
      <c r="E24" s="389"/>
      <c r="F24" s="389"/>
      <c r="G24" s="389"/>
      <c r="H24" s="389"/>
      <c r="I24" s="389"/>
      <c r="J24" s="389"/>
      <c r="K24" s="389"/>
      <c r="L24" s="389"/>
      <c r="M24" s="389"/>
      <c r="N24" s="389"/>
      <c r="O24" s="389"/>
      <c r="P24" s="389"/>
      <c r="Q24" s="389"/>
      <c r="R24" s="390"/>
    </row>
    <row r="25" spans="1:18" ht="17.5">
      <c r="A25" s="220"/>
      <c r="B25" s="392" t="s">
        <v>206</v>
      </c>
      <c r="C25" s="389"/>
      <c r="D25" s="389"/>
      <c r="E25" s="389"/>
      <c r="F25" s="389"/>
      <c r="G25" s="389"/>
      <c r="H25" s="389"/>
      <c r="I25" s="389"/>
      <c r="J25" s="389"/>
      <c r="K25" s="389"/>
      <c r="L25" s="389"/>
      <c r="M25" s="389"/>
      <c r="N25" s="389"/>
      <c r="O25" s="389"/>
      <c r="P25" s="389"/>
      <c r="Q25" s="389"/>
      <c r="R25" s="390"/>
    </row>
    <row r="26" spans="1:18" ht="17.5">
      <c r="A26" s="220"/>
      <c r="B26" s="392" t="s">
        <v>207</v>
      </c>
      <c r="C26" s="389"/>
      <c r="D26" s="389"/>
      <c r="E26" s="389"/>
      <c r="F26" s="389"/>
      <c r="G26" s="389"/>
      <c r="H26" s="389"/>
      <c r="I26" s="389"/>
      <c r="J26" s="389"/>
      <c r="K26" s="389"/>
      <c r="L26" s="389"/>
      <c r="M26" s="389"/>
      <c r="N26" s="389"/>
      <c r="O26" s="389"/>
      <c r="P26" s="389"/>
      <c r="Q26" s="389"/>
      <c r="R26" s="390"/>
    </row>
    <row r="27" spans="1:18" ht="17.5">
      <c r="A27" s="220"/>
      <c r="B27" s="392" t="s">
        <v>252</v>
      </c>
      <c r="C27" s="389"/>
      <c r="D27" s="389"/>
      <c r="E27" s="389"/>
      <c r="F27" s="389"/>
      <c r="G27" s="389"/>
      <c r="H27" s="389"/>
      <c r="I27" s="389"/>
      <c r="J27" s="389"/>
      <c r="K27" s="389"/>
      <c r="L27" s="389"/>
      <c r="M27" s="389"/>
      <c r="N27" s="389"/>
      <c r="O27" s="389"/>
      <c r="P27" s="389"/>
      <c r="Q27" s="389"/>
      <c r="R27" s="390"/>
    </row>
    <row r="28" spans="1:18" s="93" customFormat="1" ht="17.5">
      <c r="A28" s="220"/>
      <c r="B28" s="392" t="s">
        <v>374</v>
      </c>
      <c r="C28" s="389"/>
      <c r="D28" s="389"/>
      <c r="E28" s="389"/>
      <c r="F28" s="389"/>
      <c r="G28" s="389"/>
      <c r="H28" s="389"/>
      <c r="I28" s="389"/>
      <c r="J28" s="389"/>
      <c r="K28" s="389"/>
      <c r="L28" s="389"/>
      <c r="M28" s="389"/>
      <c r="N28" s="389"/>
      <c r="O28" s="389"/>
      <c r="P28" s="389"/>
      <c r="Q28" s="389"/>
      <c r="R28" s="390"/>
    </row>
    <row r="29" spans="1:18" ht="17.5">
      <c r="A29" s="220"/>
      <c r="B29" s="388" t="s">
        <v>375</v>
      </c>
      <c r="C29" s="389"/>
      <c r="D29" s="389"/>
      <c r="E29" s="389"/>
      <c r="F29" s="389"/>
      <c r="G29" s="389"/>
      <c r="H29" s="389"/>
      <c r="I29" s="389"/>
      <c r="J29" s="389"/>
      <c r="K29" s="389"/>
      <c r="L29" s="389"/>
      <c r="M29" s="389"/>
      <c r="N29" s="389"/>
      <c r="O29" s="389"/>
      <c r="P29" s="389"/>
      <c r="Q29" s="389"/>
      <c r="R29" s="390"/>
    </row>
    <row r="30" spans="1:18" ht="15.75" customHeight="1">
      <c r="A30" s="220"/>
      <c r="B30" s="392" t="s">
        <v>421</v>
      </c>
      <c r="C30" s="389"/>
      <c r="D30" s="389"/>
      <c r="E30" s="389"/>
      <c r="F30" s="389"/>
      <c r="G30" s="389"/>
      <c r="H30" s="389"/>
      <c r="I30" s="389"/>
      <c r="J30" s="389"/>
      <c r="K30" s="389"/>
      <c r="L30" s="389"/>
      <c r="M30" s="389"/>
      <c r="N30" s="389"/>
      <c r="O30" s="389"/>
      <c r="P30" s="389"/>
      <c r="Q30" s="389"/>
      <c r="R30" s="390"/>
    </row>
    <row r="31" spans="1:18" ht="17.25" customHeight="1">
      <c r="A31" s="220"/>
      <c r="B31" s="391" t="s">
        <v>208</v>
      </c>
      <c r="C31" s="389"/>
      <c r="D31" s="389"/>
      <c r="E31" s="389"/>
      <c r="F31" s="389"/>
      <c r="G31" s="389"/>
      <c r="H31" s="389"/>
      <c r="I31" s="389"/>
      <c r="J31" s="389"/>
      <c r="K31" s="389"/>
      <c r="L31" s="389"/>
      <c r="M31" s="389"/>
      <c r="N31" s="389"/>
      <c r="O31" s="389"/>
      <c r="P31" s="389"/>
      <c r="Q31" s="389"/>
      <c r="R31" s="390"/>
    </row>
    <row r="32" spans="1:18" ht="22.5" customHeight="1">
      <c r="A32" s="221" t="s">
        <v>361</v>
      </c>
      <c r="B32" s="130"/>
      <c r="C32" s="130"/>
      <c r="D32" s="130"/>
      <c r="E32" s="130"/>
      <c r="F32" s="130"/>
      <c r="G32" s="130"/>
      <c r="H32" s="130"/>
      <c r="I32" s="130"/>
      <c r="J32" s="130"/>
      <c r="K32" s="130"/>
      <c r="L32" s="130"/>
      <c r="M32" s="130"/>
      <c r="N32" s="130"/>
      <c r="O32" s="130"/>
      <c r="P32" s="130"/>
      <c r="Q32" s="130"/>
      <c r="R32" s="131"/>
    </row>
    <row r="33" spans="1:18" ht="15.5">
      <c r="A33" s="222" t="s">
        <v>377</v>
      </c>
      <c r="B33" s="223"/>
      <c r="C33" s="224"/>
      <c r="D33" s="225" t="s">
        <v>378</v>
      </c>
      <c r="E33" s="222" t="s">
        <v>379</v>
      </c>
      <c r="F33" s="223"/>
      <c r="G33" s="223"/>
      <c r="H33" s="223"/>
      <c r="I33" s="223"/>
      <c r="J33" s="225" t="s">
        <v>380</v>
      </c>
      <c r="K33" s="222" t="s">
        <v>381</v>
      </c>
      <c r="L33" s="223"/>
      <c r="M33" s="223"/>
      <c r="N33" s="223"/>
      <c r="O33" s="26"/>
      <c r="P33" s="222" t="s">
        <v>382</v>
      </c>
      <c r="Q33" s="223"/>
      <c r="R33" s="94"/>
    </row>
    <row r="34" spans="1:18" ht="28.5" customHeight="1">
      <c r="A34" s="99"/>
      <c r="B34" s="86"/>
      <c r="C34" s="86"/>
      <c r="D34" s="100"/>
      <c r="E34" s="86"/>
      <c r="F34" s="86"/>
      <c r="G34" s="86"/>
      <c r="H34" s="101"/>
      <c r="I34" s="101"/>
      <c r="J34" s="100"/>
      <c r="K34" s="86"/>
      <c r="L34" s="101"/>
      <c r="M34" s="101"/>
      <c r="N34" s="86"/>
      <c r="P34" s="407"/>
      <c r="Q34" s="408"/>
      <c r="R34" s="409"/>
    </row>
    <row r="35" spans="1:18" ht="20.25" customHeight="1">
      <c r="A35" s="221" t="s">
        <v>362</v>
      </c>
      <c r="B35" s="130"/>
      <c r="C35" s="130"/>
      <c r="D35" s="130"/>
      <c r="E35" s="130"/>
      <c r="F35" s="130"/>
      <c r="G35" s="130"/>
      <c r="H35" s="130"/>
      <c r="I35" s="130"/>
      <c r="J35" s="130"/>
      <c r="K35" s="130"/>
      <c r="L35" s="130"/>
      <c r="M35" s="130"/>
      <c r="N35" s="130"/>
      <c r="O35" s="130"/>
      <c r="P35" s="130"/>
      <c r="Q35" s="130"/>
      <c r="R35" s="131"/>
    </row>
    <row r="36" spans="1:18" ht="15.75" customHeight="1">
      <c r="A36" s="226" t="s">
        <v>376</v>
      </c>
      <c r="B36" s="227"/>
      <c r="C36" s="227"/>
      <c r="D36" s="228"/>
      <c r="E36" s="223"/>
      <c r="F36" s="223"/>
      <c r="G36" s="223"/>
      <c r="H36" s="225" t="s">
        <v>378</v>
      </c>
      <c r="I36" s="226" t="s">
        <v>413</v>
      </c>
      <c r="J36" s="222"/>
      <c r="K36" s="223"/>
      <c r="L36" s="223"/>
      <c r="M36" s="223"/>
      <c r="N36" s="223"/>
      <c r="O36" s="222" t="s">
        <v>380</v>
      </c>
      <c r="P36" s="26"/>
      <c r="Q36" s="98"/>
      <c r="R36" s="94"/>
    </row>
    <row r="37" spans="1:18" ht="31.5" customHeight="1">
      <c r="A37" s="199" t="s">
        <v>209</v>
      </c>
      <c r="B37" s="71"/>
      <c r="C37" s="71"/>
      <c r="E37" s="71"/>
      <c r="F37" s="71"/>
      <c r="G37" s="71"/>
      <c r="H37" s="100"/>
      <c r="I37" s="199" t="s">
        <v>209</v>
      </c>
      <c r="J37" s="129"/>
      <c r="K37" s="71"/>
      <c r="L37" s="71"/>
      <c r="M37" s="71"/>
      <c r="N37" s="71"/>
      <c r="O37" s="410"/>
      <c r="P37" s="408"/>
      <c r="Q37" s="408"/>
      <c r="R37" s="409"/>
    </row>
    <row r="38" spans="1:18" ht="22.5" customHeight="1">
      <c r="A38" s="81"/>
      <c r="B38" s="81"/>
      <c r="C38" s="81"/>
      <c r="D38" s="81"/>
      <c r="E38" s="81"/>
      <c r="F38" s="81"/>
      <c r="G38" s="81"/>
      <c r="H38" s="81"/>
      <c r="I38" s="81"/>
      <c r="J38" s="81"/>
      <c r="K38" s="81"/>
      <c r="L38" s="81"/>
      <c r="M38" s="81"/>
      <c r="N38" s="81"/>
      <c r="O38" s="81"/>
      <c r="P38" s="81"/>
      <c r="Q38" s="81"/>
      <c r="R38" s="81"/>
    </row>
    <row r="39" spans="1:18" ht="15.5">
      <c r="A39" s="401" t="s">
        <v>262</v>
      </c>
      <c r="B39" s="402"/>
      <c r="C39" s="402"/>
      <c r="D39" s="402"/>
      <c r="E39" s="402"/>
      <c r="F39" s="402"/>
      <c r="G39" s="402"/>
      <c r="H39" s="402"/>
      <c r="I39" s="402"/>
      <c r="J39" s="402"/>
      <c r="K39" s="402"/>
      <c r="L39" s="402"/>
      <c r="M39" s="402"/>
      <c r="N39" s="402"/>
      <c r="O39" s="402"/>
      <c r="P39" s="402"/>
      <c r="Q39" s="402"/>
      <c r="R39" s="403"/>
    </row>
    <row r="40" spans="1:18" s="93" customFormat="1" ht="50.25" customHeight="1">
      <c r="A40" s="393" t="s">
        <v>434</v>
      </c>
      <c r="B40" s="394"/>
      <c r="C40" s="394"/>
      <c r="D40" s="394"/>
      <c r="E40" s="394"/>
      <c r="F40" s="394"/>
      <c r="G40" s="394"/>
      <c r="H40" s="394"/>
      <c r="I40" s="394"/>
      <c r="J40" s="394"/>
      <c r="K40" s="394"/>
      <c r="L40" s="394"/>
      <c r="M40" s="394"/>
      <c r="N40" s="394"/>
      <c r="O40" s="394"/>
      <c r="P40" s="394"/>
      <c r="Q40" s="394"/>
      <c r="R40" s="395"/>
    </row>
    <row r="41" spans="1:18" ht="22.5" customHeight="1">
      <c r="A41" s="413" t="s">
        <v>221</v>
      </c>
      <c r="B41" s="414"/>
      <c r="C41" s="414"/>
      <c r="D41" s="414"/>
      <c r="E41" s="414"/>
      <c r="F41" s="414"/>
      <c r="G41" s="414"/>
      <c r="H41" s="414"/>
      <c r="I41" s="414"/>
      <c r="J41" s="414"/>
      <c r="K41" s="414"/>
      <c r="L41" s="414"/>
      <c r="M41" s="414"/>
      <c r="N41" s="414"/>
      <c r="O41" s="414"/>
      <c r="P41" s="414"/>
      <c r="Q41" s="414"/>
      <c r="R41" s="415"/>
    </row>
    <row r="42" spans="1:18" ht="75" customHeight="1">
      <c r="A42" s="396" t="s">
        <v>370</v>
      </c>
      <c r="B42" s="397"/>
      <c r="C42" s="397"/>
      <c r="D42" s="397"/>
      <c r="E42" s="397"/>
      <c r="F42" s="397"/>
      <c r="G42" s="397"/>
      <c r="H42" s="397"/>
      <c r="I42" s="397"/>
      <c r="J42" s="397"/>
      <c r="K42" s="397"/>
      <c r="L42" s="397"/>
      <c r="M42" s="397"/>
      <c r="N42" s="397"/>
      <c r="O42" s="397"/>
      <c r="P42" s="397"/>
      <c r="Q42" s="397"/>
      <c r="R42" s="398"/>
    </row>
    <row r="43" spans="1:18" s="93" customFormat="1" ht="75" customHeight="1">
      <c r="A43" s="229"/>
      <c r="B43" s="230"/>
      <c r="C43" s="230"/>
      <c r="D43" s="230"/>
      <c r="E43" s="230"/>
      <c r="F43" s="230"/>
      <c r="G43" s="230"/>
      <c r="H43" s="230"/>
      <c r="I43" s="230"/>
      <c r="J43" s="230"/>
      <c r="K43" s="230"/>
      <c r="L43" s="230"/>
      <c r="M43" s="230"/>
      <c r="N43" s="230"/>
      <c r="O43" s="230"/>
      <c r="P43" s="230"/>
      <c r="Q43" s="230"/>
      <c r="R43" s="230"/>
    </row>
    <row r="44" spans="1:18" s="93" customFormat="1" ht="75" customHeight="1">
      <c r="A44" s="229"/>
      <c r="B44" s="230"/>
      <c r="C44" s="230"/>
      <c r="D44" s="230"/>
      <c r="E44" s="230"/>
      <c r="F44" s="230"/>
      <c r="G44" s="230"/>
      <c r="H44" s="230"/>
      <c r="I44" s="230"/>
      <c r="J44" s="230"/>
      <c r="K44" s="230"/>
      <c r="L44" s="230"/>
      <c r="M44" s="230"/>
      <c r="N44" s="230"/>
      <c r="O44" s="230"/>
      <c r="P44" s="230"/>
      <c r="Q44" s="230"/>
      <c r="R44" s="230"/>
    </row>
    <row r="45" spans="1:18" ht="48.75" customHeight="1">
      <c r="A45" s="234"/>
      <c r="B45" s="233"/>
      <c r="C45" s="233"/>
      <c r="D45" s="233"/>
      <c r="E45" s="233"/>
      <c r="F45" s="233"/>
      <c r="G45" s="233"/>
      <c r="H45" s="233"/>
      <c r="I45" s="233"/>
      <c r="J45" s="233"/>
      <c r="K45" s="233"/>
      <c r="L45" s="233"/>
      <c r="M45" s="233"/>
      <c r="N45" s="233"/>
      <c r="O45" s="233"/>
      <c r="P45" s="233"/>
      <c r="Q45" s="233"/>
      <c r="R45" s="233"/>
    </row>
  </sheetData>
  <sheetProtection selectLockedCells="1"/>
  <mergeCells count="39">
    <mergeCell ref="F4:I4"/>
    <mergeCell ref="F5:I5"/>
    <mergeCell ref="A4:C4"/>
    <mergeCell ref="H10:R10"/>
    <mergeCell ref="A3:C3"/>
    <mergeCell ref="N7:R7"/>
    <mergeCell ref="N8:O8"/>
    <mergeCell ref="P8:R8"/>
    <mergeCell ref="D8:F8"/>
    <mergeCell ref="A8:C8"/>
    <mergeCell ref="I8:J8"/>
    <mergeCell ref="A6:R6"/>
    <mergeCell ref="O3:R3"/>
    <mergeCell ref="A42:R42"/>
    <mergeCell ref="C9:D9"/>
    <mergeCell ref="A39:R39"/>
    <mergeCell ref="B28:R28"/>
    <mergeCell ref="H12:R12"/>
    <mergeCell ref="B20:R20"/>
    <mergeCell ref="B21:R21"/>
    <mergeCell ref="P34:R34"/>
    <mergeCell ref="O37:R37"/>
    <mergeCell ref="C12:D12"/>
    <mergeCell ref="A41:R41"/>
    <mergeCell ref="B22:R22"/>
    <mergeCell ref="H11:R11"/>
    <mergeCell ref="H9:R9"/>
    <mergeCell ref="C10:D10"/>
    <mergeCell ref="C11:D11"/>
    <mergeCell ref="B27:R27"/>
    <mergeCell ref="B29:R29"/>
    <mergeCell ref="B30:R30"/>
    <mergeCell ref="B31:R31"/>
    <mergeCell ref="A40:R40"/>
    <mergeCell ref="C17:D17"/>
    <mergeCell ref="B23:R23"/>
    <mergeCell ref="B24:R24"/>
    <mergeCell ref="B25:R25"/>
    <mergeCell ref="B26:R26"/>
  </mergeCells>
  <phoneticPr fontId="0" type="noConversion"/>
  <pageMargins left="0.5" right="0.5" top="0.5" bottom="0.5" header="0.5" footer="0.5"/>
  <pageSetup scale="49" fitToHeight="2" orientation="landscape" r:id="rId1"/>
  <headerFooter alignWithMargins="0">
    <oddFooter>&amp;LUSDA is an equal opportunity provider and employer&amp;CThe signature by the NRCS representative signifies a CCC or NRCS transaction as indicated above&amp;RAD-1155A
Exp. 9/30/2009</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0" r:id="rId4" name="Check Box 2">
              <controlPr defaultSize="0" autoFill="0" autoLine="0" autoPict="0">
                <anchor moveWithCells="1">
                  <from>
                    <xdr:col>3</xdr:col>
                    <xdr:colOff>114300</xdr:colOff>
                    <xdr:row>1</xdr:row>
                    <xdr:rowOff>31750</xdr:rowOff>
                  </from>
                  <to>
                    <xdr:col>3</xdr:col>
                    <xdr:colOff>317500</xdr:colOff>
                    <xdr:row>3</xdr:row>
                    <xdr:rowOff>50800</xdr:rowOff>
                  </to>
                </anchor>
              </controlPr>
            </control>
          </mc:Choice>
        </mc:AlternateContent>
        <mc:AlternateContent xmlns:mc="http://schemas.openxmlformats.org/markup-compatibility/2006">
          <mc:Choice Requires="x14">
            <control shapeId="2052" r:id="rId5" name="Check Box 4">
              <controlPr defaultSize="0" autoFill="0" autoLine="0" autoPict="0">
                <anchor moveWithCells="1">
                  <from>
                    <xdr:col>7</xdr:col>
                    <xdr:colOff>146050</xdr:colOff>
                    <xdr:row>1</xdr:row>
                    <xdr:rowOff>82550</xdr:rowOff>
                  </from>
                  <to>
                    <xdr:col>7</xdr:col>
                    <xdr:colOff>584200</xdr:colOff>
                    <xdr:row>3</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AR57"/>
  <sheetViews>
    <sheetView zoomScale="54" zoomScaleNormal="54" workbookViewId="0">
      <selection activeCell="D15" sqref="D15"/>
    </sheetView>
  </sheetViews>
  <sheetFormatPr defaultRowHeight="12.5"/>
  <cols>
    <col min="2" max="2" width="9.1796875" customWidth="1"/>
    <col min="3" max="3" width="71.54296875" customWidth="1"/>
    <col min="4" max="4" width="14.54296875" customWidth="1"/>
    <col min="5" max="5" width="11" customWidth="1"/>
    <col min="6" max="6" width="13.7265625" customWidth="1"/>
    <col min="7" max="7" width="12.26953125" customWidth="1"/>
    <col min="8" max="8" width="16.7265625" customWidth="1"/>
    <col min="9" max="9" width="15.54296875" customWidth="1"/>
    <col min="10" max="10" width="15.26953125" customWidth="1"/>
    <col min="11" max="11" width="13.453125" customWidth="1"/>
    <col min="12" max="12" width="15.1796875" customWidth="1"/>
    <col min="13" max="13" width="15.7265625" customWidth="1"/>
    <col min="14" max="14" width="11.26953125" customWidth="1"/>
    <col min="15" max="15" width="7.81640625" customWidth="1"/>
    <col min="16" max="16" width="9.7265625" customWidth="1"/>
    <col min="17" max="17" width="7.81640625" customWidth="1"/>
    <col min="18" max="18" width="13.453125" customWidth="1"/>
    <col min="31" max="31" width="79" bestFit="1" customWidth="1"/>
    <col min="32" max="32" width="11" customWidth="1"/>
  </cols>
  <sheetData>
    <row r="1" spans="1:44" ht="25.5" customHeight="1">
      <c r="A1" s="434" t="s">
        <v>366</v>
      </c>
      <c r="B1" s="435"/>
      <c r="C1" s="435"/>
      <c r="D1" s="144" t="s">
        <v>368</v>
      </c>
      <c r="E1" s="143"/>
      <c r="F1" s="143"/>
      <c r="G1" s="143"/>
      <c r="H1" s="145" t="s">
        <v>369</v>
      </c>
      <c r="I1" s="143"/>
      <c r="J1" s="143"/>
      <c r="K1" s="143"/>
      <c r="L1" s="143"/>
      <c r="M1" s="143"/>
      <c r="N1" s="143"/>
      <c r="O1" s="145" t="s">
        <v>367</v>
      </c>
      <c r="P1" s="143"/>
      <c r="Q1" s="143"/>
      <c r="R1" s="14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row>
    <row r="2" spans="1:44" ht="20.25" customHeight="1">
      <c r="A2" s="429" t="s">
        <v>363</v>
      </c>
      <c r="B2" s="430"/>
      <c r="C2" s="430"/>
      <c r="D2" s="136"/>
      <c r="E2" s="136"/>
      <c r="F2" s="425" t="s">
        <v>25</v>
      </c>
      <c r="G2" s="426"/>
      <c r="H2" s="426"/>
      <c r="I2" s="426"/>
      <c r="J2" s="136"/>
      <c r="K2" s="136"/>
      <c r="L2" s="136"/>
      <c r="M2" s="136"/>
      <c r="N2" s="262" t="s">
        <v>420</v>
      </c>
      <c r="O2" s="137" t="s">
        <v>364</v>
      </c>
      <c r="P2" s="138"/>
      <c r="Q2" s="139" t="s">
        <v>365</v>
      </c>
      <c r="R2" s="140"/>
      <c r="S2" s="93"/>
      <c r="T2" s="93"/>
      <c r="U2" s="93"/>
      <c r="V2" s="93"/>
      <c r="W2" s="93"/>
      <c r="X2" s="93"/>
      <c r="Y2" s="93"/>
      <c r="Z2" s="93"/>
      <c r="AA2" s="93"/>
      <c r="AB2" s="93"/>
      <c r="AC2" s="93"/>
      <c r="AD2" s="93"/>
      <c r="AE2" s="93"/>
      <c r="AF2" s="80"/>
      <c r="AG2" s="93"/>
      <c r="AH2" s="93"/>
      <c r="AI2" s="93"/>
      <c r="AJ2" s="93"/>
      <c r="AK2" s="93"/>
      <c r="AL2" s="93"/>
      <c r="AM2" s="93"/>
      <c r="AN2" s="93"/>
      <c r="AO2" s="93"/>
      <c r="AP2" s="93"/>
      <c r="AQ2" s="93"/>
      <c r="AR2" s="93"/>
    </row>
    <row r="3" spans="1:44" ht="21.75" customHeight="1">
      <c r="A3" s="141"/>
      <c r="B3" s="85"/>
      <c r="C3" s="85"/>
      <c r="D3" s="85"/>
      <c r="E3" s="85"/>
      <c r="F3" s="427" t="s">
        <v>26</v>
      </c>
      <c r="G3" s="428"/>
      <c r="H3" s="428"/>
      <c r="I3" s="428"/>
      <c r="J3" s="85"/>
      <c r="K3" s="85"/>
      <c r="L3" s="85"/>
      <c r="M3" s="85"/>
      <c r="N3" s="85"/>
      <c r="O3" s="17"/>
      <c r="P3" s="17"/>
      <c r="Q3" s="17"/>
      <c r="R3" s="142"/>
      <c r="S3" s="93"/>
      <c r="T3" s="93"/>
      <c r="U3" s="93"/>
      <c r="V3" s="93"/>
      <c r="W3" s="93"/>
      <c r="X3" s="93"/>
      <c r="Y3" s="93"/>
      <c r="Z3" s="93"/>
      <c r="AA3" s="93"/>
      <c r="AB3" s="93"/>
      <c r="AC3" s="93"/>
      <c r="AD3" s="93"/>
      <c r="AE3" s="93"/>
      <c r="AF3" s="80"/>
      <c r="AG3" s="93"/>
      <c r="AH3" s="93"/>
      <c r="AI3" s="93"/>
      <c r="AJ3" s="93"/>
      <c r="AK3" s="93"/>
      <c r="AL3" s="93"/>
      <c r="AM3" s="93"/>
      <c r="AN3" s="93"/>
      <c r="AO3" s="93"/>
      <c r="AP3" s="93"/>
      <c r="AQ3" s="93"/>
      <c r="AR3" s="93"/>
    </row>
    <row r="4" spans="1:44" ht="30" customHeight="1">
      <c r="A4" s="480" t="s">
        <v>386</v>
      </c>
      <c r="B4" s="483"/>
      <c r="C4" s="484"/>
      <c r="D4" s="490" t="s">
        <v>387</v>
      </c>
      <c r="E4" s="491"/>
      <c r="F4" s="491"/>
      <c r="G4" s="492"/>
      <c r="H4" s="356" t="s">
        <v>388</v>
      </c>
      <c r="I4" s="26"/>
      <c r="J4" s="480" t="s">
        <v>385</v>
      </c>
      <c r="K4" s="481"/>
      <c r="L4" s="482"/>
      <c r="M4" s="480" t="s">
        <v>389</v>
      </c>
      <c r="N4" s="483"/>
      <c r="O4" s="483"/>
      <c r="P4" s="483"/>
      <c r="Q4" s="483"/>
      <c r="R4" s="484"/>
      <c r="S4" s="93"/>
      <c r="T4" s="93"/>
      <c r="U4" s="93"/>
      <c r="V4" s="93"/>
      <c r="W4" s="93"/>
      <c r="X4" s="93"/>
      <c r="Y4" s="93"/>
      <c r="Z4" s="93"/>
      <c r="AA4" s="93"/>
      <c r="AB4" s="93"/>
      <c r="AC4" s="93"/>
      <c r="AD4" s="93"/>
      <c r="AE4" s="93"/>
      <c r="AF4" s="80"/>
      <c r="AG4" s="93"/>
      <c r="AH4" s="93"/>
      <c r="AI4" s="93"/>
      <c r="AJ4" s="93"/>
      <c r="AK4" s="93"/>
      <c r="AL4" s="93"/>
      <c r="AM4" s="93"/>
      <c r="AN4" s="93"/>
      <c r="AO4" s="93"/>
      <c r="AP4" s="93"/>
      <c r="AQ4" s="93"/>
      <c r="AR4" s="93"/>
    </row>
    <row r="5" spans="1:44" ht="24.7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26"/>
      <c r="T5" s="26"/>
      <c r="U5" s="26"/>
      <c r="V5" s="26"/>
      <c r="W5" s="26"/>
      <c r="X5" s="26"/>
      <c r="Y5" s="26"/>
      <c r="Z5" s="26"/>
      <c r="AA5" s="26"/>
      <c r="AB5" s="26"/>
      <c r="AC5" s="26"/>
      <c r="AD5" s="26"/>
      <c r="AE5" s="26"/>
      <c r="AF5" s="62"/>
      <c r="AG5" s="26"/>
      <c r="AH5" s="26"/>
      <c r="AI5" s="26"/>
      <c r="AJ5" s="26"/>
      <c r="AK5" s="26"/>
      <c r="AL5" s="26"/>
      <c r="AM5" s="26"/>
      <c r="AN5" s="26"/>
      <c r="AO5" s="26"/>
      <c r="AP5" s="26"/>
      <c r="AQ5" s="26"/>
      <c r="AR5" s="26"/>
    </row>
    <row r="6" spans="1:44">
      <c r="A6" s="466"/>
      <c r="B6" s="466"/>
      <c r="C6" s="466"/>
      <c r="D6" s="466"/>
      <c r="E6" s="466"/>
      <c r="F6" s="466"/>
      <c r="G6" s="466"/>
      <c r="H6" s="466"/>
      <c r="I6" s="466"/>
      <c r="J6" s="466"/>
      <c r="K6" s="466"/>
      <c r="L6" s="466"/>
      <c r="M6" s="466"/>
      <c r="N6" s="466"/>
      <c r="O6" s="466"/>
      <c r="P6" s="466"/>
      <c r="Q6" s="466"/>
      <c r="R6" s="466"/>
      <c r="S6" s="11"/>
      <c r="T6" s="93"/>
      <c r="U6" s="93"/>
      <c r="V6" s="93"/>
      <c r="W6" s="93"/>
      <c r="X6" s="93"/>
      <c r="Y6" s="93"/>
      <c r="Z6" s="93"/>
      <c r="AA6" s="93"/>
      <c r="AB6" s="93"/>
      <c r="AC6" s="93"/>
      <c r="AD6" s="93"/>
      <c r="AE6" s="93"/>
      <c r="AF6" s="80"/>
      <c r="AG6" s="93"/>
      <c r="AH6" s="93"/>
      <c r="AI6" s="93"/>
      <c r="AJ6" s="93"/>
      <c r="AK6" s="93"/>
      <c r="AL6" s="93"/>
      <c r="AM6" s="93"/>
      <c r="AN6" s="93"/>
      <c r="AO6" s="93"/>
      <c r="AP6" s="93"/>
      <c r="AQ6" s="93"/>
      <c r="AR6" s="93"/>
    </row>
    <row r="7" spans="1:44" ht="96" customHeight="1">
      <c r="A7" s="467" t="s">
        <v>458</v>
      </c>
      <c r="B7" s="468"/>
      <c r="C7" s="468"/>
      <c r="D7" s="468"/>
      <c r="E7" s="468"/>
      <c r="F7" s="468"/>
      <c r="G7" s="468"/>
      <c r="H7" s="468"/>
      <c r="I7" s="468"/>
      <c r="J7" s="468"/>
      <c r="K7" s="468"/>
      <c r="L7" s="468"/>
      <c r="M7" s="468"/>
      <c r="N7" s="468"/>
      <c r="O7" s="468"/>
      <c r="P7" s="468"/>
      <c r="Q7" s="468"/>
      <c r="R7" s="469"/>
      <c r="S7" s="93"/>
      <c r="T7" s="93"/>
      <c r="U7" s="93"/>
      <c r="V7" s="93"/>
      <c r="W7" s="93"/>
      <c r="X7" s="93"/>
      <c r="Y7" s="93"/>
      <c r="Z7" s="93"/>
      <c r="AA7" s="93"/>
      <c r="AB7" s="93"/>
      <c r="AC7" s="93"/>
      <c r="AD7" s="93"/>
      <c r="AE7" s="93"/>
      <c r="AF7" s="80"/>
      <c r="AG7" s="93"/>
      <c r="AH7" s="93"/>
      <c r="AI7" s="93"/>
      <c r="AJ7" s="93"/>
      <c r="AK7" s="93"/>
      <c r="AL7" s="93"/>
      <c r="AM7" s="93"/>
      <c r="AN7" s="93"/>
      <c r="AO7" s="93"/>
      <c r="AP7" s="93"/>
      <c r="AQ7" s="93"/>
      <c r="AR7" s="93"/>
    </row>
    <row r="8" spans="1:44" ht="14">
      <c r="A8" s="470"/>
      <c r="B8" s="470"/>
      <c r="C8" s="470"/>
      <c r="D8" s="470"/>
      <c r="E8" s="470"/>
      <c r="F8" s="470"/>
      <c r="G8" s="470"/>
      <c r="H8" s="470"/>
      <c r="I8" s="470"/>
      <c r="J8" s="470"/>
      <c r="K8" s="470"/>
      <c r="L8" s="470"/>
      <c r="M8" s="470"/>
      <c r="N8" s="470"/>
      <c r="O8" s="470"/>
      <c r="P8" s="470"/>
      <c r="Q8" s="470"/>
      <c r="R8" s="470"/>
      <c r="S8" s="22"/>
      <c r="T8" s="22"/>
      <c r="U8" s="22"/>
      <c r="V8" s="22"/>
      <c r="W8" s="22"/>
      <c r="X8" s="22"/>
      <c r="Y8" s="22"/>
      <c r="Z8" s="22"/>
      <c r="AA8" s="22"/>
      <c r="AB8" s="22"/>
      <c r="AC8" s="22"/>
      <c r="AD8" s="22"/>
      <c r="AE8" s="22"/>
      <c r="AF8" s="51"/>
      <c r="AG8" s="22"/>
      <c r="AH8" s="22"/>
      <c r="AI8" s="22"/>
      <c r="AJ8" s="22"/>
      <c r="AK8" s="22"/>
      <c r="AL8" s="22"/>
      <c r="AM8" s="22"/>
      <c r="AN8" s="22"/>
      <c r="AO8" s="22"/>
      <c r="AP8" s="22"/>
      <c r="AQ8" s="22"/>
      <c r="AR8" s="22"/>
    </row>
    <row r="9" spans="1:44" ht="12.75" customHeight="1">
      <c r="A9" s="452" t="s">
        <v>90</v>
      </c>
      <c r="B9" s="452" t="s">
        <v>27</v>
      </c>
      <c r="C9" s="471" t="s">
        <v>396</v>
      </c>
      <c r="D9" s="474" t="s">
        <v>391</v>
      </c>
      <c r="E9" s="477"/>
      <c r="F9" s="452" t="s">
        <v>8</v>
      </c>
      <c r="G9" s="452" t="s">
        <v>384</v>
      </c>
      <c r="H9" s="451" t="s">
        <v>383</v>
      </c>
      <c r="I9" s="420"/>
      <c r="J9" s="420"/>
      <c r="K9" s="420"/>
      <c r="L9" s="420"/>
      <c r="M9" s="420"/>
      <c r="N9" s="420"/>
      <c r="O9" s="420"/>
      <c r="P9" s="420"/>
      <c r="Q9" s="421"/>
      <c r="R9" s="452" t="s">
        <v>9</v>
      </c>
      <c r="S9" s="93"/>
      <c r="T9" s="93"/>
      <c r="U9" s="93"/>
      <c r="V9" s="93"/>
      <c r="W9" s="93"/>
      <c r="X9" s="93"/>
      <c r="Y9" s="93"/>
      <c r="Z9" s="93"/>
      <c r="AA9" s="93"/>
      <c r="AB9" s="93"/>
      <c r="AC9" s="93"/>
      <c r="AD9" s="93"/>
      <c r="AE9" s="38"/>
      <c r="AF9" s="37"/>
      <c r="AG9" s="93"/>
      <c r="AH9" s="93"/>
      <c r="AI9" s="93"/>
      <c r="AJ9" s="93"/>
      <c r="AK9" s="93"/>
      <c r="AL9" s="93"/>
      <c r="AM9" s="93"/>
      <c r="AN9" s="93"/>
      <c r="AO9" s="93"/>
      <c r="AP9" s="93"/>
      <c r="AQ9" s="93"/>
      <c r="AR9" s="93"/>
    </row>
    <row r="10" spans="1:44" ht="18.75" customHeight="1">
      <c r="A10" s="453"/>
      <c r="B10" s="453"/>
      <c r="C10" s="472"/>
      <c r="D10" s="475"/>
      <c r="E10" s="478"/>
      <c r="F10" s="453"/>
      <c r="G10" s="453"/>
      <c r="H10" s="455" t="s">
        <v>306</v>
      </c>
      <c r="I10" s="408"/>
      <c r="J10" s="408"/>
      <c r="K10" s="408"/>
      <c r="L10" s="408"/>
      <c r="M10" s="408"/>
      <c r="N10" s="408"/>
      <c r="O10" s="408"/>
      <c r="P10" s="408"/>
      <c r="Q10" s="409"/>
      <c r="R10" s="453"/>
      <c r="S10" s="93"/>
      <c r="T10" s="93"/>
      <c r="U10" s="93"/>
      <c r="V10" s="93"/>
      <c r="W10" s="93"/>
      <c r="X10" s="93"/>
      <c r="Y10" s="93"/>
      <c r="Z10" s="93"/>
      <c r="AA10" s="93"/>
      <c r="AB10" s="93"/>
      <c r="AC10" s="93"/>
      <c r="AD10" s="93"/>
      <c r="AE10" s="38"/>
      <c r="AF10" s="37"/>
      <c r="AG10" s="93"/>
      <c r="AH10" s="93"/>
      <c r="AI10" s="93"/>
      <c r="AJ10" s="93"/>
      <c r="AK10" s="93"/>
      <c r="AL10" s="93"/>
      <c r="AM10" s="93"/>
      <c r="AN10" s="93"/>
      <c r="AO10" s="93"/>
      <c r="AP10" s="93"/>
      <c r="AQ10" s="93"/>
      <c r="AR10" s="93"/>
    </row>
    <row r="11" spans="1:44" ht="12.75" customHeight="1">
      <c r="A11" s="453"/>
      <c r="B11" s="453"/>
      <c r="C11" s="472"/>
      <c r="D11" s="475"/>
      <c r="E11" s="478"/>
      <c r="F11" s="453"/>
      <c r="G11" s="453"/>
      <c r="H11" s="160">
        <v>14</v>
      </c>
      <c r="I11" s="154">
        <v>15</v>
      </c>
      <c r="J11" s="154">
        <v>16</v>
      </c>
      <c r="K11" s="154">
        <v>17</v>
      </c>
      <c r="L11" s="154">
        <v>18</v>
      </c>
      <c r="M11" s="154">
        <v>19</v>
      </c>
      <c r="N11" s="157">
        <v>20</v>
      </c>
      <c r="O11" s="157">
        <v>21</v>
      </c>
      <c r="P11" s="157">
        <v>22</v>
      </c>
      <c r="Q11" s="157">
        <v>23</v>
      </c>
      <c r="R11" s="453"/>
      <c r="S11" s="93"/>
      <c r="T11" s="93"/>
      <c r="U11" s="93"/>
      <c r="V11" s="93"/>
      <c r="W11" s="93"/>
      <c r="X11" s="93"/>
      <c r="Y11" s="93"/>
      <c r="Z11" s="93"/>
      <c r="AA11" s="93"/>
      <c r="AB11" s="93"/>
      <c r="AC11" s="93"/>
      <c r="AD11" s="93"/>
      <c r="AE11" s="38"/>
      <c r="AF11" s="37"/>
      <c r="AG11" s="93"/>
      <c r="AH11" s="93"/>
      <c r="AI11" s="93"/>
      <c r="AJ11" s="93"/>
      <c r="AK11" s="93"/>
      <c r="AL11" s="93"/>
      <c r="AM11" s="93"/>
      <c r="AN11" s="93"/>
      <c r="AO11" s="93"/>
      <c r="AP11" s="93"/>
      <c r="AQ11" s="93"/>
      <c r="AR11" s="93"/>
    </row>
    <row r="12" spans="1:44" ht="17.25" customHeight="1">
      <c r="A12" s="453"/>
      <c r="B12" s="453"/>
      <c r="C12" s="472"/>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c r="S12" s="93"/>
      <c r="T12" s="93"/>
      <c r="U12" s="93"/>
      <c r="V12" s="93"/>
      <c r="W12" s="93"/>
      <c r="X12" s="93"/>
      <c r="Y12" s="93"/>
      <c r="Z12" s="93"/>
      <c r="AA12" s="93"/>
      <c r="AB12" s="93"/>
      <c r="AC12" s="93"/>
      <c r="AD12" s="93"/>
      <c r="AE12" s="38"/>
      <c r="AF12" s="37"/>
      <c r="AG12" s="93"/>
      <c r="AH12" s="93"/>
      <c r="AI12" s="93"/>
      <c r="AJ12" s="93"/>
      <c r="AK12" s="93"/>
      <c r="AL12" s="93"/>
      <c r="AM12" s="93"/>
      <c r="AN12" s="93"/>
      <c r="AO12" s="93"/>
      <c r="AP12" s="93"/>
      <c r="AQ12" s="93"/>
      <c r="AR12" s="93"/>
    </row>
    <row r="13" spans="1:44" ht="15.5">
      <c r="A13" s="454"/>
      <c r="B13" s="454"/>
      <c r="C13" s="473"/>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93"/>
      <c r="T13" s="93"/>
      <c r="U13" s="93"/>
      <c r="V13" s="93"/>
      <c r="W13" s="93"/>
      <c r="X13" s="93"/>
      <c r="Y13" s="93"/>
      <c r="Z13" s="93"/>
      <c r="AA13" s="93"/>
      <c r="AB13" s="93"/>
      <c r="AC13" s="93"/>
      <c r="AD13" s="93"/>
      <c r="AE13" s="38"/>
      <c r="AF13" s="37"/>
      <c r="AG13" s="93"/>
      <c r="AH13" s="93"/>
      <c r="AI13" s="93"/>
      <c r="AJ13" s="93"/>
      <c r="AK13" s="93"/>
      <c r="AL13" s="93"/>
      <c r="AM13" s="93"/>
      <c r="AN13" s="93"/>
      <c r="AO13" s="93"/>
      <c r="AP13" s="93"/>
      <c r="AQ13" s="93"/>
      <c r="AR13" s="93"/>
    </row>
    <row r="14" spans="1:44" ht="12.75" customHeight="1">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80"/>
      <c r="T14" s="80"/>
      <c r="U14" s="80"/>
      <c r="V14" s="80"/>
      <c r="W14" s="80"/>
      <c r="X14" s="80"/>
      <c r="Y14" s="80"/>
      <c r="Z14" s="80"/>
      <c r="AA14" s="80"/>
      <c r="AB14" s="80"/>
      <c r="AC14" s="80"/>
      <c r="AD14" s="80"/>
      <c r="AE14" s="158"/>
      <c r="AF14" s="159"/>
      <c r="AG14" s="80"/>
      <c r="AH14" s="80"/>
      <c r="AI14" s="80"/>
      <c r="AJ14" s="80"/>
      <c r="AK14" s="80"/>
      <c r="AL14" s="80"/>
      <c r="AM14" s="80"/>
      <c r="AN14" s="80"/>
      <c r="AO14" s="80"/>
      <c r="AP14" s="80"/>
      <c r="AQ14" s="80"/>
      <c r="AR14" s="80"/>
    </row>
    <row r="15" spans="1:44" ht="17.5">
      <c r="A15" s="12"/>
      <c r="B15" s="347"/>
      <c r="C15" s="206" t="s">
        <v>283</v>
      </c>
      <c r="D15" s="308"/>
      <c r="E15" s="272" t="s">
        <v>20</v>
      </c>
      <c r="F15" s="231"/>
      <c r="G15" s="268"/>
      <c r="H15" s="231"/>
      <c r="I15" s="264"/>
      <c r="J15" s="264"/>
      <c r="K15" s="264"/>
      <c r="L15" s="264"/>
      <c r="M15" s="264"/>
      <c r="N15" s="28"/>
      <c r="O15" s="28"/>
      <c r="P15" s="28"/>
      <c r="Q15" s="28"/>
      <c r="R15" s="13"/>
      <c r="S15" s="93"/>
      <c r="T15" s="93"/>
      <c r="U15" s="93"/>
      <c r="V15" s="93"/>
      <c r="W15" s="93"/>
      <c r="X15" s="93"/>
      <c r="Y15" s="93"/>
      <c r="Z15" s="93"/>
      <c r="AA15" s="93"/>
      <c r="AB15" s="93"/>
      <c r="AC15" s="93"/>
      <c r="AD15" s="93"/>
      <c r="AE15" s="93"/>
      <c r="AF15" s="11"/>
      <c r="AG15" s="93"/>
      <c r="AH15" s="93"/>
      <c r="AI15" s="93"/>
      <c r="AJ15" s="93"/>
      <c r="AK15" s="93"/>
      <c r="AL15" s="93"/>
      <c r="AM15" s="93"/>
      <c r="AN15" s="93"/>
      <c r="AO15" s="93"/>
      <c r="AP15" s="93"/>
      <c r="AQ15" s="93"/>
      <c r="AR15" s="93"/>
    </row>
    <row r="16" spans="1:44" ht="17.5">
      <c r="A16" s="12"/>
      <c r="B16" s="347"/>
      <c r="C16" s="206" t="s">
        <v>0</v>
      </c>
      <c r="D16" s="308"/>
      <c r="E16" s="272" t="s">
        <v>20</v>
      </c>
      <c r="F16" s="231">
        <f>VLOOKUP(C16,AE18:AF27,2)</f>
        <v>0</v>
      </c>
      <c r="G16" s="268">
        <v>50</v>
      </c>
      <c r="H16" s="231">
        <f t="shared" ref="H16" si="0">D16*F16*G16/100</f>
        <v>0</v>
      </c>
      <c r="I16" s="264"/>
      <c r="J16" s="264"/>
      <c r="K16" s="264"/>
      <c r="L16" s="264"/>
      <c r="M16" s="264"/>
      <c r="N16" s="28"/>
      <c r="O16" s="28"/>
      <c r="P16" s="28"/>
      <c r="Q16" s="28"/>
      <c r="R16" s="13"/>
      <c r="S16" s="93"/>
      <c r="T16" s="93"/>
      <c r="U16" s="93"/>
      <c r="V16" s="93"/>
      <c r="W16" s="93"/>
      <c r="X16" s="93"/>
      <c r="Y16" s="93"/>
      <c r="Z16" s="93"/>
      <c r="AA16" s="93"/>
      <c r="AB16" s="93"/>
      <c r="AC16" s="93"/>
      <c r="AD16" s="93"/>
      <c r="AE16" s="93"/>
      <c r="AF16" s="11"/>
      <c r="AG16" s="93"/>
      <c r="AH16" s="93"/>
      <c r="AI16" s="93"/>
      <c r="AJ16" s="93"/>
      <c r="AK16" s="93"/>
      <c r="AL16" s="93"/>
      <c r="AM16" s="93"/>
      <c r="AN16" s="93"/>
      <c r="AO16" s="93"/>
      <c r="AP16" s="93"/>
      <c r="AQ16" s="93"/>
      <c r="AR16" s="93"/>
    </row>
    <row r="17" spans="1:44" ht="18">
      <c r="A17" s="12"/>
      <c r="B17" s="347"/>
      <c r="C17" s="206" t="s">
        <v>0</v>
      </c>
      <c r="D17" s="308"/>
      <c r="E17" s="272" t="s">
        <v>20</v>
      </c>
      <c r="F17" s="231">
        <f>VLOOKUP(C17,AE18:AF27,2)</f>
        <v>0</v>
      </c>
      <c r="G17" s="268">
        <v>50</v>
      </c>
      <c r="H17" s="231"/>
      <c r="I17" s="264">
        <f>D17*F17*G17/100</f>
        <v>0</v>
      </c>
      <c r="J17" s="264"/>
      <c r="K17" s="264"/>
      <c r="L17" s="264"/>
      <c r="M17" s="264"/>
      <c r="N17" s="28"/>
      <c r="O17" s="28"/>
      <c r="P17" s="28"/>
      <c r="Q17" s="28"/>
      <c r="R17" s="13"/>
      <c r="S17" s="93"/>
      <c r="T17" s="93"/>
      <c r="U17" s="93"/>
      <c r="V17" s="93"/>
      <c r="W17" s="93"/>
      <c r="X17" s="93"/>
      <c r="Y17" s="93"/>
      <c r="Z17" s="93"/>
      <c r="AA17" s="93"/>
      <c r="AB17" s="93"/>
      <c r="AC17" s="93"/>
      <c r="AD17" s="93"/>
      <c r="AE17" s="239" t="s">
        <v>192</v>
      </c>
      <c r="AF17" s="240" t="s">
        <v>193</v>
      </c>
      <c r="AG17" s="93"/>
      <c r="AH17" s="93"/>
      <c r="AI17" s="93"/>
      <c r="AJ17" s="93"/>
      <c r="AK17" s="93"/>
      <c r="AL17" s="93"/>
      <c r="AM17" s="93"/>
      <c r="AN17" s="93"/>
      <c r="AO17" s="93"/>
      <c r="AP17" s="93"/>
      <c r="AQ17" s="93"/>
      <c r="AR17" s="93"/>
    </row>
    <row r="18" spans="1:44" ht="17.5">
      <c r="A18" s="12"/>
      <c r="B18" s="347"/>
      <c r="C18" s="206" t="s">
        <v>182</v>
      </c>
      <c r="D18" s="308"/>
      <c r="E18" s="272" t="s">
        <v>20</v>
      </c>
      <c r="F18" s="232">
        <f>VLOOKUP(C18,AE28:AF37,2)</f>
        <v>0</v>
      </c>
      <c r="G18" s="268">
        <v>50</v>
      </c>
      <c r="H18" s="231"/>
      <c r="I18" s="264"/>
      <c r="J18" s="264">
        <f>D18*F18*G18/100</f>
        <v>0</v>
      </c>
      <c r="K18" s="264"/>
      <c r="L18" s="264"/>
      <c r="M18" s="264"/>
      <c r="N18" s="28"/>
      <c r="O18" s="28"/>
      <c r="P18" s="28"/>
      <c r="Q18" s="28"/>
      <c r="R18" s="13"/>
      <c r="S18" s="93"/>
      <c r="T18" s="93"/>
      <c r="U18" s="93"/>
      <c r="V18" s="93"/>
      <c r="W18" s="93"/>
      <c r="X18" s="93"/>
      <c r="Y18" s="93"/>
      <c r="Z18" s="93"/>
      <c r="AA18" s="93"/>
      <c r="AB18" s="93"/>
      <c r="AC18" s="93"/>
      <c r="AD18" s="93"/>
      <c r="AE18" s="235" t="s">
        <v>0</v>
      </c>
      <c r="AF18" s="11"/>
      <c r="AG18" s="93"/>
      <c r="AH18" s="93"/>
      <c r="AI18" s="93"/>
      <c r="AJ18" s="93"/>
      <c r="AK18" s="93"/>
      <c r="AL18" s="93"/>
      <c r="AM18" s="93"/>
      <c r="AN18" s="93"/>
      <c r="AO18" s="93"/>
      <c r="AP18" s="93"/>
      <c r="AQ18" s="93"/>
      <c r="AR18" s="93"/>
    </row>
    <row r="19" spans="1:44" ht="17.5">
      <c r="A19" s="12"/>
      <c r="B19" s="347"/>
      <c r="C19" s="206" t="s">
        <v>182</v>
      </c>
      <c r="D19" s="308"/>
      <c r="E19" s="272" t="s">
        <v>20</v>
      </c>
      <c r="F19" s="232">
        <f>VLOOKUP(C19,AE28:AF37,2)</f>
        <v>0</v>
      </c>
      <c r="G19" s="268">
        <v>50</v>
      </c>
      <c r="H19" s="231"/>
      <c r="I19" s="264"/>
      <c r="J19" s="264"/>
      <c r="K19" s="264">
        <f>D19*F19*G19/100</f>
        <v>0</v>
      </c>
      <c r="L19" s="264"/>
      <c r="M19" s="264"/>
      <c r="N19" s="28"/>
      <c r="O19" s="28"/>
      <c r="P19" s="28"/>
      <c r="Q19" s="28"/>
      <c r="R19" s="13"/>
      <c r="S19" s="93"/>
      <c r="T19" s="93"/>
      <c r="U19" s="93"/>
      <c r="V19" s="93"/>
      <c r="W19" s="93"/>
      <c r="X19" s="93"/>
      <c r="Y19" s="93"/>
      <c r="Z19" s="93"/>
      <c r="AA19" s="93"/>
      <c r="AB19" s="93"/>
      <c r="AC19" s="93"/>
      <c r="AD19" s="93"/>
      <c r="AE19" s="236" t="s">
        <v>316</v>
      </c>
      <c r="AF19" s="29">
        <f>'Component List'!D17</f>
        <v>25.980000000000004</v>
      </c>
      <c r="AG19" s="93"/>
      <c r="AH19" s="93"/>
      <c r="AI19" s="93"/>
      <c r="AJ19" s="93"/>
      <c r="AK19" s="93"/>
      <c r="AL19" s="93"/>
      <c r="AM19" s="93"/>
      <c r="AN19" s="93"/>
      <c r="AO19" s="93"/>
      <c r="AP19" s="93"/>
      <c r="AQ19" s="93"/>
      <c r="AR19" s="93"/>
    </row>
    <row r="20" spans="1:44" ht="17.5">
      <c r="A20" s="12"/>
      <c r="B20" s="347"/>
      <c r="C20" s="206" t="s">
        <v>31</v>
      </c>
      <c r="D20" s="308"/>
      <c r="E20" s="272" t="s">
        <v>20</v>
      </c>
      <c r="F20" s="232">
        <f>VLOOKUP(C20,AE40:AF49,2)</f>
        <v>0</v>
      </c>
      <c r="G20" s="268">
        <v>50</v>
      </c>
      <c r="H20" s="231"/>
      <c r="I20" s="264"/>
      <c r="J20" s="264"/>
      <c r="K20" s="264"/>
      <c r="L20" s="264">
        <f>D20*F20*G20/100</f>
        <v>0</v>
      </c>
      <c r="M20" s="264"/>
      <c r="N20" s="28"/>
      <c r="O20" s="28"/>
      <c r="P20" s="28"/>
      <c r="Q20" s="28"/>
      <c r="R20" s="13"/>
      <c r="S20" s="93"/>
      <c r="T20" s="93"/>
      <c r="U20" s="93"/>
      <c r="V20" s="93"/>
      <c r="W20" s="93"/>
      <c r="X20" s="93"/>
      <c r="Y20" s="93"/>
      <c r="Z20" s="93"/>
      <c r="AA20" s="93"/>
      <c r="AB20" s="93"/>
      <c r="AC20" s="93"/>
      <c r="AD20" s="93"/>
      <c r="AE20" s="237" t="s">
        <v>92</v>
      </c>
      <c r="AF20" s="72">
        <f>'Component List'!D18</f>
        <v>31.04</v>
      </c>
      <c r="AG20" s="93"/>
      <c r="AH20" s="93"/>
      <c r="AI20" s="93"/>
      <c r="AJ20" s="93"/>
      <c r="AK20" s="93"/>
      <c r="AL20" s="93"/>
      <c r="AM20" s="93"/>
      <c r="AN20" s="93"/>
      <c r="AO20" s="93"/>
      <c r="AP20" s="93"/>
      <c r="AQ20" s="93"/>
      <c r="AR20" s="93"/>
    </row>
    <row r="21" spans="1:44" ht="17.5">
      <c r="A21" s="12"/>
      <c r="B21" s="347"/>
      <c r="C21" s="206" t="s">
        <v>31</v>
      </c>
      <c r="D21" s="308"/>
      <c r="E21" s="272" t="s">
        <v>20</v>
      </c>
      <c r="F21" s="232">
        <f>VLOOKUP(C21,AE40:AF49,2)</f>
        <v>0</v>
      </c>
      <c r="G21" s="268">
        <v>50</v>
      </c>
      <c r="H21" s="231"/>
      <c r="I21" s="264"/>
      <c r="J21" s="264"/>
      <c r="K21" s="264"/>
      <c r="L21" s="264"/>
      <c r="M21" s="264">
        <f>D21*F21*G21/100</f>
        <v>0</v>
      </c>
      <c r="N21" s="28"/>
      <c r="O21" s="28"/>
      <c r="P21" s="28"/>
      <c r="Q21" s="28"/>
      <c r="R21" s="13"/>
      <c r="S21" s="93"/>
      <c r="T21" s="93"/>
      <c r="U21" s="93"/>
      <c r="V21" s="93"/>
      <c r="W21" s="93"/>
      <c r="X21" s="93"/>
      <c r="Y21" s="93"/>
      <c r="Z21" s="93"/>
      <c r="AA21" s="93"/>
      <c r="AB21" s="93"/>
      <c r="AC21" s="93"/>
      <c r="AD21" s="93"/>
      <c r="AE21" s="237" t="s">
        <v>254</v>
      </c>
      <c r="AF21" s="72">
        <f>'Component List'!D19</f>
        <v>100</v>
      </c>
      <c r="AG21" s="93"/>
      <c r="AH21" s="93"/>
      <c r="AI21" s="93"/>
      <c r="AJ21" s="93"/>
      <c r="AK21" s="93"/>
      <c r="AL21" s="93"/>
      <c r="AM21" s="93"/>
      <c r="AN21" s="93"/>
      <c r="AO21" s="93"/>
      <c r="AP21" s="93"/>
      <c r="AQ21" s="93"/>
      <c r="AR21" s="93"/>
    </row>
    <row r="22" spans="1:44" ht="17.5">
      <c r="A22" s="456" t="s">
        <v>89</v>
      </c>
      <c r="B22" s="457"/>
      <c r="C22" s="458"/>
      <c r="D22" s="165"/>
      <c r="E22" s="65"/>
      <c r="F22" s="23"/>
      <c r="G22" s="24"/>
      <c r="H22" s="271">
        <f t="shared" ref="H22:M22" si="1">SUM(H15:H21)</f>
        <v>0</v>
      </c>
      <c r="I22" s="271">
        <f t="shared" si="1"/>
        <v>0</v>
      </c>
      <c r="J22" s="271">
        <f t="shared" si="1"/>
        <v>0</v>
      </c>
      <c r="K22" s="271">
        <f t="shared" si="1"/>
        <v>0</v>
      </c>
      <c r="L22" s="271">
        <f t="shared" si="1"/>
        <v>0</v>
      </c>
      <c r="M22" s="271">
        <f t="shared" si="1"/>
        <v>0</v>
      </c>
      <c r="N22" s="23"/>
      <c r="O22" s="23"/>
      <c r="P22" s="23"/>
      <c r="Q22" s="23"/>
      <c r="R22" s="25"/>
      <c r="S22" s="93"/>
      <c r="T22" s="93"/>
      <c r="U22" s="93"/>
      <c r="V22" s="93"/>
      <c r="W22" s="93"/>
      <c r="X22" s="93"/>
      <c r="Y22" s="93"/>
      <c r="Z22" s="93"/>
      <c r="AA22" s="93"/>
      <c r="AB22" s="93"/>
      <c r="AC22" s="93"/>
      <c r="AD22" s="93"/>
      <c r="AE22" s="237" t="s">
        <v>93</v>
      </c>
      <c r="AF22" s="72">
        <f>'Component List'!D22</f>
        <v>23.04</v>
      </c>
      <c r="AG22" s="93"/>
      <c r="AH22" s="93"/>
      <c r="AI22" s="93"/>
      <c r="AJ22" s="93"/>
      <c r="AK22" s="93"/>
      <c r="AL22" s="93"/>
      <c r="AM22" s="93"/>
      <c r="AN22" s="93"/>
      <c r="AO22" s="93"/>
      <c r="AP22" s="93"/>
      <c r="AQ22" s="93"/>
      <c r="AR22" s="93"/>
    </row>
    <row r="23" spans="1:44" ht="40.5" customHeight="1">
      <c r="A23" s="459" t="str">
        <f>IF(AE52,AE54,"")</f>
        <v/>
      </c>
      <c r="B23" s="459"/>
      <c r="C23" s="459"/>
      <c r="D23" s="459"/>
      <c r="E23" s="459"/>
      <c r="F23" s="459"/>
      <c r="G23" s="459"/>
      <c r="H23" s="459"/>
      <c r="I23" s="459"/>
      <c r="J23" s="459"/>
      <c r="K23" s="459"/>
      <c r="L23" s="459"/>
      <c r="M23" s="459"/>
      <c r="N23" s="459"/>
      <c r="O23" s="459"/>
      <c r="P23" s="459"/>
      <c r="Q23" s="459"/>
      <c r="R23" s="459"/>
      <c r="S23" s="93"/>
      <c r="T23" s="93"/>
      <c r="U23" s="93"/>
      <c r="V23" s="93"/>
      <c r="W23" s="93"/>
      <c r="X23" s="93"/>
      <c r="Y23" s="93"/>
      <c r="Z23" s="93"/>
      <c r="AA23" s="93"/>
      <c r="AB23" s="93"/>
      <c r="AC23" s="93"/>
      <c r="AD23" s="93"/>
      <c r="AE23" s="237" t="s">
        <v>36</v>
      </c>
      <c r="AF23" s="72">
        <f>'Component List'!D23</f>
        <v>100</v>
      </c>
      <c r="AG23" s="93"/>
      <c r="AH23" s="93"/>
      <c r="AI23" s="93"/>
      <c r="AJ23" s="93"/>
      <c r="AK23" s="93"/>
      <c r="AL23" s="93"/>
      <c r="AM23" s="93"/>
      <c r="AN23" s="93"/>
      <c r="AO23" s="93"/>
      <c r="AP23" s="93"/>
      <c r="AQ23" s="93"/>
      <c r="AR23" s="93"/>
    </row>
    <row r="24" spans="1:44" ht="17.5">
      <c r="A24" s="401" t="s">
        <v>262</v>
      </c>
      <c r="B24" s="402"/>
      <c r="C24" s="402"/>
      <c r="D24" s="402"/>
      <c r="E24" s="402"/>
      <c r="F24" s="402"/>
      <c r="G24" s="402"/>
      <c r="H24" s="402"/>
      <c r="I24" s="402"/>
      <c r="J24" s="402"/>
      <c r="K24" s="402"/>
      <c r="L24" s="402"/>
      <c r="M24" s="402"/>
      <c r="N24" s="402"/>
      <c r="O24" s="402"/>
      <c r="P24" s="402"/>
      <c r="Q24" s="402"/>
      <c r="R24" s="403"/>
      <c r="S24" s="93"/>
      <c r="T24" s="93"/>
      <c r="U24" s="93"/>
      <c r="V24" s="93"/>
      <c r="W24" s="93"/>
      <c r="X24" s="93"/>
      <c r="Y24" s="93"/>
      <c r="Z24" s="93"/>
      <c r="AA24" s="93"/>
      <c r="AB24" s="93"/>
      <c r="AC24" s="93"/>
      <c r="AD24" s="93"/>
      <c r="AE24" s="237" t="s">
        <v>151</v>
      </c>
      <c r="AF24" s="72">
        <f>'Component List'!D24</f>
        <v>100</v>
      </c>
      <c r="AG24" s="93"/>
      <c r="AH24" s="93"/>
      <c r="AI24" s="93"/>
      <c r="AJ24" s="93"/>
      <c r="AK24" s="93"/>
      <c r="AL24" s="93"/>
      <c r="AM24" s="93"/>
      <c r="AN24" s="93"/>
      <c r="AO24" s="93"/>
      <c r="AP24" s="93"/>
      <c r="AQ24" s="93"/>
      <c r="AR24" s="93"/>
    </row>
    <row r="25" spans="1:44" ht="50.25" customHeight="1">
      <c r="A25" s="393" t="s">
        <v>434</v>
      </c>
      <c r="B25" s="394"/>
      <c r="C25" s="394"/>
      <c r="D25" s="394"/>
      <c r="E25" s="394"/>
      <c r="F25" s="394"/>
      <c r="G25" s="394"/>
      <c r="H25" s="394"/>
      <c r="I25" s="394"/>
      <c r="J25" s="394"/>
      <c r="K25" s="394"/>
      <c r="L25" s="394"/>
      <c r="M25" s="394"/>
      <c r="N25" s="394"/>
      <c r="O25" s="394"/>
      <c r="P25" s="394"/>
      <c r="Q25" s="394"/>
      <c r="R25" s="395"/>
      <c r="S25" s="93"/>
      <c r="T25" s="93"/>
      <c r="U25" s="93"/>
      <c r="V25" s="93"/>
      <c r="W25" s="93"/>
      <c r="X25" s="93"/>
      <c r="Y25" s="93"/>
      <c r="Z25" s="93"/>
      <c r="AA25" s="93"/>
      <c r="AB25" s="93"/>
      <c r="AC25" s="93"/>
      <c r="AD25" s="93"/>
      <c r="AE25" s="237" t="s">
        <v>255</v>
      </c>
      <c r="AF25" s="72">
        <f>'Component List'!D25</f>
        <v>100</v>
      </c>
      <c r="AG25" s="93"/>
      <c r="AH25" s="93"/>
      <c r="AI25" s="93"/>
      <c r="AJ25" s="93"/>
      <c r="AK25" s="93"/>
      <c r="AL25" s="93"/>
      <c r="AM25" s="93"/>
      <c r="AN25" s="93"/>
      <c r="AO25" s="93"/>
      <c r="AP25" s="93"/>
      <c r="AQ25" s="93"/>
      <c r="AR25" s="93"/>
    </row>
    <row r="26" spans="1:44" ht="17.5">
      <c r="A26" s="460" t="s">
        <v>390</v>
      </c>
      <c r="B26" s="461"/>
      <c r="C26" s="461"/>
      <c r="D26" s="461"/>
      <c r="E26" s="461"/>
      <c r="F26" s="461"/>
      <c r="G26" s="461"/>
      <c r="H26" s="461"/>
      <c r="I26" s="461"/>
      <c r="J26" s="461"/>
      <c r="K26" s="461"/>
      <c r="L26" s="461"/>
      <c r="M26" s="461"/>
      <c r="N26" s="461"/>
      <c r="O26" s="461"/>
      <c r="P26" s="461"/>
      <c r="Q26" s="461"/>
      <c r="R26" s="462"/>
      <c r="S26" s="21"/>
      <c r="T26" s="21"/>
      <c r="U26" s="21"/>
      <c r="V26" s="21"/>
      <c r="W26" s="21"/>
      <c r="X26" s="21"/>
      <c r="Y26" s="21"/>
      <c r="Z26" s="21"/>
      <c r="AA26" s="21"/>
      <c r="AB26" s="21"/>
      <c r="AC26" s="21"/>
      <c r="AD26" s="21"/>
      <c r="AE26" s="237" t="s">
        <v>256</v>
      </c>
      <c r="AF26" s="72">
        <f>'Component List'!D26</f>
        <v>100</v>
      </c>
      <c r="AG26" s="21"/>
      <c r="AH26" s="21"/>
      <c r="AI26" s="21"/>
      <c r="AJ26" s="21"/>
      <c r="AK26" s="21"/>
      <c r="AL26" s="21"/>
      <c r="AM26" s="21"/>
      <c r="AN26" s="21"/>
      <c r="AO26" s="21"/>
      <c r="AP26" s="21"/>
      <c r="AQ26" s="21"/>
      <c r="AR26" s="21"/>
    </row>
    <row r="27" spans="1:44" ht="43.5" customHeight="1">
      <c r="A27" s="463" t="s">
        <v>392</v>
      </c>
      <c r="B27" s="464"/>
      <c r="C27" s="464"/>
      <c r="D27" s="464"/>
      <c r="E27" s="464"/>
      <c r="F27" s="464"/>
      <c r="G27" s="464"/>
      <c r="H27" s="464"/>
      <c r="I27" s="464"/>
      <c r="J27" s="464"/>
      <c r="K27" s="464"/>
      <c r="L27" s="464"/>
      <c r="M27" s="464"/>
      <c r="N27" s="464"/>
      <c r="O27" s="464"/>
      <c r="P27" s="464"/>
      <c r="Q27" s="464"/>
      <c r="R27" s="465"/>
      <c r="S27" s="21"/>
      <c r="T27" s="21"/>
      <c r="U27" s="21"/>
      <c r="V27" s="21"/>
      <c r="W27" s="21"/>
      <c r="X27" s="21"/>
      <c r="Y27" s="21"/>
      <c r="Z27" s="21"/>
      <c r="AA27" s="21"/>
      <c r="AB27" s="21"/>
      <c r="AC27" s="21"/>
      <c r="AD27" s="21"/>
      <c r="AE27" s="238" t="s">
        <v>317</v>
      </c>
      <c r="AF27" s="76">
        <f>'Component List'!D59</f>
        <v>100</v>
      </c>
      <c r="AG27" s="21"/>
      <c r="AH27" s="21"/>
      <c r="AI27" s="21"/>
      <c r="AJ27" s="21"/>
      <c r="AK27" s="21"/>
      <c r="AL27" s="21"/>
      <c r="AM27" s="21"/>
      <c r="AN27" s="21"/>
      <c r="AO27" s="21"/>
      <c r="AP27" s="21"/>
      <c r="AQ27" s="21"/>
      <c r="AR27" s="21"/>
    </row>
    <row r="28" spans="1:44" ht="15.5">
      <c r="A28" s="413" t="s">
        <v>221</v>
      </c>
      <c r="B28" s="414"/>
      <c r="C28" s="414"/>
      <c r="D28" s="414"/>
      <c r="E28" s="414"/>
      <c r="F28" s="414"/>
      <c r="G28" s="414"/>
      <c r="H28" s="414"/>
      <c r="I28" s="414"/>
      <c r="J28" s="414"/>
      <c r="K28" s="414"/>
      <c r="L28" s="414"/>
      <c r="M28" s="414"/>
      <c r="N28" s="414"/>
      <c r="O28" s="414"/>
      <c r="P28" s="414"/>
      <c r="Q28" s="414"/>
      <c r="R28" s="415"/>
      <c r="S28" s="93"/>
      <c r="T28" s="93"/>
      <c r="U28" s="93"/>
      <c r="V28" s="93"/>
      <c r="W28" s="93"/>
      <c r="X28" s="93"/>
      <c r="Y28" s="93"/>
      <c r="Z28" s="93"/>
      <c r="AA28" s="93"/>
      <c r="AB28" s="93"/>
      <c r="AC28" s="93"/>
      <c r="AD28" s="93"/>
      <c r="AE28" s="202" t="s">
        <v>182</v>
      </c>
      <c r="AF28" s="10">
        <v>0</v>
      </c>
      <c r="AG28" s="93"/>
      <c r="AH28" s="93"/>
      <c r="AI28" s="93"/>
      <c r="AJ28" s="93"/>
      <c r="AK28" s="93"/>
      <c r="AL28" s="93"/>
      <c r="AM28" s="93"/>
      <c r="AN28" s="93"/>
      <c r="AO28" s="93"/>
      <c r="AP28" s="93"/>
      <c r="AQ28" s="93"/>
      <c r="AR28" s="93"/>
    </row>
    <row r="29" spans="1:44" ht="66" customHeight="1">
      <c r="A29" s="396" t="s">
        <v>370</v>
      </c>
      <c r="B29" s="397"/>
      <c r="C29" s="397"/>
      <c r="D29" s="397"/>
      <c r="E29" s="397"/>
      <c r="F29" s="397"/>
      <c r="G29" s="397"/>
      <c r="H29" s="397"/>
      <c r="I29" s="397"/>
      <c r="J29" s="397"/>
      <c r="K29" s="397"/>
      <c r="L29" s="397"/>
      <c r="M29" s="397"/>
      <c r="N29" s="397"/>
      <c r="O29" s="397"/>
      <c r="P29" s="397"/>
      <c r="Q29" s="397"/>
      <c r="R29" s="398"/>
      <c r="S29" s="93"/>
      <c r="T29" s="93"/>
      <c r="U29" s="93"/>
      <c r="V29" s="93"/>
      <c r="W29" s="93"/>
      <c r="X29" s="93"/>
      <c r="Y29" s="93"/>
      <c r="Z29" s="93"/>
      <c r="AA29" s="93"/>
      <c r="AB29" s="93"/>
      <c r="AC29" s="93"/>
      <c r="AD29" s="93"/>
      <c r="AE29" s="200" t="s">
        <v>307</v>
      </c>
      <c r="AF29" s="56">
        <f>'Component List'!D17</f>
        <v>25.980000000000004</v>
      </c>
      <c r="AG29" s="93"/>
      <c r="AH29" s="93"/>
      <c r="AI29" s="93"/>
      <c r="AJ29" s="93"/>
      <c r="AK29" s="93"/>
      <c r="AL29" s="93"/>
      <c r="AM29" s="93"/>
      <c r="AN29" s="93"/>
      <c r="AO29" s="93"/>
      <c r="AP29" s="93"/>
      <c r="AQ29" s="93"/>
      <c r="AR29" s="93"/>
    </row>
    <row r="30" spans="1:44" ht="15.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203" t="s">
        <v>173</v>
      </c>
      <c r="AF30" s="18">
        <f>'Component List'!D18</f>
        <v>31.04</v>
      </c>
      <c r="AG30" s="93"/>
      <c r="AH30" s="93"/>
      <c r="AI30" s="93"/>
      <c r="AJ30" s="93"/>
      <c r="AK30" s="93"/>
      <c r="AL30" s="93"/>
      <c r="AM30" s="93"/>
      <c r="AN30" s="93"/>
      <c r="AO30" s="93"/>
      <c r="AP30" s="93"/>
      <c r="AQ30" s="93"/>
      <c r="AR30" s="93"/>
    </row>
    <row r="31" spans="1:44" ht="15.5">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203" t="s">
        <v>195</v>
      </c>
      <c r="AF31" s="18">
        <f>'Component List'!D19</f>
        <v>100</v>
      </c>
      <c r="AG31" s="93"/>
      <c r="AH31" s="93"/>
      <c r="AI31" s="93"/>
      <c r="AJ31" s="93"/>
      <c r="AK31" s="93"/>
      <c r="AL31" s="93"/>
      <c r="AM31" s="93"/>
      <c r="AN31" s="93"/>
      <c r="AO31" s="93"/>
      <c r="AP31" s="93"/>
      <c r="AQ31" s="93"/>
      <c r="AR31" s="93"/>
    </row>
    <row r="32" spans="1:44" ht="15.5">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203" t="s">
        <v>174</v>
      </c>
      <c r="AF32" s="18">
        <f>'Component List'!D22</f>
        <v>23.04</v>
      </c>
      <c r="AG32" s="93"/>
      <c r="AH32" s="93"/>
      <c r="AI32" s="93"/>
      <c r="AJ32" s="93"/>
      <c r="AK32" s="93"/>
      <c r="AL32" s="93"/>
      <c r="AM32" s="93"/>
      <c r="AN32" s="93"/>
      <c r="AO32" s="93"/>
      <c r="AP32" s="93"/>
      <c r="AQ32" s="93"/>
      <c r="AR32" s="93"/>
    </row>
    <row r="33" spans="1:44" ht="17.25"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359" t="s">
        <v>148</v>
      </c>
      <c r="AF33" s="18">
        <f>'Component List'!D23</f>
        <v>100</v>
      </c>
      <c r="AG33" s="93"/>
      <c r="AH33" s="93"/>
      <c r="AI33" s="93"/>
      <c r="AJ33" s="93"/>
      <c r="AK33" s="93"/>
      <c r="AL33" s="93"/>
      <c r="AM33" s="93"/>
      <c r="AN33" s="93"/>
      <c r="AO33" s="93"/>
      <c r="AP33" s="93"/>
      <c r="AQ33" s="93"/>
      <c r="AR33" s="93"/>
    </row>
    <row r="34" spans="1:44" ht="15.5">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203" t="s">
        <v>147</v>
      </c>
      <c r="AF34" s="18">
        <f>'Component List'!D24</f>
        <v>100</v>
      </c>
      <c r="AG34" s="93"/>
      <c r="AH34" s="93"/>
      <c r="AI34" s="93"/>
      <c r="AJ34" s="93"/>
      <c r="AK34" s="93"/>
      <c r="AL34" s="93"/>
      <c r="AM34" s="93"/>
      <c r="AN34" s="93"/>
      <c r="AO34" s="93"/>
      <c r="AP34" s="93"/>
      <c r="AQ34" s="93"/>
      <c r="AR34" s="93"/>
    </row>
    <row r="35" spans="1:44" ht="15.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203" t="s">
        <v>196</v>
      </c>
      <c r="AF35" s="18">
        <f>'Component List'!D25</f>
        <v>100</v>
      </c>
      <c r="AG35" s="93"/>
      <c r="AH35" s="93"/>
      <c r="AI35" s="93"/>
      <c r="AJ35" s="93"/>
      <c r="AK35" s="93"/>
      <c r="AL35" s="93"/>
      <c r="AM35" s="93"/>
      <c r="AN35" s="93"/>
      <c r="AO35" s="93"/>
      <c r="AP35" s="93"/>
      <c r="AQ35" s="93"/>
      <c r="AR35" s="93"/>
    </row>
    <row r="36" spans="1:44" ht="15.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203" t="s">
        <v>197</v>
      </c>
      <c r="AF36" s="18">
        <f>'Component List'!D26</f>
        <v>100</v>
      </c>
      <c r="AG36" s="93"/>
      <c r="AH36" s="93"/>
      <c r="AI36" s="93"/>
      <c r="AJ36" s="93"/>
      <c r="AK36" s="93"/>
      <c r="AL36" s="93"/>
      <c r="AM36" s="93"/>
      <c r="AN36" s="93"/>
      <c r="AO36" s="93"/>
      <c r="AP36" s="93"/>
      <c r="AQ36" s="93"/>
      <c r="AR36" s="93"/>
    </row>
    <row r="37" spans="1:44" ht="15.5">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203" t="s">
        <v>180</v>
      </c>
      <c r="AF37" s="18">
        <f>'Component List'!D59</f>
        <v>100</v>
      </c>
      <c r="AG37" s="93"/>
      <c r="AH37" s="93"/>
      <c r="AI37" s="93"/>
      <c r="AJ37" s="93"/>
      <c r="AK37" s="93"/>
      <c r="AL37" s="93"/>
      <c r="AM37" s="93"/>
      <c r="AN37" s="93"/>
      <c r="AO37" s="93"/>
      <c r="AP37" s="93"/>
      <c r="AQ37" s="93"/>
      <c r="AR37" s="93"/>
    </row>
    <row r="38" spans="1:44" ht="15.5">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26"/>
      <c r="AF38" s="80"/>
      <c r="AG38" s="93"/>
      <c r="AH38" s="93"/>
      <c r="AI38" s="93"/>
      <c r="AJ38" s="93"/>
      <c r="AK38" s="93"/>
      <c r="AL38" s="93"/>
      <c r="AM38" s="93"/>
      <c r="AN38" s="93"/>
      <c r="AO38" s="93"/>
      <c r="AP38" s="93"/>
      <c r="AQ38" s="93"/>
      <c r="AR38" s="93"/>
    </row>
    <row r="39" spans="1:44" ht="15.5">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26"/>
      <c r="AF39" s="80"/>
      <c r="AG39" s="93"/>
      <c r="AH39" s="93"/>
      <c r="AI39" s="93"/>
      <c r="AJ39" s="93"/>
      <c r="AK39" s="93"/>
      <c r="AL39" s="93"/>
      <c r="AM39" s="93"/>
      <c r="AN39" s="93"/>
      <c r="AO39" s="93"/>
      <c r="AP39" s="93"/>
      <c r="AQ39" s="93"/>
      <c r="AR39" s="93"/>
    </row>
    <row r="40" spans="1:44" ht="15.5">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205" t="s">
        <v>31</v>
      </c>
      <c r="AF40" s="80">
        <v>0</v>
      </c>
      <c r="AG40" s="93"/>
      <c r="AH40" s="93"/>
      <c r="AI40" s="93"/>
      <c r="AJ40" s="93"/>
      <c r="AK40" s="93"/>
      <c r="AL40" s="93"/>
      <c r="AM40" s="93"/>
      <c r="AN40" s="93"/>
      <c r="AO40" s="93"/>
      <c r="AP40" s="93"/>
      <c r="AQ40" s="93"/>
      <c r="AR40" s="93"/>
    </row>
    <row r="41" spans="1:44" ht="15.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200" t="s">
        <v>150</v>
      </c>
      <c r="AF41" s="18">
        <f>'Component List'!D17</f>
        <v>25.980000000000004</v>
      </c>
      <c r="AG41" s="93"/>
      <c r="AH41" s="93"/>
      <c r="AI41" s="93"/>
      <c r="AJ41" s="93"/>
      <c r="AK41" s="93"/>
      <c r="AL41" s="93"/>
      <c r="AM41" s="93"/>
      <c r="AN41" s="93"/>
      <c r="AO41" s="93"/>
      <c r="AP41" s="93"/>
      <c r="AQ41" s="93"/>
      <c r="AR41" s="93"/>
    </row>
    <row r="42" spans="1:44" ht="15.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203" t="s">
        <v>29</v>
      </c>
      <c r="AF42" s="18">
        <f>'Component List'!D18</f>
        <v>31.04</v>
      </c>
      <c r="AG42" s="93"/>
      <c r="AH42" s="93"/>
      <c r="AI42" s="93"/>
      <c r="AJ42" s="93"/>
      <c r="AK42" s="93"/>
      <c r="AL42" s="93"/>
      <c r="AM42" s="93"/>
      <c r="AN42" s="93"/>
      <c r="AO42" s="93"/>
      <c r="AP42" s="93"/>
      <c r="AQ42" s="93"/>
      <c r="AR42" s="93"/>
    </row>
    <row r="43" spans="1:44" ht="15.5">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203" t="s">
        <v>198</v>
      </c>
      <c r="AF43" s="18">
        <f>'Component List'!D19</f>
        <v>100</v>
      </c>
      <c r="AG43" s="93"/>
      <c r="AH43" s="93"/>
      <c r="AI43" s="93"/>
      <c r="AJ43" s="93"/>
      <c r="AK43" s="93"/>
      <c r="AL43" s="93"/>
      <c r="AM43" s="93"/>
      <c r="AN43" s="93"/>
      <c r="AO43" s="93"/>
      <c r="AP43" s="93"/>
      <c r="AQ43" s="93"/>
      <c r="AR43" s="93"/>
    </row>
    <row r="44" spans="1:44" ht="15.5">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203" t="s">
        <v>153</v>
      </c>
      <c r="AF44" s="18">
        <f>'Component List'!D22</f>
        <v>23.04</v>
      </c>
      <c r="AG44" s="93"/>
      <c r="AH44" s="93"/>
      <c r="AI44" s="93"/>
      <c r="AJ44" s="93"/>
      <c r="AK44" s="93"/>
      <c r="AL44" s="93"/>
      <c r="AM44" s="93"/>
      <c r="AN44" s="93"/>
      <c r="AO44" s="93"/>
      <c r="AP44" s="93"/>
      <c r="AQ44" s="93"/>
      <c r="AR44" s="93"/>
    </row>
    <row r="45" spans="1:44" ht="20.2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359" t="s">
        <v>30</v>
      </c>
      <c r="AF45" s="18">
        <f>'Component List'!D23</f>
        <v>100</v>
      </c>
      <c r="AG45" s="93"/>
      <c r="AH45" s="93"/>
      <c r="AI45" s="93"/>
      <c r="AJ45" s="93"/>
      <c r="AK45" s="93"/>
      <c r="AL45" s="93"/>
      <c r="AM45" s="93"/>
      <c r="AN45" s="93"/>
      <c r="AO45" s="93"/>
      <c r="AP45" s="93"/>
      <c r="AQ45" s="93"/>
      <c r="AR45" s="93"/>
    </row>
    <row r="46" spans="1:44" ht="15.5">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203" t="s">
        <v>149</v>
      </c>
      <c r="AF46" s="18">
        <f>'Component List'!D24</f>
        <v>100</v>
      </c>
      <c r="AG46" s="93"/>
      <c r="AH46" s="93"/>
      <c r="AI46" s="93"/>
      <c r="AJ46" s="93"/>
      <c r="AK46" s="93"/>
      <c r="AL46" s="93"/>
      <c r="AM46" s="93"/>
      <c r="AN46" s="93"/>
      <c r="AO46" s="93"/>
      <c r="AP46" s="93"/>
      <c r="AQ46" s="93"/>
      <c r="AR46" s="93"/>
    </row>
    <row r="47" spans="1:44" ht="15.5">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203" t="s">
        <v>199</v>
      </c>
      <c r="AF47" s="18">
        <f>'Component List'!D25</f>
        <v>100</v>
      </c>
      <c r="AG47" s="93"/>
      <c r="AH47" s="93"/>
      <c r="AI47" s="93"/>
      <c r="AJ47" s="93"/>
      <c r="AK47" s="93"/>
      <c r="AL47" s="93"/>
      <c r="AM47" s="93"/>
      <c r="AN47" s="93"/>
      <c r="AO47" s="93"/>
      <c r="AP47" s="93"/>
      <c r="AQ47" s="93"/>
      <c r="AR47" s="93"/>
    </row>
    <row r="48" spans="1:44" ht="15.5">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203" t="s">
        <v>200</v>
      </c>
      <c r="AF48" s="18">
        <f>'Component List'!D26</f>
        <v>100</v>
      </c>
      <c r="AG48" s="93"/>
      <c r="AH48" s="93"/>
      <c r="AI48" s="93"/>
      <c r="AJ48" s="93"/>
      <c r="AK48" s="93"/>
      <c r="AL48" s="93"/>
      <c r="AM48" s="93"/>
      <c r="AN48" s="93"/>
      <c r="AO48" s="93"/>
      <c r="AP48" s="93"/>
      <c r="AQ48" s="93"/>
      <c r="AR48" s="93"/>
    </row>
    <row r="49" spans="1:44" ht="15.5">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203" t="s">
        <v>181</v>
      </c>
      <c r="AF49" s="45">
        <f>'Component List'!D59</f>
        <v>100</v>
      </c>
      <c r="AG49" s="93"/>
      <c r="AH49" s="93"/>
      <c r="AI49" s="93"/>
      <c r="AJ49" s="93"/>
      <c r="AK49" s="93"/>
      <c r="AL49" s="93"/>
      <c r="AM49" s="93"/>
      <c r="AN49" s="93"/>
      <c r="AO49" s="93"/>
      <c r="AP49" s="93"/>
      <c r="AQ49" s="93"/>
      <c r="AR49" s="93"/>
    </row>
    <row r="50" spans="1:44">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80"/>
      <c r="AG50" s="93"/>
      <c r="AH50" s="93"/>
      <c r="AI50" s="93"/>
      <c r="AJ50" s="93"/>
      <c r="AK50" s="93"/>
      <c r="AL50" s="93"/>
      <c r="AM50" s="93"/>
      <c r="AN50" s="93"/>
      <c r="AO50" s="93"/>
      <c r="AP50" s="93"/>
      <c r="AQ50" s="93"/>
      <c r="AR50" s="93"/>
    </row>
    <row r="51" spans="1:44">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80"/>
      <c r="AG51" s="93"/>
      <c r="AH51" s="93"/>
      <c r="AI51" s="93"/>
      <c r="AJ51" s="93"/>
      <c r="AK51" s="93"/>
      <c r="AL51" s="93"/>
      <c r="AM51" s="93"/>
      <c r="AN51" s="93"/>
      <c r="AO51" s="93"/>
      <c r="AP51" s="93"/>
      <c r="AQ51" s="93"/>
      <c r="AR51" s="93"/>
    </row>
    <row r="52" spans="1:44">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t="b">
        <f>OR(C16=AE21,C16=AE25,C16=AE26,C17=AE21,C17=AE25,C17=AE26,C18=AE31,C18=AE35,C18=AE36,C19=AE31,C19=AE35,C19=AE36,C20=AE43,C20=AE47,C20=AE48,C21=AE43,C21=AE47,C21=AE48,)</f>
        <v>0</v>
      </c>
      <c r="AF52" s="80"/>
      <c r="AG52" s="93"/>
      <c r="AH52" s="93"/>
      <c r="AI52" s="93"/>
      <c r="AJ52" s="93"/>
      <c r="AK52" s="93"/>
      <c r="AL52" s="93"/>
      <c r="AM52" s="93"/>
      <c r="AN52" s="93"/>
      <c r="AO52" s="93"/>
      <c r="AP52" s="93"/>
      <c r="AQ52" s="93"/>
      <c r="AR52" s="93"/>
    </row>
    <row r="53" spans="1:44">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80"/>
      <c r="AG53" s="93"/>
      <c r="AH53" s="93"/>
      <c r="AI53" s="93"/>
      <c r="AJ53" s="93"/>
      <c r="AK53" s="93"/>
      <c r="AL53" s="93"/>
      <c r="AM53" s="93"/>
      <c r="AN53" s="93"/>
      <c r="AO53" s="93"/>
      <c r="AP53" s="93"/>
      <c r="AQ53" s="93"/>
      <c r="AR53" s="93"/>
    </row>
    <row r="54" spans="1:44" ht="12.7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449" t="s">
        <v>253</v>
      </c>
      <c r="AF54" s="449"/>
      <c r="AG54" s="449"/>
      <c r="AH54" s="449"/>
      <c r="AI54" s="449"/>
      <c r="AJ54" s="449"/>
      <c r="AK54" s="449"/>
      <c r="AL54" s="449"/>
      <c r="AM54" s="449"/>
      <c r="AN54" s="449"/>
      <c r="AO54" s="449"/>
      <c r="AP54" s="449"/>
      <c r="AQ54" s="449"/>
      <c r="AR54" s="449"/>
    </row>
    <row r="55" spans="1:44" ht="12.7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450"/>
      <c r="AF55" s="450"/>
      <c r="AG55" s="450"/>
      <c r="AH55" s="450"/>
      <c r="AI55" s="450"/>
      <c r="AJ55" s="450"/>
      <c r="AK55" s="450"/>
      <c r="AL55" s="450"/>
      <c r="AM55" s="450"/>
      <c r="AN55" s="450"/>
      <c r="AO55" s="450"/>
      <c r="AP55" s="450"/>
      <c r="AQ55" s="450"/>
      <c r="AR55" s="450"/>
    </row>
    <row r="56" spans="1:44" ht="12.7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450"/>
      <c r="AF56" s="450"/>
      <c r="AG56" s="450"/>
      <c r="AH56" s="450"/>
      <c r="AI56" s="450"/>
      <c r="AJ56" s="450"/>
      <c r="AK56" s="450"/>
      <c r="AL56" s="450"/>
      <c r="AM56" s="450"/>
      <c r="AN56" s="450"/>
      <c r="AO56" s="450"/>
      <c r="AP56" s="450"/>
      <c r="AQ56" s="450"/>
      <c r="AR56" s="450"/>
    </row>
    <row r="57" spans="1:44" ht="12.7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450"/>
      <c r="AF57" s="450"/>
      <c r="AG57" s="450"/>
      <c r="AH57" s="450"/>
      <c r="AI57" s="450"/>
      <c r="AJ57" s="450"/>
      <c r="AK57" s="450"/>
      <c r="AL57" s="450"/>
      <c r="AM57" s="450"/>
      <c r="AN57" s="450"/>
      <c r="AO57" s="450"/>
      <c r="AP57" s="450"/>
      <c r="AQ57" s="450"/>
      <c r="AR57" s="450"/>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E54:AR57"/>
    <mergeCell ref="H9:Q9"/>
    <mergeCell ref="R9:R13"/>
    <mergeCell ref="H10:Q10"/>
    <mergeCell ref="A22:C22"/>
    <mergeCell ref="A23:R23"/>
    <mergeCell ref="A24:R24"/>
    <mergeCell ref="A25:R25"/>
    <mergeCell ref="A26:R26"/>
    <mergeCell ref="A27:R27"/>
    <mergeCell ref="A28:R28"/>
    <mergeCell ref="A29:R29"/>
  </mergeCells>
  <dataValidations count="3">
    <dataValidation type="list" allowBlank="1" showInputMessage="1" showErrorMessage="1" promptTitle="Choose Management" sqref="C20:C21">
      <formula1>$AE$40:$AE$49</formula1>
    </dataValidation>
    <dataValidation type="list" allowBlank="1" showInputMessage="1" showErrorMessage="1" promptTitle="Choose Management" sqref="C18:C19">
      <formula1>$AE$28:$AE$37</formula1>
    </dataValidation>
    <dataValidation type="list" allowBlank="1" showInputMessage="1" showErrorMessage="1" sqref="C16:C17">
      <formula1>$AE$18:$AE$27</formula1>
    </dataValidation>
  </dataValidations>
  <pageMargins left="0.7" right="0.7" top="0.75" bottom="0.75" header="0.3" footer="0.3"/>
  <pageSetup scale="4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7828" r:id="rId4" name="Check Box 4">
              <controlPr defaultSize="0" autoFill="0" autoLine="0" autoPict="0">
                <anchor moveWithCells="1">
                  <from>
                    <xdr:col>3</xdr:col>
                    <xdr:colOff>127000</xdr:colOff>
                    <xdr:row>0</xdr:row>
                    <xdr:rowOff>38100</xdr:rowOff>
                  </from>
                  <to>
                    <xdr:col>3</xdr:col>
                    <xdr:colOff>330200</xdr:colOff>
                    <xdr:row>0</xdr:row>
                    <xdr:rowOff>184150</xdr:rowOff>
                  </to>
                </anchor>
              </controlPr>
            </control>
          </mc:Choice>
        </mc:AlternateContent>
        <mc:AlternateContent xmlns:mc="http://schemas.openxmlformats.org/markup-compatibility/2006">
          <mc:Choice Requires="x14">
            <control shapeId="77829" r:id="rId5" name="Check Box 5">
              <controlPr defaultSize="0" autoFill="0" autoLine="0" autoPict="0">
                <anchor moveWithCells="1">
                  <from>
                    <xdr:col>7</xdr:col>
                    <xdr:colOff>260350</xdr:colOff>
                    <xdr:row>0</xdr:row>
                    <xdr:rowOff>50800</xdr:rowOff>
                  </from>
                  <to>
                    <xdr:col>8</xdr:col>
                    <xdr:colOff>63500</xdr:colOff>
                    <xdr:row>0</xdr:row>
                    <xdr:rowOff>190500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AR68"/>
  <sheetViews>
    <sheetView topLeftCell="A6" zoomScale="54" zoomScaleNormal="54" workbookViewId="0">
      <selection activeCell="D21" sqref="D21"/>
    </sheetView>
  </sheetViews>
  <sheetFormatPr defaultRowHeight="12.5"/>
  <cols>
    <col min="1" max="1" width="8" customWidth="1"/>
    <col min="2" max="2" width="11.26953125" customWidth="1"/>
    <col min="3" max="3" width="70" customWidth="1"/>
    <col min="4" max="4" width="13" customWidth="1"/>
    <col min="5" max="7" width="11.26953125" customWidth="1"/>
    <col min="8" max="8" width="15.7265625" customWidth="1"/>
    <col min="9" max="9" width="15.54296875" customWidth="1"/>
    <col min="10" max="10" width="16.1796875" customWidth="1"/>
    <col min="11" max="11" width="15.54296875" customWidth="1"/>
    <col min="12" max="12" width="15.26953125" customWidth="1"/>
    <col min="13" max="13" width="15.453125" customWidth="1"/>
    <col min="14" max="14" width="5.54296875" style="93" customWidth="1"/>
    <col min="15" max="15" width="7.54296875" style="93" customWidth="1"/>
    <col min="16" max="16" width="7.453125" style="93" customWidth="1"/>
    <col min="17" max="17" width="5.1796875" style="93" customWidth="1"/>
    <col min="18" max="18" width="6" customWidth="1"/>
    <col min="29" max="29" width="32.81640625" customWidth="1"/>
    <col min="31" max="31" width="64.81640625" customWidth="1"/>
    <col min="32" max="32" width="11.26953125" style="16" customWidth="1"/>
  </cols>
  <sheetData>
    <row r="1" spans="1:32" s="93" customFormat="1"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32" ht="18.75"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32" ht="20.25" customHeight="1">
      <c r="A3" s="141"/>
      <c r="B3" s="85"/>
      <c r="C3" s="85"/>
      <c r="D3" s="85"/>
      <c r="E3" s="85"/>
      <c r="F3" s="427" t="s">
        <v>26</v>
      </c>
      <c r="G3" s="428"/>
      <c r="H3" s="428"/>
      <c r="I3" s="428"/>
      <c r="J3" s="85"/>
      <c r="K3" s="85"/>
      <c r="L3" s="85"/>
      <c r="M3" s="85"/>
      <c r="N3" s="85"/>
      <c r="O3" s="17"/>
      <c r="P3" s="17"/>
      <c r="Q3" s="17"/>
      <c r="R3" s="142"/>
    </row>
    <row r="4" spans="1:32" ht="17.25" customHeight="1">
      <c r="A4" s="480" t="s">
        <v>386</v>
      </c>
      <c r="B4" s="483"/>
      <c r="C4" s="484"/>
      <c r="D4" s="490" t="s">
        <v>387</v>
      </c>
      <c r="E4" s="491"/>
      <c r="F4" s="491"/>
      <c r="G4" s="492"/>
      <c r="H4" s="243" t="s">
        <v>388</v>
      </c>
      <c r="I4" s="26"/>
      <c r="J4" s="480" t="s">
        <v>385</v>
      </c>
      <c r="K4" s="481"/>
      <c r="L4" s="482"/>
      <c r="M4" s="480" t="s">
        <v>389</v>
      </c>
      <c r="N4" s="483"/>
      <c r="O4" s="483"/>
      <c r="P4" s="483"/>
      <c r="Q4" s="483"/>
      <c r="R4" s="484"/>
    </row>
    <row r="5" spans="1:32" s="26" customFormat="1" ht="28.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AF5" s="62"/>
    </row>
    <row r="6" spans="1:32" ht="9" customHeight="1">
      <c r="A6" s="466"/>
      <c r="B6" s="466"/>
      <c r="C6" s="466"/>
      <c r="D6" s="466"/>
      <c r="E6" s="466"/>
      <c r="F6" s="466"/>
      <c r="G6" s="466"/>
      <c r="H6" s="466"/>
      <c r="I6" s="466"/>
      <c r="J6" s="466"/>
      <c r="K6" s="466"/>
      <c r="L6" s="466"/>
      <c r="M6" s="466"/>
      <c r="N6" s="466"/>
      <c r="O6" s="466"/>
      <c r="P6" s="466"/>
      <c r="Q6" s="466"/>
      <c r="R6" s="466"/>
      <c r="S6" s="11"/>
    </row>
    <row r="7" spans="1:32" ht="130.5" customHeight="1">
      <c r="A7" s="467" t="s">
        <v>457</v>
      </c>
      <c r="B7" s="468"/>
      <c r="C7" s="468"/>
      <c r="D7" s="468"/>
      <c r="E7" s="468"/>
      <c r="F7" s="468"/>
      <c r="G7" s="468"/>
      <c r="H7" s="468"/>
      <c r="I7" s="468"/>
      <c r="J7" s="468"/>
      <c r="K7" s="468"/>
      <c r="L7" s="468"/>
      <c r="M7" s="468"/>
      <c r="N7" s="468"/>
      <c r="O7" s="468"/>
      <c r="P7" s="468"/>
      <c r="Q7" s="468"/>
      <c r="R7" s="469"/>
    </row>
    <row r="8" spans="1:32" s="22" customFormat="1" ht="10.5" customHeight="1">
      <c r="A8" s="470"/>
      <c r="B8" s="470"/>
      <c r="C8" s="470"/>
      <c r="D8" s="470"/>
      <c r="E8" s="470"/>
      <c r="F8" s="470"/>
      <c r="G8" s="470"/>
      <c r="H8" s="470"/>
      <c r="I8" s="470"/>
      <c r="J8" s="470"/>
      <c r="K8" s="470"/>
      <c r="L8" s="470"/>
      <c r="M8" s="470"/>
      <c r="N8" s="470"/>
      <c r="O8" s="470"/>
      <c r="P8" s="470"/>
      <c r="Q8" s="470"/>
      <c r="R8" s="470"/>
      <c r="AF8" s="51"/>
    </row>
    <row r="9" spans="1:32" ht="22.5" customHeight="1">
      <c r="A9" s="452" t="s">
        <v>90</v>
      </c>
      <c r="B9" s="452" t="s">
        <v>27</v>
      </c>
      <c r="C9" s="471" t="s">
        <v>396</v>
      </c>
      <c r="D9" s="474" t="s">
        <v>391</v>
      </c>
      <c r="E9" s="477"/>
      <c r="F9" s="452" t="s">
        <v>8</v>
      </c>
      <c r="G9" s="452" t="s">
        <v>384</v>
      </c>
      <c r="H9" s="451" t="s">
        <v>383</v>
      </c>
      <c r="I9" s="420"/>
      <c r="J9" s="420"/>
      <c r="K9" s="420"/>
      <c r="L9" s="420"/>
      <c r="M9" s="420"/>
      <c r="N9" s="420"/>
      <c r="O9" s="420"/>
      <c r="P9" s="420"/>
      <c r="Q9" s="421"/>
      <c r="R9" s="452" t="s">
        <v>9</v>
      </c>
      <c r="AE9" s="38"/>
      <c r="AF9" s="37"/>
    </row>
    <row r="10" spans="1:32" ht="16.5" customHeight="1">
      <c r="A10" s="453"/>
      <c r="B10" s="453"/>
      <c r="C10" s="472"/>
      <c r="D10" s="475"/>
      <c r="E10" s="478"/>
      <c r="F10" s="453"/>
      <c r="G10" s="453"/>
      <c r="H10" s="455" t="s">
        <v>306</v>
      </c>
      <c r="I10" s="408"/>
      <c r="J10" s="408"/>
      <c r="K10" s="408"/>
      <c r="L10" s="408"/>
      <c r="M10" s="408"/>
      <c r="N10" s="408"/>
      <c r="O10" s="408"/>
      <c r="P10" s="408"/>
      <c r="Q10" s="409"/>
      <c r="R10" s="453"/>
      <c r="AE10" s="38"/>
      <c r="AF10" s="37"/>
    </row>
    <row r="11" spans="1:32" s="93" customFormat="1" ht="13.5" customHeight="1">
      <c r="A11" s="453"/>
      <c r="B11" s="453"/>
      <c r="C11" s="472"/>
      <c r="D11" s="475"/>
      <c r="E11" s="478"/>
      <c r="F11" s="453"/>
      <c r="G11" s="453"/>
      <c r="H11" s="160">
        <v>14</v>
      </c>
      <c r="I11" s="154">
        <v>15</v>
      </c>
      <c r="J11" s="154">
        <v>16</v>
      </c>
      <c r="K11" s="154">
        <v>17</v>
      </c>
      <c r="L11" s="154">
        <v>18</v>
      </c>
      <c r="M11" s="154">
        <v>19</v>
      </c>
      <c r="N11" s="157">
        <v>20</v>
      </c>
      <c r="O11" s="157">
        <v>21</v>
      </c>
      <c r="P11" s="157">
        <v>22</v>
      </c>
      <c r="Q11" s="157">
        <v>23</v>
      </c>
      <c r="R11" s="453"/>
      <c r="AE11" s="38"/>
      <c r="AF11" s="37"/>
    </row>
    <row r="12" spans="1:32" s="93" customFormat="1" ht="13.5" customHeight="1">
      <c r="A12" s="453"/>
      <c r="B12" s="453"/>
      <c r="C12" s="472"/>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c r="AE12" s="38"/>
      <c r="AF12" s="37"/>
    </row>
    <row r="13" spans="1:32" ht="15.5">
      <c r="A13" s="454"/>
      <c r="B13" s="454"/>
      <c r="C13" s="473"/>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AE13" s="38"/>
      <c r="AF13" s="37"/>
    </row>
    <row r="14" spans="1:32" s="80" customFormat="1">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AE14" s="158"/>
      <c r="AF14" s="159"/>
    </row>
    <row r="15" spans="1:32" ht="15" customHeight="1">
      <c r="A15" s="12"/>
      <c r="B15" s="348"/>
      <c r="C15" s="206" t="s">
        <v>160</v>
      </c>
      <c r="D15" s="308"/>
      <c r="E15" s="272" t="s">
        <v>20</v>
      </c>
      <c r="F15" s="231">
        <f>'Component List'!D2</f>
        <v>1.6399999999999997</v>
      </c>
      <c r="G15" s="268">
        <v>50</v>
      </c>
      <c r="H15" s="231">
        <f>D15*F15*G15/100</f>
        <v>0</v>
      </c>
      <c r="I15" s="264"/>
      <c r="J15" s="264"/>
      <c r="K15" s="264"/>
      <c r="L15" s="264"/>
      <c r="M15" s="264"/>
      <c r="N15" s="28"/>
      <c r="O15" s="28"/>
      <c r="P15" s="28"/>
      <c r="Q15" s="28"/>
      <c r="R15" s="13"/>
      <c r="AE15" s="38"/>
      <c r="AF15" s="37"/>
    </row>
    <row r="16" spans="1:32" ht="15" customHeight="1">
      <c r="A16" s="12"/>
      <c r="B16" s="347"/>
      <c r="C16" s="206" t="s">
        <v>159</v>
      </c>
      <c r="D16" s="308"/>
      <c r="E16" s="272" t="s">
        <v>20</v>
      </c>
      <c r="F16" s="231">
        <f>'Component List'!D3</f>
        <v>0</v>
      </c>
      <c r="G16" s="268">
        <v>50</v>
      </c>
      <c r="H16" s="231">
        <f>D16*F16*G16/100</f>
        <v>0</v>
      </c>
      <c r="I16" s="264"/>
      <c r="J16" s="264"/>
      <c r="K16" s="264"/>
      <c r="L16" s="264"/>
      <c r="M16" s="264"/>
      <c r="N16" s="28"/>
      <c r="O16" s="28"/>
      <c r="P16" s="28"/>
      <c r="Q16" s="28"/>
      <c r="R16" s="13"/>
      <c r="AE16" s="39"/>
      <c r="AF16" s="37"/>
    </row>
    <row r="17" spans="1:32" ht="15" customHeight="1">
      <c r="A17" s="12"/>
      <c r="B17" s="347"/>
      <c r="C17" s="206" t="s">
        <v>161</v>
      </c>
      <c r="D17" s="308"/>
      <c r="E17" s="272" t="s">
        <v>20</v>
      </c>
      <c r="F17" s="231">
        <f>'Component List'!D4</f>
        <v>80.06</v>
      </c>
      <c r="G17" s="268">
        <v>50</v>
      </c>
      <c r="H17" s="231">
        <f t="shared" ref="H17:H24" si="0">D17*F17*G17/100</f>
        <v>0</v>
      </c>
      <c r="I17" s="264"/>
      <c r="J17" s="264"/>
      <c r="K17" s="264"/>
      <c r="L17" s="264"/>
      <c r="M17" s="264"/>
      <c r="N17" s="28"/>
      <c r="O17" s="28"/>
      <c r="P17" s="28"/>
      <c r="Q17" s="28"/>
      <c r="R17" s="13"/>
      <c r="AE17" s="38"/>
      <c r="AF17" s="37"/>
    </row>
    <row r="18" spans="1:32" ht="15" customHeight="1">
      <c r="A18" s="12"/>
      <c r="B18" s="347"/>
      <c r="C18" s="206" t="s">
        <v>230</v>
      </c>
      <c r="D18" s="308"/>
      <c r="E18" s="272" t="s">
        <v>20</v>
      </c>
      <c r="F18" s="231">
        <f>'Component List'!D5</f>
        <v>62.6</v>
      </c>
      <c r="G18" s="268">
        <v>50</v>
      </c>
      <c r="H18" s="231">
        <f t="shared" si="0"/>
        <v>0</v>
      </c>
      <c r="I18" s="264"/>
      <c r="J18" s="264"/>
      <c r="K18" s="264"/>
      <c r="L18" s="264"/>
      <c r="M18" s="264"/>
      <c r="N18" s="28"/>
      <c r="O18" s="28"/>
      <c r="P18" s="28"/>
      <c r="Q18" s="28"/>
      <c r="R18" s="13"/>
      <c r="AE18" s="38"/>
      <c r="AF18" s="37"/>
    </row>
    <row r="19" spans="1:32" ht="15" customHeight="1">
      <c r="A19" s="12"/>
      <c r="B19" s="347"/>
      <c r="C19" s="206" t="s">
        <v>289</v>
      </c>
      <c r="D19" s="308"/>
      <c r="E19" s="272" t="s">
        <v>20</v>
      </c>
      <c r="F19" s="231">
        <f>'Component List'!D6</f>
        <v>52.88</v>
      </c>
      <c r="G19" s="268">
        <v>50</v>
      </c>
      <c r="H19" s="231">
        <f t="shared" si="0"/>
        <v>0</v>
      </c>
      <c r="I19" s="264"/>
      <c r="J19" s="264"/>
      <c r="K19" s="264"/>
      <c r="L19" s="264"/>
      <c r="M19" s="264"/>
      <c r="N19" s="28"/>
      <c r="O19" s="28"/>
      <c r="P19" s="28"/>
      <c r="Q19" s="28"/>
      <c r="R19" s="13"/>
    </row>
    <row r="20" spans="1:32" ht="15" customHeight="1">
      <c r="A20" s="12"/>
      <c r="B20" s="347"/>
      <c r="C20" s="206" t="s">
        <v>164</v>
      </c>
      <c r="D20" s="308"/>
      <c r="E20" s="272" t="s">
        <v>20</v>
      </c>
      <c r="F20" s="231">
        <f>'Component List'!D14</f>
        <v>16.079999999999998</v>
      </c>
      <c r="G20" s="268">
        <v>50</v>
      </c>
      <c r="H20" s="231">
        <f t="shared" si="0"/>
        <v>0</v>
      </c>
      <c r="I20" s="264"/>
      <c r="J20" s="264"/>
      <c r="K20" s="264"/>
      <c r="L20" s="264"/>
      <c r="M20" s="264"/>
      <c r="N20" s="28"/>
      <c r="O20" s="28"/>
      <c r="P20" s="28"/>
      <c r="Q20" s="28"/>
      <c r="R20" s="13"/>
    </row>
    <row r="21" spans="1:32" ht="18" customHeight="1">
      <c r="A21" s="35"/>
      <c r="B21" s="349"/>
      <c r="C21" s="207" t="s">
        <v>412</v>
      </c>
      <c r="D21" s="308"/>
      <c r="E21" s="273" t="s">
        <v>20</v>
      </c>
      <c r="F21" s="231">
        <f>'Component List'!D16</f>
        <v>84.42</v>
      </c>
      <c r="G21" s="268">
        <v>50</v>
      </c>
      <c r="H21" s="263">
        <f t="shared" si="0"/>
        <v>0</v>
      </c>
      <c r="I21" s="264"/>
      <c r="J21" s="269"/>
      <c r="K21" s="269"/>
      <c r="L21" s="269"/>
      <c r="M21" s="269"/>
      <c r="N21" s="68"/>
      <c r="O21" s="68"/>
      <c r="P21" s="68"/>
      <c r="Q21" s="68"/>
      <c r="R21" s="43"/>
    </row>
    <row r="22" spans="1:32" ht="17.25" customHeight="1">
      <c r="A22" s="12"/>
      <c r="B22" s="347"/>
      <c r="C22" s="206" t="s">
        <v>165</v>
      </c>
      <c r="D22" s="308"/>
      <c r="E22" s="272" t="s">
        <v>20</v>
      </c>
      <c r="F22" s="231">
        <f>'Component List'!D28</f>
        <v>94.14</v>
      </c>
      <c r="G22" s="268">
        <v>50</v>
      </c>
      <c r="H22" s="231">
        <f t="shared" si="0"/>
        <v>0</v>
      </c>
      <c r="I22" s="270"/>
      <c r="J22" s="264"/>
      <c r="K22" s="264"/>
      <c r="L22" s="264"/>
      <c r="M22" s="264"/>
      <c r="N22" s="28"/>
      <c r="O22" s="28"/>
      <c r="P22" s="28"/>
      <c r="Q22" s="28"/>
      <c r="R22" s="13"/>
      <c r="AE22" s="38"/>
      <c r="AF22" s="37"/>
    </row>
    <row r="23" spans="1:32" ht="18.75" customHeight="1">
      <c r="A23" s="12"/>
      <c r="B23" s="347"/>
      <c r="C23" s="206" t="s">
        <v>163</v>
      </c>
      <c r="D23" s="308"/>
      <c r="E23" s="272" t="s">
        <v>20</v>
      </c>
      <c r="F23" s="231">
        <f>'Component List'!D15</f>
        <v>21.78</v>
      </c>
      <c r="G23" s="282">
        <v>50</v>
      </c>
      <c r="H23" s="231">
        <f t="shared" si="0"/>
        <v>0</v>
      </c>
      <c r="I23" s="264"/>
      <c r="J23" s="264"/>
      <c r="K23" s="264"/>
      <c r="L23" s="264"/>
      <c r="M23" s="264"/>
      <c r="N23" s="28"/>
      <c r="O23" s="28"/>
      <c r="P23" s="28"/>
      <c r="Q23" s="28"/>
      <c r="R23" s="13"/>
      <c r="AE23" s="38"/>
      <c r="AF23" s="37"/>
    </row>
    <row r="24" spans="1:32" ht="18" customHeight="1">
      <c r="A24" s="12"/>
      <c r="B24" s="347"/>
      <c r="C24" s="206" t="s">
        <v>286</v>
      </c>
      <c r="D24" s="308"/>
      <c r="E24" s="272" t="s">
        <v>20</v>
      </c>
      <c r="F24" s="231">
        <f>'Component List'!D36</f>
        <v>75.36</v>
      </c>
      <c r="G24" s="268">
        <v>50</v>
      </c>
      <c r="H24" s="231">
        <f t="shared" si="0"/>
        <v>0</v>
      </c>
      <c r="I24" s="264"/>
      <c r="J24" s="264"/>
      <c r="K24" s="264"/>
      <c r="L24" s="264"/>
      <c r="M24" s="264"/>
      <c r="N24" s="28"/>
      <c r="O24" s="28"/>
      <c r="P24" s="28"/>
      <c r="Q24" s="28"/>
      <c r="R24" s="13"/>
      <c r="AE24" s="239"/>
      <c r="AF24" s="11"/>
    </row>
    <row r="25" spans="1:32" s="78" customFormat="1" ht="15" customHeight="1">
      <c r="A25" s="12"/>
      <c r="B25" s="347"/>
      <c r="C25" s="206"/>
      <c r="D25" s="308"/>
      <c r="E25" s="272"/>
      <c r="F25" s="231"/>
      <c r="G25" s="268"/>
      <c r="H25" s="231"/>
      <c r="I25" s="264"/>
      <c r="J25" s="264"/>
      <c r="K25" s="264"/>
      <c r="L25" s="264"/>
      <c r="M25" s="264"/>
      <c r="N25" s="28"/>
      <c r="O25" s="28"/>
      <c r="P25" s="28"/>
      <c r="Q25" s="28"/>
      <c r="R25" s="13"/>
      <c r="AF25" s="11"/>
    </row>
    <row r="26" spans="1:32" s="93" customFormat="1" ht="15" hidden="1" customHeight="1">
      <c r="A26" s="64"/>
      <c r="B26" s="64"/>
      <c r="C26" s="206"/>
      <c r="D26" s="267"/>
      <c r="E26" s="272"/>
      <c r="F26" s="231"/>
      <c r="G26" s="268"/>
      <c r="H26" s="231"/>
      <c r="I26" s="264"/>
      <c r="J26" s="264"/>
      <c r="K26" s="264"/>
      <c r="L26" s="264"/>
      <c r="M26" s="264"/>
      <c r="N26" s="28"/>
      <c r="O26" s="28"/>
      <c r="P26" s="28"/>
      <c r="Q26" s="28"/>
      <c r="R26" s="13"/>
      <c r="AF26" s="11"/>
    </row>
    <row r="27" spans="1:32" ht="15" customHeight="1">
      <c r="A27" s="12"/>
      <c r="B27" s="347"/>
      <c r="C27" s="206"/>
      <c r="D27" s="308"/>
      <c r="E27" s="272"/>
      <c r="F27" s="231"/>
      <c r="G27" s="268"/>
      <c r="H27" s="231"/>
      <c r="I27" s="264"/>
      <c r="J27" s="264"/>
      <c r="K27" s="264"/>
      <c r="L27" s="264"/>
      <c r="M27" s="264"/>
      <c r="N27" s="28"/>
      <c r="O27" s="28"/>
      <c r="P27" s="28"/>
      <c r="Q27" s="28"/>
      <c r="R27" s="13"/>
      <c r="AE27" s="364" t="s">
        <v>192</v>
      </c>
      <c r="AF27" s="240" t="s">
        <v>193</v>
      </c>
    </row>
    <row r="28" spans="1:32" ht="15" customHeight="1">
      <c r="A28" s="12"/>
      <c r="B28" s="347"/>
      <c r="C28" s="206" t="s">
        <v>182</v>
      </c>
      <c r="D28" s="308"/>
      <c r="E28" s="272" t="s">
        <v>20</v>
      </c>
      <c r="F28" s="232">
        <f>VLOOKUP(C28,AE38:AF47,2)</f>
        <v>0</v>
      </c>
      <c r="G28" s="268">
        <v>50</v>
      </c>
      <c r="H28" s="231"/>
      <c r="I28" s="264"/>
      <c r="J28" s="264">
        <f>D28*F28*G28/100</f>
        <v>0</v>
      </c>
      <c r="K28" s="264"/>
      <c r="L28" s="264"/>
      <c r="M28" s="264"/>
      <c r="N28" s="28"/>
      <c r="O28" s="28"/>
      <c r="P28" s="28"/>
      <c r="Q28" s="28"/>
      <c r="R28" s="13"/>
      <c r="AE28" s="235"/>
      <c r="AF28" s="11"/>
    </row>
    <row r="29" spans="1:32" ht="15" customHeight="1">
      <c r="A29" s="12"/>
      <c r="B29" s="347"/>
      <c r="C29" s="206" t="s">
        <v>182</v>
      </c>
      <c r="D29" s="308"/>
      <c r="E29" s="272" t="s">
        <v>20</v>
      </c>
      <c r="F29" s="232">
        <f>VLOOKUP(C29,AE38:AF47,2)</f>
        <v>0</v>
      </c>
      <c r="G29" s="268">
        <v>50</v>
      </c>
      <c r="H29" s="231"/>
      <c r="I29" s="264"/>
      <c r="J29" s="264"/>
      <c r="K29" s="264">
        <f>D29*F29*G29/100</f>
        <v>0</v>
      </c>
      <c r="L29" s="264"/>
      <c r="M29" s="264"/>
      <c r="N29" s="28"/>
      <c r="O29" s="28"/>
      <c r="P29" s="28"/>
      <c r="Q29" s="28"/>
      <c r="R29" s="13"/>
      <c r="AE29" s="365"/>
      <c r="AF29" s="46"/>
    </row>
    <row r="30" spans="1:32" ht="15" customHeight="1">
      <c r="A30" s="12"/>
      <c r="B30" s="347"/>
      <c r="C30" s="206" t="s">
        <v>31</v>
      </c>
      <c r="D30" s="308"/>
      <c r="E30" s="272" t="s">
        <v>20</v>
      </c>
      <c r="F30" s="232">
        <f>VLOOKUP(C30,AE50:AF59,2)</f>
        <v>0</v>
      </c>
      <c r="G30" s="268">
        <v>50</v>
      </c>
      <c r="H30" s="231"/>
      <c r="I30" s="264"/>
      <c r="J30" s="264"/>
      <c r="K30" s="264"/>
      <c r="L30" s="264">
        <f>D30*F30*G30/100</f>
        <v>0</v>
      </c>
      <c r="M30" s="264"/>
      <c r="N30" s="28"/>
      <c r="O30" s="28"/>
      <c r="P30" s="28"/>
      <c r="Q30" s="28"/>
      <c r="R30" s="13"/>
      <c r="AE30" s="338"/>
      <c r="AF30" s="366"/>
    </row>
    <row r="31" spans="1:32" ht="15" customHeight="1">
      <c r="A31" s="12"/>
      <c r="B31" s="347"/>
      <c r="C31" s="206" t="s">
        <v>31</v>
      </c>
      <c r="D31" s="308"/>
      <c r="E31" s="272" t="s">
        <v>20</v>
      </c>
      <c r="F31" s="232">
        <f>VLOOKUP(C31,AE50:AF59,2)</f>
        <v>0</v>
      </c>
      <c r="G31" s="268">
        <v>50</v>
      </c>
      <c r="H31" s="231"/>
      <c r="I31" s="264"/>
      <c r="J31" s="264"/>
      <c r="K31" s="264"/>
      <c r="L31" s="264"/>
      <c r="M31" s="264">
        <f>D31*F31*G31/100</f>
        <v>0</v>
      </c>
      <c r="N31" s="28"/>
      <c r="O31" s="28"/>
      <c r="P31" s="28"/>
      <c r="Q31" s="28"/>
      <c r="R31" s="13"/>
      <c r="AE31" s="338"/>
      <c r="AF31" s="366"/>
    </row>
    <row r="32" spans="1:32" ht="27.75" customHeight="1">
      <c r="A32" s="456" t="s">
        <v>89</v>
      </c>
      <c r="B32" s="457"/>
      <c r="C32" s="458"/>
      <c r="D32" s="165"/>
      <c r="E32" s="65"/>
      <c r="F32" s="23"/>
      <c r="G32" s="24"/>
      <c r="H32" s="271">
        <f t="shared" ref="H32:M32" si="1">SUM(H15:H31)</f>
        <v>0</v>
      </c>
      <c r="I32" s="271">
        <f t="shared" si="1"/>
        <v>0</v>
      </c>
      <c r="J32" s="271">
        <f>SUM(J15:J31)</f>
        <v>0</v>
      </c>
      <c r="K32" s="271">
        <f>SUM(K15:K31)</f>
        <v>0</v>
      </c>
      <c r="L32" s="271">
        <f t="shared" si="1"/>
        <v>0</v>
      </c>
      <c r="M32" s="271">
        <f t="shared" si="1"/>
        <v>0</v>
      </c>
      <c r="N32" s="23"/>
      <c r="O32" s="23"/>
      <c r="P32" s="23"/>
      <c r="Q32" s="23"/>
      <c r="R32" s="25"/>
      <c r="AE32" s="338"/>
      <c r="AF32" s="366"/>
    </row>
    <row r="33" spans="1:32" ht="49.5" customHeight="1">
      <c r="A33" s="459" t="str">
        <f>IF(AE62,AE64,"")</f>
        <v/>
      </c>
      <c r="B33" s="459"/>
      <c r="C33" s="459"/>
      <c r="D33" s="459"/>
      <c r="E33" s="459"/>
      <c r="F33" s="459"/>
      <c r="G33" s="459"/>
      <c r="H33" s="459"/>
      <c r="I33" s="459"/>
      <c r="J33" s="459"/>
      <c r="K33" s="459"/>
      <c r="L33" s="459"/>
      <c r="M33" s="459"/>
      <c r="N33" s="459"/>
      <c r="O33" s="459"/>
      <c r="P33" s="459"/>
      <c r="Q33" s="459"/>
      <c r="R33" s="459"/>
      <c r="AE33" s="338"/>
      <c r="AF33" s="366"/>
    </row>
    <row r="34" spans="1:32" ht="15" customHeight="1">
      <c r="A34" s="401" t="s">
        <v>262</v>
      </c>
      <c r="B34" s="402"/>
      <c r="C34" s="402"/>
      <c r="D34" s="402"/>
      <c r="E34" s="402"/>
      <c r="F34" s="402"/>
      <c r="G34" s="402"/>
      <c r="H34" s="402"/>
      <c r="I34" s="402"/>
      <c r="J34" s="402"/>
      <c r="K34" s="402"/>
      <c r="L34" s="402"/>
      <c r="M34" s="402"/>
      <c r="N34" s="402"/>
      <c r="O34" s="402"/>
      <c r="P34" s="402"/>
      <c r="Q34" s="402"/>
      <c r="R34" s="403"/>
      <c r="AE34" s="338"/>
      <c r="AF34" s="366"/>
    </row>
    <row r="35" spans="1:32" ht="50.25" customHeight="1">
      <c r="A35" s="393" t="s">
        <v>434</v>
      </c>
      <c r="B35" s="394"/>
      <c r="C35" s="394"/>
      <c r="D35" s="394"/>
      <c r="E35" s="394"/>
      <c r="F35" s="394"/>
      <c r="G35" s="394"/>
      <c r="H35" s="394"/>
      <c r="I35" s="394"/>
      <c r="J35" s="394"/>
      <c r="K35" s="394"/>
      <c r="L35" s="394"/>
      <c r="M35" s="394"/>
      <c r="N35" s="394"/>
      <c r="O35" s="394"/>
      <c r="P35" s="394"/>
      <c r="Q35" s="394"/>
      <c r="R35" s="395"/>
      <c r="AE35" s="338"/>
      <c r="AF35" s="366"/>
    </row>
    <row r="36" spans="1:32" s="21" customFormat="1" ht="16.5" customHeight="1">
      <c r="A36" s="460" t="s">
        <v>390</v>
      </c>
      <c r="B36" s="461"/>
      <c r="C36" s="461"/>
      <c r="D36" s="461"/>
      <c r="E36" s="461"/>
      <c r="F36" s="461"/>
      <c r="G36" s="461"/>
      <c r="H36" s="461"/>
      <c r="I36" s="461"/>
      <c r="J36" s="461"/>
      <c r="K36" s="461"/>
      <c r="L36" s="461"/>
      <c r="M36" s="461"/>
      <c r="N36" s="461"/>
      <c r="O36" s="461"/>
      <c r="P36" s="461"/>
      <c r="Q36" s="461"/>
      <c r="R36" s="462"/>
      <c r="AE36" s="338"/>
      <c r="AF36" s="366"/>
    </row>
    <row r="37" spans="1:32" s="21" customFormat="1" ht="48.75" customHeight="1">
      <c r="A37" s="463" t="s">
        <v>392</v>
      </c>
      <c r="B37" s="464"/>
      <c r="C37" s="464"/>
      <c r="D37" s="464"/>
      <c r="E37" s="464"/>
      <c r="F37" s="464"/>
      <c r="G37" s="464"/>
      <c r="H37" s="464"/>
      <c r="I37" s="464"/>
      <c r="J37" s="464"/>
      <c r="K37" s="464"/>
      <c r="L37" s="464"/>
      <c r="M37" s="464"/>
      <c r="N37" s="464"/>
      <c r="O37" s="464"/>
      <c r="P37" s="464"/>
      <c r="Q37" s="464"/>
      <c r="R37" s="465"/>
      <c r="AE37" s="338"/>
      <c r="AF37" s="366"/>
    </row>
    <row r="38" spans="1:32" ht="15.5">
      <c r="A38" s="413" t="s">
        <v>221</v>
      </c>
      <c r="B38" s="414"/>
      <c r="C38" s="414"/>
      <c r="D38" s="414"/>
      <c r="E38" s="414"/>
      <c r="F38" s="414"/>
      <c r="G38" s="414"/>
      <c r="H38" s="414"/>
      <c r="I38" s="414"/>
      <c r="J38" s="414"/>
      <c r="K38" s="414"/>
      <c r="L38" s="414"/>
      <c r="M38" s="414"/>
      <c r="N38" s="414"/>
      <c r="O38" s="414"/>
      <c r="P38" s="414"/>
      <c r="Q38" s="414"/>
      <c r="R38" s="415"/>
      <c r="AE38" s="202" t="s">
        <v>182</v>
      </c>
      <c r="AF38" s="10">
        <v>0</v>
      </c>
    </row>
    <row r="39" spans="1:32" ht="72" customHeight="1">
      <c r="A39" s="396" t="s">
        <v>370</v>
      </c>
      <c r="B39" s="397"/>
      <c r="C39" s="397"/>
      <c r="D39" s="397"/>
      <c r="E39" s="397"/>
      <c r="F39" s="397"/>
      <c r="G39" s="397"/>
      <c r="H39" s="397"/>
      <c r="I39" s="397"/>
      <c r="J39" s="397"/>
      <c r="K39" s="397"/>
      <c r="L39" s="397"/>
      <c r="M39" s="397"/>
      <c r="N39" s="397"/>
      <c r="O39" s="397"/>
      <c r="P39" s="397"/>
      <c r="Q39" s="397"/>
      <c r="R39" s="398"/>
      <c r="AE39" s="200" t="s">
        <v>307</v>
      </c>
      <c r="AF39" s="56">
        <f>'Component List'!D17</f>
        <v>25.980000000000004</v>
      </c>
    </row>
    <row r="40" spans="1:32" ht="15.5">
      <c r="AE40" s="203" t="s">
        <v>173</v>
      </c>
      <c r="AF40" s="18">
        <f>'Component List'!D18</f>
        <v>31.04</v>
      </c>
    </row>
    <row r="41" spans="1:32" ht="15.5">
      <c r="AE41" s="203" t="s">
        <v>195</v>
      </c>
      <c r="AF41" s="18">
        <f>'Component List'!D19</f>
        <v>100</v>
      </c>
    </row>
    <row r="42" spans="1:32" ht="15.5">
      <c r="AE42" s="203" t="s">
        <v>174</v>
      </c>
      <c r="AF42" s="18">
        <f>'Component List'!D22</f>
        <v>23.04</v>
      </c>
    </row>
    <row r="43" spans="1:32" ht="15.5">
      <c r="AE43" s="204" t="s">
        <v>148</v>
      </c>
      <c r="AF43" s="18">
        <f>'Component List'!D23</f>
        <v>100</v>
      </c>
    </row>
    <row r="44" spans="1:32" ht="15.5">
      <c r="AE44" s="203" t="s">
        <v>147</v>
      </c>
      <c r="AF44" s="18">
        <f>'Component List'!D24</f>
        <v>100</v>
      </c>
    </row>
    <row r="45" spans="1:32" ht="15.5">
      <c r="AE45" s="203" t="s">
        <v>196</v>
      </c>
      <c r="AF45" s="18">
        <f>'Component List'!D25</f>
        <v>100</v>
      </c>
    </row>
    <row r="46" spans="1:32" ht="15.5">
      <c r="AE46" s="203" t="s">
        <v>197</v>
      </c>
      <c r="AF46" s="18">
        <f>'Component List'!D26</f>
        <v>100</v>
      </c>
    </row>
    <row r="47" spans="1:32" ht="15.5">
      <c r="AE47" s="203" t="s">
        <v>180</v>
      </c>
      <c r="AF47" s="18">
        <f>'Component List'!D59</f>
        <v>100</v>
      </c>
    </row>
    <row r="48" spans="1:32" ht="15.5">
      <c r="AE48" s="26"/>
    </row>
    <row r="49" spans="31:44" ht="15.5">
      <c r="AE49" s="26"/>
    </row>
    <row r="50" spans="31:44" ht="15.5">
      <c r="AE50" s="205" t="s">
        <v>31</v>
      </c>
      <c r="AF50" s="16">
        <v>0</v>
      </c>
    </row>
    <row r="51" spans="31:44" ht="15.5">
      <c r="AE51" s="200" t="s">
        <v>150</v>
      </c>
      <c r="AF51" s="18">
        <f>'Component List'!D17</f>
        <v>25.980000000000004</v>
      </c>
    </row>
    <row r="52" spans="31:44" ht="15.5">
      <c r="AE52" s="203" t="s">
        <v>29</v>
      </c>
      <c r="AF52" s="18">
        <f>'Component List'!D18</f>
        <v>31.04</v>
      </c>
    </row>
    <row r="53" spans="31:44" ht="15.5">
      <c r="AE53" s="203" t="s">
        <v>198</v>
      </c>
      <c r="AF53" s="18">
        <f>'Component List'!D19</f>
        <v>100</v>
      </c>
    </row>
    <row r="54" spans="31:44" ht="15.5">
      <c r="AE54" s="203" t="s">
        <v>153</v>
      </c>
      <c r="AF54" s="18">
        <f>'Component List'!D22</f>
        <v>23.04</v>
      </c>
    </row>
    <row r="55" spans="31:44" ht="15.5">
      <c r="AE55" s="204" t="s">
        <v>30</v>
      </c>
      <c r="AF55" s="18">
        <f>'Component List'!D23</f>
        <v>100</v>
      </c>
    </row>
    <row r="56" spans="31:44" ht="15.5">
      <c r="AE56" s="203" t="s">
        <v>149</v>
      </c>
      <c r="AF56" s="18">
        <f>'Component List'!D24</f>
        <v>100</v>
      </c>
    </row>
    <row r="57" spans="31:44" ht="15.5">
      <c r="AE57" s="203" t="s">
        <v>199</v>
      </c>
      <c r="AF57" s="18">
        <f>'Component List'!D25</f>
        <v>100</v>
      </c>
    </row>
    <row r="58" spans="31:44" ht="15.5">
      <c r="AE58" s="203" t="s">
        <v>200</v>
      </c>
      <c r="AF58" s="18">
        <f>'Component List'!D26</f>
        <v>100</v>
      </c>
    </row>
    <row r="59" spans="31:44" ht="15.5">
      <c r="AE59" s="203" t="s">
        <v>181</v>
      </c>
      <c r="AF59" s="45">
        <f>'Component List'!D59</f>
        <v>100</v>
      </c>
    </row>
    <row r="62" spans="31:44">
      <c r="AE62" t="b">
        <f>OR(C28=AE41,C28=AE45,C28=AE46,C29=AE41,C29=AE45,C29=AE46,C30=AE53,C30=AE57,C30=AE58,C31=AE53,C31=AE57,C31=AE58,)</f>
        <v>0</v>
      </c>
    </row>
    <row r="64" spans="31:44" ht="12.75" customHeight="1">
      <c r="AE64" s="449" t="s">
        <v>253</v>
      </c>
      <c r="AF64" s="449"/>
      <c r="AG64" s="449"/>
      <c r="AH64" s="449"/>
      <c r="AI64" s="449"/>
      <c r="AJ64" s="449"/>
      <c r="AK64" s="449"/>
      <c r="AL64" s="449"/>
      <c r="AM64" s="449"/>
      <c r="AN64" s="449"/>
      <c r="AO64" s="449"/>
      <c r="AP64" s="449"/>
      <c r="AQ64" s="449"/>
      <c r="AR64" s="449"/>
    </row>
    <row r="65" spans="29:44">
      <c r="AE65" s="450"/>
      <c r="AF65" s="450"/>
      <c r="AG65" s="450"/>
      <c r="AH65" s="450"/>
      <c r="AI65" s="450"/>
      <c r="AJ65" s="450"/>
      <c r="AK65" s="450"/>
      <c r="AL65" s="450"/>
      <c r="AM65" s="450"/>
      <c r="AN65" s="450"/>
      <c r="AO65" s="450"/>
      <c r="AP65" s="450"/>
      <c r="AQ65" s="450"/>
      <c r="AR65" s="450"/>
    </row>
    <row r="66" spans="29:44">
      <c r="AE66" s="450"/>
      <c r="AF66" s="450"/>
      <c r="AG66" s="450"/>
      <c r="AH66" s="450"/>
      <c r="AI66" s="450"/>
      <c r="AJ66" s="450"/>
      <c r="AK66" s="450"/>
      <c r="AL66" s="450"/>
      <c r="AM66" s="450"/>
      <c r="AN66" s="450"/>
      <c r="AO66" s="450"/>
      <c r="AP66" s="450"/>
      <c r="AQ66" s="450"/>
      <c r="AR66" s="450"/>
    </row>
    <row r="67" spans="29:44">
      <c r="AE67" s="450"/>
      <c r="AF67" s="450"/>
      <c r="AG67" s="450"/>
      <c r="AH67" s="450"/>
      <c r="AI67" s="450"/>
      <c r="AJ67" s="450"/>
      <c r="AK67" s="450"/>
      <c r="AL67" s="450"/>
      <c r="AM67" s="450"/>
      <c r="AN67" s="450"/>
      <c r="AO67" s="450"/>
      <c r="AP67" s="450"/>
      <c r="AQ67" s="450"/>
      <c r="AR67" s="450"/>
    </row>
    <row r="68" spans="29:44">
      <c r="AC68" s="38"/>
    </row>
  </sheetData>
  <sheetProtection formatRows="0" deleteRows="0" selectLockedCells="1"/>
  <mergeCells count="35">
    <mergeCell ref="A1:C1"/>
    <mergeCell ref="A2:C2"/>
    <mergeCell ref="F2:I2"/>
    <mergeCell ref="F3:I3"/>
    <mergeCell ref="D5:G5"/>
    <mergeCell ref="D4:G4"/>
    <mergeCell ref="A4:C4"/>
    <mergeCell ref="H5:I5"/>
    <mergeCell ref="A5:C5"/>
    <mergeCell ref="AE64:AR67"/>
    <mergeCell ref="F9:F13"/>
    <mergeCell ref="A8:R8"/>
    <mergeCell ref="G9:G13"/>
    <mergeCell ref="R9:R13"/>
    <mergeCell ref="A32:C32"/>
    <mergeCell ref="H9:Q9"/>
    <mergeCell ref="H10:Q10"/>
    <mergeCell ref="A37:R37"/>
    <mergeCell ref="A38:R38"/>
    <mergeCell ref="A39:R39"/>
    <mergeCell ref="D9:D13"/>
    <mergeCell ref="E9:E13"/>
    <mergeCell ref="A35:R35"/>
    <mergeCell ref="A33:R33"/>
    <mergeCell ref="A9:A13"/>
    <mergeCell ref="B9:B13"/>
    <mergeCell ref="A36:R36"/>
    <mergeCell ref="A34:R34"/>
    <mergeCell ref="M4:R4"/>
    <mergeCell ref="A6:R6"/>
    <mergeCell ref="C9:C13"/>
    <mergeCell ref="J4:L4"/>
    <mergeCell ref="J5:L5"/>
    <mergeCell ref="M5:R5"/>
    <mergeCell ref="A7:R7"/>
  </mergeCells>
  <phoneticPr fontId="0" type="noConversion"/>
  <dataValidations xWindow="286" yWindow="454" count="4">
    <dataValidation type="list" allowBlank="1" showInputMessage="1" showErrorMessage="1" promptTitle="Choose Management" sqref="C28:C29">
      <formula1>$AE$38:$AE$47</formula1>
    </dataValidation>
    <dataValidation type="list" allowBlank="1" showInputMessage="1" showErrorMessage="1" promptTitle="Choose Management" sqref="C30:C31">
      <formula1>$AE$50:$AE$59</formula1>
    </dataValidation>
    <dataValidation type="list" allowBlank="1" showInputMessage="1" showErrorMessage="1" sqref="C26">
      <formula1>$AA$36:$AA$45</formula1>
    </dataValidation>
    <dataValidation type="list" allowBlank="1" showInputMessage="1" showErrorMessage="1" sqref="C27">
      <formula1>$AE$28:$AE$37</formula1>
    </dataValidation>
  </dataValidations>
  <pageMargins left="0.2" right="0.23" top="0.24" bottom="0.24" header="0.25" footer="0.1"/>
  <pageSetup scale="52" orientation="landscape" r:id="rId1"/>
  <headerFooter alignWithMargins="0">
    <oddFooter>&amp;CThe signature by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3</xdr:col>
                    <xdr:colOff>241300</xdr:colOff>
                    <xdr:row>0</xdr:row>
                    <xdr:rowOff>12700</xdr:rowOff>
                  </from>
                  <to>
                    <xdr:col>4</xdr:col>
                    <xdr:colOff>215900</xdr:colOff>
                    <xdr:row>0</xdr:row>
                    <xdr:rowOff>146050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7</xdr:col>
                    <xdr:colOff>304800</xdr:colOff>
                    <xdr:row>0</xdr:row>
                    <xdr:rowOff>0</xdr:rowOff>
                  </from>
                  <to>
                    <xdr:col>8</xdr:col>
                    <xdr:colOff>158750</xdr:colOff>
                    <xdr:row>0</xdr:row>
                    <xdr:rowOff>133350</xdr:rowOff>
                  </to>
                </anchor>
              </controlPr>
            </control>
          </mc:Choice>
        </mc:AlternateContent>
      </controls>
    </mc:Choice>
  </mc:AlternateContent>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AN56"/>
  <sheetViews>
    <sheetView topLeftCell="A4" zoomScale="60" zoomScaleNormal="60" workbookViewId="0">
      <selection activeCell="D15" sqref="D15"/>
    </sheetView>
  </sheetViews>
  <sheetFormatPr defaultRowHeight="12.5"/>
  <cols>
    <col min="3" max="3" width="70.7265625" customWidth="1"/>
    <col min="4" max="4" width="13.453125" customWidth="1"/>
    <col min="6" max="6" width="10.81640625" customWidth="1"/>
    <col min="7" max="7" width="10.54296875" customWidth="1"/>
    <col min="8" max="8" width="15.26953125" customWidth="1"/>
    <col min="9" max="9" width="16.453125" customWidth="1"/>
    <col min="10" max="10" width="14.1796875" customWidth="1"/>
    <col min="11" max="12" width="15.26953125" customWidth="1"/>
    <col min="13" max="13" width="15.54296875" customWidth="1"/>
    <col min="14" max="14" width="6.54296875" customWidth="1"/>
    <col min="15" max="15" width="7.7265625" customWidth="1"/>
    <col min="16" max="16" width="6.81640625" customWidth="1"/>
    <col min="17" max="17" width="6.26953125" customWidth="1"/>
    <col min="18" max="18" width="5.1796875" customWidth="1"/>
    <col min="27" max="27" width="54.7265625" bestFit="1" customWidth="1"/>
    <col min="28" max="28" width="9.1796875" customWidth="1"/>
  </cols>
  <sheetData>
    <row r="1" spans="1:40" ht="21" customHeight="1">
      <c r="A1" s="434" t="s">
        <v>366</v>
      </c>
      <c r="B1" s="435"/>
      <c r="C1" s="435"/>
      <c r="D1" s="144" t="s">
        <v>368</v>
      </c>
      <c r="E1" s="143"/>
      <c r="F1" s="143"/>
      <c r="G1" s="143"/>
      <c r="H1" s="145" t="s">
        <v>369</v>
      </c>
      <c r="I1" s="143"/>
      <c r="J1" s="143"/>
      <c r="K1" s="143"/>
      <c r="L1" s="143"/>
      <c r="M1" s="143"/>
      <c r="N1" s="143"/>
      <c r="O1" s="145" t="s">
        <v>367</v>
      </c>
      <c r="P1" s="143"/>
      <c r="Q1" s="143"/>
      <c r="R1" s="143"/>
      <c r="S1" s="93"/>
      <c r="T1" s="93"/>
      <c r="U1" s="93"/>
      <c r="V1" s="93"/>
      <c r="W1" s="93"/>
      <c r="X1" s="93"/>
      <c r="Y1" s="93"/>
      <c r="Z1" s="93"/>
      <c r="AA1" s="93"/>
      <c r="AB1" s="93"/>
      <c r="AC1" s="93"/>
      <c r="AD1" s="93"/>
      <c r="AE1" s="93"/>
      <c r="AF1" s="93"/>
      <c r="AG1" s="93"/>
      <c r="AH1" s="93"/>
      <c r="AI1" s="93"/>
      <c r="AJ1" s="93"/>
      <c r="AK1" s="93"/>
      <c r="AL1" s="93"/>
      <c r="AM1" s="93"/>
      <c r="AN1" s="93"/>
    </row>
    <row r="2" spans="1:40" ht="20.25" customHeight="1">
      <c r="A2" s="429" t="s">
        <v>363</v>
      </c>
      <c r="B2" s="430"/>
      <c r="C2" s="430"/>
      <c r="D2" s="136"/>
      <c r="E2" s="136"/>
      <c r="F2" s="425" t="s">
        <v>25</v>
      </c>
      <c r="G2" s="426"/>
      <c r="H2" s="426"/>
      <c r="I2" s="426"/>
      <c r="J2" s="136"/>
      <c r="K2" s="136"/>
      <c r="L2" s="136"/>
      <c r="M2" s="136"/>
      <c r="N2" s="262" t="s">
        <v>420</v>
      </c>
      <c r="O2" s="139" t="s">
        <v>364</v>
      </c>
      <c r="P2" s="138"/>
      <c r="Q2" s="139" t="s">
        <v>365</v>
      </c>
      <c r="R2" s="140"/>
      <c r="S2" s="93"/>
      <c r="T2" s="93"/>
      <c r="U2" s="93"/>
      <c r="V2" s="93"/>
      <c r="W2" s="93"/>
      <c r="X2" s="93"/>
      <c r="Y2" s="93"/>
      <c r="Z2" s="93"/>
      <c r="AA2" s="93"/>
      <c r="AB2" s="93"/>
      <c r="AC2" s="93"/>
      <c r="AD2" s="93"/>
      <c r="AE2" s="93"/>
      <c r="AF2" s="93"/>
      <c r="AG2" s="93"/>
      <c r="AH2" s="93"/>
      <c r="AI2" s="93"/>
      <c r="AJ2" s="93"/>
      <c r="AK2" s="93"/>
      <c r="AL2" s="93"/>
      <c r="AM2" s="93"/>
      <c r="AN2" s="93"/>
    </row>
    <row r="3" spans="1:40" ht="24" customHeight="1">
      <c r="A3" s="141"/>
      <c r="B3" s="85"/>
      <c r="C3" s="85"/>
      <c r="D3" s="85"/>
      <c r="E3" s="85"/>
      <c r="F3" s="427" t="s">
        <v>26</v>
      </c>
      <c r="G3" s="428"/>
      <c r="H3" s="428"/>
      <c r="I3" s="428"/>
      <c r="J3" s="85"/>
      <c r="K3" s="85"/>
      <c r="L3" s="85"/>
      <c r="M3" s="85"/>
      <c r="N3" s="85"/>
      <c r="O3" s="17"/>
      <c r="P3" s="17"/>
      <c r="Q3" s="17"/>
      <c r="R3" s="142"/>
      <c r="S3" s="93"/>
      <c r="T3" s="93"/>
      <c r="U3" s="93"/>
      <c r="V3" s="93"/>
      <c r="W3" s="93"/>
      <c r="X3" s="93"/>
      <c r="Y3" s="93"/>
      <c r="Z3" s="93"/>
      <c r="AA3" s="93"/>
      <c r="AB3" s="93"/>
      <c r="AC3" s="93"/>
      <c r="AD3" s="93"/>
      <c r="AE3" s="93"/>
      <c r="AF3" s="93"/>
      <c r="AG3" s="93"/>
      <c r="AH3" s="93"/>
      <c r="AI3" s="93"/>
      <c r="AJ3" s="93"/>
      <c r="AK3" s="93"/>
      <c r="AL3" s="93"/>
      <c r="AM3" s="93"/>
      <c r="AN3" s="93"/>
    </row>
    <row r="4" spans="1:40" ht="15" customHeight="1">
      <c r="A4" s="480" t="s">
        <v>386</v>
      </c>
      <c r="B4" s="483"/>
      <c r="C4" s="484"/>
      <c r="D4" s="490" t="s">
        <v>387</v>
      </c>
      <c r="E4" s="491"/>
      <c r="F4" s="491"/>
      <c r="G4" s="492"/>
      <c r="H4" s="356" t="s">
        <v>388</v>
      </c>
      <c r="I4" s="26"/>
      <c r="J4" s="480" t="s">
        <v>385</v>
      </c>
      <c r="K4" s="481"/>
      <c r="L4" s="482"/>
      <c r="M4" s="480" t="s">
        <v>389</v>
      </c>
      <c r="N4" s="483"/>
      <c r="O4" s="483"/>
      <c r="P4" s="483"/>
      <c r="Q4" s="483"/>
      <c r="R4" s="484"/>
      <c r="S4" s="93"/>
      <c r="T4" s="93"/>
      <c r="U4" s="93"/>
      <c r="V4" s="93"/>
      <c r="W4" s="93"/>
      <c r="X4" s="93"/>
      <c r="Y4" s="93"/>
      <c r="Z4" s="93"/>
      <c r="AA4" s="93"/>
      <c r="AB4" s="93"/>
      <c r="AC4" s="93"/>
      <c r="AD4" s="93"/>
      <c r="AE4" s="93"/>
      <c r="AF4" s="93"/>
      <c r="AG4" s="93"/>
      <c r="AH4" s="93"/>
      <c r="AI4" s="93"/>
      <c r="AJ4" s="93"/>
      <c r="AK4" s="93"/>
      <c r="AL4" s="93"/>
      <c r="AM4" s="93"/>
      <c r="AN4" s="93"/>
    </row>
    <row r="5" spans="1:40"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93"/>
      <c r="T5" s="93"/>
      <c r="U5" s="93"/>
      <c r="V5" s="93"/>
      <c r="W5" s="93"/>
      <c r="X5" s="93"/>
      <c r="Y5" s="93"/>
      <c r="Z5" s="93"/>
      <c r="AA5" s="93"/>
      <c r="AB5" s="93"/>
      <c r="AC5" s="93"/>
      <c r="AD5" s="93"/>
      <c r="AE5" s="93"/>
      <c r="AF5" s="93"/>
      <c r="AG5" s="93"/>
      <c r="AH5" s="93"/>
      <c r="AI5" s="93"/>
      <c r="AJ5" s="93"/>
      <c r="AK5" s="93"/>
      <c r="AL5" s="93"/>
      <c r="AM5" s="93"/>
      <c r="AN5" s="93"/>
    </row>
    <row r="6" spans="1:40">
      <c r="A6" s="466"/>
      <c r="B6" s="466"/>
      <c r="C6" s="466"/>
      <c r="D6" s="466"/>
      <c r="E6" s="466"/>
      <c r="F6" s="466"/>
      <c r="G6" s="466"/>
      <c r="H6" s="466"/>
      <c r="I6" s="466"/>
      <c r="J6" s="466"/>
      <c r="K6" s="466"/>
      <c r="L6" s="466"/>
      <c r="M6" s="466"/>
      <c r="N6" s="466"/>
      <c r="O6" s="466"/>
      <c r="P6" s="466"/>
      <c r="Q6" s="466"/>
      <c r="R6" s="466"/>
      <c r="S6" s="93"/>
      <c r="T6" s="93"/>
      <c r="U6" s="93"/>
      <c r="V6" s="93"/>
      <c r="W6" s="93"/>
      <c r="X6" s="93"/>
      <c r="Y6" s="93"/>
      <c r="Z6" s="93"/>
      <c r="AA6" s="93"/>
      <c r="AB6" s="93"/>
      <c r="AC6" s="93"/>
      <c r="AD6" s="93"/>
      <c r="AE6" s="93"/>
      <c r="AF6" s="93"/>
      <c r="AG6" s="93"/>
      <c r="AH6" s="93"/>
      <c r="AI6" s="93"/>
      <c r="AJ6" s="93"/>
      <c r="AK6" s="93"/>
      <c r="AL6" s="93"/>
      <c r="AM6" s="93"/>
      <c r="AN6" s="93"/>
    </row>
    <row r="7" spans="1:40" ht="109.5" customHeight="1">
      <c r="A7" s="467" t="s">
        <v>460</v>
      </c>
      <c r="B7" s="468"/>
      <c r="C7" s="468"/>
      <c r="D7" s="468"/>
      <c r="E7" s="468"/>
      <c r="F7" s="468"/>
      <c r="G7" s="468"/>
      <c r="H7" s="468"/>
      <c r="I7" s="468"/>
      <c r="J7" s="468"/>
      <c r="K7" s="468"/>
      <c r="L7" s="468"/>
      <c r="M7" s="468"/>
      <c r="N7" s="468"/>
      <c r="O7" s="468"/>
      <c r="P7" s="468"/>
      <c r="Q7" s="468"/>
      <c r="R7" s="469"/>
      <c r="S7" s="93"/>
      <c r="T7" s="93"/>
      <c r="U7" s="93"/>
      <c r="V7" s="93"/>
      <c r="W7" s="93"/>
      <c r="X7" s="93"/>
      <c r="Y7" s="93"/>
      <c r="Z7" s="93"/>
      <c r="AA7" s="93"/>
      <c r="AB7" s="93"/>
      <c r="AC7" s="93"/>
      <c r="AD7" s="93"/>
      <c r="AE7" s="93"/>
      <c r="AF7" s="93"/>
      <c r="AG7" s="93"/>
      <c r="AH7" s="93"/>
      <c r="AI7" s="93"/>
      <c r="AJ7" s="93"/>
      <c r="AK7" s="93"/>
      <c r="AL7" s="93"/>
      <c r="AM7" s="93"/>
      <c r="AN7" s="93"/>
    </row>
    <row r="8" spans="1:40" ht="14">
      <c r="A8" s="470"/>
      <c r="B8" s="470"/>
      <c r="C8" s="470"/>
      <c r="D8" s="470"/>
      <c r="E8" s="470"/>
      <c r="F8" s="470"/>
      <c r="G8" s="470"/>
      <c r="H8" s="470"/>
      <c r="I8" s="470"/>
      <c r="J8" s="470"/>
      <c r="K8" s="470"/>
      <c r="L8" s="470"/>
      <c r="M8" s="470"/>
      <c r="N8" s="470"/>
      <c r="O8" s="470"/>
      <c r="P8" s="470"/>
      <c r="Q8" s="470"/>
      <c r="R8" s="470"/>
      <c r="S8" s="93"/>
      <c r="T8" s="93"/>
      <c r="U8" s="93"/>
      <c r="V8" s="93"/>
      <c r="W8" s="93"/>
      <c r="X8" s="93"/>
      <c r="Y8" s="93"/>
      <c r="Z8" s="93"/>
      <c r="AA8" s="93"/>
      <c r="AB8" s="93"/>
      <c r="AC8" s="93"/>
      <c r="AD8" s="93"/>
      <c r="AE8" s="93"/>
      <c r="AF8" s="93"/>
      <c r="AG8" s="93"/>
      <c r="AH8" s="93"/>
      <c r="AI8" s="93"/>
      <c r="AJ8" s="93"/>
      <c r="AK8" s="93"/>
      <c r="AL8" s="93"/>
      <c r="AM8" s="93"/>
      <c r="AN8" s="93"/>
    </row>
    <row r="9" spans="1:40" ht="12.75" customHeight="1">
      <c r="A9" s="452" t="s">
        <v>90</v>
      </c>
      <c r="B9" s="452" t="s">
        <v>27</v>
      </c>
      <c r="C9" s="498" t="s">
        <v>395</v>
      </c>
      <c r="D9" s="474" t="s">
        <v>391</v>
      </c>
      <c r="E9" s="477"/>
      <c r="F9" s="452" t="s">
        <v>8</v>
      </c>
      <c r="G9" s="452" t="s">
        <v>384</v>
      </c>
      <c r="H9" s="451" t="s">
        <v>383</v>
      </c>
      <c r="I9" s="420"/>
      <c r="J9" s="420"/>
      <c r="K9" s="420"/>
      <c r="L9" s="420"/>
      <c r="M9" s="420"/>
      <c r="N9" s="420"/>
      <c r="O9" s="420"/>
      <c r="P9" s="420"/>
      <c r="Q9" s="421"/>
      <c r="R9" s="452" t="s">
        <v>9</v>
      </c>
      <c r="S9" s="93"/>
      <c r="T9" s="93"/>
      <c r="U9" s="93"/>
      <c r="V9" s="93"/>
      <c r="W9" s="93"/>
      <c r="X9" s="93"/>
      <c r="Y9" s="93"/>
      <c r="Z9" s="93"/>
      <c r="AA9" s="93"/>
      <c r="AB9" s="93"/>
      <c r="AC9" s="93"/>
      <c r="AD9" s="93"/>
      <c r="AE9" s="93"/>
      <c r="AF9" s="93"/>
      <c r="AG9" s="93"/>
      <c r="AH9" s="93"/>
      <c r="AI9" s="93"/>
      <c r="AJ9" s="93"/>
      <c r="AK9" s="93"/>
      <c r="AL9" s="93"/>
      <c r="AM9" s="93"/>
      <c r="AN9" s="93"/>
    </row>
    <row r="10" spans="1:40" ht="17.25" customHeight="1">
      <c r="A10" s="453"/>
      <c r="B10" s="453"/>
      <c r="C10" s="499"/>
      <c r="D10" s="475"/>
      <c r="E10" s="478"/>
      <c r="F10" s="453"/>
      <c r="G10" s="453"/>
      <c r="H10" s="455" t="s">
        <v>306</v>
      </c>
      <c r="I10" s="408"/>
      <c r="J10" s="408"/>
      <c r="K10" s="408"/>
      <c r="L10" s="408"/>
      <c r="M10" s="408"/>
      <c r="N10" s="408"/>
      <c r="O10" s="408"/>
      <c r="P10" s="408"/>
      <c r="Q10" s="409"/>
      <c r="R10" s="453"/>
      <c r="S10" s="93"/>
      <c r="T10" s="93"/>
      <c r="U10" s="93"/>
      <c r="V10" s="93"/>
      <c r="W10" s="93"/>
      <c r="X10" s="93"/>
      <c r="Y10" s="93"/>
      <c r="Z10" s="93"/>
      <c r="AA10" s="93"/>
      <c r="AB10" s="93"/>
      <c r="AC10" s="93"/>
      <c r="AD10" s="93"/>
      <c r="AE10" s="93"/>
      <c r="AF10" s="93"/>
      <c r="AG10" s="93"/>
      <c r="AH10" s="93"/>
      <c r="AI10" s="93"/>
      <c r="AJ10" s="93"/>
      <c r="AK10" s="93"/>
      <c r="AL10" s="93"/>
      <c r="AM10" s="93"/>
      <c r="AN10" s="93"/>
    </row>
    <row r="11" spans="1:40" ht="12.75" customHeight="1">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93"/>
      <c r="T11" s="93"/>
      <c r="U11" s="93"/>
      <c r="V11" s="93"/>
      <c r="W11" s="93"/>
      <c r="X11" s="93"/>
      <c r="Y11" s="93"/>
      <c r="Z11" s="93"/>
      <c r="AA11" s="93"/>
      <c r="AB11" s="93"/>
      <c r="AC11" s="93"/>
      <c r="AD11" s="93"/>
      <c r="AE11" s="93"/>
      <c r="AF11" s="93"/>
      <c r="AG11" s="93"/>
      <c r="AH11" s="93"/>
      <c r="AI11" s="93"/>
      <c r="AJ11" s="93"/>
      <c r="AK11" s="93"/>
      <c r="AL11" s="93"/>
      <c r="AM11" s="93"/>
      <c r="AN11" s="93"/>
    </row>
    <row r="12" spans="1:40" ht="17.2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c r="S12" s="93"/>
      <c r="T12" s="93"/>
      <c r="U12" s="93"/>
      <c r="V12" s="93"/>
      <c r="W12" s="93"/>
      <c r="X12" s="93"/>
      <c r="Y12" s="93"/>
      <c r="Z12" s="93"/>
      <c r="AA12" s="93"/>
      <c r="AB12" s="93"/>
      <c r="AC12" s="93"/>
      <c r="AD12" s="93"/>
      <c r="AE12" s="93"/>
      <c r="AF12" s="93"/>
      <c r="AG12" s="93"/>
      <c r="AH12" s="93"/>
      <c r="AI12" s="93"/>
      <c r="AJ12" s="93"/>
      <c r="AK12" s="93"/>
      <c r="AL12" s="93"/>
      <c r="AM12" s="93"/>
      <c r="AN12" s="93"/>
    </row>
    <row r="13" spans="1:40" ht="13.5" customHeight="1">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93"/>
      <c r="T13" s="93"/>
      <c r="U13" s="93"/>
      <c r="V13" s="93"/>
      <c r="W13" s="93"/>
      <c r="X13" s="93"/>
      <c r="Y13" s="93"/>
      <c r="Z13" s="93"/>
      <c r="AA13" s="93"/>
      <c r="AB13" s="93"/>
      <c r="AC13" s="93"/>
      <c r="AD13" s="93"/>
      <c r="AE13" s="93"/>
      <c r="AF13" s="93"/>
      <c r="AG13" s="93"/>
      <c r="AH13" s="93"/>
      <c r="AI13" s="93"/>
      <c r="AJ13" s="93"/>
      <c r="AK13" s="93"/>
      <c r="AL13" s="93"/>
      <c r="AM13" s="93"/>
      <c r="AN13" s="93"/>
    </row>
    <row r="14" spans="1:40">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93"/>
      <c r="T14" s="93"/>
      <c r="U14" s="93"/>
      <c r="V14" s="93"/>
      <c r="W14" s="93"/>
      <c r="X14" s="93"/>
      <c r="Y14" s="93"/>
      <c r="Z14" s="93"/>
      <c r="AA14" s="93"/>
      <c r="AB14" s="93"/>
      <c r="AC14" s="93"/>
      <c r="AD14" s="93"/>
      <c r="AE14" s="93"/>
      <c r="AF14" s="93"/>
      <c r="AG14" s="93"/>
      <c r="AH14" s="93"/>
      <c r="AI14" s="93"/>
      <c r="AJ14" s="93"/>
      <c r="AK14" s="93"/>
      <c r="AL14" s="93"/>
      <c r="AM14" s="93"/>
      <c r="AN14" s="93"/>
    </row>
    <row r="15" spans="1:40" ht="17.5">
      <c r="A15" s="12"/>
      <c r="B15" s="347"/>
      <c r="C15" s="206" t="s">
        <v>283</v>
      </c>
      <c r="D15" s="381"/>
      <c r="E15" s="274" t="s">
        <v>20</v>
      </c>
      <c r="F15" s="275"/>
      <c r="G15" s="276"/>
      <c r="H15" s="278"/>
      <c r="I15" s="264"/>
      <c r="J15" s="264"/>
      <c r="K15" s="264"/>
      <c r="L15" s="264"/>
      <c r="M15" s="264"/>
      <c r="N15" s="28"/>
      <c r="O15" s="28"/>
      <c r="P15" s="28"/>
      <c r="Q15" s="28"/>
      <c r="R15" s="13"/>
      <c r="S15" s="93"/>
      <c r="T15" s="93"/>
      <c r="U15" s="93"/>
      <c r="V15" s="93"/>
      <c r="W15" s="93"/>
      <c r="X15" s="93"/>
      <c r="Y15" s="93"/>
      <c r="Z15" s="93"/>
      <c r="AA15" s="93"/>
      <c r="AB15" s="93"/>
      <c r="AC15" s="93"/>
      <c r="AD15" s="93"/>
      <c r="AE15" s="93"/>
      <c r="AF15" s="93"/>
      <c r="AG15" s="93"/>
      <c r="AH15" s="93"/>
      <c r="AI15" s="93"/>
      <c r="AJ15" s="93"/>
      <c r="AK15" s="93"/>
      <c r="AL15" s="93"/>
      <c r="AM15" s="93"/>
      <c r="AN15" s="93"/>
    </row>
    <row r="16" spans="1:40" ht="17.5">
      <c r="A16" s="12"/>
      <c r="B16" s="347"/>
      <c r="C16" s="206" t="s">
        <v>1</v>
      </c>
      <c r="D16" s="381"/>
      <c r="E16" s="274" t="s">
        <v>20</v>
      </c>
      <c r="F16" s="275">
        <f>VLOOKUP(C16,AA29:AB33,2)</f>
        <v>0</v>
      </c>
      <c r="G16" s="276">
        <v>50</v>
      </c>
      <c r="H16" s="278">
        <f>D16*F16*G16/100</f>
        <v>0</v>
      </c>
      <c r="I16" s="264"/>
      <c r="J16" s="264"/>
      <c r="K16" s="264"/>
      <c r="L16" s="264"/>
      <c r="M16" s="264"/>
      <c r="N16" s="28"/>
      <c r="O16" s="28"/>
      <c r="P16" s="28"/>
      <c r="Q16" s="28"/>
      <c r="R16" s="13"/>
      <c r="S16" s="93"/>
      <c r="T16" s="93"/>
      <c r="U16" s="93"/>
      <c r="V16" s="93"/>
      <c r="W16" s="93"/>
      <c r="X16" s="93"/>
      <c r="Y16" s="93"/>
      <c r="Z16" s="93"/>
      <c r="AA16" s="93"/>
      <c r="AB16" s="93"/>
      <c r="AC16" s="93"/>
      <c r="AD16" s="93"/>
      <c r="AE16" s="93"/>
      <c r="AF16" s="93"/>
      <c r="AG16" s="93"/>
      <c r="AH16" s="93"/>
      <c r="AI16" s="93"/>
      <c r="AJ16" s="93"/>
      <c r="AK16" s="93"/>
      <c r="AL16" s="93"/>
      <c r="AM16" s="93"/>
      <c r="AN16" s="93"/>
    </row>
    <row r="17" spans="1:40" ht="17.5">
      <c r="A17" s="12"/>
      <c r="B17" s="347"/>
      <c r="C17" s="206" t="s">
        <v>1</v>
      </c>
      <c r="D17" s="381"/>
      <c r="E17" s="274" t="s">
        <v>20</v>
      </c>
      <c r="F17" s="275">
        <f>VLOOKUP(C17,AA29:AB33,2)</f>
        <v>0</v>
      </c>
      <c r="G17" s="276">
        <v>50</v>
      </c>
      <c r="H17" s="278"/>
      <c r="I17" s="264">
        <f>D17*F17*G17/100</f>
        <v>0</v>
      </c>
      <c r="J17" s="264"/>
      <c r="K17" s="264"/>
      <c r="L17" s="264"/>
      <c r="M17" s="264"/>
      <c r="N17" s="28"/>
      <c r="O17" s="28"/>
      <c r="P17" s="28"/>
      <c r="Q17" s="28"/>
      <c r="R17" s="13"/>
      <c r="S17" s="93"/>
      <c r="T17" s="93"/>
      <c r="U17" s="93"/>
      <c r="V17" s="93"/>
      <c r="W17" s="93"/>
      <c r="X17" s="93"/>
      <c r="Y17" s="93"/>
      <c r="Z17" s="93"/>
      <c r="AA17" s="93"/>
      <c r="AB17" s="93"/>
      <c r="AC17" s="93"/>
      <c r="AD17" s="93"/>
      <c r="AE17" s="93"/>
      <c r="AF17" s="93"/>
      <c r="AG17" s="93"/>
      <c r="AH17" s="93"/>
      <c r="AI17" s="93"/>
      <c r="AJ17" s="93"/>
      <c r="AK17" s="93"/>
      <c r="AL17" s="93"/>
      <c r="AM17" s="93"/>
      <c r="AN17" s="93"/>
    </row>
    <row r="18" spans="1:40" ht="17.5">
      <c r="A18" s="12"/>
      <c r="B18" s="347"/>
      <c r="C18" s="206" t="s">
        <v>182</v>
      </c>
      <c r="D18" s="381"/>
      <c r="E18" s="274" t="s">
        <v>20</v>
      </c>
      <c r="F18" s="232">
        <f>VLOOKUP(C18,AA37:AB41,2,TRUE)</f>
        <v>0</v>
      </c>
      <c r="G18" s="276">
        <v>50</v>
      </c>
      <c r="H18" s="279"/>
      <c r="I18" s="264"/>
      <c r="J18" s="264">
        <f>D18*F18*G18/100</f>
        <v>0</v>
      </c>
      <c r="K18" s="264"/>
      <c r="L18" s="264"/>
      <c r="M18" s="264"/>
      <c r="N18" s="28"/>
      <c r="O18" s="28"/>
      <c r="P18" s="28"/>
      <c r="Q18" s="28"/>
      <c r="R18" s="13"/>
      <c r="S18" s="93"/>
      <c r="T18" s="93"/>
      <c r="U18" s="93"/>
      <c r="V18" s="93"/>
      <c r="W18" s="93"/>
      <c r="X18" s="93"/>
      <c r="Y18" s="93"/>
      <c r="Z18" s="93"/>
      <c r="AA18" s="93"/>
      <c r="AB18" s="93"/>
      <c r="AC18" s="93"/>
      <c r="AD18" s="93"/>
      <c r="AE18" s="93"/>
      <c r="AF18" s="93"/>
      <c r="AG18" s="93"/>
      <c r="AH18" s="93"/>
      <c r="AI18" s="93"/>
      <c r="AJ18" s="93"/>
      <c r="AK18" s="93"/>
      <c r="AL18" s="93"/>
      <c r="AM18" s="93"/>
      <c r="AN18" s="93"/>
    </row>
    <row r="19" spans="1:40" ht="17.5">
      <c r="A19" s="12"/>
      <c r="B19" s="347"/>
      <c r="C19" s="206" t="s">
        <v>182</v>
      </c>
      <c r="D19" s="381"/>
      <c r="E19" s="274" t="s">
        <v>20</v>
      </c>
      <c r="F19" s="232">
        <f>VLOOKUP(C19,AA37:AB41,2,TRUE)</f>
        <v>0</v>
      </c>
      <c r="G19" s="276">
        <v>50</v>
      </c>
      <c r="H19" s="270"/>
      <c r="I19" s="264"/>
      <c r="J19" s="264"/>
      <c r="K19" s="264">
        <f>D19*F19*G19/100</f>
        <v>0</v>
      </c>
      <c r="L19" s="264"/>
      <c r="M19" s="264"/>
      <c r="N19" s="28"/>
      <c r="O19" s="28"/>
      <c r="P19" s="28"/>
      <c r="Q19" s="28"/>
      <c r="R19" s="13"/>
      <c r="S19" s="93"/>
      <c r="T19" s="93"/>
      <c r="U19" s="93"/>
      <c r="V19" s="93"/>
      <c r="W19" s="93"/>
      <c r="X19" s="93"/>
      <c r="Y19" s="93"/>
      <c r="Z19" s="93"/>
      <c r="AA19" s="93"/>
      <c r="AB19" s="93"/>
      <c r="AC19" s="93"/>
      <c r="AD19" s="93"/>
      <c r="AE19" s="93"/>
      <c r="AF19" s="93"/>
      <c r="AG19" s="93"/>
      <c r="AH19" s="93"/>
      <c r="AI19" s="93"/>
      <c r="AJ19" s="93"/>
      <c r="AK19" s="93"/>
      <c r="AL19" s="93"/>
      <c r="AM19" s="93"/>
      <c r="AN19" s="93"/>
    </row>
    <row r="20" spans="1:40" ht="17.5">
      <c r="A20" s="12"/>
      <c r="B20" s="347"/>
      <c r="C20" s="206" t="s">
        <v>183</v>
      </c>
      <c r="D20" s="381"/>
      <c r="E20" s="274" t="s">
        <v>20</v>
      </c>
      <c r="F20" s="232">
        <f>VLOOKUP(C20,AA44:AB48,2,TRUE)</f>
        <v>0</v>
      </c>
      <c r="G20" s="276">
        <v>50</v>
      </c>
      <c r="H20" s="270"/>
      <c r="I20" s="264"/>
      <c r="J20" s="264"/>
      <c r="K20" s="264"/>
      <c r="L20" s="264">
        <f>D20*F20*G20/100</f>
        <v>0</v>
      </c>
      <c r="M20" s="264"/>
      <c r="N20" s="28"/>
      <c r="O20" s="28"/>
      <c r="P20" s="28"/>
      <c r="Q20" s="28"/>
      <c r="R20" s="13"/>
      <c r="S20" s="93"/>
      <c r="T20" s="93"/>
      <c r="U20" s="93"/>
      <c r="V20" s="93"/>
      <c r="W20" s="93"/>
      <c r="X20" s="93"/>
      <c r="Y20" s="93"/>
      <c r="Z20" s="93"/>
      <c r="AA20" s="93"/>
      <c r="AB20" s="93"/>
      <c r="AC20" s="93"/>
      <c r="AD20" s="93"/>
      <c r="AE20" s="93"/>
      <c r="AF20" s="93"/>
      <c r="AG20" s="93"/>
      <c r="AH20" s="93"/>
      <c r="AI20" s="93"/>
      <c r="AJ20" s="93"/>
      <c r="AK20" s="93"/>
      <c r="AL20" s="93"/>
      <c r="AM20" s="93"/>
      <c r="AN20" s="93"/>
    </row>
    <row r="21" spans="1:40" ht="17.5">
      <c r="A21" s="12"/>
      <c r="B21" s="347"/>
      <c r="C21" s="206" t="s">
        <v>183</v>
      </c>
      <c r="D21" s="381"/>
      <c r="E21" s="274" t="s">
        <v>20</v>
      </c>
      <c r="F21" s="232">
        <f>VLOOKUP(C21,AA44:AB48,2,TRUE)</f>
        <v>0</v>
      </c>
      <c r="G21" s="276">
        <v>50</v>
      </c>
      <c r="H21" s="270"/>
      <c r="I21" s="264"/>
      <c r="J21" s="264"/>
      <c r="K21" s="264"/>
      <c r="L21" s="264"/>
      <c r="M21" s="264">
        <f>D21*F21*G21/100</f>
        <v>0</v>
      </c>
      <c r="N21" s="28"/>
      <c r="O21" s="28"/>
      <c r="P21" s="28"/>
      <c r="Q21" s="28"/>
      <c r="R21" s="13"/>
      <c r="S21" s="93"/>
      <c r="T21" s="93"/>
      <c r="U21" s="93"/>
      <c r="V21" s="93"/>
      <c r="W21" s="93"/>
      <c r="X21" s="93"/>
      <c r="Y21" s="93"/>
      <c r="Z21" s="93"/>
      <c r="AA21" s="93"/>
      <c r="AB21" s="93"/>
      <c r="AC21" s="93"/>
      <c r="AD21" s="93"/>
      <c r="AE21" s="93"/>
      <c r="AF21" s="93"/>
      <c r="AG21" s="93"/>
      <c r="AH21" s="93"/>
      <c r="AI21" s="93"/>
      <c r="AJ21" s="93"/>
      <c r="AK21" s="93"/>
      <c r="AL21" s="93"/>
      <c r="AM21" s="93"/>
      <c r="AN21" s="93"/>
    </row>
    <row r="22" spans="1:40" ht="15.5">
      <c r="A22" s="456" t="s">
        <v>89</v>
      </c>
      <c r="B22" s="457"/>
      <c r="C22" s="458"/>
      <c r="D22" s="165"/>
      <c r="E22" s="280"/>
      <c r="F22" s="265"/>
      <c r="G22" s="281"/>
      <c r="H22" s="271">
        <f t="shared" ref="H22:M22" si="0">SUM(H15:H21)</f>
        <v>0</v>
      </c>
      <c r="I22" s="271">
        <f t="shared" si="0"/>
        <v>0</v>
      </c>
      <c r="J22" s="271">
        <f t="shared" si="0"/>
        <v>0</v>
      </c>
      <c r="K22" s="271">
        <f t="shared" si="0"/>
        <v>0</v>
      </c>
      <c r="L22" s="271">
        <f t="shared" si="0"/>
        <v>0</v>
      </c>
      <c r="M22" s="271">
        <f t="shared" si="0"/>
        <v>0</v>
      </c>
      <c r="N22" s="23"/>
      <c r="O22" s="23"/>
      <c r="P22" s="23"/>
      <c r="Q22" s="23"/>
      <c r="R22" s="25"/>
      <c r="S22" s="93"/>
      <c r="T22" s="93"/>
      <c r="U22" s="93"/>
      <c r="V22" s="93"/>
      <c r="W22" s="93"/>
      <c r="X22" s="93"/>
      <c r="Y22" s="93"/>
      <c r="Z22" s="93"/>
      <c r="AA22" s="93"/>
      <c r="AB22" s="93"/>
      <c r="AC22" s="93"/>
      <c r="AD22" s="93"/>
      <c r="AE22" s="93"/>
      <c r="AF22" s="93"/>
      <c r="AG22" s="93"/>
      <c r="AH22" s="93"/>
      <c r="AI22" s="93"/>
      <c r="AJ22" s="93"/>
      <c r="AK22" s="93"/>
      <c r="AL22" s="93"/>
      <c r="AM22" s="93"/>
      <c r="AN22" s="93"/>
    </row>
    <row r="23" spans="1:40" ht="46.5" customHeight="1">
      <c r="A23" s="496" t="str">
        <f>IF(AA50,AA52,"")</f>
        <v/>
      </c>
      <c r="B23" s="497"/>
      <c r="C23" s="497"/>
      <c r="D23" s="497"/>
      <c r="E23" s="497"/>
      <c r="F23" s="497"/>
      <c r="G23" s="497"/>
      <c r="H23" s="497"/>
      <c r="I23" s="497"/>
      <c r="J23" s="497"/>
      <c r="K23" s="497"/>
      <c r="L23" s="497"/>
      <c r="M23" s="497"/>
      <c r="N23" s="497"/>
      <c r="O23" s="497"/>
      <c r="P23" s="497"/>
      <c r="Q23" s="497"/>
      <c r="R23" s="497"/>
      <c r="S23" s="93"/>
      <c r="T23" s="93"/>
      <c r="U23" s="93"/>
      <c r="V23" s="93"/>
      <c r="W23" s="93"/>
      <c r="X23" s="93"/>
      <c r="Y23" s="93"/>
      <c r="Z23" s="93"/>
      <c r="AA23" s="93"/>
      <c r="AB23" s="93"/>
      <c r="AC23" s="93"/>
      <c r="AD23" s="93"/>
      <c r="AE23" s="93"/>
      <c r="AF23" s="93"/>
      <c r="AG23" s="93"/>
      <c r="AH23" s="93"/>
      <c r="AI23" s="93"/>
      <c r="AJ23" s="93"/>
      <c r="AK23" s="93"/>
      <c r="AL23" s="93"/>
      <c r="AM23" s="93"/>
      <c r="AN23" s="93"/>
    </row>
    <row r="24" spans="1:40" ht="20.25" customHeight="1">
      <c r="A24" s="401" t="s">
        <v>262</v>
      </c>
      <c r="B24" s="402"/>
      <c r="C24" s="402"/>
      <c r="D24" s="402"/>
      <c r="E24" s="402"/>
      <c r="F24" s="402"/>
      <c r="G24" s="402"/>
      <c r="H24" s="402"/>
      <c r="I24" s="402"/>
      <c r="J24" s="402"/>
      <c r="K24" s="402"/>
      <c r="L24" s="402"/>
      <c r="M24" s="402"/>
      <c r="N24" s="402"/>
      <c r="O24" s="402"/>
      <c r="P24" s="402"/>
      <c r="Q24" s="402"/>
      <c r="R24" s="403"/>
      <c r="S24" s="93"/>
      <c r="T24" s="93"/>
      <c r="U24" s="93"/>
      <c r="V24" s="93"/>
      <c r="W24" s="93"/>
      <c r="X24" s="93"/>
      <c r="Y24" s="93"/>
      <c r="Z24" s="93"/>
      <c r="AA24" s="93"/>
      <c r="AB24" s="93"/>
      <c r="AC24" s="93"/>
      <c r="AD24" s="93"/>
      <c r="AE24" s="93"/>
      <c r="AF24" s="93"/>
      <c r="AG24" s="93"/>
      <c r="AH24" s="93"/>
      <c r="AI24" s="93"/>
      <c r="AJ24" s="93"/>
      <c r="AK24" s="93"/>
      <c r="AL24" s="93"/>
      <c r="AM24" s="93"/>
      <c r="AN24" s="93"/>
    </row>
    <row r="25" spans="1:40" ht="55.5" customHeight="1">
      <c r="A25" s="393" t="s">
        <v>434</v>
      </c>
      <c r="B25" s="394"/>
      <c r="C25" s="394"/>
      <c r="D25" s="394"/>
      <c r="E25" s="394"/>
      <c r="F25" s="394"/>
      <c r="G25" s="394"/>
      <c r="H25" s="394"/>
      <c r="I25" s="394"/>
      <c r="J25" s="394"/>
      <c r="K25" s="394"/>
      <c r="L25" s="394"/>
      <c r="M25" s="394"/>
      <c r="N25" s="394"/>
      <c r="O25" s="394"/>
      <c r="P25" s="394"/>
      <c r="Q25" s="394"/>
      <c r="R25" s="395"/>
      <c r="S25" s="93"/>
      <c r="T25" s="93"/>
      <c r="U25" s="93"/>
      <c r="V25" s="93"/>
      <c r="W25" s="93"/>
      <c r="X25" s="93"/>
      <c r="Y25" s="93"/>
      <c r="Z25" s="93"/>
      <c r="AA25" s="93"/>
      <c r="AB25" s="93"/>
      <c r="AC25" s="93"/>
      <c r="AD25" s="93"/>
      <c r="AE25" s="93"/>
      <c r="AF25" s="93"/>
      <c r="AG25" s="93"/>
      <c r="AH25" s="93"/>
      <c r="AI25" s="93"/>
      <c r="AJ25" s="93"/>
      <c r="AK25" s="93"/>
      <c r="AL25" s="93"/>
      <c r="AM25" s="93"/>
      <c r="AN25" s="93"/>
    </row>
    <row r="26" spans="1:40" ht="15.5">
      <c r="A26" s="460" t="s">
        <v>390</v>
      </c>
      <c r="B26" s="461"/>
      <c r="C26" s="461"/>
      <c r="D26" s="461"/>
      <c r="E26" s="461"/>
      <c r="F26" s="461"/>
      <c r="G26" s="461"/>
      <c r="H26" s="461"/>
      <c r="I26" s="461"/>
      <c r="J26" s="461"/>
      <c r="K26" s="461"/>
      <c r="L26" s="461"/>
      <c r="M26" s="461"/>
      <c r="N26" s="461"/>
      <c r="O26" s="461"/>
      <c r="P26" s="461"/>
      <c r="Q26" s="461"/>
      <c r="R26" s="462"/>
      <c r="S26" s="93"/>
      <c r="T26" s="93"/>
      <c r="U26" s="93"/>
      <c r="V26" s="93"/>
      <c r="W26" s="93"/>
      <c r="X26" s="93"/>
      <c r="Y26" s="93"/>
      <c r="Z26" s="93"/>
      <c r="AA26" s="93"/>
      <c r="AB26" s="93"/>
      <c r="AC26" s="93"/>
      <c r="AD26" s="93"/>
      <c r="AE26" s="93"/>
      <c r="AF26" s="93"/>
      <c r="AG26" s="93"/>
      <c r="AH26" s="93"/>
      <c r="AI26" s="93"/>
      <c r="AJ26" s="93"/>
      <c r="AK26" s="93"/>
      <c r="AL26" s="93"/>
      <c r="AM26" s="93"/>
      <c r="AN26" s="93"/>
    </row>
    <row r="27" spans="1:40" ht="46.5" customHeight="1">
      <c r="A27" s="463" t="s">
        <v>392</v>
      </c>
      <c r="B27" s="464"/>
      <c r="C27" s="464"/>
      <c r="D27" s="464"/>
      <c r="E27" s="464"/>
      <c r="F27" s="464"/>
      <c r="G27" s="464"/>
      <c r="H27" s="464"/>
      <c r="I27" s="464"/>
      <c r="J27" s="464"/>
      <c r="K27" s="464"/>
      <c r="L27" s="464"/>
      <c r="M27" s="464"/>
      <c r="N27" s="464"/>
      <c r="O27" s="464"/>
      <c r="P27" s="464"/>
      <c r="Q27" s="464"/>
      <c r="R27" s="465"/>
      <c r="S27" s="93"/>
      <c r="T27" s="93"/>
      <c r="U27" s="93"/>
      <c r="V27" s="93"/>
      <c r="W27" s="93"/>
      <c r="X27" s="93"/>
      <c r="Y27" s="93"/>
      <c r="Z27" s="93"/>
      <c r="AA27" s="93"/>
      <c r="AB27" s="93"/>
      <c r="AC27" s="93"/>
      <c r="AD27" s="93"/>
      <c r="AE27" s="93"/>
      <c r="AF27" s="93"/>
      <c r="AG27" s="93"/>
      <c r="AH27" s="93"/>
      <c r="AI27" s="93"/>
      <c r="AJ27" s="93"/>
      <c r="AK27" s="93"/>
      <c r="AL27" s="93"/>
      <c r="AM27" s="93"/>
      <c r="AN27" s="93"/>
    </row>
    <row r="28" spans="1:40" ht="15.5">
      <c r="A28" s="413" t="s">
        <v>221</v>
      </c>
      <c r="B28" s="414"/>
      <c r="C28" s="414"/>
      <c r="D28" s="414"/>
      <c r="E28" s="414"/>
      <c r="F28" s="414"/>
      <c r="G28" s="414"/>
      <c r="H28" s="414"/>
      <c r="I28" s="414"/>
      <c r="J28" s="414"/>
      <c r="K28" s="414"/>
      <c r="L28" s="414"/>
      <c r="M28" s="414"/>
      <c r="N28" s="414"/>
      <c r="O28" s="414"/>
      <c r="P28" s="414"/>
      <c r="Q28" s="414"/>
      <c r="R28" s="415"/>
      <c r="S28" s="93"/>
      <c r="T28" s="93"/>
      <c r="U28" s="93"/>
      <c r="V28" s="93"/>
      <c r="W28" s="93"/>
      <c r="X28" s="93"/>
      <c r="Y28" s="93"/>
      <c r="Z28" s="93"/>
      <c r="AA28" s="93"/>
      <c r="AB28" s="93"/>
      <c r="AC28" s="93"/>
      <c r="AD28" s="93"/>
      <c r="AE28" s="93"/>
      <c r="AF28" s="93"/>
      <c r="AG28" s="93"/>
      <c r="AH28" s="93"/>
      <c r="AI28" s="93"/>
      <c r="AJ28" s="93"/>
      <c r="AK28" s="93"/>
      <c r="AL28" s="93"/>
      <c r="AM28" s="93"/>
      <c r="AN28" s="93"/>
    </row>
    <row r="29" spans="1:40" ht="60" customHeight="1">
      <c r="A29" s="396" t="s">
        <v>370</v>
      </c>
      <c r="B29" s="397"/>
      <c r="C29" s="397"/>
      <c r="D29" s="397"/>
      <c r="E29" s="397"/>
      <c r="F29" s="397"/>
      <c r="G29" s="397"/>
      <c r="H29" s="397"/>
      <c r="I29" s="397"/>
      <c r="J29" s="397"/>
      <c r="K29" s="397"/>
      <c r="L29" s="397"/>
      <c r="M29" s="397"/>
      <c r="N29" s="397"/>
      <c r="O29" s="397"/>
      <c r="P29" s="397"/>
      <c r="Q29" s="397"/>
      <c r="R29" s="398"/>
      <c r="S29" s="93"/>
      <c r="T29" s="93"/>
      <c r="U29" s="93"/>
      <c r="V29" s="93"/>
      <c r="W29" s="93"/>
      <c r="X29" s="93"/>
      <c r="Y29" s="93"/>
      <c r="Z29" s="93"/>
      <c r="AA29" s="26" t="s">
        <v>1</v>
      </c>
      <c r="AB29" s="11">
        <v>0</v>
      </c>
      <c r="AC29" s="93"/>
      <c r="AD29" s="93"/>
      <c r="AE29" s="93"/>
      <c r="AF29" s="93"/>
      <c r="AG29" s="93"/>
      <c r="AH29" s="93"/>
      <c r="AI29" s="93"/>
      <c r="AJ29" s="93"/>
      <c r="AK29" s="93"/>
      <c r="AL29" s="93"/>
      <c r="AM29" s="93"/>
      <c r="AN29" s="93"/>
    </row>
    <row r="30" spans="1:40" ht="15.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201" t="s">
        <v>92</v>
      </c>
      <c r="AB30" s="72">
        <f>'Component List'!D18</f>
        <v>31.04</v>
      </c>
      <c r="AC30" s="93"/>
      <c r="AD30" s="93"/>
      <c r="AE30" s="93"/>
      <c r="AF30" s="93"/>
      <c r="AG30" s="93"/>
      <c r="AH30" s="93"/>
      <c r="AI30" s="93"/>
      <c r="AJ30" s="93"/>
      <c r="AK30" s="93"/>
      <c r="AL30" s="93"/>
      <c r="AM30" s="93"/>
      <c r="AN30" s="93"/>
    </row>
    <row r="31" spans="1:40" ht="15.5">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201" t="s">
        <v>254</v>
      </c>
      <c r="AB31" s="72">
        <f>'Component List'!D19</f>
        <v>100</v>
      </c>
      <c r="AC31" s="93"/>
      <c r="AD31" s="93"/>
      <c r="AE31" s="93"/>
      <c r="AF31" s="93"/>
      <c r="AG31" s="93"/>
      <c r="AH31" s="93"/>
      <c r="AI31" s="93"/>
      <c r="AJ31" s="93"/>
      <c r="AK31" s="93"/>
      <c r="AL31" s="93"/>
      <c r="AM31" s="93"/>
      <c r="AN31" s="93"/>
    </row>
    <row r="32" spans="1:40" ht="15.5">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201" t="s">
        <v>93</v>
      </c>
      <c r="AB32" s="72">
        <f>'Component List'!D22</f>
        <v>23.04</v>
      </c>
      <c r="AC32" s="93"/>
      <c r="AD32" s="93"/>
      <c r="AE32" s="93"/>
      <c r="AF32" s="93"/>
      <c r="AG32" s="93"/>
      <c r="AH32" s="93"/>
      <c r="AI32" s="93"/>
      <c r="AJ32" s="93"/>
      <c r="AK32" s="93"/>
      <c r="AL32" s="93"/>
      <c r="AM32" s="93"/>
      <c r="AN32" s="93"/>
    </row>
    <row r="33" spans="1:40" ht="15.5">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201" t="s">
        <v>256</v>
      </c>
      <c r="AB33" s="72">
        <f>'Component List'!D26</f>
        <v>100</v>
      </c>
      <c r="AC33" s="93"/>
      <c r="AD33" s="93"/>
      <c r="AE33" s="93"/>
      <c r="AF33" s="93"/>
      <c r="AG33" s="93"/>
      <c r="AH33" s="93"/>
      <c r="AI33" s="93"/>
      <c r="AJ33" s="93"/>
      <c r="AK33" s="93"/>
      <c r="AL33" s="93"/>
      <c r="AM33" s="93"/>
      <c r="AN33" s="93"/>
    </row>
    <row r="34" spans="1:40" ht="15.5">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26"/>
      <c r="AB34" s="93"/>
      <c r="AC34" s="93"/>
      <c r="AD34" s="93"/>
      <c r="AE34" s="93"/>
      <c r="AF34" s="93"/>
      <c r="AG34" s="93"/>
      <c r="AH34" s="93"/>
      <c r="AI34" s="93"/>
      <c r="AJ34" s="93"/>
      <c r="AK34" s="93"/>
      <c r="AL34" s="93"/>
      <c r="AM34" s="93"/>
      <c r="AN34" s="93"/>
    </row>
    <row r="35" spans="1:40" ht="15.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26"/>
      <c r="AB35" s="93"/>
      <c r="AC35" s="93"/>
      <c r="AD35" s="93"/>
      <c r="AE35" s="93"/>
      <c r="AF35" s="93"/>
      <c r="AG35" s="93"/>
      <c r="AH35" s="93"/>
      <c r="AI35" s="93"/>
      <c r="AJ35" s="93"/>
      <c r="AK35" s="93"/>
      <c r="AL35" s="93"/>
      <c r="AM35" s="93"/>
      <c r="AN35" s="93"/>
    </row>
    <row r="36" spans="1:40" ht="15.5">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26"/>
      <c r="AB36" s="93"/>
      <c r="AC36" s="93"/>
      <c r="AD36" s="93"/>
      <c r="AE36" s="93"/>
      <c r="AF36" s="93"/>
      <c r="AG36" s="93"/>
      <c r="AH36" s="93"/>
      <c r="AI36" s="93"/>
      <c r="AJ36" s="93"/>
      <c r="AK36" s="93"/>
      <c r="AL36" s="93"/>
      <c r="AM36" s="93"/>
      <c r="AN36" s="93"/>
    </row>
    <row r="37" spans="1:40" ht="15.5">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200" t="s">
        <v>182</v>
      </c>
      <c r="AB37" s="29">
        <v>0</v>
      </c>
      <c r="AC37" s="93"/>
      <c r="AD37" s="93"/>
      <c r="AE37" s="93"/>
      <c r="AF37" s="93"/>
      <c r="AG37" s="93"/>
      <c r="AH37" s="93"/>
      <c r="AI37" s="93"/>
      <c r="AJ37" s="93"/>
      <c r="AK37" s="93"/>
      <c r="AL37" s="93"/>
      <c r="AM37" s="93"/>
      <c r="AN37" s="93"/>
    </row>
    <row r="38" spans="1:40" ht="17.2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204" t="s">
        <v>32</v>
      </c>
      <c r="AB38" s="19">
        <f>'Component List'!D18</f>
        <v>31.04</v>
      </c>
      <c r="AC38" s="93"/>
      <c r="AD38" s="93"/>
      <c r="AE38" s="93"/>
      <c r="AF38" s="93"/>
      <c r="AG38" s="93"/>
      <c r="AH38" s="93"/>
      <c r="AI38" s="93"/>
      <c r="AJ38" s="93"/>
      <c r="AK38" s="93"/>
      <c r="AL38" s="93"/>
      <c r="AM38" s="93"/>
      <c r="AN38" s="93"/>
    </row>
    <row r="39" spans="1:40" ht="15.5">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203" t="s">
        <v>201</v>
      </c>
      <c r="AB39" s="19">
        <f>'Component List'!D19</f>
        <v>100</v>
      </c>
      <c r="AC39" s="93"/>
      <c r="AD39" s="93"/>
      <c r="AE39" s="93"/>
      <c r="AF39" s="93"/>
      <c r="AG39" s="93"/>
      <c r="AH39" s="93"/>
      <c r="AI39" s="93"/>
      <c r="AJ39" s="93"/>
      <c r="AK39" s="93"/>
      <c r="AL39" s="93"/>
      <c r="AM39" s="93"/>
      <c r="AN39" s="93"/>
    </row>
    <row r="40" spans="1:40" ht="15.5">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203" t="s">
        <v>33</v>
      </c>
      <c r="AB40" s="19">
        <f>'Component List'!D22</f>
        <v>23.04</v>
      </c>
      <c r="AC40" s="93"/>
      <c r="AD40" s="93"/>
      <c r="AE40" s="93"/>
      <c r="AF40" s="93"/>
      <c r="AG40" s="93"/>
      <c r="AH40" s="93"/>
      <c r="AI40" s="93"/>
      <c r="AJ40" s="93"/>
      <c r="AK40" s="93"/>
      <c r="AL40" s="93"/>
      <c r="AM40" s="93"/>
      <c r="AN40" s="93"/>
    </row>
    <row r="41" spans="1:40" ht="15.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203" t="s">
        <v>202</v>
      </c>
      <c r="AB41" s="19">
        <f>'Component List'!D26</f>
        <v>100</v>
      </c>
      <c r="AC41" s="93"/>
      <c r="AD41" s="93"/>
      <c r="AE41" s="93"/>
      <c r="AF41" s="93"/>
      <c r="AG41" s="93"/>
      <c r="AH41" s="93"/>
      <c r="AI41" s="93"/>
      <c r="AJ41" s="93"/>
      <c r="AK41" s="93"/>
      <c r="AL41" s="93"/>
      <c r="AM41" s="93"/>
      <c r="AN41" s="93"/>
    </row>
    <row r="42" spans="1:40" ht="15.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26"/>
      <c r="AB42" s="93"/>
      <c r="AC42" s="93"/>
      <c r="AD42" s="93"/>
      <c r="AE42" s="93"/>
      <c r="AF42" s="93"/>
      <c r="AG42" s="93"/>
      <c r="AH42" s="93"/>
      <c r="AI42" s="93"/>
      <c r="AJ42" s="93"/>
      <c r="AK42" s="93"/>
      <c r="AL42" s="93"/>
      <c r="AM42" s="93"/>
      <c r="AN42" s="93"/>
    </row>
    <row r="43" spans="1:40" ht="15.5">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26"/>
      <c r="AB43" s="93"/>
      <c r="AC43" s="93"/>
      <c r="AD43" s="93"/>
      <c r="AE43" s="93"/>
      <c r="AF43" s="93"/>
      <c r="AG43" s="93"/>
      <c r="AH43" s="93"/>
      <c r="AI43" s="93"/>
      <c r="AJ43" s="93"/>
      <c r="AK43" s="93"/>
      <c r="AL43" s="93"/>
      <c r="AM43" s="93"/>
      <c r="AN43" s="93"/>
    </row>
    <row r="44" spans="1:40" ht="15.5">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203" t="s">
        <v>183</v>
      </c>
      <c r="AB44" s="18">
        <v>0</v>
      </c>
      <c r="AC44" s="93"/>
      <c r="AD44" s="93"/>
      <c r="AE44" s="93"/>
      <c r="AF44" s="93"/>
      <c r="AG44" s="93"/>
      <c r="AH44" s="93"/>
      <c r="AI44" s="93"/>
      <c r="AJ44" s="93"/>
      <c r="AK44" s="93"/>
      <c r="AL44" s="93"/>
      <c r="AM44" s="93"/>
      <c r="AN44" s="93"/>
    </row>
    <row r="45" spans="1:40" ht="15.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204" t="s">
        <v>34</v>
      </c>
      <c r="AB45" s="19">
        <f>'Component List'!D18</f>
        <v>31.04</v>
      </c>
      <c r="AC45" s="93"/>
      <c r="AD45" s="93"/>
      <c r="AE45" s="93"/>
      <c r="AF45" s="93"/>
      <c r="AG45" s="93"/>
      <c r="AH45" s="93"/>
      <c r="AI45" s="93"/>
      <c r="AJ45" s="93"/>
      <c r="AK45" s="93"/>
      <c r="AL45" s="93"/>
      <c r="AM45" s="93"/>
      <c r="AN45" s="93"/>
    </row>
    <row r="46" spans="1:40" ht="15.5">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203" t="s">
        <v>203</v>
      </c>
      <c r="AB46" s="19">
        <f>'Component List'!D19</f>
        <v>100</v>
      </c>
      <c r="AC46" s="93"/>
      <c r="AD46" s="93"/>
      <c r="AE46" s="93"/>
      <c r="AF46" s="93"/>
      <c r="AG46" s="93"/>
      <c r="AH46" s="93"/>
      <c r="AI46" s="93"/>
      <c r="AJ46" s="93"/>
      <c r="AK46" s="93"/>
      <c r="AL46" s="93"/>
      <c r="AM46" s="93"/>
      <c r="AN46" s="93"/>
    </row>
    <row r="47" spans="1:40" ht="15.5">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203" t="s">
        <v>35</v>
      </c>
      <c r="AB47" s="19">
        <f>'Component List'!D22</f>
        <v>23.04</v>
      </c>
      <c r="AC47" s="93"/>
      <c r="AD47" s="93"/>
      <c r="AE47" s="93"/>
      <c r="AF47" s="93"/>
      <c r="AG47" s="93"/>
      <c r="AH47" s="93"/>
      <c r="AI47" s="93"/>
      <c r="AJ47" s="93"/>
      <c r="AK47" s="93"/>
      <c r="AL47" s="93"/>
      <c r="AM47" s="93"/>
      <c r="AN47" s="93"/>
    </row>
    <row r="48" spans="1:40" ht="15.5">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203" t="s">
        <v>204</v>
      </c>
      <c r="AB48" s="19">
        <f>'Component List'!D26</f>
        <v>100</v>
      </c>
      <c r="AC48" s="93"/>
      <c r="AD48" s="93"/>
      <c r="AE48" s="93"/>
      <c r="AF48" s="93"/>
      <c r="AG48" s="93"/>
      <c r="AH48" s="93"/>
      <c r="AI48" s="93"/>
      <c r="AJ48" s="93"/>
      <c r="AK48" s="93"/>
      <c r="AL48" s="93"/>
      <c r="AM48" s="93"/>
      <c r="AN48" s="93"/>
    </row>
    <row r="49" spans="1:40">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row>
    <row r="50" spans="1:4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t="b">
        <f>OR(C18=AA39,C18=AA41,C19=AA39,C19=AA41,C20=AA46,C20=AA48,C21=AA46,C21=AA48,C16=AA31,C16=AA33,C17=AA31,C17=AA33)</f>
        <v>0</v>
      </c>
      <c r="AB50" s="93"/>
      <c r="AC50" s="93"/>
      <c r="AD50" s="93"/>
      <c r="AE50" s="93"/>
      <c r="AF50" s="93"/>
      <c r="AG50" s="93"/>
      <c r="AH50" s="93"/>
      <c r="AI50" s="93"/>
      <c r="AJ50" s="93"/>
      <c r="AK50" s="93"/>
      <c r="AL50" s="93"/>
      <c r="AM50" s="93"/>
      <c r="AN50" s="93"/>
    </row>
    <row r="51" spans="1:40">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row>
    <row r="52" spans="1:40" ht="12.7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493" t="s">
        <v>253</v>
      </c>
      <c r="AB52" s="493"/>
      <c r="AC52" s="493"/>
      <c r="AD52" s="493"/>
      <c r="AE52" s="493"/>
      <c r="AF52" s="493"/>
      <c r="AG52" s="493"/>
      <c r="AH52" s="493"/>
      <c r="AI52" s="493"/>
      <c r="AJ52" s="493"/>
      <c r="AK52" s="493"/>
      <c r="AL52" s="493"/>
      <c r="AM52" s="493"/>
      <c r="AN52" s="493"/>
    </row>
    <row r="53" spans="1:40" ht="12.7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494"/>
      <c r="AB53" s="494"/>
      <c r="AC53" s="494"/>
      <c r="AD53" s="494"/>
      <c r="AE53" s="494"/>
      <c r="AF53" s="494"/>
      <c r="AG53" s="494"/>
      <c r="AH53" s="494"/>
      <c r="AI53" s="494"/>
      <c r="AJ53" s="494"/>
      <c r="AK53" s="494"/>
      <c r="AL53" s="494"/>
      <c r="AM53" s="494"/>
      <c r="AN53" s="494"/>
    </row>
    <row r="54" spans="1:40" ht="12.7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494"/>
      <c r="AB54" s="494"/>
      <c r="AC54" s="494"/>
      <c r="AD54" s="494"/>
      <c r="AE54" s="494"/>
      <c r="AF54" s="494"/>
      <c r="AG54" s="494"/>
      <c r="AH54" s="494"/>
      <c r="AI54" s="494"/>
      <c r="AJ54" s="494"/>
      <c r="AK54" s="494"/>
      <c r="AL54" s="494"/>
      <c r="AM54" s="494"/>
      <c r="AN54" s="494"/>
    </row>
    <row r="55" spans="1:40">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495"/>
      <c r="AB55" s="495"/>
      <c r="AC55" s="495"/>
      <c r="AD55" s="495"/>
      <c r="AE55" s="495"/>
      <c r="AF55" s="495"/>
      <c r="AG55" s="495"/>
      <c r="AH55" s="495"/>
      <c r="AI55" s="495"/>
      <c r="AJ55" s="495"/>
      <c r="AK55" s="495"/>
      <c r="AL55" s="495"/>
      <c r="AM55" s="495"/>
      <c r="AN55" s="495"/>
    </row>
    <row r="56" spans="1:40">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A52:AN55"/>
    <mergeCell ref="H9:Q9"/>
    <mergeCell ref="R9:R13"/>
    <mergeCell ref="H10:Q10"/>
    <mergeCell ref="A22:C22"/>
    <mergeCell ref="A23:R23"/>
    <mergeCell ref="A24:R24"/>
    <mergeCell ref="A25:R25"/>
    <mergeCell ref="A26:R26"/>
    <mergeCell ref="A27:R27"/>
    <mergeCell ref="A28:R28"/>
    <mergeCell ref="A29:R29"/>
  </mergeCells>
  <dataValidations count="3">
    <dataValidation type="list" allowBlank="1" showInputMessage="1" showErrorMessage="1" sqref="C16:C17">
      <formula1>$AA$29:$AA$33</formula1>
    </dataValidation>
    <dataValidation type="list" allowBlank="1" showInputMessage="1" showErrorMessage="1" promptTitle="Choose Management" sqref="C18:C19">
      <formula1>$AA$37:$AA$41</formula1>
    </dataValidation>
    <dataValidation type="list" allowBlank="1" showInputMessage="1" showErrorMessage="1" promptTitle="Choose Management" sqref="C20:C21">
      <formula1>$AA$44:$AA$48</formula1>
    </dataValidation>
  </dataValidations>
  <pageMargins left="0.7" right="0.7" top="0.75" bottom="0.75" header="0.3" footer="0.3"/>
  <pageSetup scale="4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2641" r:id="rId4" name="Check Box 1">
              <controlPr defaultSize="0" autoFill="0" autoLine="0" autoPict="0">
                <anchor moveWithCells="1">
                  <from>
                    <xdr:col>3</xdr:col>
                    <xdr:colOff>139700</xdr:colOff>
                    <xdr:row>0</xdr:row>
                    <xdr:rowOff>12700</xdr:rowOff>
                  </from>
                  <to>
                    <xdr:col>4</xdr:col>
                    <xdr:colOff>88900</xdr:colOff>
                    <xdr:row>0</xdr:row>
                    <xdr:rowOff>152400</xdr:rowOff>
                  </to>
                </anchor>
              </controlPr>
            </control>
          </mc:Choice>
        </mc:AlternateContent>
        <mc:AlternateContent xmlns:mc="http://schemas.openxmlformats.org/markup-compatibility/2006">
          <mc:Choice Requires="x14">
            <control shapeId="112642" r:id="rId5" name="Check Box 2">
              <controlPr defaultSize="0" autoFill="0" autoLine="0" autoPict="0">
                <anchor moveWithCells="1">
                  <from>
                    <xdr:col>7</xdr:col>
                    <xdr:colOff>196850</xdr:colOff>
                    <xdr:row>0</xdr:row>
                    <xdr:rowOff>19050</xdr:rowOff>
                  </from>
                  <to>
                    <xdr:col>8</xdr:col>
                    <xdr:colOff>82550</xdr:colOff>
                    <xdr:row>0</xdr:row>
                    <xdr:rowOff>158750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AN62"/>
  <sheetViews>
    <sheetView topLeftCell="C11" zoomScale="55" zoomScaleNormal="55" workbookViewId="0">
      <selection activeCell="G38" sqref="G38"/>
    </sheetView>
  </sheetViews>
  <sheetFormatPr defaultRowHeight="12.5"/>
  <cols>
    <col min="3" max="3" width="70.7265625" customWidth="1"/>
    <col min="4" max="4" width="13.453125" customWidth="1"/>
    <col min="6" max="6" width="10.81640625" customWidth="1"/>
    <col min="7" max="7" width="10.54296875" customWidth="1"/>
    <col min="8" max="8" width="15.26953125" customWidth="1"/>
    <col min="9" max="9" width="16.453125" customWidth="1"/>
    <col min="10" max="10" width="14.1796875" customWidth="1"/>
    <col min="11" max="12" width="15.26953125" customWidth="1"/>
    <col min="13" max="13" width="15.54296875" customWidth="1"/>
    <col min="14" max="14" width="6.54296875" customWidth="1"/>
    <col min="15" max="15" width="8.1796875" customWidth="1"/>
    <col min="16" max="16" width="6.81640625" customWidth="1"/>
    <col min="17" max="17" width="6.26953125" customWidth="1"/>
    <col min="18" max="18" width="5.1796875" customWidth="1"/>
    <col min="27" max="27" width="54.7265625" bestFit="1" customWidth="1"/>
    <col min="28" max="28" width="9.1796875" customWidth="1"/>
  </cols>
  <sheetData>
    <row r="1" spans="1:18" ht="18"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25" customHeight="1">
      <c r="A2" s="429" t="s">
        <v>363</v>
      </c>
      <c r="B2" s="430"/>
      <c r="C2" s="430"/>
      <c r="D2" s="136"/>
      <c r="E2" s="136"/>
      <c r="F2" s="425" t="s">
        <v>25</v>
      </c>
      <c r="G2" s="426"/>
      <c r="H2" s="426"/>
      <c r="I2" s="426"/>
      <c r="J2" s="136"/>
      <c r="K2" s="136"/>
      <c r="L2" s="136"/>
      <c r="M2" s="136"/>
      <c r="N2" s="262" t="s">
        <v>420</v>
      </c>
      <c r="O2" s="139" t="s">
        <v>364</v>
      </c>
      <c r="P2" s="138"/>
      <c r="Q2" s="139" t="s">
        <v>365</v>
      </c>
      <c r="R2" s="140"/>
    </row>
    <row r="3" spans="1:18" ht="24.75" customHeight="1">
      <c r="A3" s="141"/>
      <c r="B3" s="85"/>
      <c r="C3" s="85"/>
      <c r="D3" s="85"/>
      <c r="E3" s="85"/>
      <c r="F3" s="427" t="s">
        <v>26</v>
      </c>
      <c r="G3" s="428"/>
      <c r="H3" s="428"/>
      <c r="I3" s="428"/>
      <c r="J3" s="85"/>
      <c r="K3" s="85"/>
      <c r="L3" s="85"/>
      <c r="M3" s="85"/>
      <c r="N3" s="85"/>
      <c r="O3" s="17"/>
      <c r="P3" s="17"/>
      <c r="Q3" s="17"/>
      <c r="R3" s="142"/>
    </row>
    <row r="4" spans="1:18" ht="15.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23.2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ht="20" customHeight="1">
      <c r="A6" s="466"/>
      <c r="B6" s="466"/>
      <c r="C6" s="466"/>
      <c r="D6" s="466"/>
      <c r="E6" s="466"/>
      <c r="F6" s="466"/>
      <c r="G6" s="466"/>
      <c r="H6" s="466"/>
      <c r="I6" s="466"/>
      <c r="J6" s="466"/>
      <c r="K6" s="466"/>
      <c r="L6" s="466"/>
      <c r="M6" s="466"/>
      <c r="N6" s="466"/>
      <c r="O6" s="466"/>
      <c r="P6" s="466"/>
      <c r="Q6" s="466"/>
      <c r="R6" s="466"/>
    </row>
    <row r="7" spans="1:18" ht="144.5" customHeight="1">
      <c r="A7" s="467" t="s">
        <v>459</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ht="12.75" customHeight="1">
      <c r="A9" s="452" t="s">
        <v>90</v>
      </c>
      <c r="B9" s="452" t="s">
        <v>27</v>
      </c>
      <c r="C9" s="498" t="s">
        <v>395</v>
      </c>
      <c r="D9" s="474" t="s">
        <v>391</v>
      </c>
      <c r="E9" s="477"/>
      <c r="F9" s="452" t="s">
        <v>8</v>
      </c>
      <c r="G9" s="452" t="s">
        <v>384</v>
      </c>
      <c r="H9" s="451" t="s">
        <v>383</v>
      </c>
      <c r="I9" s="420"/>
      <c r="J9" s="420"/>
      <c r="K9" s="420"/>
      <c r="L9" s="420"/>
      <c r="M9" s="420"/>
      <c r="N9" s="420"/>
      <c r="O9" s="420"/>
      <c r="P9" s="420"/>
      <c r="Q9" s="421"/>
      <c r="R9" s="452" t="s">
        <v>9</v>
      </c>
    </row>
    <row r="10" spans="1:18" ht="15.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160</v>
      </c>
      <c r="D15" s="381"/>
      <c r="E15" s="274" t="s">
        <v>20</v>
      </c>
      <c r="F15" s="275">
        <f>'Component List'!D2</f>
        <v>1.6399999999999997</v>
      </c>
      <c r="G15" s="276">
        <v>50</v>
      </c>
      <c r="H15" s="231">
        <f>D15*F15*G15/100</f>
        <v>0</v>
      </c>
      <c r="I15" s="264"/>
      <c r="J15" s="264"/>
      <c r="K15" s="264"/>
      <c r="L15" s="264"/>
      <c r="M15" s="264"/>
      <c r="N15" s="28"/>
      <c r="O15" s="28"/>
      <c r="P15" s="28"/>
      <c r="Q15" s="28"/>
      <c r="R15" s="13"/>
    </row>
    <row r="16" spans="1:18" ht="17.5">
      <c r="A16" s="12"/>
      <c r="B16" s="347"/>
      <c r="C16" s="206" t="s">
        <v>159</v>
      </c>
      <c r="D16" s="381"/>
      <c r="E16" s="274" t="s">
        <v>20</v>
      </c>
      <c r="F16" s="275">
        <f>'Component List'!D3</f>
        <v>0</v>
      </c>
      <c r="G16" s="276">
        <v>50</v>
      </c>
      <c r="H16" s="231">
        <f>D16*F16*G16/100</f>
        <v>0</v>
      </c>
      <c r="I16" s="264"/>
      <c r="J16" s="264"/>
      <c r="K16" s="264"/>
      <c r="L16" s="264"/>
      <c r="M16" s="264"/>
      <c r="N16" s="28"/>
      <c r="O16" s="28"/>
      <c r="P16" s="28"/>
      <c r="Q16" s="28"/>
      <c r="R16" s="13"/>
    </row>
    <row r="17" spans="1:18" ht="17.5">
      <c r="A17" s="12"/>
      <c r="B17" s="347"/>
      <c r="C17" s="206" t="s">
        <v>161</v>
      </c>
      <c r="D17" s="381"/>
      <c r="E17" s="274" t="s">
        <v>20</v>
      </c>
      <c r="F17" s="275">
        <f>'Component List'!D4</f>
        <v>80.06</v>
      </c>
      <c r="G17" s="276">
        <v>50</v>
      </c>
      <c r="H17" s="231">
        <f t="shared" ref="H17:H23" si="0">D17*F17*G17/100</f>
        <v>0</v>
      </c>
      <c r="I17" s="264"/>
      <c r="J17" s="264"/>
      <c r="K17" s="264"/>
      <c r="L17" s="264"/>
      <c r="M17" s="264"/>
      <c r="N17" s="28"/>
      <c r="O17" s="28"/>
      <c r="P17" s="28"/>
      <c r="Q17" s="28"/>
      <c r="R17" s="13"/>
    </row>
    <row r="18" spans="1:18" ht="17.5">
      <c r="A18" s="12"/>
      <c r="B18" s="347"/>
      <c r="C18" s="206" t="s">
        <v>300</v>
      </c>
      <c r="D18" s="381"/>
      <c r="E18" s="274" t="s">
        <v>20</v>
      </c>
      <c r="F18" s="275">
        <f>'Component List'!D5</f>
        <v>62.6</v>
      </c>
      <c r="G18" s="276">
        <v>50</v>
      </c>
      <c r="H18" s="231">
        <f t="shared" si="0"/>
        <v>0</v>
      </c>
      <c r="I18" s="264"/>
      <c r="J18" s="264"/>
      <c r="K18" s="264"/>
      <c r="L18" s="264"/>
      <c r="M18" s="264"/>
      <c r="N18" s="28"/>
      <c r="O18" s="28"/>
      <c r="P18" s="28"/>
      <c r="Q18" s="28"/>
      <c r="R18" s="13"/>
    </row>
    <row r="19" spans="1:18" ht="17.5">
      <c r="A19" s="12"/>
      <c r="B19" s="347"/>
      <c r="C19" s="206" t="s">
        <v>288</v>
      </c>
      <c r="D19" s="381"/>
      <c r="E19" s="274" t="s">
        <v>20</v>
      </c>
      <c r="F19" s="275">
        <f>'Component List'!D7</f>
        <v>214.1</v>
      </c>
      <c r="G19" s="276">
        <v>50</v>
      </c>
      <c r="H19" s="231">
        <f t="shared" si="0"/>
        <v>0</v>
      </c>
      <c r="I19" s="264"/>
      <c r="J19" s="264"/>
      <c r="K19" s="264"/>
      <c r="L19" s="264"/>
      <c r="M19" s="264"/>
      <c r="N19" s="28"/>
      <c r="O19" s="28"/>
      <c r="P19" s="28"/>
      <c r="Q19" s="28"/>
      <c r="R19" s="13"/>
    </row>
    <row r="20" spans="1:18" ht="17.5">
      <c r="A20" s="12"/>
      <c r="B20" s="347"/>
      <c r="C20" s="207" t="s">
        <v>412</v>
      </c>
      <c r="D20" s="381"/>
      <c r="E20" s="277" t="s">
        <v>20</v>
      </c>
      <c r="F20" s="275">
        <f>'Component List'!D16</f>
        <v>84.42</v>
      </c>
      <c r="G20" s="276">
        <v>50</v>
      </c>
      <c r="H20" s="263">
        <f t="shared" si="0"/>
        <v>0</v>
      </c>
      <c r="I20" s="264"/>
      <c r="J20" s="264"/>
      <c r="K20" s="264"/>
      <c r="L20" s="264"/>
      <c r="M20" s="264"/>
      <c r="N20" s="28"/>
      <c r="O20" s="28"/>
      <c r="P20" s="28"/>
      <c r="Q20" s="28"/>
      <c r="R20" s="13"/>
    </row>
    <row r="21" spans="1:18" ht="17.5">
      <c r="A21" s="35"/>
      <c r="B21" s="349"/>
      <c r="C21" s="206" t="s">
        <v>165</v>
      </c>
      <c r="D21" s="381"/>
      <c r="E21" s="274" t="s">
        <v>20</v>
      </c>
      <c r="F21" s="275">
        <f>'Component List'!D28</f>
        <v>94.14</v>
      </c>
      <c r="G21" s="276">
        <v>50</v>
      </c>
      <c r="H21" s="231">
        <f t="shared" si="0"/>
        <v>0</v>
      </c>
      <c r="I21" s="264"/>
      <c r="J21" s="269"/>
      <c r="K21" s="269"/>
      <c r="L21" s="269"/>
      <c r="M21" s="269"/>
      <c r="N21" s="68"/>
      <c r="O21" s="68"/>
      <c r="P21" s="68"/>
      <c r="Q21" s="68"/>
      <c r="R21" s="43"/>
    </row>
    <row r="22" spans="1:18" ht="17.5">
      <c r="A22" s="12"/>
      <c r="B22" s="347"/>
      <c r="C22" s="206" t="s">
        <v>163</v>
      </c>
      <c r="D22" s="381"/>
      <c r="E22" s="274" t="s">
        <v>20</v>
      </c>
      <c r="F22" s="275">
        <f>'Component List'!D15</f>
        <v>21.78</v>
      </c>
      <c r="G22" s="276">
        <v>50</v>
      </c>
      <c r="H22" s="231">
        <f t="shared" si="0"/>
        <v>0</v>
      </c>
      <c r="I22" s="270"/>
      <c r="J22" s="264"/>
      <c r="K22" s="264"/>
      <c r="L22" s="264"/>
      <c r="M22" s="264"/>
      <c r="N22" s="28"/>
      <c r="O22" s="28"/>
      <c r="P22" s="28"/>
      <c r="Q22" s="28"/>
      <c r="R22" s="13"/>
    </row>
    <row r="23" spans="1:18" ht="17.5">
      <c r="A23" s="12"/>
      <c r="B23" s="347"/>
      <c r="C23" s="206" t="s">
        <v>286</v>
      </c>
      <c r="D23" s="381"/>
      <c r="E23" s="274" t="s">
        <v>20</v>
      </c>
      <c r="F23" s="275">
        <f>'Component List'!D36</f>
        <v>75.36</v>
      </c>
      <c r="G23" s="276">
        <v>50</v>
      </c>
      <c r="H23" s="231">
        <f t="shared" si="0"/>
        <v>0</v>
      </c>
      <c r="I23" s="264"/>
      <c r="J23" s="264"/>
      <c r="K23" s="264"/>
      <c r="L23" s="264"/>
      <c r="M23" s="264"/>
      <c r="N23" s="28"/>
      <c r="O23" s="28"/>
      <c r="P23" s="28"/>
      <c r="Q23" s="28"/>
      <c r="R23" s="13"/>
    </row>
    <row r="24" spans="1:18" ht="17.5">
      <c r="A24" s="12"/>
      <c r="B24" s="347"/>
      <c r="C24" s="206"/>
      <c r="D24" s="381"/>
      <c r="E24" s="274" t="s">
        <v>20</v>
      </c>
      <c r="F24" s="275"/>
      <c r="G24" s="276"/>
      <c r="H24" s="278"/>
      <c r="I24" s="264"/>
      <c r="J24" s="264"/>
      <c r="K24" s="264"/>
      <c r="L24" s="264"/>
      <c r="M24" s="264"/>
      <c r="N24" s="28"/>
      <c r="O24" s="28"/>
      <c r="P24" s="28"/>
      <c r="Q24" s="28"/>
      <c r="R24" s="13"/>
    </row>
    <row r="25" spans="1:18" ht="17.5">
      <c r="A25" s="12"/>
      <c r="B25" s="347"/>
      <c r="C25" s="206" t="s">
        <v>182</v>
      </c>
      <c r="D25" s="381"/>
      <c r="E25" s="274" t="s">
        <v>20</v>
      </c>
      <c r="F25" s="232">
        <f>VLOOKUP(C25,AA44:AB48,2,TRUE)</f>
        <v>0</v>
      </c>
      <c r="G25" s="276">
        <v>50</v>
      </c>
      <c r="H25" s="279"/>
      <c r="I25" s="264"/>
      <c r="J25" s="264">
        <f>D25*F25*G25/100</f>
        <v>0</v>
      </c>
      <c r="K25" s="264"/>
      <c r="L25" s="264"/>
      <c r="M25" s="264"/>
      <c r="N25" s="28"/>
      <c r="O25" s="28"/>
      <c r="P25" s="28"/>
      <c r="Q25" s="28"/>
      <c r="R25" s="13"/>
    </row>
    <row r="26" spans="1:18" ht="17.5">
      <c r="A26" s="12"/>
      <c r="B26" s="347"/>
      <c r="C26" s="206" t="s">
        <v>182</v>
      </c>
      <c r="D26" s="381"/>
      <c r="E26" s="274" t="s">
        <v>20</v>
      </c>
      <c r="F26" s="232">
        <f>VLOOKUP(C26,AA44:AB48,2,TRUE)</f>
        <v>0</v>
      </c>
      <c r="G26" s="276">
        <v>50</v>
      </c>
      <c r="H26" s="270"/>
      <c r="I26" s="264"/>
      <c r="J26" s="264"/>
      <c r="K26" s="264">
        <f>D26*F26*G26/100</f>
        <v>0</v>
      </c>
      <c r="L26" s="264"/>
      <c r="M26" s="264"/>
      <c r="N26" s="28"/>
      <c r="O26" s="28"/>
      <c r="P26" s="28"/>
      <c r="Q26" s="28"/>
      <c r="R26" s="13"/>
    </row>
    <row r="27" spans="1:18" ht="17.5">
      <c r="A27" s="12"/>
      <c r="B27" s="347"/>
      <c r="C27" s="206" t="s">
        <v>183</v>
      </c>
      <c r="D27" s="381"/>
      <c r="E27" s="274" t="s">
        <v>20</v>
      </c>
      <c r="F27" s="232">
        <f>VLOOKUP(C27,AA51:AB55,2,TRUE)</f>
        <v>0</v>
      </c>
      <c r="G27" s="276">
        <v>50</v>
      </c>
      <c r="H27" s="270"/>
      <c r="I27" s="264"/>
      <c r="J27" s="264"/>
      <c r="K27" s="264"/>
      <c r="L27" s="264">
        <f>D27*F27*G27/100</f>
        <v>0</v>
      </c>
      <c r="M27" s="264"/>
      <c r="N27" s="28"/>
      <c r="O27" s="28"/>
      <c r="P27" s="28"/>
      <c r="Q27" s="28"/>
      <c r="R27" s="13"/>
    </row>
    <row r="28" spans="1:18" ht="17.5">
      <c r="A28" s="12"/>
      <c r="B28" s="347"/>
      <c r="C28" s="206" t="s">
        <v>183</v>
      </c>
      <c r="D28" s="381"/>
      <c r="E28" s="274" t="s">
        <v>20</v>
      </c>
      <c r="F28" s="232">
        <f>VLOOKUP(C28,AA51:AB55,2,TRUE)</f>
        <v>0</v>
      </c>
      <c r="G28" s="276">
        <v>50</v>
      </c>
      <c r="H28" s="270"/>
      <c r="I28" s="264"/>
      <c r="J28" s="264"/>
      <c r="K28" s="264"/>
      <c r="L28" s="264"/>
      <c r="M28" s="264">
        <f>D28*F28*G28/100</f>
        <v>0</v>
      </c>
      <c r="N28" s="28"/>
      <c r="O28" s="28"/>
      <c r="P28" s="28"/>
      <c r="Q28" s="28"/>
      <c r="R28" s="13"/>
    </row>
    <row r="29" spans="1:18" ht="15.5">
      <c r="A29" s="456" t="s">
        <v>89</v>
      </c>
      <c r="B29" s="457"/>
      <c r="C29" s="458"/>
      <c r="D29" s="165"/>
      <c r="E29" s="280"/>
      <c r="F29" s="265"/>
      <c r="G29" s="281"/>
      <c r="H29" s="271">
        <f t="shared" ref="H29:M29" si="1">SUM(H15:H28)</f>
        <v>0</v>
      </c>
      <c r="I29" s="271">
        <f t="shared" si="1"/>
        <v>0</v>
      </c>
      <c r="J29" s="271">
        <f t="shared" si="1"/>
        <v>0</v>
      </c>
      <c r="K29" s="271">
        <f t="shared" si="1"/>
        <v>0</v>
      </c>
      <c r="L29" s="271">
        <f t="shared" si="1"/>
        <v>0</v>
      </c>
      <c r="M29" s="271">
        <f t="shared" si="1"/>
        <v>0</v>
      </c>
      <c r="N29" s="23"/>
      <c r="O29" s="23"/>
      <c r="P29" s="23"/>
      <c r="Q29" s="23"/>
      <c r="R29" s="25"/>
    </row>
    <row r="30" spans="1:18" ht="37.5" customHeight="1">
      <c r="A30" s="496" t="str">
        <f>IF(AA57,AA59,"")</f>
        <v/>
      </c>
      <c r="B30" s="497"/>
      <c r="C30" s="497"/>
      <c r="D30" s="497"/>
      <c r="E30" s="497"/>
      <c r="F30" s="497"/>
      <c r="G30" s="497"/>
      <c r="H30" s="497"/>
      <c r="I30" s="497"/>
      <c r="J30" s="497"/>
      <c r="K30" s="497"/>
      <c r="L30" s="497"/>
      <c r="M30" s="497"/>
      <c r="N30" s="497"/>
      <c r="O30" s="497"/>
      <c r="P30" s="497"/>
      <c r="Q30" s="497"/>
      <c r="R30" s="497"/>
    </row>
    <row r="31" spans="1:18" ht="15.5">
      <c r="A31" s="401" t="s">
        <v>262</v>
      </c>
      <c r="B31" s="402"/>
      <c r="C31" s="402"/>
      <c r="D31" s="402"/>
      <c r="E31" s="402"/>
      <c r="F31" s="402"/>
      <c r="G31" s="402"/>
      <c r="H31" s="402"/>
      <c r="I31" s="402"/>
      <c r="J31" s="402"/>
      <c r="K31" s="402"/>
      <c r="L31" s="402"/>
      <c r="M31" s="402"/>
      <c r="N31" s="402"/>
      <c r="O31" s="402"/>
      <c r="P31" s="402"/>
      <c r="Q31" s="402"/>
      <c r="R31" s="403"/>
    </row>
    <row r="32" spans="1:18" ht="47.25" customHeight="1">
      <c r="A32" s="393" t="s">
        <v>434</v>
      </c>
      <c r="B32" s="394"/>
      <c r="C32" s="394"/>
      <c r="D32" s="394"/>
      <c r="E32" s="394"/>
      <c r="F32" s="394"/>
      <c r="G32" s="394"/>
      <c r="H32" s="394"/>
      <c r="I32" s="394"/>
      <c r="J32" s="394"/>
      <c r="K32" s="394"/>
      <c r="L32" s="394"/>
      <c r="M32" s="394"/>
      <c r="N32" s="394"/>
      <c r="O32" s="394"/>
      <c r="P32" s="394"/>
      <c r="Q32" s="394"/>
      <c r="R32" s="395"/>
    </row>
    <row r="33" spans="1:40" ht="15.5">
      <c r="A33" s="460" t="s">
        <v>390</v>
      </c>
      <c r="B33" s="461"/>
      <c r="C33" s="461"/>
      <c r="D33" s="461"/>
      <c r="E33" s="461"/>
      <c r="F33" s="461"/>
      <c r="G33" s="461"/>
      <c r="H33" s="461"/>
      <c r="I33" s="461"/>
      <c r="J33" s="461"/>
      <c r="K33" s="461"/>
      <c r="L33" s="461"/>
      <c r="M33" s="461"/>
      <c r="N33" s="461"/>
      <c r="O33" s="461"/>
      <c r="P33" s="461"/>
      <c r="Q33" s="461"/>
      <c r="R33" s="462"/>
    </row>
    <row r="34" spans="1:40" ht="50.25" customHeight="1">
      <c r="A34" s="463" t="s">
        <v>392</v>
      </c>
      <c r="B34" s="464"/>
      <c r="C34" s="464"/>
      <c r="D34" s="464"/>
      <c r="E34" s="464"/>
      <c r="F34" s="464"/>
      <c r="G34" s="464"/>
      <c r="H34" s="464"/>
      <c r="I34" s="464"/>
      <c r="J34" s="464"/>
      <c r="K34" s="464"/>
      <c r="L34" s="464"/>
      <c r="M34" s="464"/>
      <c r="N34" s="464"/>
      <c r="O34" s="464"/>
      <c r="P34" s="464"/>
      <c r="Q34" s="464"/>
      <c r="R34" s="465"/>
    </row>
    <row r="35" spans="1:40" ht="15.5">
      <c r="A35" s="413" t="s">
        <v>221</v>
      </c>
      <c r="B35" s="414"/>
      <c r="C35" s="414"/>
      <c r="D35" s="414"/>
      <c r="E35" s="414"/>
      <c r="F35" s="414"/>
      <c r="G35" s="414"/>
      <c r="H35" s="414"/>
      <c r="I35" s="414"/>
      <c r="J35" s="414"/>
      <c r="K35" s="414"/>
      <c r="L35" s="414"/>
      <c r="M35" s="414"/>
      <c r="N35" s="414"/>
      <c r="O35" s="414"/>
      <c r="P35" s="414"/>
      <c r="Q35" s="414"/>
      <c r="R35" s="415"/>
      <c r="AC35" s="93"/>
      <c r="AD35" s="93"/>
      <c r="AE35" s="93"/>
      <c r="AF35" s="93"/>
      <c r="AG35" s="93"/>
      <c r="AH35" s="93"/>
      <c r="AI35" s="93"/>
      <c r="AJ35" s="93"/>
      <c r="AK35" s="93"/>
      <c r="AL35" s="93"/>
      <c r="AM35" s="93"/>
      <c r="AN35" s="93"/>
    </row>
    <row r="36" spans="1:40" ht="65.25" customHeight="1">
      <c r="A36" s="396" t="s">
        <v>370</v>
      </c>
      <c r="B36" s="397"/>
      <c r="C36" s="397"/>
      <c r="D36" s="397"/>
      <c r="E36" s="397"/>
      <c r="F36" s="397"/>
      <c r="G36" s="397"/>
      <c r="H36" s="397"/>
      <c r="I36" s="397"/>
      <c r="J36" s="397"/>
      <c r="K36" s="397"/>
      <c r="L36" s="397"/>
      <c r="M36" s="397"/>
      <c r="N36" s="397"/>
      <c r="O36" s="397"/>
      <c r="P36" s="397"/>
      <c r="Q36" s="397"/>
      <c r="R36" s="398"/>
      <c r="AA36" s="26" t="s">
        <v>1</v>
      </c>
      <c r="AB36" s="11">
        <v>0</v>
      </c>
      <c r="AC36" s="93"/>
      <c r="AD36" s="93"/>
      <c r="AE36" s="93"/>
      <c r="AF36" s="93"/>
      <c r="AG36" s="93"/>
      <c r="AH36" s="93"/>
      <c r="AI36" s="93"/>
      <c r="AJ36" s="93"/>
      <c r="AK36" s="93"/>
      <c r="AL36" s="93"/>
    </row>
    <row r="37" spans="1:40" ht="15.5">
      <c r="AA37" s="201" t="s">
        <v>92</v>
      </c>
      <c r="AB37" s="72">
        <f>'Component List'!D18</f>
        <v>31.04</v>
      </c>
      <c r="AC37" s="93"/>
      <c r="AD37" s="93"/>
      <c r="AE37" s="93"/>
      <c r="AF37" s="93"/>
      <c r="AG37" s="93"/>
      <c r="AH37" s="93"/>
      <c r="AI37" s="93"/>
      <c r="AJ37" s="93"/>
      <c r="AK37" s="93"/>
      <c r="AL37" s="93"/>
      <c r="AM37" s="93"/>
      <c r="AN37" s="93"/>
    </row>
    <row r="38" spans="1:40" ht="15.5">
      <c r="AA38" s="201" t="s">
        <v>254</v>
      </c>
      <c r="AB38" s="72">
        <f>'Component List'!D19</f>
        <v>100</v>
      </c>
      <c r="AC38" s="93"/>
      <c r="AD38" s="93"/>
      <c r="AE38" s="93"/>
      <c r="AF38" s="93"/>
      <c r="AG38" s="93"/>
      <c r="AH38" s="93"/>
      <c r="AI38" s="93"/>
      <c r="AJ38" s="93"/>
      <c r="AK38" s="93"/>
      <c r="AL38" s="93"/>
      <c r="AM38" s="93"/>
      <c r="AN38" s="93"/>
    </row>
    <row r="39" spans="1:40" ht="15.5">
      <c r="AA39" s="201" t="s">
        <v>93</v>
      </c>
      <c r="AB39" s="72">
        <f>'Component List'!D22</f>
        <v>23.04</v>
      </c>
      <c r="AC39" s="93"/>
      <c r="AD39" s="93"/>
      <c r="AE39" s="93"/>
      <c r="AF39" s="93"/>
      <c r="AG39" s="93"/>
      <c r="AH39" s="93"/>
      <c r="AI39" s="93"/>
      <c r="AJ39" s="93"/>
      <c r="AK39" s="93"/>
      <c r="AL39" s="93"/>
      <c r="AM39" s="93"/>
      <c r="AN39" s="93"/>
    </row>
    <row r="40" spans="1:40" ht="15.5">
      <c r="AA40" s="201" t="s">
        <v>256</v>
      </c>
      <c r="AB40" s="72">
        <f>'Component List'!D26</f>
        <v>100</v>
      </c>
      <c r="AC40" s="93"/>
      <c r="AD40" s="93"/>
      <c r="AE40" s="93"/>
      <c r="AF40" s="93"/>
      <c r="AG40" s="93"/>
      <c r="AH40" s="93"/>
      <c r="AI40" s="93"/>
      <c r="AJ40" s="93"/>
      <c r="AK40" s="93"/>
      <c r="AL40" s="93"/>
      <c r="AM40" s="93"/>
      <c r="AN40" s="93"/>
    </row>
    <row r="41" spans="1:40" ht="15.5">
      <c r="AA41" s="26"/>
      <c r="AB41" s="93"/>
      <c r="AC41" s="93"/>
      <c r="AD41" s="93"/>
      <c r="AE41" s="93"/>
      <c r="AF41" s="93"/>
      <c r="AG41" s="93"/>
      <c r="AH41" s="93"/>
      <c r="AI41" s="93"/>
      <c r="AJ41" s="93"/>
      <c r="AK41" s="93"/>
      <c r="AL41" s="93"/>
      <c r="AM41" s="93"/>
      <c r="AN41" s="93"/>
    </row>
    <row r="42" spans="1:40" ht="15.5">
      <c r="AA42" s="26"/>
      <c r="AB42" s="93"/>
      <c r="AC42" s="93"/>
      <c r="AD42" s="93"/>
      <c r="AE42" s="93"/>
      <c r="AF42" s="93"/>
      <c r="AG42" s="93"/>
      <c r="AH42" s="93"/>
      <c r="AI42" s="93"/>
      <c r="AJ42" s="93"/>
      <c r="AK42" s="93"/>
      <c r="AL42" s="93"/>
      <c r="AM42" s="93"/>
      <c r="AN42" s="93"/>
    </row>
    <row r="43" spans="1:40" ht="15.5">
      <c r="AA43" s="26"/>
      <c r="AB43" s="93"/>
      <c r="AC43" s="93"/>
      <c r="AD43" s="93"/>
      <c r="AE43" s="93"/>
      <c r="AF43" s="93"/>
      <c r="AG43" s="93"/>
      <c r="AH43" s="93"/>
      <c r="AI43" s="93"/>
      <c r="AJ43" s="93"/>
      <c r="AK43" s="93"/>
      <c r="AL43" s="93"/>
      <c r="AM43" s="93"/>
      <c r="AN43" s="93"/>
    </row>
    <row r="44" spans="1:40" ht="15.5">
      <c r="AA44" s="200" t="s">
        <v>182</v>
      </c>
      <c r="AB44" s="29">
        <v>0</v>
      </c>
      <c r="AC44" s="93"/>
      <c r="AD44" s="93"/>
      <c r="AE44" s="93"/>
      <c r="AF44" s="93"/>
      <c r="AG44" s="93"/>
      <c r="AH44" s="93"/>
      <c r="AI44" s="93"/>
      <c r="AJ44" s="93"/>
      <c r="AK44" s="93"/>
      <c r="AL44" s="93"/>
      <c r="AM44" s="93"/>
      <c r="AN44" s="93"/>
    </row>
    <row r="45" spans="1:40" ht="15.5">
      <c r="AA45" s="204" t="s">
        <v>32</v>
      </c>
      <c r="AB45" s="19">
        <f>'Component List'!D18</f>
        <v>31.04</v>
      </c>
      <c r="AC45" s="93"/>
      <c r="AD45" s="93"/>
      <c r="AE45" s="93"/>
      <c r="AF45" s="93"/>
      <c r="AG45" s="93"/>
      <c r="AH45" s="93"/>
      <c r="AI45" s="93"/>
      <c r="AJ45" s="93"/>
      <c r="AK45" s="93"/>
      <c r="AL45" s="93"/>
      <c r="AM45" s="93"/>
      <c r="AN45" s="93"/>
    </row>
    <row r="46" spans="1:40" ht="15.5">
      <c r="AA46" s="203" t="s">
        <v>201</v>
      </c>
      <c r="AB46" s="19">
        <f>'Component List'!D19</f>
        <v>100</v>
      </c>
      <c r="AC46" s="93"/>
      <c r="AD46" s="93"/>
      <c r="AE46" s="93"/>
      <c r="AF46" s="93"/>
      <c r="AG46" s="93"/>
      <c r="AH46" s="93"/>
      <c r="AI46" s="93"/>
      <c r="AJ46" s="93"/>
      <c r="AK46" s="93"/>
      <c r="AL46" s="93"/>
      <c r="AM46" s="93"/>
      <c r="AN46" s="93"/>
    </row>
    <row r="47" spans="1:40" ht="15.5">
      <c r="AA47" s="203" t="s">
        <v>33</v>
      </c>
      <c r="AB47" s="19">
        <f>'Component List'!D22</f>
        <v>23.04</v>
      </c>
      <c r="AC47" s="93"/>
      <c r="AD47" s="93"/>
      <c r="AE47" s="93"/>
      <c r="AF47" s="93"/>
      <c r="AG47" s="93"/>
      <c r="AH47" s="93"/>
      <c r="AI47" s="93"/>
      <c r="AJ47" s="93"/>
      <c r="AK47" s="93"/>
      <c r="AL47" s="93"/>
      <c r="AM47" s="93"/>
      <c r="AN47" s="93"/>
    </row>
    <row r="48" spans="1:40" ht="15.5">
      <c r="AA48" s="203" t="s">
        <v>202</v>
      </c>
      <c r="AB48" s="19">
        <f>'Component List'!D26</f>
        <v>100</v>
      </c>
      <c r="AC48" s="93"/>
      <c r="AD48" s="93"/>
      <c r="AE48" s="93"/>
      <c r="AF48" s="93"/>
      <c r="AG48" s="93"/>
      <c r="AH48" s="93"/>
      <c r="AI48" s="93"/>
      <c r="AJ48" s="93"/>
      <c r="AK48" s="93"/>
      <c r="AL48" s="93"/>
      <c r="AM48" s="93"/>
      <c r="AN48" s="93"/>
    </row>
    <row r="49" spans="27:40" ht="15.5">
      <c r="AA49" s="26"/>
      <c r="AB49" s="93"/>
      <c r="AC49" s="93"/>
      <c r="AD49" s="93"/>
      <c r="AE49" s="93"/>
      <c r="AF49" s="93"/>
      <c r="AG49" s="93"/>
      <c r="AH49" s="93"/>
      <c r="AI49" s="93"/>
      <c r="AJ49" s="93"/>
      <c r="AK49" s="93"/>
      <c r="AL49" s="93"/>
      <c r="AM49" s="93"/>
      <c r="AN49" s="93"/>
    </row>
    <row r="50" spans="27:40" ht="15.5">
      <c r="AA50" s="26"/>
      <c r="AB50" s="93"/>
      <c r="AC50" s="93"/>
      <c r="AD50" s="93"/>
      <c r="AE50" s="93"/>
      <c r="AF50" s="93"/>
      <c r="AG50" s="93"/>
      <c r="AH50" s="93"/>
      <c r="AI50" s="93"/>
      <c r="AJ50" s="93"/>
      <c r="AK50" s="93"/>
      <c r="AL50" s="93"/>
      <c r="AM50" s="93"/>
      <c r="AN50" s="93"/>
    </row>
    <row r="51" spans="27:40" ht="15.5">
      <c r="AA51" s="203" t="s">
        <v>183</v>
      </c>
      <c r="AB51" s="18">
        <v>0</v>
      </c>
      <c r="AC51" s="93"/>
      <c r="AD51" s="93"/>
      <c r="AE51" s="93"/>
      <c r="AF51" s="93"/>
      <c r="AG51" s="93"/>
      <c r="AH51" s="93"/>
      <c r="AI51" s="93"/>
      <c r="AJ51" s="93"/>
      <c r="AK51" s="93"/>
      <c r="AL51" s="93"/>
      <c r="AM51" s="93"/>
      <c r="AN51" s="93"/>
    </row>
    <row r="52" spans="27:40" ht="15.5">
      <c r="AA52" s="204" t="s">
        <v>34</v>
      </c>
      <c r="AB52" s="19">
        <f>'Component List'!D18</f>
        <v>31.04</v>
      </c>
      <c r="AC52" s="93"/>
      <c r="AD52" s="93"/>
      <c r="AE52" s="93"/>
      <c r="AF52" s="93"/>
      <c r="AG52" s="93"/>
      <c r="AH52" s="93"/>
      <c r="AI52" s="93"/>
      <c r="AJ52" s="93"/>
      <c r="AK52" s="93"/>
      <c r="AL52" s="93"/>
      <c r="AM52" s="93"/>
      <c r="AN52" s="93"/>
    </row>
    <row r="53" spans="27:40" ht="15.5">
      <c r="AA53" s="203" t="s">
        <v>203</v>
      </c>
      <c r="AB53" s="19">
        <f>'Component List'!D19</f>
        <v>100</v>
      </c>
      <c r="AC53" s="93"/>
      <c r="AD53" s="93"/>
      <c r="AE53" s="93"/>
      <c r="AF53" s="93"/>
      <c r="AG53" s="93"/>
      <c r="AH53" s="93"/>
      <c r="AI53" s="93"/>
      <c r="AJ53" s="93"/>
      <c r="AK53" s="93"/>
      <c r="AL53" s="93"/>
      <c r="AM53" s="93"/>
      <c r="AN53" s="93"/>
    </row>
    <row r="54" spans="27:40" ht="15.5">
      <c r="AA54" s="203" t="s">
        <v>35</v>
      </c>
      <c r="AB54" s="19">
        <f>'Component List'!D22</f>
        <v>23.04</v>
      </c>
      <c r="AC54" s="93"/>
      <c r="AD54" s="93"/>
      <c r="AE54" s="93"/>
      <c r="AF54" s="93"/>
      <c r="AG54" s="93"/>
      <c r="AH54" s="93"/>
      <c r="AI54" s="93"/>
      <c r="AJ54" s="93"/>
      <c r="AK54" s="93"/>
      <c r="AL54" s="93"/>
      <c r="AM54" s="93"/>
      <c r="AN54" s="93"/>
    </row>
    <row r="55" spans="27:40" ht="15.5">
      <c r="AA55" s="203" t="s">
        <v>204</v>
      </c>
      <c r="AB55" s="19">
        <f>'Component List'!D26</f>
        <v>100</v>
      </c>
      <c r="AC55" s="93"/>
      <c r="AD55" s="93"/>
      <c r="AE55" s="93"/>
      <c r="AF55" s="93"/>
      <c r="AG55" s="93"/>
      <c r="AH55" s="93"/>
      <c r="AI55" s="93"/>
      <c r="AJ55" s="93"/>
      <c r="AK55" s="93"/>
      <c r="AL55" s="93"/>
      <c r="AM55" s="93"/>
      <c r="AN55" s="93"/>
    </row>
    <row r="56" spans="27:40">
      <c r="AA56" s="93"/>
      <c r="AB56" s="93"/>
      <c r="AC56" s="93"/>
      <c r="AD56" s="93"/>
      <c r="AE56" s="93"/>
      <c r="AF56" s="93"/>
      <c r="AG56" s="93"/>
      <c r="AH56" s="93"/>
      <c r="AI56" s="93"/>
      <c r="AJ56" s="93"/>
      <c r="AK56" s="93"/>
      <c r="AL56" s="93"/>
      <c r="AM56" s="93"/>
      <c r="AN56" s="93"/>
    </row>
    <row r="57" spans="27:40">
      <c r="AA57" s="93" t="b">
        <f>OR(C25=AA46,C25=AA48,C26=AA46,C26=AA48,C27=AA53,C27=AA55,C28=AA53,C28=AA55)</f>
        <v>0</v>
      </c>
      <c r="AB57" s="93"/>
      <c r="AC57" s="93"/>
      <c r="AD57" s="93"/>
      <c r="AE57" s="93"/>
      <c r="AF57" s="93"/>
      <c r="AG57" s="93"/>
      <c r="AH57" s="93"/>
      <c r="AI57" s="93"/>
      <c r="AJ57" s="93"/>
      <c r="AK57" s="93"/>
      <c r="AL57" s="93"/>
      <c r="AM57" s="93"/>
      <c r="AN57" s="93"/>
    </row>
    <row r="58" spans="27:40">
      <c r="AA58" s="93"/>
      <c r="AB58" s="93"/>
      <c r="AC58" s="93"/>
      <c r="AD58" s="93"/>
      <c r="AE58" s="93"/>
      <c r="AF58" s="93"/>
      <c r="AG58" s="93"/>
      <c r="AH58" s="93"/>
      <c r="AI58" s="93"/>
      <c r="AJ58" s="93"/>
      <c r="AK58" s="93"/>
      <c r="AL58" s="93"/>
      <c r="AM58" s="93"/>
      <c r="AN58" s="93"/>
    </row>
    <row r="59" spans="27:40">
      <c r="AA59" s="493" t="s">
        <v>253</v>
      </c>
      <c r="AB59" s="493"/>
      <c r="AC59" s="493"/>
      <c r="AD59" s="493"/>
      <c r="AE59" s="493"/>
      <c r="AF59" s="493"/>
      <c r="AG59" s="493"/>
      <c r="AH59" s="493"/>
      <c r="AI59" s="493"/>
      <c r="AJ59" s="493"/>
      <c r="AK59" s="493"/>
      <c r="AL59" s="493"/>
      <c r="AM59" s="493"/>
      <c r="AN59" s="493"/>
    </row>
    <row r="60" spans="27:40">
      <c r="AA60" s="494"/>
      <c r="AB60" s="494"/>
      <c r="AC60" s="494"/>
      <c r="AD60" s="494"/>
      <c r="AE60" s="494"/>
      <c r="AF60" s="494"/>
      <c r="AG60" s="494"/>
      <c r="AH60" s="494"/>
      <c r="AI60" s="494"/>
      <c r="AJ60" s="494"/>
      <c r="AK60" s="494"/>
      <c r="AL60" s="494"/>
      <c r="AM60" s="494"/>
      <c r="AN60" s="494"/>
    </row>
    <row r="61" spans="27:40">
      <c r="AA61" s="494"/>
      <c r="AB61" s="494"/>
      <c r="AC61" s="494"/>
      <c r="AD61" s="494"/>
      <c r="AE61" s="494"/>
      <c r="AF61" s="494"/>
      <c r="AG61" s="494"/>
      <c r="AH61" s="494"/>
      <c r="AI61" s="494"/>
      <c r="AJ61" s="494"/>
      <c r="AK61" s="494"/>
      <c r="AL61" s="494"/>
      <c r="AM61" s="494"/>
      <c r="AN61" s="494"/>
    </row>
    <row r="62" spans="27:40">
      <c r="AA62" s="495"/>
      <c r="AB62" s="495"/>
      <c r="AC62" s="495"/>
      <c r="AD62" s="495"/>
      <c r="AE62" s="495"/>
      <c r="AF62" s="495"/>
      <c r="AG62" s="495"/>
      <c r="AH62" s="495"/>
      <c r="AI62" s="495"/>
      <c r="AJ62" s="495"/>
      <c r="AK62" s="495"/>
      <c r="AL62" s="495"/>
      <c r="AM62" s="495"/>
      <c r="AN62" s="495"/>
    </row>
  </sheetData>
  <mergeCells count="35">
    <mergeCell ref="A33:R33"/>
    <mergeCell ref="A34:R34"/>
    <mergeCell ref="A35:R35"/>
    <mergeCell ref="A36:R36"/>
    <mergeCell ref="AA59:AN62"/>
    <mergeCell ref="A32:R32"/>
    <mergeCell ref="A6:R6"/>
    <mergeCell ref="A7:R7"/>
    <mergeCell ref="A8:R8"/>
    <mergeCell ref="A9:A13"/>
    <mergeCell ref="B9:B13"/>
    <mergeCell ref="C9:C13"/>
    <mergeCell ref="D9:D13"/>
    <mergeCell ref="E9:E13"/>
    <mergeCell ref="F9:F13"/>
    <mergeCell ref="G9:G13"/>
    <mergeCell ref="H9:Q9"/>
    <mergeCell ref="R9:R13"/>
    <mergeCell ref="H10:Q10"/>
    <mergeCell ref="A29:C29"/>
    <mergeCell ref="A31:R31"/>
    <mergeCell ref="A30:R30"/>
    <mergeCell ref="A1:C1"/>
    <mergeCell ref="A2:C2"/>
    <mergeCell ref="F2:I2"/>
    <mergeCell ref="F3:I3"/>
    <mergeCell ref="A4:C4"/>
    <mergeCell ref="D4:G4"/>
    <mergeCell ref="J4:L4"/>
    <mergeCell ref="M4:R4"/>
    <mergeCell ref="A5:C5"/>
    <mergeCell ref="D5:G5"/>
    <mergeCell ref="H5:I5"/>
    <mergeCell ref="J5:L5"/>
    <mergeCell ref="M5:R5"/>
  </mergeCells>
  <dataValidations count="2">
    <dataValidation type="list" allowBlank="1" showInputMessage="1" showErrorMessage="1" promptTitle="Choose Management" sqref="C27:C28">
      <formula1>$AA$51:$AA$55</formula1>
    </dataValidation>
    <dataValidation type="list" allowBlank="1" showInputMessage="1" showErrorMessage="1" promptTitle="Choose Management" sqref="C25:C26">
      <formula1>$AA$44:$AA$48</formula1>
    </dataValidation>
  </dataValidations>
  <pageMargins left="0.27" right="0.27" top="0.41" bottom="0.47" header="0.3" footer="0.3"/>
  <pageSetup scale="53"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nchor moveWithCells="1">
                  <from>
                    <xdr:col>3</xdr:col>
                    <xdr:colOff>190500</xdr:colOff>
                    <xdr:row>0</xdr:row>
                    <xdr:rowOff>0</xdr:rowOff>
                  </from>
                  <to>
                    <xdr:col>4</xdr:col>
                    <xdr:colOff>152400</xdr:colOff>
                    <xdr:row>0</xdr:row>
                    <xdr:rowOff>139700</xdr:rowOff>
                  </to>
                </anchor>
              </controlPr>
            </control>
          </mc:Choice>
        </mc:AlternateContent>
        <mc:AlternateContent xmlns:mc="http://schemas.openxmlformats.org/markup-compatibility/2006">
          <mc:Choice Requires="x14">
            <control shapeId="24578" r:id="rId5" name="Check Box 2">
              <controlPr defaultSize="0" autoFill="0" autoLine="0" autoPict="0">
                <anchor moveWithCells="1">
                  <from>
                    <xdr:col>7</xdr:col>
                    <xdr:colOff>215900</xdr:colOff>
                    <xdr:row>0</xdr:row>
                    <xdr:rowOff>0</xdr:rowOff>
                  </from>
                  <to>
                    <xdr:col>8</xdr:col>
                    <xdr:colOff>95250</xdr:colOff>
                    <xdr:row>0</xdr:row>
                    <xdr:rowOff>139700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pageSetUpPr fitToPage="1"/>
  </sheetPr>
  <dimension ref="A1:R37"/>
  <sheetViews>
    <sheetView topLeftCell="A2" zoomScale="51" zoomScaleNormal="51" workbookViewId="0">
      <selection activeCell="D15" sqref="D15"/>
    </sheetView>
  </sheetViews>
  <sheetFormatPr defaultRowHeight="12.5"/>
  <cols>
    <col min="3" max="3" width="74.81640625" customWidth="1"/>
    <col min="4" max="4" width="13.81640625" customWidth="1"/>
    <col min="6" max="6" width="14.81640625" customWidth="1"/>
    <col min="7" max="7" width="11.54296875" customWidth="1"/>
    <col min="8" max="8" width="18.1796875" customWidth="1"/>
    <col min="9" max="9" width="15.1796875" customWidth="1"/>
    <col min="10" max="10" width="14.1796875" customWidth="1"/>
    <col min="11" max="11" width="13.54296875" customWidth="1"/>
    <col min="12" max="12" width="14" customWidth="1"/>
    <col min="13" max="13" width="10.5429687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8"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56" t="s">
        <v>388</v>
      </c>
      <c r="I4" s="26"/>
      <c r="J4" s="480" t="s">
        <v>385</v>
      </c>
      <c r="K4" s="481"/>
      <c r="L4" s="482"/>
      <c r="M4" s="480" t="s">
        <v>389</v>
      </c>
      <c r="N4" s="483"/>
      <c r="O4" s="483"/>
      <c r="P4" s="483"/>
      <c r="Q4" s="483"/>
      <c r="R4" s="484"/>
    </row>
    <row r="5" spans="1:18" ht="24"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09.5" customHeight="1">
      <c r="A7" s="467" t="s">
        <v>462</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394</v>
      </c>
      <c r="D9" s="474" t="s">
        <v>391</v>
      </c>
      <c r="E9" s="477"/>
      <c r="F9" s="452" t="s">
        <v>8</v>
      </c>
      <c r="G9" s="452" t="s">
        <v>384</v>
      </c>
      <c r="H9" s="451" t="s">
        <v>383</v>
      </c>
      <c r="I9" s="420"/>
      <c r="J9" s="420"/>
      <c r="K9" s="420"/>
      <c r="L9" s="420"/>
      <c r="M9" s="420"/>
      <c r="N9" s="420"/>
      <c r="O9" s="420"/>
      <c r="P9" s="420"/>
      <c r="Q9" s="421"/>
      <c r="R9" s="452" t="s">
        <v>9</v>
      </c>
    </row>
    <row r="10" spans="1:18" ht="21"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83" t="s">
        <v>20</v>
      </c>
      <c r="F15" s="264"/>
      <c r="G15" s="268"/>
      <c r="H15" s="231"/>
      <c r="I15" s="264"/>
      <c r="J15" s="264"/>
      <c r="K15" s="264"/>
      <c r="L15" s="264"/>
      <c r="M15" s="264"/>
      <c r="N15" s="28"/>
      <c r="O15" s="28"/>
      <c r="P15" s="28"/>
      <c r="Q15" s="28"/>
      <c r="R15" s="13"/>
    </row>
    <row r="16" spans="1:18" ht="17.5">
      <c r="A16" s="12"/>
      <c r="B16" s="347"/>
      <c r="C16" s="245" t="s">
        <v>451</v>
      </c>
      <c r="D16" s="308"/>
      <c r="E16" s="283" t="s">
        <v>20</v>
      </c>
      <c r="F16" s="264">
        <f>'Component List'!D60</f>
        <v>100</v>
      </c>
      <c r="G16" s="268">
        <v>50</v>
      </c>
      <c r="H16" s="231">
        <f t="shared" ref="H16:H20" si="0">D16*F16*G16/100</f>
        <v>0</v>
      </c>
      <c r="I16" s="264"/>
      <c r="J16" s="264"/>
      <c r="K16" s="264"/>
      <c r="L16" s="264"/>
      <c r="M16" s="264"/>
      <c r="N16" s="28"/>
      <c r="O16" s="28"/>
      <c r="P16" s="28"/>
      <c r="Q16" s="28"/>
      <c r="R16" s="13"/>
    </row>
    <row r="17" spans="1:18" ht="17.5">
      <c r="A17" s="12"/>
      <c r="B17" s="347"/>
      <c r="C17" s="245" t="s">
        <v>452</v>
      </c>
      <c r="D17" s="308"/>
      <c r="E17" s="283" t="s">
        <v>20</v>
      </c>
      <c r="F17" s="264">
        <f>'Component List'!D61</f>
        <v>450</v>
      </c>
      <c r="G17" s="268">
        <v>50</v>
      </c>
      <c r="H17" s="231">
        <f t="shared" si="0"/>
        <v>0</v>
      </c>
      <c r="I17" s="264"/>
      <c r="J17" s="264"/>
      <c r="K17" s="264"/>
      <c r="L17" s="264"/>
      <c r="M17" s="264"/>
      <c r="N17" s="28"/>
      <c r="O17" s="28"/>
      <c r="P17" s="28"/>
      <c r="Q17" s="28"/>
      <c r="R17" s="13"/>
    </row>
    <row r="18" spans="1:18" ht="17.5">
      <c r="A18" s="12"/>
      <c r="B18" s="347"/>
      <c r="C18" s="245" t="s">
        <v>455</v>
      </c>
      <c r="D18" s="308"/>
      <c r="E18" s="283" t="s">
        <v>20</v>
      </c>
      <c r="F18" s="264">
        <f>'Component List'!D62</f>
        <v>500</v>
      </c>
      <c r="G18" s="268">
        <v>50</v>
      </c>
      <c r="H18" s="231">
        <f t="shared" si="0"/>
        <v>0</v>
      </c>
      <c r="I18" s="264"/>
      <c r="J18" s="264"/>
      <c r="K18" s="264"/>
      <c r="L18" s="264"/>
      <c r="M18" s="264"/>
      <c r="N18" s="28"/>
      <c r="O18" s="28"/>
      <c r="P18" s="28"/>
      <c r="Q18" s="28"/>
      <c r="R18" s="13"/>
    </row>
    <row r="19" spans="1:18" ht="17.5">
      <c r="A19" s="12"/>
      <c r="B19" s="347"/>
      <c r="C19" s="245" t="s">
        <v>453</v>
      </c>
      <c r="D19" s="308"/>
      <c r="E19" s="283" t="s">
        <v>20</v>
      </c>
      <c r="F19" s="264">
        <f>'Component List'!D63</f>
        <v>90</v>
      </c>
      <c r="G19" s="268">
        <v>50</v>
      </c>
      <c r="H19" s="231">
        <f t="shared" si="0"/>
        <v>0</v>
      </c>
      <c r="I19" s="264"/>
      <c r="J19" s="264"/>
      <c r="K19" s="264"/>
      <c r="L19" s="264"/>
      <c r="M19" s="264"/>
      <c r="N19" s="28"/>
      <c r="O19" s="28"/>
      <c r="P19" s="28"/>
      <c r="Q19" s="28"/>
      <c r="R19" s="13"/>
    </row>
    <row r="20" spans="1:18" ht="17.5">
      <c r="A20" s="12"/>
      <c r="B20" s="347"/>
      <c r="C20" s="245" t="s">
        <v>454</v>
      </c>
      <c r="D20" s="308"/>
      <c r="E20" s="283" t="s">
        <v>20</v>
      </c>
      <c r="F20" s="264">
        <f>'Component List'!D64</f>
        <v>180</v>
      </c>
      <c r="G20" s="268">
        <v>50</v>
      </c>
      <c r="H20" s="231">
        <f t="shared" si="0"/>
        <v>0</v>
      </c>
      <c r="I20" s="264"/>
      <c r="J20" s="264"/>
      <c r="K20" s="264"/>
      <c r="L20" s="264"/>
      <c r="M20" s="264"/>
      <c r="N20" s="28"/>
      <c r="O20" s="28"/>
      <c r="P20" s="28"/>
      <c r="Q20" s="28"/>
      <c r="R20" s="13"/>
    </row>
    <row r="21" spans="1:18" ht="22.5" customHeight="1">
      <c r="A21" s="12"/>
      <c r="B21" s="347"/>
      <c r="C21" s="242" t="s">
        <v>295</v>
      </c>
      <c r="D21" s="308"/>
      <c r="E21" s="284"/>
      <c r="F21" s="285"/>
      <c r="G21" s="268"/>
      <c r="H21" s="231"/>
      <c r="I21" s="264"/>
      <c r="J21" s="264"/>
      <c r="K21" s="264"/>
      <c r="L21" s="264"/>
      <c r="M21" s="264"/>
      <c r="N21" s="28"/>
      <c r="O21" s="28"/>
      <c r="P21" s="28"/>
      <c r="Q21" s="28"/>
      <c r="R21" s="13"/>
    </row>
    <row r="22" spans="1:18" ht="17.5">
      <c r="A22" s="12"/>
      <c r="B22" s="347"/>
      <c r="C22" s="206" t="s">
        <v>160</v>
      </c>
      <c r="D22" s="308"/>
      <c r="E22" s="272" t="s">
        <v>20</v>
      </c>
      <c r="F22" s="275">
        <f>'Component List'!D2</f>
        <v>1.6399999999999997</v>
      </c>
      <c r="G22" s="268">
        <v>50</v>
      </c>
      <c r="H22" s="231">
        <f t="shared" ref="H22:H29" si="1">D22*F22*G22/100</f>
        <v>0</v>
      </c>
      <c r="I22" s="264"/>
      <c r="J22" s="264"/>
      <c r="K22" s="264"/>
      <c r="L22" s="264"/>
      <c r="M22" s="264"/>
      <c r="N22" s="28"/>
      <c r="O22" s="28"/>
      <c r="P22" s="28"/>
      <c r="Q22" s="28"/>
      <c r="R22" s="13"/>
    </row>
    <row r="23" spans="1:18" ht="17.5">
      <c r="A23" s="12"/>
      <c r="B23" s="347"/>
      <c r="C23" s="206" t="s">
        <v>159</v>
      </c>
      <c r="D23" s="308"/>
      <c r="E23" s="272" t="s">
        <v>20</v>
      </c>
      <c r="F23" s="275">
        <f>'Component List'!D3</f>
        <v>0</v>
      </c>
      <c r="G23" s="268">
        <v>50</v>
      </c>
      <c r="H23" s="231">
        <f t="shared" si="1"/>
        <v>0</v>
      </c>
      <c r="I23" s="264"/>
      <c r="J23" s="264"/>
      <c r="K23" s="264"/>
      <c r="L23" s="264"/>
      <c r="M23" s="264"/>
      <c r="N23" s="28"/>
      <c r="O23" s="28"/>
      <c r="P23" s="28"/>
      <c r="Q23" s="28"/>
      <c r="R23" s="13"/>
    </row>
    <row r="24" spans="1:18" ht="17.5">
      <c r="A24" s="12"/>
      <c r="B24" s="347"/>
      <c r="C24" s="206" t="s">
        <v>161</v>
      </c>
      <c r="D24" s="308"/>
      <c r="E24" s="272" t="s">
        <v>20</v>
      </c>
      <c r="F24" s="275">
        <f>'Component List'!D4</f>
        <v>80.06</v>
      </c>
      <c r="G24" s="268">
        <v>50</v>
      </c>
      <c r="H24" s="231">
        <f t="shared" si="1"/>
        <v>0</v>
      </c>
      <c r="I24" s="264"/>
      <c r="J24" s="264"/>
      <c r="K24" s="264"/>
      <c r="L24" s="264"/>
      <c r="M24" s="264"/>
      <c r="N24" s="28"/>
      <c r="O24" s="28"/>
      <c r="P24" s="28"/>
      <c r="Q24" s="28"/>
      <c r="R24" s="13"/>
    </row>
    <row r="25" spans="1:18" ht="17.5">
      <c r="A25" s="12"/>
      <c r="B25" s="347"/>
      <c r="C25" s="206" t="s">
        <v>301</v>
      </c>
      <c r="D25" s="308"/>
      <c r="E25" s="272" t="s">
        <v>20</v>
      </c>
      <c r="F25" s="275">
        <f>'Component List'!D5</f>
        <v>62.6</v>
      </c>
      <c r="G25" s="268">
        <v>50</v>
      </c>
      <c r="H25" s="231">
        <f t="shared" si="1"/>
        <v>0</v>
      </c>
      <c r="I25" s="264"/>
      <c r="J25" s="264"/>
      <c r="K25" s="264"/>
      <c r="L25" s="264"/>
      <c r="M25" s="264"/>
      <c r="N25" s="28"/>
      <c r="O25" s="28"/>
      <c r="P25" s="28"/>
      <c r="Q25" s="28"/>
      <c r="R25" s="13"/>
    </row>
    <row r="26" spans="1:18" ht="17.5">
      <c r="A26" s="12"/>
      <c r="B26" s="347"/>
      <c r="C26" s="206" t="s">
        <v>289</v>
      </c>
      <c r="D26" s="308"/>
      <c r="E26" s="272" t="s">
        <v>20</v>
      </c>
      <c r="F26" s="275">
        <f>'Component List'!D6</f>
        <v>52.88</v>
      </c>
      <c r="G26" s="268">
        <v>50</v>
      </c>
      <c r="H26" s="231">
        <f t="shared" si="1"/>
        <v>0</v>
      </c>
      <c r="I26" s="264"/>
      <c r="J26" s="264"/>
      <c r="K26" s="264"/>
      <c r="L26" s="264"/>
      <c r="M26" s="264"/>
      <c r="N26" s="28"/>
      <c r="O26" s="28"/>
      <c r="P26" s="28"/>
      <c r="Q26" s="28"/>
      <c r="R26" s="13"/>
    </row>
    <row r="27" spans="1:18" ht="17.5">
      <c r="A27" s="12"/>
      <c r="B27" s="347"/>
      <c r="C27" s="206" t="s">
        <v>290</v>
      </c>
      <c r="D27" s="308"/>
      <c r="E27" s="272" t="s">
        <v>20</v>
      </c>
      <c r="F27" s="275">
        <f>'Component List'!D8</f>
        <v>214.1</v>
      </c>
      <c r="G27" s="268">
        <v>50</v>
      </c>
      <c r="H27" s="231">
        <f t="shared" si="1"/>
        <v>0</v>
      </c>
      <c r="I27" s="264"/>
      <c r="J27" s="264"/>
      <c r="K27" s="264"/>
      <c r="L27" s="264"/>
      <c r="M27" s="264"/>
      <c r="N27" s="28"/>
      <c r="O27" s="28"/>
      <c r="P27" s="28"/>
      <c r="Q27" s="28"/>
      <c r="R27" s="13"/>
    </row>
    <row r="28" spans="1:18" ht="17.5">
      <c r="A28" s="12"/>
      <c r="B28" s="347"/>
      <c r="C28" s="207" t="s">
        <v>176</v>
      </c>
      <c r="D28" s="308"/>
      <c r="E28" s="273" t="s">
        <v>20</v>
      </c>
      <c r="F28" s="263">
        <f>'Component List'!D16</f>
        <v>84.42</v>
      </c>
      <c r="G28" s="268">
        <v>50</v>
      </c>
      <c r="H28" s="231">
        <f t="shared" si="1"/>
        <v>0</v>
      </c>
      <c r="I28" s="264"/>
      <c r="J28" s="264"/>
      <c r="K28" s="264"/>
      <c r="L28" s="264"/>
      <c r="M28" s="264"/>
      <c r="N28" s="28"/>
      <c r="O28" s="28"/>
      <c r="P28" s="28"/>
      <c r="Q28" s="28"/>
      <c r="R28" s="13"/>
    </row>
    <row r="29" spans="1:18" ht="17.5">
      <c r="A29" s="12"/>
      <c r="B29" s="347"/>
      <c r="C29" s="206" t="s">
        <v>165</v>
      </c>
      <c r="D29" s="308"/>
      <c r="E29" s="272" t="s">
        <v>20</v>
      </c>
      <c r="F29" s="275">
        <f>'Component List'!D28</f>
        <v>94.14</v>
      </c>
      <c r="G29" s="268">
        <v>50</v>
      </c>
      <c r="H29" s="231">
        <f t="shared" si="1"/>
        <v>0</v>
      </c>
      <c r="I29" s="264"/>
      <c r="J29" s="264"/>
      <c r="K29" s="264"/>
      <c r="L29" s="264"/>
      <c r="M29" s="264"/>
      <c r="N29" s="28"/>
      <c r="O29" s="28"/>
      <c r="P29" s="28"/>
      <c r="Q29" s="28"/>
      <c r="R29" s="13"/>
    </row>
    <row r="30" spans="1:18" ht="15.5">
      <c r="A30" s="456" t="s">
        <v>89</v>
      </c>
      <c r="B30" s="457"/>
      <c r="C30" s="458"/>
      <c r="D30" s="286"/>
      <c r="E30" s="280"/>
      <c r="F30" s="265"/>
      <c r="G30" s="281"/>
      <c r="H30" s="265">
        <f t="shared" ref="H30:M30" si="2">SUM(H15:H29)</f>
        <v>0</v>
      </c>
      <c r="I30" s="265">
        <f t="shared" si="2"/>
        <v>0</v>
      </c>
      <c r="J30" s="265">
        <f t="shared" si="2"/>
        <v>0</v>
      </c>
      <c r="K30" s="265">
        <f t="shared" si="2"/>
        <v>0</v>
      </c>
      <c r="L30" s="265">
        <f t="shared" si="2"/>
        <v>0</v>
      </c>
      <c r="M30" s="265">
        <f t="shared" si="2"/>
        <v>0</v>
      </c>
      <c r="N30" s="23"/>
      <c r="O30" s="23"/>
      <c r="P30" s="23"/>
      <c r="Q30" s="23"/>
      <c r="R30" s="25"/>
    </row>
    <row r="31" spans="1:18" ht="24.75" customHeight="1">
      <c r="A31" s="358" t="str">
        <f>IF(AE60,AE62,"")</f>
        <v/>
      </c>
      <c r="B31" s="355"/>
      <c r="C31" s="355"/>
      <c r="D31" s="355"/>
      <c r="E31" s="355"/>
      <c r="F31" s="355"/>
      <c r="G31" s="355"/>
      <c r="H31" s="355"/>
      <c r="I31" s="355"/>
      <c r="J31" s="355"/>
      <c r="K31" s="355"/>
      <c r="L31" s="355"/>
      <c r="M31" s="355"/>
      <c r="N31" s="355"/>
      <c r="O31" s="355"/>
      <c r="P31" s="355"/>
      <c r="Q31" s="355"/>
      <c r="R31" s="355"/>
    </row>
    <row r="32" spans="1:18" ht="15.5">
      <c r="A32" s="401" t="s">
        <v>262</v>
      </c>
      <c r="B32" s="402"/>
      <c r="C32" s="402"/>
      <c r="D32" s="402"/>
      <c r="E32" s="402"/>
      <c r="F32" s="402"/>
      <c r="G32" s="402"/>
      <c r="H32" s="402"/>
      <c r="I32" s="402"/>
      <c r="J32" s="402"/>
      <c r="K32" s="402"/>
      <c r="L32" s="402"/>
      <c r="M32" s="402"/>
      <c r="N32" s="402"/>
      <c r="O32" s="402"/>
      <c r="P32" s="402"/>
      <c r="Q32" s="402"/>
      <c r="R32" s="403"/>
    </row>
    <row r="33" spans="1:18" ht="50.25" customHeight="1">
      <c r="A33" s="393" t="s">
        <v>434</v>
      </c>
      <c r="B33" s="394"/>
      <c r="C33" s="394"/>
      <c r="D33" s="394"/>
      <c r="E33" s="394"/>
      <c r="F33" s="394"/>
      <c r="G33" s="394"/>
      <c r="H33" s="394"/>
      <c r="I33" s="394"/>
      <c r="J33" s="394"/>
      <c r="K33" s="394"/>
      <c r="L33" s="394"/>
      <c r="M33" s="394"/>
      <c r="N33" s="394"/>
      <c r="O33" s="394"/>
      <c r="P33" s="394"/>
      <c r="Q33" s="394"/>
      <c r="R33" s="395"/>
    </row>
    <row r="34" spans="1:18" ht="15.5">
      <c r="A34" s="460" t="s">
        <v>390</v>
      </c>
      <c r="B34" s="461"/>
      <c r="C34" s="461"/>
      <c r="D34" s="461"/>
      <c r="E34" s="461"/>
      <c r="F34" s="461"/>
      <c r="G34" s="461"/>
      <c r="H34" s="461"/>
      <c r="I34" s="461"/>
      <c r="J34" s="461"/>
      <c r="K34" s="461"/>
      <c r="L34" s="461"/>
      <c r="M34" s="461"/>
      <c r="N34" s="461"/>
      <c r="O34" s="461"/>
      <c r="P34" s="461"/>
      <c r="Q34" s="461"/>
      <c r="R34" s="462"/>
    </row>
    <row r="35" spans="1:18" ht="41.25" customHeight="1">
      <c r="A35" s="463" t="s">
        <v>392</v>
      </c>
      <c r="B35" s="464"/>
      <c r="C35" s="464"/>
      <c r="D35" s="464"/>
      <c r="E35" s="464"/>
      <c r="F35" s="464"/>
      <c r="G35" s="464"/>
      <c r="H35" s="464"/>
      <c r="I35" s="464"/>
      <c r="J35" s="464"/>
      <c r="K35" s="464"/>
      <c r="L35" s="464"/>
      <c r="M35" s="464"/>
      <c r="N35" s="464"/>
      <c r="O35" s="464"/>
      <c r="P35" s="464"/>
      <c r="Q35" s="464"/>
      <c r="R35" s="465"/>
    </row>
    <row r="36" spans="1:18" ht="15.5">
      <c r="A36" s="413" t="s">
        <v>221</v>
      </c>
      <c r="B36" s="414"/>
      <c r="C36" s="414"/>
      <c r="D36" s="414"/>
      <c r="E36" s="414"/>
      <c r="F36" s="414"/>
      <c r="G36" s="414"/>
      <c r="H36" s="414"/>
      <c r="I36" s="414"/>
      <c r="J36" s="414"/>
      <c r="K36" s="414"/>
      <c r="L36" s="414"/>
      <c r="M36" s="414"/>
      <c r="N36" s="414"/>
      <c r="O36" s="414"/>
      <c r="P36" s="414"/>
      <c r="Q36" s="414"/>
      <c r="R36" s="415"/>
    </row>
    <row r="37" spans="1:18" ht="64.5" customHeight="1">
      <c r="A37" s="396" t="s">
        <v>370</v>
      </c>
      <c r="B37" s="397"/>
      <c r="C37" s="397"/>
      <c r="D37" s="397"/>
      <c r="E37" s="397"/>
      <c r="F37" s="397"/>
      <c r="G37" s="397"/>
      <c r="H37" s="397"/>
      <c r="I37" s="397"/>
      <c r="J37" s="397"/>
      <c r="K37" s="397"/>
      <c r="L37" s="397"/>
      <c r="M37" s="397"/>
      <c r="N37" s="397"/>
      <c r="O37" s="397"/>
      <c r="P37" s="397"/>
      <c r="Q37" s="397"/>
      <c r="R37"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34:R34"/>
    <mergeCell ref="A35:R35"/>
    <mergeCell ref="A36:R36"/>
    <mergeCell ref="A37:R37"/>
    <mergeCell ref="H9:Q9"/>
    <mergeCell ref="R9:R13"/>
    <mergeCell ref="H10:Q10"/>
    <mergeCell ref="A30:C30"/>
    <mergeCell ref="A32:R32"/>
    <mergeCell ref="A33:R33"/>
  </mergeCells>
  <pageMargins left="0.7" right="0.7" top="0.75" bottom="0.75" header="0.3" footer="0.3"/>
  <pageSetup scale="4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1617" r:id="rId4" name="Check Box 1">
              <controlPr defaultSize="0" autoFill="0" autoLine="0" autoPict="0">
                <anchor moveWithCells="1">
                  <from>
                    <xdr:col>3</xdr:col>
                    <xdr:colOff>165100</xdr:colOff>
                    <xdr:row>0</xdr:row>
                    <xdr:rowOff>0</xdr:rowOff>
                  </from>
                  <to>
                    <xdr:col>4</xdr:col>
                    <xdr:colOff>114300</xdr:colOff>
                    <xdr:row>0</xdr:row>
                    <xdr:rowOff>146050</xdr:rowOff>
                  </to>
                </anchor>
              </controlPr>
            </control>
          </mc:Choice>
        </mc:AlternateContent>
        <mc:AlternateContent xmlns:mc="http://schemas.openxmlformats.org/markup-compatibility/2006">
          <mc:Choice Requires="x14">
            <control shapeId="111618" r:id="rId5" name="Check Box 2">
              <controlPr defaultSize="0" autoFill="0" autoLine="0" autoPict="0">
                <anchor moveWithCells="1">
                  <from>
                    <xdr:col>7</xdr:col>
                    <xdr:colOff>158750</xdr:colOff>
                    <xdr:row>0</xdr:row>
                    <xdr:rowOff>12700</xdr:rowOff>
                  </from>
                  <to>
                    <xdr:col>7</xdr:col>
                    <xdr:colOff>730250</xdr:colOff>
                    <xdr:row>0</xdr:row>
                    <xdr:rowOff>158750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R47"/>
  <sheetViews>
    <sheetView topLeftCell="A15" zoomScale="51" zoomScaleNormal="51" workbookViewId="0">
      <selection activeCell="D15" sqref="D15"/>
    </sheetView>
  </sheetViews>
  <sheetFormatPr defaultRowHeight="12.5"/>
  <cols>
    <col min="3" max="3" width="71.81640625" customWidth="1"/>
    <col min="4" max="4" width="12.7265625" customWidth="1"/>
    <col min="6" max="6" width="10.81640625" customWidth="1"/>
    <col min="8" max="8" width="17.1796875" customWidth="1"/>
    <col min="9" max="9" width="12.453125" customWidth="1"/>
    <col min="11" max="11" width="15.81640625" customWidth="1"/>
    <col min="12" max="12" width="15.26953125" customWidth="1"/>
    <col min="14" max="14" width="6" customWidth="1"/>
    <col min="15" max="15" width="6.7265625" customWidth="1"/>
    <col min="16" max="16" width="5.7265625" customWidth="1"/>
    <col min="17" max="17" width="5.81640625" customWidth="1"/>
    <col min="18" max="18" width="9.1796875" customWidth="1"/>
  </cols>
  <sheetData>
    <row r="1" spans="1:18" ht="18"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9.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50.75" customHeight="1">
      <c r="A7" s="467" t="s">
        <v>461</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394</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12"/>
      <c r="B15" s="347"/>
      <c r="C15" s="241" t="s">
        <v>296</v>
      </c>
      <c r="D15" s="382"/>
      <c r="E15" s="64"/>
      <c r="F15" s="28"/>
      <c r="G15" s="67"/>
      <c r="H15" s="27"/>
      <c r="I15" s="28"/>
      <c r="J15" s="28"/>
      <c r="K15" s="28"/>
      <c r="L15" s="28"/>
      <c r="M15" s="28"/>
      <c r="N15" s="28"/>
      <c r="O15" s="28"/>
      <c r="P15" s="28"/>
      <c r="Q15" s="28"/>
      <c r="R15" s="13"/>
    </row>
    <row r="16" spans="1:18" ht="17.5">
      <c r="A16" s="12"/>
      <c r="B16" s="347"/>
      <c r="C16" s="206" t="s">
        <v>166</v>
      </c>
      <c r="D16" s="308"/>
      <c r="E16" s="272" t="s">
        <v>20</v>
      </c>
      <c r="F16" s="275">
        <f>'Component List'!D29</f>
        <v>74.12</v>
      </c>
      <c r="G16" s="268">
        <v>50</v>
      </c>
      <c r="H16" s="231">
        <f t="shared" ref="H16:H30" si="0">D16*F16*G16/100</f>
        <v>0</v>
      </c>
      <c r="I16" s="264"/>
      <c r="J16" s="264"/>
      <c r="K16" s="264"/>
      <c r="L16" s="264"/>
      <c r="M16" s="264"/>
      <c r="N16" s="28"/>
      <c r="O16" s="28"/>
      <c r="P16" s="28"/>
      <c r="Q16" s="28"/>
      <c r="R16" s="13"/>
    </row>
    <row r="17" spans="1:18" ht="17.5">
      <c r="A17" s="12"/>
      <c r="B17" s="347"/>
      <c r="C17" s="206" t="s">
        <v>167</v>
      </c>
      <c r="D17" s="308"/>
      <c r="E17" s="272" t="s">
        <v>20</v>
      </c>
      <c r="F17" s="275">
        <f>'Component List'!D30</f>
        <v>149.58000000000001</v>
      </c>
      <c r="G17" s="268">
        <v>50</v>
      </c>
      <c r="H17" s="231">
        <f t="shared" si="0"/>
        <v>0</v>
      </c>
      <c r="I17" s="264"/>
      <c r="J17" s="264"/>
      <c r="K17" s="264"/>
      <c r="L17" s="264"/>
      <c r="M17" s="264"/>
      <c r="N17" s="28"/>
      <c r="O17" s="28"/>
      <c r="P17" s="28"/>
      <c r="Q17" s="28"/>
      <c r="R17" s="13"/>
    </row>
    <row r="18" spans="1:18" ht="17.5">
      <c r="A18" s="12"/>
      <c r="B18" s="347"/>
      <c r="C18" s="206" t="s">
        <v>168</v>
      </c>
      <c r="D18" s="308"/>
      <c r="E18" s="283">
        <v>100</v>
      </c>
      <c r="F18" s="264">
        <f>'Component List'!D31</f>
        <v>56.58</v>
      </c>
      <c r="G18" s="268">
        <v>50</v>
      </c>
      <c r="H18" s="231">
        <f t="shared" si="0"/>
        <v>0</v>
      </c>
      <c r="I18" s="264"/>
      <c r="J18" s="264"/>
      <c r="K18" s="264"/>
      <c r="L18" s="264"/>
      <c r="M18" s="264"/>
      <c r="N18" s="28"/>
      <c r="O18" s="28"/>
      <c r="P18" s="28"/>
      <c r="Q18" s="28"/>
      <c r="R18" s="13"/>
    </row>
    <row r="19" spans="1:18" ht="17.5">
      <c r="A19" s="12"/>
      <c r="B19" s="347"/>
      <c r="C19" s="206" t="s">
        <v>272</v>
      </c>
      <c r="D19" s="308"/>
      <c r="E19" s="272" t="s">
        <v>20</v>
      </c>
      <c r="F19" s="275">
        <f>'Component List'!D37</f>
        <v>59.48</v>
      </c>
      <c r="G19" s="268">
        <v>50</v>
      </c>
      <c r="H19" s="231">
        <f t="shared" si="0"/>
        <v>0</v>
      </c>
      <c r="I19" s="264"/>
      <c r="J19" s="264"/>
      <c r="K19" s="264"/>
      <c r="L19" s="264"/>
      <c r="M19" s="264"/>
      <c r="N19" s="28"/>
      <c r="O19" s="28"/>
      <c r="P19" s="28"/>
      <c r="Q19" s="28"/>
      <c r="R19" s="13"/>
    </row>
    <row r="20" spans="1:18" ht="17.5">
      <c r="A20" s="12"/>
      <c r="B20" s="347"/>
      <c r="C20" s="206" t="s">
        <v>286</v>
      </c>
      <c r="D20" s="308"/>
      <c r="E20" s="272" t="s">
        <v>20</v>
      </c>
      <c r="F20" s="275">
        <f>'Component List'!D36</f>
        <v>75.36</v>
      </c>
      <c r="G20" s="268">
        <v>50</v>
      </c>
      <c r="H20" s="231">
        <f t="shared" si="0"/>
        <v>0</v>
      </c>
      <c r="I20" s="264"/>
      <c r="J20" s="264"/>
      <c r="K20" s="264"/>
      <c r="L20" s="264"/>
      <c r="M20" s="264"/>
      <c r="N20" s="28"/>
      <c r="O20" s="28"/>
      <c r="P20" s="28"/>
      <c r="Q20" s="28"/>
      <c r="R20" s="13"/>
    </row>
    <row r="21" spans="1:18" ht="17.5">
      <c r="A21" s="35"/>
      <c r="B21" s="349"/>
      <c r="C21" s="206" t="s">
        <v>169</v>
      </c>
      <c r="D21" s="308"/>
      <c r="E21" s="283">
        <v>100</v>
      </c>
      <c r="F21" s="264">
        <f>'Component List'!D32</f>
        <v>70.2</v>
      </c>
      <c r="G21" s="268">
        <v>50</v>
      </c>
      <c r="H21" s="263">
        <f t="shared" si="0"/>
        <v>0</v>
      </c>
      <c r="I21" s="264"/>
      <c r="J21" s="269"/>
      <c r="K21" s="269"/>
      <c r="L21" s="269"/>
      <c r="M21" s="269"/>
      <c r="N21" s="68"/>
      <c r="O21" s="68"/>
      <c r="P21" s="68"/>
      <c r="Q21" s="68"/>
      <c r="R21" s="43"/>
    </row>
    <row r="22" spans="1:18" ht="17.5">
      <c r="A22" s="12"/>
      <c r="B22" s="347"/>
      <c r="C22" s="206" t="s">
        <v>269</v>
      </c>
      <c r="D22" s="308"/>
      <c r="E22" s="283">
        <v>100</v>
      </c>
      <c r="F22" s="264">
        <f>'Component List'!D33</f>
        <v>117.6</v>
      </c>
      <c r="G22" s="268">
        <v>50</v>
      </c>
      <c r="H22" s="231">
        <f t="shared" si="0"/>
        <v>0</v>
      </c>
      <c r="I22" s="270"/>
      <c r="J22" s="264"/>
      <c r="K22" s="264"/>
      <c r="L22" s="264"/>
      <c r="M22" s="264"/>
      <c r="N22" s="28"/>
      <c r="O22" s="28"/>
      <c r="P22" s="28"/>
      <c r="Q22" s="28"/>
      <c r="R22" s="13"/>
    </row>
    <row r="23" spans="1:18" ht="17.5">
      <c r="A23" s="12"/>
      <c r="B23" s="347"/>
      <c r="C23" s="206" t="s">
        <v>244</v>
      </c>
      <c r="D23" s="308"/>
      <c r="E23" s="283">
        <v>100</v>
      </c>
      <c r="F23" s="264">
        <f>'Component List'!D35</f>
        <v>214.5</v>
      </c>
      <c r="G23" s="268">
        <v>50</v>
      </c>
      <c r="H23" s="264">
        <f t="shared" si="0"/>
        <v>0</v>
      </c>
      <c r="I23" s="264"/>
      <c r="J23" s="264"/>
      <c r="K23" s="264"/>
      <c r="L23" s="264"/>
      <c r="M23" s="264"/>
      <c r="N23" s="28"/>
      <c r="O23" s="28"/>
      <c r="P23" s="28"/>
      <c r="Q23" s="28"/>
      <c r="R23" s="13"/>
    </row>
    <row r="24" spans="1:18" ht="17.5">
      <c r="A24" s="12"/>
      <c r="B24" s="347"/>
      <c r="C24" s="206" t="s">
        <v>165</v>
      </c>
      <c r="D24" s="308"/>
      <c r="E24" s="272" t="s">
        <v>20</v>
      </c>
      <c r="F24" s="275">
        <f>'Component List'!D28</f>
        <v>94.14</v>
      </c>
      <c r="G24" s="268">
        <v>50</v>
      </c>
      <c r="H24" s="231">
        <f t="shared" si="0"/>
        <v>0</v>
      </c>
      <c r="I24" s="264"/>
      <c r="J24" s="264"/>
      <c r="K24" s="264"/>
      <c r="L24" s="264"/>
      <c r="M24" s="264"/>
      <c r="N24" s="28"/>
      <c r="O24" s="28"/>
      <c r="P24" s="28"/>
      <c r="Q24" s="28"/>
      <c r="R24" s="13"/>
    </row>
    <row r="25" spans="1:18" ht="17.5">
      <c r="A25" s="12"/>
      <c r="B25" s="347"/>
      <c r="C25" s="206" t="s">
        <v>270</v>
      </c>
      <c r="D25" s="308"/>
      <c r="E25" s="283">
        <v>100</v>
      </c>
      <c r="F25" s="264">
        <f>'Component List'!D34</f>
        <v>200</v>
      </c>
      <c r="G25" s="268">
        <v>50</v>
      </c>
      <c r="H25" s="231">
        <f t="shared" si="0"/>
        <v>0</v>
      </c>
      <c r="I25" s="264"/>
      <c r="J25" s="264"/>
      <c r="K25" s="264"/>
      <c r="L25" s="264"/>
      <c r="M25" s="264"/>
      <c r="N25" s="28"/>
      <c r="O25" s="28"/>
      <c r="P25" s="28"/>
      <c r="Q25" s="28"/>
      <c r="R25" s="13"/>
    </row>
    <row r="26" spans="1:18" s="93" customFormat="1" ht="17.5">
      <c r="A26" s="12"/>
      <c r="B26" s="347"/>
      <c r="C26" s="245" t="s">
        <v>451</v>
      </c>
      <c r="D26" s="308"/>
      <c r="E26" s="283" t="s">
        <v>20</v>
      </c>
      <c r="F26" s="264">
        <f>'Component List'!D60</f>
        <v>100</v>
      </c>
      <c r="G26" s="268">
        <v>50</v>
      </c>
      <c r="H26" s="231">
        <f t="shared" si="0"/>
        <v>0</v>
      </c>
      <c r="I26" s="264"/>
      <c r="J26" s="264"/>
      <c r="K26" s="264"/>
      <c r="L26" s="264"/>
      <c r="M26" s="264"/>
      <c r="N26" s="28"/>
      <c r="O26" s="28"/>
      <c r="P26" s="28"/>
      <c r="Q26" s="28"/>
      <c r="R26" s="13"/>
    </row>
    <row r="27" spans="1:18" s="93" customFormat="1" ht="17.5">
      <c r="A27" s="12"/>
      <c r="B27" s="347"/>
      <c r="C27" s="245" t="s">
        <v>452</v>
      </c>
      <c r="D27" s="308"/>
      <c r="E27" s="283" t="s">
        <v>20</v>
      </c>
      <c r="F27" s="264">
        <f>'Component List'!D61</f>
        <v>450</v>
      </c>
      <c r="G27" s="268">
        <v>50</v>
      </c>
      <c r="H27" s="231">
        <f t="shared" si="0"/>
        <v>0</v>
      </c>
      <c r="I27" s="264"/>
      <c r="J27" s="264"/>
      <c r="K27" s="264"/>
      <c r="L27" s="264"/>
      <c r="M27" s="264"/>
      <c r="N27" s="28"/>
      <c r="O27" s="28"/>
      <c r="P27" s="28"/>
      <c r="Q27" s="28"/>
      <c r="R27" s="13"/>
    </row>
    <row r="28" spans="1:18" s="93" customFormat="1" ht="17.5">
      <c r="A28" s="12"/>
      <c r="B28" s="347"/>
      <c r="C28" s="245" t="s">
        <v>455</v>
      </c>
      <c r="D28" s="308"/>
      <c r="E28" s="283" t="s">
        <v>20</v>
      </c>
      <c r="F28" s="264">
        <f>'Component List'!D62</f>
        <v>500</v>
      </c>
      <c r="G28" s="268">
        <v>50</v>
      </c>
      <c r="H28" s="231">
        <f t="shared" si="0"/>
        <v>0</v>
      </c>
      <c r="I28" s="264"/>
      <c r="J28" s="264"/>
      <c r="K28" s="264"/>
      <c r="L28" s="264"/>
      <c r="M28" s="264"/>
      <c r="N28" s="28"/>
      <c r="O28" s="28"/>
      <c r="P28" s="28"/>
      <c r="Q28" s="28"/>
      <c r="R28" s="13"/>
    </row>
    <row r="29" spans="1:18" s="93" customFormat="1" ht="17.5">
      <c r="A29" s="12"/>
      <c r="B29" s="347"/>
      <c r="C29" s="245" t="s">
        <v>453</v>
      </c>
      <c r="D29" s="308"/>
      <c r="E29" s="283" t="s">
        <v>20</v>
      </c>
      <c r="F29" s="264">
        <f>'Component List'!D63</f>
        <v>90</v>
      </c>
      <c r="G29" s="268">
        <v>50</v>
      </c>
      <c r="H29" s="231">
        <f t="shared" si="0"/>
        <v>0</v>
      </c>
      <c r="I29" s="264"/>
      <c r="J29" s="264"/>
      <c r="K29" s="264"/>
      <c r="L29" s="264"/>
      <c r="M29" s="264"/>
      <c r="N29" s="28"/>
      <c r="O29" s="28"/>
      <c r="P29" s="28"/>
      <c r="Q29" s="28"/>
      <c r="R29" s="13"/>
    </row>
    <row r="30" spans="1:18" s="93" customFormat="1" ht="17.5">
      <c r="A30" s="12"/>
      <c r="B30" s="347"/>
      <c r="C30" s="245" t="s">
        <v>454</v>
      </c>
      <c r="D30" s="308"/>
      <c r="E30" s="283" t="s">
        <v>20</v>
      </c>
      <c r="F30" s="264">
        <f>'Component List'!D64</f>
        <v>180</v>
      </c>
      <c r="G30" s="268">
        <v>50</v>
      </c>
      <c r="H30" s="231">
        <f t="shared" si="0"/>
        <v>0</v>
      </c>
      <c r="I30" s="264"/>
      <c r="J30" s="264"/>
      <c r="K30" s="264"/>
      <c r="L30" s="264"/>
      <c r="M30" s="264"/>
      <c r="N30" s="28"/>
      <c r="O30" s="28"/>
      <c r="P30" s="28"/>
      <c r="Q30" s="28"/>
      <c r="R30" s="13"/>
    </row>
    <row r="31" spans="1:18" ht="18">
      <c r="A31" s="12"/>
      <c r="B31" s="347"/>
      <c r="C31" s="242" t="s">
        <v>295</v>
      </c>
      <c r="D31" s="308"/>
      <c r="E31" s="284"/>
      <c r="F31" s="285"/>
      <c r="G31" s="268"/>
      <c r="H31" s="231"/>
      <c r="I31" s="264"/>
      <c r="J31" s="264"/>
      <c r="K31" s="264"/>
      <c r="L31" s="264"/>
      <c r="M31" s="264"/>
      <c r="N31" s="28"/>
      <c r="O31" s="28"/>
      <c r="P31" s="28"/>
      <c r="Q31" s="28"/>
      <c r="R31" s="13"/>
    </row>
    <row r="32" spans="1:18" ht="17.5">
      <c r="A32" s="12"/>
      <c r="B32" s="347"/>
      <c r="C32" s="206" t="s">
        <v>160</v>
      </c>
      <c r="D32" s="308"/>
      <c r="E32" s="272" t="s">
        <v>20</v>
      </c>
      <c r="F32" s="275">
        <f>'Component List'!D2</f>
        <v>1.6399999999999997</v>
      </c>
      <c r="G32" s="268">
        <v>50</v>
      </c>
      <c r="H32" s="231">
        <f t="shared" ref="H32:H39" si="1">D32*F32*G32/100</f>
        <v>0</v>
      </c>
      <c r="I32" s="264"/>
      <c r="J32" s="264"/>
      <c r="K32" s="264"/>
      <c r="L32" s="264"/>
      <c r="M32" s="264"/>
      <c r="N32" s="28"/>
      <c r="O32" s="28"/>
      <c r="P32" s="28"/>
      <c r="Q32" s="28"/>
      <c r="R32" s="13"/>
    </row>
    <row r="33" spans="1:18" ht="17.5">
      <c r="A33" s="12"/>
      <c r="B33" s="347"/>
      <c r="C33" s="206" t="s">
        <v>159</v>
      </c>
      <c r="D33" s="308"/>
      <c r="E33" s="272" t="s">
        <v>20</v>
      </c>
      <c r="F33" s="275">
        <f>'Component List'!D3</f>
        <v>0</v>
      </c>
      <c r="G33" s="268">
        <v>50</v>
      </c>
      <c r="H33" s="231">
        <f t="shared" si="1"/>
        <v>0</v>
      </c>
      <c r="I33" s="264"/>
      <c r="J33" s="264"/>
      <c r="K33" s="264"/>
      <c r="L33" s="264"/>
      <c r="M33" s="264"/>
      <c r="N33" s="28"/>
      <c r="O33" s="28"/>
      <c r="P33" s="28"/>
      <c r="Q33" s="28"/>
      <c r="R33" s="13"/>
    </row>
    <row r="34" spans="1:18" s="93" customFormat="1" ht="17.5">
      <c r="A34" s="12"/>
      <c r="B34" s="347"/>
      <c r="C34" s="206" t="s">
        <v>161</v>
      </c>
      <c r="D34" s="308"/>
      <c r="E34" s="272" t="s">
        <v>20</v>
      </c>
      <c r="F34" s="275">
        <f>'Component List'!D4</f>
        <v>80.06</v>
      </c>
      <c r="G34" s="268">
        <v>50</v>
      </c>
      <c r="H34" s="231">
        <f t="shared" si="1"/>
        <v>0</v>
      </c>
      <c r="I34" s="264"/>
      <c r="J34" s="264"/>
      <c r="K34" s="264"/>
      <c r="L34" s="264"/>
      <c r="M34" s="264"/>
      <c r="N34" s="28"/>
      <c r="O34" s="28"/>
      <c r="P34" s="28"/>
      <c r="Q34" s="28"/>
      <c r="R34" s="13"/>
    </row>
    <row r="35" spans="1:18" s="93" customFormat="1" ht="17.5">
      <c r="A35" s="12"/>
      <c r="B35" s="347"/>
      <c r="C35" s="206" t="s">
        <v>301</v>
      </c>
      <c r="D35" s="308"/>
      <c r="E35" s="272" t="s">
        <v>20</v>
      </c>
      <c r="F35" s="275">
        <f>'Component List'!D5</f>
        <v>62.6</v>
      </c>
      <c r="G35" s="268">
        <v>50</v>
      </c>
      <c r="H35" s="231">
        <f t="shared" si="1"/>
        <v>0</v>
      </c>
      <c r="I35" s="264"/>
      <c r="J35" s="264"/>
      <c r="K35" s="264"/>
      <c r="L35" s="264"/>
      <c r="M35" s="264"/>
      <c r="N35" s="28"/>
      <c r="O35" s="28"/>
      <c r="P35" s="28"/>
      <c r="Q35" s="28"/>
      <c r="R35" s="13"/>
    </row>
    <row r="36" spans="1:18" s="93" customFormat="1" ht="17.5">
      <c r="A36" s="12"/>
      <c r="B36" s="347"/>
      <c r="C36" s="206" t="s">
        <v>289</v>
      </c>
      <c r="D36" s="308"/>
      <c r="E36" s="272" t="s">
        <v>20</v>
      </c>
      <c r="F36" s="275">
        <f>'Component List'!D6</f>
        <v>52.88</v>
      </c>
      <c r="G36" s="268">
        <v>50</v>
      </c>
      <c r="H36" s="231">
        <f t="shared" si="1"/>
        <v>0</v>
      </c>
      <c r="I36" s="264"/>
      <c r="J36" s="264"/>
      <c r="K36" s="264"/>
      <c r="L36" s="264"/>
      <c r="M36" s="264"/>
      <c r="N36" s="28"/>
      <c r="O36" s="28"/>
      <c r="P36" s="28"/>
      <c r="Q36" s="28"/>
      <c r="R36" s="13"/>
    </row>
    <row r="37" spans="1:18" ht="17.5">
      <c r="A37" s="12"/>
      <c r="B37" s="347"/>
      <c r="C37" s="206" t="s">
        <v>290</v>
      </c>
      <c r="D37" s="308"/>
      <c r="E37" s="272" t="s">
        <v>20</v>
      </c>
      <c r="F37" s="275">
        <f>'Component List'!D8</f>
        <v>214.1</v>
      </c>
      <c r="G37" s="268">
        <v>50</v>
      </c>
      <c r="H37" s="231">
        <f t="shared" si="1"/>
        <v>0</v>
      </c>
      <c r="I37" s="264"/>
      <c r="J37" s="264"/>
      <c r="K37" s="264"/>
      <c r="L37" s="264"/>
      <c r="M37" s="264"/>
      <c r="N37" s="28"/>
      <c r="O37" s="28"/>
      <c r="P37" s="28"/>
      <c r="Q37" s="28"/>
      <c r="R37" s="13"/>
    </row>
    <row r="38" spans="1:18" ht="17.5">
      <c r="A38" s="12"/>
      <c r="B38" s="347"/>
      <c r="C38" s="207" t="s">
        <v>416</v>
      </c>
      <c r="D38" s="308"/>
      <c r="E38" s="273" t="s">
        <v>20</v>
      </c>
      <c r="F38" s="263">
        <f>'Component List'!D16</f>
        <v>84.42</v>
      </c>
      <c r="G38" s="268">
        <v>50</v>
      </c>
      <c r="H38" s="231">
        <f t="shared" si="1"/>
        <v>0</v>
      </c>
      <c r="I38" s="264"/>
      <c r="J38" s="264"/>
      <c r="K38" s="264"/>
      <c r="L38" s="264"/>
      <c r="M38" s="264"/>
      <c r="N38" s="28"/>
      <c r="O38" s="28"/>
      <c r="P38" s="28"/>
      <c r="Q38" s="28"/>
      <c r="R38" s="13"/>
    </row>
    <row r="39" spans="1:18" ht="17.5">
      <c r="A39" s="12"/>
      <c r="B39" s="347"/>
      <c r="C39" s="206" t="s">
        <v>165</v>
      </c>
      <c r="D39" s="308"/>
      <c r="E39" s="272" t="s">
        <v>20</v>
      </c>
      <c r="F39" s="275">
        <f>'Component List'!D28</f>
        <v>94.14</v>
      </c>
      <c r="G39" s="268">
        <v>50</v>
      </c>
      <c r="H39" s="231">
        <f t="shared" si="1"/>
        <v>0</v>
      </c>
      <c r="I39" s="264"/>
      <c r="J39" s="264"/>
      <c r="K39" s="264"/>
      <c r="L39" s="264"/>
      <c r="M39" s="264"/>
      <c r="N39" s="28"/>
      <c r="O39" s="28"/>
      <c r="P39" s="28"/>
      <c r="Q39" s="28"/>
      <c r="R39" s="13"/>
    </row>
    <row r="40" spans="1:18" ht="15.5">
      <c r="A40" s="456" t="s">
        <v>89</v>
      </c>
      <c r="B40" s="457"/>
      <c r="C40" s="458"/>
      <c r="D40" s="286"/>
      <c r="E40" s="280"/>
      <c r="F40" s="265"/>
      <c r="G40" s="281"/>
      <c r="H40" s="265">
        <f t="shared" ref="H40:M40" si="2">SUM(H15:H39)</f>
        <v>0</v>
      </c>
      <c r="I40" s="265">
        <f t="shared" si="2"/>
        <v>0</v>
      </c>
      <c r="J40" s="265">
        <f>SUM(J15:J39)</f>
        <v>0</v>
      </c>
      <c r="K40" s="265">
        <f>SUM(K15:K39)</f>
        <v>0</v>
      </c>
      <c r="L40" s="265">
        <f t="shared" si="2"/>
        <v>0</v>
      </c>
      <c r="M40" s="265">
        <f t="shared" si="2"/>
        <v>0</v>
      </c>
      <c r="N40" s="23"/>
      <c r="O40" s="23"/>
      <c r="P40" s="23"/>
      <c r="Q40" s="23"/>
      <c r="R40" s="25"/>
    </row>
    <row r="41" spans="1:18" ht="15.5">
      <c r="A41" s="92" t="str">
        <f>IF(AE70,AE72,"")</f>
        <v/>
      </c>
      <c r="B41" s="162"/>
      <c r="C41" s="162"/>
      <c r="D41" s="162"/>
      <c r="E41" s="162"/>
      <c r="F41" s="162"/>
      <c r="G41" s="162"/>
      <c r="H41" s="162"/>
      <c r="I41" s="162"/>
      <c r="J41" s="162"/>
      <c r="K41" s="162"/>
      <c r="L41" s="162"/>
      <c r="M41" s="162"/>
      <c r="N41" s="162"/>
      <c r="O41" s="162"/>
      <c r="P41" s="162"/>
      <c r="Q41" s="162"/>
      <c r="R41" s="162"/>
    </row>
    <row r="42" spans="1:18" ht="15.5">
      <c r="A42" s="401" t="s">
        <v>262</v>
      </c>
      <c r="B42" s="402"/>
      <c r="C42" s="402"/>
      <c r="D42" s="402"/>
      <c r="E42" s="402"/>
      <c r="F42" s="402"/>
      <c r="G42" s="402"/>
      <c r="H42" s="402"/>
      <c r="I42" s="402"/>
      <c r="J42" s="402"/>
      <c r="K42" s="402"/>
      <c r="L42" s="402"/>
      <c r="M42" s="402"/>
      <c r="N42" s="402"/>
      <c r="O42" s="402"/>
      <c r="P42" s="402"/>
      <c r="Q42" s="402"/>
      <c r="R42" s="403"/>
    </row>
    <row r="43" spans="1:18" ht="50.25" customHeight="1">
      <c r="A43" s="393" t="s">
        <v>434</v>
      </c>
      <c r="B43" s="394"/>
      <c r="C43" s="394"/>
      <c r="D43" s="394"/>
      <c r="E43" s="394"/>
      <c r="F43" s="394"/>
      <c r="G43" s="394"/>
      <c r="H43" s="394"/>
      <c r="I43" s="394"/>
      <c r="J43" s="394"/>
      <c r="K43" s="394"/>
      <c r="L43" s="394"/>
      <c r="M43" s="394"/>
      <c r="N43" s="394"/>
      <c r="O43" s="394"/>
      <c r="P43" s="394"/>
      <c r="Q43" s="394"/>
      <c r="R43" s="395"/>
    </row>
    <row r="44" spans="1:18" ht="15.5">
      <c r="A44" s="460" t="s">
        <v>390</v>
      </c>
      <c r="B44" s="461"/>
      <c r="C44" s="461"/>
      <c r="D44" s="461"/>
      <c r="E44" s="461"/>
      <c r="F44" s="461"/>
      <c r="G44" s="461"/>
      <c r="H44" s="461"/>
      <c r="I44" s="461"/>
      <c r="J44" s="461"/>
      <c r="K44" s="461"/>
      <c r="L44" s="461"/>
      <c r="M44" s="461"/>
      <c r="N44" s="461"/>
      <c r="O44" s="461"/>
      <c r="P44" s="461"/>
      <c r="Q44" s="461"/>
      <c r="R44" s="462"/>
    </row>
    <row r="45" spans="1:18" ht="55.5" customHeight="1">
      <c r="A45" s="463" t="s">
        <v>392</v>
      </c>
      <c r="B45" s="464"/>
      <c r="C45" s="464"/>
      <c r="D45" s="464"/>
      <c r="E45" s="464"/>
      <c r="F45" s="464"/>
      <c r="G45" s="464"/>
      <c r="H45" s="464"/>
      <c r="I45" s="464"/>
      <c r="J45" s="464"/>
      <c r="K45" s="464"/>
      <c r="L45" s="464"/>
      <c r="M45" s="464"/>
      <c r="N45" s="464"/>
      <c r="O45" s="464"/>
      <c r="P45" s="464"/>
      <c r="Q45" s="464"/>
      <c r="R45" s="465"/>
    </row>
    <row r="46" spans="1:18" ht="15.5">
      <c r="A46" s="413" t="s">
        <v>221</v>
      </c>
      <c r="B46" s="414"/>
      <c r="C46" s="414"/>
      <c r="D46" s="414"/>
      <c r="E46" s="414"/>
      <c r="F46" s="414"/>
      <c r="G46" s="414"/>
      <c r="H46" s="414"/>
      <c r="I46" s="414"/>
      <c r="J46" s="414"/>
      <c r="K46" s="414"/>
      <c r="L46" s="414"/>
      <c r="M46" s="414"/>
      <c r="N46" s="414"/>
      <c r="O46" s="414"/>
      <c r="P46" s="414"/>
      <c r="Q46" s="414"/>
      <c r="R46" s="415"/>
    </row>
    <row r="47" spans="1:18" ht="66.75" customHeight="1">
      <c r="A47" s="396" t="s">
        <v>370</v>
      </c>
      <c r="B47" s="397"/>
      <c r="C47" s="397"/>
      <c r="D47" s="397"/>
      <c r="E47" s="397"/>
      <c r="F47" s="397"/>
      <c r="G47" s="397"/>
      <c r="H47" s="397"/>
      <c r="I47" s="397"/>
      <c r="J47" s="397"/>
      <c r="K47" s="397"/>
      <c r="L47" s="397"/>
      <c r="M47" s="397"/>
      <c r="N47" s="397"/>
      <c r="O47" s="397"/>
      <c r="P47" s="397"/>
      <c r="Q47" s="397"/>
      <c r="R47" s="398"/>
    </row>
  </sheetData>
  <mergeCells count="33">
    <mergeCell ref="A44:R44"/>
    <mergeCell ref="A45:R45"/>
    <mergeCell ref="A46:R46"/>
    <mergeCell ref="A47:R47"/>
    <mergeCell ref="H9:Q9"/>
    <mergeCell ref="R9:R13"/>
    <mergeCell ref="H10:Q10"/>
    <mergeCell ref="A40:C40"/>
    <mergeCell ref="A42:R42"/>
    <mergeCell ref="A43:R43"/>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31:C32">
      <formula1>$AE$33:$AE$45</formula1>
    </dataValidation>
    <dataValidation type="list" allowBlank="1" showInputMessage="1" showErrorMessage="1" promptTitle="Choose Management" sqref="C33:C37">
      <formula1>$AE$46:$AE$55</formula1>
    </dataValidation>
    <dataValidation type="list" allowBlank="1" showInputMessage="1" showErrorMessage="1" promptTitle="Choose Management" sqref="C38:C39">
      <formula1>$AE$58:$AE$67</formula1>
    </dataValidation>
  </dataValidations>
  <pageMargins left="0.36" right="0.19" top="0.44" bottom="0.47"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70" r:id="rId4" name="Check Box 2">
              <controlPr defaultSize="0" autoFill="0" autoLine="0" autoPict="0">
                <anchor moveWithCells="1">
                  <from>
                    <xdr:col>3</xdr:col>
                    <xdr:colOff>146050</xdr:colOff>
                    <xdr:row>0</xdr:row>
                    <xdr:rowOff>0</xdr:rowOff>
                  </from>
                  <to>
                    <xdr:col>4</xdr:col>
                    <xdr:colOff>76200</xdr:colOff>
                    <xdr:row>0</xdr:row>
                    <xdr:rowOff>139700</xdr:rowOff>
                  </to>
                </anchor>
              </controlPr>
            </control>
          </mc:Choice>
        </mc:AlternateContent>
        <mc:AlternateContent xmlns:mc="http://schemas.openxmlformats.org/markup-compatibility/2006">
          <mc:Choice Requires="x14">
            <control shapeId="7171" r:id="rId5" name="Check Box 3">
              <controlPr defaultSize="0" autoFill="0" autoLine="0" autoPict="0">
                <anchor moveWithCells="1">
                  <from>
                    <xdr:col>7</xdr:col>
                    <xdr:colOff>241300</xdr:colOff>
                    <xdr:row>0</xdr:row>
                    <xdr:rowOff>0</xdr:rowOff>
                  </from>
                  <to>
                    <xdr:col>7</xdr:col>
                    <xdr:colOff>723900</xdr:colOff>
                    <xdr:row>0</xdr:row>
                    <xdr:rowOff>139700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pageSetUpPr fitToPage="1"/>
  </sheetPr>
  <dimension ref="A1:R29"/>
  <sheetViews>
    <sheetView zoomScale="53" zoomScaleNormal="53" workbookViewId="0">
      <selection activeCell="D19" sqref="D19"/>
    </sheetView>
  </sheetViews>
  <sheetFormatPr defaultRowHeight="12.5"/>
  <cols>
    <col min="3" max="3" width="75.7265625" bestFit="1" customWidth="1"/>
    <col min="4" max="4" width="17" customWidth="1"/>
    <col min="6" max="6" width="15.7265625" customWidth="1"/>
    <col min="7" max="7" width="9.7265625" customWidth="1"/>
    <col min="8" max="8" width="16.1796875" customWidth="1"/>
    <col min="9" max="9" width="14.26953125" customWidth="1"/>
    <col min="10" max="10" width="13.7265625" customWidth="1"/>
    <col min="11" max="11" width="12.1796875" customWidth="1"/>
    <col min="12" max="12" width="13.7265625" customWidth="1"/>
  </cols>
  <sheetData>
    <row r="1" spans="1:18" ht="23.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56"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87" customHeight="1">
      <c r="A7" s="467" t="s">
        <v>463</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393</v>
      </c>
      <c r="D9" s="474" t="s">
        <v>391</v>
      </c>
      <c r="E9" s="477"/>
      <c r="F9" s="452" t="s">
        <v>8</v>
      </c>
      <c r="G9" s="452" t="s">
        <v>384</v>
      </c>
      <c r="H9" s="451" t="s">
        <v>383</v>
      </c>
      <c r="I9" s="420"/>
      <c r="J9" s="420"/>
      <c r="K9" s="420"/>
      <c r="L9" s="420"/>
      <c r="M9" s="420"/>
      <c r="N9" s="420"/>
      <c r="O9" s="420"/>
      <c r="P9" s="420"/>
      <c r="Q9" s="421"/>
      <c r="R9" s="452" t="s">
        <v>9</v>
      </c>
    </row>
    <row r="10" spans="1:18" ht="20.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287</v>
      </c>
      <c r="D15" s="167"/>
      <c r="E15" s="64"/>
      <c r="F15" s="27"/>
      <c r="G15" s="67"/>
      <c r="H15" s="27"/>
      <c r="I15" s="28"/>
      <c r="J15" s="28"/>
      <c r="K15" s="28"/>
      <c r="L15" s="28"/>
      <c r="M15" s="28"/>
      <c r="N15" s="28"/>
      <c r="O15" s="28"/>
      <c r="P15" s="28"/>
      <c r="Q15" s="28"/>
      <c r="R15" s="13"/>
    </row>
    <row r="16" spans="1:18" ht="17.5">
      <c r="A16" s="12"/>
      <c r="B16" s="347"/>
      <c r="C16" s="206" t="s">
        <v>283</v>
      </c>
      <c r="D16" s="308"/>
      <c r="E16" s="272" t="s">
        <v>20</v>
      </c>
      <c r="F16" s="231"/>
      <c r="G16" s="282"/>
      <c r="H16" s="231"/>
      <c r="I16" s="264"/>
      <c r="J16" s="264"/>
      <c r="K16" s="264"/>
      <c r="L16" s="264"/>
      <c r="M16" s="264"/>
      <c r="N16" s="28"/>
      <c r="O16" s="28"/>
      <c r="P16" s="28"/>
      <c r="Q16" s="28"/>
      <c r="R16" s="13"/>
    </row>
    <row r="17" spans="1:18" ht="17.5">
      <c r="A17" s="346"/>
      <c r="B17" s="350"/>
      <c r="C17" s="245" t="s">
        <v>451</v>
      </c>
      <c r="D17" s="308"/>
      <c r="E17" s="283" t="s">
        <v>20</v>
      </c>
      <c r="F17" s="264">
        <f>'Component List'!D60</f>
        <v>100</v>
      </c>
      <c r="G17" s="268">
        <v>50</v>
      </c>
      <c r="H17" s="231">
        <f t="shared" ref="H17:H21" si="0">D17*F17*G17/100</f>
        <v>0</v>
      </c>
      <c r="I17" s="264"/>
      <c r="J17" s="264"/>
      <c r="K17" s="264"/>
      <c r="L17" s="264"/>
      <c r="M17" s="264"/>
      <c r="N17" s="28"/>
      <c r="O17" s="28"/>
      <c r="P17" s="28"/>
      <c r="Q17" s="28"/>
      <c r="R17" s="13"/>
    </row>
    <row r="18" spans="1:18" ht="17.5">
      <c r="A18" s="346"/>
      <c r="B18" s="350"/>
      <c r="C18" s="245" t="s">
        <v>452</v>
      </c>
      <c r="D18" s="308"/>
      <c r="E18" s="283" t="s">
        <v>20</v>
      </c>
      <c r="F18" s="264">
        <f>'Component List'!D61</f>
        <v>450</v>
      </c>
      <c r="G18" s="268">
        <v>50</v>
      </c>
      <c r="H18" s="231">
        <f t="shared" si="0"/>
        <v>0</v>
      </c>
      <c r="I18" s="264"/>
      <c r="J18" s="264"/>
      <c r="K18" s="264"/>
      <c r="L18" s="264"/>
      <c r="M18" s="264"/>
      <c r="N18" s="28"/>
      <c r="O18" s="28"/>
      <c r="P18" s="28"/>
      <c r="Q18" s="28"/>
      <c r="R18" s="13"/>
    </row>
    <row r="19" spans="1:18" ht="17.5">
      <c r="A19" s="346"/>
      <c r="B19" s="350"/>
      <c r="C19" s="245" t="s">
        <v>455</v>
      </c>
      <c r="D19" s="308"/>
      <c r="E19" s="283" t="s">
        <v>20</v>
      </c>
      <c r="F19" s="264">
        <f>'Component List'!D62</f>
        <v>500</v>
      </c>
      <c r="G19" s="268">
        <v>50</v>
      </c>
      <c r="H19" s="231">
        <f t="shared" si="0"/>
        <v>0</v>
      </c>
      <c r="I19" s="264"/>
      <c r="J19" s="264"/>
      <c r="K19" s="264"/>
      <c r="L19" s="264"/>
      <c r="M19" s="264"/>
      <c r="N19" s="28"/>
      <c r="O19" s="28"/>
      <c r="P19" s="28"/>
      <c r="Q19" s="28"/>
      <c r="R19" s="13"/>
    </row>
    <row r="20" spans="1:18" ht="17.5">
      <c r="A20" s="346"/>
      <c r="B20" s="350"/>
      <c r="C20" s="245" t="s">
        <v>453</v>
      </c>
      <c r="D20" s="308"/>
      <c r="E20" s="283" t="s">
        <v>20</v>
      </c>
      <c r="F20" s="264">
        <f>'Component List'!D63</f>
        <v>90</v>
      </c>
      <c r="G20" s="268">
        <v>50</v>
      </c>
      <c r="H20" s="231">
        <f t="shared" si="0"/>
        <v>0</v>
      </c>
      <c r="I20" s="264"/>
      <c r="J20" s="264"/>
      <c r="K20" s="264"/>
      <c r="L20" s="264"/>
      <c r="M20" s="264"/>
      <c r="N20" s="28"/>
      <c r="O20" s="28"/>
      <c r="P20" s="28"/>
      <c r="Q20" s="28"/>
      <c r="R20" s="13"/>
    </row>
    <row r="21" spans="1:18" ht="17.5">
      <c r="A21" s="346"/>
      <c r="B21" s="350"/>
      <c r="C21" s="245" t="s">
        <v>454</v>
      </c>
      <c r="D21" s="308"/>
      <c r="E21" s="283" t="s">
        <v>20</v>
      </c>
      <c r="F21" s="264">
        <f>'Component List'!D64</f>
        <v>180</v>
      </c>
      <c r="G21" s="268">
        <v>50</v>
      </c>
      <c r="H21" s="231">
        <f t="shared" si="0"/>
        <v>0</v>
      </c>
      <c r="I21" s="264"/>
      <c r="J21" s="264"/>
      <c r="K21" s="264"/>
      <c r="L21" s="264"/>
      <c r="M21" s="264"/>
      <c r="N21" s="28"/>
      <c r="O21" s="28"/>
      <c r="P21" s="28"/>
      <c r="Q21" s="28"/>
      <c r="R21" s="13"/>
    </row>
    <row r="22" spans="1:18" ht="15.5">
      <c r="A22" s="456" t="s">
        <v>89</v>
      </c>
      <c r="B22" s="457"/>
      <c r="C22" s="458"/>
      <c r="D22" s="286"/>
      <c r="E22" s="280"/>
      <c r="F22" s="265"/>
      <c r="G22" s="281"/>
      <c r="H22" s="271">
        <f t="shared" ref="H22:M22" si="1">SUM(H15:H21)</f>
        <v>0</v>
      </c>
      <c r="I22" s="271">
        <f t="shared" si="1"/>
        <v>0</v>
      </c>
      <c r="J22" s="271">
        <f t="shared" si="1"/>
        <v>0</v>
      </c>
      <c r="K22" s="271">
        <f t="shared" si="1"/>
        <v>0</v>
      </c>
      <c r="L22" s="271">
        <f t="shared" si="1"/>
        <v>0</v>
      </c>
      <c r="M22" s="271">
        <f t="shared" si="1"/>
        <v>0</v>
      </c>
      <c r="N22" s="23"/>
      <c r="O22" s="23"/>
      <c r="P22" s="23"/>
      <c r="Q22" s="23"/>
      <c r="R22" s="25"/>
    </row>
    <row r="23" spans="1:18" ht="15.5">
      <c r="A23" s="358" t="str">
        <f>IF(AE52,AE54,"")</f>
        <v/>
      </c>
      <c r="B23" s="355"/>
      <c r="C23" s="355"/>
      <c r="D23" s="355"/>
      <c r="E23" s="355"/>
      <c r="F23" s="355"/>
      <c r="G23" s="355"/>
      <c r="H23" s="355"/>
      <c r="I23" s="355"/>
      <c r="J23" s="355"/>
      <c r="K23" s="355"/>
      <c r="L23" s="355"/>
      <c r="M23" s="355"/>
      <c r="N23" s="355"/>
      <c r="O23" s="355"/>
      <c r="P23" s="355"/>
      <c r="Q23" s="355"/>
      <c r="R23" s="355"/>
    </row>
    <row r="24" spans="1:18" ht="15.5">
      <c r="A24" s="401" t="s">
        <v>262</v>
      </c>
      <c r="B24" s="402"/>
      <c r="C24" s="402"/>
      <c r="D24" s="402"/>
      <c r="E24" s="402"/>
      <c r="F24" s="402"/>
      <c r="G24" s="402"/>
      <c r="H24" s="402"/>
      <c r="I24" s="402"/>
      <c r="J24" s="402"/>
      <c r="K24" s="402"/>
      <c r="L24" s="402"/>
      <c r="M24" s="402"/>
      <c r="N24" s="402"/>
      <c r="O24" s="402"/>
      <c r="P24" s="402"/>
      <c r="Q24" s="402"/>
      <c r="R24" s="403"/>
    </row>
    <row r="25" spans="1:18" ht="48.75" customHeight="1">
      <c r="A25" s="393" t="s">
        <v>434</v>
      </c>
      <c r="B25" s="394"/>
      <c r="C25" s="394"/>
      <c r="D25" s="394"/>
      <c r="E25" s="394"/>
      <c r="F25" s="394"/>
      <c r="G25" s="394"/>
      <c r="H25" s="394"/>
      <c r="I25" s="394"/>
      <c r="J25" s="394"/>
      <c r="K25" s="394"/>
      <c r="L25" s="394"/>
      <c r="M25" s="394"/>
      <c r="N25" s="394"/>
      <c r="O25" s="394"/>
      <c r="P25" s="394"/>
      <c r="Q25" s="394"/>
      <c r="R25" s="395"/>
    </row>
    <row r="26" spans="1:18" ht="15.5">
      <c r="A26" s="460" t="s">
        <v>390</v>
      </c>
      <c r="B26" s="461"/>
      <c r="C26" s="461"/>
      <c r="D26" s="461"/>
      <c r="E26" s="461"/>
      <c r="F26" s="461"/>
      <c r="G26" s="461"/>
      <c r="H26" s="461"/>
      <c r="I26" s="461"/>
      <c r="J26" s="461"/>
      <c r="K26" s="461"/>
      <c r="L26" s="461"/>
      <c r="M26" s="461"/>
      <c r="N26" s="461"/>
      <c r="O26" s="461"/>
      <c r="P26" s="461"/>
      <c r="Q26" s="461"/>
      <c r="R26" s="462"/>
    </row>
    <row r="27" spans="1:18" ht="34.5" customHeight="1">
      <c r="A27" s="463" t="s">
        <v>392</v>
      </c>
      <c r="B27" s="464"/>
      <c r="C27" s="464"/>
      <c r="D27" s="464"/>
      <c r="E27" s="464"/>
      <c r="F27" s="464"/>
      <c r="G27" s="464"/>
      <c r="H27" s="464"/>
      <c r="I27" s="464"/>
      <c r="J27" s="464"/>
      <c r="K27" s="464"/>
      <c r="L27" s="464"/>
      <c r="M27" s="464"/>
      <c r="N27" s="464"/>
      <c r="O27" s="464"/>
      <c r="P27" s="464"/>
      <c r="Q27" s="464"/>
      <c r="R27" s="465"/>
    </row>
    <row r="28" spans="1:18" ht="15.5">
      <c r="A28" s="413" t="s">
        <v>221</v>
      </c>
      <c r="B28" s="414"/>
      <c r="C28" s="414"/>
      <c r="D28" s="414"/>
      <c r="E28" s="414"/>
      <c r="F28" s="414"/>
      <c r="G28" s="414"/>
      <c r="H28" s="414"/>
      <c r="I28" s="414"/>
      <c r="J28" s="414"/>
      <c r="K28" s="414"/>
      <c r="L28" s="414"/>
      <c r="M28" s="414"/>
      <c r="N28" s="414"/>
      <c r="O28" s="414"/>
      <c r="P28" s="414"/>
      <c r="Q28" s="414"/>
      <c r="R28" s="415"/>
    </row>
    <row r="29" spans="1:18" ht="67.5" customHeight="1">
      <c r="A29" s="396" t="s">
        <v>370</v>
      </c>
      <c r="B29" s="397"/>
      <c r="C29" s="397"/>
      <c r="D29" s="397"/>
      <c r="E29" s="397"/>
      <c r="F29" s="397"/>
      <c r="G29" s="397"/>
      <c r="H29" s="397"/>
      <c r="I29" s="397"/>
      <c r="J29" s="397"/>
      <c r="K29" s="397"/>
      <c r="L29" s="397"/>
      <c r="M29" s="397"/>
      <c r="N29" s="397"/>
      <c r="O29" s="397"/>
      <c r="P29" s="397"/>
      <c r="Q29" s="397"/>
      <c r="R29"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6:R26"/>
    <mergeCell ref="A27:R27"/>
    <mergeCell ref="A28:R28"/>
    <mergeCell ref="A29:R29"/>
    <mergeCell ref="H9:Q9"/>
    <mergeCell ref="R9:R13"/>
    <mergeCell ref="H10:Q10"/>
    <mergeCell ref="A22:C22"/>
    <mergeCell ref="A24:R24"/>
    <mergeCell ref="A25:R25"/>
  </mergeCells>
  <pageMargins left="0.7" right="0.7" top="0.75" bottom="0.75" header="0.3" footer="0.3"/>
  <pageSetup scale="4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3665" r:id="rId4" name="Check Box 1">
              <controlPr defaultSize="0" autoFill="0" autoLine="0" autoPict="0">
                <anchor moveWithCells="1">
                  <from>
                    <xdr:col>3</xdr:col>
                    <xdr:colOff>215900</xdr:colOff>
                    <xdr:row>0</xdr:row>
                    <xdr:rowOff>12700</xdr:rowOff>
                  </from>
                  <to>
                    <xdr:col>3</xdr:col>
                    <xdr:colOff>584200</xdr:colOff>
                    <xdr:row>0</xdr:row>
                    <xdr:rowOff>165100</xdr:rowOff>
                  </to>
                </anchor>
              </controlPr>
            </control>
          </mc:Choice>
        </mc:AlternateContent>
        <mc:AlternateContent xmlns:mc="http://schemas.openxmlformats.org/markup-compatibility/2006">
          <mc:Choice Requires="x14">
            <control shapeId="113666" r:id="rId5" name="Check Box 2">
              <controlPr defaultSize="0" autoFill="0" autoLine="0" autoPict="0">
                <anchor moveWithCells="1">
                  <from>
                    <xdr:col>7</xdr:col>
                    <xdr:colOff>285750</xdr:colOff>
                    <xdr:row>0</xdr:row>
                    <xdr:rowOff>25400</xdr:rowOff>
                  </from>
                  <to>
                    <xdr:col>8</xdr:col>
                    <xdr:colOff>107950</xdr:colOff>
                    <xdr:row>0</xdr:row>
                    <xdr:rowOff>165100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R47"/>
  <sheetViews>
    <sheetView topLeftCell="A9" zoomScale="52" zoomScaleNormal="52" workbookViewId="0">
      <selection activeCell="D21" sqref="D21"/>
    </sheetView>
  </sheetViews>
  <sheetFormatPr defaultRowHeight="12.5"/>
  <cols>
    <col min="2" max="2" width="12.26953125" customWidth="1"/>
    <col min="3" max="3" width="70.54296875" customWidth="1"/>
    <col min="4" max="4" width="13.453125" customWidth="1"/>
    <col min="6" max="6" width="10" customWidth="1"/>
    <col min="7" max="7" width="13.1796875" customWidth="1"/>
    <col min="8" max="8" width="14.453125" customWidth="1"/>
    <col min="9" max="9" width="13.453125" customWidth="1"/>
    <col min="10" max="10" width="12.7265625" customWidth="1"/>
    <col min="11" max="11" width="15.7265625" customWidth="1"/>
    <col min="12" max="12" width="15.453125" customWidth="1"/>
    <col min="14" max="14" width="5.81640625" customWidth="1"/>
    <col min="15" max="15" width="7.453125" customWidth="1"/>
    <col min="16" max="16" width="6.453125" customWidth="1"/>
    <col min="17" max="17" width="5.1796875" customWidth="1"/>
    <col min="18" max="18" width="7.5429687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9"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2" customHeight="1">
      <c r="A7" s="467" t="s">
        <v>468</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393</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287</v>
      </c>
      <c r="D15" s="167"/>
      <c r="E15" s="64"/>
      <c r="F15" s="27"/>
      <c r="G15" s="67"/>
      <c r="H15" s="27"/>
      <c r="I15" s="28"/>
      <c r="J15" s="28"/>
      <c r="K15" s="28"/>
      <c r="L15" s="28"/>
      <c r="M15" s="28"/>
      <c r="N15" s="28"/>
      <c r="O15" s="28"/>
      <c r="P15" s="28"/>
      <c r="Q15" s="28"/>
      <c r="R15" s="13"/>
    </row>
    <row r="16" spans="1:18" ht="17.5">
      <c r="A16" s="12"/>
      <c r="B16" s="347"/>
      <c r="C16" s="206" t="s">
        <v>166</v>
      </c>
      <c r="D16" s="308"/>
      <c r="E16" s="272" t="s">
        <v>20</v>
      </c>
      <c r="F16" s="231">
        <f>'Component List'!D29</f>
        <v>74.12</v>
      </c>
      <c r="G16" s="282">
        <v>50</v>
      </c>
      <c r="H16" s="231">
        <f>D16*F16*G16/100</f>
        <v>0</v>
      </c>
      <c r="I16" s="264"/>
      <c r="J16" s="264"/>
      <c r="K16" s="264"/>
      <c r="L16" s="264"/>
      <c r="M16" s="264"/>
      <c r="N16" s="28"/>
      <c r="O16" s="28"/>
      <c r="P16" s="28"/>
      <c r="Q16" s="28"/>
      <c r="R16" s="13"/>
    </row>
    <row r="17" spans="1:18" ht="17.5">
      <c r="A17" s="12"/>
      <c r="B17" s="347"/>
      <c r="C17" s="206" t="s">
        <v>167</v>
      </c>
      <c r="D17" s="308"/>
      <c r="E17" s="272" t="s">
        <v>20</v>
      </c>
      <c r="F17" s="231">
        <f>'Component List'!D30</f>
        <v>149.58000000000001</v>
      </c>
      <c r="G17" s="282">
        <v>50</v>
      </c>
      <c r="H17" s="231">
        <f>D17*F17*G17/100</f>
        <v>0</v>
      </c>
      <c r="I17" s="264"/>
      <c r="J17" s="264"/>
      <c r="K17" s="264"/>
      <c r="L17" s="264"/>
      <c r="M17" s="264"/>
      <c r="N17" s="28"/>
      <c r="O17" s="28"/>
      <c r="P17" s="28"/>
      <c r="Q17" s="28"/>
      <c r="R17" s="13"/>
    </row>
    <row r="18" spans="1:18" ht="17.5">
      <c r="A18" s="12"/>
      <c r="B18" s="347"/>
      <c r="C18" s="206" t="s">
        <v>168</v>
      </c>
      <c r="D18" s="308"/>
      <c r="E18" s="283">
        <v>100</v>
      </c>
      <c r="F18" s="231">
        <f>'Component List'!D31</f>
        <v>56.58</v>
      </c>
      <c r="G18" s="282">
        <v>50</v>
      </c>
      <c r="H18" s="231">
        <f>D18*F18*G18/100</f>
        <v>0</v>
      </c>
      <c r="I18" s="264"/>
      <c r="J18" s="264"/>
      <c r="K18" s="264"/>
      <c r="L18" s="264"/>
      <c r="M18" s="264"/>
      <c r="N18" s="28"/>
      <c r="O18" s="28"/>
      <c r="P18" s="28"/>
      <c r="Q18" s="28"/>
      <c r="R18" s="13"/>
    </row>
    <row r="19" spans="1:18" ht="17.5">
      <c r="A19" s="12"/>
      <c r="B19" s="347"/>
      <c r="C19" s="206" t="s">
        <v>272</v>
      </c>
      <c r="D19" s="308"/>
      <c r="E19" s="272" t="s">
        <v>20</v>
      </c>
      <c r="F19" s="231">
        <f>'Component List'!D37</f>
        <v>59.48</v>
      </c>
      <c r="G19" s="282">
        <v>50</v>
      </c>
      <c r="H19" s="231">
        <f t="shared" ref="H19:H38" si="0">D19*F19*G19/100</f>
        <v>0</v>
      </c>
      <c r="I19" s="264"/>
      <c r="J19" s="264"/>
      <c r="K19" s="264"/>
      <c r="L19" s="264"/>
      <c r="M19" s="264"/>
      <c r="N19" s="28"/>
      <c r="O19" s="28"/>
      <c r="P19" s="28"/>
      <c r="Q19" s="28"/>
      <c r="R19" s="13"/>
    </row>
    <row r="20" spans="1:18" ht="17.5">
      <c r="A20" s="12"/>
      <c r="B20" s="347"/>
      <c r="C20" s="206" t="s">
        <v>169</v>
      </c>
      <c r="D20" s="308"/>
      <c r="E20" s="283">
        <v>100</v>
      </c>
      <c r="F20" s="231">
        <f>'Component List'!D32</f>
        <v>70.2</v>
      </c>
      <c r="G20" s="282">
        <v>50</v>
      </c>
      <c r="H20" s="231">
        <f t="shared" si="0"/>
        <v>0</v>
      </c>
      <c r="I20" s="264"/>
      <c r="J20" s="264"/>
      <c r="K20" s="264"/>
      <c r="L20" s="264"/>
      <c r="M20" s="264"/>
      <c r="N20" s="28"/>
      <c r="O20" s="28"/>
      <c r="P20" s="28"/>
      <c r="Q20" s="28"/>
      <c r="R20" s="13"/>
    </row>
    <row r="21" spans="1:18" ht="17.5">
      <c r="A21" s="35"/>
      <c r="B21" s="349"/>
      <c r="C21" s="206" t="s">
        <v>269</v>
      </c>
      <c r="D21" s="308"/>
      <c r="E21" s="283">
        <v>100</v>
      </c>
      <c r="F21" s="231">
        <f>'Component List'!D33</f>
        <v>117.6</v>
      </c>
      <c r="G21" s="282">
        <v>50</v>
      </c>
      <c r="H21" s="263">
        <f t="shared" si="0"/>
        <v>0</v>
      </c>
      <c r="I21" s="264"/>
      <c r="J21" s="269"/>
      <c r="K21" s="269"/>
      <c r="L21" s="269"/>
      <c r="M21" s="269"/>
      <c r="N21" s="68"/>
      <c r="O21" s="68"/>
      <c r="P21" s="68"/>
      <c r="Q21" s="68"/>
      <c r="R21" s="43"/>
    </row>
    <row r="22" spans="1:18" ht="17.5">
      <c r="A22" s="12"/>
      <c r="B22" s="347"/>
      <c r="C22" s="206" t="s">
        <v>270</v>
      </c>
      <c r="D22" s="308"/>
      <c r="E22" s="283">
        <v>100</v>
      </c>
      <c r="F22" s="231">
        <f>'Component List'!D34</f>
        <v>200</v>
      </c>
      <c r="G22" s="282">
        <v>50</v>
      </c>
      <c r="H22" s="231">
        <f t="shared" si="0"/>
        <v>0</v>
      </c>
      <c r="I22" s="264"/>
      <c r="J22" s="264"/>
      <c r="K22" s="264"/>
      <c r="L22" s="264"/>
      <c r="M22" s="264"/>
      <c r="N22" s="28"/>
      <c r="O22" s="28"/>
      <c r="P22" s="28"/>
      <c r="Q22" s="28"/>
      <c r="R22" s="13"/>
    </row>
    <row r="23" spans="1:18" ht="17.5">
      <c r="A23" s="12"/>
      <c r="B23" s="347"/>
      <c r="C23" s="206" t="s">
        <v>271</v>
      </c>
      <c r="D23" s="308"/>
      <c r="E23" s="283">
        <v>100</v>
      </c>
      <c r="F23" s="231">
        <f>'Component List'!D35</f>
        <v>214.5</v>
      </c>
      <c r="G23" s="282">
        <v>50</v>
      </c>
      <c r="H23" s="231">
        <f t="shared" si="0"/>
        <v>0</v>
      </c>
      <c r="I23" s="264"/>
      <c r="J23" s="264"/>
      <c r="K23" s="264"/>
      <c r="L23" s="264"/>
      <c r="M23" s="264"/>
      <c r="N23" s="28"/>
      <c r="O23" s="28"/>
      <c r="P23" s="28"/>
      <c r="Q23" s="28"/>
      <c r="R23" s="13"/>
    </row>
    <row r="24" spans="1:18" ht="17.5">
      <c r="A24" s="12"/>
      <c r="B24" s="347"/>
      <c r="C24" s="206" t="s">
        <v>76</v>
      </c>
      <c r="D24" s="308"/>
      <c r="E24" s="272" t="s">
        <v>77</v>
      </c>
      <c r="F24" s="231">
        <f>'Component List'!D39</f>
        <v>6.38</v>
      </c>
      <c r="G24" s="282">
        <v>50</v>
      </c>
      <c r="H24" s="231">
        <f>D24*F24*G24/100</f>
        <v>0</v>
      </c>
      <c r="I24" s="264"/>
      <c r="J24" s="264"/>
      <c r="K24" s="264"/>
      <c r="L24" s="264"/>
      <c r="M24" s="264"/>
      <c r="N24" s="28"/>
      <c r="O24" s="28"/>
      <c r="P24" s="28"/>
      <c r="Q24" s="28"/>
      <c r="R24" s="13"/>
    </row>
    <row r="25" spans="1:18" ht="17.5">
      <c r="A25" s="12"/>
      <c r="B25" s="347"/>
      <c r="C25" s="206" t="s">
        <v>249</v>
      </c>
      <c r="D25" s="308"/>
      <c r="E25" s="272" t="s">
        <v>20</v>
      </c>
      <c r="F25" s="231">
        <f>'Component List'!D42</f>
        <v>46.42</v>
      </c>
      <c r="G25" s="282">
        <v>50</v>
      </c>
      <c r="H25" s="231">
        <f>D25*F25*G25/100</f>
        <v>0</v>
      </c>
      <c r="I25" s="264"/>
      <c r="J25" s="264"/>
      <c r="K25" s="264"/>
      <c r="L25" s="264"/>
      <c r="M25" s="264"/>
      <c r="N25" s="28"/>
      <c r="O25" s="28"/>
      <c r="P25" s="28"/>
      <c r="Q25" s="28"/>
      <c r="R25" s="13"/>
    </row>
    <row r="26" spans="1:18" ht="17.5">
      <c r="A26" s="12"/>
      <c r="B26" s="347"/>
      <c r="C26" s="206" t="s">
        <v>247</v>
      </c>
      <c r="D26" s="308"/>
      <c r="E26" s="272" t="s">
        <v>248</v>
      </c>
      <c r="F26" s="231">
        <f>'Component List'!D41</f>
        <v>85</v>
      </c>
      <c r="G26" s="282">
        <v>50</v>
      </c>
      <c r="H26" s="231">
        <f>D26*F26*G26/100</f>
        <v>0</v>
      </c>
      <c r="I26" s="264"/>
      <c r="J26" s="264"/>
      <c r="K26" s="264"/>
      <c r="L26" s="264"/>
      <c r="M26" s="264"/>
      <c r="N26" s="28"/>
      <c r="O26" s="28"/>
      <c r="P26" s="28"/>
      <c r="Q26" s="28"/>
      <c r="R26" s="13"/>
    </row>
    <row r="27" spans="1:18" ht="17.5">
      <c r="A27" s="12"/>
      <c r="B27" s="347"/>
      <c r="C27" s="206" t="s">
        <v>245</v>
      </c>
      <c r="D27" s="308"/>
      <c r="E27" s="272" t="s">
        <v>246</v>
      </c>
      <c r="F27" s="231">
        <f>'Component List'!D40</f>
        <v>35.26</v>
      </c>
      <c r="G27" s="282">
        <v>50</v>
      </c>
      <c r="H27" s="231">
        <f>D27*F27*G27/100</f>
        <v>0</v>
      </c>
      <c r="I27" s="264"/>
      <c r="J27" s="264"/>
      <c r="K27" s="264"/>
      <c r="L27" s="264"/>
      <c r="M27" s="264"/>
      <c r="N27" s="28"/>
      <c r="O27" s="28"/>
      <c r="P27" s="28"/>
      <c r="Q27" s="28"/>
      <c r="R27" s="13"/>
    </row>
    <row r="28" spans="1:18" s="93" customFormat="1" ht="17.5">
      <c r="A28" s="346"/>
      <c r="B28" s="350"/>
      <c r="C28" s="245" t="s">
        <v>451</v>
      </c>
      <c r="D28" s="308"/>
      <c r="E28" s="283" t="s">
        <v>20</v>
      </c>
      <c r="F28" s="264">
        <f>'Component List'!D60</f>
        <v>100</v>
      </c>
      <c r="G28" s="268">
        <v>50</v>
      </c>
      <c r="H28" s="231">
        <f t="shared" ref="H28:H32" si="1">D28*F28*G28/100</f>
        <v>0</v>
      </c>
      <c r="I28" s="264"/>
      <c r="J28" s="264"/>
      <c r="K28" s="264"/>
      <c r="L28" s="264"/>
      <c r="M28" s="264"/>
      <c r="N28" s="28"/>
      <c r="O28" s="28"/>
      <c r="P28" s="28"/>
      <c r="Q28" s="28"/>
      <c r="R28" s="13"/>
    </row>
    <row r="29" spans="1:18" s="93" customFormat="1" ht="17.5">
      <c r="A29" s="346"/>
      <c r="B29" s="350"/>
      <c r="C29" s="245" t="s">
        <v>452</v>
      </c>
      <c r="D29" s="308"/>
      <c r="E29" s="283" t="s">
        <v>20</v>
      </c>
      <c r="F29" s="264">
        <f>'Component List'!D61</f>
        <v>450</v>
      </c>
      <c r="G29" s="268">
        <v>50</v>
      </c>
      <c r="H29" s="231">
        <f t="shared" si="1"/>
        <v>0</v>
      </c>
      <c r="I29" s="264"/>
      <c r="J29" s="264"/>
      <c r="K29" s="264"/>
      <c r="L29" s="264"/>
      <c r="M29" s="264"/>
      <c r="N29" s="28"/>
      <c r="O29" s="28"/>
      <c r="P29" s="28"/>
      <c r="Q29" s="28"/>
      <c r="R29" s="13"/>
    </row>
    <row r="30" spans="1:18" s="93" customFormat="1" ht="17.5">
      <c r="A30" s="346"/>
      <c r="B30" s="350"/>
      <c r="C30" s="245" t="s">
        <v>455</v>
      </c>
      <c r="D30" s="308"/>
      <c r="E30" s="283" t="s">
        <v>20</v>
      </c>
      <c r="F30" s="264">
        <f>'Component List'!D62</f>
        <v>500</v>
      </c>
      <c r="G30" s="268">
        <v>50</v>
      </c>
      <c r="H30" s="231">
        <f t="shared" si="1"/>
        <v>0</v>
      </c>
      <c r="I30" s="264"/>
      <c r="J30" s="264"/>
      <c r="K30" s="264"/>
      <c r="L30" s="264"/>
      <c r="M30" s="264"/>
      <c r="N30" s="28"/>
      <c r="O30" s="28"/>
      <c r="P30" s="28"/>
      <c r="Q30" s="28"/>
      <c r="R30" s="13"/>
    </row>
    <row r="31" spans="1:18" s="93" customFormat="1" ht="17.5">
      <c r="A31" s="346"/>
      <c r="B31" s="350"/>
      <c r="C31" s="245" t="s">
        <v>453</v>
      </c>
      <c r="D31" s="308"/>
      <c r="E31" s="283" t="s">
        <v>20</v>
      </c>
      <c r="F31" s="264">
        <f>'Component List'!D63</f>
        <v>90</v>
      </c>
      <c r="G31" s="268">
        <v>50</v>
      </c>
      <c r="H31" s="231">
        <f t="shared" si="1"/>
        <v>0</v>
      </c>
      <c r="I31" s="264"/>
      <c r="J31" s="264"/>
      <c r="K31" s="264"/>
      <c r="L31" s="264"/>
      <c r="M31" s="264"/>
      <c r="N31" s="28"/>
      <c r="O31" s="28"/>
      <c r="P31" s="28"/>
      <c r="Q31" s="28"/>
      <c r="R31" s="13"/>
    </row>
    <row r="32" spans="1:18" s="93" customFormat="1" ht="17.5">
      <c r="A32" s="346"/>
      <c r="B32" s="350"/>
      <c r="C32" s="245" t="s">
        <v>454</v>
      </c>
      <c r="D32" s="308"/>
      <c r="E32" s="283" t="s">
        <v>20</v>
      </c>
      <c r="F32" s="264">
        <f>'Component List'!D64</f>
        <v>180</v>
      </c>
      <c r="G32" s="268">
        <v>50</v>
      </c>
      <c r="H32" s="231">
        <f t="shared" si="1"/>
        <v>0</v>
      </c>
      <c r="I32" s="264"/>
      <c r="J32" s="264"/>
      <c r="K32" s="264"/>
      <c r="L32" s="264"/>
      <c r="M32" s="264"/>
      <c r="N32" s="28"/>
      <c r="O32" s="28"/>
      <c r="P32" s="28"/>
      <c r="Q32" s="28"/>
      <c r="R32" s="13"/>
    </row>
    <row r="33" spans="1:18" ht="18">
      <c r="A33" s="64"/>
      <c r="B33" s="64"/>
      <c r="C33" s="242" t="s">
        <v>295</v>
      </c>
      <c r="D33" s="383"/>
      <c r="E33" s="284"/>
      <c r="F33" s="231"/>
      <c r="G33" s="282"/>
      <c r="H33" s="231"/>
      <c r="I33" s="264"/>
      <c r="J33" s="264"/>
      <c r="K33" s="264"/>
      <c r="L33" s="264"/>
      <c r="M33" s="264"/>
      <c r="N33" s="28"/>
      <c r="O33" s="28"/>
      <c r="P33" s="28"/>
      <c r="Q33" s="28"/>
      <c r="R33" s="13"/>
    </row>
    <row r="34" spans="1:18" s="93" customFormat="1" ht="17.5">
      <c r="A34" s="12"/>
      <c r="B34" s="347"/>
      <c r="C34" s="206" t="s">
        <v>302</v>
      </c>
      <c r="D34" s="308"/>
      <c r="E34" s="272" t="s">
        <v>20</v>
      </c>
      <c r="F34" s="231">
        <f>'Component List'!D5</f>
        <v>62.6</v>
      </c>
      <c r="G34" s="282">
        <v>50</v>
      </c>
      <c r="H34" s="231">
        <f>D34*F34*G34/100</f>
        <v>0</v>
      </c>
      <c r="I34" s="264"/>
      <c r="J34" s="264"/>
      <c r="K34" s="264"/>
      <c r="L34" s="264"/>
      <c r="M34" s="264"/>
      <c r="N34" s="28"/>
      <c r="O34" s="28"/>
      <c r="P34" s="28"/>
      <c r="Q34" s="28"/>
      <c r="R34" s="13"/>
    </row>
    <row r="35" spans="1:18" s="93" customFormat="1" ht="17.5">
      <c r="A35" s="12"/>
      <c r="B35" s="347"/>
      <c r="C35" s="206" t="s">
        <v>412</v>
      </c>
      <c r="D35" s="308"/>
      <c r="E35" s="272" t="s">
        <v>20</v>
      </c>
      <c r="F35" s="231">
        <f>'Component List'!D16</f>
        <v>84.42</v>
      </c>
      <c r="G35" s="282">
        <v>50</v>
      </c>
      <c r="H35" s="231">
        <f t="shared" si="0"/>
        <v>0</v>
      </c>
      <c r="I35" s="264"/>
      <c r="J35" s="264"/>
      <c r="K35" s="264"/>
      <c r="L35" s="264"/>
      <c r="M35" s="264"/>
      <c r="N35" s="28"/>
      <c r="O35" s="28"/>
      <c r="P35" s="28"/>
      <c r="Q35" s="28"/>
      <c r="R35" s="13"/>
    </row>
    <row r="36" spans="1:18" s="93" customFormat="1" ht="17.5">
      <c r="A36" s="12"/>
      <c r="B36" s="347"/>
      <c r="C36" s="244" t="s">
        <v>250</v>
      </c>
      <c r="D36" s="308"/>
      <c r="E36" s="272" t="s">
        <v>20</v>
      </c>
      <c r="F36" s="231">
        <f>'Component List'!D6</f>
        <v>52.88</v>
      </c>
      <c r="G36" s="282">
        <v>50</v>
      </c>
      <c r="H36" s="231">
        <f>D36*F36*G36/100</f>
        <v>0</v>
      </c>
      <c r="I36" s="264"/>
      <c r="J36" s="264"/>
      <c r="K36" s="264"/>
      <c r="L36" s="264"/>
      <c r="M36" s="264"/>
      <c r="N36" s="28"/>
      <c r="O36" s="28"/>
      <c r="P36" s="28"/>
      <c r="Q36" s="28"/>
      <c r="R36" s="13"/>
    </row>
    <row r="37" spans="1:18" ht="17.5">
      <c r="A37" s="12"/>
      <c r="B37" s="347"/>
      <c r="C37" s="206" t="s">
        <v>165</v>
      </c>
      <c r="D37" s="308"/>
      <c r="E37" s="272" t="s">
        <v>20</v>
      </c>
      <c r="F37" s="231">
        <f>'Component List'!D28</f>
        <v>94.14</v>
      </c>
      <c r="G37" s="282">
        <v>50</v>
      </c>
      <c r="H37" s="231">
        <f t="shared" si="0"/>
        <v>0</v>
      </c>
      <c r="I37" s="264"/>
      <c r="J37" s="264"/>
      <c r="K37" s="264"/>
      <c r="L37" s="264"/>
      <c r="M37" s="264"/>
      <c r="N37" s="28"/>
      <c r="O37" s="28"/>
      <c r="P37" s="28"/>
      <c r="Q37" s="28"/>
      <c r="R37" s="13"/>
    </row>
    <row r="38" spans="1:18" ht="17.5">
      <c r="A38" s="12"/>
      <c r="B38" s="347"/>
      <c r="C38" s="206" t="s">
        <v>286</v>
      </c>
      <c r="D38" s="308"/>
      <c r="E38" s="272" t="s">
        <v>20</v>
      </c>
      <c r="F38" s="231">
        <f>'Component List'!D36</f>
        <v>75.36</v>
      </c>
      <c r="G38" s="282">
        <v>50</v>
      </c>
      <c r="H38" s="231">
        <f t="shared" si="0"/>
        <v>0</v>
      </c>
      <c r="I38" s="264"/>
      <c r="J38" s="264"/>
      <c r="K38" s="264"/>
      <c r="L38" s="264"/>
      <c r="M38" s="264"/>
      <c r="N38" s="28"/>
      <c r="O38" s="28"/>
      <c r="P38" s="28"/>
      <c r="Q38" s="28"/>
      <c r="R38" s="13"/>
    </row>
    <row r="39" spans="1:18" ht="15.5">
      <c r="A39" s="456" t="s">
        <v>89</v>
      </c>
      <c r="B39" s="457"/>
      <c r="C39" s="458"/>
      <c r="D39" s="286"/>
      <c r="E39" s="280"/>
      <c r="F39" s="265"/>
      <c r="G39" s="281"/>
      <c r="H39" s="271">
        <f t="shared" ref="H39:M39" si="2">SUM(H15:H38)</f>
        <v>0</v>
      </c>
      <c r="I39" s="271">
        <f t="shared" si="2"/>
        <v>0</v>
      </c>
      <c r="J39" s="271">
        <f t="shared" si="2"/>
        <v>0</v>
      </c>
      <c r="K39" s="271">
        <f t="shared" si="2"/>
        <v>0</v>
      </c>
      <c r="L39" s="271">
        <f t="shared" si="2"/>
        <v>0</v>
      </c>
      <c r="M39" s="271">
        <f t="shared" si="2"/>
        <v>0</v>
      </c>
      <c r="N39" s="23"/>
      <c r="O39" s="23"/>
      <c r="P39" s="23"/>
      <c r="Q39" s="23"/>
      <c r="R39" s="25"/>
    </row>
    <row r="40" spans="1:18" ht="15.5">
      <c r="A40" s="92" t="str">
        <f>IF(AE69,AE71,"")</f>
        <v/>
      </c>
      <c r="B40" s="162"/>
      <c r="C40" s="162"/>
      <c r="D40" s="162"/>
      <c r="E40" s="162"/>
      <c r="F40" s="162"/>
      <c r="G40" s="162"/>
      <c r="H40" s="162"/>
      <c r="I40" s="162"/>
      <c r="J40" s="162"/>
      <c r="K40" s="162"/>
      <c r="L40" s="162"/>
      <c r="M40" s="162"/>
      <c r="N40" s="162"/>
      <c r="O40" s="162"/>
      <c r="P40" s="162"/>
      <c r="Q40" s="162"/>
      <c r="R40" s="162"/>
    </row>
    <row r="41" spans="1:18" ht="15.5">
      <c r="A41" s="401" t="s">
        <v>262</v>
      </c>
      <c r="B41" s="402"/>
      <c r="C41" s="402"/>
      <c r="D41" s="402"/>
      <c r="E41" s="402"/>
      <c r="F41" s="402"/>
      <c r="G41" s="402"/>
      <c r="H41" s="402"/>
      <c r="I41" s="402"/>
      <c r="J41" s="402"/>
      <c r="K41" s="402"/>
      <c r="L41" s="402"/>
      <c r="M41" s="402"/>
      <c r="N41" s="402"/>
      <c r="O41" s="402"/>
      <c r="P41" s="402"/>
      <c r="Q41" s="402"/>
      <c r="R41" s="403"/>
    </row>
    <row r="42" spans="1:18" ht="49.5" customHeight="1">
      <c r="A42" s="393" t="s">
        <v>434</v>
      </c>
      <c r="B42" s="394"/>
      <c r="C42" s="394"/>
      <c r="D42" s="394"/>
      <c r="E42" s="394"/>
      <c r="F42" s="394"/>
      <c r="G42" s="394"/>
      <c r="H42" s="394"/>
      <c r="I42" s="394"/>
      <c r="J42" s="394"/>
      <c r="K42" s="394"/>
      <c r="L42" s="394"/>
      <c r="M42" s="394"/>
      <c r="N42" s="394"/>
      <c r="O42" s="394"/>
      <c r="P42" s="394"/>
      <c r="Q42" s="394"/>
      <c r="R42" s="395"/>
    </row>
    <row r="43" spans="1:18" ht="15.5">
      <c r="A43" s="460" t="s">
        <v>390</v>
      </c>
      <c r="B43" s="461"/>
      <c r="C43" s="461"/>
      <c r="D43" s="461"/>
      <c r="E43" s="461"/>
      <c r="F43" s="461"/>
      <c r="G43" s="461"/>
      <c r="H43" s="461"/>
      <c r="I43" s="461"/>
      <c r="J43" s="461"/>
      <c r="K43" s="461"/>
      <c r="L43" s="461"/>
      <c r="M43" s="461"/>
      <c r="N43" s="461"/>
      <c r="O43" s="461"/>
      <c r="P43" s="461"/>
      <c r="Q43" s="461"/>
      <c r="R43" s="462"/>
    </row>
    <row r="44" spans="1:18" ht="55.5" customHeight="1">
      <c r="A44" s="463" t="s">
        <v>392</v>
      </c>
      <c r="B44" s="464"/>
      <c r="C44" s="464"/>
      <c r="D44" s="464"/>
      <c r="E44" s="464"/>
      <c r="F44" s="464"/>
      <c r="G44" s="464"/>
      <c r="H44" s="464"/>
      <c r="I44" s="464"/>
      <c r="J44" s="464"/>
      <c r="K44" s="464"/>
      <c r="L44" s="464"/>
      <c r="M44" s="464"/>
      <c r="N44" s="464"/>
      <c r="O44" s="464"/>
      <c r="P44" s="464"/>
      <c r="Q44" s="464"/>
      <c r="R44" s="465"/>
    </row>
    <row r="45" spans="1:18" ht="15.5">
      <c r="A45" s="413" t="s">
        <v>221</v>
      </c>
      <c r="B45" s="414"/>
      <c r="C45" s="414"/>
      <c r="D45" s="414"/>
      <c r="E45" s="414"/>
      <c r="F45" s="414"/>
      <c r="G45" s="414"/>
      <c r="H45" s="414"/>
      <c r="I45" s="414"/>
      <c r="J45" s="414"/>
      <c r="K45" s="414"/>
      <c r="L45" s="414"/>
      <c r="M45" s="414"/>
      <c r="N45" s="414"/>
      <c r="O45" s="414"/>
      <c r="P45" s="414"/>
      <c r="Q45" s="414"/>
      <c r="R45" s="415"/>
    </row>
    <row r="46" spans="1:18" ht="63.75" customHeight="1">
      <c r="A46" s="396" t="s">
        <v>370</v>
      </c>
      <c r="B46" s="397"/>
      <c r="C46" s="397"/>
      <c r="D46" s="397"/>
      <c r="E46" s="397"/>
      <c r="F46" s="397"/>
      <c r="G46" s="397"/>
      <c r="H46" s="397"/>
      <c r="I46" s="397"/>
      <c r="J46" s="397"/>
      <c r="K46" s="397"/>
      <c r="L46" s="397"/>
      <c r="M46" s="397"/>
      <c r="N46" s="397"/>
      <c r="O46" s="397"/>
      <c r="P46" s="397"/>
      <c r="Q46" s="397"/>
      <c r="R46" s="398"/>
    </row>
    <row r="47" spans="1:18" ht="15.5">
      <c r="A47" s="26"/>
      <c r="B47" s="26"/>
      <c r="C47" s="26"/>
      <c r="D47" s="26"/>
      <c r="E47" s="26"/>
      <c r="F47" s="26"/>
      <c r="G47" s="26"/>
      <c r="H47" s="26"/>
      <c r="I47" s="26"/>
      <c r="J47" s="26"/>
      <c r="K47" s="26"/>
      <c r="L47" s="26"/>
      <c r="M47" s="26"/>
      <c r="N47" s="26"/>
      <c r="O47" s="26"/>
      <c r="P47" s="26"/>
      <c r="Q47" s="26"/>
      <c r="R47" s="26"/>
    </row>
  </sheetData>
  <mergeCells count="33">
    <mergeCell ref="A43:R43"/>
    <mergeCell ref="A44:R44"/>
    <mergeCell ref="A45:R45"/>
    <mergeCell ref="A46:R46"/>
    <mergeCell ref="H9:Q9"/>
    <mergeCell ref="R9:R13"/>
    <mergeCell ref="H10:Q10"/>
    <mergeCell ref="A39:C39"/>
    <mergeCell ref="A41:R41"/>
    <mergeCell ref="A42:R42"/>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33:C37">
      <formula1>$AE$45:$AE$54</formula1>
    </dataValidation>
    <dataValidation type="list" allowBlank="1" showInputMessage="1" showErrorMessage="1" promptTitle="Choose Management" sqref="C38">
      <formula1>$AE$57:$AE$66</formula1>
    </dataValidation>
    <dataValidation type="list" allowBlank="1" showInputMessage="1" showErrorMessage="1" promptTitle="Choose Management" sqref="C27">
      <formula1>$AE$33:$AE$44</formula1>
    </dataValidation>
  </dataValidations>
  <pageMargins left="0.36" right="0.19" top="0.42" bottom="0.59" header="0.3" footer="0.3"/>
  <pageSetup scale="54"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3</xdr:col>
                    <xdr:colOff>177800</xdr:colOff>
                    <xdr:row>0</xdr:row>
                    <xdr:rowOff>0</xdr:rowOff>
                  </from>
                  <to>
                    <xdr:col>3</xdr:col>
                    <xdr:colOff>381000</xdr:colOff>
                    <xdr:row>1</xdr:row>
                    <xdr:rowOff>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7</xdr:col>
                    <xdr:colOff>209550</xdr:colOff>
                    <xdr:row>0</xdr:row>
                    <xdr:rowOff>0</xdr:rowOff>
                  </from>
                  <to>
                    <xdr:col>8</xdr:col>
                    <xdr:colOff>127000</xdr:colOff>
                    <xdr:row>0</xdr:row>
                    <xdr:rowOff>139700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R41"/>
  <sheetViews>
    <sheetView zoomScale="55" zoomScaleNormal="55" workbookViewId="0">
      <selection activeCell="D25" sqref="D25"/>
    </sheetView>
  </sheetViews>
  <sheetFormatPr defaultRowHeight="12.5"/>
  <cols>
    <col min="3" max="3" width="70.1796875" customWidth="1"/>
    <col min="4" max="4" width="13.1796875" customWidth="1"/>
    <col min="6" max="6" width="10.7265625" customWidth="1"/>
    <col min="7" max="7" width="14.81640625" customWidth="1"/>
    <col min="8" max="8" width="11.81640625" customWidth="1"/>
    <col min="9" max="9" width="14.54296875" customWidth="1"/>
    <col min="11" max="11" width="20.26953125" customWidth="1"/>
    <col min="12" max="12" width="16.81640625" customWidth="1"/>
    <col min="14" max="14" width="5.81640625" customWidth="1"/>
    <col min="15" max="15" width="10.453125" customWidth="1"/>
    <col min="16" max="16" width="8.26953125" customWidth="1"/>
    <col min="17" max="18" width="5.816406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5" customHeight="1">
      <c r="A4" s="480" t="s">
        <v>386</v>
      </c>
      <c r="B4" s="483"/>
      <c r="C4" s="484"/>
      <c r="D4" s="490" t="s">
        <v>387</v>
      </c>
      <c r="E4" s="491"/>
      <c r="F4" s="491"/>
      <c r="G4" s="492"/>
      <c r="H4" s="243"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3.5" customHeight="1">
      <c r="A7" s="467" t="s">
        <v>398</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71"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72"/>
      <c r="D10" s="475"/>
      <c r="E10" s="478"/>
      <c r="F10" s="453"/>
      <c r="G10" s="453"/>
      <c r="H10" s="455" t="s">
        <v>306</v>
      </c>
      <c r="I10" s="408"/>
      <c r="J10" s="408"/>
      <c r="K10" s="408"/>
      <c r="L10" s="408"/>
      <c r="M10" s="408"/>
      <c r="N10" s="408"/>
      <c r="O10" s="408"/>
      <c r="P10" s="408"/>
      <c r="Q10" s="409"/>
      <c r="R10" s="453"/>
    </row>
    <row r="11" spans="1:18">
      <c r="A11" s="453"/>
      <c r="B11" s="453"/>
      <c r="C11" s="472"/>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72"/>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473"/>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287</v>
      </c>
      <c r="D15" s="167"/>
      <c r="E15" s="64"/>
      <c r="F15" s="27"/>
      <c r="G15" s="67"/>
      <c r="H15" s="27"/>
      <c r="I15" s="28"/>
      <c r="J15" s="28"/>
      <c r="K15" s="28"/>
      <c r="L15" s="28"/>
      <c r="M15" s="28"/>
      <c r="N15" s="28"/>
      <c r="O15" s="28"/>
      <c r="P15" s="28"/>
      <c r="Q15" s="28"/>
      <c r="R15" s="13"/>
    </row>
    <row r="16" spans="1:18" ht="17.5">
      <c r="A16" s="12"/>
      <c r="B16" s="347"/>
      <c r="C16" s="206" t="s">
        <v>166</v>
      </c>
      <c r="D16" s="308"/>
      <c r="E16" s="272" t="s">
        <v>20</v>
      </c>
      <c r="F16" s="231">
        <f>'Component List'!D29</f>
        <v>74.12</v>
      </c>
      <c r="G16" s="287">
        <v>50</v>
      </c>
      <c r="H16" s="288"/>
      <c r="I16" s="275">
        <f t="shared" ref="I16:I24" si="0">(D16*F16*G16/100)*1</f>
        <v>0</v>
      </c>
      <c r="J16" s="264"/>
      <c r="K16" s="264"/>
      <c r="L16" s="264"/>
      <c r="M16" s="264"/>
      <c r="N16" s="28"/>
      <c r="O16" s="28"/>
      <c r="P16" s="28"/>
      <c r="Q16" s="28"/>
      <c r="R16" s="13"/>
    </row>
    <row r="17" spans="1:18" ht="17.5">
      <c r="A17" s="12"/>
      <c r="B17" s="347"/>
      <c r="C17" s="206" t="s">
        <v>167</v>
      </c>
      <c r="D17" s="308"/>
      <c r="E17" s="272" t="s">
        <v>20</v>
      </c>
      <c r="F17" s="231">
        <f>'Component List'!D30</f>
        <v>149.58000000000001</v>
      </c>
      <c r="G17" s="287">
        <v>50</v>
      </c>
      <c r="H17" s="288"/>
      <c r="I17" s="275">
        <f t="shared" si="0"/>
        <v>0</v>
      </c>
      <c r="J17" s="264"/>
      <c r="K17" s="264"/>
      <c r="L17" s="264"/>
      <c r="M17" s="264"/>
      <c r="N17" s="28"/>
      <c r="O17" s="28"/>
      <c r="P17" s="28"/>
      <c r="Q17" s="28"/>
      <c r="R17" s="13"/>
    </row>
    <row r="18" spans="1:18" ht="17.5">
      <c r="A18" s="12"/>
      <c r="B18" s="347"/>
      <c r="C18" s="206" t="s">
        <v>168</v>
      </c>
      <c r="D18" s="308"/>
      <c r="E18" s="289">
        <v>100</v>
      </c>
      <c r="F18" s="231">
        <f>'Component List'!D31</f>
        <v>56.58</v>
      </c>
      <c r="G18" s="287">
        <v>50</v>
      </c>
      <c r="H18" s="288"/>
      <c r="I18" s="275">
        <f t="shared" si="0"/>
        <v>0</v>
      </c>
      <c r="J18" s="264"/>
      <c r="K18" s="264"/>
      <c r="L18" s="264"/>
      <c r="M18" s="264"/>
      <c r="N18" s="28"/>
      <c r="O18" s="28"/>
      <c r="P18" s="28"/>
      <c r="Q18" s="28"/>
      <c r="R18" s="13"/>
    </row>
    <row r="19" spans="1:18" ht="17.5">
      <c r="A19" s="12"/>
      <c r="B19" s="347"/>
      <c r="C19" s="206" t="s">
        <v>272</v>
      </c>
      <c r="D19" s="308"/>
      <c r="E19" s="272" t="s">
        <v>20</v>
      </c>
      <c r="F19" s="231">
        <f>'Component List'!D37</f>
        <v>59.48</v>
      </c>
      <c r="G19" s="287">
        <v>50</v>
      </c>
      <c r="H19" s="288"/>
      <c r="I19" s="275">
        <f t="shared" si="0"/>
        <v>0</v>
      </c>
      <c r="J19" s="264"/>
      <c r="K19" s="264"/>
      <c r="L19" s="264"/>
      <c r="M19" s="264"/>
      <c r="N19" s="28"/>
      <c r="O19" s="28"/>
      <c r="P19" s="28"/>
      <c r="Q19" s="28"/>
      <c r="R19" s="13"/>
    </row>
    <row r="20" spans="1:18" ht="17.5">
      <c r="A20" s="12"/>
      <c r="B20" s="347"/>
      <c r="C20" s="206" t="s">
        <v>169</v>
      </c>
      <c r="D20" s="308"/>
      <c r="E20" s="289">
        <v>100</v>
      </c>
      <c r="F20" s="231">
        <f>'Component List'!D32</f>
        <v>70.2</v>
      </c>
      <c r="G20" s="287">
        <v>50</v>
      </c>
      <c r="H20" s="288"/>
      <c r="I20" s="275">
        <f t="shared" si="0"/>
        <v>0</v>
      </c>
      <c r="J20" s="264"/>
      <c r="K20" s="264"/>
      <c r="L20" s="264"/>
      <c r="M20" s="264"/>
      <c r="N20" s="28"/>
      <c r="O20" s="28"/>
      <c r="P20" s="28"/>
      <c r="Q20" s="28"/>
      <c r="R20" s="13"/>
    </row>
    <row r="21" spans="1:18" ht="17.5">
      <c r="A21" s="35"/>
      <c r="B21" s="349"/>
      <c r="C21" s="206" t="s">
        <v>269</v>
      </c>
      <c r="D21" s="308"/>
      <c r="E21" s="289">
        <v>100</v>
      </c>
      <c r="F21" s="231">
        <f>'Component List'!D33</f>
        <v>117.6</v>
      </c>
      <c r="G21" s="287">
        <v>50</v>
      </c>
      <c r="H21" s="288"/>
      <c r="I21" s="275">
        <f t="shared" si="0"/>
        <v>0</v>
      </c>
      <c r="J21" s="269"/>
      <c r="K21" s="269"/>
      <c r="L21" s="269"/>
      <c r="M21" s="269"/>
      <c r="N21" s="68"/>
      <c r="O21" s="68"/>
      <c r="P21" s="68"/>
      <c r="Q21" s="68"/>
      <c r="R21" s="43"/>
    </row>
    <row r="22" spans="1:18" ht="17.5">
      <c r="A22" s="12"/>
      <c r="B22" s="347"/>
      <c r="C22" s="206" t="s">
        <v>270</v>
      </c>
      <c r="D22" s="308"/>
      <c r="E22" s="289">
        <v>100</v>
      </c>
      <c r="F22" s="231">
        <f>'Component List'!D34</f>
        <v>200</v>
      </c>
      <c r="G22" s="287">
        <v>50</v>
      </c>
      <c r="H22" s="288"/>
      <c r="I22" s="275">
        <f t="shared" si="0"/>
        <v>0</v>
      </c>
      <c r="J22" s="264"/>
      <c r="K22" s="264"/>
      <c r="L22" s="264"/>
      <c r="M22" s="264"/>
      <c r="N22" s="28"/>
      <c r="O22" s="28"/>
      <c r="P22" s="28"/>
      <c r="Q22" s="28"/>
      <c r="R22" s="13"/>
    </row>
    <row r="23" spans="1:18" ht="17.5">
      <c r="A23" s="12"/>
      <c r="B23" s="347"/>
      <c r="C23" s="206" t="s">
        <v>170</v>
      </c>
      <c r="D23" s="308"/>
      <c r="E23" s="272" t="s">
        <v>77</v>
      </c>
      <c r="F23" s="231">
        <f>'Component List'!D39</f>
        <v>6.38</v>
      </c>
      <c r="G23" s="287">
        <v>50</v>
      </c>
      <c r="H23" s="288"/>
      <c r="I23" s="275">
        <f t="shared" si="0"/>
        <v>0</v>
      </c>
      <c r="J23" s="264"/>
      <c r="K23" s="264"/>
      <c r="L23" s="264"/>
      <c r="M23" s="264"/>
      <c r="N23" s="28"/>
      <c r="O23" s="28"/>
      <c r="P23" s="28"/>
      <c r="Q23" s="28"/>
      <c r="R23" s="13"/>
    </row>
    <row r="24" spans="1:18" ht="17.5">
      <c r="A24" s="12"/>
      <c r="B24" s="347"/>
      <c r="C24" s="206" t="s">
        <v>271</v>
      </c>
      <c r="D24" s="308"/>
      <c r="E24" s="289">
        <v>100</v>
      </c>
      <c r="F24" s="231">
        <f>'Component List'!D35</f>
        <v>214.5</v>
      </c>
      <c r="G24" s="287">
        <v>50</v>
      </c>
      <c r="H24" s="288"/>
      <c r="I24" s="275">
        <f t="shared" si="0"/>
        <v>0</v>
      </c>
      <c r="J24" s="264"/>
      <c r="K24" s="264"/>
      <c r="L24" s="264"/>
      <c r="M24" s="264"/>
      <c r="N24" s="28"/>
      <c r="O24" s="28"/>
      <c r="P24" s="28"/>
      <c r="Q24" s="28"/>
      <c r="R24" s="13"/>
    </row>
    <row r="25" spans="1:18" s="93" customFormat="1" ht="17.5">
      <c r="A25" s="346"/>
      <c r="B25" s="350"/>
      <c r="C25" s="206" t="s">
        <v>249</v>
      </c>
      <c r="D25" s="308"/>
      <c r="E25" s="272" t="s">
        <v>20</v>
      </c>
      <c r="F25" s="231">
        <f>'Component List'!D42</f>
        <v>46.42</v>
      </c>
      <c r="G25" s="282">
        <v>50</v>
      </c>
      <c r="H25" s="288"/>
      <c r="I25" s="231">
        <f>D25*F25*G25/100</f>
        <v>0</v>
      </c>
      <c r="J25" s="264"/>
      <c r="K25" s="264"/>
      <c r="L25" s="264"/>
      <c r="M25" s="264"/>
      <c r="N25" s="28"/>
      <c r="O25" s="28"/>
      <c r="P25" s="28"/>
      <c r="Q25" s="28"/>
      <c r="R25" s="13"/>
    </row>
    <row r="26" spans="1:18" s="93" customFormat="1" ht="17.5">
      <c r="A26" s="346"/>
      <c r="B26" s="350"/>
      <c r="C26" s="206" t="s">
        <v>247</v>
      </c>
      <c r="D26" s="308"/>
      <c r="E26" s="272" t="s">
        <v>248</v>
      </c>
      <c r="F26" s="231">
        <f>'Component List'!D41</f>
        <v>85</v>
      </c>
      <c r="G26" s="282">
        <v>50</v>
      </c>
      <c r="H26" s="288"/>
      <c r="I26" s="231">
        <f>D26*F26*G26/100</f>
        <v>0</v>
      </c>
      <c r="J26" s="264"/>
      <c r="K26" s="264"/>
      <c r="L26" s="264"/>
      <c r="M26" s="264"/>
      <c r="N26" s="28"/>
      <c r="O26" s="28"/>
      <c r="P26" s="28"/>
      <c r="Q26" s="28"/>
      <c r="R26" s="13"/>
    </row>
    <row r="27" spans="1:18" s="93" customFormat="1" ht="17.5">
      <c r="A27" s="346"/>
      <c r="B27" s="350"/>
      <c r="C27" s="206" t="s">
        <v>245</v>
      </c>
      <c r="D27" s="308"/>
      <c r="E27" s="272" t="s">
        <v>246</v>
      </c>
      <c r="F27" s="231">
        <f>'Component List'!D40</f>
        <v>35.26</v>
      </c>
      <c r="G27" s="282">
        <v>50</v>
      </c>
      <c r="H27" s="288"/>
      <c r="I27" s="231">
        <f>D27*F27*G27/100</f>
        <v>0</v>
      </c>
      <c r="J27" s="264"/>
      <c r="K27" s="264"/>
      <c r="L27" s="264"/>
      <c r="M27" s="264"/>
      <c r="N27" s="28"/>
      <c r="O27" s="28"/>
      <c r="P27" s="28"/>
      <c r="Q27" s="28"/>
      <c r="R27" s="13"/>
    </row>
    <row r="28" spans="1:18" ht="18">
      <c r="A28" s="64"/>
      <c r="B28" s="64"/>
      <c r="C28" s="242" t="s">
        <v>295</v>
      </c>
      <c r="D28" s="267"/>
      <c r="E28" s="284"/>
      <c r="F28" s="231"/>
      <c r="G28" s="287"/>
      <c r="H28" s="231"/>
      <c r="I28" s="275"/>
      <c r="J28" s="264"/>
      <c r="K28" s="264"/>
      <c r="L28" s="264"/>
      <c r="M28" s="264"/>
      <c r="N28" s="28"/>
      <c r="O28" s="28"/>
      <c r="P28" s="28"/>
      <c r="Q28" s="28"/>
      <c r="R28" s="13"/>
    </row>
    <row r="29" spans="1:18" ht="17.5">
      <c r="A29" s="12"/>
      <c r="B29" s="347"/>
      <c r="C29" s="206" t="s">
        <v>289</v>
      </c>
      <c r="D29" s="308"/>
      <c r="E29" s="272" t="s">
        <v>20</v>
      </c>
      <c r="F29" s="231">
        <f>'Component List'!D6</f>
        <v>52.88</v>
      </c>
      <c r="G29" s="287">
        <v>50</v>
      </c>
      <c r="H29" s="288"/>
      <c r="I29" s="275">
        <f>(D29*F29*G29/100)*1</f>
        <v>0</v>
      </c>
      <c r="J29" s="264"/>
      <c r="K29" s="264"/>
      <c r="L29" s="264"/>
      <c r="M29" s="264"/>
      <c r="N29" s="28"/>
      <c r="O29" s="28"/>
      <c r="P29" s="28"/>
      <c r="Q29" s="28"/>
      <c r="R29" s="13"/>
    </row>
    <row r="30" spans="1:18" s="93" customFormat="1" ht="17.5">
      <c r="A30" s="12"/>
      <c r="B30" s="347"/>
      <c r="C30" s="206" t="s">
        <v>302</v>
      </c>
      <c r="D30" s="308"/>
      <c r="E30" s="273" t="s">
        <v>20</v>
      </c>
      <c r="F30" s="231">
        <f>'Component List'!D5</f>
        <v>62.6</v>
      </c>
      <c r="G30" s="287">
        <v>50</v>
      </c>
      <c r="H30" s="290"/>
      <c r="I30" s="275">
        <f>(D30*F30*G30/100)*1</f>
        <v>0</v>
      </c>
      <c r="J30" s="264"/>
      <c r="K30" s="264"/>
      <c r="L30" s="264"/>
      <c r="M30" s="264"/>
      <c r="N30" s="28"/>
      <c r="O30" s="28"/>
      <c r="P30" s="28"/>
      <c r="Q30" s="28"/>
      <c r="R30" s="13"/>
    </row>
    <row r="31" spans="1:18" ht="17.5">
      <c r="A31" s="12"/>
      <c r="B31" s="347"/>
      <c r="C31" s="207" t="s">
        <v>412</v>
      </c>
      <c r="D31" s="308"/>
      <c r="E31" s="273" t="s">
        <v>20</v>
      </c>
      <c r="F31" s="231">
        <f>'Component List'!D16</f>
        <v>84.42</v>
      </c>
      <c r="G31" s="287">
        <v>50</v>
      </c>
      <c r="H31" s="290"/>
      <c r="I31" s="275">
        <f>(D31*F31*G31/100)*1</f>
        <v>0</v>
      </c>
      <c r="J31" s="264"/>
      <c r="K31" s="264"/>
      <c r="L31" s="264"/>
      <c r="M31" s="264"/>
      <c r="N31" s="28"/>
      <c r="O31" s="28"/>
      <c r="P31" s="28"/>
      <c r="Q31" s="28"/>
      <c r="R31" s="13"/>
    </row>
    <row r="32" spans="1:18" ht="17.5">
      <c r="A32" s="12"/>
      <c r="B32" s="347"/>
      <c r="C32" s="206" t="s">
        <v>165</v>
      </c>
      <c r="D32" s="308"/>
      <c r="E32" s="272" t="s">
        <v>20</v>
      </c>
      <c r="F32" s="231">
        <f>'Component List'!D28</f>
        <v>94.14</v>
      </c>
      <c r="G32" s="287">
        <v>50</v>
      </c>
      <c r="H32" s="288"/>
      <c r="I32" s="275">
        <f>(D32*F32*G32/100)*1</f>
        <v>0</v>
      </c>
      <c r="J32" s="264"/>
      <c r="K32" s="264"/>
      <c r="L32" s="264"/>
      <c r="M32" s="264"/>
      <c r="N32" s="28"/>
      <c r="O32" s="28"/>
      <c r="P32" s="28"/>
      <c r="Q32" s="28"/>
      <c r="R32" s="13"/>
    </row>
    <row r="33" spans="1:18" ht="17.5">
      <c r="A33" s="12"/>
      <c r="B33" s="347"/>
      <c r="C33" s="206" t="s">
        <v>286</v>
      </c>
      <c r="D33" s="308"/>
      <c r="E33" s="272" t="s">
        <v>20</v>
      </c>
      <c r="F33" s="231">
        <f>'Component List'!D36</f>
        <v>75.36</v>
      </c>
      <c r="G33" s="287">
        <v>50</v>
      </c>
      <c r="H33" s="291"/>
      <c r="I33" s="275">
        <f>(D33*F33*G33/100)*1</f>
        <v>0</v>
      </c>
      <c r="J33" s="264"/>
      <c r="K33" s="264"/>
      <c r="L33" s="264"/>
      <c r="M33" s="264"/>
      <c r="N33" s="28"/>
      <c r="O33" s="28"/>
      <c r="P33" s="28"/>
      <c r="Q33" s="28"/>
      <c r="R33" s="13"/>
    </row>
    <row r="34" spans="1:18" ht="15.5">
      <c r="A34" s="501" t="s">
        <v>89</v>
      </c>
      <c r="B34" s="502"/>
      <c r="C34" s="503"/>
      <c r="D34" s="286"/>
      <c r="E34" s="280"/>
      <c r="F34" s="265"/>
      <c r="G34" s="281"/>
      <c r="H34" s="271">
        <f t="shared" ref="H34:M34" si="1">SUM(H15:H33)</f>
        <v>0</v>
      </c>
      <c r="I34" s="271">
        <f t="shared" si="1"/>
        <v>0</v>
      </c>
      <c r="J34" s="271">
        <f t="shared" si="1"/>
        <v>0</v>
      </c>
      <c r="K34" s="271">
        <f t="shared" si="1"/>
        <v>0</v>
      </c>
      <c r="L34" s="271">
        <f t="shared" si="1"/>
        <v>0</v>
      </c>
      <c r="M34" s="271">
        <f t="shared" si="1"/>
        <v>0</v>
      </c>
      <c r="N34" s="23"/>
      <c r="O34" s="23"/>
      <c r="P34" s="23"/>
      <c r="Q34" s="23"/>
      <c r="R34" s="25"/>
    </row>
    <row r="35" spans="1:18" ht="15.5">
      <c r="A35" s="92" t="str">
        <f>IF(AE64,AE66,"")</f>
        <v/>
      </c>
      <c r="B35" s="162"/>
      <c r="C35" s="162"/>
      <c r="D35" s="162"/>
      <c r="E35" s="162"/>
      <c r="F35" s="162"/>
      <c r="G35" s="162"/>
      <c r="H35" s="162"/>
      <c r="I35" s="162"/>
      <c r="J35" s="162"/>
      <c r="K35" s="162"/>
      <c r="L35" s="162"/>
      <c r="M35" s="162"/>
      <c r="N35" s="162"/>
      <c r="O35" s="162"/>
      <c r="P35" s="162"/>
      <c r="Q35" s="162"/>
      <c r="R35" s="162"/>
    </row>
    <row r="36" spans="1:18" ht="15.5">
      <c r="A36" s="401" t="s">
        <v>262</v>
      </c>
      <c r="B36" s="402"/>
      <c r="C36" s="402"/>
      <c r="D36" s="402"/>
      <c r="E36" s="402"/>
      <c r="F36" s="402"/>
      <c r="G36" s="402"/>
      <c r="H36" s="402"/>
      <c r="I36" s="402"/>
      <c r="J36" s="402"/>
      <c r="K36" s="402"/>
      <c r="L36" s="402"/>
      <c r="M36" s="402"/>
      <c r="N36" s="402"/>
      <c r="O36" s="402"/>
      <c r="P36" s="402"/>
      <c r="Q36" s="402"/>
      <c r="R36" s="403"/>
    </row>
    <row r="37" spans="1:18" ht="46.5" customHeight="1">
      <c r="A37" s="393" t="s">
        <v>434</v>
      </c>
      <c r="B37" s="394"/>
      <c r="C37" s="394"/>
      <c r="D37" s="394"/>
      <c r="E37" s="394"/>
      <c r="F37" s="394"/>
      <c r="G37" s="394"/>
      <c r="H37" s="394"/>
      <c r="I37" s="394"/>
      <c r="J37" s="394"/>
      <c r="K37" s="394"/>
      <c r="L37" s="394"/>
      <c r="M37" s="394"/>
      <c r="N37" s="394"/>
      <c r="O37" s="394"/>
      <c r="P37" s="394"/>
      <c r="Q37" s="394"/>
      <c r="R37" s="395"/>
    </row>
    <row r="38" spans="1:18" ht="15.5">
      <c r="A38" s="460" t="s">
        <v>390</v>
      </c>
      <c r="B38" s="461"/>
      <c r="C38" s="461"/>
      <c r="D38" s="461"/>
      <c r="E38" s="461"/>
      <c r="F38" s="461"/>
      <c r="G38" s="461"/>
      <c r="H38" s="461"/>
      <c r="I38" s="461"/>
      <c r="J38" s="461"/>
      <c r="K38" s="461"/>
      <c r="L38" s="461"/>
      <c r="M38" s="461"/>
      <c r="N38" s="461"/>
      <c r="O38" s="461"/>
      <c r="P38" s="461"/>
      <c r="Q38" s="461"/>
      <c r="R38" s="462"/>
    </row>
    <row r="39" spans="1:18" ht="54" customHeight="1">
      <c r="A39" s="463" t="s">
        <v>392</v>
      </c>
      <c r="B39" s="464"/>
      <c r="C39" s="464"/>
      <c r="D39" s="464"/>
      <c r="E39" s="464"/>
      <c r="F39" s="464"/>
      <c r="G39" s="464"/>
      <c r="H39" s="464"/>
      <c r="I39" s="464"/>
      <c r="J39" s="464"/>
      <c r="K39" s="464"/>
      <c r="L39" s="464"/>
      <c r="M39" s="464"/>
      <c r="N39" s="464"/>
      <c r="O39" s="464"/>
      <c r="P39" s="464"/>
      <c r="Q39" s="464"/>
      <c r="R39" s="465"/>
    </row>
    <row r="40" spans="1:18" ht="15.5">
      <c r="A40" s="413" t="s">
        <v>221</v>
      </c>
      <c r="B40" s="414"/>
      <c r="C40" s="414"/>
      <c r="D40" s="414"/>
      <c r="E40" s="414"/>
      <c r="F40" s="414"/>
      <c r="G40" s="414"/>
      <c r="H40" s="414"/>
      <c r="I40" s="414"/>
      <c r="J40" s="414"/>
      <c r="K40" s="414"/>
      <c r="L40" s="414"/>
      <c r="M40" s="414"/>
      <c r="N40" s="414"/>
      <c r="O40" s="414"/>
      <c r="P40" s="414"/>
      <c r="Q40" s="414"/>
      <c r="R40" s="415"/>
    </row>
    <row r="41" spans="1:18" ht="65.25" customHeight="1">
      <c r="A41" s="396" t="s">
        <v>370</v>
      </c>
      <c r="B41" s="397"/>
      <c r="C41" s="397"/>
      <c r="D41" s="397"/>
      <c r="E41" s="397"/>
      <c r="F41" s="397"/>
      <c r="G41" s="397"/>
      <c r="H41" s="397"/>
      <c r="I41" s="397"/>
      <c r="J41" s="397"/>
      <c r="K41" s="397"/>
      <c r="L41" s="397"/>
      <c r="M41" s="397"/>
      <c r="N41" s="397"/>
      <c r="O41" s="397"/>
      <c r="P41" s="397"/>
      <c r="Q41" s="397"/>
      <c r="R41" s="398"/>
    </row>
  </sheetData>
  <mergeCells count="33">
    <mergeCell ref="A38:R38"/>
    <mergeCell ref="A39:R39"/>
    <mergeCell ref="A40:R40"/>
    <mergeCell ref="A41:R41"/>
    <mergeCell ref="H9:Q9"/>
    <mergeCell ref="R9:R13"/>
    <mergeCell ref="H10:Q10"/>
    <mergeCell ref="A34:C34"/>
    <mergeCell ref="A36:R36"/>
    <mergeCell ref="A37:R37"/>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4">
    <dataValidation type="list" allowBlank="1" showInputMessage="1" showErrorMessage="1" promptTitle="Choose Management" sqref="C31:C32">
      <formula1>$AE$33:$AE$39</formula1>
    </dataValidation>
    <dataValidation type="list" allowBlank="1" showInputMessage="1" showErrorMessage="1" promptTitle="Choose Management" sqref="C33">
      <formula1>$AE$40:$AE$49</formula1>
    </dataValidation>
    <dataValidation type="list" allowBlank="1" showInputMessage="1" showErrorMessage="1" promptTitle="Choose Management" sqref="C30">
      <formula1>$AE$49:$AE$58</formula1>
    </dataValidation>
    <dataValidation type="list" allowBlank="1" showInputMessage="1" showErrorMessage="1" promptTitle="Choose Management" sqref="C27">
      <formula1>$AE$34:$AE$45</formula1>
    </dataValidation>
  </dataValidations>
  <pageMargins left="0.26" right="0.3" top="0.5" bottom="0.42" header="0.3" footer="0.3"/>
  <pageSetup scale="53"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7</xdr:col>
                    <xdr:colOff>209550</xdr:colOff>
                    <xdr:row>0</xdr:row>
                    <xdr:rowOff>12700</xdr:rowOff>
                  </from>
                  <to>
                    <xdr:col>8</xdr:col>
                    <xdr:colOff>241300</xdr:colOff>
                    <xdr:row>0</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R41"/>
  <sheetViews>
    <sheetView zoomScale="55" zoomScaleNormal="55" workbookViewId="0">
      <selection activeCell="D16" sqref="D16"/>
    </sheetView>
  </sheetViews>
  <sheetFormatPr defaultRowHeight="12.5"/>
  <cols>
    <col min="3" max="3" width="66.54296875" customWidth="1"/>
    <col min="4" max="4" width="13.26953125" customWidth="1"/>
    <col min="6" max="6" width="10.1796875" customWidth="1"/>
    <col min="7" max="7" width="12.54296875" customWidth="1"/>
    <col min="8" max="8" width="11.7265625" customWidth="1"/>
    <col min="9" max="9" width="11.54296875" customWidth="1"/>
    <col min="10" max="10" width="18.54296875" customWidth="1"/>
    <col min="11" max="11" width="12.7265625" customWidth="1"/>
    <col min="12" max="12" width="11.7265625" customWidth="1"/>
    <col min="14" max="14" width="4.81640625" customWidth="1"/>
    <col min="15" max="15" width="9.453125" customWidth="1"/>
    <col min="16" max="16" width="6.81640625" customWidth="1"/>
    <col min="17" max="17" width="7.26953125" customWidth="1"/>
    <col min="18" max="18" width="8.179687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50" customHeight="1">
      <c r="A7" s="467" t="s">
        <v>398</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52"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53"/>
      <c r="D10" s="475"/>
      <c r="E10" s="478"/>
      <c r="F10" s="453"/>
      <c r="G10" s="453"/>
      <c r="H10" s="455" t="s">
        <v>306</v>
      </c>
      <c r="I10" s="408"/>
      <c r="J10" s="408"/>
      <c r="K10" s="408"/>
      <c r="L10" s="408"/>
      <c r="M10" s="408"/>
      <c r="N10" s="408"/>
      <c r="O10" s="408"/>
      <c r="P10" s="408"/>
      <c r="Q10" s="409"/>
      <c r="R10" s="453"/>
    </row>
    <row r="11" spans="1:18">
      <c r="A11" s="453"/>
      <c r="B11" s="453"/>
      <c r="C11" s="453"/>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53"/>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454"/>
      <c r="D13" s="476"/>
      <c r="E13" s="479"/>
      <c r="F13" s="454"/>
      <c r="G13" s="454"/>
      <c r="H13" s="337">
        <f>'CRPSignature Page'!H15</f>
        <v>2014</v>
      </c>
      <c r="I13" s="337">
        <f>'CRPSignature Page'!I15</f>
        <v>2015</v>
      </c>
      <c r="J13" s="337">
        <f>'CRPSignature Page'!J15</f>
        <v>2016</v>
      </c>
      <c r="K13" s="20"/>
      <c r="L13" s="20"/>
      <c r="M13" s="20"/>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287</v>
      </c>
      <c r="D15" s="167"/>
      <c r="E15" s="64"/>
      <c r="F15" s="27"/>
      <c r="G15" s="67"/>
      <c r="H15" s="27"/>
      <c r="I15" s="28"/>
      <c r="J15" s="28"/>
      <c r="K15" s="28"/>
      <c r="L15" s="28"/>
      <c r="M15" s="28"/>
      <c r="N15" s="28"/>
      <c r="O15" s="28"/>
      <c r="P15" s="28"/>
      <c r="Q15" s="28"/>
      <c r="R15" s="13"/>
    </row>
    <row r="16" spans="1:18" ht="17.5">
      <c r="A16" s="12"/>
      <c r="B16" s="347"/>
      <c r="C16" s="206" t="s">
        <v>166</v>
      </c>
      <c r="D16" s="308"/>
      <c r="E16" s="272" t="s">
        <v>20</v>
      </c>
      <c r="F16" s="231">
        <f>'Component List'!D29</f>
        <v>74.12</v>
      </c>
      <c r="G16" s="282">
        <v>50</v>
      </c>
      <c r="H16" s="231"/>
      <c r="I16" s="264"/>
      <c r="J16" s="231">
        <f>(D16*F16*G16/100)*1</f>
        <v>0</v>
      </c>
      <c r="K16" s="28"/>
      <c r="L16" s="28"/>
      <c r="M16" s="28"/>
      <c r="N16" s="28"/>
      <c r="O16" s="28"/>
      <c r="P16" s="28"/>
      <c r="Q16" s="28"/>
      <c r="R16" s="13"/>
    </row>
    <row r="17" spans="1:18" ht="17.5">
      <c r="A17" s="12"/>
      <c r="B17" s="347"/>
      <c r="C17" s="206" t="s">
        <v>167</v>
      </c>
      <c r="D17" s="308"/>
      <c r="E17" s="272" t="s">
        <v>20</v>
      </c>
      <c r="F17" s="231">
        <f>'Component List'!D30</f>
        <v>149.58000000000001</v>
      </c>
      <c r="G17" s="282">
        <v>50</v>
      </c>
      <c r="H17" s="231"/>
      <c r="I17" s="264"/>
      <c r="J17" s="231">
        <f t="shared" ref="J17:J24" si="0">(D17*F17*G17/100)*1</f>
        <v>0</v>
      </c>
      <c r="K17" s="28"/>
      <c r="L17" s="28"/>
      <c r="M17" s="28"/>
      <c r="N17" s="28"/>
      <c r="O17" s="28"/>
      <c r="P17" s="28"/>
      <c r="Q17" s="28"/>
      <c r="R17" s="13"/>
    </row>
    <row r="18" spans="1:18" ht="17.5">
      <c r="A18" s="12"/>
      <c r="B18" s="347"/>
      <c r="C18" s="206" t="s">
        <v>3</v>
      </c>
      <c r="D18" s="308"/>
      <c r="E18" s="272">
        <v>100</v>
      </c>
      <c r="F18" s="231">
        <f>'Component List'!D31</f>
        <v>56.58</v>
      </c>
      <c r="G18" s="282">
        <v>50</v>
      </c>
      <c r="H18" s="231"/>
      <c r="I18" s="264"/>
      <c r="J18" s="231">
        <f t="shared" si="0"/>
        <v>0</v>
      </c>
      <c r="K18" s="28"/>
      <c r="L18" s="28"/>
      <c r="M18" s="28"/>
      <c r="N18" s="28"/>
      <c r="O18" s="28"/>
      <c r="P18" s="28"/>
      <c r="Q18" s="28"/>
      <c r="R18" s="13"/>
    </row>
    <row r="19" spans="1:18" ht="17.5">
      <c r="A19" s="12"/>
      <c r="B19" s="347"/>
      <c r="C19" s="206" t="s">
        <v>272</v>
      </c>
      <c r="D19" s="308"/>
      <c r="E19" s="272" t="s">
        <v>20</v>
      </c>
      <c r="F19" s="231">
        <f>'Component List'!D37</f>
        <v>59.48</v>
      </c>
      <c r="G19" s="282">
        <v>50</v>
      </c>
      <c r="H19" s="231"/>
      <c r="I19" s="264"/>
      <c r="J19" s="231">
        <f t="shared" si="0"/>
        <v>0</v>
      </c>
      <c r="K19" s="28"/>
      <c r="L19" s="28"/>
      <c r="M19" s="28"/>
      <c r="N19" s="28"/>
      <c r="O19" s="28"/>
      <c r="P19" s="28"/>
      <c r="Q19" s="28"/>
      <c r="R19" s="13"/>
    </row>
    <row r="20" spans="1:18" ht="17.5">
      <c r="A20" s="12"/>
      <c r="B20" s="347"/>
      <c r="C20" s="206" t="s">
        <v>169</v>
      </c>
      <c r="D20" s="308"/>
      <c r="E20" s="272">
        <v>100</v>
      </c>
      <c r="F20" s="231">
        <f>'Component List'!D32</f>
        <v>70.2</v>
      </c>
      <c r="G20" s="282">
        <v>50</v>
      </c>
      <c r="H20" s="231"/>
      <c r="I20" s="264"/>
      <c r="J20" s="231">
        <f t="shared" si="0"/>
        <v>0</v>
      </c>
      <c r="K20" s="28"/>
      <c r="L20" s="28"/>
      <c r="M20" s="28"/>
      <c r="N20" s="28"/>
      <c r="O20" s="28"/>
      <c r="P20" s="28"/>
      <c r="Q20" s="28"/>
      <c r="R20" s="13"/>
    </row>
    <row r="21" spans="1:18" ht="17.5">
      <c r="A21" s="35"/>
      <c r="B21" s="349"/>
      <c r="C21" s="206" t="s">
        <v>269</v>
      </c>
      <c r="D21" s="308"/>
      <c r="E21" s="272">
        <v>100</v>
      </c>
      <c r="F21" s="231">
        <f>'Component List'!D33</f>
        <v>117.6</v>
      </c>
      <c r="G21" s="282">
        <v>50</v>
      </c>
      <c r="H21" s="263"/>
      <c r="I21" s="264"/>
      <c r="J21" s="292">
        <f t="shared" si="0"/>
        <v>0</v>
      </c>
      <c r="K21" s="68"/>
      <c r="L21" s="68"/>
      <c r="M21" s="68"/>
      <c r="N21" s="68"/>
      <c r="O21" s="68"/>
      <c r="P21" s="68"/>
      <c r="Q21" s="68"/>
      <c r="R21" s="43"/>
    </row>
    <row r="22" spans="1:18" ht="17.5">
      <c r="A22" s="12"/>
      <c r="B22" s="347"/>
      <c r="C22" s="206" t="s">
        <v>270</v>
      </c>
      <c r="D22" s="308"/>
      <c r="E22" s="272">
        <v>100</v>
      </c>
      <c r="F22" s="231">
        <f>'Component List'!D34</f>
        <v>200</v>
      </c>
      <c r="G22" s="282">
        <v>50</v>
      </c>
      <c r="H22" s="231"/>
      <c r="I22" s="270"/>
      <c r="J22" s="231">
        <f t="shared" si="0"/>
        <v>0</v>
      </c>
      <c r="K22" s="28"/>
      <c r="L22" s="28"/>
      <c r="M22" s="28"/>
      <c r="N22" s="28"/>
      <c r="O22" s="28"/>
      <c r="P22" s="28"/>
      <c r="Q22" s="28"/>
      <c r="R22" s="13"/>
    </row>
    <row r="23" spans="1:18" ht="17.5">
      <c r="A23" s="12"/>
      <c r="B23" s="347"/>
      <c r="C23" s="206" t="s">
        <v>271</v>
      </c>
      <c r="D23" s="308"/>
      <c r="E23" s="272">
        <v>100</v>
      </c>
      <c r="F23" s="231">
        <f>'Component List'!D35</f>
        <v>214.5</v>
      </c>
      <c r="G23" s="282">
        <v>50</v>
      </c>
      <c r="H23" s="264"/>
      <c r="I23" s="264"/>
      <c r="J23" s="231">
        <f t="shared" si="0"/>
        <v>0</v>
      </c>
      <c r="K23" s="28"/>
      <c r="L23" s="28"/>
      <c r="M23" s="28"/>
      <c r="N23" s="28"/>
      <c r="O23" s="28"/>
      <c r="P23" s="28"/>
      <c r="Q23" s="28"/>
      <c r="R23" s="13"/>
    </row>
    <row r="24" spans="1:18" ht="17.5">
      <c r="A24" s="12"/>
      <c r="B24" s="347"/>
      <c r="C24" s="206" t="s">
        <v>171</v>
      </c>
      <c r="D24" s="308"/>
      <c r="E24" s="272" t="s">
        <v>77</v>
      </c>
      <c r="F24" s="231">
        <f>'Component List'!D39</f>
        <v>6.38</v>
      </c>
      <c r="G24" s="282">
        <v>50</v>
      </c>
      <c r="H24" s="231"/>
      <c r="I24" s="264"/>
      <c r="J24" s="231">
        <f t="shared" si="0"/>
        <v>0</v>
      </c>
      <c r="K24" s="28"/>
      <c r="L24" s="28"/>
      <c r="M24" s="28"/>
      <c r="N24" s="28"/>
      <c r="O24" s="28"/>
      <c r="P24" s="28"/>
      <c r="Q24" s="28"/>
      <c r="R24" s="13"/>
    </row>
    <row r="25" spans="1:18" s="93" customFormat="1" ht="17.5">
      <c r="A25" s="12"/>
      <c r="B25" s="347"/>
      <c r="C25" s="206" t="s">
        <v>249</v>
      </c>
      <c r="D25" s="308"/>
      <c r="E25" s="272" t="s">
        <v>20</v>
      </c>
      <c r="F25" s="231">
        <f>'Component List'!D42</f>
        <v>46.42</v>
      </c>
      <c r="G25" s="282">
        <v>50</v>
      </c>
      <c r="H25" s="288"/>
      <c r="I25" s="288"/>
      <c r="J25" s="231">
        <f>D25*F25*G25/100</f>
        <v>0</v>
      </c>
      <c r="K25" s="28"/>
      <c r="L25" s="28"/>
      <c r="M25" s="28"/>
      <c r="N25" s="28"/>
      <c r="O25" s="28"/>
      <c r="P25" s="28"/>
      <c r="Q25" s="28"/>
      <c r="R25" s="13"/>
    </row>
    <row r="26" spans="1:18" s="93" customFormat="1" ht="17.5">
      <c r="A26" s="12"/>
      <c r="B26" s="347"/>
      <c r="C26" s="206" t="s">
        <v>247</v>
      </c>
      <c r="D26" s="308"/>
      <c r="E26" s="272" t="s">
        <v>248</v>
      </c>
      <c r="F26" s="231">
        <f>'Component List'!D41</f>
        <v>85</v>
      </c>
      <c r="G26" s="282">
        <v>50</v>
      </c>
      <c r="H26" s="288"/>
      <c r="I26" s="288"/>
      <c r="J26" s="231">
        <f>D26*F26*G26/100</f>
        <v>0</v>
      </c>
      <c r="K26" s="28"/>
      <c r="L26" s="28"/>
      <c r="M26" s="28"/>
      <c r="N26" s="28"/>
      <c r="O26" s="28"/>
      <c r="P26" s="28"/>
      <c r="Q26" s="28"/>
      <c r="R26" s="13"/>
    </row>
    <row r="27" spans="1:18" ht="16.5" customHeight="1">
      <c r="A27" s="12"/>
      <c r="B27" s="347"/>
      <c r="C27" s="206" t="s">
        <v>245</v>
      </c>
      <c r="D27" s="308"/>
      <c r="E27" s="272" t="s">
        <v>246</v>
      </c>
      <c r="F27" s="231">
        <f>'Component List'!D40</f>
        <v>35.26</v>
      </c>
      <c r="G27" s="282">
        <v>50</v>
      </c>
      <c r="H27" s="288"/>
      <c r="I27" s="288"/>
      <c r="J27" s="231">
        <f>D27*F27*G27/100</f>
        <v>0</v>
      </c>
      <c r="K27" s="28"/>
      <c r="L27" s="28"/>
      <c r="M27" s="28"/>
      <c r="N27" s="28"/>
      <c r="O27" s="28"/>
      <c r="P27" s="28"/>
      <c r="Q27" s="28"/>
      <c r="R27" s="13"/>
    </row>
    <row r="28" spans="1:18" ht="18">
      <c r="A28" s="64"/>
      <c r="B28" s="64"/>
      <c r="C28" s="242" t="s">
        <v>295</v>
      </c>
      <c r="D28" s="295"/>
      <c r="E28" s="284"/>
      <c r="F28" s="231"/>
      <c r="G28" s="282"/>
      <c r="H28" s="231"/>
      <c r="I28" s="264"/>
      <c r="J28" s="231"/>
      <c r="K28" s="28"/>
      <c r="L28" s="28"/>
      <c r="M28" s="28"/>
      <c r="N28" s="28"/>
      <c r="O28" s="28"/>
      <c r="P28" s="28"/>
      <c r="Q28" s="28"/>
      <c r="R28" s="13"/>
    </row>
    <row r="29" spans="1:18" ht="17.5">
      <c r="A29" s="12"/>
      <c r="B29" s="347"/>
      <c r="C29" s="206" t="s">
        <v>2</v>
      </c>
      <c r="D29" s="308"/>
      <c r="E29" s="272" t="s">
        <v>20</v>
      </c>
      <c r="F29" s="231">
        <f>'Component List'!D6</f>
        <v>52.88</v>
      </c>
      <c r="G29" s="282">
        <v>50</v>
      </c>
      <c r="H29" s="231"/>
      <c r="I29" s="264"/>
      <c r="J29" s="231">
        <f>(D29*F29*G29/100)*1</f>
        <v>0</v>
      </c>
      <c r="K29" s="28"/>
      <c r="L29" s="28"/>
      <c r="M29" s="28"/>
      <c r="N29" s="28"/>
      <c r="O29" s="28"/>
      <c r="P29" s="28"/>
      <c r="Q29" s="28"/>
      <c r="R29" s="13"/>
    </row>
    <row r="30" spans="1:18" s="93" customFormat="1" ht="17.5">
      <c r="A30" s="12"/>
      <c r="B30" s="347"/>
      <c r="C30" s="206" t="s">
        <v>456</v>
      </c>
      <c r="D30" s="308"/>
      <c r="E30" s="272" t="s">
        <v>20</v>
      </c>
      <c r="F30" s="231">
        <f>'Component List'!D5</f>
        <v>62.6</v>
      </c>
      <c r="G30" s="282">
        <v>50</v>
      </c>
      <c r="H30" s="231"/>
      <c r="I30" s="264"/>
      <c r="J30" s="231">
        <f>(D30*F30*G30/100)*1</f>
        <v>0</v>
      </c>
      <c r="K30" s="28"/>
      <c r="L30" s="28"/>
      <c r="M30" s="28"/>
      <c r="N30" s="28"/>
      <c r="O30" s="28"/>
      <c r="P30" s="28"/>
      <c r="Q30" s="28"/>
      <c r="R30" s="13"/>
    </row>
    <row r="31" spans="1:18" ht="17.5">
      <c r="A31" s="12"/>
      <c r="B31" s="347"/>
      <c r="C31" s="207" t="s">
        <v>176</v>
      </c>
      <c r="D31" s="308"/>
      <c r="E31" s="273" t="s">
        <v>20</v>
      </c>
      <c r="F31" s="231">
        <f>'Component List'!D16</f>
        <v>84.42</v>
      </c>
      <c r="G31" s="282">
        <v>50</v>
      </c>
      <c r="H31" s="231"/>
      <c r="I31" s="264"/>
      <c r="J31" s="231">
        <f>(D31*F31*G31/100)*1</f>
        <v>0</v>
      </c>
      <c r="K31" s="28"/>
      <c r="L31" s="28"/>
      <c r="M31" s="28"/>
      <c r="N31" s="28"/>
      <c r="O31" s="28"/>
      <c r="P31" s="28"/>
      <c r="Q31" s="28"/>
      <c r="R31" s="13"/>
    </row>
    <row r="32" spans="1:18" ht="17.5">
      <c r="A32" s="12"/>
      <c r="B32" s="347"/>
      <c r="C32" s="206" t="s">
        <v>4</v>
      </c>
      <c r="D32" s="308"/>
      <c r="E32" s="272" t="s">
        <v>20</v>
      </c>
      <c r="F32" s="293">
        <f>'Component List'!D28</f>
        <v>94.14</v>
      </c>
      <c r="G32" s="282">
        <v>50</v>
      </c>
      <c r="H32" s="231"/>
      <c r="I32" s="264"/>
      <c r="J32" s="231">
        <f>(D32*F32*G32/100)*1</f>
        <v>0</v>
      </c>
      <c r="K32" s="28"/>
      <c r="L32" s="28"/>
      <c r="M32" s="28"/>
      <c r="N32" s="28"/>
      <c r="O32" s="28"/>
      <c r="P32" s="28"/>
      <c r="Q32" s="28"/>
      <c r="R32" s="13"/>
    </row>
    <row r="33" spans="1:18" ht="17.5">
      <c r="A33" s="12"/>
      <c r="B33" s="347"/>
      <c r="C33" s="206" t="s">
        <v>286</v>
      </c>
      <c r="D33" s="308"/>
      <c r="E33" s="272" t="s">
        <v>20</v>
      </c>
      <c r="F33" s="293">
        <f>'Component List'!D36</f>
        <v>75.36</v>
      </c>
      <c r="G33" s="282">
        <v>50</v>
      </c>
      <c r="H33" s="231"/>
      <c r="I33" s="264"/>
      <c r="J33" s="231">
        <f>(D33*F33*G33/100)*1</f>
        <v>0</v>
      </c>
      <c r="K33" s="28"/>
      <c r="L33" s="28"/>
      <c r="M33" s="28"/>
      <c r="N33" s="28"/>
      <c r="O33" s="28"/>
      <c r="P33" s="28"/>
      <c r="Q33" s="28"/>
      <c r="R33" s="13"/>
    </row>
    <row r="34" spans="1:18" ht="15.5">
      <c r="A34" s="456" t="s">
        <v>89</v>
      </c>
      <c r="B34" s="457"/>
      <c r="C34" s="458"/>
      <c r="D34" s="286"/>
      <c r="E34" s="280"/>
      <c r="F34" s="265"/>
      <c r="G34" s="281"/>
      <c r="H34" s="265"/>
      <c r="I34" s="265"/>
      <c r="J34" s="271">
        <f>SUM(J15:J33)</f>
        <v>0</v>
      </c>
      <c r="K34" s="23"/>
      <c r="L34" s="23"/>
      <c r="M34" s="23"/>
      <c r="N34" s="23"/>
      <c r="O34" s="23"/>
      <c r="P34" s="23"/>
      <c r="Q34" s="23"/>
      <c r="R34" s="25"/>
    </row>
    <row r="35" spans="1:18" ht="15.5">
      <c r="A35" s="92" t="str">
        <f>IF(AE64,AE66,"")</f>
        <v/>
      </c>
      <c r="B35" s="162"/>
      <c r="C35" s="162"/>
      <c r="D35" s="162"/>
      <c r="E35" s="162"/>
      <c r="F35" s="162"/>
      <c r="G35" s="162"/>
      <c r="H35" s="162"/>
      <c r="I35" s="162"/>
      <c r="J35" s="162"/>
      <c r="K35" s="162"/>
      <c r="L35" s="162"/>
      <c r="M35" s="162"/>
      <c r="N35" s="162"/>
      <c r="O35" s="162"/>
      <c r="P35" s="162"/>
      <c r="Q35" s="162"/>
      <c r="R35" s="162"/>
    </row>
    <row r="36" spans="1:18" ht="15.5">
      <c r="A36" s="401" t="s">
        <v>262</v>
      </c>
      <c r="B36" s="402"/>
      <c r="C36" s="402"/>
      <c r="D36" s="402"/>
      <c r="E36" s="402"/>
      <c r="F36" s="402"/>
      <c r="G36" s="402"/>
      <c r="H36" s="402"/>
      <c r="I36" s="402"/>
      <c r="J36" s="402"/>
      <c r="K36" s="402"/>
      <c r="L36" s="402"/>
      <c r="M36" s="402"/>
      <c r="N36" s="402"/>
      <c r="O36" s="402"/>
      <c r="P36" s="402"/>
      <c r="Q36" s="402"/>
      <c r="R36" s="403"/>
    </row>
    <row r="37" spans="1:18" ht="54" customHeight="1">
      <c r="A37" s="393" t="s">
        <v>434</v>
      </c>
      <c r="B37" s="394"/>
      <c r="C37" s="394"/>
      <c r="D37" s="394"/>
      <c r="E37" s="394"/>
      <c r="F37" s="394"/>
      <c r="G37" s="394"/>
      <c r="H37" s="394"/>
      <c r="I37" s="394"/>
      <c r="J37" s="394"/>
      <c r="K37" s="394"/>
      <c r="L37" s="394"/>
      <c r="M37" s="394"/>
      <c r="N37" s="394"/>
      <c r="O37" s="394"/>
      <c r="P37" s="394"/>
      <c r="Q37" s="394"/>
      <c r="R37" s="395"/>
    </row>
    <row r="38" spans="1:18" ht="15.5">
      <c r="A38" s="460" t="s">
        <v>390</v>
      </c>
      <c r="B38" s="461"/>
      <c r="C38" s="461"/>
      <c r="D38" s="461"/>
      <c r="E38" s="461"/>
      <c r="F38" s="461"/>
      <c r="G38" s="461"/>
      <c r="H38" s="461"/>
      <c r="I38" s="461"/>
      <c r="J38" s="461"/>
      <c r="K38" s="461"/>
      <c r="L38" s="461"/>
      <c r="M38" s="461"/>
      <c r="N38" s="461"/>
      <c r="O38" s="461"/>
      <c r="P38" s="461"/>
      <c r="Q38" s="461"/>
      <c r="R38" s="462"/>
    </row>
    <row r="39" spans="1:18" ht="51.75" customHeight="1">
      <c r="A39" s="463" t="s">
        <v>392</v>
      </c>
      <c r="B39" s="464"/>
      <c r="C39" s="464"/>
      <c r="D39" s="464"/>
      <c r="E39" s="464"/>
      <c r="F39" s="464"/>
      <c r="G39" s="464"/>
      <c r="H39" s="464"/>
      <c r="I39" s="464"/>
      <c r="J39" s="464"/>
      <c r="K39" s="464"/>
      <c r="L39" s="464"/>
      <c r="M39" s="464"/>
      <c r="N39" s="464"/>
      <c r="O39" s="464"/>
      <c r="P39" s="464"/>
      <c r="Q39" s="464"/>
      <c r="R39" s="465"/>
    </row>
    <row r="40" spans="1:18" ht="15.5">
      <c r="A40" s="413" t="s">
        <v>221</v>
      </c>
      <c r="B40" s="414"/>
      <c r="C40" s="414"/>
      <c r="D40" s="414"/>
      <c r="E40" s="414"/>
      <c r="F40" s="414"/>
      <c r="G40" s="414"/>
      <c r="H40" s="414"/>
      <c r="I40" s="414"/>
      <c r="J40" s="414"/>
      <c r="K40" s="414"/>
      <c r="L40" s="414"/>
      <c r="M40" s="414"/>
      <c r="N40" s="414"/>
      <c r="O40" s="414"/>
      <c r="P40" s="414"/>
      <c r="Q40" s="414"/>
      <c r="R40" s="415"/>
    </row>
    <row r="41" spans="1:18" ht="67.5" customHeight="1">
      <c r="A41" s="396" t="s">
        <v>370</v>
      </c>
      <c r="B41" s="397"/>
      <c r="C41" s="397"/>
      <c r="D41" s="397"/>
      <c r="E41" s="397"/>
      <c r="F41" s="397"/>
      <c r="G41" s="397"/>
      <c r="H41" s="397"/>
      <c r="I41" s="397"/>
      <c r="J41" s="397"/>
      <c r="K41" s="397"/>
      <c r="L41" s="397"/>
      <c r="M41" s="397"/>
      <c r="N41" s="397"/>
      <c r="O41" s="397"/>
      <c r="P41" s="397"/>
      <c r="Q41" s="397"/>
      <c r="R41" s="398"/>
    </row>
  </sheetData>
  <mergeCells count="33">
    <mergeCell ref="A38:R38"/>
    <mergeCell ref="A39:R39"/>
    <mergeCell ref="A40:R40"/>
    <mergeCell ref="A41:R41"/>
    <mergeCell ref="H9:Q9"/>
    <mergeCell ref="R9:R13"/>
    <mergeCell ref="H10:Q10"/>
    <mergeCell ref="A34:C34"/>
    <mergeCell ref="A36:R36"/>
    <mergeCell ref="A37:R37"/>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29 C31">
      <formula1>$AE$32:$AE$39</formula1>
    </dataValidation>
    <dataValidation type="list" allowBlank="1" showInputMessage="1" showErrorMessage="1" promptTitle="Choose Management" sqref="C32:C33">
      <formula1>$AE$40:$AE$49</formula1>
    </dataValidation>
    <dataValidation type="list" allowBlank="1" showInputMessage="1" showErrorMessage="1" promptTitle="Choose Management" sqref="C27">
      <formula1>$AE$34:$AE$45</formula1>
    </dataValidation>
  </dataValidations>
  <pageMargins left="0.27" right="0.25" top="0.54" bottom="0.47"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3</xdr:col>
                    <xdr:colOff>184150</xdr:colOff>
                    <xdr:row>0</xdr:row>
                    <xdr:rowOff>0</xdr:rowOff>
                  </from>
                  <to>
                    <xdr:col>3</xdr:col>
                    <xdr:colOff>387350</xdr:colOff>
                    <xdr:row>1</xdr:row>
                    <xdr:rowOff>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7</xdr:col>
                    <xdr:colOff>260350</xdr:colOff>
                    <xdr:row>0</xdr:row>
                    <xdr:rowOff>0</xdr:rowOff>
                  </from>
                  <to>
                    <xdr:col>8</xdr:col>
                    <xdr:colOff>298450</xdr:colOff>
                    <xdr:row>0</xdr:row>
                    <xdr:rowOff>139700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pageSetUpPr fitToPage="1"/>
  </sheetPr>
  <dimension ref="A1:R23"/>
  <sheetViews>
    <sheetView zoomScale="55" zoomScaleNormal="55" workbookViewId="0">
      <selection activeCell="D15" sqref="D15"/>
    </sheetView>
  </sheetViews>
  <sheetFormatPr defaultRowHeight="12.5"/>
  <cols>
    <col min="3" max="3" width="76.453125" customWidth="1"/>
    <col min="4" max="4" width="14.26953125" customWidth="1"/>
    <col min="6" max="6" width="13.54296875" customWidth="1"/>
    <col min="7" max="7" width="11.7265625" customWidth="1"/>
    <col min="8" max="8" width="16.453125" customWidth="1"/>
    <col min="9" max="9" width="13.26953125" customWidth="1"/>
    <col min="10" max="10" width="16.7265625" customWidth="1"/>
    <col min="11" max="11" width="13.1796875" customWidth="1"/>
    <col min="12" max="12" width="14"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3.25"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18" ht="24.7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56"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1.5" customHeight="1">
      <c r="A7" s="467" t="s">
        <v>465</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8.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21.7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row>
    <row r="13" spans="1:18" ht="18" customHeight="1">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2"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58" t="str">
        <f>IF(AE46,AE48,"")</f>
        <v/>
      </c>
      <c r="B17" s="355"/>
      <c r="C17" s="355"/>
      <c r="D17" s="355"/>
      <c r="E17" s="355"/>
      <c r="F17" s="355"/>
      <c r="G17" s="355"/>
      <c r="H17" s="355"/>
      <c r="I17" s="355"/>
      <c r="J17" s="355"/>
      <c r="K17" s="355"/>
      <c r="L17" s="355"/>
      <c r="M17" s="355"/>
      <c r="N17" s="355"/>
      <c r="O17" s="355"/>
      <c r="P17" s="355"/>
      <c r="Q17" s="355"/>
      <c r="R17" s="355"/>
    </row>
    <row r="18" spans="1:18" ht="15.5">
      <c r="A18" s="401" t="s">
        <v>262</v>
      </c>
      <c r="B18" s="402"/>
      <c r="C18" s="402"/>
      <c r="D18" s="402"/>
      <c r="E18" s="402"/>
      <c r="F18" s="402"/>
      <c r="G18" s="402"/>
      <c r="H18" s="402"/>
      <c r="I18" s="402"/>
      <c r="J18" s="402"/>
      <c r="K18" s="402"/>
      <c r="L18" s="402"/>
      <c r="M18" s="402"/>
      <c r="N18" s="402"/>
      <c r="O18" s="402"/>
      <c r="P18" s="402"/>
      <c r="Q18" s="402"/>
      <c r="R18" s="403"/>
    </row>
    <row r="19" spans="1:18" ht="61.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9.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70.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0:R20"/>
    <mergeCell ref="A21:R21"/>
    <mergeCell ref="A22:R22"/>
    <mergeCell ref="A23:R23"/>
    <mergeCell ref="H9:Q9"/>
    <mergeCell ref="R9:R13"/>
    <mergeCell ref="H10:Q10"/>
    <mergeCell ref="A16:C16"/>
    <mergeCell ref="A18:R18"/>
    <mergeCell ref="A19:R19"/>
  </mergeCells>
  <pageMargins left="0.7" right="0.7" top="0.75" bottom="0.75" header="0.3" footer="0.3"/>
  <pageSetup scale="4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4689" r:id="rId4" name="Check Box 1">
              <controlPr defaultSize="0" autoFill="0" autoLine="0" autoPict="0">
                <anchor moveWithCells="1">
                  <from>
                    <xdr:col>3</xdr:col>
                    <xdr:colOff>209550</xdr:colOff>
                    <xdr:row>0</xdr:row>
                    <xdr:rowOff>12700</xdr:rowOff>
                  </from>
                  <to>
                    <xdr:col>4</xdr:col>
                    <xdr:colOff>139700</xdr:colOff>
                    <xdr:row>0</xdr:row>
                    <xdr:rowOff>139700</xdr:rowOff>
                  </to>
                </anchor>
              </controlPr>
            </control>
          </mc:Choice>
        </mc:AlternateContent>
        <mc:AlternateContent xmlns:mc="http://schemas.openxmlformats.org/markup-compatibility/2006">
          <mc:Choice Requires="x14">
            <control shapeId="114690" r:id="rId5" name="Check Box 2">
              <controlPr defaultSize="0" autoFill="0" autoLine="0" autoPict="0">
                <anchor moveWithCells="1">
                  <from>
                    <xdr:col>7</xdr:col>
                    <xdr:colOff>285750</xdr:colOff>
                    <xdr:row>0</xdr:row>
                    <xdr:rowOff>0</xdr:rowOff>
                  </from>
                  <to>
                    <xdr:col>8</xdr:col>
                    <xdr:colOff>127000</xdr:colOff>
                    <xdr:row>0</xdr:row>
                    <xdr:rowOff>127000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pageSetUpPr fitToPage="1"/>
  </sheetPr>
  <dimension ref="A1:R41"/>
  <sheetViews>
    <sheetView zoomScale="53" zoomScaleNormal="53" workbookViewId="0">
      <selection activeCell="D16" sqref="D16"/>
    </sheetView>
  </sheetViews>
  <sheetFormatPr defaultRowHeight="12.5"/>
  <cols>
    <col min="3" max="3" width="70.26953125" customWidth="1"/>
    <col min="4" max="4" width="12.453125" customWidth="1"/>
    <col min="7" max="7" width="14.453125" customWidth="1"/>
    <col min="8" max="8" width="15.81640625" customWidth="1"/>
    <col min="9" max="9" width="10.453125" customWidth="1"/>
    <col min="10" max="10" width="11" customWidth="1"/>
    <col min="11" max="11" width="14.54296875" customWidth="1"/>
    <col min="12" max="12" width="15.26953125" customWidth="1"/>
    <col min="13" max="13" width="12.453125" customWidth="1"/>
    <col min="14" max="14" width="6.26953125" customWidth="1"/>
    <col min="15" max="15" width="6.453125" customWidth="1"/>
    <col min="16" max="16" width="5.81640625" customWidth="1"/>
    <col min="17" max="17" width="6" customWidth="1"/>
    <col min="18" max="18" width="5.5429687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2.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0.5" customHeight="1">
      <c r="A7" s="467" t="s">
        <v>464</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297</v>
      </c>
      <c r="D15" s="167"/>
      <c r="E15" s="64"/>
      <c r="F15" s="27"/>
      <c r="G15" s="67"/>
      <c r="H15" s="27"/>
      <c r="I15" s="28"/>
      <c r="J15" s="28"/>
      <c r="K15" s="28"/>
      <c r="L15" s="28"/>
      <c r="M15" s="28"/>
      <c r="N15" s="28"/>
      <c r="O15" s="28"/>
      <c r="P15" s="28"/>
      <c r="Q15" s="28"/>
      <c r="R15" s="13"/>
    </row>
    <row r="16" spans="1:18" ht="17.5">
      <c r="A16" s="12"/>
      <c r="B16" s="347"/>
      <c r="C16" s="206" t="s">
        <v>160</v>
      </c>
      <c r="D16" s="308"/>
      <c r="E16" s="272" t="s">
        <v>20</v>
      </c>
      <c r="F16" s="231">
        <f>'Component List'!D2</f>
        <v>1.6399999999999997</v>
      </c>
      <c r="G16" s="287">
        <v>50</v>
      </c>
      <c r="H16" s="231">
        <f>D16*F16*G16/100</f>
        <v>0</v>
      </c>
      <c r="I16" s="264"/>
      <c r="J16" s="264"/>
      <c r="K16" s="264"/>
      <c r="L16" s="264"/>
      <c r="M16" s="264"/>
      <c r="N16" s="28"/>
      <c r="O16" s="28"/>
      <c r="P16" s="28"/>
      <c r="Q16" s="28"/>
      <c r="R16" s="13"/>
    </row>
    <row r="17" spans="1:18" ht="17.5">
      <c r="A17" s="12"/>
      <c r="B17" s="347"/>
      <c r="C17" s="206" t="s">
        <v>159</v>
      </c>
      <c r="D17" s="308"/>
      <c r="E17" s="272" t="s">
        <v>20</v>
      </c>
      <c r="F17" s="231">
        <f>'Component List'!D3</f>
        <v>0</v>
      </c>
      <c r="G17" s="287">
        <v>50</v>
      </c>
      <c r="H17" s="231">
        <f>D17*F17*G17/100</f>
        <v>0</v>
      </c>
      <c r="I17" s="264"/>
      <c r="J17" s="264"/>
      <c r="K17" s="264"/>
      <c r="L17" s="264"/>
      <c r="M17" s="264"/>
      <c r="N17" s="28"/>
      <c r="O17" s="28"/>
      <c r="P17" s="28"/>
      <c r="Q17" s="28"/>
      <c r="R17" s="13"/>
    </row>
    <row r="18" spans="1:18" ht="17.5">
      <c r="A18" s="12"/>
      <c r="B18" s="347"/>
      <c r="C18" s="206" t="s">
        <v>161</v>
      </c>
      <c r="D18" s="308"/>
      <c r="E18" s="272" t="s">
        <v>20</v>
      </c>
      <c r="F18" s="231">
        <f>'Component List'!D4</f>
        <v>80.06</v>
      </c>
      <c r="G18" s="287">
        <v>50</v>
      </c>
      <c r="H18" s="231">
        <f>D18*F18*G18/100</f>
        <v>0</v>
      </c>
      <c r="I18" s="264"/>
      <c r="J18" s="264"/>
      <c r="K18" s="264"/>
      <c r="L18" s="264"/>
      <c r="M18" s="264"/>
      <c r="N18" s="28"/>
      <c r="O18" s="28"/>
      <c r="P18" s="28"/>
      <c r="Q18" s="28"/>
      <c r="R18" s="13"/>
    </row>
    <row r="19" spans="1:18" ht="17.5">
      <c r="A19" s="12"/>
      <c r="B19" s="347"/>
      <c r="C19" s="206" t="s">
        <v>45</v>
      </c>
      <c r="D19" s="308"/>
      <c r="E19" s="272" t="s">
        <v>20</v>
      </c>
      <c r="F19" s="231">
        <f>'Component List'!D5</f>
        <v>62.6</v>
      </c>
      <c r="G19" s="287">
        <v>50</v>
      </c>
      <c r="H19" s="231">
        <f>D19*F19*G19/100</f>
        <v>0</v>
      </c>
      <c r="I19" s="264"/>
      <c r="J19" s="264"/>
      <c r="K19" s="264"/>
      <c r="L19" s="264"/>
      <c r="M19" s="264"/>
      <c r="N19" s="28"/>
      <c r="O19" s="28"/>
      <c r="P19" s="28"/>
      <c r="Q19" s="28"/>
      <c r="R19" s="13"/>
    </row>
    <row r="20" spans="1:18" ht="17.5">
      <c r="A20" s="12"/>
      <c r="B20" s="347"/>
      <c r="C20" s="206" t="s">
        <v>294</v>
      </c>
      <c r="D20" s="308"/>
      <c r="E20" s="272" t="s">
        <v>20</v>
      </c>
      <c r="F20" s="231">
        <f>'Component List'!D8</f>
        <v>214.1</v>
      </c>
      <c r="G20" s="287">
        <v>50</v>
      </c>
      <c r="H20" s="231">
        <f t="shared" ref="H20:H33" si="0">D20*F20*G20/100</f>
        <v>0</v>
      </c>
      <c r="I20" s="264"/>
      <c r="J20" s="264"/>
      <c r="K20" s="264"/>
      <c r="L20" s="264"/>
      <c r="M20" s="264"/>
      <c r="N20" s="28"/>
      <c r="O20" s="28"/>
      <c r="P20" s="28"/>
      <c r="Q20" s="28"/>
      <c r="R20" s="13"/>
    </row>
    <row r="21" spans="1:18" ht="17.5">
      <c r="A21" s="35"/>
      <c r="B21" s="349"/>
      <c r="C21" s="207" t="s">
        <v>412</v>
      </c>
      <c r="D21" s="308"/>
      <c r="E21" s="273" t="s">
        <v>20</v>
      </c>
      <c r="F21" s="231">
        <f>'Component List'!D16</f>
        <v>84.42</v>
      </c>
      <c r="G21" s="287">
        <v>50</v>
      </c>
      <c r="H21" s="292">
        <f t="shared" si="0"/>
        <v>0</v>
      </c>
      <c r="I21" s="264"/>
      <c r="J21" s="269"/>
      <c r="K21" s="269"/>
      <c r="L21" s="269"/>
      <c r="M21" s="269"/>
      <c r="N21" s="68"/>
      <c r="O21" s="68"/>
      <c r="P21" s="68"/>
      <c r="Q21" s="68"/>
      <c r="R21" s="43"/>
    </row>
    <row r="22" spans="1:18" ht="17.5">
      <c r="A22" s="12"/>
      <c r="B22" s="347"/>
      <c r="C22" s="206" t="s">
        <v>165</v>
      </c>
      <c r="D22" s="308"/>
      <c r="E22" s="272" t="s">
        <v>20</v>
      </c>
      <c r="F22" s="231">
        <f>'Component List'!D28</f>
        <v>94.14</v>
      </c>
      <c r="G22" s="287">
        <v>50</v>
      </c>
      <c r="H22" s="231">
        <f t="shared" si="0"/>
        <v>0</v>
      </c>
      <c r="I22" s="270"/>
      <c r="J22" s="264"/>
      <c r="K22" s="264"/>
      <c r="L22" s="264"/>
      <c r="M22" s="264"/>
      <c r="N22" s="28"/>
      <c r="O22" s="28"/>
      <c r="P22" s="28"/>
      <c r="Q22" s="28"/>
      <c r="R22" s="13"/>
    </row>
    <row r="23" spans="1:18" ht="17.5">
      <c r="A23" s="12"/>
      <c r="B23" s="347"/>
      <c r="C23" s="206" t="s">
        <v>286</v>
      </c>
      <c r="D23" s="308"/>
      <c r="E23" s="272" t="s">
        <v>20</v>
      </c>
      <c r="F23" s="231">
        <f>'Component List'!D36</f>
        <v>75.36</v>
      </c>
      <c r="G23" s="287">
        <v>50</v>
      </c>
      <c r="H23" s="231">
        <f t="shared" si="0"/>
        <v>0</v>
      </c>
      <c r="I23" s="264"/>
      <c r="J23" s="264"/>
      <c r="K23" s="264"/>
      <c r="L23" s="264"/>
      <c r="M23" s="264"/>
      <c r="N23" s="28"/>
      <c r="O23" s="28"/>
      <c r="P23" s="28"/>
      <c r="Q23" s="28"/>
      <c r="R23" s="13"/>
    </row>
    <row r="24" spans="1:18" ht="17.5">
      <c r="A24" s="12"/>
      <c r="B24" s="347"/>
      <c r="C24" s="245" t="s">
        <v>315</v>
      </c>
      <c r="D24" s="308"/>
      <c r="E24" s="272" t="s">
        <v>20</v>
      </c>
      <c r="F24" s="231">
        <f>'Component List'!D15</f>
        <v>21.78</v>
      </c>
      <c r="G24" s="287">
        <v>50</v>
      </c>
      <c r="H24" s="231">
        <f t="shared" si="0"/>
        <v>0</v>
      </c>
      <c r="I24" s="264"/>
      <c r="J24" s="264"/>
      <c r="K24" s="264"/>
      <c r="L24" s="264"/>
      <c r="M24" s="264"/>
      <c r="N24" s="28"/>
      <c r="O24" s="28"/>
      <c r="P24" s="28"/>
      <c r="Q24" s="28"/>
      <c r="R24" s="13"/>
    </row>
    <row r="25" spans="1:18" ht="18">
      <c r="A25" s="64"/>
      <c r="B25" s="64"/>
      <c r="C25" s="242" t="s">
        <v>298</v>
      </c>
      <c r="D25" s="267"/>
      <c r="E25" s="284"/>
      <c r="F25" s="231"/>
      <c r="G25" s="287"/>
      <c r="H25" s="231"/>
      <c r="I25" s="264"/>
      <c r="J25" s="264"/>
      <c r="K25" s="264"/>
      <c r="L25" s="264"/>
      <c r="M25" s="264"/>
      <c r="N25" s="28"/>
      <c r="O25" s="28"/>
      <c r="P25" s="28"/>
      <c r="Q25" s="28"/>
      <c r="R25" s="13"/>
    </row>
    <row r="26" spans="1:18" ht="17.5">
      <c r="A26" s="12"/>
      <c r="B26" s="347"/>
      <c r="C26" s="206" t="s">
        <v>166</v>
      </c>
      <c r="D26" s="308"/>
      <c r="E26" s="272" t="s">
        <v>20</v>
      </c>
      <c r="F26" s="231">
        <f>'Component List'!D29</f>
        <v>74.12</v>
      </c>
      <c r="G26" s="287">
        <v>50</v>
      </c>
      <c r="H26" s="231">
        <f t="shared" si="0"/>
        <v>0</v>
      </c>
      <c r="I26" s="264"/>
      <c r="J26" s="264"/>
      <c r="K26" s="264"/>
      <c r="L26" s="264"/>
      <c r="M26" s="264"/>
      <c r="N26" s="28"/>
      <c r="O26" s="28"/>
      <c r="P26" s="28"/>
      <c r="Q26" s="28"/>
      <c r="R26" s="13"/>
    </row>
    <row r="27" spans="1:18" ht="17.5">
      <c r="A27" s="12"/>
      <c r="B27" s="347"/>
      <c r="C27" s="206" t="s">
        <v>167</v>
      </c>
      <c r="D27" s="308"/>
      <c r="E27" s="272" t="s">
        <v>20</v>
      </c>
      <c r="F27" s="231">
        <f>'Component List'!D30</f>
        <v>149.58000000000001</v>
      </c>
      <c r="G27" s="287">
        <v>50</v>
      </c>
      <c r="H27" s="231">
        <f t="shared" si="0"/>
        <v>0</v>
      </c>
      <c r="I27" s="264"/>
      <c r="J27" s="264"/>
      <c r="K27" s="264"/>
      <c r="L27" s="264"/>
      <c r="M27" s="264"/>
      <c r="N27" s="28"/>
      <c r="O27" s="28"/>
      <c r="P27" s="28"/>
      <c r="Q27" s="28"/>
      <c r="R27" s="13"/>
    </row>
    <row r="28" spans="1:18" ht="17.5">
      <c r="A28" s="12"/>
      <c r="B28" s="347"/>
      <c r="C28" s="206" t="s">
        <v>168</v>
      </c>
      <c r="D28" s="308"/>
      <c r="E28" s="272">
        <v>100</v>
      </c>
      <c r="F28" s="293">
        <f>'Component List'!D31</f>
        <v>56.58</v>
      </c>
      <c r="G28" s="287">
        <v>50</v>
      </c>
      <c r="H28" s="231">
        <f t="shared" si="0"/>
        <v>0</v>
      </c>
      <c r="I28" s="264"/>
      <c r="J28" s="264"/>
      <c r="K28" s="264"/>
      <c r="L28" s="264"/>
      <c r="M28" s="264"/>
      <c r="N28" s="28"/>
      <c r="O28" s="28"/>
      <c r="P28" s="28"/>
      <c r="Q28" s="28"/>
      <c r="R28" s="13"/>
    </row>
    <row r="29" spans="1:18" ht="17.5">
      <c r="A29" s="12"/>
      <c r="B29" s="347"/>
      <c r="C29" s="206" t="s">
        <v>272</v>
      </c>
      <c r="D29" s="308"/>
      <c r="E29" s="272" t="s">
        <v>20</v>
      </c>
      <c r="F29" s="293">
        <f>'Component List'!D37</f>
        <v>59.48</v>
      </c>
      <c r="G29" s="287">
        <v>50</v>
      </c>
      <c r="H29" s="231">
        <f t="shared" si="0"/>
        <v>0</v>
      </c>
      <c r="I29" s="264"/>
      <c r="J29" s="264"/>
      <c r="K29" s="264"/>
      <c r="L29" s="264"/>
      <c r="M29" s="264"/>
      <c r="N29" s="28"/>
      <c r="O29" s="28"/>
      <c r="P29" s="28"/>
      <c r="Q29" s="28"/>
      <c r="R29" s="13"/>
    </row>
    <row r="30" spans="1:18" s="93" customFormat="1" ht="17.5">
      <c r="A30" s="12"/>
      <c r="B30" s="347"/>
      <c r="C30" s="206" t="s">
        <v>169</v>
      </c>
      <c r="D30" s="308"/>
      <c r="E30" s="272">
        <v>100</v>
      </c>
      <c r="F30" s="293">
        <f>'Component List'!D32</f>
        <v>70.2</v>
      </c>
      <c r="G30" s="287">
        <v>50</v>
      </c>
      <c r="H30" s="231">
        <f t="shared" si="0"/>
        <v>0</v>
      </c>
      <c r="I30" s="264"/>
      <c r="J30" s="264"/>
      <c r="K30" s="264"/>
      <c r="L30" s="264"/>
      <c r="M30" s="264"/>
      <c r="N30" s="28"/>
      <c r="O30" s="28"/>
      <c r="P30" s="28"/>
      <c r="Q30" s="28"/>
      <c r="R30" s="13"/>
    </row>
    <row r="31" spans="1:18" s="93" customFormat="1" ht="17.5">
      <c r="A31" s="12"/>
      <c r="B31" s="347"/>
      <c r="C31" s="206" t="s">
        <v>269</v>
      </c>
      <c r="D31" s="308"/>
      <c r="E31" s="272">
        <v>100</v>
      </c>
      <c r="F31" s="293">
        <f>'Component List'!D33</f>
        <v>117.6</v>
      </c>
      <c r="G31" s="287">
        <v>50</v>
      </c>
      <c r="H31" s="231">
        <f t="shared" si="0"/>
        <v>0</v>
      </c>
      <c r="I31" s="264"/>
      <c r="J31" s="264"/>
      <c r="K31" s="264"/>
      <c r="L31" s="264"/>
      <c r="M31" s="264"/>
      <c r="N31" s="28"/>
      <c r="O31" s="28"/>
      <c r="P31" s="28"/>
      <c r="Q31" s="28"/>
      <c r="R31" s="13"/>
    </row>
    <row r="32" spans="1:18" ht="17.5">
      <c r="A32" s="12"/>
      <c r="B32" s="347"/>
      <c r="C32" s="206" t="s">
        <v>270</v>
      </c>
      <c r="D32" s="308"/>
      <c r="E32" s="272">
        <v>100</v>
      </c>
      <c r="F32" s="293">
        <f>'Component List'!D34</f>
        <v>200</v>
      </c>
      <c r="G32" s="287">
        <v>50</v>
      </c>
      <c r="H32" s="231">
        <f t="shared" si="0"/>
        <v>0</v>
      </c>
      <c r="I32" s="264"/>
      <c r="J32" s="264"/>
      <c r="K32" s="264"/>
      <c r="L32" s="264"/>
      <c r="M32" s="264"/>
      <c r="N32" s="28"/>
      <c r="O32" s="28"/>
      <c r="P32" s="28"/>
      <c r="Q32" s="28"/>
      <c r="R32" s="13"/>
    </row>
    <row r="33" spans="1:18" ht="17.5">
      <c r="A33" s="12"/>
      <c r="B33" s="347"/>
      <c r="C33" s="206" t="s">
        <v>271</v>
      </c>
      <c r="D33" s="308"/>
      <c r="E33" s="272">
        <v>100</v>
      </c>
      <c r="F33" s="293">
        <f>'Component List'!D35</f>
        <v>214.5</v>
      </c>
      <c r="G33" s="287">
        <v>50</v>
      </c>
      <c r="H33" s="231">
        <f t="shared" si="0"/>
        <v>0</v>
      </c>
      <c r="I33" s="264"/>
      <c r="J33" s="264"/>
      <c r="K33" s="264"/>
      <c r="L33" s="264"/>
      <c r="M33" s="264"/>
      <c r="N33" s="28"/>
      <c r="O33" s="28"/>
      <c r="P33" s="28"/>
      <c r="Q33" s="28"/>
      <c r="R33" s="13"/>
    </row>
    <row r="34" spans="1:18" ht="15.5">
      <c r="A34" s="456" t="s">
        <v>89</v>
      </c>
      <c r="B34" s="457"/>
      <c r="C34" s="458"/>
      <c r="D34" s="286"/>
      <c r="E34" s="280"/>
      <c r="F34" s="265"/>
      <c r="G34" s="281"/>
      <c r="H34" s="271">
        <f t="shared" ref="H34:M34" si="1">SUM(H15:H33)</f>
        <v>0</v>
      </c>
      <c r="I34" s="271">
        <f t="shared" si="1"/>
        <v>0</v>
      </c>
      <c r="J34" s="271">
        <f>SUM(J15:J33)</f>
        <v>0</v>
      </c>
      <c r="K34" s="271">
        <f>SUM(K15:K33)</f>
        <v>0</v>
      </c>
      <c r="L34" s="271">
        <f t="shared" si="1"/>
        <v>0</v>
      </c>
      <c r="M34" s="271">
        <f t="shared" si="1"/>
        <v>0</v>
      </c>
      <c r="N34" s="23"/>
      <c r="O34" s="23"/>
      <c r="P34" s="23"/>
      <c r="Q34" s="23"/>
      <c r="R34" s="25"/>
    </row>
    <row r="35" spans="1:18" ht="15.5">
      <c r="A35" s="92" t="str">
        <f>IF(AE64,AE66,"")</f>
        <v/>
      </c>
      <c r="B35" s="162"/>
      <c r="C35" s="162"/>
      <c r="D35" s="162"/>
      <c r="E35" s="162"/>
      <c r="F35" s="162"/>
      <c r="G35" s="162"/>
      <c r="H35" s="162"/>
      <c r="I35" s="162"/>
      <c r="J35" s="162"/>
      <c r="K35" s="162"/>
      <c r="L35" s="162"/>
      <c r="M35" s="162"/>
      <c r="N35" s="162"/>
      <c r="O35" s="162"/>
      <c r="P35" s="162"/>
      <c r="Q35" s="162"/>
      <c r="R35" s="162"/>
    </row>
    <row r="36" spans="1:18" ht="15.5">
      <c r="A36" s="401" t="s">
        <v>262</v>
      </c>
      <c r="B36" s="402"/>
      <c r="C36" s="402"/>
      <c r="D36" s="402"/>
      <c r="E36" s="402"/>
      <c r="F36" s="402"/>
      <c r="G36" s="402"/>
      <c r="H36" s="402"/>
      <c r="I36" s="402"/>
      <c r="J36" s="402"/>
      <c r="K36" s="402"/>
      <c r="L36" s="402"/>
      <c r="M36" s="402"/>
      <c r="N36" s="402"/>
      <c r="O36" s="402"/>
      <c r="P36" s="402"/>
      <c r="Q36" s="402"/>
      <c r="R36" s="403"/>
    </row>
    <row r="37" spans="1:18" ht="53.25" customHeight="1">
      <c r="A37" s="393" t="s">
        <v>434</v>
      </c>
      <c r="B37" s="394"/>
      <c r="C37" s="394"/>
      <c r="D37" s="394"/>
      <c r="E37" s="394"/>
      <c r="F37" s="394"/>
      <c r="G37" s="394"/>
      <c r="H37" s="394"/>
      <c r="I37" s="394"/>
      <c r="J37" s="394"/>
      <c r="K37" s="394"/>
      <c r="L37" s="394"/>
      <c r="M37" s="394"/>
      <c r="N37" s="394"/>
      <c r="O37" s="394"/>
      <c r="P37" s="394"/>
      <c r="Q37" s="394"/>
      <c r="R37" s="395"/>
    </row>
    <row r="38" spans="1:18" ht="15.5">
      <c r="A38" s="460" t="s">
        <v>390</v>
      </c>
      <c r="B38" s="461"/>
      <c r="C38" s="461"/>
      <c r="D38" s="461"/>
      <c r="E38" s="461"/>
      <c r="F38" s="461"/>
      <c r="G38" s="461"/>
      <c r="H38" s="461"/>
      <c r="I38" s="461"/>
      <c r="J38" s="461"/>
      <c r="K38" s="461"/>
      <c r="L38" s="461"/>
      <c r="M38" s="461"/>
      <c r="N38" s="461"/>
      <c r="O38" s="461"/>
      <c r="P38" s="461"/>
      <c r="Q38" s="461"/>
      <c r="R38" s="462"/>
    </row>
    <row r="39" spans="1:18" ht="54" customHeight="1">
      <c r="A39" s="463" t="s">
        <v>392</v>
      </c>
      <c r="B39" s="464"/>
      <c r="C39" s="464"/>
      <c r="D39" s="464"/>
      <c r="E39" s="464"/>
      <c r="F39" s="464"/>
      <c r="G39" s="464"/>
      <c r="H39" s="464"/>
      <c r="I39" s="464"/>
      <c r="J39" s="464"/>
      <c r="K39" s="464"/>
      <c r="L39" s="464"/>
      <c r="M39" s="464"/>
      <c r="N39" s="464"/>
      <c r="O39" s="464"/>
      <c r="P39" s="464"/>
      <c r="Q39" s="464"/>
      <c r="R39" s="465"/>
    </row>
    <row r="40" spans="1:18" ht="15.5">
      <c r="A40" s="413" t="s">
        <v>221</v>
      </c>
      <c r="B40" s="414"/>
      <c r="C40" s="414"/>
      <c r="D40" s="414"/>
      <c r="E40" s="414"/>
      <c r="F40" s="414"/>
      <c r="G40" s="414"/>
      <c r="H40" s="414"/>
      <c r="I40" s="414"/>
      <c r="J40" s="414"/>
      <c r="K40" s="414"/>
      <c r="L40" s="414"/>
      <c r="M40" s="414"/>
      <c r="N40" s="414"/>
      <c r="O40" s="414"/>
      <c r="P40" s="414"/>
      <c r="Q40" s="414"/>
      <c r="R40" s="415"/>
    </row>
    <row r="41" spans="1:18" ht="64.5" customHeight="1">
      <c r="A41" s="396" t="s">
        <v>370</v>
      </c>
      <c r="B41" s="397"/>
      <c r="C41" s="397"/>
      <c r="D41" s="397"/>
      <c r="E41" s="397"/>
      <c r="F41" s="397"/>
      <c r="G41" s="397"/>
      <c r="H41" s="397"/>
      <c r="I41" s="397"/>
      <c r="J41" s="397"/>
      <c r="K41" s="397"/>
      <c r="L41" s="397"/>
      <c r="M41" s="397"/>
      <c r="N41" s="397"/>
      <c r="O41" s="397"/>
      <c r="P41" s="397"/>
      <c r="Q41" s="397"/>
      <c r="R41" s="398"/>
    </row>
  </sheetData>
  <mergeCells count="33">
    <mergeCell ref="A38:R38"/>
    <mergeCell ref="A39:R39"/>
    <mergeCell ref="A40:R40"/>
    <mergeCell ref="A41:R41"/>
    <mergeCell ref="H9:Q9"/>
    <mergeCell ref="R9:R13"/>
    <mergeCell ref="H10:Q10"/>
    <mergeCell ref="A34:C34"/>
    <mergeCell ref="A36:R36"/>
    <mergeCell ref="A37:R37"/>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26:C27">
      <formula1>$AE$28:$AE$39</formula1>
    </dataValidation>
    <dataValidation type="list" allowBlank="1" showInputMessage="1" showErrorMessage="1" promptTitle="Choose Management" sqref="C28:C31">
      <formula1>$AE$40:$AE$49</formula1>
    </dataValidation>
    <dataValidation type="list" allowBlank="1" showInputMessage="1" showErrorMessage="1" promptTitle="Choose Management" sqref="C32:C33">
      <formula1>$AE$52:$AE$61</formula1>
    </dataValidation>
  </dataValidations>
  <pageMargins left="0.27" right="0.18" top="0.42" bottom="0.51"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3</xdr:col>
                    <xdr:colOff>190500</xdr:colOff>
                    <xdr:row>0</xdr:row>
                    <xdr:rowOff>0</xdr:rowOff>
                  </from>
                  <to>
                    <xdr:col>3</xdr:col>
                    <xdr:colOff>393700</xdr:colOff>
                    <xdr:row>1</xdr:row>
                    <xdr:rowOff>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7</xdr:col>
                    <xdr:colOff>260350</xdr:colOff>
                    <xdr:row>0</xdr:row>
                    <xdr:rowOff>6350</xdr:rowOff>
                  </from>
                  <to>
                    <xdr:col>8</xdr:col>
                    <xdr:colOff>114300</xdr:colOff>
                    <xdr:row>1</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pageSetUpPr fitToPage="1"/>
  </sheetPr>
  <dimension ref="A1:R23"/>
  <sheetViews>
    <sheetView zoomScale="54" zoomScaleNormal="54" workbookViewId="0">
      <selection activeCell="L30" sqref="L30"/>
    </sheetView>
  </sheetViews>
  <sheetFormatPr defaultRowHeight="12.5"/>
  <cols>
    <col min="3" max="3" width="69.1796875" customWidth="1"/>
    <col min="4" max="4" width="14.26953125" customWidth="1"/>
    <col min="6" max="6" width="13.453125" customWidth="1"/>
    <col min="7" max="7" width="12.54296875" customWidth="1"/>
    <col min="8" max="8" width="15.453125" customWidth="1"/>
    <col min="9" max="9" width="11.453125" customWidth="1"/>
    <col min="10" max="10" width="17" customWidth="1"/>
    <col min="11" max="11" width="15.26953125" customWidth="1"/>
    <col min="12" max="12" width="12.8164062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3.25"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18" ht="22.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56" t="s">
        <v>388</v>
      </c>
      <c r="I4" s="26"/>
      <c r="J4" s="480" t="s">
        <v>385</v>
      </c>
      <c r="K4" s="481"/>
      <c r="L4" s="482"/>
      <c r="M4" s="480" t="s">
        <v>389</v>
      </c>
      <c r="N4" s="483"/>
      <c r="O4" s="483"/>
      <c r="P4" s="483"/>
      <c r="Q4" s="483"/>
      <c r="R4" s="484"/>
    </row>
    <row r="5" spans="1:18" ht="21.7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6.75" customHeight="1">
      <c r="A7" s="467" t="s">
        <v>466</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ht="12.75" customHeight="1">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75" customHeight="1">
      <c r="A10" s="453"/>
      <c r="B10" s="453"/>
      <c r="C10" s="499"/>
      <c r="D10" s="475"/>
      <c r="E10" s="478"/>
      <c r="F10" s="453"/>
      <c r="G10" s="453"/>
      <c r="H10" s="455" t="s">
        <v>306</v>
      </c>
      <c r="I10" s="408"/>
      <c r="J10" s="408"/>
      <c r="K10" s="408"/>
      <c r="L10" s="408"/>
      <c r="M10" s="408"/>
      <c r="N10" s="408"/>
      <c r="O10" s="408"/>
      <c r="P10" s="408"/>
      <c r="Q10" s="409"/>
      <c r="R10" s="453"/>
    </row>
    <row r="11" spans="1:18" ht="12.75" customHeight="1">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row>
    <row r="13" spans="1:18" ht="15" customHeight="1">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2"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58" t="str">
        <f>IF(AE46,AE48,"")</f>
        <v/>
      </c>
      <c r="B17" s="355"/>
      <c r="C17" s="355"/>
      <c r="D17" s="355"/>
      <c r="E17" s="355"/>
      <c r="F17" s="355"/>
      <c r="G17" s="355"/>
      <c r="H17" s="355"/>
      <c r="I17" s="355"/>
      <c r="J17" s="355"/>
      <c r="K17" s="355"/>
      <c r="L17" s="355"/>
      <c r="M17" s="355"/>
      <c r="N17" s="355"/>
      <c r="O17" s="355"/>
      <c r="P17" s="355"/>
      <c r="Q17" s="355"/>
      <c r="R17" s="355"/>
    </row>
    <row r="18" spans="1:18" ht="15.5">
      <c r="A18" s="401" t="s">
        <v>262</v>
      </c>
      <c r="B18" s="402"/>
      <c r="C18" s="402"/>
      <c r="D18" s="402"/>
      <c r="E18" s="402"/>
      <c r="F18" s="402"/>
      <c r="G18" s="402"/>
      <c r="H18" s="402"/>
      <c r="I18" s="402"/>
      <c r="J18" s="402"/>
      <c r="K18" s="402"/>
      <c r="L18" s="402"/>
      <c r="M18" s="402"/>
      <c r="N18" s="402"/>
      <c r="O18" s="402"/>
      <c r="P18" s="402"/>
      <c r="Q18" s="402"/>
      <c r="R18" s="403"/>
    </row>
    <row r="19" spans="1:18" ht="50.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5.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1.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0:R20"/>
    <mergeCell ref="A21:R21"/>
    <mergeCell ref="A22:R22"/>
    <mergeCell ref="A23:R23"/>
    <mergeCell ref="H9:Q9"/>
    <mergeCell ref="R9:R13"/>
    <mergeCell ref="H10:Q10"/>
    <mergeCell ref="A16:C16"/>
    <mergeCell ref="A18:R18"/>
    <mergeCell ref="A19:R19"/>
  </mergeCells>
  <pageMargins left="0.7" right="0.7" top="0.75" bottom="0.75" header="0.3" footer="0.3"/>
  <pageSetup scale="4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5713" r:id="rId4" name="Check Box 1">
              <controlPr defaultSize="0" autoFill="0" autoLine="0" autoPict="0">
                <anchor moveWithCells="1">
                  <from>
                    <xdr:col>3</xdr:col>
                    <xdr:colOff>209550</xdr:colOff>
                    <xdr:row>0</xdr:row>
                    <xdr:rowOff>25400</xdr:rowOff>
                  </from>
                  <to>
                    <xdr:col>4</xdr:col>
                    <xdr:colOff>107950</xdr:colOff>
                    <xdr:row>0</xdr:row>
                    <xdr:rowOff>152400</xdr:rowOff>
                  </to>
                </anchor>
              </controlPr>
            </control>
          </mc:Choice>
        </mc:AlternateContent>
        <mc:AlternateContent xmlns:mc="http://schemas.openxmlformats.org/markup-compatibility/2006">
          <mc:Choice Requires="x14">
            <control shapeId="115714" r:id="rId5" name="Check Box 2">
              <controlPr defaultSize="0" autoFill="0" autoLine="0" autoPict="0">
                <anchor moveWithCells="1">
                  <from>
                    <xdr:col>7</xdr:col>
                    <xdr:colOff>273050</xdr:colOff>
                    <xdr:row>0</xdr:row>
                    <xdr:rowOff>12700</xdr:rowOff>
                  </from>
                  <to>
                    <xdr:col>8</xdr:col>
                    <xdr:colOff>120650</xdr:colOff>
                    <xdr:row>0</xdr:row>
                    <xdr:rowOff>139700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R41"/>
  <sheetViews>
    <sheetView zoomScale="55" zoomScaleNormal="55" workbookViewId="0">
      <selection activeCell="D16" sqref="D16"/>
    </sheetView>
  </sheetViews>
  <sheetFormatPr defaultRowHeight="12.5"/>
  <cols>
    <col min="3" max="3" width="68.1796875" customWidth="1"/>
    <col min="4" max="4" width="13.1796875" customWidth="1"/>
    <col min="6" max="6" width="11.1796875" customWidth="1"/>
    <col min="7" max="7" width="12" customWidth="1"/>
    <col min="8" max="8" width="13.453125" customWidth="1"/>
    <col min="9" max="9" width="13.81640625" customWidth="1"/>
    <col min="10" max="10" width="17.453125" customWidth="1"/>
    <col min="11" max="11" width="13.26953125" customWidth="1"/>
    <col min="12" max="12" width="12.26953125" customWidth="1"/>
    <col min="14" max="14" width="7.1796875" customWidth="1"/>
    <col min="15" max="15" width="8.54296875" customWidth="1"/>
    <col min="16" max="16" width="6.1796875" customWidth="1"/>
    <col min="17" max="17" width="6.81640625" customWidth="1"/>
    <col min="18" max="18" width="6.7265625" customWidth="1"/>
  </cols>
  <sheetData>
    <row r="1" spans="1:18" ht="18"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6.75" customHeight="1">
      <c r="A7" s="467" t="s">
        <v>467</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7.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c r="A14" s="161">
        <v>8</v>
      </c>
      <c r="B14" s="161">
        <v>9</v>
      </c>
      <c r="C14" s="161">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297</v>
      </c>
      <c r="D15" s="167"/>
      <c r="E15" s="64"/>
      <c r="F15" s="27"/>
      <c r="G15" s="67"/>
      <c r="H15" s="27"/>
      <c r="I15" s="28"/>
      <c r="J15" s="28"/>
      <c r="K15" s="28"/>
      <c r="L15" s="28"/>
      <c r="M15" s="28"/>
      <c r="N15" s="28"/>
      <c r="O15" s="28"/>
      <c r="P15" s="28"/>
      <c r="Q15" s="28"/>
      <c r="R15" s="13"/>
    </row>
    <row r="16" spans="1:18" ht="17.5">
      <c r="A16" s="12"/>
      <c r="B16" s="347"/>
      <c r="C16" s="206" t="s">
        <v>160</v>
      </c>
      <c r="D16" s="308"/>
      <c r="E16" s="272" t="s">
        <v>20</v>
      </c>
      <c r="F16" s="231">
        <f>'Component List'!D2</f>
        <v>1.6399999999999997</v>
      </c>
      <c r="G16" s="287">
        <v>50</v>
      </c>
      <c r="H16" s="231">
        <f>D16*F16*G16/100</f>
        <v>0</v>
      </c>
      <c r="I16" s="264"/>
      <c r="J16" s="264"/>
      <c r="K16" s="264"/>
      <c r="L16" s="264"/>
      <c r="M16" s="264"/>
      <c r="N16" s="28"/>
      <c r="O16" s="28"/>
      <c r="P16" s="28"/>
      <c r="Q16" s="28"/>
      <c r="R16" s="13"/>
    </row>
    <row r="17" spans="1:18" ht="17.5">
      <c r="A17" s="12"/>
      <c r="B17" s="347"/>
      <c r="C17" s="206" t="s">
        <v>159</v>
      </c>
      <c r="D17" s="308"/>
      <c r="E17" s="272" t="s">
        <v>20</v>
      </c>
      <c r="F17" s="231">
        <f>'Component List'!D3</f>
        <v>0</v>
      </c>
      <c r="G17" s="287">
        <v>50</v>
      </c>
      <c r="H17" s="231">
        <f>D17*F17*G17/100</f>
        <v>0</v>
      </c>
      <c r="I17" s="264"/>
      <c r="J17" s="264"/>
      <c r="K17" s="264"/>
      <c r="L17" s="264"/>
      <c r="M17" s="264"/>
      <c r="N17" s="28"/>
      <c r="O17" s="28"/>
      <c r="P17" s="28"/>
      <c r="Q17" s="28"/>
      <c r="R17" s="13"/>
    </row>
    <row r="18" spans="1:18" ht="17.5">
      <c r="A18" s="12"/>
      <c r="B18" s="347"/>
      <c r="C18" s="206" t="s">
        <v>161</v>
      </c>
      <c r="D18" s="308"/>
      <c r="E18" s="272" t="s">
        <v>20</v>
      </c>
      <c r="F18" s="231">
        <f>'Component List'!D4</f>
        <v>80.06</v>
      </c>
      <c r="G18" s="287">
        <v>50</v>
      </c>
      <c r="H18" s="231">
        <f>D18*F18*G18/100</f>
        <v>0</v>
      </c>
      <c r="I18" s="264"/>
      <c r="J18" s="264"/>
      <c r="K18" s="264"/>
      <c r="L18" s="264"/>
      <c r="M18" s="264"/>
      <c r="N18" s="28"/>
      <c r="O18" s="28"/>
      <c r="P18" s="28"/>
      <c r="Q18" s="28"/>
      <c r="R18" s="13"/>
    </row>
    <row r="19" spans="1:18" ht="17.5">
      <c r="A19" s="12"/>
      <c r="B19" s="347"/>
      <c r="C19" s="206" t="s">
        <v>302</v>
      </c>
      <c r="D19" s="308"/>
      <c r="E19" s="272" t="s">
        <v>20</v>
      </c>
      <c r="F19" s="231">
        <f>'Component List'!D5</f>
        <v>62.6</v>
      </c>
      <c r="G19" s="287">
        <v>50</v>
      </c>
      <c r="H19" s="231">
        <f>D19*F19*G19/100</f>
        <v>0</v>
      </c>
      <c r="I19" s="264"/>
      <c r="J19" s="264"/>
      <c r="K19" s="264"/>
      <c r="L19" s="264"/>
      <c r="M19" s="264"/>
      <c r="N19" s="28"/>
      <c r="O19" s="28"/>
      <c r="P19" s="28"/>
      <c r="Q19" s="28"/>
      <c r="R19" s="13"/>
    </row>
    <row r="20" spans="1:18" ht="17.5">
      <c r="A20" s="12"/>
      <c r="B20" s="347"/>
      <c r="C20" s="206" t="s">
        <v>223</v>
      </c>
      <c r="D20" s="308"/>
      <c r="E20" s="272" t="s">
        <v>20</v>
      </c>
      <c r="F20" s="231">
        <f>'Component List'!D8</f>
        <v>214.1</v>
      </c>
      <c r="G20" s="287">
        <v>50</v>
      </c>
      <c r="H20" s="231">
        <f t="shared" ref="H20:H33" si="0">D20*F20*G20/100</f>
        <v>0</v>
      </c>
      <c r="I20" s="264"/>
      <c r="J20" s="264"/>
      <c r="K20" s="264"/>
      <c r="L20" s="264"/>
      <c r="M20" s="264"/>
      <c r="N20" s="28"/>
      <c r="O20" s="28"/>
      <c r="P20" s="28"/>
      <c r="Q20" s="28"/>
      <c r="R20" s="13"/>
    </row>
    <row r="21" spans="1:18" ht="17.5">
      <c r="A21" s="35"/>
      <c r="B21" s="349"/>
      <c r="C21" s="206" t="s">
        <v>417</v>
      </c>
      <c r="D21" s="308"/>
      <c r="E21" s="272" t="s">
        <v>20</v>
      </c>
      <c r="F21" s="231">
        <f>'Component List'!D16</f>
        <v>84.42</v>
      </c>
      <c r="G21" s="287">
        <v>50</v>
      </c>
      <c r="H21" s="292">
        <f t="shared" si="0"/>
        <v>0</v>
      </c>
      <c r="I21" s="264"/>
      <c r="J21" s="269"/>
      <c r="K21" s="269"/>
      <c r="L21" s="269"/>
      <c r="M21" s="269"/>
      <c r="N21" s="68"/>
      <c r="O21" s="68"/>
      <c r="P21" s="68"/>
      <c r="Q21" s="68"/>
      <c r="R21" s="43"/>
    </row>
    <row r="22" spans="1:18" ht="17.5">
      <c r="A22" s="12"/>
      <c r="B22" s="347"/>
      <c r="C22" s="206" t="s">
        <v>165</v>
      </c>
      <c r="D22" s="308"/>
      <c r="E22" s="272" t="s">
        <v>20</v>
      </c>
      <c r="F22" s="231">
        <f>'Component List'!D28</f>
        <v>94.14</v>
      </c>
      <c r="G22" s="287">
        <v>50</v>
      </c>
      <c r="H22" s="231">
        <f t="shared" si="0"/>
        <v>0</v>
      </c>
      <c r="I22" s="270"/>
      <c r="J22" s="264"/>
      <c r="K22" s="264"/>
      <c r="L22" s="264"/>
      <c r="M22" s="264"/>
      <c r="N22" s="28"/>
      <c r="O22" s="28"/>
      <c r="P22" s="28"/>
      <c r="Q22" s="28"/>
      <c r="R22" s="13"/>
    </row>
    <row r="23" spans="1:18" ht="17.5">
      <c r="A23" s="12"/>
      <c r="B23" s="347"/>
      <c r="C23" s="206" t="s">
        <v>286</v>
      </c>
      <c r="D23" s="308"/>
      <c r="E23" s="272" t="s">
        <v>20</v>
      </c>
      <c r="F23" s="231">
        <f>'Component List'!D36</f>
        <v>75.36</v>
      </c>
      <c r="G23" s="287">
        <v>50</v>
      </c>
      <c r="H23" s="231">
        <f t="shared" si="0"/>
        <v>0</v>
      </c>
      <c r="I23" s="264"/>
      <c r="J23" s="264"/>
      <c r="K23" s="264"/>
      <c r="L23" s="264"/>
      <c r="M23" s="264"/>
      <c r="N23" s="28"/>
      <c r="O23" s="28"/>
      <c r="P23" s="28"/>
      <c r="Q23" s="28"/>
      <c r="R23" s="13"/>
    </row>
    <row r="24" spans="1:18" ht="19.5" customHeight="1">
      <c r="A24" s="12"/>
      <c r="B24" s="347"/>
      <c r="C24" s="206" t="s">
        <v>163</v>
      </c>
      <c r="D24" s="308"/>
      <c r="E24" s="272" t="s">
        <v>20</v>
      </c>
      <c r="F24" s="231">
        <f>'Component List'!D15</f>
        <v>21.78</v>
      </c>
      <c r="G24" s="287">
        <v>50</v>
      </c>
      <c r="H24" s="231">
        <f t="shared" si="0"/>
        <v>0</v>
      </c>
      <c r="I24" s="264"/>
      <c r="J24" s="264"/>
      <c r="K24" s="264"/>
      <c r="L24" s="264"/>
      <c r="M24" s="264"/>
      <c r="N24" s="28"/>
      <c r="O24" s="28"/>
      <c r="P24" s="28"/>
      <c r="Q24" s="28"/>
      <c r="R24" s="13"/>
    </row>
    <row r="25" spans="1:18" ht="18">
      <c r="A25" s="64"/>
      <c r="B25" s="64"/>
      <c r="C25" s="242" t="s">
        <v>298</v>
      </c>
      <c r="D25" s="267"/>
      <c r="E25" s="284"/>
      <c r="F25" s="231"/>
      <c r="G25" s="287"/>
      <c r="H25" s="231"/>
      <c r="I25" s="264"/>
      <c r="J25" s="264"/>
      <c r="K25" s="264"/>
      <c r="L25" s="264"/>
      <c r="M25" s="264"/>
      <c r="N25" s="28"/>
      <c r="O25" s="28"/>
      <c r="P25" s="28"/>
      <c r="Q25" s="28"/>
      <c r="R25" s="13"/>
    </row>
    <row r="26" spans="1:18" ht="17.5">
      <c r="A26" s="12"/>
      <c r="B26" s="347"/>
      <c r="C26" s="206" t="s">
        <v>166</v>
      </c>
      <c r="D26" s="308"/>
      <c r="E26" s="272" t="s">
        <v>20</v>
      </c>
      <c r="F26" s="231">
        <f>'Component List'!D29</f>
        <v>74.12</v>
      </c>
      <c r="G26" s="287">
        <v>50</v>
      </c>
      <c r="H26" s="231">
        <f t="shared" si="0"/>
        <v>0</v>
      </c>
      <c r="I26" s="264"/>
      <c r="J26" s="264"/>
      <c r="K26" s="264"/>
      <c r="L26" s="264"/>
      <c r="M26" s="264"/>
      <c r="N26" s="28"/>
      <c r="O26" s="28"/>
      <c r="P26" s="28"/>
      <c r="Q26" s="28"/>
      <c r="R26" s="13"/>
    </row>
    <row r="27" spans="1:18" ht="17.5">
      <c r="A27" s="12"/>
      <c r="B27" s="347"/>
      <c r="C27" s="206" t="s">
        <v>167</v>
      </c>
      <c r="D27" s="308"/>
      <c r="E27" s="272" t="s">
        <v>20</v>
      </c>
      <c r="F27" s="231">
        <f>'Component List'!D30</f>
        <v>149.58000000000001</v>
      </c>
      <c r="G27" s="287">
        <v>50</v>
      </c>
      <c r="H27" s="231">
        <f t="shared" si="0"/>
        <v>0</v>
      </c>
      <c r="I27" s="264"/>
      <c r="J27" s="264"/>
      <c r="K27" s="264"/>
      <c r="L27" s="264"/>
      <c r="M27" s="264"/>
      <c r="N27" s="28"/>
      <c r="O27" s="28"/>
      <c r="P27" s="28"/>
      <c r="Q27" s="28"/>
      <c r="R27" s="13"/>
    </row>
    <row r="28" spans="1:18" ht="17.5">
      <c r="A28" s="12"/>
      <c r="B28" s="347"/>
      <c r="C28" s="206" t="s">
        <v>168</v>
      </c>
      <c r="D28" s="308"/>
      <c r="E28" s="272">
        <v>100</v>
      </c>
      <c r="F28" s="293">
        <f>'Component List'!D31</f>
        <v>56.58</v>
      </c>
      <c r="G28" s="287">
        <v>50</v>
      </c>
      <c r="H28" s="231">
        <f t="shared" si="0"/>
        <v>0</v>
      </c>
      <c r="I28" s="264"/>
      <c r="J28" s="264"/>
      <c r="K28" s="264"/>
      <c r="L28" s="264"/>
      <c r="M28" s="264"/>
      <c r="N28" s="28"/>
      <c r="O28" s="28"/>
      <c r="P28" s="28"/>
      <c r="Q28" s="28"/>
      <c r="R28" s="13"/>
    </row>
    <row r="29" spans="1:18" ht="17.5">
      <c r="A29" s="12"/>
      <c r="B29" s="347"/>
      <c r="C29" s="206" t="s">
        <v>272</v>
      </c>
      <c r="D29" s="308"/>
      <c r="E29" s="272" t="s">
        <v>20</v>
      </c>
      <c r="F29" s="293">
        <f>'Component List'!D37</f>
        <v>59.48</v>
      </c>
      <c r="G29" s="287">
        <v>50</v>
      </c>
      <c r="H29" s="231">
        <f t="shared" si="0"/>
        <v>0</v>
      </c>
      <c r="I29" s="264"/>
      <c r="J29" s="264"/>
      <c r="K29" s="264"/>
      <c r="L29" s="264"/>
      <c r="M29" s="264"/>
      <c r="N29" s="28"/>
      <c r="O29" s="28"/>
      <c r="P29" s="28"/>
      <c r="Q29" s="28"/>
      <c r="R29" s="13"/>
    </row>
    <row r="30" spans="1:18" s="93" customFormat="1" ht="17.5">
      <c r="A30" s="12"/>
      <c r="B30" s="347"/>
      <c r="C30" s="206" t="s">
        <v>169</v>
      </c>
      <c r="D30" s="308"/>
      <c r="E30" s="272">
        <v>100</v>
      </c>
      <c r="F30" s="293">
        <f>'Component List'!D32</f>
        <v>70.2</v>
      </c>
      <c r="G30" s="287">
        <v>50</v>
      </c>
      <c r="H30" s="231">
        <f t="shared" si="0"/>
        <v>0</v>
      </c>
      <c r="I30" s="264"/>
      <c r="J30" s="264"/>
      <c r="K30" s="264"/>
      <c r="L30" s="264"/>
      <c r="M30" s="264"/>
      <c r="N30" s="28"/>
      <c r="O30" s="28"/>
      <c r="P30" s="28"/>
      <c r="Q30" s="28"/>
      <c r="R30" s="13"/>
    </row>
    <row r="31" spans="1:18" s="93" customFormat="1" ht="17.5">
      <c r="A31" s="12"/>
      <c r="B31" s="347"/>
      <c r="C31" s="206" t="s">
        <v>269</v>
      </c>
      <c r="D31" s="308"/>
      <c r="E31" s="272">
        <v>100</v>
      </c>
      <c r="F31" s="293">
        <f>'Component List'!D33</f>
        <v>117.6</v>
      </c>
      <c r="G31" s="287">
        <v>50</v>
      </c>
      <c r="H31" s="231">
        <f t="shared" si="0"/>
        <v>0</v>
      </c>
      <c r="I31" s="264"/>
      <c r="J31" s="264"/>
      <c r="K31" s="264"/>
      <c r="L31" s="264"/>
      <c r="M31" s="264"/>
      <c r="N31" s="28"/>
      <c r="O31" s="28"/>
      <c r="P31" s="28"/>
      <c r="Q31" s="28"/>
      <c r="R31" s="13"/>
    </row>
    <row r="32" spans="1:18" ht="17.5">
      <c r="A32" s="12"/>
      <c r="B32" s="347"/>
      <c r="C32" s="206" t="s">
        <v>270</v>
      </c>
      <c r="D32" s="308"/>
      <c r="E32" s="272">
        <v>100</v>
      </c>
      <c r="F32" s="293">
        <f>'Component List'!D34</f>
        <v>200</v>
      </c>
      <c r="G32" s="287">
        <v>50</v>
      </c>
      <c r="H32" s="231">
        <f t="shared" si="0"/>
        <v>0</v>
      </c>
      <c r="I32" s="264"/>
      <c r="J32" s="264"/>
      <c r="K32" s="264"/>
      <c r="L32" s="264"/>
      <c r="M32" s="264"/>
      <c r="N32" s="28"/>
      <c r="O32" s="28"/>
      <c r="P32" s="28"/>
      <c r="Q32" s="28"/>
      <c r="R32" s="13"/>
    </row>
    <row r="33" spans="1:18" ht="17.5">
      <c r="A33" s="12"/>
      <c r="B33" s="347"/>
      <c r="C33" s="206" t="s">
        <v>271</v>
      </c>
      <c r="D33" s="308"/>
      <c r="E33" s="272">
        <v>100</v>
      </c>
      <c r="F33" s="293">
        <f>'Component List'!D35</f>
        <v>214.5</v>
      </c>
      <c r="G33" s="287">
        <v>50</v>
      </c>
      <c r="H33" s="231">
        <f t="shared" si="0"/>
        <v>0</v>
      </c>
      <c r="I33" s="264"/>
      <c r="J33" s="264"/>
      <c r="K33" s="264"/>
      <c r="L33" s="264"/>
      <c r="M33" s="264"/>
      <c r="N33" s="28"/>
      <c r="O33" s="28"/>
      <c r="P33" s="28"/>
      <c r="Q33" s="28"/>
      <c r="R33" s="13"/>
    </row>
    <row r="34" spans="1:18" ht="15.5">
      <c r="A34" s="456" t="s">
        <v>89</v>
      </c>
      <c r="B34" s="457"/>
      <c r="C34" s="458"/>
      <c r="D34" s="286"/>
      <c r="E34" s="280"/>
      <c r="F34" s="265"/>
      <c r="G34" s="281"/>
      <c r="H34" s="271">
        <f t="shared" ref="H34:M34" si="1">SUM(H15:H33)</f>
        <v>0</v>
      </c>
      <c r="I34" s="271">
        <f t="shared" si="1"/>
        <v>0</v>
      </c>
      <c r="J34" s="271">
        <f>SUM(J15:J33)</f>
        <v>0</v>
      </c>
      <c r="K34" s="271">
        <f>SUM(K15:K33)</f>
        <v>0</v>
      </c>
      <c r="L34" s="271">
        <f t="shared" si="1"/>
        <v>0</v>
      </c>
      <c r="M34" s="271">
        <f t="shared" si="1"/>
        <v>0</v>
      </c>
      <c r="N34" s="23"/>
      <c r="O34" s="23"/>
      <c r="P34" s="23"/>
      <c r="Q34" s="23"/>
      <c r="R34" s="25"/>
    </row>
    <row r="35" spans="1:18" ht="15.5">
      <c r="A35" s="92" t="str">
        <f>IF(AE64,AE66,"")</f>
        <v/>
      </c>
      <c r="B35" s="162"/>
      <c r="C35" s="162"/>
      <c r="D35" s="162"/>
      <c r="E35" s="162"/>
      <c r="F35" s="162"/>
      <c r="G35" s="162"/>
      <c r="H35" s="162"/>
      <c r="I35" s="162"/>
      <c r="J35" s="162"/>
      <c r="K35" s="162"/>
      <c r="L35" s="162"/>
      <c r="M35" s="162"/>
      <c r="N35" s="162"/>
      <c r="O35" s="162"/>
      <c r="P35" s="162"/>
      <c r="Q35" s="162"/>
      <c r="R35" s="162"/>
    </row>
    <row r="36" spans="1:18" ht="15.5">
      <c r="A36" s="401" t="s">
        <v>262</v>
      </c>
      <c r="B36" s="402"/>
      <c r="C36" s="402"/>
      <c r="D36" s="402"/>
      <c r="E36" s="402"/>
      <c r="F36" s="402"/>
      <c r="G36" s="402"/>
      <c r="H36" s="402"/>
      <c r="I36" s="402"/>
      <c r="J36" s="402"/>
      <c r="K36" s="402"/>
      <c r="L36" s="402"/>
      <c r="M36" s="402"/>
      <c r="N36" s="402"/>
      <c r="O36" s="402"/>
      <c r="P36" s="402"/>
      <c r="Q36" s="402"/>
      <c r="R36" s="403"/>
    </row>
    <row r="37" spans="1:18" ht="49.5" customHeight="1">
      <c r="A37" s="393" t="s">
        <v>434</v>
      </c>
      <c r="B37" s="394"/>
      <c r="C37" s="394"/>
      <c r="D37" s="394"/>
      <c r="E37" s="394"/>
      <c r="F37" s="394"/>
      <c r="G37" s="394"/>
      <c r="H37" s="394"/>
      <c r="I37" s="394"/>
      <c r="J37" s="394"/>
      <c r="K37" s="394"/>
      <c r="L37" s="394"/>
      <c r="M37" s="394"/>
      <c r="N37" s="394"/>
      <c r="O37" s="394"/>
      <c r="P37" s="394"/>
      <c r="Q37" s="394"/>
      <c r="R37" s="395"/>
    </row>
    <row r="38" spans="1:18" ht="15.5">
      <c r="A38" s="460" t="s">
        <v>390</v>
      </c>
      <c r="B38" s="461"/>
      <c r="C38" s="461"/>
      <c r="D38" s="461"/>
      <c r="E38" s="461"/>
      <c r="F38" s="461"/>
      <c r="G38" s="461"/>
      <c r="H38" s="461"/>
      <c r="I38" s="461"/>
      <c r="J38" s="461"/>
      <c r="K38" s="461"/>
      <c r="L38" s="461"/>
      <c r="M38" s="461"/>
      <c r="N38" s="461"/>
      <c r="O38" s="461"/>
      <c r="P38" s="461"/>
      <c r="Q38" s="461"/>
      <c r="R38" s="462"/>
    </row>
    <row r="39" spans="1:18" ht="51.75" customHeight="1">
      <c r="A39" s="463" t="s">
        <v>392</v>
      </c>
      <c r="B39" s="464"/>
      <c r="C39" s="464"/>
      <c r="D39" s="464"/>
      <c r="E39" s="464"/>
      <c r="F39" s="464"/>
      <c r="G39" s="464"/>
      <c r="H39" s="464"/>
      <c r="I39" s="464"/>
      <c r="J39" s="464"/>
      <c r="K39" s="464"/>
      <c r="L39" s="464"/>
      <c r="M39" s="464"/>
      <c r="N39" s="464"/>
      <c r="O39" s="464"/>
      <c r="P39" s="464"/>
      <c r="Q39" s="464"/>
      <c r="R39" s="465"/>
    </row>
    <row r="40" spans="1:18" ht="15.5">
      <c r="A40" s="413" t="s">
        <v>221</v>
      </c>
      <c r="B40" s="414"/>
      <c r="C40" s="414"/>
      <c r="D40" s="414"/>
      <c r="E40" s="414"/>
      <c r="F40" s="414"/>
      <c r="G40" s="414"/>
      <c r="H40" s="414"/>
      <c r="I40" s="414"/>
      <c r="J40" s="414"/>
      <c r="K40" s="414"/>
      <c r="L40" s="414"/>
      <c r="M40" s="414"/>
      <c r="N40" s="414"/>
      <c r="O40" s="414"/>
      <c r="P40" s="414"/>
      <c r="Q40" s="414"/>
      <c r="R40" s="415"/>
    </row>
    <row r="41" spans="1:18" ht="65.25" customHeight="1">
      <c r="A41" s="396" t="s">
        <v>370</v>
      </c>
      <c r="B41" s="397"/>
      <c r="C41" s="397"/>
      <c r="D41" s="397"/>
      <c r="E41" s="397"/>
      <c r="F41" s="397"/>
      <c r="G41" s="397"/>
      <c r="H41" s="397"/>
      <c r="I41" s="397"/>
      <c r="J41" s="397"/>
      <c r="K41" s="397"/>
      <c r="L41" s="397"/>
      <c r="M41" s="397"/>
      <c r="N41" s="397"/>
      <c r="O41" s="397"/>
      <c r="P41" s="397"/>
      <c r="Q41" s="397"/>
      <c r="R41" s="398"/>
    </row>
  </sheetData>
  <mergeCells count="33">
    <mergeCell ref="A38:R38"/>
    <mergeCell ref="A39:R39"/>
    <mergeCell ref="A40:R40"/>
    <mergeCell ref="A41:R41"/>
    <mergeCell ref="H9:Q9"/>
    <mergeCell ref="R9:R13"/>
    <mergeCell ref="H10:Q10"/>
    <mergeCell ref="A34:C34"/>
    <mergeCell ref="A36:R36"/>
    <mergeCell ref="A37:R37"/>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26:C27">
      <formula1>$AE$28:$AE$39</formula1>
    </dataValidation>
    <dataValidation type="list" allowBlank="1" showInputMessage="1" showErrorMessage="1" promptTitle="Choose Management" sqref="C28:C31">
      <formula1>$AE$40:$AE$49</formula1>
    </dataValidation>
    <dataValidation type="list" allowBlank="1" showInputMessage="1" showErrorMessage="1" promptTitle="Choose Management" sqref="C32:C33">
      <formula1>$AE$52:$AE$61</formula1>
    </dataValidation>
  </dataValidations>
  <pageMargins left="0.7" right="0.7" top="0.75" bottom="0.75" header="0.3" footer="0.3"/>
  <pageSetup scale="55"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3</xdr:col>
                    <xdr:colOff>190500</xdr:colOff>
                    <xdr:row>0</xdr:row>
                    <xdr:rowOff>0</xdr:rowOff>
                  </from>
                  <to>
                    <xdr:col>3</xdr:col>
                    <xdr:colOff>393700</xdr:colOff>
                    <xdr:row>0</xdr:row>
                    <xdr:rowOff>146050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7</xdr:col>
                    <xdr:colOff>234950</xdr:colOff>
                    <xdr:row>0</xdr:row>
                    <xdr:rowOff>0</xdr:rowOff>
                  </from>
                  <to>
                    <xdr:col>8</xdr:col>
                    <xdr:colOff>196850</xdr:colOff>
                    <xdr:row>0</xdr:row>
                    <xdr:rowOff>139700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R23"/>
  <sheetViews>
    <sheetView zoomScale="61" zoomScaleNormal="61" workbookViewId="0">
      <selection activeCell="D15" sqref="D15"/>
    </sheetView>
  </sheetViews>
  <sheetFormatPr defaultRowHeight="12.5"/>
  <cols>
    <col min="3" max="3" width="64.1796875" customWidth="1"/>
    <col min="4" max="4" width="16" customWidth="1"/>
    <col min="6" max="6" width="13.7265625" customWidth="1"/>
    <col min="7" max="8" width="12" customWidth="1"/>
    <col min="9" max="9" width="10.7265625" customWidth="1"/>
    <col min="10" max="10" width="12" customWidth="1"/>
    <col min="11" max="11" width="13.453125" customWidth="1"/>
    <col min="12" max="12" width="13.81640625" customWidth="1"/>
  </cols>
  <sheetData>
    <row r="1" spans="1:18" ht="2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2.5"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86.25" customHeight="1">
      <c r="A7" s="467" t="s">
        <v>469</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2" t="s">
        <v>20</v>
      </c>
      <c r="F15" s="231"/>
      <c r="G15" s="268"/>
      <c r="H15" s="231"/>
      <c r="I15" s="264"/>
      <c r="J15" s="264"/>
      <c r="K15" s="264"/>
      <c r="L15" s="264"/>
      <c r="M15" s="264"/>
      <c r="N15" s="28"/>
      <c r="O15" s="28"/>
      <c r="P15" s="28"/>
      <c r="Q15" s="28"/>
      <c r="R15" s="13"/>
    </row>
    <row r="16" spans="1:18" ht="15.5">
      <c r="A16" s="501" t="s">
        <v>89</v>
      </c>
      <c r="B16" s="502"/>
      <c r="C16" s="503"/>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51.7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2.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49.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6129" r:id="rId3" name="Check Box 1">
              <controlPr defaultSize="0" autoFill="0" autoLine="0" autoPict="0">
                <anchor moveWithCells="1">
                  <from>
                    <xdr:col>3</xdr:col>
                    <xdr:colOff>165100</xdr:colOff>
                    <xdr:row>0</xdr:row>
                    <xdr:rowOff>19050</xdr:rowOff>
                  </from>
                  <to>
                    <xdr:col>4</xdr:col>
                    <xdr:colOff>19050</xdr:colOff>
                    <xdr:row>0</xdr:row>
                    <xdr:rowOff>158750</xdr:rowOff>
                  </to>
                </anchor>
              </controlPr>
            </control>
          </mc:Choice>
        </mc:AlternateContent>
        <mc:AlternateContent xmlns:mc="http://schemas.openxmlformats.org/markup-compatibility/2006">
          <mc:Choice Requires="x14">
            <control shapeId="176130" r:id="rId4" name="Check Box 2">
              <controlPr defaultSize="0" autoFill="0" autoLine="0" autoPict="0">
                <anchor moveWithCells="1">
                  <from>
                    <xdr:col>7</xdr:col>
                    <xdr:colOff>196850</xdr:colOff>
                    <xdr:row>0</xdr:row>
                    <xdr:rowOff>19050</xdr:rowOff>
                  </from>
                  <to>
                    <xdr:col>8</xdr:col>
                    <xdr:colOff>241300</xdr:colOff>
                    <xdr:row>0</xdr:row>
                    <xdr:rowOff>158750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1">
    <pageSetUpPr fitToPage="1"/>
  </sheetPr>
  <dimension ref="A1:R32"/>
  <sheetViews>
    <sheetView zoomScale="56" zoomScaleNormal="56" workbookViewId="0">
      <selection activeCell="D15" sqref="D15"/>
    </sheetView>
  </sheetViews>
  <sheetFormatPr defaultRowHeight="12.5"/>
  <cols>
    <col min="3" max="3" width="66.81640625" customWidth="1"/>
    <col min="4" max="4" width="13.1796875" customWidth="1"/>
    <col min="7" max="7" width="12.1796875" customWidth="1"/>
    <col min="8" max="8" width="14.1796875" customWidth="1"/>
    <col min="9" max="9" width="10.54296875" customWidth="1"/>
    <col min="10" max="10" width="15.26953125" customWidth="1"/>
    <col min="11" max="11" width="12.7265625" customWidth="1"/>
    <col min="12" max="12" width="14.7265625" customWidth="1"/>
    <col min="14" max="14" width="6.1796875" customWidth="1"/>
    <col min="15" max="15" width="7.54296875" customWidth="1"/>
    <col min="16" max="16" width="6" customWidth="1"/>
    <col min="17" max="17" width="6.81640625" customWidth="1"/>
    <col min="18" max="18" width="8"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3.75" customHeight="1">
      <c r="A7" s="467" t="s">
        <v>470</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166</v>
      </c>
      <c r="D15" s="308"/>
      <c r="E15" s="272" t="s">
        <v>20</v>
      </c>
      <c r="F15" s="231">
        <f>'Component List'!D29</f>
        <v>74.12</v>
      </c>
      <c r="G15" s="287">
        <v>50</v>
      </c>
      <c r="H15" s="231">
        <f t="shared" ref="H15:H23" si="0">D15*F15*G15/100</f>
        <v>0</v>
      </c>
      <c r="I15" s="264"/>
      <c r="J15" s="264"/>
      <c r="K15" s="264"/>
      <c r="L15" s="264"/>
      <c r="M15" s="264"/>
      <c r="N15" s="28"/>
      <c r="O15" s="28"/>
      <c r="P15" s="28"/>
      <c r="Q15" s="28"/>
      <c r="R15" s="13"/>
    </row>
    <row r="16" spans="1:18" ht="17.5">
      <c r="A16" s="12"/>
      <c r="B16" s="347"/>
      <c r="C16" s="206" t="s">
        <v>167</v>
      </c>
      <c r="D16" s="308"/>
      <c r="E16" s="272" t="s">
        <v>20</v>
      </c>
      <c r="F16" s="231">
        <f>'Component List'!D30</f>
        <v>149.58000000000001</v>
      </c>
      <c r="G16" s="287">
        <v>50</v>
      </c>
      <c r="H16" s="231">
        <f t="shared" si="0"/>
        <v>0</v>
      </c>
      <c r="I16" s="264"/>
      <c r="J16" s="264"/>
      <c r="K16" s="264"/>
      <c r="L16" s="264"/>
      <c r="M16" s="264"/>
      <c r="N16" s="28"/>
      <c r="O16" s="28"/>
      <c r="P16" s="28"/>
      <c r="Q16" s="28"/>
      <c r="R16" s="13"/>
    </row>
    <row r="17" spans="1:18" ht="17.5">
      <c r="A17" s="12"/>
      <c r="B17" s="347"/>
      <c r="C17" s="206" t="s">
        <v>168</v>
      </c>
      <c r="D17" s="308"/>
      <c r="E17" s="272">
        <v>100</v>
      </c>
      <c r="F17" s="231">
        <f>'Component List'!D31</f>
        <v>56.58</v>
      </c>
      <c r="G17" s="287">
        <v>50</v>
      </c>
      <c r="H17" s="231">
        <f t="shared" si="0"/>
        <v>0</v>
      </c>
      <c r="I17" s="264"/>
      <c r="J17" s="264"/>
      <c r="K17" s="264"/>
      <c r="L17" s="264"/>
      <c r="M17" s="264"/>
      <c r="N17" s="28"/>
      <c r="O17" s="28"/>
      <c r="P17" s="28"/>
      <c r="Q17" s="28"/>
      <c r="R17" s="13"/>
    </row>
    <row r="18" spans="1:18" ht="17.5">
      <c r="A18" s="12"/>
      <c r="B18" s="347"/>
      <c r="C18" s="206" t="s">
        <v>272</v>
      </c>
      <c r="D18" s="308"/>
      <c r="E18" s="272" t="s">
        <v>20</v>
      </c>
      <c r="F18" s="231">
        <f>'Component List'!D37</f>
        <v>59.48</v>
      </c>
      <c r="G18" s="287">
        <v>50</v>
      </c>
      <c r="H18" s="231">
        <f t="shared" si="0"/>
        <v>0</v>
      </c>
      <c r="I18" s="264"/>
      <c r="J18" s="264"/>
      <c r="K18" s="264"/>
      <c r="L18" s="264"/>
      <c r="M18" s="264"/>
      <c r="N18" s="28"/>
      <c r="O18" s="28"/>
      <c r="P18" s="28"/>
      <c r="Q18" s="28"/>
      <c r="R18" s="13"/>
    </row>
    <row r="19" spans="1:18" ht="17.5">
      <c r="A19" s="12"/>
      <c r="B19" s="347"/>
      <c r="C19" s="206" t="s">
        <v>169</v>
      </c>
      <c r="D19" s="308"/>
      <c r="E19" s="272">
        <v>100</v>
      </c>
      <c r="F19" s="231">
        <f>'Component List'!D32</f>
        <v>70.2</v>
      </c>
      <c r="G19" s="287">
        <v>50</v>
      </c>
      <c r="H19" s="231">
        <f t="shared" si="0"/>
        <v>0</v>
      </c>
      <c r="I19" s="264"/>
      <c r="J19" s="264"/>
      <c r="K19" s="264"/>
      <c r="L19" s="264"/>
      <c r="M19" s="264"/>
      <c r="N19" s="28"/>
      <c r="O19" s="28"/>
      <c r="P19" s="28"/>
      <c r="Q19" s="28"/>
      <c r="R19" s="13"/>
    </row>
    <row r="20" spans="1:18" ht="17.5">
      <c r="A20" s="12"/>
      <c r="B20" s="347"/>
      <c r="C20" s="206" t="s">
        <v>269</v>
      </c>
      <c r="D20" s="308"/>
      <c r="E20" s="272">
        <v>100</v>
      </c>
      <c r="F20" s="231">
        <f>'Component List'!D33</f>
        <v>117.6</v>
      </c>
      <c r="G20" s="287">
        <v>50</v>
      </c>
      <c r="H20" s="231">
        <f t="shared" si="0"/>
        <v>0</v>
      </c>
      <c r="I20" s="264"/>
      <c r="J20" s="264"/>
      <c r="K20" s="264"/>
      <c r="L20" s="264"/>
      <c r="M20" s="264"/>
      <c r="N20" s="28"/>
      <c r="O20" s="28"/>
      <c r="P20" s="28"/>
      <c r="Q20" s="28"/>
      <c r="R20" s="13"/>
    </row>
    <row r="21" spans="1:18" ht="17.5">
      <c r="A21" s="35"/>
      <c r="B21" s="349"/>
      <c r="C21" s="206" t="s">
        <v>270</v>
      </c>
      <c r="D21" s="308"/>
      <c r="E21" s="272">
        <v>100</v>
      </c>
      <c r="F21" s="231">
        <f>'Component List'!D34</f>
        <v>200</v>
      </c>
      <c r="G21" s="287">
        <v>50</v>
      </c>
      <c r="H21" s="292">
        <f t="shared" si="0"/>
        <v>0</v>
      </c>
      <c r="I21" s="264"/>
      <c r="J21" s="269"/>
      <c r="K21" s="269"/>
      <c r="L21" s="269"/>
      <c r="M21" s="269"/>
      <c r="N21" s="68"/>
      <c r="O21" s="68"/>
      <c r="P21" s="68"/>
      <c r="Q21" s="68"/>
      <c r="R21" s="43"/>
    </row>
    <row r="22" spans="1:18" ht="17.5">
      <c r="A22" s="12"/>
      <c r="B22" s="347"/>
      <c r="C22" s="206" t="s">
        <v>271</v>
      </c>
      <c r="D22" s="308"/>
      <c r="E22" s="272">
        <v>100</v>
      </c>
      <c r="F22" s="231">
        <f>'Component List'!D35</f>
        <v>214.5</v>
      </c>
      <c r="G22" s="287">
        <v>50</v>
      </c>
      <c r="H22" s="231">
        <f t="shared" si="0"/>
        <v>0</v>
      </c>
      <c r="I22" s="270"/>
      <c r="J22" s="264"/>
      <c r="K22" s="264"/>
      <c r="L22" s="264"/>
      <c r="M22" s="264"/>
      <c r="N22" s="28"/>
      <c r="O22" s="28"/>
      <c r="P22" s="28"/>
      <c r="Q22" s="28"/>
      <c r="R22" s="13"/>
    </row>
    <row r="23" spans="1:18" ht="17.5">
      <c r="A23" s="12"/>
      <c r="B23" s="347"/>
      <c r="C23" s="206" t="s">
        <v>399</v>
      </c>
      <c r="D23" s="308"/>
      <c r="E23" s="272" t="s">
        <v>77</v>
      </c>
      <c r="F23" s="231">
        <f>'Component List'!D39</f>
        <v>6.38</v>
      </c>
      <c r="G23" s="287">
        <v>50</v>
      </c>
      <c r="H23" s="231">
        <f t="shared" si="0"/>
        <v>0</v>
      </c>
      <c r="I23" s="264"/>
      <c r="J23" s="264"/>
      <c r="K23" s="264"/>
      <c r="L23" s="264"/>
      <c r="M23" s="264"/>
      <c r="N23" s="28"/>
      <c r="O23" s="28"/>
      <c r="P23" s="28"/>
      <c r="Q23" s="28"/>
      <c r="R23" s="13"/>
    </row>
    <row r="24" spans="1:18" ht="17.5">
      <c r="A24" s="12"/>
      <c r="B24" s="347"/>
      <c r="C24" s="206" t="s">
        <v>165</v>
      </c>
      <c r="D24" s="308"/>
      <c r="E24" s="272" t="s">
        <v>20</v>
      </c>
      <c r="F24" s="231">
        <f>'Component List'!D28</f>
        <v>94.14</v>
      </c>
      <c r="G24" s="287">
        <v>50</v>
      </c>
      <c r="H24" s="231">
        <f>D24*F24*G24/100</f>
        <v>0</v>
      </c>
      <c r="I24" s="264"/>
      <c r="J24" s="264"/>
      <c r="K24" s="264"/>
      <c r="L24" s="264"/>
      <c r="M24" s="264"/>
      <c r="N24" s="28"/>
      <c r="O24" s="28"/>
      <c r="P24" s="28"/>
      <c r="Q24" s="28"/>
      <c r="R24" s="13"/>
    </row>
    <row r="25" spans="1:18" ht="15.5">
      <c r="A25" s="501" t="s">
        <v>89</v>
      </c>
      <c r="B25" s="502"/>
      <c r="C25" s="503"/>
      <c r="D25" s="286"/>
      <c r="E25" s="280"/>
      <c r="F25" s="265"/>
      <c r="G25" s="281"/>
      <c r="H25" s="271">
        <f t="shared" ref="H25:M25" si="1">SUM(H15:H24)</f>
        <v>0</v>
      </c>
      <c r="I25" s="271">
        <f t="shared" si="1"/>
        <v>0</v>
      </c>
      <c r="J25" s="271">
        <f t="shared" si="1"/>
        <v>0</v>
      </c>
      <c r="K25" s="271">
        <f t="shared" si="1"/>
        <v>0</v>
      </c>
      <c r="L25" s="271">
        <f t="shared" si="1"/>
        <v>0</v>
      </c>
      <c r="M25" s="271">
        <f t="shared" si="1"/>
        <v>0</v>
      </c>
      <c r="N25" s="23"/>
      <c r="O25" s="23"/>
      <c r="P25" s="23"/>
      <c r="Q25" s="23"/>
      <c r="R25" s="25"/>
    </row>
    <row r="26" spans="1:18" ht="15.5">
      <c r="A26" s="92" t="str">
        <f>IF(AE55,AE57,"")</f>
        <v/>
      </c>
      <c r="B26" s="162"/>
      <c r="C26" s="162"/>
      <c r="D26" s="162"/>
      <c r="E26" s="162"/>
      <c r="F26" s="162"/>
      <c r="G26" s="162"/>
      <c r="H26" s="162"/>
      <c r="I26" s="162"/>
      <c r="J26" s="162"/>
      <c r="K26" s="162"/>
      <c r="L26" s="162"/>
      <c r="M26" s="162"/>
      <c r="N26" s="162"/>
      <c r="O26" s="162"/>
      <c r="P26" s="162"/>
      <c r="Q26" s="162"/>
      <c r="R26" s="162"/>
    </row>
    <row r="27" spans="1:18" ht="15.5">
      <c r="A27" s="401" t="s">
        <v>262</v>
      </c>
      <c r="B27" s="402"/>
      <c r="C27" s="402"/>
      <c r="D27" s="402"/>
      <c r="E27" s="402"/>
      <c r="F27" s="402"/>
      <c r="G27" s="402"/>
      <c r="H27" s="402"/>
      <c r="I27" s="402"/>
      <c r="J27" s="402"/>
      <c r="K27" s="402"/>
      <c r="L27" s="402"/>
      <c r="M27" s="402"/>
      <c r="N27" s="402"/>
      <c r="O27" s="402"/>
      <c r="P27" s="402"/>
      <c r="Q27" s="402"/>
      <c r="R27" s="403"/>
    </row>
    <row r="28" spans="1:18" ht="50.25" customHeight="1">
      <c r="A28" s="393" t="s">
        <v>434</v>
      </c>
      <c r="B28" s="394"/>
      <c r="C28" s="394"/>
      <c r="D28" s="394"/>
      <c r="E28" s="394"/>
      <c r="F28" s="394"/>
      <c r="G28" s="394"/>
      <c r="H28" s="394"/>
      <c r="I28" s="394"/>
      <c r="J28" s="394"/>
      <c r="K28" s="394"/>
      <c r="L28" s="394"/>
      <c r="M28" s="394"/>
      <c r="N28" s="394"/>
      <c r="O28" s="394"/>
      <c r="P28" s="394"/>
      <c r="Q28" s="394"/>
      <c r="R28" s="395"/>
    </row>
    <row r="29" spans="1:18" ht="15.5">
      <c r="A29" s="460" t="s">
        <v>390</v>
      </c>
      <c r="B29" s="461"/>
      <c r="C29" s="461"/>
      <c r="D29" s="461"/>
      <c r="E29" s="461"/>
      <c r="F29" s="461"/>
      <c r="G29" s="461"/>
      <c r="H29" s="461"/>
      <c r="I29" s="461"/>
      <c r="J29" s="461"/>
      <c r="K29" s="461"/>
      <c r="L29" s="461"/>
      <c r="M29" s="461"/>
      <c r="N29" s="461"/>
      <c r="O29" s="461"/>
      <c r="P29" s="461"/>
      <c r="Q29" s="461"/>
      <c r="R29" s="462"/>
    </row>
    <row r="30" spans="1:18" ht="52.5" customHeight="1">
      <c r="A30" s="463" t="s">
        <v>392</v>
      </c>
      <c r="B30" s="464"/>
      <c r="C30" s="464"/>
      <c r="D30" s="464"/>
      <c r="E30" s="464"/>
      <c r="F30" s="464"/>
      <c r="G30" s="464"/>
      <c r="H30" s="464"/>
      <c r="I30" s="464"/>
      <c r="J30" s="464"/>
      <c r="K30" s="464"/>
      <c r="L30" s="464"/>
      <c r="M30" s="464"/>
      <c r="N30" s="464"/>
      <c r="O30" s="464"/>
      <c r="P30" s="464"/>
      <c r="Q30" s="464"/>
      <c r="R30" s="465"/>
    </row>
    <row r="31" spans="1:18" ht="15.5">
      <c r="A31" s="413" t="s">
        <v>221</v>
      </c>
      <c r="B31" s="414"/>
      <c r="C31" s="414"/>
      <c r="D31" s="414"/>
      <c r="E31" s="414"/>
      <c r="F31" s="414"/>
      <c r="G31" s="414"/>
      <c r="H31" s="414"/>
      <c r="I31" s="414"/>
      <c r="J31" s="414"/>
      <c r="K31" s="414"/>
      <c r="L31" s="414"/>
      <c r="M31" s="414"/>
      <c r="N31" s="414"/>
      <c r="O31" s="414"/>
      <c r="P31" s="414"/>
      <c r="Q31" s="414"/>
      <c r="R31" s="415"/>
    </row>
    <row r="32" spans="1:18" ht="63" customHeight="1">
      <c r="A32" s="396" t="s">
        <v>370</v>
      </c>
      <c r="B32" s="397"/>
      <c r="C32" s="397"/>
      <c r="D32" s="397"/>
      <c r="E32" s="397"/>
      <c r="F32" s="397"/>
      <c r="G32" s="397"/>
      <c r="H32" s="397"/>
      <c r="I32" s="397"/>
      <c r="J32" s="397"/>
      <c r="K32" s="397"/>
      <c r="L32" s="397"/>
      <c r="M32" s="397"/>
      <c r="N32" s="397"/>
      <c r="O32" s="397"/>
      <c r="P32" s="397"/>
      <c r="Q32" s="397"/>
      <c r="R32" s="398"/>
    </row>
  </sheetData>
  <mergeCells count="33">
    <mergeCell ref="A29:R29"/>
    <mergeCell ref="A30:R30"/>
    <mergeCell ref="A31:R31"/>
    <mergeCell ref="A32:R32"/>
    <mergeCell ref="H9:Q9"/>
    <mergeCell ref="R9:R13"/>
    <mergeCell ref="H10:Q10"/>
    <mergeCell ref="A25:C25"/>
    <mergeCell ref="A27:R27"/>
    <mergeCell ref="A28:R28"/>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24" right="0.27" top="0.45" bottom="0.53"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3</xdr:col>
                    <xdr:colOff>196850</xdr:colOff>
                    <xdr:row>0</xdr:row>
                    <xdr:rowOff>0</xdr:rowOff>
                  </from>
                  <to>
                    <xdr:col>3</xdr:col>
                    <xdr:colOff>400050</xdr:colOff>
                    <xdr:row>0</xdr:row>
                    <xdr:rowOff>146050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7</xdr:col>
                    <xdr:colOff>273050</xdr:colOff>
                    <xdr:row>0</xdr:row>
                    <xdr:rowOff>6350</xdr:rowOff>
                  </from>
                  <to>
                    <xdr:col>8</xdr:col>
                    <xdr:colOff>203200</xdr:colOff>
                    <xdr:row>0</xdr:row>
                    <xdr:rowOff>146050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R23"/>
  <sheetViews>
    <sheetView topLeftCell="A3" zoomScale="65" zoomScaleNormal="65" workbookViewId="0">
      <selection activeCell="D15" sqref="D15"/>
    </sheetView>
  </sheetViews>
  <sheetFormatPr defaultRowHeight="12.5"/>
  <cols>
    <col min="3" max="3" width="77.453125" customWidth="1"/>
    <col min="4" max="4" width="16.1796875" customWidth="1"/>
    <col min="6" max="6" width="13" customWidth="1"/>
    <col min="7" max="7" width="12.54296875" customWidth="1"/>
    <col min="8" max="8" width="12.453125" customWidth="1"/>
    <col min="9" max="9" width="12.81640625" customWidth="1"/>
    <col min="10" max="10" width="12" customWidth="1"/>
    <col min="11" max="11" width="14" customWidth="1"/>
    <col min="12" max="12" width="12" customWidth="1"/>
    <col min="14" max="14" width="6.26953125" customWidth="1"/>
    <col min="15" max="15" width="5.81640625" customWidth="1"/>
    <col min="16" max="16" width="5.7265625" customWidth="1"/>
    <col min="17" max="17" width="5.81640625" customWidth="1"/>
    <col min="18" max="18" width="5.453125" customWidth="1"/>
  </cols>
  <sheetData>
    <row r="1" spans="1:18" ht="21.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4"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13.25" customHeight="1">
      <c r="A7" s="467" t="s">
        <v>471</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ht="13.5" customHeight="1">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6.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2" t="s">
        <v>20</v>
      </c>
      <c r="F15" s="231"/>
      <c r="G15" s="268"/>
      <c r="H15" s="231"/>
      <c r="I15" s="264"/>
      <c r="J15" s="264"/>
      <c r="K15" s="264"/>
      <c r="L15" s="264"/>
      <c r="M15" s="264"/>
      <c r="N15" s="28"/>
      <c r="O15" s="28"/>
      <c r="P15" s="28"/>
      <c r="Q15" s="28"/>
      <c r="R15" s="13"/>
    </row>
    <row r="16" spans="1:18" ht="15.5">
      <c r="A16" s="501" t="s">
        <v>89</v>
      </c>
      <c r="B16" s="502"/>
      <c r="C16" s="503"/>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49.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33.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5.2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7153" r:id="rId3" name="Check Box 1">
              <controlPr defaultSize="0" autoFill="0" autoLine="0" autoPict="0">
                <anchor moveWithCells="1">
                  <from>
                    <xdr:col>3</xdr:col>
                    <xdr:colOff>177800</xdr:colOff>
                    <xdr:row>0</xdr:row>
                    <xdr:rowOff>12700</xdr:rowOff>
                  </from>
                  <to>
                    <xdr:col>4</xdr:col>
                    <xdr:colOff>0</xdr:colOff>
                    <xdr:row>0</xdr:row>
                    <xdr:rowOff>152400</xdr:rowOff>
                  </to>
                </anchor>
              </controlPr>
            </control>
          </mc:Choice>
        </mc:AlternateContent>
        <mc:AlternateContent xmlns:mc="http://schemas.openxmlformats.org/markup-compatibility/2006">
          <mc:Choice Requires="x14">
            <control shapeId="177154" r:id="rId4" name="Check Box 2">
              <controlPr defaultSize="0" autoFill="0" autoLine="0" autoPict="0">
                <anchor moveWithCells="1">
                  <from>
                    <xdr:col>7</xdr:col>
                    <xdr:colOff>215900</xdr:colOff>
                    <xdr:row>0</xdr:row>
                    <xdr:rowOff>12700</xdr:rowOff>
                  </from>
                  <to>
                    <xdr:col>7</xdr:col>
                    <xdr:colOff>520700</xdr:colOff>
                    <xdr:row>0</xdr:row>
                    <xdr:rowOff>158750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1">
    <pageSetUpPr fitToPage="1"/>
  </sheetPr>
  <dimension ref="A1:R25"/>
  <sheetViews>
    <sheetView zoomScale="55" zoomScaleNormal="55" workbookViewId="0">
      <selection activeCell="D15" sqref="D15"/>
    </sheetView>
  </sheetViews>
  <sheetFormatPr defaultRowHeight="12.5"/>
  <cols>
    <col min="3" max="3" width="71.54296875" customWidth="1"/>
    <col min="4" max="4" width="12.7265625" customWidth="1"/>
    <col min="6" max="6" width="11" customWidth="1"/>
    <col min="7" max="7" width="12.7265625" customWidth="1"/>
    <col min="8" max="8" width="14.453125" customWidth="1"/>
    <col min="10" max="10" width="13.54296875" customWidth="1"/>
    <col min="11" max="11" width="14.81640625" customWidth="1"/>
    <col min="12" max="12" width="14.54296875" customWidth="1"/>
    <col min="14" max="14" width="7.26953125" customWidth="1"/>
    <col min="15" max="15" width="8" customWidth="1"/>
    <col min="16" max="16" width="7.1796875" customWidth="1"/>
    <col min="17" max="17" width="6.26953125" customWidth="1"/>
    <col min="18" max="18" width="7.269531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53" customHeight="1">
      <c r="A7" s="467" t="s">
        <v>472</v>
      </c>
      <c r="B7" s="468"/>
      <c r="C7" s="468"/>
      <c r="D7" s="468"/>
      <c r="E7" s="468"/>
      <c r="F7" s="468"/>
      <c r="G7" s="468"/>
      <c r="H7" s="468"/>
      <c r="I7" s="468"/>
      <c r="J7" s="468"/>
      <c r="K7" s="468"/>
      <c r="L7" s="468"/>
      <c r="M7" s="468"/>
      <c r="N7" s="468"/>
      <c r="O7" s="468"/>
      <c r="P7" s="468"/>
      <c r="Q7" s="468"/>
      <c r="R7" s="469"/>
    </row>
    <row r="8" spans="1:18" ht="15" customHeight="1">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6</v>
      </c>
      <c r="D15" s="308"/>
      <c r="E15" s="272" t="s">
        <v>23</v>
      </c>
      <c r="F15" s="231">
        <f>'Component List'!D45</f>
        <v>0</v>
      </c>
      <c r="G15" s="294">
        <v>50</v>
      </c>
      <c r="H15" s="231">
        <f>D15*F15*G15/100</f>
        <v>0</v>
      </c>
      <c r="I15" s="264"/>
      <c r="J15" s="264"/>
      <c r="K15" s="264"/>
      <c r="L15" s="264"/>
      <c r="M15" s="264"/>
      <c r="N15" s="28"/>
      <c r="O15" s="28"/>
      <c r="P15" s="28"/>
      <c r="Q15" s="28"/>
      <c r="R15" s="13"/>
    </row>
    <row r="16" spans="1:18" ht="17.5">
      <c r="A16" s="12"/>
      <c r="B16" s="347"/>
      <c r="C16" s="206" t="s">
        <v>5</v>
      </c>
      <c r="D16" s="308"/>
      <c r="E16" s="272" t="s">
        <v>23</v>
      </c>
      <c r="F16" s="231">
        <f>'Component List'!D46</f>
        <v>0</v>
      </c>
      <c r="G16" s="294">
        <v>50</v>
      </c>
      <c r="H16" s="231">
        <f>D16*F16*G16/100</f>
        <v>0</v>
      </c>
      <c r="I16" s="264"/>
      <c r="J16" s="264"/>
      <c r="K16" s="264"/>
      <c r="L16" s="264"/>
      <c r="M16" s="264"/>
      <c r="N16" s="28"/>
      <c r="O16" s="28"/>
      <c r="P16" s="28"/>
      <c r="Q16" s="28"/>
      <c r="R16" s="13"/>
    </row>
    <row r="17" spans="1:18" ht="17.5">
      <c r="A17" s="12"/>
      <c r="B17" s="347"/>
      <c r="C17" s="206" t="s">
        <v>7</v>
      </c>
      <c r="D17" s="308"/>
      <c r="E17" s="272" t="s">
        <v>308</v>
      </c>
      <c r="F17" s="231">
        <f>'Component List'!D47</f>
        <v>0</v>
      </c>
      <c r="G17" s="294">
        <v>50</v>
      </c>
      <c r="H17" s="231">
        <f>D17*F17*G17/100</f>
        <v>0</v>
      </c>
      <c r="I17" s="264"/>
      <c r="J17" s="264"/>
      <c r="K17" s="264"/>
      <c r="L17" s="264"/>
      <c r="M17" s="264"/>
      <c r="N17" s="28"/>
      <c r="O17" s="28"/>
      <c r="P17" s="28"/>
      <c r="Q17" s="28"/>
      <c r="R17" s="13"/>
    </row>
    <row r="18" spans="1:18" ht="15.5">
      <c r="A18" s="501" t="s">
        <v>89</v>
      </c>
      <c r="B18" s="502"/>
      <c r="C18" s="503"/>
      <c r="D18" s="286"/>
      <c r="E18" s="280"/>
      <c r="F18" s="265"/>
      <c r="G18" s="281"/>
      <c r="H18" s="271">
        <f t="shared" ref="H18:M18" si="0">SUM(H15:H17)</f>
        <v>0</v>
      </c>
      <c r="I18" s="271">
        <f t="shared" si="0"/>
        <v>0</v>
      </c>
      <c r="J18" s="271">
        <f t="shared" si="0"/>
        <v>0</v>
      </c>
      <c r="K18" s="271">
        <f t="shared" si="0"/>
        <v>0</v>
      </c>
      <c r="L18" s="271">
        <f t="shared" si="0"/>
        <v>0</v>
      </c>
      <c r="M18" s="271">
        <f t="shared" si="0"/>
        <v>0</v>
      </c>
      <c r="N18" s="23"/>
      <c r="O18" s="23"/>
      <c r="P18" s="23"/>
      <c r="Q18" s="23"/>
      <c r="R18" s="25"/>
    </row>
    <row r="19" spans="1:18" ht="15.5">
      <c r="A19" s="92" t="str">
        <f>IF(AE48,AE50,"")</f>
        <v/>
      </c>
      <c r="B19" s="162"/>
      <c r="C19" s="162"/>
      <c r="D19" s="162"/>
      <c r="E19" s="162"/>
      <c r="F19" s="162"/>
      <c r="G19" s="162"/>
      <c r="H19" s="162"/>
      <c r="I19" s="162"/>
      <c r="J19" s="162"/>
      <c r="K19" s="162"/>
      <c r="L19" s="162"/>
      <c r="M19" s="162"/>
      <c r="N19" s="162"/>
      <c r="O19" s="162"/>
      <c r="P19" s="162"/>
      <c r="Q19" s="162"/>
      <c r="R19" s="162"/>
    </row>
    <row r="20" spans="1:18" ht="15.5">
      <c r="A20" s="401" t="s">
        <v>262</v>
      </c>
      <c r="B20" s="402"/>
      <c r="C20" s="402"/>
      <c r="D20" s="402"/>
      <c r="E20" s="402"/>
      <c r="F20" s="402"/>
      <c r="G20" s="402"/>
      <c r="H20" s="402"/>
      <c r="I20" s="402"/>
      <c r="J20" s="402"/>
      <c r="K20" s="402"/>
      <c r="L20" s="402"/>
      <c r="M20" s="402"/>
      <c r="N20" s="402"/>
      <c r="O20" s="402"/>
      <c r="P20" s="402"/>
      <c r="Q20" s="402"/>
      <c r="R20" s="403"/>
    </row>
    <row r="21" spans="1:18" ht="49.5" customHeight="1">
      <c r="A21" s="393" t="s">
        <v>434</v>
      </c>
      <c r="B21" s="394"/>
      <c r="C21" s="394"/>
      <c r="D21" s="394"/>
      <c r="E21" s="394"/>
      <c r="F21" s="394"/>
      <c r="G21" s="394"/>
      <c r="H21" s="394"/>
      <c r="I21" s="394"/>
      <c r="J21" s="394"/>
      <c r="K21" s="394"/>
      <c r="L21" s="394"/>
      <c r="M21" s="394"/>
      <c r="N21" s="394"/>
      <c r="O21" s="394"/>
      <c r="P21" s="394"/>
      <c r="Q21" s="394"/>
      <c r="R21" s="395"/>
    </row>
    <row r="22" spans="1:18" ht="15.5">
      <c r="A22" s="460" t="s">
        <v>390</v>
      </c>
      <c r="B22" s="461"/>
      <c r="C22" s="461"/>
      <c r="D22" s="461"/>
      <c r="E22" s="461"/>
      <c r="F22" s="461"/>
      <c r="G22" s="461"/>
      <c r="H22" s="461"/>
      <c r="I22" s="461"/>
      <c r="J22" s="461"/>
      <c r="K22" s="461"/>
      <c r="L22" s="461"/>
      <c r="M22" s="461"/>
      <c r="N22" s="461"/>
      <c r="O22" s="461"/>
      <c r="P22" s="461"/>
      <c r="Q22" s="461"/>
      <c r="R22" s="462"/>
    </row>
    <row r="23" spans="1:18" ht="48" customHeight="1">
      <c r="A23" s="463" t="s">
        <v>392</v>
      </c>
      <c r="B23" s="464"/>
      <c r="C23" s="464"/>
      <c r="D23" s="464"/>
      <c r="E23" s="464"/>
      <c r="F23" s="464"/>
      <c r="G23" s="464"/>
      <c r="H23" s="464"/>
      <c r="I23" s="464"/>
      <c r="J23" s="464"/>
      <c r="K23" s="464"/>
      <c r="L23" s="464"/>
      <c r="M23" s="464"/>
      <c r="N23" s="464"/>
      <c r="O23" s="464"/>
      <c r="P23" s="464"/>
      <c r="Q23" s="464"/>
      <c r="R23" s="465"/>
    </row>
    <row r="24" spans="1:18" ht="15.5">
      <c r="A24" s="413" t="s">
        <v>221</v>
      </c>
      <c r="B24" s="414"/>
      <c r="C24" s="414"/>
      <c r="D24" s="414"/>
      <c r="E24" s="414"/>
      <c r="F24" s="414"/>
      <c r="G24" s="414"/>
      <c r="H24" s="414"/>
      <c r="I24" s="414"/>
      <c r="J24" s="414"/>
      <c r="K24" s="414"/>
      <c r="L24" s="414"/>
      <c r="M24" s="414"/>
      <c r="N24" s="414"/>
      <c r="O24" s="414"/>
      <c r="P24" s="414"/>
      <c r="Q24" s="414"/>
      <c r="R24" s="415"/>
    </row>
    <row r="25" spans="1:18" ht="78.75" customHeight="1">
      <c r="A25" s="396" t="s">
        <v>370</v>
      </c>
      <c r="B25" s="397"/>
      <c r="C25" s="397"/>
      <c r="D25" s="397"/>
      <c r="E25" s="397"/>
      <c r="F25" s="397"/>
      <c r="G25" s="397"/>
      <c r="H25" s="397"/>
      <c r="I25" s="397"/>
      <c r="J25" s="397"/>
      <c r="K25" s="397"/>
      <c r="L25" s="397"/>
      <c r="M25" s="397"/>
      <c r="N25" s="397"/>
      <c r="O25" s="397"/>
      <c r="P25" s="397"/>
      <c r="Q25" s="397"/>
      <c r="R25" s="398"/>
    </row>
  </sheetData>
  <mergeCells count="33">
    <mergeCell ref="A22:R22"/>
    <mergeCell ref="A23:R23"/>
    <mergeCell ref="A24:R24"/>
    <mergeCell ref="A25:R25"/>
    <mergeCell ref="H9:Q9"/>
    <mergeCell ref="R9:R13"/>
    <mergeCell ref="H10:Q10"/>
    <mergeCell ref="A18:C18"/>
    <mergeCell ref="A20:R20"/>
    <mergeCell ref="A21:R21"/>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28999999999999998" right="0.22" top="0.5" bottom="0.53" header="0.3" footer="0.3"/>
  <pageSetup scale="55"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7</xdr:col>
                    <xdr:colOff>209550</xdr:colOff>
                    <xdr:row>0</xdr:row>
                    <xdr:rowOff>12700</xdr:rowOff>
                  </from>
                  <to>
                    <xdr:col>8</xdr:col>
                    <xdr:colOff>127000</xdr:colOff>
                    <xdr:row>0</xdr:row>
                    <xdr:rowOff>152400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R23"/>
  <sheetViews>
    <sheetView zoomScale="60" zoomScaleNormal="60" workbookViewId="0">
      <selection activeCell="D15" sqref="D15"/>
    </sheetView>
  </sheetViews>
  <sheetFormatPr defaultRowHeight="12.5"/>
  <cols>
    <col min="3" max="3" width="65.453125" customWidth="1"/>
    <col min="4" max="4" width="17.26953125" customWidth="1"/>
    <col min="6" max="6" width="13" customWidth="1"/>
    <col min="7" max="7" width="10.81640625" customWidth="1"/>
    <col min="9" max="9" width="13" customWidth="1"/>
    <col min="10" max="10" width="12.7265625" customWidth="1"/>
    <col min="11" max="11" width="15.1796875" customWidth="1"/>
    <col min="12" max="12" width="12.7265625" customWidth="1"/>
    <col min="14" max="14" width="6.54296875" customWidth="1"/>
    <col min="15" max="15" width="6.81640625" customWidth="1"/>
    <col min="16" max="16" width="6.54296875" customWidth="1"/>
    <col min="17" max="17" width="6" customWidth="1"/>
    <col min="18" max="18" width="6.54296875" customWidth="1"/>
  </cols>
  <sheetData>
    <row r="1" spans="1:18" ht="24"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425" t="s">
        <v>25</v>
      </c>
      <c r="F2" s="504"/>
      <c r="G2" s="504"/>
      <c r="H2" s="504"/>
      <c r="I2" s="504"/>
      <c r="J2" s="136"/>
      <c r="K2" s="136"/>
      <c r="L2" s="136"/>
      <c r="M2" s="136"/>
      <c r="N2" s="262" t="s">
        <v>420</v>
      </c>
      <c r="O2" s="137" t="s">
        <v>364</v>
      </c>
      <c r="P2" s="138"/>
      <c r="Q2" s="139" t="s">
        <v>365</v>
      </c>
      <c r="R2" s="140"/>
    </row>
    <row r="3" spans="1:18" ht="23.25" customHeight="1">
      <c r="A3" s="141"/>
      <c r="B3" s="85"/>
      <c r="C3" s="85"/>
      <c r="D3" s="85"/>
      <c r="E3" s="427" t="s">
        <v>26</v>
      </c>
      <c r="F3" s="428"/>
      <c r="G3" s="428"/>
      <c r="H3" s="428"/>
      <c r="I3" s="428"/>
      <c r="J3" s="85"/>
      <c r="K3" s="85"/>
      <c r="L3" s="85"/>
      <c r="M3" s="85"/>
      <c r="N3" s="85"/>
      <c r="O3" s="17"/>
      <c r="P3" s="17"/>
      <c r="Q3" s="17"/>
      <c r="R3" s="142"/>
    </row>
    <row r="4" spans="1:18" ht="32.25" customHeight="1">
      <c r="A4" s="480" t="s">
        <v>386</v>
      </c>
      <c r="B4" s="483"/>
      <c r="C4" s="484"/>
      <c r="D4" s="490" t="s">
        <v>387</v>
      </c>
      <c r="E4" s="491"/>
      <c r="F4" s="491"/>
      <c r="G4" s="492"/>
      <c r="H4" s="368" t="s">
        <v>388</v>
      </c>
      <c r="I4" s="26"/>
      <c r="J4" s="480" t="s">
        <v>385</v>
      </c>
      <c r="K4" s="481"/>
      <c r="L4" s="482"/>
      <c r="M4" s="480" t="s">
        <v>389</v>
      </c>
      <c r="N4" s="483"/>
      <c r="O4" s="483"/>
      <c r="P4" s="483"/>
      <c r="Q4" s="483"/>
      <c r="R4" s="484"/>
    </row>
    <row r="5" spans="1:18" ht="23.25" customHeight="1">
      <c r="A5" s="505">
        <f>'CRPSignature Page'!A8</f>
        <v>0</v>
      </c>
      <c r="B5" s="506"/>
      <c r="C5" s="507"/>
      <c r="D5" s="505">
        <f>'CRPSignature Page'!D8</f>
        <v>0</v>
      </c>
      <c r="E5" s="506"/>
      <c r="F5" s="506"/>
      <c r="G5" s="507"/>
      <c r="H5" s="508" t="s">
        <v>10</v>
      </c>
      <c r="I5" s="409"/>
      <c r="J5" s="505">
        <f>'CRPSignature Page'!I8</f>
        <v>0</v>
      </c>
      <c r="K5" s="408"/>
      <c r="L5" s="409"/>
      <c r="M5" s="508">
        <f>'CRPSignature Page'!P8</f>
        <v>0</v>
      </c>
      <c r="N5" s="509"/>
      <c r="O5" s="442"/>
      <c r="P5" s="442"/>
      <c r="Q5" s="442"/>
      <c r="R5" s="443"/>
    </row>
    <row r="6" spans="1:18">
      <c r="A6" s="466"/>
      <c r="B6" s="466"/>
      <c r="C6" s="466"/>
      <c r="D6" s="466"/>
      <c r="E6" s="466"/>
      <c r="F6" s="466"/>
      <c r="G6" s="466"/>
      <c r="H6" s="466"/>
      <c r="I6" s="466"/>
      <c r="J6" s="466"/>
      <c r="K6" s="466"/>
      <c r="L6" s="466"/>
      <c r="M6" s="466"/>
      <c r="N6" s="466"/>
      <c r="O6" s="466"/>
      <c r="P6" s="466"/>
      <c r="Q6" s="466"/>
      <c r="R6" s="466"/>
    </row>
    <row r="7" spans="1:18" ht="84" customHeight="1">
      <c r="A7" s="467" t="s">
        <v>473</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24" customHeight="1">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4" t="s">
        <v>20</v>
      </c>
      <c r="F15" s="231"/>
      <c r="G15" s="268"/>
      <c r="H15" s="231"/>
      <c r="I15" s="28"/>
      <c r="J15" s="28"/>
      <c r="K15" s="28"/>
      <c r="L15" s="28"/>
      <c r="M15" s="28"/>
      <c r="N15" s="28"/>
      <c r="O15" s="28"/>
      <c r="P15" s="28"/>
      <c r="Q15" s="28"/>
      <c r="R15" s="13"/>
    </row>
    <row r="16" spans="1:18" ht="15.5">
      <c r="A16" s="501" t="s">
        <v>89</v>
      </c>
      <c r="B16" s="502"/>
      <c r="C16" s="503"/>
      <c r="D16" s="286"/>
      <c r="E16" s="280"/>
      <c r="F16" s="265"/>
      <c r="G16" s="281"/>
      <c r="H16" s="271">
        <f>SUM(H15:H15)</f>
        <v>0</v>
      </c>
      <c r="I16" s="23"/>
      <c r="J16" s="23"/>
      <c r="K16" s="23"/>
      <c r="L16" s="23"/>
      <c r="M16" s="23"/>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49.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50.2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8.2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E2:I2"/>
    <mergeCell ref="E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8177" r:id="rId3" name="Check Box 1">
              <controlPr defaultSize="0" autoFill="0" autoLine="0" autoPict="0">
                <anchor moveWithCells="1">
                  <from>
                    <xdr:col>3</xdr:col>
                    <xdr:colOff>177800</xdr:colOff>
                    <xdr:row>0</xdr:row>
                    <xdr:rowOff>12700</xdr:rowOff>
                  </from>
                  <to>
                    <xdr:col>3</xdr:col>
                    <xdr:colOff>666750</xdr:colOff>
                    <xdr:row>0</xdr:row>
                    <xdr:rowOff>152400</xdr:rowOff>
                  </to>
                </anchor>
              </controlPr>
            </control>
          </mc:Choice>
        </mc:AlternateContent>
        <mc:AlternateContent xmlns:mc="http://schemas.openxmlformats.org/markup-compatibility/2006">
          <mc:Choice Requires="x14">
            <control shapeId="178178" r:id="rId4" name="Check Box 2">
              <controlPr defaultSize="0" autoFill="0" autoLine="0" autoPict="0">
                <anchor moveWithCells="1">
                  <from>
                    <xdr:col>7</xdr:col>
                    <xdr:colOff>234950</xdr:colOff>
                    <xdr:row>0</xdr:row>
                    <xdr:rowOff>12700</xdr:rowOff>
                  </from>
                  <to>
                    <xdr:col>8</xdr:col>
                    <xdr:colOff>317500</xdr:colOff>
                    <xdr:row>0</xdr:row>
                    <xdr:rowOff>146050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1">
    <pageSetUpPr fitToPage="1"/>
  </sheetPr>
  <dimension ref="A1:R32"/>
  <sheetViews>
    <sheetView zoomScale="55" zoomScaleNormal="55" workbookViewId="0">
      <selection activeCell="H13" sqref="H13"/>
    </sheetView>
  </sheetViews>
  <sheetFormatPr defaultRowHeight="12.5"/>
  <cols>
    <col min="3" max="3" width="64.453125" customWidth="1"/>
    <col min="4" max="4" width="13.453125" customWidth="1"/>
    <col min="6" max="6" width="11.26953125" customWidth="1"/>
    <col min="7" max="7" width="12.54296875" customWidth="1"/>
    <col min="8" max="8" width="15.81640625" customWidth="1"/>
    <col min="10" max="10" width="15.26953125" customWidth="1"/>
    <col min="11" max="11" width="14.81640625" customWidth="1"/>
    <col min="12" max="12" width="12.81640625" customWidth="1"/>
    <col min="14" max="14" width="7.7265625" customWidth="1"/>
    <col min="15" max="15" width="8.81640625" customWidth="1"/>
    <col min="16" max="16" width="7" customWidth="1"/>
    <col min="17" max="17" width="6.81640625" customWidth="1"/>
    <col min="18" max="18" width="6.5429687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25" customHeight="1">
      <c r="A2" s="429" t="s">
        <v>363</v>
      </c>
      <c r="B2" s="430"/>
      <c r="C2" s="430"/>
      <c r="D2" s="136"/>
      <c r="E2" s="425" t="s">
        <v>25</v>
      </c>
      <c r="F2" s="504"/>
      <c r="G2" s="504"/>
      <c r="H2" s="504"/>
      <c r="I2" s="504"/>
      <c r="J2" s="136"/>
      <c r="K2" s="136"/>
      <c r="L2" s="136"/>
      <c r="M2" s="136"/>
      <c r="N2" s="262" t="s">
        <v>420</v>
      </c>
      <c r="O2" s="137" t="s">
        <v>364</v>
      </c>
      <c r="P2" s="138"/>
      <c r="Q2" s="139" t="s">
        <v>365</v>
      </c>
      <c r="R2" s="140"/>
    </row>
    <row r="3" spans="1:18" ht="21" customHeight="1">
      <c r="A3" s="141"/>
      <c r="B3" s="85"/>
      <c r="C3" s="85"/>
      <c r="D3" s="85"/>
      <c r="E3" s="427" t="s">
        <v>26</v>
      </c>
      <c r="F3" s="428"/>
      <c r="G3" s="428"/>
      <c r="H3" s="428"/>
      <c r="I3" s="428"/>
      <c r="J3" s="85"/>
      <c r="K3" s="85"/>
      <c r="L3" s="85"/>
      <c r="M3" s="85"/>
      <c r="N3" s="85"/>
      <c r="O3" s="17"/>
      <c r="P3" s="17"/>
      <c r="Q3" s="17"/>
      <c r="R3" s="142"/>
    </row>
    <row r="4" spans="1:18" ht="15.5">
      <c r="A4" s="480" t="s">
        <v>386</v>
      </c>
      <c r="B4" s="483"/>
      <c r="C4" s="484"/>
      <c r="D4" s="490" t="s">
        <v>387</v>
      </c>
      <c r="E4" s="491"/>
      <c r="F4" s="491"/>
      <c r="G4" s="492"/>
      <c r="H4" s="320" t="s">
        <v>388</v>
      </c>
      <c r="I4" s="26"/>
      <c r="J4" s="480" t="s">
        <v>385</v>
      </c>
      <c r="K4" s="481"/>
      <c r="L4" s="482"/>
      <c r="M4" s="480" t="s">
        <v>389</v>
      </c>
      <c r="N4" s="483"/>
      <c r="O4" s="483"/>
      <c r="P4" s="483"/>
      <c r="Q4" s="483"/>
      <c r="R4" s="484"/>
    </row>
    <row r="5" spans="1:18" ht="15">
      <c r="A5" s="505">
        <f>'CRPSignature Page'!A8</f>
        <v>0</v>
      </c>
      <c r="B5" s="506"/>
      <c r="C5" s="507"/>
      <c r="D5" s="505">
        <f>'CRPSignature Page'!D8</f>
        <v>0</v>
      </c>
      <c r="E5" s="506"/>
      <c r="F5" s="506"/>
      <c r="G5" s="507"/>
      <c r="H5" s="508" t="s">
        <v>10</v>
      </c>
      <c r="I5" s="409"/>
      <c r="J5" s="505">
        <f>'CRPSignature Page'!I8</f>
        <v>0</v>
      </c>
      <c r="K5" s="408"/>
      <c r="L5" s="409"/>
      <c r="M5" s="508">
        <f>'CRPSignature Page'!P8</f>
        <v>0</v>
      </c>
      <c r="N5" s="509"/>
      <c r="O5" s="442"/>
      <c r="P5" s="442"/>
      <c r="Q5" s="442"/>
      <c r="R5" s="443"/>
    </row>
    <row r="6" spans="1:18">
      <c r="A6" s="466"/>
      <c r="B6" s="466"/>
      <c r="C6" s="466"/>
      <c r="D6" s="466"/>
      <c r="E6" s="466"/>
      <c r="F6" s="466"/>
      <c r="G6" s="466"/>
      <c r="H6" s="466"/>
      <c r="I6" s="466"/>
      <c r="J6" s="466"/>
      <c r="K6" s="466"/>
      <c r="L6" s="466"/>
      <c r="M6" s="466"/>
      <c r="N6" s="466"/>
      <c r="O6" s="466"/>
      <c r="P6" s="466"/>
      <c r="Q6" s="466"/>
      <c r="R6" s="466"/>
    </row>
    <row r="7" spans="1:18" ht="134.25" customHeight="1">
      <c r="A7" s="467" t="s">
        <v>474</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7.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6.5" customHeight="1">
      <c r="A15" s="12"/>
      <c r="B15" s="347"/>
      <c r="C15" s="206" t="s">
        <v>278</v>
      </c>
      <c r="D15" s="295"/>
      <c r="E15" s="274" t="s">
        <v>22</v>
      </c>
      <c r="F15" s="231">
        <f>'Component List'!D48</f>
        <v>0</v>
      </c>
      <c r="G15" s="294">
        <v>50</v>
      </c>
      <c r="H15" s="231">
        <f>D15*F15*G15/100</f>
        <v>0</v>
      </c>
      <c r="I15" s="28"/>
      <c r="J15" s="28"/>
      <c r="K15" s="28"/>
      <c r="L15" s="28"/>
      <c r="M15" s="28"/>
      <c r="N15" s="28"/>
      <c r="O15" s="28"/>
      <c r="P15" s="28"/>
      <c r="Q15" s="28"/>
      <c r="R15" s="13"/>
    </row>
    <row r="16" spans="1:18" ht="18">
      <c r="A16" s="70"/>
      <c r="B16" s="351"/>
      <c r="C16" s="242" t="s">
        <v>297</v>
      </c>
      <c r="D16" s="296"/>
      <c r="E16" s="284"/>
      <c r="F16" s="231"/>
      <c r="G16" s="294"/>
      <c r="H16" s="231"/>
      <c r="I16" s="28"/>
      <c r="J16" s="28"/>
      <c r="K16" s="28"/>
      <c r="L16" s="28"/>
      <c r="M16" s="28"/>
      <c r="N16" s="28"/>
      <c r="O16" s="28"/>
      <c r="P16" s="28"/>
      <c r="Q16" s="28"/>
      <c r="R16" s="13"/>
    </row>
    <row r="17" spans="1:18" ht="17.5">
      <c r="A17" s="12"/>
      <c r="B17" s="347"/>
      <c r="C17" s="206" t="s">
        <v>160</v>
      </c>
      <c r="D17" s="266"/>
      <c r="E17" s="274" t="s">
        <v>20</v>
      </c>
      <c r="F17" s="231">
        <f>'Component List'!D2</f>
        <v>1.6399999999999997</v>
      </c>
      <c r="G17" s="294">
        <v>50</v>
      </c>
      <c r="H17" s="231">
        <f>D17*F17*G17/100</f>
        <v>0</v>
      </c>
      <c r="I17" s="28"/>
      <c r="J17" s="28"/>
      <c r="K17" s="28"/>
      <c r="L17" s="28"/>
      <c r="M17" s="28"/>
      <c r="N17" s="28"/>
      <c r="O17" s="28"/>
      <c r="P17" s="28"/>
      <c r="Q17" s="28"/>
      <c r="R17" s="13"/>
    </row>
    <row r="18" spans="1:18" ht="17.5">
      <c r="A18" s="12"/>
      <c r="B18" s="347"/>
      <c r="C18" s="206" t="s">
        <v>159</v>
      </c>
      <c r="D18" s="266"/>
      <c r="E18" s="274" t="s">
        <v>20</v>
      </c>
      <c r="F18" s="231">
        <f>'Component List'!D3</f>
        <v>0</v>
      </c>
      <c r="G18" s="294">
        <v>50</v>
      </c>
      <c r="H18" s="231">
        <f>D18*F18*G18/100</f>
        <v>0</v>
      </c>
      <c r="I18" s="28"/>
      <c r="J18" s="28"/>
      <c r="K18" s="28"/>
      <c r="L18" s="28"/>
      <c r="M18" s="28"/>
      <c r="N18" s="28"/>
      <c r="O18" s="28"/>
      <c r="P18" s="28"/>
      <c r="Q18" s="28"/>
      <c r="R18" s="13"/>
    </row>
    <row r="19" spans="1:18" ht="17.5">
      <c r="A19" s="12"/>
      <c r="B19" s="347"/>
      <c r="C19" s="206" t="s">
        <v>161</v>
      </c>
      <c r="D19" s="266"/>
      <c r="E19" s="274" t="s">
        <v>20</v>
      </c>
      <c r="F19" s="231">
        <f>'Component List'!D4</f>
        <v>80.06</v>
      </c>
      <c r="G19" s="294">
        <v>50</v>
      </c>
      <c r="H19" s="231">
        <f t="shared" ref="H19:H24" si="0">D19*F19*G19/100</f>
        <v>0</v>
      </c>
      <c r="I19" s="28"/>
      <c r="J19" s="28"/>
      <c r="K19" s="28"/>
      <c r="L19" s="28"/>
      <c r="M19" s="28"/>
      <c r="N19" s="28"/>
      <c r="O19" s="28"/>
      <c r="P19" s="28"/>
      <c r="Q19" s="28"/>
      <c r="R19" s="13"/>
    </row>
    <row r="20" spans="1:18" ht="17.5">
      <c r="A20" s="12"/>
      <c r="B20" s="347"/>
      <c r="C20" s="206" t="s">
        <v>302</v>
      </c>
      <c r="D20" s="266"/>
      <c r="E20" s="274" t="s">
        <v>20</v>
      </c>
      <c r="F20" s="231">
        <f>'Component List'!D5</f>
        <v>62.6</v>
      </c>
      <c r="G20" s="294">
        <v>50</v>
      </c>
      <c r="H20" s="231">
        <f t="shared" si="0"/>
        <v>0</v>
      </c>
      <c r="I20" s="28"/>
      <c r="J20" s="28"/>
      <c r="K20" s="28"/>
      <c r="L20" s="28"/>
      <c r="M20" s="28"/>
      <c r="N20" s="28"/>
      <c r="O20" s="28"/>
      <c r="P20" s="28"/>
      <c r="Q20" s="28"/>
      <c r="R20" s="13"/>
    </row>
    <row r="21" spans="1:18" ht="17.5">
      <c r="A21" s="35"/>
      <c r="B21" s="349"/>
      <c r="C21" s="206" t="s">
        <v>291</v>
      </c>
      <c r="D21" s="266"/>
      <c r="E21" s="274" t="s">
        <v>20</v>
      </c>
      <c r="F21" s="231">
        <f>'Component List'!D9</f>
        <v>204.64</v>
      </c>
      <c r="G21" s="294">
        <v>50</v>
      </c>
      <c r="H21" s="263">
        <f t="shared" si="0"/>
        <v>0</v>
      </c>
      <c r="I21" s="28"/>
      <c r="J21" s="68"/>
      <c r="K21" s="68"/>
      <c r="L21" s="68"/>
      <c r="M21" s="68"/>
      <c r="N21" s="68"/>
      <c r="O21" s="68"/>
      <c r="P21" s="68"/>
      <c r="Q21" s="68"/>
      <c r="R21" s="43"/>
    </row>
    <row r="22" spans="1:18" ht="17.5">
      <c r="A22" s="12"/>
      <c r="B22" s="347"/>
      <c r="C22" s="207" t="s">
        <v>412</v>
      </c>
      <c r="D22" s="266"/>
      <c r="E22" s="277" t="s">
        <v>20</v>
      </c>
      <c r="F22" s="231">
        <f>'Component List'!D16</f>
        <v>84.42</v>
      </c>
      <c r="G22" s="294">
        <v>50</v>
      </c>
      <c r="H22" s="231">
        <f t="shared" si="0"/>
        <v>0</v>
      </c>
      <c r="I22" s="69"/>
      <c r="J22" s="28"/>
      <c r="K22" s="28"/>
      <c r="L22" s="28"/>
      <c r="M22" s="28"/>
      <c r="N22" s="28"/>
      <c r="O22" s="28"/>
      <c r="P22" s="28"/>
      <c r="Q22" s="28"/>
      <c r="R22" s="13"/>
    </row>
    <row r="23" spans="1:18" ht="17.5">
      <c r="A23" s="12"/>
      <c r="B23" s="347"/>
      <c r="C23" s="206" t="s">
        <v>165</v>
      </c>
      <c r="D23" s="266"/>
      <c r="E23" s="274" t="s">
        <v>20</v>
      </c>
      <c r="F23" s="231">
        <f>'Component List'!D28</f>
        <v>94.14</v>
      </c>
      <c r="G23" s="294">
        <v>50</v>
      </c>
      <c r="H23" s="264">
        <f t="shared" si="0"/>
        <v>0</v>
      </c>
      <c r="I23" s="28"/>
      <c r="J23" s="28"/>
      <c r="K23" s="28"/>
      <c r="L23" s="28"/>
      <c r="M23" s="28"/>
      <c r="N23" s="28"/>
      <c r="O23" s="28"/>
      <c r="P23" s="28"/>
      <c r="Q23" s="28"/>
      <c r="R23" s="13"/>
    </row>
    <row r="24" spans="1:18" ht="17.5">
      <c r="A24" s="12"/>
      <c r="B24" s="347"/>
      <c r="C24" s="206" t="s">
        <v>163</v>
      </c>
      <c r="D24" s="266"/>
      <c r="E24" s="274" t="s">
        <v>20</v>
      </c>
      <c r="F24" s="231">
        <f>'Component List'!D15</f>
        <v>21.78</v>
      </c>
      <c r="G24" s="294">
        <v>50</v>
      </c>
      <c r="H24" s="231">
        <f t="shared" si="0"/>
        <v>0</v>
      </c>
      <c r="I24" s="28"/>
      <c r="J24" s="28"/>
      <c r="K24" s="28"/>
      <c r="L24" s="28"/>
      <c r="M24" s="28"/>
      <c r="N24" s="28"/>
      <c r="O24" s="28"/>
      <c r="P24" s="28"/>
      <c r="Q24" s="28"/>
      <c r="R24" s="13"/>
    </row>
    <row r="25" spans="1:18" ht="15.5">
      <c r="A25" s="501" t="s">
        <v>89</v>
      </c>
      <c r="B25" s="502"/>
      <c r="C25" s="503"/>
      <c r="D25" s="286"/>
      <c r="E25" s="280"/>
      <c r="F25" s="265"/>
      <c r="G25" s="281"/>
      <c r="H25" s="271">
        <f>SUM(H15:H24)</f>
        <v>0</v>
      </c>
      <c r="I25" s="23"/>
      <c r="J25" s="23"/>
      <c r="K25" s="23"/>
      <c r="L25" s="23"/>
      <c r="M25" s="23"/>
      <c r="N25" s="23"/>
      <c r="O25" s="23"/>
      <c r="P25" s="23"/>
      <c r="Q25" s="23"/>
      <c r="R25" s="25"/>
    </row>
    <row r="26" spans="1:18" ht="15.5">
      <c r="A26" s="92" t="str">
        <f>IF(AE55,AE57,"")</f>
        <v/>
      </c>
      <c r="B26" s="162"/>
      <c r="C26" s="162"/>
      <c r="D26" s="162"/>
      <c r="E26" s="162"/>
      <c r="F26" s="162"/>
      <c r="G26" s="162"/>
      <c r="H26" s="162"/>
      <c r="I26" s="162"/>
      <c r="J26" s="162"/>
      <c r="K26" s="162"/>
      <c r="L26" s="162"/>
      <c r="M26" s="162"/>
      <c r="N26" s="162"/>
      <c r="O26" s="162"/>
      <c r="P26" s="162"/>
      <c r="Q26" s="162"/>
      <c r="R26" s="162"/>
    </row>
    <row r="27" spans="1:18" ht="15.5">
      <c r="A27" s="401" t="s">
        <v>262</v>
      </c>
      <c r="B27" s="402"/>
      <c r="C27" s="402"/>
      <c r="D27" s="402"/>
      <c r="E27" s="402"/>
      <c r="F27" s="402"/>
      <c r="G27" s="402"/>
      <c r="H27" s="402"/>
      <c r="I27" s="402"/>
      <c r="J27" s="402"/>
      <c r="K27" s="402"/>
      <c r="L27" s="402"/>
      <c r="M27" s="402"/>
      <c r="N27" s="402"/>
      <c r="O27" s="402"/>
      <c r="P27" s="402"/>
      <c r="Q27" s="402"/>
      <c r="R27" s="403"/>
    </row>
    <row r="28" spans="1:18" ht="51" customHeight="1">
      <c r="A28" s="393" t="s">
        <v>434</v>
      </c>
      <c r="B28" s="394"/>
      <c r="C28" s="394"/>
      <c r="D28" s="394"/>
      <c r="E28" s="394"/>
      <c r="F28" s="394"/>
      <c r="G28" s="394"/>
      <c r="H28" s="394"/>
      <c r="I28" s="394"/>
      <c r="J28" s="394"/>
      <c r="K28" s="394"/>
      <c r="L28" s="394"/>
      <c r="M28" s="394"/>
      <c r="N28" s="394"/>
      <c r="O28" s="394"/>
      <c r="P28" s="394"/>
      <c r="Q28" s="394"/>
      <c r="R28" s="395"/>
    </row>
    <row r="29" spans="1:18" ht="15.5">
      <c r="A29" s="460" t="s">
        <v>390</v>
      </c>
      <c r="B29" s="461"/>
      <c r="C29" s="461"/>
      <c r="D29" s="461"/>
      <c r="E29" s="461"/>
      <c r="F29" s="461"/>
      <c r="G29" s="461"/>
      <c r="H29" s="461"/>
      <c r="I29" s="461"/>
      <c r="J29" s="461"/>
      <c r="K29" s="461"/>
      <c r="L29" s="461"/>
      <c r="M29" s="461"/>
      <c r="N29" s="461"/>
      <c r="O29" s="461"/>
      <c r="P29" s="461"/>
      <c r="Q29" s="461"/>
      <c r="R29" s="462"/>
    </row>
    <row r="30" spans="1:18" ht="51" customHeight="1">
      <c r="A30" s="463" t="s">
        <v>392</v>
      </c>
      <c r="B30" s="464"/>
      <c r="C30" s="464"/>
      <c r="D30" s="464"/>
      <c r="E30" s="464"/>
      <c r="F30" s="464"/>
      <c r="G30" s="464"/>
      <c r="H30" s="464"/>
      <c r="I30" s="464"/>
      <c r="J30" s="464"/>
      <c r="K30" s="464"/>
      <c r="L30" s="464"/>
      <c r="M30" s="464"/>
      <c r="N30" s="464"/>
      <c r="O30" s="464"/>
      <c r="P30" s="464"/>
      <c r="Q30" s="464"/>
      <c r="R30" s="465"/>
    </row>
    <row r="31" spans="1:18" ht="15.5">
      <c r="A31" s="413" t="s">
        <v>221</v>
      </c>
      <c r="B31" s="414"/>
      <c r="C31" s="414"/>
      <c r="D31" s="414"/>
      <c r="E31" s="414"/>
      <c r="F31" s="414"/>
      <c r="G31" s="414"/>
      <c r="H31" s="414"/>
      <c r="I31" s="414"/>
      <c r="J31" s="414"/>
      <c r="K31" s="414"/>
      <c r="L31" s="414"/>
      <c r="M31" s="414"/>
      <c r="N31" s="414"/>
      <c r="O31" s="414"/>
      <c r="P31" s="414"/>
      <c r="Q31" s="414"/>
      <c r="R31" s="415"/>
    </row>
    <row r="32" spans="1:18" ht="81" customHeight="1">
      <c r="A32" s="396" t="s">
        <v>370</v>
      </c>
      <c r="B32" s="397"/>
      <c r="C32" s="397"/>
      <c r="D32" s="397"/>
      <c r="E32" s="397"/>
      <c r="F32" s="397"/>
      <c r="G32" s="397"/>
      <c r="H32" s="397"/>
      <c r="I32" s="397"/>
      <c r="J32" s="397"/>
      <c r="K32" s="397"/>
      <c r="L32" s="397"/>
      <c r="M32" s="397"/>
      <c r="N32" s="397"/>
      <c r="O32" s="397"/>
      <c r="P32" s="397"/>
      <c r="Q32" s="397"/>
      <c r="R32" s="398"/>
    </row>
  </sheetData>
  <mergeCells count="33">
    <mergeCell ref="A29:R29"/>
    <mergeCell ref="A30:R30"/>
    <mergeCell ref="A31:R31"/>
    <mergeCell ref="A32:R32"/>
    <mergeCell ref="H9:Q9"/>
    <mergeCell ref="R9:R13"/>
    <mergeCell ref="H10:Q10"/>
    <mergeCell ref="A25:C25"/>
    <mergeCell ref="A27:R27"/>
    <mergeCell ref="A28:R28"/>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A4:C4"/>
    <mergeCell ref="D4:G4"/>
    <mergeCell ref="E2:I2"/>
    <mergeCell ref="E3:I3"/>
  </mergeCells>
  <pageMargins left="0.26" right="0.21" top="0.48" bottom="0.45"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3</xdr:col>
                    <xdr:colOff>203200</xdr:colOff>
                    <xdr:row>0</xdr:row>
                    <xdr:rowOff>0</xdr:rowOff>
                  </from>
                  <to>
                    <xdr:col>3</xdr:col>
                    <xdr:colOff>406400</xdr:colOff>
                    <xdr:row>1</xdr:row>
                    <xdr:rowOff>0</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7</xdr:col>
                    <xdr:colOff>241300</xdr:colOff>
                    <xdr:row>0</xdr:row>
                    <xdr:rowOff>0</xdr:rowOff>
                  </from>
                  <to>
                    <xdr:col>8</xdr:col>
                    <xdr:colOff>95250</xdr:colOff>
                    <xdr:row>0</xdr:row>
                    <xdr:rowOff>139700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dimension ref="A1:R23"/>
  <sheetViews>
    <sheetView zoomScale="57" zoomScaleNormal="57" workbookViewId="0">
      <selection activeCell="A8" sqref="A8:R8"/>
    </sheetView>
  </sheetViews>
  <sheetFormatPr defaultRowHeight="12.5"/>
  <cols>
    <col min="3" max="3" width="70.81640625" customWidth="1"/>
    <col min="4" max="4" width="14.453125" customWidth="1"/>
    <col min="5" max="5" width="10.26953125" customWidth="1"/>
    <col min="6" max="6" width="11.81640625" customWidth="1"/>
    <col min="7" max="7" width="10.81640625" customWidth="1"/>
    <col min="8" max="8" width="14.26953125" customWidth="1"/>
    <col min="9" max="9" width="13" customWidth="1"/>
    <col min="10" max="10" width="13.26953125" customWidth="1"/>
    <col min="11" max="11" width="13.453125" customWidth="1"/>
    <col min="12" max="12" width="11.26953125" customWidth="1"/>
    <col min="14" max="15" width="7.1796875" customWidth="1"/>
    <col min="16" max="16" width="6.54296875" customWidth="1"/>
    <col min="17" max="17" width="6.81640625" customWidth="1"/>
    <col min="18" max="18" width="6"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425" t="s">
        <v>25</v>
      </c>
      <c r="F2" s="504"/>
      <c r="G2" s="504"/>
      <c r="H2" s="504"/>
      <c r="I2" s="504"/>
      <c r="J2" s="136"/>
      <c r="K2" s="136"/>
      <c r="L2" s="136"/>
      <c r="M2" s="136"/>
      <c r="N2" s="262" t="s">
        <v>420</v>
      </c>
      <c r="O2" s="137" t="s">
        <v>364</v>
      </c>
      <c r="P2" s="138"/>
      <c r="Q2" s="139" t="s">
        <v>365</v>
      </c>
      <c r="R2" s="140"/>
    </row>
    <row r="3" spans="1:18" ht="20.25" customHeight="1">
      <c r="A3" s="141"/>
      <c r="B3" s="85"/>
      <c r="C3" s="85"/>
      <c r="D3" s="85"/>
      <c r="E3" s="427" t="s">
        <v>26</v>
      </c>
      <c r="F3" s="428"/>
      <c r="G3" s="428"/>
      <c r="H3" s="428"/>
      <c r="I3" s="428"/>
      <c r="J3" s="85"/>
      <c r="K3" s="85"/>
      <c r="L3" s="85"/>
      <c r="M3" s="85"/>
      <c r="N3" s="85"/>
      <c r="O3" s="17"/>
      <c r="P3" s="17"/>
      <c r="Q3" s="17"/>
      <c r="R3" s="142"/>
    </row>
    <row r="4" spans="1:18" ht="15.5">
      <c r="A4" s="480" t="s">
        <v>386</v>
      </c>
      <c r="B4" s="483"/>
      <c r="C4" s="484"/>
      <c r="D4" s="490" t="s">
        <v>387</v>
      </c>
      <c r="E4" s="491"/>
      <c r="F4" s="491"/>
      <c r="G4" s="492"/>
      <c r="H4" s="362" t="s">
        <v>388</v>
      </c>
      <c r="I4" s="26"/>
      <c r="J4" s="480" t="s">
        <v>385</v>
      </c>
      <c r="K4" s="481"/>
      <c r="L4" s="482"/>
      <c r="M4" s="480" t="s">
        <v>389</v>
      </c>
      <c r="N4" s="483"/>
      <c r="O4" s="483"/>
      <c r="P4" s="483"/>
      <c r="Q4" s="483"/>
      <c r="R4" s="484"/>
    </row>
    <row r="5" spans="1:18" ht="21.75" customHeight="1">
      <c r="A5" s="505">
        <f>'CRPSignature Page'!A8</f>
        <v>0</v>
      </c>
      <c r="B5" s="506"/>
      <c r="C5" s="507"/>
      <c r="D5" s="505">
        <f>'CRPSignature Page'!D8</f>
        <v>0</v>
      </c>
      <c r="E5" s="506"/>
      <c r="F5" s="506"/>
      <c r="G5" s="507"/>
      <c r="H5" s="508" t="s">
        <v>10</v>
      </c>
      <c r="I5" s="409"/>
      <c r="J5" s="505">
        <f>'CRPSignature Page'!I8</f>
        <v>0</v>
      </c>
      <c r="K5" s="408"/>
      <c r="L5" s="409"/>
      <c r="M5" s="508">
        <f>'CRPSignature Page'!P8</f>
        <v>0</v>
      </c>
      <c r="N5" s="509"/>
      <c r="O5" s="442"/>
      <c r="P5" s="442"/>
      <c r="Q5" s="442"/>
      <c r="R5" s="443"/>
    </row>
    <row r="6" spans="1:18">
      <c r="A6" s="466"/>
      <c r="B6" s="466"/>
      <c r="C6" s="466"/>
      <c r="D6" s="466"/>
      <c r="E6" s="466"/>
      <c r="F6" s="466"/>
      <c r="G6" s="466"/>
      <c r="H6" s="466"/>
      <c r="I6" s="466"/>
      <c r="J6" s="466"/>
      <c r="K6" s="466"/>
      <c r="L6" s="466"/>
      <c r="M6" s="466"/>
      <c r="N6" s="466"/>
      <c r="O6" s="466"/>
      <c r="P6" s="466"/>
      <c r="Q6" s="466"/>
      <c r="R6" s="466"/>
    </row>
    <row r="7" spans="1:18" ht="108" customHeight="1">
      <c r="A7" s="467" t="s">
        <v>507</v>
      </c>
      <c r="B7" s="468"/>
      <c r="C7" s="468"/>
      <c r="D7" s="468"/>
      <c r="E7" s="468"/>
      <c r="F7" s="468"/>
      <c r="G7" s="468"/>
      <c r="H7" s="468"/>
      <c r="I7" s="468"/>
      <c r="J7" s="468"/>
      <c r="K7" s="468"/>
      <c r="L7" s="468"/>
      <c r="M7" s="468"/>
      <c r="N7" s="468"/>
      <c r="O7" s="468"/>
      <c r="P7" s="468"/>
      <c r="Q7" s="468"/>
      <c r="R7" s="469"/>
    </row>
    <row r="8" spans="1:18" ht="14">
      <c r="A8" s="510"/>
      <c r="B8" s="510"/>
      <c r="C8" s="510"/>
      <c r="D8" s="510"/>
      <c r="E8" s="510"/>
      <c r="F8" s="510"/>
      <c r="G8" s="510"/>
      <c r="H8" s="510"/>
      <c r="I8" s="510"/>
      <c r="J8" s="510"/>
      <c r="K8" s="510"/>
      <c r="L8" s="510"/>
      <c r="M8" s="510"/>
      <c r="N8" s="510"/>
      <c r="O8" s="510"/>
      <c r="P8" s="510"/>
      <c r="Q8" s="510"/>
      <c r="R8" s="51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21.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361" t="s">
        <v>339</v>
      </c>
      <c r="I12" s="361" t="s">
        <v>339</v>
      </c>
      <c r="J12" s="361" t="s">
        <v>339</v>
      </c>
      <c r="K12" s="361" t="s">
        <v>339</v>
      </c>
      <c r="L12" s="361" t="s">
        <v>339</v>
      </c>
      <c r="M12" s="361" t="s">
        <v>339</v>
      </c>
      <c r="N12" s="361" t="s">
        <v>339</v>
      </c>
      <c r="O12" s="361" t="s">
        <v>339</v>
      </c>
      <c r="P12" s="361" t="s">
        <v>339</v>
      </c>
      <c r="Q12" s="36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266"/>
      <c r="E15" s="274" t="s">
        <v>20</v>
      </c>
      <c r="F15" s="231"/>
      <c r="G15" s="268"/>
      <c r="H15" s="231"/>
      <c r="I15" s="28"/>
      <c r="J15" s="28"/>
      <c r="K15" s="28"/>
      <c r="L15" s="28"/>
      <c r="M15" s="28"/>
      <c r="N15" s="28"/>
      <c r="O15" s="28"/>
      <c r="P15" s="28"/>
      <c r="Q15" s="28"/>
      <c r="R15" s="13"/>
    </row>
    <row r="16" spans="1:18" ht="15.5">
      <c r="A16" s="501" t="s">
        <v>89</v>
      </c>
      <c r="B16" s="502"/>
      <c r="C16" s="503"/>
      <c r="D16" s="286"/>
      <c r="E16" s="280"/>
      <c r="F16" s="265"/>
      <c r="G16" s="281"/>
      <c r="H16" s="271">
        <f>SUM(H15:H15)</f>
        <v>0</v>
      </c>
      <c r="I16" s="23"/>
      <c r="J16" s="23"/>
      <c r="K16" s="23"/>
      <c r="L16" s="23"/>
      <c r="M16" s="23"/>
      <c r="N16" s="23"/>
      <c r="O16" s="23"/>
      <c r="P16" s="23"/>
      <c r="Q16" s="23"/>
      <c r="R16" s="25"/>
    </row>
    <row r="17" spans="1:18" ht="15.5">
      <c r="A17" s="363" t="str">
        <f>IF(AE46,AE48,"")</f>
        <v/>
      </c>
      <c r="B17" s="360"/>
      <c r="C17" s="360"/>
      <c r="D17" s="360"/>
      <c r="E17" s="360"/>
      <c r="F17" s="360"/>
      <c r="G17" s="360"/>
      <c r="H17" s="360"/>
      <c r="I17" s="360"/>
      <c r="J17" s="360"/>
      <c r="K17" s="360"/>
      <c r="L17" s="360"/>
      <c r="M17" s="360"/>
      <c r="N17" s="360"/>
      <c r="O17" s="360"/>
      <c r="P17" s="360"/>
      <c r="Q17" s="360"/>
      <c r="R17" s="360"/>
    </row>
    <row r="18" spans="1:18" ht="15.5">
      <c r="A18" s="401" t="s">
        <v>262</v>
      </c>
      <c r="B18" s="402"/>
      <c r="C18" s="402"/>
      <c r="D18" s="402"/>
      <c r="E18" s="402"/>
      <c r="F18" s="402"/>
      <c r="G18" s="402"/>
      <c r="H18" s="402"/>
      <c r="I18" s="402"/>
      <c r="J18" s="402"/>
      <c r="K18" s="402"/>
      <c r="L18" s="402"/>
      <c r="M18" s="402"/>
      <c r="N18" s="402"/>
      <c r="O18" s="402"/>
      <c r="P18" s="402"/>
      <c r="Q18" s="402"/>
      <c r="R18" s="403"/>
    </row>
    <row r="19" spans="1:18" ht="49.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9.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1.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1:C1"/>
    <mergeCell ref="A2:C2"/>
    <mergeCell ref="E2:I2"/>
    <mergeCell ref="E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0:R20"/>
    <mergeCell ref="A21:R21"/>
    <mergeCell ref="A22:R22"/>
    <mergeCell ref="A23:R23"/>
    <mergeCell ref="H9:Q9"/>
    <mergeCell ref="R9:R13"/>
    <mergeCell ref="H10:Q10"/>
    <mergeCell ref="A16:C16"/>
    <mergeCell ref="A18:R18"/>
    <mergeCell ref="A19:R1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1553" r:id="rId4" name="Check Box 1">
              <controlPr defaultSize="0" autoFill="0" autoLine="0" autoPict="0">
                <anchor moveWithCells="1">
                  <from>
                    <xdr:col>3</xdr:col>
                    <xdr:colOff>215900</xdr:colOff>
                    <xdr:row>0</xdr:row>
                    <xdr:rowOff>12700</xdr:rowOff>
                  </from>
                  <to>
                    <xdr:col>4</xdr:col>
                    <xdr:colOff>127000</xdr:colOff>
                    <xdr:row>0</xdr:row>
                    <xdr:rowOff>152400</xdr:rowOff>
                  </to>
                </anchor>
              </controlPr>
            </control>
          </mc:Choice>
        </mc:AlternateContent>
        <mc:AlternateContent xmlns:mc="http://schemas.openxmlformats.org/markup-compatibility/2006">
          <mc:Choice Requires="x14">
            <control shapeId="151554" r:id="rId5" name="Check Box 2">
              <controlPr defaultSize="0" autoFill="0" autoLine="0" autoPict="0">
                <anchor moveWithCells="1">
                  <from>
                    <xdr:col>7</xdr:col>
                    <xdr:colOff>266700</xdr:colOff>
                    <xdr:row>0</xdr:row>
                    <xdr:rowOff>0</xdr:rowOff>
                  </from>
                  <to>
                    <xdr:col>8</xdr:col>
                    <xdr:colOff>190500</xdr:colOff>
                    <xdr:row>0</xdr:row>
                    <xdr:rowOff>139700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1">
    <pageSetUpPr fitToPage="1"/>
  </sheetPr>
  <dimension ref="A1:R23"/>
  <sheetViews>
    <sheetView zoomScale="56" zoomScaleNormal="56" workbookViewId="0">
      <selection activeCell="A19" sqref="A19:R19"/>
    </sheetView>
  </sheetViews>
  <sheetFormatPr defaultRowHeight="12.5"/>
  <cols>
    <col min="3" max="3" width="58" customWidth="1"/>
    <col min="4" max="4" width="12.7265625" customWidth="1"/>
    <col min="7" max="7" width="11.54296875" customWidth="1"/>
    <col min="8" max="8" width="13" customWidth="1"/>
    <col min="10" max="10" width="15.1796875" customWidth="1"/>
    <col min="11" max="11" width="15.26953125" customWidth="1"/>
    <col min="12" max="12" width="12.453125" customWidth="1"/>
    <col min="14" max="14" width="5.7265625" customWidth="1"/>
    <col min="15" max="15" width="9" customWidth="1"/>
    <col min="16" max="16" width="7.7265625" customWidth="1"/>
    <col min="17" max="17" width="6.81640625" customWidth="1"/>
    <col min="18" max="18" width="7.2695312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18.5" customHeight="1">
      <c r="A7" s="467" t="s">
        <v>400</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ustomHeight="1">
      <c r="A15" s="12"/>
      <c r="B15" s="347"/>
      <c r="C15" s="206" t="s">
        <v>508</v>
      </c>
      <c r="D15" s="308"/>
      <c r="E15" s="297" t="s">
        <v>20</v>
      </c>
      <c r="F15" s="311">
        <f>'Component List'!D56</f>
        <v>0</v>
      </c>
      <c r="G15" s="287">
        <v>0</v>
      </c>
      <c r="H15" s="27"/>
      <c r="I15" s="28"/>
      <c r="J15" s="28"/>
      <c r="K15" s="28"/>
      <c r="L15" s="28"/>
      <c r="M15" s="28"/>
      <c r="N15" s="28"/>
      <c r="O15" s="28"/>
      <c r="P15" s="28"/>
      <c r="Q15" s="28"/>
      <c r="R15" s="13"/>
    </row>
    <row r="16" spans="1:18" ht="16.5" customHeight="1">
      <c r="A16" s="456" t="s">
        <v>89</v>
      </c>
      <c r="B16" s="457"/>
      <c r="C16" s="458"/>
      <c r="D16" s="165"/>
      <c r="E16" s="65"/>
      <c r="F16" s="23"/>
      <c r="G16" s="24"/>
      <c r="H16" s="23"/>
      <c r="I16" s="23"/>
      <c r="J16" s="23"/>
      <c r="K16" s="23"/>
      <c r="L16" s="23"/>
      <c r="M16" s="23"/>
      <c r="N16" s="23"/>
      <c r="O16" s="23"/>
      <c r="P16" s="23"/>
      <c r="Q16" s="23"/>
      <c r="R16" s="25"/>
    </row>
    <row r="17" spans="1:18" ht="15.5">
      <c r="A17" s="110" t="str">
        <f>IF(AE46,AE48,"")</f>
        <v/>
      </c>
      <c r="B17" s="162"/>
      <c r="C17" s="162"/>
      <c r="D17" s="162"/>
      <c r="E17" s="162"/>
      <c r="F17" s="162"/>
      <c r="G17" s="162"/>
      <c r="H17" s="162"/>
      <c r="I17" s="162"/>
      <c r="J17" s="162"/>
      <c r="K17" s="162"/>
      <c r="L17" s="162"/>
      <c r="M17" s="162"/>
      <c r="N17" s="162"/>
      <c r="O17" s="162"/>
      <c r="P17" s="162"/>
      <c r="Q17" s="162"/>
      <c r="R17" s="162"/>
    </row>
    <row r="18" spans="1:18" ht="15.5">
      <c r="A18" s="401" t="s">
        <v>262</v>
      </c>
      <c r="B18" s="402"/>
      <c r="C18" s="402"/>
      <c r="D18" s="402"/>
      <c r="E18" s="402"/>
      <c r="F18" s="402"/>
      <c r="G18" s="402"/>
      <c r="H18" s="402"/>
      <c r="I18" s="402"/>
      <c r="J18" s="402"/>
      <c r="K18" s="402"/>
      <c r="L18" s="402"/>
      <c r="M18" s="402"/>
      <c r="N18" s="402"/>
      <c r="O18" s="402"/>
      <c r="P18" s="402"/>
      <c r="Q18" s="402"/>
      <c r="R18" s="403"/>
    </row>
    <row r="19" spans="1:18" ht="50.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9.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82.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0:R20"/>
    <mergeCell ref="A21:R21"/>
    <mergeCell ref="A22:R22"/>
    <mergeCell ref="A23:R23"/>
    <mergeCell ref="H9:Q9"/>
    <mergeCell ref="R9:R13"/>
    <mergeCell ref="H10:Q10"/>
    <mergeCell ref="A16:C16"/>
    <mergeCell ref="A18:R18"/>
    <mergeCell ref="A19:R19"/>
  </mergeCells>
  <pageMargins left="0.54" right="0.54" top="0.75" bottom="0.75"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nchor moveWithCells="1">
                  <from>
                    <xdr:col>3</xdr:col>
                    <xdr:colOff>203200</xdr:colOff>
                    <xdr:row>0</xdr:row>
                    <xdr:rowOff>0</xdr:rowOff>
                  </from>
                  <to>
                    <xdr:col>3</xdr:col>
                    <xdr:colOff>406400</xdr:colOff>
                    <xdr:row>1</xdr:row>
                    <xdr:rowOff>0</xdr:rowOff>
                  </to>
                </anchor>
              </controlPr>
            </control>
          </mc:Choice>
        </mc:AlternateContent>
        <mc:AlternateContent xmlns:mc="http://schemas.openxmlformats.org/markup-compatibility/2006">
          <mc:Choice Requires="x14">
            <control shapeId="19458" r:id="rId5" name="Check Box 2">
              <controlPr defaultSize="0" autoFill="0" autoLine="0" autoPict="0">
                <anchor moveWithCells="1">
                  <from>
                    <xdr:col>7</xdr:col>
                    <xdr:colOff>234950</xdr:colOff>
                    <xdr:row>0</xdr:row>
                    <xdr:rowOff>0</xdr:rowOff>
                  </from>
                  <to>
                    <xdr:col>8</xdr:col>
                    <xdr:colOff>215900</xdr:colOff>
                    <xdr:row>0</xdr:row>
                    <xdr:rowOff>139700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R23"/>
  <sheetViews>
    <sheetView zoomScale="62" zoomScaleNormal="62" workbookViewId="0">
      <selection activeCell="D15" sqref="D15"/>
    </sheetView>
  </sheetViews>
  <sheetFormatPr defaultRowHeight="12.5"/>
  <cols>
    <col min="3" max="3" width="70.54296875" customWidth="1"/>
    <col min="4" max="4" width="12.26953125" customWidth="1"/>
    <col min="6" max="6" width="11.26953125" customWidth="1"/>
    <col min="7" max="7" width="11.7265625" customWidth="1"/>
    <col min="8" max="8" width="14.453125" customWidth="1"/>
    <col min="9" max="9" width="11.81640625" customWidth="1"/>
    <col min="10" max="10" width="14.453125" customWidth="1"/>
    <col min="11" max="11" width="12.81640625" customWidth="1"/>
    <col min="12" max="12" width="11.81640625" customWidth="1"/>
    <col min="14" max="14" width="6.26953125" customWidth="1"/>
    <col min="15" max="15" width="6.54296875" customWidth="1"/>
    <col min="16" max="16" width="6.1796875" customWidth="1"/>
    <col min="17" max="17" width="5.453125" customWidth="1"/>
    <col min="18" max="18" width="6.453125"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2.25" customHeight="1">
      <c r="A7" s="467" t="s">
        <v>475</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ht="15" customHeight="1">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7.2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33"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7.2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3"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9201" r:id="rId3" name="Check Box 1">
              <controlPr defaultSize="0" autoFill="0" autoLine="0" autoPict="0">
                <anchor moveWithCells="1">
                  <from>
                    <xdr:col>3</xdr:col>
                    <xdr:colOff>165100</xdr:colOff>
                    <xdr:row>0</xdr:row>
                    <xdr:rowOff>0</xdr:rowOff>
                  </from>
                  <to>
                    <xdr:col>3</xdr:col>
                    <xdr:colOff>482600</xdr:colOff>
                    <xdr:row>0</xdr:row>
                    <xdr:rowOff>139700</xdr:rowOff>
                  </to>
                </anchor>
              </controlPr>
            </control>
          </mc:Choice>
        </mc:AlternateContent>
        <mc:AlternateContent xmlns:mc="http://schemas.openxmlformats.org/markup-compatibility/2006">
          <mc:Choice Requires="x14">
            <control shapeId="179202" r:id="rId4" name="Check Box 2">
              <controlPr defaultSize="0" autoFill="0" autoLine="0" autoPict="0">
                <anchor moveWithCells="1">
                  <from>
                    <xdr:col>7</xdr:col>
                    <xdr:colOff>171450</xdr:colOff>
                    <xdr:row>0</xdr:row>
                    <xdr:rowOff>12700</xdr:rowOff>
                  </from>
                  <to>
                    <xdr:col>8</xdr:col>
                    <xdr:colOff>88900</xdr:colOff>
                    <xdr:row>0</xdr:row>
                    <xdr:rowOff>146050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1">
    <pageSetUpPr fitToPage="1"/>
  </sheetPr>
  <dimension ref="A1:R31"/>
  <sheetViews>
    <sheetView zoomScale="56" zoomScaleNormal="56" workbookViewId="0">
      <selection activeCell="D15" sqref="D15"/>
    </sheetView>
  </sheetViews>
  <sheetFormatPr defaultRowHeight="12.5"/>
  <cols>
    <col min="3" max="3" width="66.54296875" customWidth="1"/>
    <col min="4" max="4" width="13.1796875" customWidth="1"/>
    <col min="7" max="7" width="10.7265625" customWidth="1"/>
    <col min="8" max="8" width="14.7265625" customWidth="1"/>
    <col min="10" max="10" width="15" customWidth="1"/>
    <col min="11" max="11" width="16.26953125" customWidth="1"/>
    <col min="12" max="12" width="12" customWidth="1"/>
    <col min="14" max="14" width="5.54296875" customWidth="1"/>
    <col min="15" max="15" width="9.453125" customWidth="1"/>
    <col min="16" max="16" width="7.54296875" customWidth="1"/>
    <col min="17" max="17" width="6.26953125" customWidth="1"/>
    <col min="18" max="18" width="7"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6" customHeight="1">
      <c r="A7" s="467" t="s">
        <v>476</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160</v>
      </c>
      <c r="D15" s="308"/>
      <c r="E15" s="297" t="s">
        <v>20</v>
      </c>
      <c r="F15" s="231">
        <f>'Component List'!D2</f>
        <v>1.6399999999999997</v>
      </c>
      <c r="G15" s="287">
        <v>50</v>
      </c>
      <c r="H15" s="231">
        <f>D15*F15*G15/100</f>
        <v>0</v>
      </c>
      <c r="I15" s="264"/>
      <c r="J15" s="264"/>
      <c r="K15" s="264"/>
      <c r="L15" s="264"/>
      <c r="M15" s="264"/>
      <c r="N15" s="28"/>
      <c r="O15" s="28"/>
      <c r="P15" s="28"/>
      <c r="Q15" s="28"/>
      <c r="R15" s="13"/>
    </row>
    <row r="16" spans="1:18" ht="17.5">
      <c r="A16" s="12"/>
      <c r="B16" s="347"/>
      <c r="C16" s="206" t="s">
        <v>159</v>
      </c>
      <c r="D16" s="308"/>
      <c r="E16" s="297" t="s">
        <v>20</v>
      </c>
      <c r="F16" s="231">
        <f>'Component List'!D3</f>
        <v>0</v>
      </c>
      <c r="G16" s="287">
        <v>50</v>
      </c>
      <c r="H16" s="231">
        <f>D16*F16*G16/100</f>
        <v>0</v>
      </c>
      <c r="I16" s="264"/>
      <c r="J16" s="264"/>
      <c r="K16" s="264"/>
      <c r="L16" s="264"/>
      <c r="M16" s="264"/>
      <c r="N16" s="28"/>
      <c r="O16" s="28"/>
      <c r="P16" s="28"/>
      <c r="Q16" s="28"/>
      <c r="R16" s="13"/>
    </row>
    <row r="17" spans="1:18" ht="17.5">
      <c r="A17" s="12"/>
      <c r="B17" s="347"/>
      <c r="C17" s="206" t="s">
        <v>161</v>
      </c>
      <c r="D17" s="308"/>
      <c r="E17" s="297" t="s">
        <v>20</v>
      </c>
      <c r="F17" s="231">
        <f>'Component List'!D4</f>
        <v>80.06</v>
      </c>
      <c r="G17" s="287">
        <v>50</v>
      </c>
      <c r="H17" s="231">
        <f t="shared" ref="H17:H23" si="0">D17*F17*G17/100</f>
        <v>0</v>
      </c>
      <c r="I17" s="264"/>
      <c r="J17" s="264"/>
      <c r="K17" s="264"/>
      <c r="L17" s="264"/>
      <c r="M17" s="264"/>
      <c r="N17" s="28"/>
      <c r="O17" s="28"/>
      <c r="P17" s="28"/>
      <c r="Q17" s="28"/>
      <c r="R17" s="13"/>
    </row>
    <row r="18" spans="1:18" ht="17.5">
      <c r="A18" s="12"/>
      <c r="B18" s="347"/>
      <c r="C18" s="206" t="s">
        <v>162</v>
      </c>
      <c r="D18" s="308"/>
      <c r="E18" s="297" t="s">
        <v>20</v>
      </c>
      <c r="F18" s="231">
        <f>'Component List'!D5</f>
        <v>62.6</v>
      </c>
      <c r="G18" s="287">
        <v>50</v>
      </c>
      <c r="H18" s="231">
        <f t="shared" si="0"/>
        <v>0</v>
      </c>
      <c r="I18" s="264"/>
      <c r="J18" s="264"/>
      <c r="K18" s="264"/>
      <c r="L18" s="264"/>
      <c r="M18" s="264"/>
      <c r="N18" s="28"/>
      <c r="O18" s="28"/>
      <c r="P18" s="28"/>
      <c r="Q18" s="28"/>
      <c r="R18" s="13"/>
    </row>
    <row r="19" spans="1:18" ht="17.5">
      <c r="A19" s="12"/>
      <c r="B19" s="347"/>
      <c r="C19" s="206" t="s">
        <v>292</v>
      </c>
      <c r="D19" s="308"/>
      <c r="E19" s="297" t="s">
        <v>20</v>
      </c>
      <c r="F19" s="231">
        <f>'Component List'!D11</f>
        <v>214.1</v>
      </c>
      <c r="G19" s="287">
        <v>50</v>
      </c>
      <c r="H19" s="231">
        <f t="shared" si="0"/>
        <v>0</v>
      </c>
      <c r="I19" s="264"/>
      <c r="J19" s="264"/>
      <c r="K19" s="264"/>
      <c r="L19" s="264"/>
      <c r="M19" s="264"/>
      <c r="N19" s="28"/>
      <c r="O19" s="28"/>
      <c r="P19" s="28"/>
      <c r="Q19" s="28"/>
      <c r="R19" s="13"/>
    </row>
    <row r="20" spans="1:18" ht="17.5">
      <c r="A20" s="12"/>
      <c r="B20" s="347"/>
      <c r="C20" s="249" t="s">
        <v>164</v>
      </c>
      <c r="D20" s="308"/>
      <c r="E20" s="297" t="s">
        <v>20</v>
      </c>
      <c r="F20" s="231">
        <f>'Component List'!D14</f>
        <v>16.079999999999998</v>
      </c>
      <c r="G20" s="287">
        <v>50</v>
      </c>
      <c r="H20" s="231">
        <f t="shared" si="0"/>
        <v>0</v>
      </c>
      <c r="I20" s="264"/>
      <c r="J20" s="264"/>
      <c r="K20" s="264"/>
      <c r="L20" s="264"/>
      <c r="M20" s="264"/>
      <c r="N20" s="28"/>
      <c r="O20" s="28"/>
      <c r="P20" s="28"/>
      <c r="Q20" s="28"/>
      <c r="R20" s="13"/>
    </row>
    <row r="21" spans="1:18" ht="17.5">
      <c r="A21" s="35"/>
      <c r="B21" s="349"/>
      <c r="C21" s="207" t="s">
        <v>416</v>
      </c>
      <c r="D21" s="308"/>
      <c r="E21" s="312" t="s">
        <v>20</v>
      </c>
      <c r="F21" s="231">
        <f>'Component List'!D16</f>
        <v>84.42</v>
      </c>
      <c r="G21" s="287">
        <v>50</v>
      </c>
      <c r="H21" s="292">
        <f t="shared" si="0"/>
        <v>0</v>
      </c>
      <c r="I21" s="264"/>
      <c r="J21" s="269"/>
      <c r="K21" s="269"/>
      <c r="L21" s="269"/>
      <c r="M21" s="269"/>
      <c r="N21" s="68"/>
      <c r="O21" s="68"/>
      <c r="P21" s="68"/>
      <c r="Q21" s="68"/>
      <c r="R21" s="43"/>
    </row>
    <row r="22" spans="1:18" ht="17.5">
      <c r="A22" s="12"/>
      <c r="B22" s="347"/>
      <c r="C22" s="206" t="s">
        <v>165</v>
      </c>
      <c r="D22" s="308"/>
      <c r="E22" s="297" t="s">
        <v>20</v>
      </c>
      <c r="F22" s="231">
        <f>'Component List'!D28</f>
        <v>94.14</v>
      </c>
      <c r="G22" s="287">
        <v>50</v>
      </c>
      <c r="H22" s="231">
        <f t="shared" si="0"/>
        <v>0</v>
      </c>
      <c r="I22" s="270"/>
      <c r="J22" s="264"/>
      <c r="K22" s="264"/>
      <c r="L22" s="264"/>
      <c r="M22" s="264"/>
      <c r="N22" s="28"/>
      <c r="O22" s="28"/>
      <c r="P22" s="28"/>
      <c r="Q22" s="28"/>
      <c r="R22" s="13"/>
    </row>
    <row r="23" spans="1:18" ht="17.5">
      <c r="A23" s="12"/>
      <c r="B23" s="347"/>
      <c r="C23" s="206" t="s">
        <v>163</v>
      </c>
      <c r="D23" s="308"/>
      <c r="E23" s="297" t="s">
        <v>20</v>
      </c>
      <c r="F23" s="231">
        <f>'Component List'!D15</f>
        <v>21.78</v>
      </c>
      <c r="G23" s="287">
        <v>50</v>
      </c>
      <c r="H23" s="231">
        <f t="shared" si="0"/>
        <v>0</v>
      </c>
      <c r="I23" s="264"/>
      <c r="J23" s="264"/>
      <c r="K23" s="264"/>
      <c r="L23" s="264"/>
      <c r="M23" s="264"/>
      <c r="N23" s="28"/>
      <c r="O23" s="28"/>
      <c r="P23" s="28"/>
      <c r="Q23" s="28"/>
      <c r="R23" s="13"/>
    </row>
    <row r="24" spans="1:18" ht="15.5">
      <c r="A24" s="456" t="s">
        <v>89</v>
      </c>
      <c r="B24" s="457"/>
      <c r="C24" s="458"/>
      <c r="D24" s="286"/>
      <c r="E24" s="280"/>
      <c r="F24" s="265"/>
      <c r="G24" s="281"/>
      <c r="H24" s="271">
        <f t="shared" ref="H24:M24" si="1">SUM(H15:H23)</f>
        <v>0</v>
      </c>
      <c r="I24" s="271">
        <f t="shared" si="1"/>
        <v>0</v>
      </c>
      <c r="J24" s="271">
        <f t="shared" si="1"/>
        <v>0</v>
      </c>
      <c r="K24" s="271">
        <f t="shared" si="1"/>
        <v>0</v>
      </c>
      <c r="L24" s="271">
        <f t="shared" si="1"/>
        <v>0</v>
      </c>
      <c r="M24" s="271">
        <f t="shared" si="1"/>
        <v>0</v>
      </c>
      <c r="N24" s="23"/>
      <c r="O24" s="23"/>
      <c r="P24" s="23"/>
      <c r="Q24" s="23"/>
      <c r="R24" s="25"/>
    </row>
    <row r="25" spans="1:18" ht="15.5">
      <c r="A25" s="110" t="str">
        <f>IF(AE54,AE56,"")</f>
        <v/>
      </c>
      <c r="B25" s="162"/>
      <c r="C25" s="162"/>
      <c r="D25" s="162"/>
      <c r="E25" s="162"/>
      <c r="F25" s="162"/>
      <c r="G25" s="162"/>
      <c r="H25" s="162"/>
      <c r="I25" s="162"/>
      <c r="J25" s="162"/>
      <c r="K25" s="162"/>
      <c r="L25" s="162"/>
      <c r="M25" s="162"/>
      <c r="N25" s="162"/>
      <c r="O25" s="162"/>
      <c r="P25" s="162"/>
      <c r="Q25" s="162"/>
      <c r="R25" s="162"/>
    </row>
    <row r="26" spans="1:18" ht="15.5">
      <c r="A26" s="401" t="s">
        <v>262</v>
      </c>
      <c r="B26" s="402"/>
      <c r="C26" s="402"/>
      <c r="D26" s="402"/>
      <c r="E26" s="402"/>
      <c r="F26" s="402"/>
      <c r="G26" s="402"/>
      <c r="H26" s="402"/>
      <c r="I26" s="402"/>
      <c r="J26" s="402"/>
      <c r="K26" s="402"/>
      <c r="L26" s="402"/>
      <c r="M26" s="402"/>
      <c r="N26" s="402"/>
      <c r="O26" s="402"/>
      <c r="P26" s="402"/>
      <c r="Q26" s="402"/>
      <c r="R26" s="403"/>
    </row>
    <row r="27" spans="1:18" ht="48" customHeight="1">
      <c r="A27" s="393" t="s">
        <v>434</v>
      </c>
      <c r="B27" s="394"/>
      <c r="C27" s="394"/>
      <c r="D27" s="394"/>
      <c r="E27" s="394"/>
      <c r="F27" s="394"/>
      <c r="G27" s="394"/>
      <c r="H27" s="394"/>
      <c r="I27" s="394"/>
      <c r="J27" s="394"/>
      <c r="K27" s="394"/>
      <c r="L27" s="394"/>
      <c r="M27" s="394"/>
      <c r="N27" s="394"/>
      <c r="O27" s="394"/>
      <c r="P27" s="394"/>
      <c r="Q27" s="394"/>
      <c r="R27" s="395"/>
    </row>
    <row r="28" spans="1:18" ht="15.5">
      <c r="A28" s="460" t="s">
        <v>390</v>
      </c>
      <c r="B28" s="461"/>
      <c r="C28" s="461"/>
      <c r="D28" s="461"/>
      <c r="E28" s="461"/>
      <c r="F28" s="461"/>
      <c r="G28" s="461"/>
      <c r="H28" s="461"/>
      <c r="I28" s="461"/>
      <c r="J28" s="461"/>
      <c r="K28" s="461"/>
      <c r="L28" s="461"/>
      <c r="M28" s="461"/>
      <c r="N28" s="461"/>
      <c r="O28" s="461"/>
      <c r="P28" s="461"/>
      <c r="Q28" s="461"/>
      <c r="R28" s="462"/>
    </row>
    <row r="29" spans="1:18" ht="52.5" customHeight="1">
      <c r="A29" s="463" t="s">
        <v>392</v>
      </c>
      <c r="B29" s="464"/>
      <c r="C29" s="464"/>
      <c r="D29" s="464"/>
      <c r="E29" s="464"/>
      <c r="F29" s="464"/>
      <c r="G29" s="464"/>
      <c r="H29" s="464"/>
      <c r="I29" s="464"/>
      <c r="J29" s="464"/>
      <c r="K29" s="464"/>
      <c r="L29" s="464"/>
      <c r="M29" s="464"/>
      <c r="N29" s="464"/>
      <c r="O29" s="464"/>
      <c r="P29" s="464"/>
      <c r="Q29" s="464"/>
      <c r="R29" s="465"/>
    </row>
    <row r="30" spans="1:18" ht="15.5">
      <c r="A30" s="413" t="s">
        <v>221</v>
      </c>
      <c r="B30" s="414"/>
      <c r="C30" s="414"/>
      <c r="D30" s="414"/>
      <c r="E30" s="414"/>
      <c r="F30" s="414"/>
      <c r="G30" s="414"/>
      <c r="H30" s="414"/>
      <c r="I30" s="414"/>
      <c r="J30" s="414"/>
      <c r="K30" s="414"/>
      <c r="L30" s="414"/>
      <c r="M30" s="414"/>
      <c r="N30" s="414"/>
      <c r="O30" s="414"/>
      <c r="P30" s="414"/>
      <c r="Q30" s="414"/>
      <c r="R30" s="415"/>
    </row>
    <row r="31" spans="1:18" ht="85.5" customHeight="1">
      <c r="A31" s="396" t="s">
        <v>370</v>
      </c>
      <c r="B31" s="397"/>
      <c r="C31" s="397"/>
      <c r="D31" s="397"/>
      <c r="E31" s="397"/>
      <c r="F31" s="397"/>
      <c r="G31" s="397"/>
      <c r="H31" s="397"/>
      <c r="I31" s="397"/>
      <c r="J31" s="397"/>
      <c r="K31" s="397"/>
      <c r="L31" s="397"/>
      <c r="M31" s="397"/>
      <c r="N31" s="397"/>
      <c r="O31" s="397"/>
      <c r="P31" s="397"/>
      <c r="Q31" s="397"/>
      <c r="R31"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8:R28"/>
    <mergeCell ref="A29:R29"/>
    <mergeCell ref="A30:R30"/>
    <mergeCell ref="A31:R31"/>
    <mergeCell ref="H9:Q9"/>
    <mergeCell ref="R9:R13"/>
    <mergeCell ref="H10:Q10"/>
    <mergeCell ref="A24:C24"/>
    <mergeCell ref="A26:R26"/>
    <mergeCell ref="A27:R27"/>
  </mergeCells>
  <pageMargins left="0.28999999999999998" right="0.3" top="0.56000000000000005" bottom="0.54"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20482" r:id="rId5" name="Check Box 2">
              <controlPr defaultSize="0" autoFill="0" autoLine="0" autoPict="0">
                <anchor moveWithCells="1">
                  <from>
                    <xdr:col>7</xdr:col>
                    <xdr:colOff>241300</xdr:colOff>
                    <xdr:row>0</xdr:row>
                    <xdr:rowOff>0</xdr:rowOff>
                  </from>
                  <to>
                    <xdr:col>8</xdr:col>
                    <xdr:colOff>146050</xdr:colOff>
                    <xdr:row>0</xdr:row>
                    <xdr:rowOff>139700</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3"/>
  <sheetViews>
    <sheetView zoomScale="60" zoomScaleNormal="60" workbookViewId="0">
      <selection activeCell="D15" sqref="D15"/>
    </sheetView>
  </sheetViews>
  <sheetFormatPr defaultRowHeight="12.5"/>
  <cols>
    <col min="3" max="3" width="64.7265625" customWidth="1"/>
    <col min="4" max="4" width="12.7265625" customWidth="1"/>
    <col min="6" max="6" width="11.54296875" customWidth="1"/>
    <col min="7" max="7" width="12.26953125" customWidth="1"/>
    <col min="8" max="8" width="14.54296875" customWidth="1"/>
    <col min="9" max="10" width="12.453125" customWidth="1"/>
    <col min="11" max="11" width="13" customWidth="1"/>
    <col min="12" max="12" width="13.7265625" customWidth="1"/>
    <col min="13" max="13" width="13.1796875" customWidth="1"/>
    <col min="14" max="14" width="7.7265625" customWidth="1"/>
    <col min="15" max="15" width="7.26953125" customWidth="1"/>
    <col min="16" max="16" width="5.26953125" customWidth="1"/>
    <col min="17" max="18" width="5.8164062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7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1.5" customHeight="1">
      <c r="A7" s="467" t="s">
        <v>505</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 customHeight="1">
      <c r="A12" s="453"/>
      <c r="B12" s="453"/>
      <c r="C12" s="499"/>
      <c r="D12" s="475"/>
      <c r="E12" s="478"/>
      <c r="F12" s="453"/>
      <c r="G12" s="453"/>
      <c r="H12" s="379" t="s">
        <v>339</v>
      </c>
      <c r="I12" s="379" t="s">
        <v>339</v>
      </c>
      <c r="J12" s="379" t="s">
        <v>339</v>
      </c>
      <c r="K12" s="379" t="s">
        <v>339</v>
      </c>
      <c r="L12" s="379" t="s">
        <v>339</v>
      </c>
      <c r="M12" s="379" t="s">
        <v>339</v>
      </c>
      <c r="N12" s="379" t="s">
        <v>339</v>
      </c>
      <c r="O12" s="379" t="s">
        <v>339</v>
      </c>
      <c r="P12" s="379" t="s">
        <v>339</v>
      </c>
      <c r="Q12" s="37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94"/>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80" t="str">
        <f>IF(AE46,AE48,"")</f>
        <v/>
      </c>
      <c r="B17" s="377"/>
      <c r="C17" s="377"/>
      <c r="D17" s="377"/>
      <c r="E17" s="377"/>
      <c r="F17" s="377"/>
      <c r="G17" s="377"/>
      <c r="H17" s="377"/>
      <c r="I17" s="377"/>
      <c r="J17" s="377"/>
      <c r="K17" s="377"/>
      <c r="L17" s="377"/>
      <c r="M17" s="377"/>
      <c r="N17" s="377"/>
      <c r="O17" s="377"/>
      <c r="P17" s="377"/>
      <c r="Q17" s="377"/>
      <c r="R17" s="377"/>
    </row>
    <row r="18" spans="1:18" ht="15.5">
      <c r="A18" s="401" t="s">
        <v>262</v>
      </c>
      <c r="B18" s="402"/>
      <c r="C18" s="402"/>
      <c r="D18" s="402"/>
      <c r="E18" s="402"/>
      <c r="F18" s="402"/>
      <c r="G18" s="402"/>
      <c r="H18" s="402"/>
      <c r="I18" s="402"/>
      <c r="J18" s="402"/>
      <c r="K18" s="402"/>
      <c r="L18" s="402"/>
      <c r="M18" s="402"/>
      <c r="N18" s="402"/>
      <c r="O18" s="402"/>
      <c r="P18" s="402"/>
      <c r="Q18" s="402"/>
      <c r="R18" s="403"/>
    </row>
    <row r="19" spans="1:18" ht="51"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8.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8.2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3233" r:id="rId3" name="Check Box 1">
              <controlPr defaultSize="0" autoFill="0" autoLine="0" autoPict="0">
                <anchor moveWithCells="1">
                  <from>
                    <xdr:col>3</xdr:col>
                    <xdr:colOff>177800</xdr:colOff>
                    <xdr:row>0</xdr:row>
                    <xdr:rowOff>12700</xdr:rowOff>
                  </from>
                  <to>
                    <xdr:col>4</xdr:col>
                    <xdr:colOff>101600</xdr:colOff>
                    <xdr:row>0</xdr:row>
                    <xdr:rowOff>152400</xdr:rowOff>
                  </to>
                </anchor>
              </controlPr>
            </control>
          </mc:Choice>
        </mc:AlternateContent>
        <mc:AlternateContent xmlns:mc="http://schemas.openxmlformats.org/markup-compatibility/2006">
          <mc:Choice Requires="x14">
            <control shapeId="223234" r:id="rId4" name="Check Box 2">
              <controlPr defaultSize="0" autoFill="0" autoLine="0" autoPict="0">
                <anchor moveWithCells="1">
                  <from>
                    <xdr:col>7</xdr:col>
                    <xdr:colOff>209550</xdr:colOff>
                    <xdr:row>0</xdr:row>
                    <xdr:rowOff>12700</xdr:rowOff>
                  </from>
                  <to>
                    <xdr:col>8</xdr:col>
                    <xdr:colOff>50800</xdr:colOff>
                    <xdr:row>0</xdr:row>
                    <xdr:rowOff>152400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R32"/>
  <sheetViews>
    <sheetView zoomScale="56" zoomScaleNormal="56" workbookViewId="0">
      <selection activeCell="D15" sqref="D15"/>
    </sheetView>
  </sheetViews>
  <sheetFormatPr defaultRowHeight="12.5"/>
  <cols>
    <col min="3" max="3" width="65.7265625" customWidth="1"/>
    <col min="4" max="4" width="12.453125" customWidth="1"/>
    <col min="7" max="7" width="12.26953125" customWidth="1"/>
    <col min="8" max="8" width="14" customWidth="1"/>
    <col min="10" max="11" width="15" customWidth="1"/>
    <col min="12" max="12" width="13.26953125" customWidth="1"/>
    <col min="14" max="14" width="8.1796875" customWidth="1"/>
    <col min="15" max="15" width="9.453125" customWidth="1"/>
    <col min="16" max="16" width="6" customWidth="1"/>
    <col min="17" max="17" width="5.81640625" customWidth="1"/>
    <col min="18" max="18" width="6"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20.2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2.75" customHeight="1">
      <c r="A7" s="467" t="s">
        <v>506</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160</v>
      </c>
      <c r="D15" s="308"/>
      <c r="E15" s="297" t="s">
        <v>20</v>
      </c>
      <c r="F15" s="231">
        <f>'Component List'!D2</f>
        <v>1.6399999999999997</v>
      </c>
      <c r="G15" s="287">
        <v>50</v>
      </c>
      <c r="H15" s="231">
        <f>D15*F15*G15/100</f>
        <v>0</v>
      </c>
      <c r="I15" s="264"/>
      <c r="J15" s="264"/>
      <c r="K15" s="264"/>
      <c r="L15" s="264"/>
      <c r="M15" s="264"/>
      <c r="N15" s="28"/>
      <c r="O15" s="28"/>
      <c r="P15" s="28"/>
      <c r="Q15" s="28"/>
      <c r="R15" s="13"/>
    </row>
    <row r="16" spans="1:18" ht="17.5">
      <c r="A16" s="12"/>
      <c r="B16" s="347"/>
      <c r="C16" s="206" t="s">
        <v>159</v>
      </c>
      <c r="D16" s="308"/>
      <c r="E16" s="297" t="s">
        <v>20</v>
      </c>
      <c r="F16" s="231">
        <f>'Component List'!D3</f>
        <v>0</v>
      </c>
      <c r="G16" s="287">
        <v>50</v>
      </c>
      <c r="H16" s="231">
        <f>D16*F16*G16/100</f>
        <v>0</v>
      </c>
      <c r="I16" s="264"/>
      <c r="J16" s="264"/>
      <c r="K16" s="264"/>
      <c r="L16" s="264"/>
      <c r="M16" s="264"/>
      <c r="N16" s="28"/>
      <c r="O16" s="28"/>
      <c r="P16" s="28"/>
      <c r="Q16" s="28"/>
      <c r="R16" s="13"/>
    </row>
    <row r="17" spans="1:18" ht="17.5">
      <c r="A17" s="12"/>
      <c r="B17" s="347"/>
      <c r="C17" s="206" t="s">
        <v>161</v>
      </c>
      <c r="D17" s="308"/>
      <c r="E17" s="297" t="s">
        <v>20</v>
      </c>
      <c r="F17" s="231">
        <f>'Component List'!D4</f>
        <v>80.06</v>
      </c>
      <c r="G17" s="287">
        <v>50</v>
      </c>
      <c r="H17" s="231">
        <f t="shared" ref="H17:H23" si="0">D17*F17*G17/100</f>
        <v>0</v>
      </c>
      <c r="I17" s="264"/>
      <c r="J17" s="264"/>
      <c r="K17" s="264"/>
      <c r="L17" s="264"/>
      <c r="M17" s="264"/>
      <c r="N17" s="28"/>
      <c r="O17" s="28"/>
      <c r="P17" s="28"/>
      <c r="Q17" s="28"/>
      <c r="R17" s="13"/>
    </row>
    <row r="18" spans="1:18" ht="17.5">
      <c r="A18" s="12"/>
      <c r="B18" s="347"/>
      <c r="C18" s="206" t="s">
        <v>162</v>
      </c>
      <c r="D18" s="308"/>
      <c r="E18" s="297" t="s">
        <v>20</v>
      </c>
      <c r="F18" s="231">
        <f>'Component List'!D5</f>
        <v>62.6</v>
      </c>
      <c r="G18" s="287">
        <v>50</v>
      </c>
      <c r="H18" s="231">
        <f t="shared" si="0"/>
        <v>0</v>
      </c>
      <c r="I18" s="264"/>
      <c r="J18" s="264"/>
      <c r="K18" s="264"/>
      <c r="L18" s="264"/>
      <c r="M18" s="264"/>
      <c r="N18" s="28"/>
      <c r="O18" s="28"/>
      <c r="P18" s="28"/>
      <c r="Q18" s="28"/>
      <c r="R18" s="13"/>
    </row>
    <row r="19" spans="1:18" ht="17.5">
      <c r="A19" s="12"/>
      <c r="B19" s="347"/>
      <c r="C19" s="206" t="s">
        <v>292</v>
      </c>
      <c r="D19" s="308"/>
      <c r="E19" s="297" t="s">
        <v>20</v>
      </c>
      <c r="F19" s="231">
        <f>'Component List'!D11</f>
        <v>214.1</v>
      </c>
      <c r="G19" s="287">
        <v>50</v>
      </c>
      <c r="H19" s="231">
        <f t="shared" si="0"/>
        <v>0</v>
      </c>
      <c r="I19" s="264"/>
      <c r="J19" s="264"/>
      <c r="K19" s="264"/>
      <c r="L19" s="264"/>
      <c r="M19" s="264"/>
      <c r="N19" s="28"/>
      <c r="O19" s="28"/>
      <c r="P19" s="28"/>
      <c r="Q19" s="28"/>
      <c r="R19" s="13"/>
    </row>
    <row r="20" spans="1:18" ht="17.5">
      <c r="A20" s="12"/>
      <c r="B20" s="347"/>
      <c r="C20" s="249" t="s">
        <v>164</v>
      </c>
      <c r="D20" s="308"/>
      <c r="E20" s="297" t="s">
        <v>20</v>
      </c>
      <c r="F20" s="231">
        <f>'Component List'!D14</f>
        <v>16.079999999999998</v>
      </c>
      <c r="G20" s="287">
        <v>50</v>
      </c>
      <c r="H20" s="231">
        <f t="shared" si="0"/>
        <v>0</v>
      </c>
      <c r="I20" s="264"/>
      <c r="J20" s="264"/>
      <c r="K20" s="264"/>
      <c r="L20" s="264"/>
      <c r="M20" s="264"/>
      <c r="N20" s="28"/>
      <c r="O20" s="28"/>
      <c r="P20" s="28"/>
      <c r="Q20" s="28"/>
      <c r="R20" s="13"/>
    </row>
    <row r="21" spans="1:18" ht="19.5" customHeight="1">
      <c r="A21" s="35"/>
      <c r="B21" s="349"/>
      <c r="C21" s="207" t="s">
        <v>416</v>
      </c>
      <c r="D21" s="308"/>
      <c r="E21" s="312" t="s">
        <v>20</v>
      </c>
      <c r="F21" s="231">
        <f>'Component List'!D16</f>
        <v>84.42</v>
      </c>
      <c r="G21" s="287">
        <v>50</v>
      </c>
      <c r="H21" s="292">
        <f t="shared" si="0"/>
        <v>0</v>
      </c>
      <c r="I21" s="264"/>
      <c r="J21" s="269"/>
      <c r="K21" s="269"/>
      <c r="L21" s="269"/>
      <c r="M21" s="269"/>
      <c r="N21" s="68"/>
      <c r="O21" s="68"/>
      <c r="P21" s="68"/>
      <c r="Q21" s="68"/>
      <c r="R21" s="43"/>
    </row>
    <row r="22" spans="1:18" ht="17.5">
      <c r="A22" s="12"/>
      <c r="B22" s="347"/>
      <c r="C22" s="206" t="s">
        <v>165</v>
      </c>
      <c r="D22" s="308"/>
      <c r="E22" s="297" t="s">
        <v>20</v>
      </c>
      <c r="F22" s="231">
        <f>'Component List'!D28</f>
        <v>94.14</v>
      </c>
      <c r="G22" s="287">
        <v>50</v>
      </c>
      <c r="H22" s="231">
        <f t="shared" si="0"/>
        <v>0</v>
      </c>
      <c r="I22" s="270"/>
      <c r="J22" s="264"/>
      <c r="K22" s="264"/>
      <c r="L22" s="264"/>
      <c r="M22" s="264"/>
      <c r="N22" s="28"/>
      <c r="O22" s="28"/>
      <c r="P22" s="28"/>
      <c r="Q22" s="28"/>
      <c r="R22" s="13"/>
    </row>
    <row r="23" spans="1:18" ht="17.5">
      <c r="A23" s="12"/>
      <c r="B23" s="347"/>
      <c r="C23" s="206" t="s">
        <v>96</v>
      </c>
      <c r="D23" s="308"/>
      <c r="E23" s="297" t="s">
        <v>77</v>
      </c>
      <c r="F23" s="231">
        <f>'Component List'!D49</f>
        <v>0</v>
      </c>
      <c r="G23" s="287">
        <v>50</v>
      </c>
      <c r="H23" s="231">
        <f t="shared" si="0"/>
        <v>0</v>
      </c>
      <c r="I23" s="264"/>
      <c r="J23" s="264"/>
      <c r="K23" s="264"/>
      <c r="L23" s="264"/>
      <c r="M23" s="264"/>
      <c r="N23" s="28"/>
      <c r="O23" s="28"/>
      <c r="P23" s="28"/>
      <c r="Q23" s="28"/>
      <c r="R23" s="13"/>
    </row>
    <row r="24" spans="1:18" ht="17.5">
      <c r="A24" s="12"/>
      <c r="B24" s="347"/>
      <c r="C24" s="206" t="s">
        <v>163</v>
      </c>
      <c r="D24" s="308"/>
      <c r="E24" s="297" t="s">
        <v>20</v>
      </c>
      <c r="F24" s="231">
        <f>'Component List'!D15</f>
        <v>21.78</v>
      </c>
      <c r="G24" s="287">
        <v>50</v>
      </c>
      <c r="H24" s="231">
        <f>D24*F24*G24/100</f>
        <v>0</v>
      </c>
      <c r="I24" s="264"/>
      <c r="J24" s="264"/>
      <c r="K24" s="264"/>
      <c r="L24" s="264"/>
      <c r="M24" s="264"/>
      <c r="N24" s="28"/>
      <c r="O24" s="28"/>
      <c r="P24" s="28"/>
      <c r="Q24" s="28"/>
      <c r="R24" s="13"/>
    </row>
    <row r="25" spans="1:18" ht="15.5">
      <c r="A25" s="456" t="s">
        <v>89</v>
      </c>
      <c r="B25" s="457"/>
      <c r="C25" s="458"/>
      <c r="D25" s="286"/>
      <c r="E25" s="280"/>
      <c r="F25" s="265"/>
      <c r="G25" s="281"/>
      <c r="H25" s="271">
        <f t="shared" ref="H25:M25" si="1">SUM(H15:H24)</f>
        <v>0</v>
      </c>
      <c r="I25" s="271">
        <f t="shared" si="1"/>
        <v>0</v>
      </c>
      <c r="J25" s="271">
        <f t="shared" si="1"/>
        <v>0</v>
      </c>
      <c r="K25" s="271">
        <f t="shared" si="1"/>
        <v>0</v>
      </c>
      <c r="L25" s="271">
        <f t="shared" si="1"/>
        <v>0</v>
      </c>
      <c r="M25" s="271">
        <f t="shared" si="1"/>
        <v>0</v>
      </c>
      <c r="N25" s="23"/>
      <c r="O25" s="23"/>
      <c r="P25" s="23"/>
      <c r="Q25" s="23"/>
      <c r="R25" s="25"/>
    </row>
    <row r="26" spans="1:18" ht="15.5">
      <c r="A26" s="110" t="str">
        <f>IF(AE55,AE57,"")</f>
        <v/>
      </c>
      <c r="B26" s="162"/>
      <c r="C26" s="162"/>
      <c r="D26" s="162"/>
      <c r="E26" s="162"/>
      <c r="F26" s="162"/>
      <c r="G26" s="162"/>
      <c r="H26" s="162"/>
      <c r="I26" s="162"/>
      <c r="J26" s="162"/>
      <c r="K26" s="162"/>
      <c r="L26" s="162"/>
      <c r="M26" s="162"/>
      <c r="N26" s="162"/>
      <c r="O26" s="162"/>
      <c r="P26" s="162"/>
      <c r="Q26" s="162"/>
      <c r="R26" s="162"/>
    </row>
    <row r="27" spans="1:18" ht="15.5">
      <c r="A27" s="401" t="s">
        <v>262</v>
      </c>
      <c r="B27" s="402"/>
      <c r="C27" s="402"/>
      <c r="D27" s="402"/>
      <c r="E27" s="402"/>
      <c r="F27" s="402"/>
      <c r="G27" s="402"/>
      <c r="H27" s="402"/>
      <c r="I27" s="402"/>
      <c r="J27" s="402"/>
      <c r="K27" s="402"/>
      <c r="L27" s="402"/>
      <c r="M27" s="402"/>
      <c r="N27" s="402"/>
      <c r="O27" s="402"/>
      <c r="P27" s="402"/>
      <c r="Q27" s="402"/>
      <c r="R27" s="403"/>
    </row>
    <row r="28" spans="1:18" ht="50.25" customHeight="1">
      <c r="A28" s="393" t="s">
        <v>434</v>
      </c>
      <c r="B28" s="394"/>
      <c r="C28" s="394"/>
      <c r="D28" s="394"/>
      <c r="E28" s="394"/>
      <c r="F28" s="394"/>
      <c r="G28" s="394"/>
      <c r="H28" s="394"/>
      <c r="I28" s="394"/>
      <c r="J28" s="394"/>
      <c r="K28" s="394"/>
      <c r="L28" s="394"/>
      <c r="M28" s="394"/>
      <c r="N28" s="394"/>
      <c r="O28" s="394"/>
      <c r="P28" s="394"/>
      <c r="Q28" s="394"/>
      <c r="R28" s="395"/>
    </row>
    <row r="29" spans="1:18" ht="15.5">
      <c r="A29" s="460" t="s">
        <v>390</v>
      </c>
      <c r="B29" s="461"/>
      <c r="C29" s="461"/>
      <c r="D29" s="461"/>
      <c r="E29" s="461"/>
      <c r="F29" s="461"/>
      <c r="G29" s="461"/>
      <c r="H29" s="461"/>
      <c r="I29" s="461"/>
      <c r="J29" s="461"/>
      <c r="K29" s="461"/>
      <c r="L29" s="461"/>
      <c r="M29" s="461"/>
      <c r="N29" s="461"/>
      <c r="O29" s="461"/>
      <c r="P29" s="461"/>
      <c r="Q29" s="461"/>
      <c r="R29" s="462"/>
    </row>
    <row r="30" spans="1:18" ht="51.75" customHeight="1">
      <c r="A30" s="463" t="s">
        <v>392</v>
      </c>
      <c r="B30" s="464"/>
      <c r="C30" s="464"/>
      <c r="D30" s="464"/>
      <c r="E30" s="464"/>
      <c r="F30" s="464"/>
      <c r="G30" s="464"/>
      <c r="H30" s="464"/>
      <c r="I30" s="464"/>
      <c r="J30" s="464"/>
      <c r="K30" s="464"/>
      <c r="L30" s="464"/>
      <c r="M30" s="464"/>
      <c r="N30" s="464"/>
      <c r="O30" s="464"/>
      <c r="P30" s="464"/>
      <c r="Q30" s="464"/>
      <c r="R30" s="465"/>
    </row>
    <row r="31" spans="1:18" ht="15.5">
      <c r="A31" s="413" t="s">
        <v>221</v>
      </c>
      <c r="B31" s="414"/>
      <c r="C31" s="414"/>
      <c r="D31" s="414"/>
      <c r="E31" s="414"/>
      <c r="F31" s="414"/>
      <c r="G31" s="414"/>
      <c r="H31" s="414"/>
      <c r="I31" s="414"/>
      <c r="J31" s="414"/>
      <c r="K31" s="414"/>
      <c r="L31" s="414"/>
      <c r="M31" s="414"/>
      <c r="N31" s="414"/>
      <c r="O31" s="414"/>
      <c r="P31" s="414"/>
      <c r="Q31" s="414"/>
      <c r="R31" s="415"/>
    </row>
    <row r="32" spans="1:18" ht="84" customHeight="1">
      <c r="A32" s="396" t="s">
        <v>370</v>
      </c>
      <c r="B32" s="397"/>
      <c r="C32" s="397"/>
      <c r="D32" s="397"/>
      <c r="E32" s="397"/>
      <c r="F32" s="397"/>
      <c r="G32" s="397"/>
      <c r="H32" s="397"/>
      <c r="I32" s="397"/>
      <c r="J32" s="397"/>
      <c r="K32" s="397"/>
      <c r="L32" s="397"/>
      <c r="M32" s="397"/>
      <c r="N32" s="397"/>
      <c r="O32" s="397"/>
      <c r="P32" s="397"/>
      <c r="Q32" s="397"/>
      <c r="R32"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9:R29"/>
    <mergeCell ref="A30:R30"/>
    <mergeCell ref="A31:R31"/>
    <mergeCell ref="A32:R32"/>
    <mergeCell ref="H9:Q9"/>
    <mergeCell ref="R9:R13"/>
    <mergeCell ref="H10:Q10"/>
    <mergeCell ref="A25:C25"/>
    <mergeCell ref="A27:R27"/>
    <mergeCell ref="A28:R28"/>
  </mergeCells>
  <pageMargins left="0.32" right="0.27" top="0.54" bottom="0.54"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from>
                    <xdr:col>3</xdr:col>
                    <xdr:colOff>177800</xdr:colOff>
                    <xdr:row>0</xdr:row>
                    <xdr:rowOff>0</xdr:rowOff>
                  </from>
                  <to>
                    <xdr:col>3</xdr:col>
                    <xdr:colOff>381000</xdr:colOff>
                    <xdr:row>1</xdr:row>
                    <xdr:rowOff>0</xdr:rowOff>
                  </to>
                </anchor>
              </controlPr>
            </control>
          </mc:Choice>
        </mc:AlternateContent>
        <mc:AlternateContent xmlns:mc="http://schemas.openxmlformats.org/markup-compatibility/2006">
          <mc:Choice Requires="x14">
            <control shapeId="21506" r:id="rId5" name="Check Box 2">
              <controlPr defaultSize="0" autoFill="0" autoLine="0" autoPict="0">
                <anchor moveWithCells="1">
                  <from>
                    <xdr:col>7</xdr:col>
                    <xdr:colOff>209550</xdr:colOff>
                    <xdr:row>0</xdr:row>
                    <xdr:rowOff>0</xdr:rowOff>
                  </from>
                  <to>
                    <xdr:col>8</xdr:col>
                    <xdr:colOff>146050</xdr:colOff>
                    <xdr:row>0</xdr:row>
                    <xdr:rowOff>139700</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R23"/>
  <sheetViews>
    <sheetView zoomScale="62" zoomScaleNormal="62" workbookViewId="0">
      <selection activeCell="D15" sqref="D15"/>
    </sheetView>
  </sheetViews>
  <sheetFormatPr defaultRowHeight="12.5"/>
  <cols>
    <col min="3" max="3" width="74.26953125" customWidth="1"/>
    <col min="4" max="4" width="12.54296875" customWidth="1"/>
    <col min="5" max="5" width="10.7265625" customWidth="1"/>
    <col min="6" max="6" width="11" customWidth="1"/>
    <col min="7" max="7" width="11.81640625" customWidth="1"/>
    <col min="8" max="8" width="11.453125" customWidth="1"/>
    <col min="9" max="9" width="11" customWidth="1"/>
    <col min="10" max="10" width="13.7265625" customWidth="1"/>
    <col min="11" max="11" width="13.1796875" customWidth="1"/>
    <col min="12" max="12" width="12.1796875" customWidth="1"/>
    <col min="14" max="15" width="6.453125" customWidth="1"/>
    <col min="16" max="16" width="6.54296875" customWidth="1"/>
    <col min="17" max="17" width="6.1796875" customWidth="1"/>
    <col min="18" max="18" width="7"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87.75" customHeight="1">
      <c r="A7" s="467" t="s">
        <v>477</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47.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50.25" customHeight="1">
      <c r="A21" s="463" t="s">
        <v>392</v>
      </c>
      <c r="B21" s="464"/>
      <c r="C21" s="464"/>
      <c r="D21" s="464"/>
      <c r="E21" s="464"/>
      <c r="F21" s="464"/>
      <c r="G21" s="464"/>
      <c r="H21" s="464"/>
      <c r="I21" s="464"/>
      <c r="J21" s="464"/>
      <c r="K21" s="464"/>
      <c r="L21" s="464"/>
      <c r="M21" s="464"/>
      <c r="N21" s="464"/>
      <c r="O21" s="464"/>
      <c r="P21" s="464"/>
      <c r="Q21" s="464"/>
      <c r="R21" s="465"/>
    </row>
    <row r="22" spans="1:18" ht="19.5" customHeight="1">
      <c r="A22" s="413" t="s">
        <v>221</v>
      </c>
      <c r="B22" s="414"/>
      <c r="C22" s="414"/>
      <c r="D22" s="414"/>
      <c r="E22" s="414"/>
      <c r="F22" s="414"/>
      <c r="G22" s="414"/>
      <c r="H22" s="414"/>
      <c r="I22" s="414"/>
      <c r="J22" s="414"/>
      <c r="K22" s="414"/>
      <c r="L22" s="414"/>
      <c r="M22" s="414"/>
      <c r="N22" s="414"/>
      <c r="O22" s="414"/>
      <c r="P22" s="414"/>
      <c r="Q22" s="414"/>
      <c r="R22" s="415"/>
    </row>
    <row r="23" spans="1:18" ht="66"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0225" r:id="rId3" name="Check Box 1">
              <controlPr defaultSize="0" autoFill="0" autoLine="0" autoPict="0">
                <anchor moveWithCells="1">
                  <from>
                    <xdr:col>3</xdr:col>
                    <xdr:colOff>203200</xdr:colOff>
                    <xdr:row>0</xdr:row>
                    <xdr:rowOff>19050</xdr:rowOff>
                  </from>
                  <to>
                    <xdr:col>4</xdr:col>
                    <xdr:colOff>196850</xdr:colOff>
                    <xdr:row>0</xdr:row>
                    <xdr:rowOff>152400</xdr:rowOff>
                  </to>
                </anchor>
              </controlPr>
            </control>
          </mc:Choice>
        </mc:AlternateContent>
        <mc:AlternateContent xmlns:mc="http://schemas.openxmlformats.org/markup-compatibility/2006">
          <mc:Choice Requires="x14">
            <control shapeId="180226" r:id="rId4" name="Check Box 2">
              <controlPr defaultSize="0" autoFill="0" autoLine="0" autoPict="0">
                <anchor moveWithCells="1">
                  <from>
                    <xdr:col>7</xdr:col>
                    <xdr:colOff>247650</xdr:colOff>
                    <xdr:row>0</xdr:row>
                    <xdr:rowOff>12700</xdr:rowOff>
                  </from>
                  <to>
                    <xdr:col>8</xdr:col>
                    <xdr:colOff>298450</xdr:colOff>
                    <xdr:row>0</xdr:row>
                    <xdr:rowOff>146050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1">
    <pageSetUpPr fitToPage="1"/>
  </sheetPr>
  <dimension ref="A1:R32"/>
  <sheetViews>
    <sheetView zoomScale="56" zoomScaleNormal="56" workbookViewId="0">
      <selection activeCell="D15" sqref="D15"/>
    </sheetView>
  </sheetViews>
  <sheetFormatPr defaultRowHeight="12.5"/>
  <cols>
    <col min="3" max="3" width="69.453125" customWidth="1"/>
    <col min="4" max="4" width="13" customWidth="1"/>
    <col min="7" max="7" width="11.7265625" customWidth="1"/>
    <col min="8" max="8" width="13.81640625" customWidth="1"/>
    <col min="10" max="10" width="16.1796875" customWidth="1"/>
    <col min="11" max="11" width="13.7265625" customWidth="1"/>
    <col min="12" max="12" width="12.1796875" customWidth="1"/>
    <col min="14" max="14" width="6" customWidth="1"/>
    <col min="15" max="15" width="8.54296875" customWidth="1"/>
    <col min="16" max="16" width="6.81640625" customWidth="1"/>
    <col min="17" max="17" width="6" customWidth="1"/>
    <col min="18" max="18" width="6.5429687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4.5" customHeight="1">
      <c r="A7" s="467" t="s">
        <v>478</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7.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165</v>
      </c>
      <c r="D15" s="308"/>
      <c r="E15" s="297" t="s">
        <v>20</v>
      </c>
      <c r="F15" s="231">
        <f>'Component List'!D28</f>
        <v>94.14</v>
      </c>
      <c r="G15" s="287">
        <v>50</v>
      </c>
      <c r="H15" s="231">
        <f t="shared" ref="H15:H23" si="0">D15*F15*G15/100</f>
        <v>0</v>
      </c>
      <c r="I15" s="264"/>
      <c r="J15" s="264"/>
      <c r="K15" s="264"/>
      <c r="L15" s="264"/>
      <c r="M15" s="264"/>
      <c r="N15" s="28"/>
      <c r="O15" s="28"/>
      <c r="P15" s="28"/>
      <c r="Q15" s="28"/>
      <c r="R15" s="13"/>
    </row>
    <row r="16" spans="1:18" ht="17.5">
      <c r="A16" s="12"/>
      <c r="B16" s="347"/>
      <c r="C16" s="206" t="s">
        <v>166</v>
      </c>
      <c r="D16" s="308"/>
      <c r="E16" s="297" t="s">
        <v>20</v>
      </c>
      <c r="F16" s="231">
        <f>'Component List'!D29</f>
        <v>74.12</v>
      </c>
      <c r="G16" s="287">
        <v>50</v>
      </c>
      <c r="H16" s="231">
        <f t="shared" si="0"/>
        <v>0</v>
      </c>
      <c r="I16" s="264"/>
      <c r="J16" s="264"/>
      <c r="K16" s="264"/>
      <c r="L16" s="264"/>
      <c r="M16" s="264"/>
      <c r="N16" s="28"/>
      <c r="O16" s="28"/>
      <c r="P16" s="28"/>
      <c r="Q16" s="28"/>
      <c r="R16" s="13"/>
    </row>
    <row r="17" spans="1:18" ht="17.5">
      <c r="A17" s="12"/>
      <c r="B17" s="347"/>
      <c r="C17" s="206" t="s">
        <v>167</v>
      </c>
      <c r="D17" s="308"/>
      <c r="E17" s="297" t="s">
        <v>20</v>
      </c>
      <c r="F17" s="231">
        <f>'Component List'!D30</f>
        <v>149.58000000000001</v>
      </c>
      <c r="G17" s="287">
        <v>50</v>
      </c>
      <c r="H17" s="231">
        <f t="shared" si="0"/>
        <v>0</v>
      </c>
      <c r="I17" s="264"/>
      <c r="J17" s="264"/>
      <c r="K17" s="264"/>
      <c r="L17" s="264"/>
      <c r="M17" s="264"/>
      <c r="N17" s="28"/>
      <c r="O17" s="28"/>
      <c r="P17" s="28"/>
      <c r="Q17" s="28"/>
      <c r="R17" s="13"/>
    </row>
    <row r="18" spans="1:18" ht="17.5">
      <c r="A18" s="12"/>
      <c r="B18" s="347"/>
      <c r="C18" s="206" t="s">
        <v>169</v>
      </c>
      <c r="D18" s="308"/>
      <c r="E18" s="313">
        <v>100</v>
      </c>
      <c r="F18" s="231">
        <f>'Component List'!D32</f>
        <v>70.2</v>
      </c>
      <c r="G18" s="287">
        <v>50</v>
      </c>
      <c r="H18" s="231">
        <f t="shared" si="0"/>
        <v>0</v>
      </c>
      <c r="I18" s="264"/>
      <c r="J18" s="264"/>
      <c r="K18" s="264"/>
      <c r="L18" s="264"/>
      <c r="M18" s="264"/>
      <c r="N18" s="28"/>
      <c r="O18" s="28"/>
      <c r="P18" s="28"/>
      <c r="Q18" s="28"/>
      <c r="R18" s="13"/>
    </row>
    <row r="19" spans="1:18" ht="17.5">
      <c r="A19" s="12"/>
      <c r="B19" s="347"/>
      <c r="C19" s="206" t="s">
        <v>269</v>
      </c>
      <c r="D19" s="308"/>
      <c r="E19" s="313">
        <v>100</v>
      </c>
      <c r="F19" s="231">
        <f>'Component List'!D33</f>
        <v>117.6</v>
      </c>
      <c r="G19" s="287">
        <v>50</v>
      </c>
      <c r="H19" s="231">
        <f t="shared" si="0"/>
        <v>0</v>
      </c>
      <c r="I19" s="264"/>
      <c r="J19" s="264"/>
      <c r="K19" s="264"/>
      <c r="L19" s="264"/>
      <c r="M19" s="264"/>
      <c r="N19" s="28"/>
      <c r="O19" s="28"/>
      <c r="P19" s="28"/>
      <c r="Q19" s="28"/>
      <c r="R19" s="13"/>
    </row>
    <row r="20" spans="1:18" ht="17.5">
      <c r="A20" s="12"/>
      <c r="B20" s="347"/>
      <c r="C20" s="206" t="s">
        <v>270</v>
      </c>
      <c r="D20" s="308"/>
      <c r="E20" s="313">
        <v>100</v>
      </c>
      <c r="F20" s="231">
        <f>'Component List'!D34</f>
        <v>200</v>
      </c>
      <c r="G20" s="287">
        <v>50</v>
      </c>
      <c r="H20" s="231">
        <f t="shared" si="0"/>
        <v>0</v>
      </c>
      <c r="I20" s="264"/>
      <c r="J20" s="264"/>
      <c r="K20" s="264"/>
      <c r="L20" s="264"/>
      <c r="M20" s="264"/>
      <c r="N20" s="28"/>
      <c r="O20" s="28"/>
      <c r="P20" s="28"/>
      <c r="Q20" s="28"/>
      <c r="R20" s="13"/>
    </row>
    <row r="21" spans="1:18" ht="17.5">
      <c r="A21" s="35"/>
      <c r="B21" s="349"/>
      <c r="C21" s="206" t="s">
        <v>271</v>
      </c>
      <c r="D21" s="308"/>
      <c r="E21" s="313">
        <v>100</v>
      </c>
      <c r="F21" s="231">
        <f>'Component List'!D35</f>
        <v>214.5</v>
      </c>
      <c r="G21" s="287">
        <v>50</v>
      </c>
      <c r="H21" s="292">
        <f t="shared" si="0"/>
        <v>0</v>
      </c>
      <c r="I21" s="264"/>
      <c r="J21" s="269"/>
      <c r="K21" s="269"/>
      <c r="L21" s="269"/>
      <c r="M21" s="269"/>
      <c r="N21" s="68"/>
      <c r="O21" s="68"/>
      <c r="P21" s="68"/>
      <c r="Q21" s="68"/>
      <c r="R21" s="43"/>
    </row>
    <row r="22" spans="1:18" ht="17.5">
      <c r="A22" s="12"/>
      <c r="B22" s="347"/>
      <c r="C22" s="206" t="s">
        <v>168</v>
      </c>
      <c r="D22" s="308"/>
      <c r="E22" s="313">
        <v>100</v>
      </c>
      <c r="F22" s="231">
        <f>'Component List'!D31</f>
        <v>56.58</v>
      </c>
      <c r="G22" s="287">
        <v>50</v>
      </c>
      <c r="H22" s="231">
        <f t="shared" si="0"/>
        <v>0</v>
      </c>
      <c r="I22" s="270"/>
      <c r="J22" s="264"/>
      <c r="K22" s="264"/>
      <c r="L22" s="264"/>
      <c r="M22" s="264"/>
      <c r="N22" s="28"/>
      <c r="O22" s="28"/>
      <c r="P22" s="28"/>
      <c r="Q22" s="28"/>
      <c r="R22" s="13"/>
    </row>
    <row r="23" spans="1:18" ht="17.5">
      <c r="A23" s="12"/>
      <c r="B23" s="347"/>
      <c r="C23" s="206" t="s">
        <v>272</v>
      </c>
      <c r="D23" s="308"/>
      <c r="E23" s="297" t="s">
        <v>20</v>
      </c>
      <c r="F23" s="231">
        <f>'Component List'!D37</f>
        <v>59.48</v>
      </c>
      <c r="G23" s="287">
        <v>50</v>
      </c>
      <c r="H23" s="231">
        <f t="shared" si="0"/>
        <v>0</v>
      </c>
      <c r="I23" s="264"/>
      <c r="J23" s="264"/>
      <c r="K23" s="264"/>
      <c r="L23" s="264"/>
      <c r="M23" s="264"/>
      <c r="N23" s="28"/>
      <c r="O23" s="28"/>
      <c r="P23" s="28"/>
      <c r="Q23" s="28"/>
      <c r="R23" s="13"/>
    </row>
    <row r="24" spans="1:18" ht="17.5">
      <c r="A24" s="12"/>
      <c r="B24" s="347"/>
      <c r="C24" s="206" t="s">
        <v>13</v>
      </c>
      <c r="D24" s="308"/>
      <c r="E24" s="297" t="s">
        <v>28</v>
      </c>
      <c r="F24" s="231">
        <f>'Component List'!D39</f>
        <v>6.38</v>
      </c>
      <c r="G24" s="287">
        <v>50</v>
      </c>
      <c r="H24" s="231">
        <f>D24*F24*G24/100</f>
        <v>0</v>
      </c>
      <c r="I24" s="264"/>
      <c r="J24" s="264"/>
      <c r="K24" s="264"/>
      <c r="L24" s="264"/>
      <c r="M24" s="264"/>
      <c r="N24" s="28"/>
      <c r="O24" s="28"/>
      <c r="P24" s="28"/>
      <c r="Q24" s="28"/>
      <c r="R24" s="13"/>
    </row>
    <row r="25" spans="1:18" ht="15.5">
      <c r="A25" s="456" t="s">
        <v>89</v>
      </c>
      <c r="B25" s="457"/>
      <c r="C25" s="458"/>
      <c r="D25" s="286"/>
      <c r="E25" s="280"/>
      <c r="F25" s="265"/>
      <c r="G25" s="281"/>
      <c r="H25" s="271">
        <f t="shared" ref="H25:M25" si="1">SUM(H15:H24)</f>
        <v>0</v>
      </c>
      <c r="I25" s="271">
        <f t="shared" si="1"/>
        <v>0</v>
      </c>
      <c r="J25" s="271">
        <f t="shared" si="1"/>
        <v>0</v>
      </c>
      <c r="K25" s="271">
        <f t="shared" si="1"/>
        <v>0</v>
      </c>
      <c r="L25" s="271">
        <f t="shared" si="1"/>
        <v>0</v>
      </c>
      <c r="M25" s="271">
        <f t="shared" si="1"/>
        <v>0</v>
      </c>
      <c r="N25" s="23"/>
      <c r="O25" s="23"/>
      <c r="P25" s="23"/>
      <c r="Q25" s="23"/>
      <c r="R25" s="25"/>
    </row>
    <row r="26" spans="1:18" ht="15.5">
      <c r="A26" s="110" t="str">
        <f>IF(AE55,AE57,"")</f>
        <v/>
      </c>
      <c r="B26" s="162"/>
      <c r="C26" s="162"/>
      <c r="D26" s="162"/>
      <c r="E26" s="162"/>
      <c r="F26" s="162"/>
      <c r="G26" s="162"/>
      <c r="H26" s="162"/>
      <c r="I26" s="162"/>
      <c r="J26" s="162"/>
      <c r="K26" s="162"/>
      <c r="L26" s="162"/>
      <c r="M26" s="162"/>
      <c r="N26" s="162"/>
      <c r="O26" s="162"/>
      <c r="P26" s="162"/>
      <c r="Q26" s="162"/>
      <c r="R26" s="162"/>
    </row>
    <row r="27" spans="1:18" ht="15.5">
      <c r="A27" s="401" t="s">
        <v>262</v>
      </c>
      <c r="B27" s="402"/>
      <c r="C27" s="402"/>
      <c r="D27" s="402"/>
      <c r="E27" s="402"/>
      <c r="F27" s="402"/>
      <c r="G27" s="402"/>
      <c r="H27" s="402"/>
      <c r="I27" s="402"/>
      <c r="J27" s="402"/>
      <c r="K27" s="402"/>
      <c r="L27" s="402"/>
      <c r="M27" s="402"/>
      <c r="N27" s="402"/>
      <c r="O27" s="402"/>
      <c r="P27" s="402"/>
      <c r="Q27" s="402"/>
      <c r="R27" s="403"/>
    </row>
    <row r="28" spans="1:18" ht="49.5" customHeight="1">
      <c r="A28" s="393" t="s">
        <v>434</v>
      </c>
      <c r="B28" s="394"/>
      <c r="C28" s="394"/>
      <c r="D28" s="394"/>
      <c r="E28" s="394"/>
      <c r="F28" s="394"/>
      <c r="G28" s="394"/>
      <c r="H28" s="394"/>
      <c r="I28" s="394"/>
      <c r="J28" s="394"/>
      <c r="K28" s="394"/>
      <c r="L28" s="394"/>
      <c r="M28" s="394"/>
      <c r="N28" s="394"/>
      <c r="O28" s="394"/>
      <c r="P28" s="394"/>
      <c r="Q28" s="394"/>
      <c r="R28" s="395"/>
    </row>
    <row r="29" spans="1:18" ht="15.5">
      <c r="A29" s="460" t="s">
        <v>390</v>
      </c>
      <c r="B29" s="461"/>
      <c r="C29" s="461"/>
      <c r="D29" s="461"/>
      <c r="E29" s="461"/>
      <c r="F29" s="461"/>
      <c r="G29" s="461"/>
      <c r="H29" s="461"/>
      <c r="I29" s="461"/>
      <c r="J29" s="461"/>
      <c r="K29" s="461"/>
      <c r="L29" s="461"/>
      <c r="M29" s="461"/>
      <c r="N29" s="461"/>
      <c r="O29" s="461"/>
      <c r="P29" s="461"/>
      <c r="Q29" s="461"/>
      <c r="R29" s="462"/>
    </row>
    <row r="30" spans="1:18" ht="55.5" customHeight="1">
      <c r="A30" s="463" t="s">
        <v>392</v>
      </c>
      <c r="B30" s="464"/>
      <c r="C30" s="464"/>
      <c r="D30" s="464"/>
      <c r="E30" s="464"/>
      <c r="F30" s="464"/>
      <c r="G30" s="464"/>
      <c r="H30" s="464"/>
      <c r="I30" s="464"/>
      <c r="J30" s="464"/>
      <c r="K30" s="464"/>
      <c r="L30" s="464"/>
      <c r="M30" s="464"/>
      <c r="N30" s="464"/>
      <c r="O30" s="464"/>
      <c r="P30" s="464"/>
      <c r="Q30" s="464"/>
      <c r="R30" s="465"/>
    </row>
    <row r="31" spans="1:18" ht="15.5">
      <c r="A31" s="413" t="s">
        <v>221</v>
      </c>
      <c r="B31" s="414"/>
      <c r="C31" s="414"/>
      <c r="D31" s="414"/>
      <c r="E31" s="414"/>
      <c r="F31" s="414"/>
      <c r="G31" s="414"/>
      <c r="H31" s="414"/>
      <c r="I31" s="414"/>
      <c r="J31" s="414"/>
      <c r="K31" s="414"/>
      <c r="L31" s="414"/>
      <c r="M31" s="414"/>
      <c r="N31" s="414"/>
      <c r="O31" s="414"/>
      <c r="P31" s="414"/>
      <c r="Q31" s="414"/>
      <c r="R31" s="415"/>
    </row>
    <row r="32" spans="1:18" ht="69" customHeight="1">
      <c r="A32" s="396" t="s">
        <v>370</v>
      </c>
      <c r="B32" s="397"/>
      <c r="C32" s="397"/>
      <c r="D32" s="397"/>
      <c r="E32" s="397"/>
      <c r="F32" s="397"/>
      <c r="G32" s="397"/>
      <c r="H32" s="397"/>
      <c r="I32" s="397"/>
      <c r="J32" s="397"/>
      <c r="K32" s="397"/>
      <c r="L32" s="397"/>
      <c r="M32" s="397"/>
      <c r="N32" s="397"/>
      <c r="O32" s="397"/>
      <c r="P32" s="397"/>
      <c r="Q32" s="397"/>
      <c r="R32"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9:R29"/>
    <mergeCell ref="A30:R30"/>
    <mergeCell ref="A31:R31"/>
    <mergeCell ref="A32:R32"/>
    <mergeCell ref="H9:Q9"/>
    <mergeCell ref="R9:R13"/>
    <mergeCell ref="H10:Q10"/>
    <mergeCell ref="A25:C25"/>
    <mergeCell ref="A27:R27"/>
    <mergeCell ref="A28:R28"/>
  </mergeCells>
  <pageMargins left="0.35" right="0.33" top="0.56000000000000005" bottom="0.62"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22530" r:id="rId5" name="Check Box 2">
              <controlPr defaultSize="0" autoFill="0" autoLine="0" autoPict="0">
                <anchor moveWithCells="1">
                  <from>
                    <xdr:col>7</xdr:col>
                    <xdr:colOff>209550</xdr:colOff>
                    <xdr:row>0</xdr:row>
                    <xdr:rowOff>0</xdr:rowOff>
                  </from>
                  <to>
                    <xdr:col>8</xdr:col>
                    <xdr:colOff>152400</xdr:colOff>
                    <xdr:row>0</xdr:row>
                    <xdr:rowOff>139700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R23"/>
  <sheetViews>
    <sheetView zoomScale="62" zoomScaleNormal="62" workbookViewId="0">
      <selection activeCell="D15" sqref="D15"/>
    </sheetView>
  </sheetViews>
  <sheetFormatPr defaultRowHeight="12.5"/>
  <cols>
    <col min="3" max="3" width="75.26953125" customWidth="1"/>
    <col min="4" max="4" width="12.453125" customWidth="1"/>
    <col min="6" max="6" width="11.26953125" customWidth="1"/>
    <col min="7" max="7" width="12.453125" customWidth="1"/>
    <col min="8" max="8" width="12.54296875" customWidth="1"/>
    <col min="9" max="9" width="10.7265625" customWidth="1"/>
    <col min="10" max="10" width="12.54296875" customWidth="1"/>
    <col min="11" max="11" width="11.26953125" customWidth="1"/>
    <col min="12" max="12" width="15.1796875" customWidth="1"/>
    <col min="14" max="14" width="6.54296875" customWidth="1"/>
    <col min="15" max="15" width="7.26953125" customWidth="1"/>
    <col min="16" max="16" width="5.26953125" customWidth="1"/>
    <col min="17" max="18" width="5.453125" customWidth="1"/>
  </cols>
  <sheetData>
    <row r="1" spans="1:18" ht="23.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4"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89.25" customHeight="1">
      <c r="A7" s="467" t="s">
        <v>479</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87"/>
      <c r="H15" s="231"/>
      <c r="I15" s="264"/>
      <c r="J15" s="264"/>
      <c r="K15" s="264"/>
      <c r="L15" s="264"/>
      <c r="M15" s="264"/>
      <c r="N15" s="28"/>
      <c r="O15" s="28"/>
      <c r="P15" s="28"/>
      <c r="Q15" s="28"/>
      <c r="R15" s="13"/>
    </row>
    <row r="16" spans="1:18" ht="15.5">
      <c r="A16" s="456" t="s">
        <v>89</v>
      </c>
      <c r="B16" s="457"/>
      <c r="C16" s="458"/>
      <c r="D16" s="165"/>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46.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7.2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3"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1249" r:id="rId3" name="Check Box 1">
              <controlPr defaultSize="0" autoFill="0" autoLine="0" autoPict="0">
                <anchor moveWithCells="1">
                  <from>
                    <xdr:col>3</xdr:col>
                    <xdr:colOff>184150</xdr:colOff>
                    <xdr:row>0</xdr:row>
                    <xdr:rowOff>19050</xdr:rowOff>
                  </from>
                  <to>
                    <xdr:col>4</xdr:col>
                    <xdr:colOff>184150</xdr:colOff>
                    <xdr:row>0</xdr:row>
                    <xdr:rowOff>152400</xdr:rowOff>
                  </to>
                </anchor>
              </controlPr>
            </control>
          </mc:Choice>
        </mc:AlternateContent>
        <mc:AlternateContent xmlns:mc="http://schemas.openxmlformats.org/markup-compatibility/2006">
          <mc:Choice Requires="x14">
            <control shapeId="181250" r:id="rId4" name="Check Box 2">
              <controlPr defaultSize="0" autoFill="0" autoLine="0" autoPict="0">
                <anchor moveWithCells="1">
                  <from>
                    <xdr:col>7</xdr:col>
                    <xdr:colOff>215900</xdr:colOff>
                    <xdr:row>0</xdr:row>
                    <xdr:rowOff>0</xdr:rowOff>
                  </from>
                  <to>
                    <xdr:col>8</xdr:col>
                    <xdr:colOff>215900</xdr:colOff>
                    <xdr:row>0</xdr:row>
                    <xdr:rowOff>139700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1">
    <pageSetUpPr fitToPage="1"/>
  </sheetPr>
  <dimension ref="A1:R30"/>
  <sheetViews>
    <sheetView zoomScale="56" zoomScaleNormal="56" workbookViewId="0">
      <selection activeCell="D15" sqref="D15"/>
    </sheetView>
  </sheetViews>
  <sheetFormatPr defaultRowHeight="12.5"/>
  <cols>
    <col min="3" max="3" width="68.453125" customWidth="1"/>
    <col min="4" max="4" width="13" customWidth="1"/>
    <col min="7" max="7" width="11" customWidth="1"/>
    <col min="8" max="8" width="14.7265625" customWidth="1"/>
    <col min="10" max="10" width="16.26953125" customWidth="1"/>
    <col min="11" max="11" width="13.54296875" customWidth="1"/>
    <col min="12" max="12" width="12.1796875" customWidth="1"/>
    <col min="14" max="14" width="5.81640625" customWidth="1"/>
    <col min="15" max="15" width="8.453125" customWidth="1"/>
    <col min="16" max="16" width="7" customWidth="1"/>
    <col min="17" max="17" width="6.81640625" customWidth="1"/>
    <col min="18" max="18" width="7.179687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14" customHeight="1">
      <c r="A7" s="467" t="s">
        <v>480</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6.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165</v>
      </c>
      <c r="D15" s="308"/>
      <c r="E15" s="297" t="s">
        <v>20</v>
      </c>
      <c r="F15" s="231">
        <f>'Component List'!D28</f>
        <v>94.14</v>
      </c>
      <c r="G15" s="287">
        <v>50</v>
      </c>
      <c r="H15" s="231">
        <f t="shared" ref="H15:H22" si="0">D15*F15*G15/100</f>
        <v>0</v>
      </c>
      <c r="I15" s="264"/>
      <c r="J15" s="264"/>
      <c r="K15" s="264"/>
      <c r="L15" s="264"/>
      <c r="M15" s="264"/>
      <c r="N15" s="28"/>
      <c r="O15" s="28"/>
      <c r="P15" s="28"/>
      <c r="Q15" s="28"/>
      <c r="R15" s="13"/>
    </row>
    <row r="16" spans="1:18" ht="17.5">
      <c r="A16" s="12"/>
      <c r="B16" s="347"/>
      <c r="C16" s="206" t="s">
        <v>166</v>
      </c>
      <c r="D16" s="308"/>
      <c r="E16" s="297" t="s">
        <v>20</v>
      </c>
      <c r="F16" s="231">
        <f>'Component List'!D29</f>
        <v>74.12</v>
      </c>
      <c r="G16" s="287">
        <v>50</v>
      </c>
      <c r="H16" s="231">
        <f t="shared" si="0"/>
        <v>0</v>
      </c>
      <c r="I16" s="264"/>
      <c r="J16" s="264"/>
      <c r="K16" s="264"/>
      <c r="L16" s="264"/>
      <c r="M16" s="264"/>
      <c r="N16" s="28"/>
      <c r="O16" s="28"/>
      <c r="P16" s="28"/>
      <c r="Q16" s="28"/>
      <c r="R16" s="13"/>
    </row>
    <row r="17" spans="1:18" ht="17.5">
      <c r="A17" s="12"/>
      <c r="B17" s="347"/>
      <c r="C17" s="206" t="s">
        <v>169</v>
      </c>
      <c r="D17" s="308"/>
      <c r="E17" s="313">
        <v>100</v>
      </c>
      <c r="F17" s="231">
        <f>'Component List'!D32</f>
        <v>70.2</v>
      </c>
      <c r="G17" s="287">
        <v>50</v>
      </c>
      <c r="H17" s="231">
        <f t="shared" si="0"/>
        <v>0</v>
      </c>
      <c r="I17" s="264"/>
      <c r="J17" s="264"/>
      <c r="K17" s="264"/>
      <c r="L17" s="264"/>
      <c r="M17" s="264"/>
      <c r="N17" s="28"/>
      <c r="O17" s="28"/>
      <c r="P17" s="28"/>
      <c r="Q17" s="28"/>
      <c r="R17" s="13"/>
    </row>
    <row r="18" spans="1:18" ht="17.5">
      <c r="A18" s="12"/>
      <c r="B18" s="347"/>
      <c r="C18" s="206" t="s">
        <v>269</v>
      </c>
      <c r="D18" s="308"/>
      <c r="E18" s="313">
        <v>100</v>
      </c>
      <c r="F18" s="231">
        <f>'Component List'!D33</f>
        <v>117.6</v>
      </c>
      <c r="G18" s="287">
        <v>50</v>
      </c>
      <c r="H18" s="231">
        <f t="shared" si="0"/>
        <v>0</v>
      </c>
      <c r="I18" s="264"/>
      <c r="J18" s="264"/>
      <c r="K18" s="264"/>
      <c r="L18" s="264"/>
      <c r="M18" s="264"/>
      <c r="N18" s="28"/>
      <c r="O18" s="28"/>
      <c r="P18" s="28"/>
      <c r="Q18" s="28"/>
      <c r="R18" s="13"/>
    </row>
    <row r="19" spans="1:18" ht="17.5">
      <c r="A19" s="12"/>
      <c r="B19" s="347"/>
      <c r="C19" s="206" t="s">
        <v>270</v>
      </c>
      <c r="D19" s="308"/>
      <c r="E19" s="313">
        <v>100</v>
      </c>
      <c r="F19" s="231">
        <f>'Component List'!D34</f>
        <v>200</v>
      </c>
      <c r="G19" s="287">
        <v>50</v>
      </c>
      <c r="H19" s="231">
        <f t="shared" si="0"/>
        <v>0</v>
      </c>
      <c r="I19" s="264"/>
      <c r="J19" s="264"/>
      <c r="K19" s="264"/>
      <c r="L19" s="264"/>
      <c r="M19" s="264"/>
      <c r="N19" s="28"/>
      <c r="O19" s="28"/>
      <c r="P19" s="28"/>
      <c r="Q19" s="28"/>
      <c r="R19" s="13"/>
    </row>
    <row r="20" spans="1:18" ht="17.5">
      <c r="A20" s="12"/>
      <c r="B20" s="347"/>
      <c r="C20" s="206" t="s">
        <v>271</v>
      </c>
      <c r="D20" s="308"/>
      <c r="E20" s="313">
        <v>100</v>
      </c>
      <c r="F20" s="231">
        <f>'Component List'!D35</f>
        <v>214.5</v>
      </c>
      <c r="G20" s="287">
        <v>50</v>
      </c>
      <c r="H20" s="231">
        <f t="shared" si="0"/>
        <v>0</v>
      </c>
      <c r="I20" s="264"/>
      <c r="J20" s="264"/>
      <c r="K20" s="264"/>
      <c r="L20" s="264"/>
      <c r="M20" s="264"/>
      <c r="N20" s="28"/>
      <c r="O20" s="28"/>
      <c r="P20" s="28"/>
      <c r="Q20" s="28"/>
      <c r="R20" s="13"/>
    </row>
    <row r="21" spans="1:18" ht="17.5">
      <c r="A21" s="35"/>
      <c r="B21" s="349"/>
      <c r="C21" s="206" t="s">
        <v>168</v>
      </c>
      <c r="D21" s="308"/>
      <c r="E21" s="313">
        <v>100</v>
      </c>
      <c r="F21" s="231">
        <f>'Component List'!D31</f>
        <v>56.58</v>
      </c>
      <c r="G21" s="287">
        <v>50</v>
      </c>
      <c r="H21" s="292">
        <f t="shared" si="0"/>
        <v>0</v>
      </c>
      <c r="I21" s="264"/>
      <c r="J21" s="269"/>
      <c r="K21" s="269"/>
      <c r="L21" s="269"/>
      <c r="M21" s="269"/>
      <c r="N21" s="68"/>
      <c r="O21" s="68"/>
      <c r="P21" s="68"/>
      <c r="Q21" s="68"/>
      <c r="R21" s="43"/>
    </row>
    <row r="22" spans="1:18" ht="17.5">
      <c r="A22" s="12"/>
      <c r="B22" s="347"/>
      <c r="C22" s="206" t="s">
        <v>272</v>
      </c>
      <c r="D22" s="308"/>
      <c r="E22" s="297" t="s">
        <v>20</v>
      </c>
      <c r="F22" s="231">
        <f>'Component List'!D37</f>
        <v>59.48</v>
      </c>
      <c r="G22" s="287">
        <v>50</v>
      </c>
      <c r="H22" s="231">
        <f t="shared" si="0"/>
        <v>0</v>
      </c>
      <c r="I22" s="270"/>
      <c r="J22" s="264"/>
      <c r="K22" s="264"/>
      <c r="L22" s="264"/>
      <c r="M22" s="264"/>
      <c r="N22" s="28"/>
      <c r="O22" s="28"/>
      <c r="P22" s="28"/>
      <c r="Q22" s="28"/>
      <c r="R22" s="13"/>
    </row>
    <row r="23" spans="1:18" ht="15.5">
      <c r="A23" s="456" t="s">
        <v>89</v>
      </c>
      <c r="B23" s="457"/>
      <c r="C23" s="458"/>
      <c r="D23" s="165"/>
      <c r="E23" s="280"/>
      <c r="F23" s="265"/>
      <c r="G23" s="281"/>
      <c r="H23" s="271">
        <f t="shared" ref="H23:M23" si="1">SUM(H15:H22)</f>
        <v>0</v>
      </c>
      <c r="I23" s="271">
        <f t="shared" si="1"/>
        <v>0</v>
      </c>
      <c r="J23" s="271">
        <f t="shared" si="1"/>
        <v>0</v>
      </c>
      <c r="K23" s="271">
        <f t="shared" si="1"/>
        <v>0</v>
      </c>
      <c r="L23" s="271">
        <f t="shared" si="1"/>
        <v>0</v>
      </c>
      <c r="M23" s="271">
        <f t="shared" si="1"/>
        <v>0</v>
      </c>
      <c r="N23" s="23"/>
      <c r="O23" s="23"/>
      <c r="P23" s="23"/>
      <c r="Q23" s="23"/>
      <c r="R23" s="25"/>
    </row>
    <row r="24" spans="1:18" ht="15.5">
      <c r="A24" s="110" t="str">
        <f>IF(AE53,AE55,"")</f>
        <v/>
      </c>
      <c r="B24" s="162"/>
      <c r="C24" s="162"/>
      <c r="D24" s="162"/>
      <c r="E24" s="162"/>
      <c r="F24" s="162"/>
      <c r="G24" s="162"/>
      <c r="H24" s="162"/>
      <c r="I24" s="162"/>
      <c r="J24" s="162"/>
      <c r="K24" s="162"/>
      <c r="L24" s="162"/>
      <c r="M24" s="162"/>
      <c r="N24" s="162"/>
      <c r="O24" s="162"/>
      <c r="P24" s="162"/>
      <c r="Q24" s="162"/>
      <c r="R24" s="162"/>
    </row>
    <row r="25" spans="1:18" ht="15.5">
      <c r="A25" s="401" t="s">
        <v>262</v>
      </c>
      <c r="B25" s="402"/>
      <c r="C25" s="402"/>
      <c r="D25" s="402"/>
      <c r="E25" s="402"/>
      <c r="F25" s="402"/>
      <c r="G25" s="402"/>
      <c r="H25" s="402"/>
      <c r="I25" s="402"/>
      <c r="J25" s="402"/>
      <c r="K25" s="402"/>
      <c r="L25" s="402"/>
      <c r="M25" s="402"/>
      <c r="N25" s="402"/>
      <c r="O25" s="402"/>
      <c r="P25" s="402"/>
      <c r="Q25" s="402"/>
      <c r="R25" s="403"/>
    </row>
    <row r="26" spans="1:18" ht="49.5" customHeight="1">
      <c r="A26" s="393" t="s">
        <v>434</v>
      </c>
      <c r="B26" s="394"/>
      <c r="C26" s="394"/>
      <c r="D26" s="394"/>
      <c r="E26" s="394"/>
      <c r="F26" s="394"/>
      <c r="G26" s="394"/>
      <c r="H26" s="394"/>
      <c r="I26" s="394"/>
      <c r="J26" s="394"/>
      <c r="K26" s="394"/>
      <c r="L26" s="394"/>
      <c r="M26" s="394"/>
      <c r="N26" s="394"/>
      <c r="O26" s="394"/>
      <c r="P26" s="394"/>
      <c r="Q26" s="394"/>
      <c r="R26" s="395"/>
    </row>
    <row r="27" spans="1:18" ht="15.5">
      <c r="A27" s="460" t="s">
        <v>390</v>
      </c>
      <c r="B27" s="461"/>
      <c r="C27" s="461"/>
      <c r="D27" s="461"/>
      <c r="E27" s="461"/>
      <c r="F27" s="461"/>
      <c r="G27" s="461"/>
      <c r="H27" s="461"/>
      <c r="I27" s="461"/>
      <c r="J27" s="461"/>
      <c r="K27" s="461"/>
      <c r="L27" s="461"/>
      <c r="M27" s="461"/>
      <c r="N27" s="461"/>
      <c r="O27" s="461"/>
      <c r="P27" s="461"/>
      <c r="Q27" s="461"/>
      <c r="R27" s="462"/>
    </row>
    <row r="28" spans="1:18" ht="51.75" customHeight="1">
      <c r="A28" s="463" t="s">
        <v>392</v>
      </c>
      <c r="B28" s="464"/>
      <c r="C28" s="464"/>
      <c r="D28" s="464"/>
      <c r="E28" s="464"/>
      <c r="F28" s="464"/>
      <c r="G28" s="464"/>
      <c r="H28" s="464"/>
      <c r="I28" s="464"/>
      <c r="J28" s="464"/>
      <c r="K28" s="464"/>
      <c r="L28" s="464"/>
      <c r="M28" s="464"/>
      <c r="N28" s="464"/>
      <c r="O28" s="464"/>
      <c r="P28" s="464"/>
      <c r="Q28" s="464"/>
      <c r="R28" s="465"/>
    </row>
    <row r="29" spans="1:18" ht="15.5">
      <c r="A29" s="413" t="s">
        <v>221</v>
      </c>
      <c r="B29" s="414"/>
      <c r="C29" s="414"/>
      <c r="D29" s="414"/>
      <c r="E29" s="414"/>
      <c r="F29" s="414"/>
      <c r="G29" s="414"/>
      <c r="H29" s="414"/>
      <c r="I29" s="414"/>
      <c r="J29" s="414"/>
      <c r="K29" s="414"/>
      <c r="L29" s="414"/>
      <c r="M29" s="414"/>
      <c r="N29" s="414"/>
      <c r="O29" s="414"/>
      <c r="P29" s="414"/>
      <c r="Q29" s="414"/>
      <c r="R29" s="415"/>
    </row>
    <row r="30" spans="1:18" ht="78.75" customHeight="1">
      <c r="A30" s="396" t="s">
        <v>370</v>
      </c>
      <c r="B30" s="397"/>
      <c r="C30" s="397"/>
      <c r="D30" s="397"/>
      <c r="E30" s="397"/>
      <c r="F30" s="397"/>
      <c r="G30" s="397"/>
      <c r="H30" s="397"/>
      <c r="I30" s="397"/>
      <c r="J30" s="397"/>
      <c r="K30" s="397"/>
      <c r="L30" s="397"/>
      <c r="M30" s="397"/>
      <c r="N30" s="397"/>
      <c r="O30" s="397"/>
      <c r="P30" s="397"/>
      <c r="Q30" s="397"/>
      <c r="R30"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7:R27"/>
    <mergeCell ref="A28:R28"/>
    <mergeCell ref="A29:R29"/>
    <mergeCell ref="A30:R30"/>
    <mergeCell ref="H9:Q9"/>
    <mergeCell ref="R9:R13"/>
    <mergeCell ref="H10:Q10"/>
    <mergeCell ref="A23:C23"/>
    <mergeCell ref="A25:R25"/>
    <mergeCell ref="A26:R26"/>
  </mergeCells>
  <pageMargins left="0.33" right="0.27" top="0.59" bottom="0.56999999999999995"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3</xdr:col>
                    <xdr:colOff>177800</xdr:colOff>
                    <xdr:row>0</xdr:row>
                    <xdr:rowOff>12700</xdr:rowOff>
                  </from>
                  <to>
                    <xdr:col>3</xdr:col>
                    <xdr:colOff>381000</xdr:colOff>
                    <xdr:row>0</xdr:row>
                    <xdr:rowOff>158750</xdr:rowOff>
                  </to>
                </anchor>
              </controlPr>
            </control>
          </mc:Choice>
        </mc:AlternateContent>
        <mc:AlternateContent xmlns:mc="http://schemas.openxmlformats.org/markup-compatibility/2006">
          <mc:Choice Requires="x14">
            <control shapeId="23554" r:id="rId5" name="Check Box 2">
              <controlPr defaultSize="0" autoFill="0" autoLine="0" autoPict="0">
                <anchor moveWithCells="1">
                  <from>
                    <xdr:col>7</xdr:col>
                    <xdr:colOff>209550</xdr:colOff>
                    <xdr:row>0</xdr:row>
                    <xdr:rowOff>12700</xdr:rowOff>
                  </from>
                  <to>
                    <xdr:col>8</xdr:col>
                    <xdr:colOff>114300</xdr:colOff>
                    <xdr:row>0</xdr:row>
                    <xdr:rowOff>152400</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E49"/>
  <sheetViews>
    <sheetView zoomScale="59" zoomScaleNormal="59" workbookViewId="0">
      <selection activeCell="D15" sqref="D15"/>
    </sheetView>
  </sheetViews>
  <sheetFormatPr defaultRowHeight="12.5"/>
  <cols>
    <col min="3" max="3" width="68.7265625" customWidth="1"/>
    <col min="4" max="4" width="13.453125" customWidth="1"/>
    <col min="5" max="5" width="10.1796875" customWidth="1"/>
    <col min="6" max="6" width="11.26953125" customWidth="1"/>
    <col min="7" max="7" width="11.81640625" customWidth="1"/>
    <col min="8" max="8" width="11.54296875" customWidth="1"/>
    <col min="9" max="9" width="13.1796875" customWidth="1"/>
    <col min="10" max="10" width="14.453125" customWidth="1"/>
    <col min="11" max="11" width="13.7265625" customWidth="1"/>
    <col min="12" max="13" width="14" customWidth="1"/>
    <col min="14" max="14" width="8" customWidth="1"/>
    <col min="15" max="15" width="7.7265625" customWidth="1"/>
    <col min="16" max="16" width="6.453125" customWidth="1"/>
    <col min="17" max="17" width="6" customWidth="1"/>
    <col min="18" max="18" width="6.453125" customWidth="1"/>
  </cols>
  <sheetData>
    <row r="1" spans="1:31" ht="21" customHeight="1">
      <c r="A1" s="434" t="s">
        <v>366</v>
      </c>
      <c r="B1" s="435"/>
      <c r="C1" s="435"/>
      <c r="D1" s="144" t="s">
        <v>368</v>
      </c>
      <c r="E1" s="143"/>
      <c r="F1" s="143"/>
      <c r="G1" s="143"/>
      <c r="H1" s="145" t="s">
        <v>369</v>
      </c>
      <c r="I1" s="143"/>
      <c r="J1" s="143"/>
      <c r="K1" s="143"/>
      <c r="L1" s="143"/>
      <c r="M1" s="143"/>
      <c r="N1" s="143"/>
      <c r="O1" s="145" t="s">
        <v>367</v>
      </c>
      <c r="P1" s="143"/>
      <c r="Q1" s="143"/>
      <c r="R1" s="143"/>
      <c r="S1" s="174"/>
      <c r="T1" s="174"/>
      <c r="U1" s="93"/>
      <c r="V1" s="93"/>
      <c r="W1" s="93"/>
      <c r="X1" s="93"/>
      <c r="Y1" s="93"/>
      <c r="Z1" s="93"/>
      <c r="AA1" s="93"/>
      <c r="AB1" s="93"/>
      <c r="AC1" s="93"/>
      <c r="AD1" s="93"/>
      <c r="AE1" s="93"/>
    </row>
    <row r="2" spans="1:31" ht="22.5" customHeight="1">
      <c r="A2" s="429" t="s">
        <v>363</v>
      </c>
      <c r="B2" s="430"/>
      <c r="C2" s="430"/>
      <c r="D2" s="136"/>
      <c r="E2" s="136"/>
      <c r="F2" s="425" t="s">
        <v>25</v>
      </c>
      <c r="G2" s="426"/>
      <c r="H2" s="426"/>
      <c r="I2" s="426"/>
      <c r="J2" s="136"/>
      <c r="K2" s="136"/>
      <c r="L2" s="136"/>
      <c r="M2" s="136"/>
      <c r="N2" s="262" t="s">
        <v>420</v>
      </c>
      <c r="O2" s="137" t="s">
        <v>364</v>
      </c>
      <c r="P2" s="138"/>
      <c r="Q2" s="139" t="s">
        <v>365</v>
      </c>
      <c r="R2" s="140"/>
      <c r="S2" s="175"/>
      <c r="T2" s="175"/>
      <c r="U2" s="93"/>
      <c r="V2" s="93"/>
      <c r="W2" s="93"/>
      <c r="X2" s="93"/>
      <c r="Y2" s="93"/>
      <c r="Z2" s="93"/>
      <c r="AA2" s="93"/>
      <c r="AB2" s="93"/>
      <c r="AC2" s="93"/>
      <c r="AD2" s="93"/>
      <c r="AE2" s="93"/>
    </row>
    <row r="3" spans="1:31" ht="24.75" customHeight="1">
      <c r="A3" s="141"/>
      <c r="B3" s="85"/>
      <c r="C3" s="85"/>
      <c r="D3" s="85"/>
      <c r="E3" s="85"/>
      <c r="F3" s="427" t="s">
        <v>26</v>
      </c>
      <c r="G3" s="428"/>
      <c r="H3" s="428"/>
      <c r="I3" s="428"/>
      <c r="J3" s="85"/>
      <c r="K3" s="85"/>
      <c r="L3" s="85"/>
      <c r="M3" s="85"/>
      <c r="N3" s="85"/>
      <c r="O3" s="17"/>
      <c r="P3" s="17"/>
      <c r="Q3" s="17"/>
      <c r="R3" s="142"/>
      <c r="S3" s="176"/>
      <c r="T3" s="176"/>
      <c r="U3" s="93"/>
      <c r="V3" s="93"/>
      <c r="W3" s="93"/>
      <c r="X3" s="93"/>
      <c r="Y3" s="93"/>
      <c r="Z3" s="93"/>
      <c r="AA3" s="93"/>
      <c r="AB3" s="93"/>
      <c r="AC3" s="93"/>
      <c r="AD3" s="93"/>
      <c r="AE3" s="93"/>
    </row>
    <row r="4" spans="1:31" ht="15.5">
      <c r="A4" s="480" t="s">
        <v>386</v>
      </c>
      <c r="B4" s="483"/>
      <c r="C4" s="484"/>
      <c r="D4" s="490" t="s">
        <v>387</v>
      </c>
      <c r="E4" s="491"/>
      <c r="F4" s="491"/>
      <c r="G4" s="492"/>
      <c r="H4" s="368" t="s">
        <v>388</v>
      </c>
      <c r="I4" s="26"/>
      <c r="J4" s="480" t="s">
        <v>385</v>
      </c>
      <c r="K4" s="481"/>
      <c r="L4" s="482"/>
      <c r="M4" s="480" t="s">
        <v>389</v>
      </c>
      <c r="N4" s="483"/>
      <c r="O4" s="483"/>
      <c r="P4" s="483"/>
      <c r="Q4" s="483"/>
      <c r="R4" s="484"/>
      <c r="S4" s="177"/>
      <c r="T4" s="177"/>
      <c r="U4" s="93"/>
      <c r="V4" s="93"/>
      <c r="W4" s="93"/>
      <c r="X4" s="93"/>
      <c r="Y4" s="93"/>
      <c r="Z4" s="93"/>
      <c r="AA4" s="93"/>
      <c r="AB4" s="93"/>
      <c r="AC4" s="93"/>
      <c r="AD4" s="93"/>
      <c r="AE4" s="93"/>
    </row>
    <row r="5" spans="1:31"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c r="U5" s="93"/>
      <c r="V5" s="93"/>
      <c r="W5" s="93"/>
      <c r="X5" s="93"/>
      <c r="Y5" s="93"/>
      <c r="Z5" s="93"/>
      <c r="AA5" s="93"/>
      <c r="AB5" s="93"/>
      <c r="AC5" s="93"/>
      <c r="AD5" s="93"/>
      <c r="AE5" s="93"/>
    </row>
    <row r="6" spans="1:31">
      <c r="A6" s="466"/>
      <c r="B6" s="466"/>
      <c r="C6" s="466"/>
      <c r="D6" s="466"/>
      <c r="E6" s="466"/>
      <c r="F6" s="466"/>
      <c r="G6" s="466"/>
      <c r="H6" s="466"/>
      <c r="I6" s="466"/>
      <c r="J6" s="466"/>
      <c r="K6" s="466"/>
      <c r="L6" s="466"/>
      <c r="M6" s="466"/>
      <c r="N6" s="466"/>
      <c r="O6" s="466"/>
      <c r="P6" s="466"/>
      <c r="Q6" s="466"/>
      <c r="R6" s="466"/>
      <c r="S6" s="179"/>
      <c r="T6" s="179"/>
      <c r="U6" s="93"/>
      <c r="V6" s="93"/>
      <c r="W6" s="93"/>
      <c r="X6" s="93"/>
      <c r="Y6" s="93"/>
      <c r="Z6" s="93"/>
      <c r="AA6" s="93"/>
      <c r="AB6" s="93"/>
      <c r="AC6" s="93"/>
      <c r="AD6" s="93"/>
      <c r="AE6" s="93"/>
    </row>
    <row r="7" spans="1:31" ht="109.5" customHeight="1">
      <c r="A7" s="467" t="s">
        <v>481</v>
      </c>
      <c r="B7" s="468"/>
      <c r="C7" s="468"/>
      <c r="D7" s="468"/>
      <c r="E7" s="468"/>
      <c r="F7" s="468"/>
      <c r="G7" s="468"/>
      <c r="H7" s="468"/>
      <c r="I7" s="468"/>
      <c r="J7" s="468"/>
      <c r="K7" s="468"/>
      <c r="L7" s="468"/>
      <c r="M7" s="468"/>
      <c r="N7" s="468"/>
      <c r="O7" s="468"/>
      <c r="P7" s="468"/>
      <c r="Q7" s="468"/>
      <c r="R7" s="469"/>
      <c r="S7" s="180"/>
      <c r="T7" s="180"/>
      <c r="U7" s="93"/>
      <c r="V7" s="93"/>
      <c r="W7" s="93"/>
      <c r="X7" s="93"/>
      <c r="Y7" s="93"/>
      <c r="Z7" s="93"/>
      <c r="AA7" s="93"/>
      <c r="AB7" s="93"/>
      <c r="AC7" s="93"/>
      <c r="AD7" s="93"/>
      <c r="AE7" s="93"/>
    </row>
    <row r="8" spans="1:31" ht="14">
      <c r="A8" s="470"/>
      <c r="B8" s="470"/>
      <c r="C8" s="470"/>
      <c r="D8" s="470"/>
      <c r="E8" s="470"/>
      <c r="F8" s="470"/>
      <c r="G8" s="470"/>
      <c r="H8" s="470"/>
      <c r="I8" s="470"/>
      <c r="J8" s="470"/>
      <c r="K8" s="470"/>
      <c r="L8" s="470"/>
      <c r="M8" s="470"/>
      <c r="N8" s="470"/>
      <c r="O8" s="470"/>
      <c r="P8" s="470"/>
      <c r="Q8" s="470"/>
      <c r="R8" s="470"/>
      <c r="S8" s="173"/>
      <c r="T8" s="173"/>
      <c r="U8" s="93"/>
      <c r="V8" s="93"/>
      <c r="W8" s="93"/>
      <c r="X8" s="93"/>
      <c r="Y8" s="93"/>
      <c r="Z8" s="93"/>
      <c r="AA8" s="93"/>
      <c r="AB8" s="93"/>
      <c r="AC8" s="93"/>
      <c r="AD8" s="93"/>
      <c r="AE8" s="93"/>
    </row>
    <row r="9" spans="1:31">
      <c r="A9" s="452" t="s">
        <v>90</v>
      </c>
      <c r="B9" s="452" t="s">
        <v>27</v>
      </c>
      <c r="C9" s="471" t="s">
        <v>397</v>
      </c>
      <c r="D9" s="474" t="s">
        <v>391</v>
      </c>
      <c r="E9" s="477"/>
      <c r="F9" s="452" t="s">
        <v>8</v>
      </c>
      <c r="G9" s="452" t="s">
        <v>384</v>
      </c>
      <c r="H9" s="451" t="s">
        <v>383</v>
      </c>
      <c r="I9" s="420"/>
      <c r="J9" s="420"/>
      <c r="K9" s="420"/>
      <c r="L9" s="420"/>
      <c r="M9" s="420"/>
      <c r="N9" s="420"/>
      <c r="O9" s="420"/>
      <c r="P9" s="420"/>
      <c r="Q9" s="421"/>
      <c r="R9" s="452" t="s">
        <v>9</v>
      </c>
      <c r="S9" s="181"/>
      <c r="T9" s="181"/>
      <c r="U9" s="93"/>
      <c r="V9" s="93"/>
      <c r="W9" s="93"/>
      <c r="X9" s="93"/>
      <c r="Y9" s="93"/>
      <c r="Z9" s="93"/>
      <c r="AA9" s="93"/>
      <c r="AB9" s="93"/>
      <c r="AC9" s="93"/>
      <c r="AD9" s="93"/>
      <c r="AE9" s="93"/>
    </row>
    <row r="10" spans="1:31" ht="18" customHeight="1">
      <c r="A10" s="453"/>
      <c r="B10" s="453"/>
      <c r="C10" s="472"/>
      <c r="D10" s="475"/>
      <c r="E10" s="478"/>
      <c r="F10" s="453"/>
      <c r="G10" s="453"/>
      <c r="H10" s="455" t="s">
        <v>306</v>
      </c>
      <c r="I10" s="408"/>
      <c r="J10" s="408"/>
      <c r="K10" s="408"/>
      <c r="L10" s="408"/>
      <c r="M10" s="408"/>
      <c r="N10" s="408"/>
      <c r="O10" s="408"/>
      <c r="P10" s="408"/>
      <c r="Q10" s="409"/>
      <c r="R10" s="453"/>
      <c r="S10" s="46"/>
      <c r="T10" s="46"/>
      <c r="U10" s="93"/>
      <c r="V10" s="93"/>
      <c r="W10" s="93"/>
      <c r="X10" s="93"/>
      <c r="Y10" s="93"/>
      <c r="Z10" s="93"/>
      <c r="AA10" s="93"/>
      <c r="AB10" s="93"/>
      <c r="AC10" s="93"/>
      <c r="AD10" s="93"/>
      <c r="AE10" s="93"/>
    </row>
    <row r="11" spans="1:31">
      <c r="A11" s="453"/>
      <c r="B11" s="453"/>
      <c r="C11" s="472"/>
      <c r="D11" s="475"/>
      <c r="E11" s="478"/>
      <c r="F11" s="453"/>
      <c r="G11" s="453"/>
      <c r="H11" s="160">
        <v>14</v>
      </c>
      <c r="I11" s="154">
        <v>15</v>
      </c>
      <c r="J11" s="154">
        <v>16</v>
      </c>
      <c r="K11" s="154">
        <v>17</v>
      </c>
      <c r="L11" s="154">
        <v>18</v>
      </c>
      <c r="M11" s="154">
        <v>19</v>
      </c>
      <c r="N11" s="157">
        <v>20</v>
      </c>
      <c r="O11" s="157">
        <v>21</v>
      </c>
      <c r="P11" s="157">
        <v>22</v>
      </c>
      <c r="Q11" s="157">
        <v>23</v>
      </c>
      <c r="R11" s="453"/>
      <c r="S11" s="46"/>
      <c r="T11" s="46"/>
      <c r="U11" s="93"/>
      <c r="V11" s="93"/>
      <c r="W11" s="93"/>
      <c r="X11" s="93"/>
      <c r="Y11" s="93"/>
      <c r="Z11" s="93"/>
      <c r="AA11" s="93"/>
      <c r="AB11" s="93"/>
      <c r="AC11" s="93"/>
      <c r="AD11" s="93"/>
      <c r="AE11" s="93"/>
    </row>
    <row r="12" spans="1:31" ht="14.25" customHeight="1">
      <c r="A12" s="453"/>
      <c r="B12" s="453"/>
      <c r="C12" s="472"/>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c r="S12" s="46"/>
      <c r="T12" s="46"/>
      <c r="U12" s="93"/>
      <c r="V12" s="93"/>
      <c r="W12" s="93"/>
      <c r="X12" s="93"/>
      <c r="Y12" s="93"/>
      <c r="Z12" s="93"/>
      <c r="AA12" s="93"/>
      <c r="AB12" s="93"/>
      <c r="AC12" s="93"/>
      <c r="AD12" s="93"/>
      <c r="AE12" s="93"/>
    </row>
    <row r="13" spans="1:31" ht="15.5">
      <c r="A13" s="454"/>
      <c r="B13" s="454"/>
      <c r="C13" s="473"/>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46"/>
      <c r="T13" s="46"/>
      <c r="U13" s="93"/>
      <c r="V13" s="93"/>
      <c r="W13" s="93"/>
      <c r="X13" s="93"/>
      <c r="Y13" s="93"/>
      <c r="Z13" s="93"/>
      <c r="AA13" s="93"/>
      <c r="AB13" s="93"/>
      <c r="AC13" s="93"/>
      <c r="AD13" s="93"/>
      <c r="AE13" s="93"/>
    </row>
    <row r="14" spans="1:31" ht="15.5">
      <c r="A14" s="161">
        <v>8</v>
      </c>
      <c r="B14" s="161">
        <v>9</v>
      </c>
      <c r="C14" s="246">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c r="U14" s="93"/>
      <c r="V14" s="93"/>
      <c r="W14" s="93"/>
      <c r="X14" s="93"/>
      <c r="Y14" s="93"/>
      <c r="Z14" s="93"/>
      <c r="AA14" s="93"/>
      <c r="AB14" s="93"/>
      <c r="AC14" s="93"/>
      <c r="AD14" s="93"/>
      <c r="AE14" s="93"/>
    </row>
    <row r="15" spans="1:31" ht="17.5">
      <c r="A15" s="12"/>
      <c r="B15" s="347"/>
      <c r="C15" s="206" t="s">
        <v>283</v>
      </c>
      <c r="D15" s="308"/>
      <c r="E15" s="297" t="s">
        <v>20</v>
      </c>
      <c r="F15" s="231"/>
      <c r="G15" s="287"/>
      <c r="H15" s="231"/>
      <c r="I15" s="231"/>
      <c r="J15" s="231"/>
      <c r="K15" s="231"/>
      <c r="L15" s="231"/>
      <c r="M15" s="231"/>
      <c r="N15" s="28"/>
      <c r="O15" s="28"/>
      <c r="P15" s="28"/>
      <c r="Q15" s="28"/>
      <c r="R15" s="13"/>
      <c r="S15" s="182"/>
      <c r="T15" s="182"/>
      <c r="U15" s="93"/>
      <c r="V15" s="93"/>
      <c r="W15" s="93"/>
      <c r="X15" s="93"/>
      <c r="Y15" s="93"/>
      <c r="Z15" s="93"/>
      <c r="AA15" s="93"/>
      <c r="AB15" s="93"/>
      <c r="AC15" s="93"/>
      <c r="AD15" s="93"/>
      <c r="AE15" s="93"/>
    </row>
    <row r="16" spans="1:31" ht="17.5">
      <c r="A16" s="12"/>
      <c r="B16" s="347"/>
      <c r="C16" s="206" t="s">
        <v>136</v>
      </c>
      <c r="D16" s="308"/>
      <c r="E16" s="297" t="s">
        <v>20</v>
      </c>
      <c r="F16" s="231">
        <f>VLOOKUP(C16,AA28:AB34,2)</f>
        <v>0</v>
      </c>
      <c r="G16" s="287">
        <v>50</v>
      </c>
      <c r="H16" s="231">
        <f>D16*F16*G16/100</f>
        <v>0</v>
      </c>
      <c r="I16" s="231"/>
      <c r="J16" s="231"/>
      <c r="K16" s="231"/>
      <c r="L16" s="231"/>
      <c r="M16" s="231"/>
      <c r="N16" s="28"/>
      <c r="O16" s="28"/>
      <c r="P16" s="28"/>
      <c r="Q16" s="28"/>
      <c r="R16" s="13"/>
      <c r="S16" s="182"/>
      <c r="T16" s="182"/>
      <c r="U16" s="93"/>
      <c r="V16" s="93"/>
      <c r="W16" s="93"/>
      <c r="X16" s="93"/>
      <c r="Y16" s="93"/>
      <c r="Z16" s="93"/>
      <c r="AA16" s="93"/>
      <c r="AB16" s="93"/>
      <c r="AC16" s="93"/>
      <c r="AD16" s="93"/>
      <c r="AE16" s="93"/>
    </row>
    <row r="17" spans="1:31" ht="17.5">
      <c r="A17" s="12"/>
      <c r="B17" s="347"/>
      <c r="C17" s="206" t="s">
        <v>136</v>
      </c>
      <c r="D17" s="308"/>
      <c r="E17" s="297" t="s">
        <v>20</v>
      </c>
      <c r="F17" s="231">
        <f>VLOOKUP(C17,AA28:AB34,2)</f>
        <v>0</v>
      </c>
      <c r="G17" s="287">
        <v>50</v>
      </c>
      <c r="H17" s="231"/>
      <c r="I17" s="231">
        <f>D17*F17*G17/100</f>
        <v>0</v>
      </c>
      <c r="J17" s="231"/>
      <c r="K17" s="231"/>
      <c r="L17" s="231"/>
      <c r="M17" s="231"/>
      <c r="N17" s="28"/>
      <c r="O17" s="28"/>
      <c r="P17" s="28"/>
      <c r="Q17" s="28"/>
      <c r="R17" s="13"/>
      <c r="S17" s="182"/>
      <c r="T17" s="182"/>
      <c r="U17" s="93"/>
      <c r="V17" s="93"/>
      <c r="W17" s="93"/>
      <c r="X17" s="93"/>
      <c r="Y17" s="93"/>
      <c r="Z17" s="93"/>
      <c r="AA17" s="93"/>
      <c r="AB17" s="93"/>
      <c r="AC17" s="93"/>
      <c r="AD17" s="93"/>
      <c r="AE17" s="93"/>
    </row>
    <row r="18" spans="1:31" ht="17.5">
      <c r="A18" s="12"/>
      <c r="B18" s="347"/>
      <c r="C18" s="206" t="s">
        <v>190</v>
      </c>
      <c r="D18" s="308"/>
      <c r="E18" s="297" t="s">
        <v>20</v>
      </c>
      <c r="F18" s="231">
        <f>(VLOOKUP(C18,W28:X34,2,TRUE))*1</f>
        <v>0</v>
      </c>
      <c r="G18" s="287">
        <v>50</v>
      </c>
      <c r="H18" s="315"/>
      <c r="I18" s="300"/>
      <c r="J18" s="231">
        <f>D18*F18*G18/100</f>
        <v>0</v>
      </c>
      <c r="K18" s="231"/>
      <c r="L18" s="231"/>
      <c r="M18" s="231"/>
      <c r="N18" s="28"/>
      <c r="O18" s="28"/>
      <c r="P18" s="28"/>
      <c r="Q18" s="28"/>
      <c r="R18" s="13"/>
      <c r="S18" s="182"/>
      <c r="T18" s="182"/>
      <c r="U18" s="93"/>
      <c r="V18" s="93"/>
      <c r="W18" s="93"/>
      <c r="X18" s="93"/>
      <c r="Y18" s="93"/>
      <c r="Z18" s="93"/>
      <c r="AA18" s="93"/>
      <c r="AB18" s="93"/>
      <c r="AC18" s="93"/>
      <c r="AD18" s="93"/>
      <c r="AE18" s="93"/>
    </row>
    <row r="19" spans="1:31" ht="17.5">
      <c r="A19" s="12"/>
      <c r="B19" s="347"/>
      <c r="C19" s="206" t="s">
        <v>190</v>
      </c>
      <c r="D19" s="308"/>
      <c r="E19" s="297" t="s">
        <v>20</v>
      </c>
      <c r="F19" s="231">
        <f>(VLOOKUP(C19,W28:X34,2,TRUE))*1</f>
        <v>0</v>
      </c>
      <c r="G19" s="287">
        <v>50</v>
      </c>
      <c r="H19" s="315"/>
      <c r="I19" s="300"/>
      <c r="J19" s="231"/>
      <c r="K19" s="231">
        <f>D19*F19*G19/100</f>
        <v>0</v>
      </c>
      <c r="L19" s="231"/>
      <c r="M19" s="231"/>
      <c r="N19" s="28"/>
      <c r="O19" s="28"/>
      <c r="P19" s="28"/>
      <c r="Q19" s="28"/>
      <c r="R19" s="13"/>
      <c r="S19" s="182"/>
      <c r="T19" s="182"/>
      <c r="U19" s="93"/>
      <c r="V19" s="93"/>
      <c r="W19" s="93"/>
      <c r="X19" s="93"/>
      <c r="Y19" s="93"/>
      <c r="Z19" s="93"/>
      <c r="AA19" s="93"/>
      <c r="AB19" s="93"/>
      <c r="AC19" s="93"/>
      <c r="AD19" s="93"/>
      <c r="AE19" s="93"/>
    </row>
    <row r="20" spans="1:31" ht="17.5">
      <c r="A20" s="12"/>
      <c r="B20" s="347"/>
      <c r="C20" s="206" t="s">
        <v>191</v>
      </c>
      <c r="D20" s="308"/>
      <c r="E20" s="297" t="s">
        <v>20</v>
      </c>
      <c r="F20" s="231">
        <f>(VLOOKUP(C20,W36:X42,2,TRUE))*1</f>
        <v>0</v>
      </c>
      <c r="G20" s="287">
        <v>50</v>
      </c>
      <c r="H20" s="300"/>
      <c r="I20" s="300"/>
      <c r="J20" s="231"/>
      <c r="K20" s="300"/>
      <c r="L20" s="231">
        <f>D20*F20*G20/100</f>
        <v>0</v>
      </c>
      <c r="M20" s="231"/>
      <c r="N20" s="28"/>
      <c r="O20" s="28"/>
      <c r="P20" s="28"/>
      <c r="Q20" s="28"/>
      <c r="R20" s="13"/>
      <c r="S20" s="182"/>
      <c r="T20" s="182"/>
      <c r="U20" s="93"/>
      <c r="V20" s="93"/>
      <c r="W20" s="93"/>
      <c r="X20" s="93"/>
      <c r="Y20" s="93"/>
      <c r="Z20" s="93"/>
      <c r="AA20" s="93"/>
      <c r="AB20" s="93"/>
      <c r="AC20" s="93"/>
      <c r="AD20" s="93"/>
      <c r="AE20" s="93"/>
    </row>
    <row r="21" spans="1:31" ht="17.5">
      <c r="A21" s="12"/>
      <c r="B21" s="347"/>
      <c r="C21" s="206" t="s">
        <v>191</v>
      </c>
      <c r="D21" s="308"/>
      <c r="E21" s="297" t="s">
        <v>20</v>
      </c>
      <c r="F21" s="231">
        <f>(VLOOKUP(C21,W36:X42,2,TRUE))*1</f>
        <v>0</v>
      </c>
      <c r="G21" s="287">
        <v>50</v>
      </c>
      <c r="H21" s="300"/>
      <c r="I21" s="300"/>
      <c r="J21" s="231"/>
      <c r="K21" s="300"/>
      <c r="L21" s="231"/>
      <c r="M21" s="231">
        <f>D21*F21*G21/100</f>
        <v>0</v>
      </c>
      <c r="N21" s="28"/>
      <c r="O21" s="28"/>
      <c r="P21" s="28"/>
      <c r="Q21" s="28"/>
      <c r="R21" s="13"/>
      <c r="S21" s="182"/>
      <c r="T21" s="182"/>
      <c r="U21" s="93"/>
      <c r="V21" s="93"/>
      <c r="W21" s="93"/>
      <c r="X21" s="93"/>
      <c r="Y21" s="93"/>
      <c r="Z21" s="93"/>
      <c r="AA21" s="93"/>
      <c r="AB21" s="93"/>
      <c r="AC21" s="93"/>
      <c r="AD21" s="93"/>
      <c r="AE21" s="93"/>
    </row>
    <row r="22" spans="1:31" ht="15.5">
      <c r="A22" s="501" t="s">
        <v>89</v>
      </c>
      <c r="B22" s="502"/>
      <c r="C22" s="503"/>
      <c r="D22" s="286"/>
      <c r="E22" s="280"/>
      <c r="F22" s="265"/>
      <c r="G22" s="281"/>
      <c r="H22" s="271">
        <f t="shared" ref="H22:M22" si="0">SUM(H15:H21)</f>
        <v>0</v>
      </c>
      <c r="I22" s="271">
        <f t="shared" si="0"/>
        <v>0</v>
      </c>
      <c r="J22" s="271">
        <f t="shared" si="0"/>
        <v>0</v>
      </c>
      <c r="K22" s="271">
        <f t="shared" si="0"/>
        <v>0</v>
      </c>
      <c r="L22" s="271">
        <f t="shared" si="0"/>
        <v>0</v>
      </c>
      <c r="M22" s="271">
        <f t="shared" si="0"/>
        <v>0</v>
      </c>
      <c r="N22" s="23"/>
      <c r="O22" s="23"/>
      <c r="P22" s="23"/>
      <c r="Q22" s="23"/>
      <c r="R22" s="25"/>
      <c r="S22" s="186"/>
      <c r="T22" s="186"/>
      <c r="U22" s="93"/>
      <c r="V22" s="93"/>
      <c r="W22" s="93"/>
      <c r="X22" s="93"/>
      <c r="Y22" s="93"/>
      <c r="Z22" s="93"/>
      <c r="AA22" s="93"/>
      <c r="AB22" s="93"/>
      <c r="AC22" s="93"/>
      <c r="AD22" s="93"/>
      <c r="AE22" s="93"/>
    </row>
    <row r="23" spans="1:31" ht="40.5" customHeight="1">
      <c r="A23" s="496" t="str">
        <f>IF(W44,W46,"")</f>
        <v/>
      </c>
      <c r="B23" s="497"/>
      <c r="C23" s="497"/>
      <c r="D23" s="497"/>
      <c r="E23" s="497"/>
      <c r="F23" s="497"/>
      <c r="G23" s="497"/>
      <c r="H23" s="497"/>
      <c r="I23" s="497"/>
      <c r="J23" s="497"/>
      <c r="K23" s="497"/>
      <c r="L23" s="497"/>
      <c r="M23" s="497"/>
      <c r="N23" s="497"/>
      <c r="O23" s="497"/>
      <c r="P23" s="497"/>
      <c r="Q23" s="497"/>
      <c r="R23" s="497"/>
      <c r="S23" s="47"/>
      <c r="T23" s="47"/>
      <c r="U23" s="93"/>
      <c r="V23" s="93"/>
      <c r="W23" s="93"/>
      <c r="X23" s="93"/>
      <c r="Y23" s="93"/>
      <c r="Z23" s="93"/>
      <c r="AA23" s="93"/>
      <c r="AB23" s="93"/>
      <c r="AC23" s="93"/>
      <c r="AD23" s="93"/>
      <c r="AE23" s="93"/>
    </row>
    <row r="24" spans="1:31" ht="16.5" customHeight="1">
      <c r="A24" s="401" t="s">
        <v>262</v>
      </c>
      <c r="B24" s="402"/>
      <c r="C24" s="402"/>
      <c r="D24" s="402"/>
      <c r="E24" s="402"/>
      <c r="F24" s="402"/>
      <c r="G24" s="402"/>
      <c r="H24" s="402"/>
      <c r="I24" s="402"/>
      <c r="J24" s="402"/>
      <c r="K24" s="402"/>
      <c r="L24" s="402"/>
      <c r="M24" s="402"/>
      <c r="N24" s="402"/>
      <c r="O24" s="402"/>
      <c r="P24" s="402"/>
      <c r="Q24" s="402"/>
      <c r="R24" s="403"/>
      <c r="S24" s="187"/>
      <c r="T24" s="187"/>
      <c r="U24" s="93"/>
      <c r="V24" s="93"/>
      <c r="W24" s="93"/>
      <c r="X24" s="93"/>
      <c r="Y24" s="93"/>
      <c r="Z24" s="93"/>
      <c r="AA24" s="93"/>
      <c r="AB24" s="93"/>
      <c r="AC24" s="93"/>
      <c r="AD24" s="93"/>
      <c r="AE24" s="93"/>
    </row>
    <row r="25" spans="1:31" ht="50.25" customHeight="1">
      <c r="A25" s="393" t="s">
        <v>434</v>
      </c>
      <c r="B25" s="394"/>
      <c r="C25" s="394"/>
      <c r="D25" s="394"/>
      <c r="E25" s="394"/>
      <c r="F25" s="394"/>
      <c r="G25" s="394"/>
      <c r="H25" s="394"/>
      <c r="I25" s="394"/>
      <c r="J25" s="394"/>
      <c r="K25" s="394"/>
      <c r="L25" s="394"/>
      <c r="M25" s="394"/>
      <c r="N25" s="394"/>
      <c r="O25" s="394"/>
      <c r="P25" s="394"/>
      <c r="Q25" s="394"/>
      <c r="R25" s="395"/>
      <c r="S25" s="188"/>
      <c r="T25" s="188"/>
      <c r="U25" s="93"/>
      <c r="V25" s="93"/>
      <c r="W25" s="93"/>
      <c r="X25" s="93"/>
      <c r="Y25" s="93"/>
      <c r="Z25" s="93"/>
      <c r="AA25" s="93"/>
      <c r="AB25" s="93"/>
      <c r="AC25" s="93"/>
      <c r="AD25" s="93"/>
      <c r="AE25" s="93"/>
    </row>
    <row r="26" spans="1:31" ht="15.5">
      <c r="A26" s="460" t="s">
        <v>390</v>
      </c>
      <c r="B26" s="461"/>
      <c r="C26" s="461"/>
      <c r="D26" s="461"/>
      <c r="E26" s="461"/>
      <c r="F26" s="461"/>
      <c r="G26" s="461"/>
      <c r="H26" s="461"/>
      <c r="I26" s="461"/>
      <c r="J26" s="461"/>
      <c r="K26" s="461"/>
      <c r="L26" s="461"/>
      <c r="M26" s="461"/>
      <c r="N26" s="461"/>
      <c r="O26" s="461"/>
      <c r="P26" s="461"/>
      <c r="Q26" s="461"/>
      <c r="R26" s="462"/>
      <c r="S26" s="52"/>
      <c r="T26" s="52"/>
      <c r="U26" s="93"/>
      <c r="V26" s="93"/>
      <c r="W26" s="93"/>
      <c r="X26" s="93"/>
      <c r="Y26" s="93"/>
      <c r="Z26" s="93"/>
      <c r="AA26" s="93"/>
      <c r="AB26" s="93"/>
      <c r="AC26" s="93"/>
      <c r="AD26" s="93"/>
      <c r="AE26" s="93"/>
    </row>
    <row r="27" spans="1:31" ht="48" customHeight="1">
      <c r="A27" s="463" t="s">
        <v>392</v>
      </c>
      <c r="B27" s="464"/>
      <c r="C27" s="464"/>
      <c r="D27" s="464"/>
      <c r="E27" s="464"/>
      <c r="F27" s="464"/>
      <c r="G27" s="464"/>
      <c r="H27" s="464"/>
      <c r="I27" s="464"/>
      <c r="J27" s="464"/>
      <c r="K27" s="464"/>
      <c r="L27" s="464"/>
      <c r="M27" s="464"/>
      <c r="N27" s="464"/>
      <c r="O27" s="464"/>
      <c r="P27" s="464"/>
      <c r="Q27" s="464"/>
      <c r="R27" s="465"/>
      <c r="S27" s="189"/>
      <c r="T27" s="189"/>
      <c r="U27" s="93"/>
      <c r="V27" s="93"/>
      <c r="W27" s="93"/>
      <c r="X27" s="93"/>
      <c r="Y27" s="93"/>
      <c r="Z27" s="93"/>
      <c r="AA27" s="93"/>
      <c r="AB27" s="93"/>
      <c r="AC27" s="93"/>
      <c r="AD27" s="93"/>
      <c r="AE27" s="93"/>
    </row>
    <row r="28" spans="1:31" ht="15.5">
      <c r="A28" s="413" t="s">
        <v>221</v>
      </c>
      <c r="B28" s="414"/>
      <c r="C28" s="414"/>
      <c r="D28" s="414"/>
      <c r="E28" s="414"/>
      <c r="F28" s="414"/>
      <c r="G28" s="414"/>
      <c r="H28" s="414"/>
      <c r="I28" s="414"/>
      <c r="J28" s="414"/>
      <c r="K28" s="414"/>
      <c r="L28" s="414"/>
      <c r="M28" s="414"/>
      <c r="N28" s="414"/>
      <c r="O28" s="414"/>
      <c r="P28" s="414"/>
      <c r="Q28" s="414"/>
      <c r="R28" s="415"/>
      <c r="S28" s="187"/>
      <c r="T28" s="187"/>
      <c r="U28" s="93"/>
      <c r="V28" s="93"/>
      <c r="W28" s="209" t="s">
        <v>190</v>
      </c>
      <c r="X28" s="210">
        <v>0</v>
      </c>
      <c r="Y28" s="26"/>
      <c r="Z28" s="26"/>
      <c r="AA28" s="373" t="s">
        <v>136</v>
      </c>
      <c r="AB28" s="93"/>
      <c r="AC28" s="93"/>
      <c r="AD28" s="93"/>
      <c r="AE28" s="93"/>
    </row>
    <row r="29" spans="1:31" ht="66" customHeight="1">
      <c r="A29" s="396" t="s">
        <v>370</v>
      </c>
      <c r="B29" s="397"/>
      <c r="C29" s="397"/>
      <c r="D29" s="397"/>
      <c r="E29" s="397"/>
      <c r="F29" s="397"/>
      <c r="G29" s="397"/>
      <c r="H29" s="397"/>
      <c r="I29" s="397"/>
      <c r="J29" s="397"/>
      <c r="K29" s="397"/>
      <c r="L29" s="397"/>
      <c r="M29" s="397"/>
      <c r="N29" s="397"/>
      <c r="O29" s="397"/>
      <c r="P29" s="397"/>
      <c r="Q29" s="397"/>
      <c r="R29" s="398"/>
      <c r="S29" s="190"/>
      <c r="T29" s="190"/>
      <c r="U29" s="93"/>
      <c r="V29" s="93"/>
      <c r="W29" s="212" t="s">
        <v>178</v>
      </c>
      <c r="X29" s="213">
        <f>'Component List'!D18</f>
        <v>31.04</v>
      </c>
      <c r="Y29" s="26"/>
      <c r="Z29" s="26"/>
      <c r="AA29" s="214" t="s">
        <v>137</v>
      </c>
      <c r="AB29" s="50">
        <f>'Component List'!D18</f>
        <v>31.04</v>
      </c>
      <c r="AC29" s="93"/>
      <c r="AD29" s="93"/>
      <c r="AE29" s="93"/>
    </row>
    <row r="30" spans="1:31" ht="15.5">
      <c r="A30" s="93"/>
      <c r="B30" s="93"/>
      <c r="C30" s="93"/>
      <c r="D30" s="93"/>
      <c r="E30" s="93"/>
      <c r="F30" s="93"/>
      <c r="G30" s="93"/>
      <c r="H30" s="93"/>
      <c r="I30" s="93"/>
      <c r="J30" s="93"/>
      <c r="K30" s="93"/>
      <c r="L30" s="93"/>
      <c r="M30" s="93"/>
      <c r="N30" s="93"/>
      <c r="O30" s="93"/>
      <c r="P30" s="93"/>
      <c r="Q30" s="93"/>
      <c r="R30" s="93"/>
      <c r="S30" s="22"/>
      <c r="T30" s="22"/>
      <c r="U30" s="93"/>
      <c r="V30" s="93"/>
      <c r="W30" s="212" t="s">
        <v>261</v>
      </c>
      <c r="X30" s="213">
        <f>'Component List'!D19</f>
        <v>100</v>
      </c>
      <c r="Y30" s="26"/>
      <c r="Z30" s="26"/>
      <c r="AA30" s="214" t="s">
        <v>138</v>
      </c>
      <c r="AB30" s="50">
        <f>'Component List'!D19</f>
        <v>100</v>
      </c>
      <c r="AC30" s="93"/>
      <c r="AD30" s="93"/>
      <c r="AE30" s="93"/>
    </row>
    <row r="31" spans="1:31" ht="15.5">
      <c r="A31" s="93"/>
      <c r="B31" s="93"/>
      <c r="C31" s="93"/>
      <c r="D31" s="93"/>
      <c r="E31" s="93"/>
      <c r="F31" s="93"/>
      <c r="G31" s="93"/>
      <c r="H31" s="93"/>
      <c r="I31" s="93"/>
      <c r="J31" s="93"/>
      <c r="K31" s="93"/>
      <c r="L31" s="93"/>
      <c r="M31" s="93"/>
      <c r="N31" s="93"/>
      <c r="O31" s="93"/>
      <c r="P31" s="93"/>
      <c r="Q31" s="93"/>
      <c r="R31" s="93"/>
      <c r="S31" s="22"/>
      <c r="T31" s="22"/>
      <c r="U31" s="93"/>
      <c r="V31" s="93"/>
      <c r="W31" s="212" t="s">
        <v>94</v>
      </c>
      <c r="X31" s="213">
        <f>'Component List'!D22</f>
        <v>23.04</v>
      </c>
      <c r="Y31" s="26"/>
      <c r="Z31" s="26"/>
      <c r="AA31" s="214" t="s">
        <v>139</v>
      </c>
      <c r="AB31" s="50">
        <f>'Component List'!D22</f>
        <v>23.04</v>
      </c>
      <c r="AC31" s="93"/>
      <c r="AD31" s="93"/>
      <c r="AE31" s="93"/>
    </row>
    <row r="32" spans="1:31" ht="15.5">
      <c r="A32" s="93"/>
      <c r="B32" s="93"/>
      <c r="C32" s="93"/>
      <c r="D32" s="93"/>
      <c r="E32" s="93"/>
      <c r="F32" s="93"/>
      <c r="G32" s="93"/>
      <c r="H32" s="93"/>
      <c r="I32" s="93"/>
      <c r="J32" s="93"/>
      <c r="K32" s="93"/>
      <c r="L32" s="93"/>
      <c r="M32" s="93"/>
      <c r="N32" s="93"/>
      <c r="O32" s="93"/>
      <c r="P32" s="93"/>
      <c r="Q32" s="93"/>
      <c r="R32" s="93"/>
      <c r="S32" s="22"/>
      <c r="T32" s="22"/>
      <c r="U32" s="93"/>
      <c r="V32" s="93"/>
      <c r="W32" s="212" t="s">
        <v>112</v>
      </c>
      <c r="X32" s="213">
        <f>'Component List'!D25</f>
        <v>100</v>
      </c>
      <c r="Y32" s="26"/>
      <c r="Z32" s="26"/>
      <c r="AA32" s="214" t="s">
        <v>140</v>
      </c>
      <c r="AB32" s="50">
        <f>'Component List'!D25</f>
        <v>100</v>
      </c>
      <c r="AC32" s="93"/>
      <c r="AD32" s="93"/>
      <c r="AE32" s="93"/>
    </row>
    <row r="33" spans="1:31" ht="15.5">
      <c r="A33" s="93"/>
      <c r="B33" s="93"/>
      <c r="C33" s="93"/>
      <c r="D33" s="93"/>
      <c r="E33" s="93"/>
      <c r="F33" s="93"/>
      <c r="G33" s="93"/>
      <c r="H33" s="93"/>
      <c r="I33" s="93"/>
      <c r="J33" s="93"/>
      <c r="K33" s="93"/>
      <c r="L33" s="93"/>
      <c r="M33" s="93"/>
      <c r="N33" s="93"/>
      <c r="O33" s="93"/>
      <c r="P33" s="93"/>
      <c r="Q33" s="93"/>
      <c r="R33" s="93"/>
      <c r="S33" s="22"/>
      <c r="T33" s="22"/>
      <c r="U33" s="93"/>
      <c r="V33" s="93"/>
      <c r="W33" s="203" t="s">
        <v>113</v>
      </c>
      <c r="X33" s="213">
        <f>'Component List'!D26</f>
        <v>100</v>
      </c>
      <c r="Y33" s="26"/>
      <c r="Z33" s="26"/>
      <c r="AA33" s="214" t="s">
        <v>141</v>
      </c>
      <c r="AB33" s="50">
        <f>'Component List'!D26</f>
        <v>100</v>
      </c>
      <c r="AC33" s="93"/>
      <c r="AD33" s="93"/>
      <c r="AE33" s="93"/>
    </row>
    <row r="34" spans="1:31" ht="15.5">
      <c r="A34" s="93"/>
      <c r="B34" s="93"/>
      <c r="C34" s="93"/>
      <c r="D34" s="93"/>
      <c r="E34" s="93"/>
      <c r="F34" s="93"/>
      <c r="G34" s="93"/>
      <c r="H34" s="93"/>
      <c r="I34" s="93"/>
      <c r="J34" s="93"/>
      <c r="K34" s="93"/>
      <c r="L34" s="93"/>
      <c r="M34" s="93"/>
      <c r="N34" s="93"/>
      <c r="O34" s="93"/>
      <c r="P34" s="93"/>
      <c r="Q34" s="93"/>
      <c r="R34" s="93"/>
      <c r="S34" s="22"/>
      <c r="T34" s="22"/>
      <c r="U34" s="93"/>
      <c r="V34" s="93"/>
      <c r="W34" s="203" t="s">
        <v>179</v>
      </c>
      <c r="X34" s="213">
        <f>'Component List'!D59</f>
        <v>100</v>
      </c>
      <c r="Y34" s="26"/>
      <c r="Z34" s="26"/>
      <c r="AA34" s="214" t="s">
        <v>142</v>
      </c>
      <c r="AB34" s="50">
        <f>'Component List'!D59</f>
        <v>100</v>
      </c>
      <c r="AC34" s="93"/>
      <c r="AD34" s="93"/>
      <c r="AE34" s="93"/>
    </row>
    <row r="35" spans="1:31" ht="15.5">
      <c r="A35" s="93"/>
      <c r="B35" s="93"/>
      <c r="C35" s="93"/>
      <c r="D35" s="93"/>
      <c r="E35" s="93"/>
      <c r="F35" s="93"/>
      <c r="G35" s="93"/>
      <c r="H35" s="93"/>
      <c r="I35" s="93"/>
      <c r="J35" s="93"/>
      <c r="K35" s="93"/>
      <c r="L35" s="93"/>
      <c r="M35" s="93"/>
      <c r="N35" s="93"/>
      <c r="O35" s="93"/>
      <c r="P35" s="93"/>
      <c r="Q35" s="93"/>
      <c r="R35" s="93"/>
      <c r="S35" s="22"/>
      <c r="T35" s="22"/>
      <c r="U35" s="93"/>
      <c r="V35" s="93"/>
      <c r="W35" s="26"/>
      <c r="X35" s="215"/>
      <c r="Y35" s="26"/>
      <c r="Z35" s="26"/>
      <c r="AA35" s="26"/>
      <c r="AB35" s="93"/>
      <c r="AC35" s="93"/>
      <c r="AD35" s="93"/>
      <c r="AE35" s="93"/>
    </row>
    <row r="36" spans="1:31" ht="15.5">
      <c r="A36" s="93"/>
      <c r="B36" s="93"/>
      <c r="C36" s="93"/>
      <c r="D36" s="93"/>
      <c r="E36" s="93"/>
      <c r="F36" s="93"/>
      <c r="G36" s="93"/>
      <c r="H36" s="93"/>
      <c r="I36" s="93"/>
      <c r="J36" s="93"/>
      <c r="K36" s="93"/>
      <c r="L36" s="93"/>
      <c r="M36" s="93"/>
      <c r="N36" s="93"/>
      <c r="O36" s="93"/>
      <c r="P36" s="93"/>
      <c r="Q36" s="93"/>
      <c r="R36" s="93"/>
      <c r="S36" s="22"/>
      <c r="T36" s="22"/>
      <c r="U36" s="93"/>
      <c r="V36" s="93"/>
      <c r="W36" s="205" t="s">
        <v>191</v>
      </c>
      <c r="X36" s="215"/>
      <c r="Y36" s="26"/>
      <c r="Z36" s="26"/>
      <c r="AA36" s="26"/>
      <c r="AB36" s="93"/>
      <c r="AC36" s="93"/>
      <c r="AD36" s="93"/>
      <c r="AE36" s="93"/>
    </row>
    <row r="37" spans="1:31" ht="15.5">
      <c r="A37" s="93"/>
      <c r="B37" s="93"/>
      <c r="C37" s="93"/>
      <c r="D37" s="93"/>
      <c r="E37" s="93"/>
      <c r="F37" s="93"/>
      <c r="G37" s="93"/>
      <c r="H37" s="93"/>
      <c r="I37" s="93"/>
      <c r="J37" s="93"/>
      <c r="K37" s="93"/>
      <c r="L37" s="93"/>
      <c r="M37" s="93"/>
      <c r="N37" s="93"/>
      <c r="O37" s="93"/>
      <c r="P37" s="93"/>
      <c r="Q37" s="93"/>
      <c r="R37" s="93"/>
      <c r="S37" s="22"/>
      <c r="T37" s="22"/>
      <c r="U37" s="93"/>
      <c r="V37" s="93"/>
      <c r="W37" s="203" t="s">
        <v>37</v>
      </c>
      <c r="X37" s="213">
        <f>'Component List'!D18</f>
        <v>31.04</v>
      </c>
      <c r="Y37" s="26"/>
      <c r="Z37" s="26"/>
      <c r="AA37" s="26"/>
      <c r="AB37" s="93"/>
      <c r="AC37" s="93"/>
      <c r="AD37" s="93"/>
      <c r="AE37" s="93"/>
    </row>
    <row r="38" spans="1:31" ht="15.5">
      <c r="A38" s="93"/>
      <c r="B38" s="93"/>
      <c r="C38" s="93"/>
      <c r="D38" s="93"/>
      <c r="E38" s="93"/>
      <c r="F38" s="93"/>
      <c r="G38" s="93"/>
      <c r="H38" s="93"/>
      <c r="I38" s="93"/>
      <c r="J38" s="93"/>
      <c r="K38" s="93"/>
      <c r="L38" s="93"/>
      <c r="M38" s="93"/>
      <c r="N38" s="93"/>
      <c r="O38" s="93"/>
      <c r="P38" s="93"/>
      <c r="Q38" s="93"/>
      <c r="R38" s="93"/>
      <c r="S38" s="22"/>
      <c r="T38" s="22"/>
      <c r="U38" s="93"/>
      <c r="V38" s="93"/>
      <c r="W38" s="203" t="s">
        <v>114</v>
      </c>
      <c r="X38" s="213">
        <f>'Component List'!D19</f>
        <v>100</v>
      </c>
      <c r="Y38" s="26"/>
      <c r="Z38" s="26"/>
      <c r="AA38" s="26"/>
      <c r="AB38" s="93"/>
      <c r="AC38" s="93"/>
      <c r="AD38" s="93"/>
      <c r="AE38" s="93"/>
    </row>
    <row r="39" spans="1:31" ht="15.5">
      <c r="A39" s="93"/>
      <c r="B39" s="93"/>
      <c r="C39" s="93"/>
      <c r="D39" s="93"/>
      <c r="E39" s="93"/>
      <c r="F39" s="93"/>
      <c r="G39" s="93"/>
      <c r="H39" s="93"/>
      <c r="I39" s="93"/>
      <c r="J39" s="93"/>
      <c r="K39" s="93"/>
      <c r="L39" s="93"/>
      <c r="M39" s="93"/>
      <c r="N39" s="93"/>
      <c r="O39" s="93"/>
      <c r="P39" s="93"/>
      <c r="Q39" s="93"/>
      <c r="R39" s="93"/>
      <c r="S39" s="22"/>
      <c r="T39" s="22"/>
      <c r="U39" s="93"/>
      <c r="V39" s="93"/>
      <c r="W39" s="203" t="s">
        <v>38</v>
      </c>
      <c r="X39" s="213">
        <f>'Component List'!D22</f>
        <v>23.04</v>
      </c>
      <c r="Y39" s="26"/>
      <c r="Z39" s="26"/>
      <c r="AA39" s="26"/>
      <c r="AB39" s="93"/>
      <c r="AC39" s="93"/>
      <c r="AD39" s="93"/>
      <c r="AE39" s="93"/>
    </row>
    <row r="40" spans="1:31" ht="15.5">
      <c r="A40" s="93"/>
      <c r="B40" s="93"/>
      <c r="C40" s="93"/>
      <c r="D40" s="93"/>
      <c r="E40" s="93"/>
      <c r="F40" s="93"/>
      <c r="G40" s="93"/>
      <c r="H40" s="93"/>
      <c r="I40" s="93"/>
      <c r="J40" s="93"/>
      <c r="K40" s="93"/>
      <c r="L40" s="93"/>
      <c r="M40" s="93"/>
      <c r="N40" s="93"/>
      <c r="O40" s="93"/>
      <c r="P40" s="93"/>
      <c r="Q40" s="93"/>
      <c r="R40" s="93"/>
      <c r="S40" s="22"/>
      <c r="T40" s="22"/>
      <c r="U40" s="93"/>
      <c r="V40" s="93"/>
      <c r="W40" s="203" t="s">
        <v>115</v>
      </c>
      <c r="X40" s="213">
        <f>'Component List'!D25</f>
        <v>100</v>
      </c>
      <c r="Y40" s="26"/>
      <c r="Z40" s="26"/>
      <c r="AA40" s="26"/>
      <c r="AB40" s="93"/>
      <c r="AC40" s="93"/>
      <c r="AD40" s="93"/>
      <c r="AE40" s="93"/>
    </row>
    <row r="41" spans="1:31" ht="15.5">
      <c r="A41" s="93"/>
      <c r="B41" s="93"/>
      <c r="C41" s="93"/>
      <c r="D41" s="93"/>
      <c r="E41" s="93"/>
      <c r="F41" s="93"/>
      <c r="G41" s="93"/>
      <c r="H41" s="93"/>
      <c r="I41" s="93"/>
      <c r="J41" s="93"/>
      <c r="K41" s="93"/>
      <c r="L41" s="93"/>
      <c r="M41" s="93"/>
      <c r="N41" s="93"/>
      <c r="O41" s="93"/>
      <c r="P41" s="93"/>
      <c r="Q41" s="93"/>
      <c r="R41" s="93"/>
      <c r="S41" s="22"/>
      <c r="T41" s="22"/>
      <c r="U41" s="93"/>
      <c r="V41" s="93"/>
      <c r="W41" s="203" t="s">
        <v>116</v>
      </c>
      <c r="X41" s="213">
        <f>'Component List'!D26</f>
        <v>100</v>
      </c>
      <c r="Y41" s="26"/>
      <c r="Z41" s="26"/>
      <c r="AA41" s="26"/>
      <c r="AB41" s="93"/>
      <c r="AC41" s="93"/>
      <c r="AD41" s="93"/>
      <c r="AE41" s="93"/>
    </row>
    <row r="42" spans="1:31" ht="15.5">
      <c r="A42" s="93"/>
      <c r="B42" s="93"/>
      <c r="C42" s="93"/>
      <c r="D42" s="93"/>
      <c r="E42" s="93"/>
      <c r="F42" s="93"/>
      <c r="G42" s="93"/>
      <c r="H42" s="93"/>
      <c r="I42" s="93"/>
      <c r="J42" s="93"/>
      <c r="K42" s="93"/>
      <c r="L42" s="93"/>
      <c r="M42" s="93"/>
      <c r="N42" s="93"/>
      <c r="O42" s="93"/>
      <c r="P42" s="93"/>
      <c r="Q42" s="93"/>
      <c r="R42" s="93"/>
      <c r="S42" s="22"/>
      <c r="T42" s="22"/>
      <c r="U42" s="93"/>
      <c r="V42" s="93"/>
      <c r="W42" s="203" t="s">
        <v>177</v>
      </c>
      <c r="X42" s="213">
        <f>'Component List'!D59</f>
        <v>100</v>
      </c>
      <c r="Y42" s="26"/>
      <c r="Z42" s="26"/>
      <c r="AA42" s="26"/>
      <c r="AB42" s="93"/>
      <c r="AC42" s="93"/>
      <c r="AD42" s="93"/>
      <c r="AE42" s="93"/>
    </row>
    <row r="43" spans="1:31">
      <c r="A43" s="93"/>
      <c r="B43" s="93"/>
      <c r="C43" s="93"/>
      <c r="D43" s="93"/>
      <c r="E43" s="93"/>
      <c r="F43" s="93"/>
      <c r="G43" s="93"/>
      <c r="H43" s="93"/>
      <c r="I43" s="93"/>
      <c r="J43" s="93"/>
      <c r="K43" s="93"/>
      <c r="L43" s="93"/>
      <c r="M43" s="93"/>
      <c r="N43" s="93"/>
      <c r="O43" s="93"/>
      <c r="P43" s="93"/>
      <c r="Q43" s="93"/>
      <c r="R43" s="93"/>
      <c r="S43" s="22"/>
      <c r="T43" s="22"/>
      <c r="U43" s="93"/>
      <c r="V43" s="93"/>
      <c r="W43" s="93"/>
      <c r="X43" s="48"/>
      <c r="Y43" s="93"/>
      <c r="Z43" s="93"/>
      <c r="AA43" s="93"/>
      <c r="AB43" s="93"/>
      <c r="AC43" s="93"/>
      <c r="AD43" s="93"/>
      <c r="AE43" s="93"/>
    </row>
    <row r="44" spans="1:31">
      <c r="A44" s="93"/>
      <c r="B44" s="93"/>
      <c r="C44" s="93"/>
      <c r="D44" s="93"/>
      <c r="E44" s="93"/>
      <c r="F44" s="93"/>
      <c r="G44" s="93"/>
      <c r="H44" s="93"/>
      <c r="I44" s="93"/>
      <c r="J44" s="93"/>
      <c r="K44" s="93"/>
      <c r="L44" s="93"/>
      <c r="M44" s="93"/>
      <c r="N44" s="93"/>
      <c r="O44" s="93"/>
      <c r="P44" s="93"/>
      <c r="Q44" s="93"/>
      <c r="R44" s="93"/>
      <c r="S44" s="22"/>
      <c r="T44" s="22"/>
      <c r="U44" s="93"/>
      <c r="V44" s="93"/>
      <c r="W44" s="93" t="b">
        <f>OR(C18=W30,C18=W32,C18=W33,C19=W30,C19=W32,C19=W33,C20=W38,C20=W40,C20=W41,C21=W38,C21=W40,C21=W41,C16=AA30,C16=AA32,C16=AA33,C17=AA30,C17=AA32,C17=AA33)</f>
        <v>0</v>
      </c>
      <c r="X44" s="48"/>
      <c r="Y44" s="93"/>
      <c r="Z44" s="93"/>
      <c r="AA44" s="93"/>
      <c r="AB44" s="93"/>
      <c r="AC44" s="93"/>
      <c r="AD44" s="93"/>
      <c r="AE44" s="93"/>
    </row>
    <row r="45" spans="1:31">
      <c r="A45" s="93"/>
      <c r="B45" s="93"/>
      <c r="C45" s="93"/>
      <c r="D45" s="93"/>
      <c r="E45" s="93"/>
      <c r="F45" s="93"/>
      <c r="G45" s="93"/>
      <c r="H45" s="93"/>
      <c r="I45" s="93"/>
      <c r="J45" s="93"/>
      <c r="K45" s="93"/>
      <c r="L45" s="93"/>
      <c r="M45" s="93"/>
      <c r="N45" s="93"/>
      <c r="O45" s="93"/>
      <c r="P45" s="93"/>
      <c r="Q45" s="93"/>
      <c r="R45" s="93"/>
      <c r="S45" s="22"/>
      <c r="T45" s="22"/>
      <c r="U45" s="93"/>
      <c r="V45" s="93"/>
      <c r="W45" s="38"/>
      <c r="X45" s="49"/>
      <c r="Y45" s="93"/>
      <c r="Z45" s="93"/>
      <c r="AA45" s="93"/>
      <c r="AB45" s="93"/>
      <c r="AC45" s="93"/>
      <c r="AD45" s="93"/>
      <c r="AE45" s="93"/>
    </row>
    <row r="46" spans="1:31">
      <c r="A46" s="93"/>
      <c r="B46" s="93"/>
      <c r="C46" s="93"/>
      <c r="D46" s="93"/>
      <c r="E46" s="93"/>
      <c r="F46" s="93"/>
      <c r="G46" s="93"/>
      <c r="H46" s="93"/>
      <c r="I46" s="93"/>
      <c r="J46" s="93"/>
      <c r="K46" s="93"/>
      <c r="L46" s="93"/>
      <c r="M46" s="93"/>
      <c r="N46" s="93"/>
      <c r="O46" s="93"/>
      <c r="P46" s="93"/>
      <c r="Q46" s="93"/>
      <c r="R46" s="93"/>
      <c r="S46" s="22"/>
      <c r="T46" s="22"/>
      <c r="U46" s="93"/>
      <c r="V46" s="93"/>
      <c r="W46" s="493" t="s">
        <v>253</v>
      </c>
      <c r="X46" s="493"/>
      <c r="Y46" s="493"/>
      <c r="Z46" s="493"/>
      <c r="AA46" s="493"/>
      <c r="AB46" s="493"/>
      <c r="AC46" s="493"/>
      <c r="AD46" s="493"/>
      <c r="AE46" s="493"/>
    </row>
    <row r="47" spans="1:31">
      <c r="A47" s="93"/>
      <c r="B47" s="93"/>
      <c r="C47" s="93"/>
      <c r="D47" s="93"/>
      <c r="E47" s="93"/>
      <c r="F47" s="93"/>
      <c r="G47" s="93"/>
      <c r="H47" s="93"/>
      <c r="I47" s="93"/>
      <c r="J47" s="93"/>
      <c r="K47" s="93"/>
      <c r="L47" s="93"/>
      <c r="M47" s="93"/>
      <c r="N47" s="93"/>
      <c r="O47" s="93"/>
      <c r="P47" s="93"/>
      <c r="Q47" s="93"/>
      <c r="R47" s="93"/>
      <c r="S47" s="22"/>
      <c r="T47" s="22"/>
      <c r="U47" s="93"/>
      <c r="V47" s="93"/>
      <c r="W47" s="494"/>
      <c r="X47" s="494"/>
      <c r="Y47" s="494"/>
      <c r="Z47" s="494"/>
      <c r="AA47" s="494"/>
      <c r="AB47" s="494"/>
      <c r="AC47" s="494"/>
      <c r="AD47" s="494"/>
      <c r="AE47" s="494"/>
    </row>
    <row r="48" spans="1:31">
      <c r="A48" s="93"/>
      <c r="B48" s="93"/>
      <c r="C48" s="93"/>
      <c r="D48" s="93"/>
      <c r="E48" s="93"/>
      <c r="F48" s="93"/>
      <c r="G48" s="93"/>
      <c r="H48" s="93"/>
      <c r="I48" s="93"/>
      <c r="J48" s="93"/>
      <c r="K48" s="93"/>
      <c r="L48" s="93"/>
      <c r="M48" s="93"/>
      <c r="N48" s="93"/>
      <c r="O48" s="93"/>
      <c r="P48" s="93"/>
      <c r="Q48" s="93"/>
      <c r="R48" s="93"/>
      <c r="S48" s="22"/>
      <c r="T48" s="22"/>
      <c r="U48" s="93"/>
      <c r="V48" s="93"/>
      <c r="W48" s="494"/>
      <c r="X48" s="494"/>
      <c r="Y48" s="494"/>
      <c r="Z48" s="494"/>
      <c r="AA48" s="494"/>
      <c r="AB48" s="494"/>
      <c r="AC48" s="494"/>
      <c r="AD48" s="494"/>
      <c r="AE48" s="494"/>
    </row>
    <row r="49" spans="1:31">
      <c r="A49" s="93"/>
      <c r="B49" s="93"/>
      <c r="C49" s="93"/>
      <c r="D49" s="93"/>
      <c r="E49" s="93"/>
      <c r="F49" s="93"/>
      <c r="G49" s="93"/>
      <c r="H49" s="93"/>
      <c r="I49" s="93"/>
      <c r="J49" s="93"/>
      <c r="K49" s="93"/>
      <c r="L49" s="93"/>
      <c r="M49" s="93"/>
      <c r="N49" s="93"/>
      <c r="O49" s="93"/>
      <c r="P49" s="93"/>
      <c r="Q49" s="93"/>
      <c r="R49" s="93"/>
      <c r="S49" s="22"/>
      <c r="T49" s="22"/>
      <c r="U49" s="93"/>
      <c r="V49" s="93"/>
      <c r="W49" s="495"/>
      <c r="X49" s="495"/>
      <c r="Y49" s="495"/>
      <c r="Z49" s="495"/>
      <c r="AA49" s="495"/>
      <c r="AB49" s="495"/>
      <c r="AC49" s="495"/>
      <c r="AD49" s="495"/>
      <c r="AE49" s="495"/>
    </row>
  </sheetData>
  <mergeCells count="35">
    <mergeCell ref="W46:AE49"/>
    <mergeCell ref="H9:Q9"/>
    <mergeCell ref="R9:R13"/>
    <mergeCell ref="H10:Q10"/>
    <mergeCell ref="A22:C22"/>
    <mergeCell ref="A23:R23"/>
    <mergeCell ref="A24:R24"/>
    <mergeCell ref="A25:R25"/>
    <mergeCell ref="A26:R26"/>
    <mergeCell ref="A27:R27"/>
    <mergeCell ref="A28:R28"/>
    <mergeCell ref="A29:R2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sqref="C16:C17">
      <formula1>$AA$28:$AA$34</formula1>
    </dataValidation>
    <dataValidation type="list" allowBlank="1" showInputMessage="1" showErrorMessage="1" promptTitle="Choose Management" sqref="C18:C19">
      <formula1>$W$28:$W$34</formula1>
    </dataValidation>
    <dataValidation type="list" allowBlank="1" showInputMessage="1" showErrorMessage="1" promptTitle="Choose Management" sqref="C20:C21">
      <formula1>$W$36:$W$42</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2274" r:id="rId3" name="Check Box 2">
              <controlPr defaultSize="0" autoFill="0" autoLine="0" autoPict="0">
                <anchor moveWithCells="1">
                  <from>
                    <xdr:col>3</xdr:col>
                    <xdr:colOff>127000</xdr:colOff>
                    <xdr:row>0</xdr:row>
                    <xdr:rowOff>19050</xdr:rowOff>
                  </from>
                  <to>
                    <xdr:col>4</xdr:col>
                    <xdr:colOff>31750</xdr:colOff>
                    <xdr:row>0</xdr:row>
                    <xdr:rowOff>158750</xdr:rowOff>
                  </to>
                </anchor>
              </controlPr>
            </control>
          </mc:Choice>
        </mc:AlternateContent>
        <mc:AlternateContent xmlns:mc="http://schemas.openxmlformats.org/markup-compatibility/2006">
          <mc:Choice Requires="x14">
            <control shapeId="182275" r:id="rId4" name="Check Box 3">
              <controlPr defaultSize="0" autoFill="0" autoLine="0" autoPict="0">
                <anchor moveWithCells="1">
                  <from>
                    <xdr:col>7</xdr:col>
                    <xdr:colOff>215900</xdr:colOff>
                    <xdr:row>0</xdr:row>
                    <xdr:rowOff>19050</xdr:rowOff>
                  </from>
                  <to>
                    <xdr:col>8</xdr:col>
                    <xdr:colOff>196850</xdr:colOff>
                    <xdr:row>0</xdr:row>
                    <xdr:rowOff>152400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1">
    <pageSetUpPr fitToPage="1"/>
  </sheetPr>
  <dimension ref="A1:AE66"/>
  <sheetViews>
    <sheetView topLeftCell="A13" zoomScale="53" zoomScaleNormal="53" workbookViewId="0">
      <selection activeCell="D15" sqref="D15"/>
    </sheetView>
  </sheetViews>
  <sheetFormatPr defaultRowHeight="12.5"/>
  <cols>
    <col min="3" max="3" width="69" customWidth="1"/>
    <col min="4" max="4" width="12.54296875" customWidth="1"/>
    <col min="6" max="6" width="9.7265625" customWidth="1"/>
    <col min="7" max="7" width="10.81640625" customWidth="1"/>
    <col min="8" max="8" width="14.81640625" customWidth="1"/>
    <col min="9" max="9" width="14.7265625" customWidth="1"/>
    <col min="10" max="10" width="14.54296875" customWidth="1"/>
    <col min="11" max="11" width="15" customWidth="1"/>
    <col min="12" max="12" width="15.1796875" customWidth="1"/>
    <col min="13" max="13" width="14.81640625" customWidth="1"/>
    <col min="14" max="14" width="5.7265625" customWidth="1"/>
    <col min="15" max="15" width="6.54296875" customWidth="1"/>
    <col min="16" max="16" width="5.81640625" customWidth="1"/>
    <col min="17" max="17" width="5.26953125" customWidth="1"/>
    <col min="18" max="18" width="5.7265625" customWidth="1"/>
    <col min="19" max="19" width="6.453125" style="22" customWidth="1"/>
    <col min="20" max="20" width="5.7265625" style="22" customWidth="1"/>
    <col min="23" max="23" width="57.1796875" customWidth="1"/>
    <col min="27" max="27" width="53.26953125" customWidth="1"/>
    <col min="31" max="31" width="42" customWidth="1"/>
  </cols>
  <sheetData>
    <row r="1" spans="1:20" ht="18.75" customHeight="1">
      <c r="A1" s="434" t="s">
        <v>366</v>
      </c>
      <c r="B1" s="435"/>
      <c r="C1" s="435"/>
      <c r="D1" s="144" t="s">
        <v>368</v>
      </c>
      <c r="E1" s="143"/>
      <c r="F1" s="143"/>
      <c r="G1" s="143"/>
      <c r="H1" s="145" t="s">
        <v>369</v>
      </c>
      <c r="I1" s="143"/>
      <c r="J1" s="143"/>
      <c r="K1" s="143"/>
      <c r="L1" s="143"/>
      <c r="M1" s="143"/>
      <c r="N1" s="143"/>
      <c r="O1" s="145" t="s">
        <v>367</v>
      </c>
      <c r="P1" s="143"/>
      <c r="Q1" s="143"/>
      <c r="R1" s="143"/>
      <c r="S1" s="174"/>
      <c r="T1" s="174"/>
    </row>
    <row r="2" spans="1:20" ht="20">
      <c r="A2" s="429" t="s">
        <v>363</v>
      </c>
      <c r="B2" s="430"/>
      <c r="C2" s="430"/>
      <c r="D2" s="136"/>
      <c r="E2" s="136"/>
      <c r="F2" s="425" t="s">
        <v>25</v>
      </c>
      <c r="G2" s="426"/>
      <c r="H2" s="426"/>
      <c r="I2" s="426"/>
      <c r="J2" s="136"/>
      <c r="K2" s="136"/>
      <c r="L2" s="136"/>
      <c r="M2" s="136"/>
      <c r="N2" s="262" t="s">
        <v>420</v>
      </c>
      <c r="O2" s="137" t="s">
        <v>364</v>
      </c>
      <c r="P2" s="138"/>
      <c r="Q2" s="139" t="s">
        <v>365</v>
      </c>
      <c r="R2" s="140"/>
      <c r="S2" s="175"/>
      <c r="T2" s="175"/>
    </row>
    <row r="3" spans="1:20" ht="21.75" customHeight="1">
      <c r="A3" s="141"/>
      <c r="B3" s="85"/>
      <c r="C3" s="85"/>
      <c r="D3" s="85"/>
      <c r="E3" s="85"/>
      <c r="F3" s="427" t="s">
        <v>26</v>
      </c>
      <c r="G3" s="428"/>
      <c r="H3" s="428"/>
      <c r="I3" s="428"/>
      <c r="J3" s="85"/>
      <c r="K3" s="85"/>
      <c r="L3" s="85"/>
      <c r="M3" s="85"/>
      <c r="N3" s="85"/>
      <c r="O3" s="17"/>
      <c r="P3" s="17"/>
      <c r="Q3" s="17"/>
      <c r="R3" s="142"/>
      <c r="S3" s="176"/>
      <c r="T3" s="176"/>
    </row>
    <row r="4" spans="1:20" ht="18" customHeight="1">
      <c r="A4" s="480" t="s">
        <v>386</v>
      </c>
      <c r="B4" s="483"/>
      <c r="C4" s="484"/>
      <c r="D4" s="490" t="s">
        <v>387</v>
      </c>
      <c r="E4" s="491"/>
      <c r="F4" s="491"/>
      <c r="G4" s="492"/>
      <c r="H4" s="320" t="s">
        <v>388</v>
      </c>
      <c r="I4" s="26"/>
      <c r="J4" s="480" t="s">
        <v>385</v>
      </c>
      <c r="K4" s="481"/>
      <c r="L4" s="482"/>
      <c r="M4" s="480" t="s">
        <v>389</v>
      </c>
      <c r="N4" s="483"/>
      <c r="O4" s="483"/>
      <c r="P4" s="483"/>
      <c r="Q4" s="483"/>
      <c r="R4" s="484"/>
      <c r="S4" s="177"/>
      <c r="T4" s="177"/>
    </row>
    <row r="5" spans="1:20"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row>
    <row r="6" spans="1:20">
      <c r="A6" s="466"/>
      <c r="B6" s="466"/>
      <c r="C6" s="466"/>
      <c r="D6" s="466"/>
      <c r="E6" s="466"/>
      <c r="F6" s="466"/>
      <c r="G6" s="466"/>
      <c r="H6" s="466"/>
      <c r="I6" s="466"/>
      <c r="J6" s="466"/>
      <c r="K6" s="466"/>
      <c r="L6" s="466"/>
      <c r="M6" s="466"/>
      <c r="N6" s="466"/>
      <c r="O6" s="466"/>
      <c r="P6" s="466"/>
      <c r="Q6" s="466"/>
      <c r="R6" s="466"/>
      <c r="S6" s="179"/>
      <c r="T6" s="179"/>
    </row>
    <row r="7" spans="1:20" ht="150.75" customHeight="1">
      <c r="A7" s="467" t="s">
        <v>482</v>
      </c>
      <c r="B7" s="468"/>
      <c r="C7" s="468"/>
      <c r="D7" s="468"/>
      <c r="E7" s="468"/>
      <c r="F7" s="468"/>
      <c r="G7" s="468"/>
      <c r="H7" s="468"/>
      <c r="I7" s="468"/>
      <c r="J7" s="468"/>
      <c r="K7" s="468"/>
      <c r="L7" s="468"/>
      <c r="M7" s="468"/>
      <c r="N7" s="468"/>
      <c r="O7" s="468"/>
      <c r="P7" s="468"/>
      <c r="Q7" s="468"/>
      <c r="R7" s="469"/>
      <c r="S7" s="180"/>
      <c r="T7" s="180"/>
    </row>
    <row r="8" spans="1:20" ht="14">
      <c r="A8" s="470"/>
      <c r="B8" s="470"/>
      <c r="C8" s="470"/>
      <c r="D8" s="470"/>
      <c r="E8" s="470"/>
      <c r="F8" s="470"/>
      <c r="G8" s="470"/>
      <c r="H8" s="470"/>
      <c r="I8" s="470"/>
      <c r="J8" s="470"/>
      <c r="K8" s="470"/>
      <c r="L8" s="470"/>
      <c r="M8" s="470"/>
      <c r="N8" s="470"/>
      <c r="O8" s="470"/>
      <c r="P8" s="470"/>
      <c r="Q8" s="470"/>
      <c r="R8" s="470"/>
      <c r="S8" s="173"/>
      <c r="T8" s="173"/>
    </row>
    <row r="9" spans="1:20">
      <c r="A9" s="452" t="s">
        <v>90</v>
      </c>
      <c r="B9" s="452" t="s">
        <v>27</v>
      </c>
      <c r="C9" s="471" t="s">
        <v>397</v>
      </c>
      <c r="D9" s="474" t="s">
        <v>391</v>
      </c>
      <c r="E9" s="477"/>
      <c r="F9" s="452" t="s">
        <v>8</v>
      </c>
      <c r="G9" s="452" t="s">
        <v>384</v>
      </c>
      <c r="H9" s="451" t="s">
        <v>383</v>
      </c>
      <c r="I9" s="420"/>
      <c r="J9" s="420"/>
      <c r="K9" s="420"/>
      <c r="L9" s="420"/>
      <c r="M9" s="420"/>
      <c r="N9" s="420"/>
      <c r="O9" s="420"/>
      <c r="P9" s="420"/>
      <c r="Q9" s="421"/>
      <c r="R9" s="452" t="s">
        <v>9</v>
      </c>
      <c r="S9" s="181"/>
      <c r="T9" s="181"/>
    </row>
    <row r="10" spans="1:20" ht="15" customHeight="1">
      <c r="A10" s="453"/>
      <c r="B10" s="453"/>
      <c r="C10" s="472"/>
      <c r="D10" s="475"/>
      <c r="E10" s="478"/>
      <c r="F10" s="453"/>
      <c r="G10" s="453"/>
      <c r="H10" s="455" t="s">
        <v>306</v>
      </c>
      <c r="I10" s="408"/>
      <c r="J10" s="408"/>
      <c r="K10" s="408"/>
      <c r="L10" s="408"/>
      <c r="M10" s="408"/>
      <c r="N10" s="408"/>
      <c r="O10" s="408"/>
      <c r="P10" s="408"/>
      <c r="Q10" s="409"/>
      <c r="R10" s="453"/>
      <c r="S10" s="46"/>
      <c r="T10" s="46"/>
    </row>
    <row r="11" spans="1:20">
      <c r="A11" s="453"/>
      <c r="B11" s="453"/>
      <c r="C11" s="472"/>
      <c r="D11" s="475"/>
      <c r="E11" s="478"/>
      <c r="F11" s="453"/>
      <c r="G11" s="453"/>
      <c r="H11" s="160">
        <v>14</v>
      </c>
      <c r="I11" s="154">
        <v>15</v>
      </c>
      <c r="J11" s="154">
        <v>16</v>
      </c>
      <c r="K11" s="154">
        <v>17</v>
      </c>
      <c r="L11" s="154">
        <v>18</v>
      </c>
      <c r="M11" s="154">
        <v>19</v>
      </c>
      <c r="N11" s="157">
        <v>20</v>
      </c>
      <c r="O11" s="157">
        <v>21</v>
      </c>
      <c r="P11" s="157">
        <v>22</v>
      </c>
      <c r="Q11" s="157">
        <v>23</v>
      </c>
      <c r="R11" s="453"/>
      <c r="S11" s="46"/>
      <c r="T11" s="46"/>
    </row>
    <row r="12" spans="1:20" ht="17.25" customHeight="1">
      <c r="A12" s="453"/>
      <c r="B12" s="453"/>
      <c r="C12" s="472"/>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c r="S12" s="46"/>
      <c r="T12" s="46"/>
    </row>
    <row r="13" spans="1:20" ht="15.5">
      <c r="A13" s="454"/>
      <c r="B13" s="454"/>
      <c r="C13" s="473"/>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46"/>
      <c r="T13" s="46"/>
    </row>
    <row r="14" spans="1:20" ht="15.5">
      <c r="A14" s="161">
        <v>8</v>
      </c>
      <c r="B14" s="161">
        <v>9</v>
      </c>
      <c r="C14" s="246">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row>
    <row r="15" spans="1:20" ht="17.5">
      <c r="A15" s="12"/>
      <c r="B15" s="347"/>
      <c r="C15" s="206" t="s">
        <v>160</v>
      </c>
      <c r="D15" s="308"/>
      <c r="E15" s="297" t="s">
        <v>20</v>
      </c>
      <c r="F15" s="231">
        <f>'Component List'!D2</f>
        <v>1.6399999999999997</v>
      </c>
      <c r="G15" s="287">
        <v>50</v>
      </c>
      <c r="H15" s="231">
        <f t="shared" ref="H15:H29" si="0">D15*F15*G15/100</f>
        <v>0</v>
      </c>
      <c r="I15" s="231"/>
      <c r="J15" s="231"/>
      <c r="K15" s="231"/>
      <c r="L15" s="231"/>
      <c r="M15" s="231"/>
      <c r="N15" s="28"/>
      <c r="O15" s="28"/>
      <c r="P15" s="28"/>
      <c r="Q15" s="28"/>
      <c r="R15" s="13"/>
      <c r="S15" s="182"/>
      <c r="T15" s="182"/>
    </row>
    <row r="16" spans="1:20" ht="17.5">
      <c r="A16" s="12"/>
      <c r="B16" s="347"/>
      <c r="C16" s="206" t="s">
        <v>159</v>
      </c>
      <c r="D16" s="308"/>
      <c r="E16" s="297" t="s">
        <v>20</v>
      </c>
      <c r="F16" s="231">
        <f>'Component List'!D3</f>
        <v>0</v>
      </c>
      <c r="G16" s="287">
        <v>50</v>
      </c>
      <c r="H16" s="231">
        <f t="shared" si="0"/>
        <v>0</v>
      </c>
      <c r="I16" s="231"/>
      <c r="J16" s="231"/>
      <c r="K16" s="231"/>
      <c r="L16" s="231"/>
      <c r="M16" s="231"/>
      <c r="N16" s="28"/>
      <c r="O16" s="28"/>
      <c r="P16" s="28"/>
      <c r="Q16" s="28"/>
      <c r="R16" s="13"/>
      <c r="S16" s="182"/>
      <c r="T16" s="182"/>
    </row>
    <row r="17" spans="1:20" ht="17.5">
      <c r="A17" s="12"/>
      <c r="B17" s="347"/>
      <c r="C17" s="206" t="s">
        <v>161</v>
      </c>
      <c r="D17" s="308"/>
      <c r="E17" s="297" t="s">
        <v>20</v>
      </c>
      <c r="F17" s="231">
        <f>'Component List'!D4</f>
        <v>80.06</v>
      </c>
      <c r="G17" s="287">
        <v>50</v>
      </c>
      <c r="H17" s="231">
        <f t="shared" si="0"/>
        <v>0</v>
      </c>
      <c r="I17" s="231"/>
      <c r="J17" s="231"/>
      <c r="K17" s="231"/>
      <c r="L17" s="231"/>
      <c r="M17" s="231"/>
      <c r="N17" s="28"/>
      <c r="O17" s="28"/>
      <c r="P17" s="28"/>
      <c r="Q17" s="28"/>
      <c r="R17" s="13"/>
      <c r="S17" s="182"/>
      <c r="T17" s="182"/>
    </row>
    <row r="18" spans="1:20" ht="17.5">
      <c r="A18" s="12"/>
      <c r="B18" s="347"/>
      <c r="C18" s="206" t="s">
        <v>162</v>
      </c>
      <c r="D18" s="308"/>
      <c r="E18" s="297" t="s">
        <v>20</v>
      </c>
      <c r="F18" s="231">
        <f>'Component List'!D5</f>
        <v>62.6</v>
      </c>
      <c r="G18" s="287">
        <v>50</v>
      </c>
      <c r="H18" s="231">
        <f t="shared" si="0"/>
        <v>0</v>
      </c>
      <c r="I18" s="231"/>
      <c r="J18" s="231"/>
      <c r="K18" s="231"/>
      <c r="L18" s="231"/>
      <c r="M18" s="231"/>
      <c r="N18" s="28"/>
      <c r="O18" s="28"/>
      <c r="P18" s="28"/>
      <c r="Q18" s="28"/>
      <c r="R18" s="13"/>
      <c r="S18" s="182"/>
      <c r="T18" s="182"/>
    </row>
    <row r="19" spans="1:20" ht="17.5">
      <c r="A19" s="12"/>
      <c r="B19" s="347"/>
      <c r="C19" s="206" t="s">
        <v>239</v>
      </c>
      <c r="D19" s="308"/>
      <c r="E19" s="297" t="s">
        <v>20</v>
      </c>
      <c r="F19" s="231">
        <f>'Component List'!D10</f>
        <v>252.55999999999997</v>
      </c>
      <c r="G19" s="287">
        <v>50</v>
      </c>
      <c r="H19" s="231">
        <f t="shared" si="0"/>
        <v>0</v>
      </c>
      <c r="I19" s="231"/>
      <c r="J19" s="231"/>
      <c r="K19" s="231"/>
      <c r="L19" s="231"/>
      <c r="M19" s="231"/>
      <c r="N19" s="28"/>
      <c r="O19" s="28"/>
      <c r="P19" s="28"/>
      <c r="Q19" s="28"/>
      <c r="R19" s="13"/>
      <c r="S19" s="182"/>
      <c r="T19" s="182"/>
    </row>
    <row r="20" spans="1:20" ht="17.5">
      <c r="A20" s="12"/>
      <c r="B20" s="347"/>
      <c r="C20" s="249" t="s">
        <v>164</v>
      </c>
      <c r="D20" s="308"/>
      <c r="E20" s="297" t="s">
        <v>20</v>
      </c>
      <c r="F20" s="231">
        <f>'Component List'!D14</f>
        <v>16.079999999999998</v>
      </c>
      <c r="G20" s="287">
        <v>50</v>
      </c>
      <c r="H20" s="231">
        <f t="shared" si="0"/>
        <v>0</v>
      </c>
      <c r="I20" s="231"/>
      <c r="J20" s="231"/>
      <c r="K20" s="231"/>
      <c r="L20" s="231"/>
      <c r="M20" s="231"/>
      <c r="N20" s="28"/>
      <c r="O20" s="28"/>
      <c r="P20" s="28"/>
      <c r="Q20" s="28"/>
      <c r="R20" s="13"/>
      <c r="S20" s="182"/>
      <c r="T20" s="182"/>
    </row>
    <row r="21" spans="1:20" ht="17.25" customHeight="1">
      <c r="A21" s="35"/>
      <c r="B21" s="349"/>
      <c r="C21" s="207" t="s">
        <v>412</v>
      </c>
      <c r="D21" s="308"/>
      <c r="E21" s="312" t="s">
        <v>20</v>
      </c>
      <c r="F21" s="231">
        <f>'Component List'!D16</f>
        <v>84.42</v>
      </c>
      <c r="G21" s="287">
        <v>50</v>
      </c>
      <c r="H21" s="292">
        <f t="shared" si="0"/>
        <v>0</v>
      </c>
      <c r="I21" s="231"/>
      <c r="J21" s="292"/>
      <c r="K21" s="292"/>
      <c r="L21" s="292"/>
      <c r="M21" s="292"/>
      <c r="N21" s="68"/>
      <c r="O21" s="68"/>
      <c r="P21" s="68"/>
      <c r="Q21" s="68"/>
      <c r="R21" s="43"/>
      <c r="S21" s="183"/>
      <c r="T21" s="183"/>
    </row>
    <row r="22" spans="1:20" ht="17.5">
      <c r="A22" s="12"/>
      <c r="B22" s="347"/>
      <c r="C22" s="206" t="s">
        <v>165</v>
      </c>
      <c r="D22" s="308"/>
      <c r="E22" s="297" t="s">
        <v>20</v>
      </c>
      <c r="F22" s="231">
        <f>'Component List'!D28</f>
        <v>94.14</v>
      </c>
      <c r="G22" s="287">
        <v>50</v>
      </c>
      <c r="H22" s="231">
        <f t="shared" si="0"/>
        <v>0</v>
      </c>
      <c r="I22" s="288"/>
      <c r="J22" s="231"/>
      <c r="K22" s="231"/>
      <c r="L22" s="231"/>
      <c r="M22" s="231"/>
      <c r="N22" s="28"/>
      <c r="O22" s="28"/>
      <c r="P22" s="28"/>
      <c r="Q22" s="28"/>
      <c r="R22" s="13"/>
      <c r="S22" s="182"/>
      <c r="T22" s="182"/>
    </row>
    <row r="23" spans="1:20" ht="17.5">
      <c r="A23" s="12"/>
      <c r="B23" s="347"/>
      <c r="C23" s="206" t="s">
        <v>163</v>
      </c>
      <c r="D23" s="308"/>
      <c r="E23" s="297" t="s">
        <v>20</v>
      </c>
      <c r="F23" s="231">
        <f>'Component List'!D15</f>
        <v>21.78</v>
      </c>
      <c r="G23" s="287">
        <v>50</v>
      </c>
      <c r="H23" s="231">
        <f t="shared" si="0"/>
        <v>0</v>
      </c>
      <c r="I23" s="231"/>
      <c r="J23" s="231"/>
      <c r="K23" s="231"/>
      <c r="L23" s="231"/>
      <c r="M23" s="231"/>
      <c r="N23" s="28"/>
      <c r="O23" s="28"/>
      <c r="P23" s="28"/>
      <c r="Q23" s="28"/>
      <c r="R23" s="13"/>
      <c r="S23" s="182"/>
      <c r="T23" s="182"/>
    </row>
    <row r="24" spans="1:20" ht="17.5">
      <c r="A24" s="12"/>
      <c r="B24" s="347"/>
      <c r="C24" s="206" t="s">
        <v>273</v>
      </c>
      <c r="D24" s="308"/>
      <c r="E24" s="297" t="s">
        <v>15</v>
      </c>
      <c r="F24" s="231">
        <f>'Component List'!D38</f>
        <v>41.32</v>
      </c>
      <c r="G24" s="287">
        <v>50</v>
      </c>
      <c r="H24" s="231">
        <f t="shared" si="0"/>
        <v>0</v>
      </c>
      <c r="I24" s="231"/>
      <c r="J24" s="231"/>
      <c r="K24" s="231"/>
      <c r="L24" s="231"/>
      <c r="M24" s="231"/>
      <c r="N24" s="28"/>
      <c r="O24" s="28"/>
      <c r="P24" s="28"/>
      <c r="Q24" s="28"/>
      <c r="R24" s="13"/>
      <c r="S24" s="182"/>
      <c r="T24" s="182"/>
    </row>
    <row r="25" spans="1:20" ht="17.5">
      <c r="A25" s="12"/>
      <c r="B25" s="347"/>
      <c r="C25" s="206" t="s">
        <v>280</v>
      </c>
      <c r="D25" s="308"/>
      <c r="E25" s="297" t="s">
        <v>20</v>
      </c>
      <c r="F25" s="231">
        <f>'Component List'!D49</f>
        <v>0</v>
      </c>
      <c r="G25" s="287">
        <v>50</v>
      </c>
      <c r="H25" s="231">
        <f t="shared" si="0"/>
        <v>0</v>
      </c>
      <c r="I25" s="231"/>
      <c r="J25" s="231"/>
      <c r="K25" s="231"/>
      <c r="L25" s="231"/>
      <c r="M25" s="231"/>
      <c r="N25" s="28"/>
      <c r="O25" s="28"/>
      <c r="P25" s="28"/>
      <c r="Q25" s="28"/>
      <c r="R25" s="13"/>
      <c r="S25" s="182"/>
      <c r="T25" s="182"/>
    </row>
    <row r="26" spans="1:20" ht="17.5">
      <c r="A26" s="12"/>
      <c r="B26" s="347"/>
      <c r="C26" s="206" t="s">
        <v>14</v>
      </c>
      <c r="D26" s="308"/>
      <c r="E26" s="297" t="s">
        <v>15</v>
      </c>
      <c r="F26" s="231">
        <f>'Component List'!D50</f>
        <v>0</v>
      </c>
      <c r="G26" s="287">
        <v>50</v>
      </c>
      <c r="H26" s="231">
        <f t="shared" si="0"/>
        <v>0</v>
      </c>
      <c r="I26" s="231"/>
      <c r="J26" s="231"/>
      <c r="K26" s="231"/>
      <c r="L26" s="231"/>
      <c r="M26" s="231"/>
      <c r="N26" s="28"/>
      <c r="O26" s="28"/>
      <c r="P26" s="28"/>
      <c r="Q26" s="28"/>
      <c r="R26" s="13"/>
      <c r="S26" s="182"/>
      <c r="T26" s="182"/>
    </row>
    <row r="27" spans="1:20" ht="17.5">
      <c r="A27" s="12"/>
      <c r="B27" s="347"/>
      <c r="C27" s="206" t="s">
        <v>305</v>
      </c>
      <c r="D27" s="308"/>
      <c r="E27" s="297" t="s">
        <v>23</v>
      </c>
      <c r="F27" s="231">
        <f>'Component List'!D51</f>
        <v>0</v>
      </c>
      <c r="G27" s="287">
        <v>50</v>
      </c>
      <c r="H27" s="231">
        <f t="shared" si="0"/>
        <v>0</v>
      </c>
      <c r="I27" s="231"/>
      <c r="J27" s="231"/>
      <c r="K27" s="231"/>
      <c r="L27" s="231"/>
      <c r="M27" s="231"/>
      <c r="N27" s="28"/>
      <c r="O27" s="28"/>
      <c r="P27" s="28"/>
      <c r="Q27" s="28"/>
      <c r="R27" s="13"/>
      <c r="S27" s="182"/>
      <c r="T27" s="182"/>
    </row>
    <row r="28" spans="1:20" ht="17.5">
      <c r="A28" s="12"/>
      <c r="B28" s="347"/>
      <c r="C28" s="206" t="s">
        <v>303</v>
      </c>
      <c r="D28" s="308"/>
      <c r="E28" s="297" t="s">
        <v>22</v>
      </c>
      <c r="F28" s="231">
        <f>'Component List'!D52</f>
        <v>0</v>
      </c>
      <c r="G28" s="287">
        <v>50</v>
      </c>
      <c r="H28" s="231">
        <f t="shared" si="0"/>
        <v>0</v>
      </c>
      <c r="I28" s="231"/>
      <c r="J28" s="231"/>
      <c r="K28" s="231"/>
      <c r="L28" s="231"/>
      <c r="M28" s="231"/>
      <c r="N28" s="28"/>
      <c r="O28" s="28"/>
      <c r="P28" s="28"/>
      <c r="Q28" s="28"/>
      <c r="R28" s="13"/>
      <c r="S28" s="182"/>
      <c r="T28" s="182"/>
    </row>
    <row r="29" spans="1:20" s="93" customFormat="1" ht="17.5">
      <c r="A29" s="12"/>
      <c r="B29" s="347"/>
      <c r="C29" s="206" t="s">
        <v>304</v>
      </c>
      <c r="D29" s="308"/>
      <c r="E29" s="297" t="s">
        <v>23</v>
      </c>
      <c r="F29" s="231">
        <f>'Component List'!D53</f>
        <v>0</v>
      </c>
      <c r="G29" s="287">
        <v>50</v>
      </c>
      <c r="H29" s="231">
        <f t="shared" si="0"/>
        <v>0</v>
      </c>
      <c r="I29" s="231"/>
      <c r="J29" s="231"/>
      <c r="K29" s="231"/>
      <c r="L29" s="231"/>
      <c r="M29" s="231"/>
      <c r="N29" s="28"/>
      <c r="O29" s="28"/>
      <c r="P29" s="28"/>
      <c r="Q29" s="28"/>
      <c r="R29" s="13"/>
      <c r="S29" s="182"/>
      <c r="T29" s="182"/>
    </row>
    <row r="30" spans="1:20" s="93" customFormat="1" ht="17.5">
      <c r="A30" s="12"/>
      <c r="B30" s="347"/>
      <c r="C30" s="206"/>
      <c r="D30" s="308"/>
      <c r="E30" s="297"/>
      <c r="F30" s="231"/>
      <c r="G30" s="287"/>
      <c r="H30" s="231"/>
      <c r="I30" s="231"/>
      <c r="J30" s="231"/>
      <c r="K30" s="231"/>
      <c r="L30" s="231"/>
      <c r="M30" s="231"/>
      <c r="N30" s="28"/>
      <c r="O30" s="28"/>
      <c r="P30" s="28"/>
      <c r="Q30" s="28"/>
      <c r="R30" s="13"/>
      <c r="S30" s="182"/>
      <c r="T30" s="182"/>
    </row>
    <row r="31" spans="1:20" s="93" customFormat="1" ht="17.5">
      <c r="A31" s="12"/>
      <c r="B31" s="347"/>
      <c r="C31" s="206" t="s">
        <v>136</v>
      </c>
      <c r="D31" s="308"/>
      <c r="E31" s="297" t="s">
        <v>20</v>
      </c>
      <c r="F31" s="231">
        <f>VLOOKUP(C31,AA45:AB51,2)</f>
        <v>0</v>
      </c>
      <c r="G31" s="287">
        <v>50</v>
      </c>
      <c r="H31" s="231">
        <f>D31*F31*G31/100</f>
        <v>0</v>
      </c>
      <c r="I31" s="231"/>
      <c r="J31" s="231"/>
      <c r="K31" s="231"/>
      <c r="L31" s="231"/>
      <c r="M31" s="231"/>
      <c r="N31" s="28"/>
      <c r="O31" s="28"/>
      <c r="P31" s="28"/>
      <c r="Q31" s="28"/>
      <c r="R31" s="13"/>
      <c r="S31" s="182"/>
      <c r="T31" s="182"/>
    </row>
    <row r="32" spans="1:20" s="93" customFormat="1" ht="17.5" hidden="1">
      <c r="A32" s="64"/>
      <c r="B32" s="64"/>
      <c r="C32" s="206"/>
      <c r="D32" s="267"/>
      <c r="E32" s="297"/>
      <c r="F32" s="231"/>
      <c r="G32" s="287"/>
      <c r="H32" s="231"/>
      <c r="I32" s="231"/>
      <c r="J32" s="231"/>
      <c r="K32" s="231"/>
      <c r="L32" s="231"/>
      <c r="M32" s="231"/>
      <c r="N32" s="28"/>
      <c r="O32" s="28"/>
      <c r="P32" s="28"/>
      <c r="Q32" s="28"/>
      <c r="R32" s="13"/>
      <c r="S32" s="182"/>
      <c r="T32" s="182"/>
    </row>
    <row r="33" spans="1:31" s="93" customFormat="1" ht="17.5">
      <c r="A33" s="12"/>
      <c r="B33" s="347"/>
      <c r="C33" s="206" t="s">
        <v>136</v>
      </c>
      <c r="D33" s="308"/>
      <c r="E33" s="297" t="s">
        <v>20</v>
      </c>
      <c r="F33" s="231">
        <f>VLOOKUP(C33,AA45:AB51,2)</f>
        <v>0</v>
      </c>
      <c r="G33" s="287">
        <v>50</v>
      </c>
      <c r="H33" s="231"/>
      <c r="I33" s="231">
        <f>D33*F33*G33/100</f>
        <v>0</v>
      </c>
      <c r="J33" s="231"/>
      <c r="K33" s="231"/>
      <c r="L33" s="231"/>
      <c r="M33" s="231"/>
      <c r="N33" s="28"/>
      <c r="O33" s="28"/>
      <c r="P33" s="28"/>
      <c r="Q33" s="28"/>
      <c r="R33" s="13"/>
      <c r="S33" s="182"/>
      <c r="T33" s="182"/>
    </row>
    <row r="34" spans="1:31" ht="17.5">
      <c r="A34" s="12"/>
      <c r="B34" s="347"/>
      <c r="C34" s="206" t="s">
        <v>190</v>
      </c>
      <c r="D34" s="308"/>
      <c r="E34" s="297" t="s">
        <v>20</v>
      </c>
      <c r="F34" s="231">
        <f>(VLOOKUP(C34,W45:X51,2,TRUE))*1</f>
        <v>0</v>
      </c>
      <c r="G34" s="287">
        <v>50</v>
      </c>
      <c r="H34" s="315"/>
      <c r="I34" s="300"/>
      <c r="J34" s="231">
        <f>D34*F34*G34/100</f>
        <v>0</v>
      </c>
      <c r="K34" s="231"/>
      <c r="L34" s="231"/>
      <c r="M34" s="231"/>
      <c r="N34" s="28"/>
      <c r="O34" s="28"/>
      <c r="P34" s="28"/>
      <c r="Q34" s="28"/>
      <c r="R34" s="13"/>
      <c r="S34" s="182"/>
      <c r="T34" s="182"/>
    </row>
    <row r="35" spans="1:31" ht="17.5">
      <c r="A35" s="12"/>
      <c r="B35" s="347"/>
      <c r="C35" s="206" t="s">
        <v>190</v>
      </c>
      <c r="D35" s="308"/>
      <c r="E35" s="297" t="s">
        <v>20</v>
      </c>
      <c r="F35" s="231">
        <f>(VLOOKUP(C35,W45:X51,2,TRUE))*1</f>
        <v>0</v>
      </c>
      <c r="G35" s="287">
        <v>50</v>
      </c>
      <c r="H35" s="315"/>
      <c r="I35" s="300"/>
      <c r="J35" s="231"/>
      <c r="K35" s="231">
        <f>D35*F35*G35/100</f>
        <v>0</v>
      </c>
      <c r="L35" s="231"/>
      <c r="M35" s="231"/>
      <c r="N35" s="28"/>
      <c r="O35" s="28"/>
      <c r="P35" s="28"/>
      <c r="Q35" s="28"/>
      <c r="R35" s="13"/>
      <c r="S35" s="182"/>
      <c r="T35" s="182"/>
    </row>
    <row r="36" spans="1:31" ht="17.5">
      <c r="A36" s="12"/>
      <c r="B36" s="347"/>
      <c r="C36" s="206" t="s">
        <v>191</v>
      </c>
      <c r="D36" s="308"/>
      <c r="E36" s="297" t="s">
        <v>20</v>
      </c>
      <c r="F36" s="231">
        <f>(VLOOKUP(C36,W53:X59,2,TRUE))*1</f>
        <v>0</v>
      </c>
      <c r="G36" s="287">
        <v>50</v>
      </c>
      <c r="H36" s="300"/>
      <c r="I36" s="300"/>
      <c r="J36" s="231"/>
      <c r="K36" s="300"/>
      <c r="L36" s="231">
        <f>D36*F36*G36/100</f>
        <v>0</v>
      </c>
      <c r="M36" s="231"/>
      <c r="N36" s="28"/>
      <c r="O36" s="28"/>
      <c r="P36" s="28"/>
      <c r="Q36" s="28"/>
      <c r="R36" s="13"/>
      <c r="S36" s="182"/>
      <c r="T36" s="182"/>
    </row>
    <row r="37" spans="1:31" ht="17.5">
      <c r="A37" s="12"/>
      <c r="B37" s="347"/>
      <c r="C37" s="206" t="s">
        <v>191</v>
      </c>
      <c r="D37" s="308"/>
      <c r="E37" s="297" t="s">
        <v>20</v>
      </c>
      <c r="F37" s="231">
        <f>(VLOOKUP(C37,W53:X59,2,TRUE))*1</f>
        <v>0</v>
      </c>
      <c r="G37" s="287">
        <v>50</v>
      </c>
      <c r="H37" s="300"/>
      <c r="I37" s="300"/>
      <c r="J37" s="231"/>
      <c r="K37" s="300"/>
      <c r="L37" s="231"/>
      <c r="M37" s="231">
        <f>D37*F37*G37/100</f>
        <v>0</v>
      </c>
      <c r="N37" s="28"/>
      <c r="O37" s="28"/>
      <c r="P37" s="28"/>
      <c r="Q37" s="28"/>
      <c r="R37" s="13"/>
      <c r="S37" s="182"/>
      <c r="T37" s="182"/>
    </row>
    <row r="38" spans="1:31" s="93" customFormat="1" ht="35">
      <c r="A38" s="12"/>
      <c r="B38" s="347"/>
      <c r="C38" s="244" t="s">
        <v>134</v>
      </c>
      <c r="D38" s="308"/>
      <c r="E38" s="297" t="s">
        <v>22</v>
      </c>
      <c r="F38" s="231">
        <f>'Component List'!D58</f>
        <v>0</v>
      </c>
      <c r="G38" s="287">
        <v>50</v>
      </c>
      <c r="H38" s="300"/>
      <c r="I38" s="300"/>
      <c r="J38" s="231">
        <f>D38*F38*G38/100</f>
        <v>0</v>
      </c>
      <c r="K38" s="231"/>
      <c r="L38" s="231"/>
      <c r="M38" s="231"/>
      <c r="N38" s="28"/>
      <c r="O38" s="28"/>
      <c r="P38" s="28"/>
      <c r="Q38" s="28"/>
      <c r="R38" s="13"/>
      <c r="S38" s="182"/>
      <c r="T38" s="182"/>
    </row>
    <row r="39" spans="1:31" ht="15.5">
      <c r="A39" s="501" t="s">
        <v>89</v>
      </c>
      <c r="B39" s="502"/>
      <c r="C39" s="503"/>
      <c r="D39" s="286"/>
      <c r="E39" s="280"/>
      <c r="F39" s="265"/>
      <c r="G39" s="281"/>
      <c r="H39" s="271">
        <f>SUM(H15:H38)</f>
        <v>0</v>
      </c>
      <c r="I39" s="271">
        <f t="shared" ref="I39:M39" si="1">SUM(I15:I38)</f>
        <v>0</v>
      </c>
      <c r="J39" s="271">
        <f t="shared" si="1"/>
        <v>0</v>
      </c>
      <c r="K39" s="271">
        <f t="shared" si="1"/>
        <v>0</v>
      </c>
      <c r="L39" s="271">
        <f t="shared" si="1"/>
        <v>0</v>
      </c>
      <c r="M39" s="271">
        <f t="shared" si="1"/>
        <v>0</v>
      </c>
      <c r="N39" s="23"/>
      <c r="O39" s="23"/>
      <c r="P39" s="23"/>
      <c r="Q39" s="23"/>
      <c r="R39" s="25"/>
      <c r="S39" s="186"/>
      <c r="T39" s="186"/>
    </row>
    <row r="40" spans="1:31" ht="33.75" customHeight="1">
      <c r="A40" s="496" t="str">
        <f>IF(W61,W63,"")</f>
        <v/>
      </c>
      <c r="B40" s="497"/>
      <c r="C40" s="497"/>
      <c r="D40" s="497"/>
      <c r="E40" s="497"/>
      <c r="F40" s="497"/>
      <c r="G40" s="497"/>
      <c r="H40" s="497"/>
      <c r="I40" s="497"/>
      <c r="J40" s="497"/>
      <c r="K40" s="497"/>
      <c r="L40" s="497"/>
      <c r="M40" s="497"/>
      <c r="N40" s="497"/>
      <c r="O40" s="497"/>
      <c r="P40" s="497"/>
      <c r="Q40" s="497"/>
      <c r="R40" s="497"/>
      <c r="S40" s="47"/>
      <c r="T40" s="47"/>
    </row>
    <row r="41" spans="1:31" ht="15.5">
      <c r="A41" s="401" t="s">
        <v>262</v>
      </c>
      <c r="B41" s="402"/>
      <c r="C41" s="402"/>
      <c r="D41" s="402"/>
      <c r="E41" s="402"/>
      <c r="F41" s="402"/>
      <c r="G41" s="402"/>
      <c r="H41" s="402"/>
      <c r="I41" s="402"/>
      <c r="J41" s="402"/>
      <c r="K41" s="402"/>
      <c r="L41" s="402"/>
      <c r="M41" s="402"/>
      <c r="N41" s="402"/>
      <c r="O41" s="402"/>
      <c r="P41" s="402"/>
      <c r="Q41" s="402"/>
      <c r="R41" s="403"/>
      <c r="S41" s="187"/>
      <c r="T41" s="187"/>
    </row>
    <row r="42" spans="1:31" ht="51" customHeight="1">
      <c r="A42" s="393" t="s">
        <v>434</v>
      </c>
      <c r="B42" s="394"/>
      <c r="C42" s="394"/>
      <c r="D42" s="394"/>
      <c r="E42" s="394"/>
      <c r="F42" s="394"/>
      <c r="G42" s="394"/>
      <c r="H42" s="394"/>
      <c r="I42" s="394"/>
      <c r="J42" s="394"/>
      <c r="K42" s="394"/>
      <c r="L42" s="394"/>
      <c r="M42" s="394"/>
      <c r="N42" s="394"/>
      <c r="O42" s="394"/>
      <c r="P42" s="394"/>
      <c r="Q42" s="394"/>
      <c r="R42" s="395"/>
      <c r="S42" s="188"/>
      <c r="T42" s="188"/>
    </row>
    <row r="43" spans="1:31" ht="15.5">
      <c r="A43" s="460" t="s">
        <v>390</v>
      </c>
      <c r="B43" s="461"/>
      <c r="C43" s="461"/>
      <c r="D43" s="461"/>
      <c r="E43" s="461"/>
      <c r="F43" s="461"/>
      <c r="G43" s="461"/>
      <c r="H43" s="461"/>
      <c r="I43" s="461"/>
      <c r="J43" s="461"/>
      <c r="K43" s="461"/>
      <c r="L43" s="461"/>
      <c r="M43" s="461"/>
      <c r="N43" s="461"/>
      <c r="O43" s="461"/>
      <c r="P43" s="461"/>
      <c r="Q43" s="461"/>
      <c r="R43" s="462"/>
      <c r="S43" s="52"/>
      <c r="T43" s="52"/>
    </row>
    <row r="44" spans="1:31" ht="47.25" customHeight="1">
      <c r="A44" s="463" t="s">
        <v>392</v>
      </c>
      <c r="B44" s="464"/>
      <c r="C44" s="464"/>
      <c r="D44" s="464"/>
      <c r="E44" s="464"/>
      <c r="F44" s="464"/>
      <c r="G44" s="464"/>
      <c r="H44" s="464"/>
      <c r="I44" s="464"/>
      <c r="J44" s="464"/>
      <c r="K44" s="464"/>
      <c r="L44" s="464"/>
      <c r="M44" s="464"/>
      <c r="N44" s="464"/>
      <c r="O44" s="464"/>
      <c r="P44" s="464"/>
      <c r="Q44" s="464"/>
      <c r="R44" s="465"/>
      <c r="S44" s="189"/>
      <c r="T44" s="189"/>
    </row>
    <row r="45" spans="1:31" ht="15.5">
      <c r="A45" s="413" t="s">
        <v>221</v>
      </c>
      <c r="B45" s="414"/>
      <c r="C45" s="414"/>
      <c r="D45" s="414"/>
      <c r="E45" s="414"/>
      <c r="F45" s="414"/>
      <c r="G45" s="414"/>
      <c r="H45" s="414"/>
      <c r="I45" s="414"/>
      <c r="J45" s="414"/>
      <c r="K45" s="414"/>
      <c r="L45" s="414"/>
      <c r="M45" s="414"/>
      <c r="N45" s="414"/>
      <c r="O45" s="414"/>
      <c r="P45" s="414"/>
      <c r="Q45" s="414"/>
      <c r="R45" s="415"/>
      <c r="S45" s="187"/>
      <c r="T45" s="187"/>
      <c r="W45" s="209" t="s">
        <v>190</v>
      </c>
      <c r="X45" s="210">
        <v>0</v>
      </c>
      <c r="Y45" s="26"/>
      <c r="Z45" s="26"/>
      <c r="AA45" s="211" t="s">
        <v>136</v>
      </c>
      <c r="AB45" s="93"/>
      <c r="AC45" s="93"/>
      <c r="AD45" s="93"/>
      <c r="AE45" s="93"/>
    </row>
    <row r="46" spans="1:31" ht="62.25" customHeight="1">
      <c r="A46" s="396" t="s">
        <v>370</v>
      </c>
      <c r="B46" s="397"/>
      <c r="C46" s="397"/>
      <c r="D46" s="397"/>
      <c r="E46" s="397"/>
      <c r="F46" s="397"/>
      <c r="G46" s="397"/>
      <c r="H46" s="397"/>
      <c r="I46" s="397"/>
      <c r="J46" s="397"/>
      <c r="K46" s="397"/>
      <c r="L46" s="397"/>
      <c r="M46" s="397"/>
      <c r="N46" s="397"/>
      <c r="O46" s="397"/>
      <c r="P46" s="397"/>
      <c r="Q46" s="397"/>
      <c r="R46" s="398"/>
      <c r="S46" s="190"/>
      <c r="T46" s="190"/>
      <c r="W46" s="212" t="s">
        <v>178</v>
      </c>
      <c r="X46" s="213">
        <f>'Component List'!D18</f>
        <v>31.04</v>
      </c>
      <c r="Y46" s="26"/>
      <c r="Z46" s="26"/>
      <c r="AA46" s="214" t="s">
        <v>137</v>
      </c>
      <c r="AB46" s="50">
        <f>'Component List'!D18</f>
        <v>31.04</v>
      </c>
      <c r="AC46" s="93"/>
      <c r="AD46" s="93"/>
      <c r="AE46" s="93"/>
    </row>
    <row r="47" spans="1:31" ht="15.5">
      <c r="W47" s="212" t="s">
        <v>261</v>
      </c>
      <c r="X47" s="213">
        <f>'Component List'!D19</f>
        <v>100</v>
      </c>
      <c r="Y47" s="26"/>
      <c r="Z47" s="26"/>
      <c r="AA47" s="214" t="s">
        <v>138</v>
      </c>
      <c r="AB47" s="50">
        <f>'Component List'!D19</f>
        <v>100</v>
      </c>
      <c r="AC47" s="93"/>
      <c r="AD47" s="93"/>
      <c r="AE47" s="93"/>
    </row>
    <row r="48" spans="1:31" ht="15.5">
      <c r="W48" s="212" t="s">
        <v>94</v>
      </c>
      <c r="X48" s="213">
        <f>'Component List'!D22</f>
        <v>23.04</v>
      </c>
      <c r="Y48" s="26"/>
      <c r="Z48" s="26"/>
      <c r="AA48" s="214" t="s">
        <v>139</v>
      </c>
      <c r="AB48" s="50">
        <f>'Component List'!D22</f>
        <v>23.04</v>
      </c>
      <c r="AC48" s="93"/>
      <c r="AD48" s="93"/>
      <c r="AE48" s="93"/>
    </row>
    <row r="49" spans="23:31" ht="15.5">
      <c r="W49" s="212" t="s">
        <v>112</v>
      </c>
      <c r="X49" s="213">
        <f>'Component List'!D25</f>
        <v>100</v>
      </c>
      <c r="Y49" s="26"/>
      <c r="Z49" s="26"/>
      <c r="AA49" s="214" t="s">
        <v>140</v>
      </c>
      <c r="AB49" s="50">
        <f>'Component List'!D25</f>
        <v>100</v>
      </c>
      <c r="AC49" s="93"/>
      <c r="AD49" s="93"/>
      <c r="AE49" s="93"/>
    </row>
    <row r="50" spans="23:31" ht="15.5">
      <c r="W50" s="203" t="s">
        <v>113</v>
      </c>
      <c r="X50" s="213">
        <f>'Component List'!D26</f>
        <v>100</v>
      </c>
      <c r="Y50" s="26"/>
      <c r="Z50" s="26"/>
      <c r="AA50" s="214" t="s">
        <v>141</v>
      </c>
      <c r="AB50" s="50">
        <f>'Component List'!D26</f>
        <v>100</v>
      </c>
      <c r="AC50" s="93"/>
      <c r="AD50" s="93"/>
      <c r="AE50" s="93"/>
    </row>
    <row r="51" spans="23:31" ht="15.5">
      <c r="W51" s="203" t="s">
        <v>179</v>
      </c>
      <c r="X51" s="213">
        <f>'Component List'!D59</f>
        <v>100</v>
      </c>
      <c r="Y51" s="26"/>
      <c r="Z51" s="26"/>
      <c r="AA51" s="214" t="s">
        <v>142</v>
      </c>
      <c r="AB51" s="50">
        <f>'Component List'!D59</f>
        <v>100</v>
      </c>
      <c r="AC51" s="93"/>
      <c r="AD51" s="93"/>
      <c r="AE51" s="93"/>
    </row>
    <row r="52" spans="23:31" ht="15.5">
      <c r="W52" s="26"/>
      <c r="X52" s="215"/>
      <c r="Y52" s="26"/>
      <c r="Z52" s="26"/>
      <c r="AA52" s="26"/>
      <c r="AB52" s="93"/>
      <c r="AC52" s="93"/>
      <c r="AD52" s="93"/>
      <c r="AE52" s="93"/>
    </row>
    <row r="53" spans="23:31" ht="15.5">
      <c r="W53" s="205" t="s">
        <v>191</v>
      </c>
      <c r="X53" s="215"/>
      <c r="Y53" s="26"/>
      <c r="Z53" s="26"/>
      <c r="AA53" s="26"/>
      <c r="AB53" s="93"/>
      <c r="AC53" s="93"/>
      <c r="AD53" s="93"/>
      <c r="AE53" s="93"/>
    </row>
    <row r="54" spans="23:31" ht="15.5">
      <c r="W54" s="203" t="s">
        <v>37</v>
      </c>
      <c r="X54" s="213">
        <f>'Component List'!D18</f>
        <v>31.04</v>
      </c>
      <c r="Y54" s="26"/>
      <c r="Z54" s="26"/>
      <c r="AA54" s="26"/>
      <c r="AB54" s="93"/>
      <c r="AC54" s="93"/>
      <c r="AD54" s="93"/>
      <c r="AE54" s="93"/>
    </row>
    <row r="55" spans="23:31" ht="15.5">
      <c r="W55" s="203" t="s">
        <v>114</v>
      </c>
      <c r="X55" s="213">
        <f>'Component List'!D19</f>
        <v>100</v>
      </c>
      <c r="Y55" s="26"/>
      <c r="Z55" s="26"/>
      <c r="AA55" s="26"/>
      <c r="AB55" s="93"/>
      <c r="AC55" s="93"/>
      <c r="AD55" s="93"/>
      <c r="AE55" s="93"/>
    </row>
    <row r="56" spans="23:31" ht="15.5">
      <c r="W56" s="203" t="s">
        <v>38</v>
      </c>
      <c r="X56" s="213">
        <f>'Component List'!D22</f>
        <v>23.04</v>
      </c>
      <c r="Y56" s="26"/>
      <c r="Z56" s="26"/>
      <c r="AA56" s="26"/>
      <c r="AB56" s="93"/>
      <c r="AC56" s="93"/>
      <c r="AD56" s="93"/>
      <c r="AE56" s="93"/>
    </row>
    <row r="57" spans="23:31" ht="15.5">
      <c r="W57" s="203" t="s">
        <v>115</v>
      </c>
      <c r="X57" s="213">
        <f>'Component List'!D25</f>
        <v>100</v>
      </c>
      <c r="Y57" s="26"/>
      <c r="Z57" s="26"/>
      <c r="AA57" s="26"/>
      <c r="AB57" s="93"/>
      <c r="AC57" s="93"/>
      <c r="AD57" s="93"/>
      <c r="AE57" s="93"/>
    </row>
    <row r="58" spans="23:31" ht="15.5">
      <c r="W58" s="203" t="s">
        <v>116</v>
      </c>
      <c r="X58" s="213">
        <f>'Component List'!D26</f>
        <v>100</v>
      </c>
      <c r="Y58" s="26"/>
      <c r="Z58" s="26"/>
      <c r="AA58" s="26"/>
      <c r="AB58" s="93"/>
      <c r="AC58" s="93"/>
      <c r="AD58" s="93"/>
      <c r="AE58" s="93"/>
    </row>
    <row r="59" spans="23:31" ht="15.5">
      <c r="W59" s="203" t="s">
        <v>177</v>
      </c>
      <c r="X59" s="213">
        <f>'Component List'!D59</f>
        <v>100</v>
      </c>
      <c r="Y59" s="26"/>
      <c r="Z59" s="26"/>
      <c r="AA59" s="26"/>
      <c r="AB59" s="93"/>
      <c r="AC59" s="93"/>
      <c r="AD59" s="93"/>
      <c r="AE59" s="93"/>
    </row>
    <row r="60" spans="23:31">
      <c r="W60" s="93"/>
      <c r="X60" s="48"/>
      <c r="Y60" s="93"/>
      <c r="Z60" s="93"/>
      <c r="AA60" s="93"/>
      <c r="AB60" s="93"/>
      <c r="AC60" s="93"/>
      <c r="AD60" s="93"/>
      <c r="AE60" s="93"/>
    </row>
    <row r="61" spans="23:31">
      <c r="W61" s="93" t="b">
        <f>OR(C34=W47,C34=W49,C34=W50,C35=W47,C35=W49,C35=W50,C36=W55,C36=W57,C36=W58,C37=W55,C37=W57,C37=W58,C31=AA47,C31=AA49,C31=AA50,C33=AA47,C33=AA49,C33=AA50)</f>
        <v>0</v>
      </c>
      <c r="X61" s="48"/>
      <c r="Y61" s="93"/>
      <c r="Z61" s="93"/>
      <c r="AA61" s="93"/>
      <c r="AB61" s="93"/>
      <c r="AC61" s="93"/>
      <c r="AD61" s="93"/>
      <c r="AE61" s="93"/>
    </row>
    <row r="62" spans="23:31" ht="12.75" customHeight="1">
      <c r="W62" s="38"/>
      <c r="X62" s="49"/>
      <c r="Y62" s="93"/>
      <c r="Z62" s="93"/>
      <c r="AA62" s="93"/>
      <c r="AB62" s="93"/>
      <c r="AC62" s="93"/>
      <c r="AD62" s="93"/>
      <c r="AE62" s="93"/>
    </row>
    <row r="63" spans="23:31" ht="12.75" customHeight="1">
      <c r="W63" s="493" t="s">
        <v>253</v>
      </c>
      <c r="X63" s="493"/>
      <c r="Y63" s="493"/>
      <c r="Z63" s="493"/>
      <c r="AA63" s="493"/>
      <c r="AB63" s="493"/>
      <c r="AC63" s="493"/>
      <c r="AD63" s="493"/>
      <c r="AE63" s="493"/>
    </row>
    <row r="64" spans="23:31" ht="12.75" customHeight="1">
      <c r="W64" s="494"/>
      <c r="X64" s="494"/>
      <c r="Y64" s="494"/>
      <c r="Z64" s="494"/>
      <c r="AA64" s="494"/>
      <c r="AB64" s="494"/>
      <c r="AC64" s="494"/>
      <c r="AD64" s="494"/>
      <c r="AE64" s="494"/>
    </row>
    <row r="65" spans="23:31" ht="12.75" customHeight="1">
      <c r="W65" s="494"/>
      <c r="X65" s="494"/>
      <c r="Y65" s="494"/>
      <c r="Z65" s="494"/>
      <c r="AA65" s="494"/>
      <c r="AB65" s="494"/>
      <c r="AC65" s="494"/>
      <c r="AD65" s="494"/>
      <c r="AE65" s="494"/>
    </row>
    <row r="66" spans="23:31">
      <c r="W66" s="495"/>
      <c r="X66" s="495"/>
      <c r="Y66" s="495"/>
      <c r="Z66" s="495"/>
      <c r="AA66" s="495"/>
      <c r="AB66" s="495"/>
      <c r="AC66" s="495"/>
      <c r="AD66" s="495"/>
      <c r="AE66" s="495"/>
    </row>
  </sheetData>
  <mergeCells count="35">
    <mergeCell ref="A1:C1"/>
    <mergeCell ref="A2:C2"/>
    <mergeCell ref="F2:I2"/>
    <mergeCell ref="F3:I3"/>
    <mergeCell ref="A4:C4"/>
    <mergeCell ref="D4:G4"/>
    <mergeCell ref="A39:C39"/>
    <mergeCell ref="A41:R41"/>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H9:Q9"/>
    <mergeCell ref="R9:R13"/>
    <mergeCell ref="H10:Q10"/>
    <mergeCell ref="A40:R40"/>
    <mergeCell ref="W63:AE66"/>
    <mergeCell ref="A43:R43"/>
    <mergeCell ref="A44:R44"/>
    <mergeCell ref="A45:R45"/>
    <mergeCell ref="A46:R46"/>
    <mergeCell ref="A42:R42"/>
  </mergeCells>
  <dataValidations count="4">
    <dataValidation type="list" allowBlank="1" showInputMessage="1" showErrorMessage="1" sqref="C32">
      <formula1>#REF!</formula1>
    </dataValidation>
    <dataValidation type="list" allowBlank="1" showInputMessage="1" showErrorMessage="1" promptTitle="Choose Management" sqref="C36:C37">
      <formula1>$W$53:$W$59</formula1>
    </dataValidation>
    <dataValidation type="list" allowBlank="1" showInputMessage="1" showErrorMessage="1" promptTitle="Choose Management" sqref="C34:C35">
      <formula1>$W$45:$W$51</formula1>
    </dataValidation>
    <dataValidation type="list" allowBlank="1" showInputMessage="1" showErrorMessage="1" sqref="C31 C33">
      <formula1>$AA$45:$AA$51</formula1>
    </dataValidation>
  </dataValidations>
  <pageMargins left="0.33" right="0.25" top="0.47" bottom="0.47" header="0.3" footer="0.3"/>
  <pageSetup scale="53"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3</xdr:col>
                    <xdr:colOff>177800</xdr:colOff>
                    <xdr:row>0</xdr:row>
                    <xdr:rowOff>12700</xdr:rowOff>
                  </from>
                  <to>
                    <xdr:col>3</xdr:col>
                    <xdr:colOff>381000</xdr:colOff>
                    <xdr:row>1</xdr:row>
                    <xdr:rowOff>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7</xdr:col>
                    <xdr:colOff>209550</xdr:colOff>
                    <xdr:row>0</xdr:row>
                    <xdr:rowOff>12700</xdr:rowOff>
                  </from>
                  <to>
                    <xdr:col>8</xdr:col>
                    <xdr:colOff>114300</xdr:colOff>
                    <xdr:row>0</xdr:row>
                    <xdr:rowOff>146050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23"/>
  <sheetViews>
    <sheetView zoomScale="57" zoomScaleNormal="57" workbookViewId="0">
      <selection activeCell="D15" sqref="D15"/>
    </sheetView>
  </sheetViews>
  <sheetFormatPr defaultRowHeight="12.5"/>
  <cols>
    <col min="3" max="3" width="70" customWidth="1"/>
    <col min="4" max="4" width="14.7265625" customWidth="1"/>
    <col min="6" max="6" width="12.81640625" customWidth="1"/>
    <col min="7" max="7" width="11.81640625" customWidth="1"/>
    <col min="8" max="8" width="14.453125" customWidth="1"/>
    <col min="10" max="11" width="13.81640625" customWidth="1"/>
    <col min="12" max="12" width="14.453125" customWidth="1"/>
    <col min="15" max="15" width="7.1796875" customWidth="1"/>
    <col min="16" max="16" width="6.81640625" customWidth="1"/>
    <col min="17" max="17" width="6.1796875" customWidth="1"/>
    <col min="18" max="18" width="5.81640625" customWidth="1"/>
  </cols>
  <sheetData>
    <row r="1" spans="1:18" ht="21.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9.5" customHeight="1">
      <c r="A5" s="505">
        <f>'CRPSignature Page'!A8</f>
        <v>0</v>
      </c>
      <c r="B5" s="506"/>
      <c r="C5" s="507"/>
      <c r="D5" s="505">
        <f>'CRPSignature Page'!D8</f>
        <v>0</v>
      </c>
      <c r="E5" s="506"/>
      <c r="F5" s="506"/>
      <c r="G5" s="507"/>
      <c r="H5" s="508" t="s">
        <v>10</v>
      </c>
      <c r="I5" s="409"/>
      <c r="J5" s="505">
        <f>'CRPSignature Page'!I8</f>
        <v>0</v>
      </c>
      <c r="K5" s="408"/>
      <c r="L5" s="409"/>
      <c r="M5" s="508">
        <f>'CRPSignature Page'!P8</f>
        <v>0</v>
      </c>
      <c r="N5" s="509"/>
      <c r="O5" s="442"/>
      <c r="P5" s="442"/>
      <c r="Q5" s="442"/>
      <c r="R5" s="443"/>
    </row>
    <row r="6" spans="1:18">
      <c r="A6" s="466"/>
      <c r="B6" s="466"/>
      <c r="C6" s="466"/>
      <c r="D6" s="466"/>
      <c r="E6" s="466"/>
      <c r="F6" s="466"/>
      <c r="G6" s="466"/>
      <c r="H6" s="466"/>
      <c r="I6" s="466"/>
      <c r="J6" s="466"/>
      <c r="K6" s="466"/>
      <c r="L6" s="466"/>
      <c r="M6" s="466"/>
      <c r="N6" s="466"/>
      <c r="O6" s="466"/>
      <c r="P6" s="466"/>
      <c r="Q6" s="466"/>
      <c r="R6" s="466"/>
    </row>
    <row r="7" spans="1:18" ht="89.25" customHeight="1">
      <c r="A7" s="467" t="s">
        <v>483</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93"/>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8" customHeight="1">
      <c r="A18" s="401" t="s">
        <v>262</v>
      </c>
      <c r="B18" s="402"/>
      <c r="C18" s="402"/>
      <c r="D18" s="402"/>
      <c r="E18" s="402"/>
      <c r="F18" s="402"/>
      <c r="G18" s="402"/>
      <c r="H18" s="402"/>
      <c r="I18" s="402"/>
      <c r="J18" s="402"/>
      <c r="K18" s="402"/>
      <c r="L18" s="402"/>
      <c r="M18" s="402"/>
      <c r="N18" s="402"/>
      <c r="O18" s="402"/>
      <c r="P18" s="402"/>
      <c r="Q18" s="402"/>
      <c r="R18" s="403"/>
    </row>
    <row r="19" spans="1:18" ht="51.75" customHeight="1">
      <c r="A19" s="393" t="s">
        <v>434</v>
      </c>
      <c r="B19" s="394"/>
      <c r="C19" s="394"/>
      <c r="D19" s="394"/>
      <c r="E19" s="394"/>
      <c r="F19" s="394"/>
      <c r="G19" s="394"/>
      <c r="H19" s="394"/>
      <c r="I19" s="394"/>
      <c r="J19" s="394"/>
      <c r="K19" s="394"/>
      <c r="L19" s="394"/>
      <c r="M19" s="394"/>
      <c r="N19" s="394"/>
      <c r="O19" s="394"/>
      <c r="P19" s="394"/>
      <c r="Q19" s="394"/>
      <c r="R19" s="395"/>
    </row>
    <row r="20" spans="1:18" ht="18" customHeight="1">
      <c r="A20" s="460" t="s">
        <v>390</v>
      </c>
      <c r="B20" s="461"/>
      <c r="C20" s="461"/>
      <c r="D20" s="461"/>
      <c r="E20" s="461"/>
      <c r="F20" s="461"/>
      <c r="G20" s="461"/>
      <c r="H20" s="461"/>
      <c r="I20" s="461"/>
      <c r="J20" s="461"/>
      <c r="K20" s="461"/>
      <c r="L20" s="461"/>
      <c r="M20" s="461"/>
      <c r="N20" s="461"/>
      <c r="O20" s="461"/>
      <c r="P20" s="461"/>
      <c r="Q20" s="461"/>
      <c r="R20" s="462"/>
    </row>
    <row r="21" spans="1:18" ht="53.25" customHeight="1">
      <c r="A21" s="463" t="s">
        <v>392</v>
      </c>
      <c r="B21" s="464"/>
      <c r="C21" s="464"/>
      <c r="D21" s="464"/>
      <c r="E21" s="464"/>
      <c r="F21" s="464"/>
      <c r="G21" s="464"/>
      <c r="H21" s="464"/>
      <c r="I21" s="464"/>
      <c r="J21" s="464"/>
      <c r="K21" s="464"/>
      <c r="L21" s="464"/>
      <c r="M21" s="464"/>
      <c r="N21" s="464"/>
      <c r="O21" s="464"/>
      <c r="P21" s="464"/>
      <c r="Q21" s="464"/>
      <c r="R21" s="465"/>
    </row>
    <row r="22" spans="1:18" ht="16.5" customHeight="1">
      <c r="A22" s="413" t="s">
        <v>221</v>
      </c>
      <c r="B22" s="414"/>
      <c r="C22" s="414"/>
      <c r="D22" s="414"/>
      <c r="E22" s="414"/>
      <c r="F22" s="414"/>
      <c r="G22" s="414"/>
      <c r="H22" s="414"/>
      <c r="I22" s="414"/>
      <c r="J22" s="414"/>
      <c r="K22" s="414"/>
      <c r="L22" s="414"/>
      <c r="M22" s="414"/>
      <c r="N22" s="414"/>
      <c r="O22" s="414"/>
      <c r="P22" s="414"/>
      <c r="Q22" s="414"/>
      <c r="R22" s="415"/>
    </row>
    <row r="23" spans="1:18" ht="67.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1">
    <dataValidation type="list" allowBlank="1" showInputMessage="1" showErrorMessage="1" promptTitle="Choose Management" sqref="C15">
      <formula1>$AE$22:$AE$31</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1">
    <pageSetUpPr fitToPage="1"/>
  </sheetPr>
  <dimension ref="A1:R49"/>
  <sheetViews>
    <sheetView topLeftCell="A8" zoomScale="53" zoomScaleNormal="53" workbookViewId="0">
      <selection activeCell="D16" sqref="D16"/>
    </sheetView>
  </sheetViews>
  <sheetFormatPr defaultRowHeight="12.5"/>
  <cols>
    <col min="3" max="3" width="71.54296875" customWidth="1"/>
    <col min="4" max="4" width="13.1796875" customWidth="1"/>
    <col min="6" max="6" width="11.1796875" customWidth="1"/>
    <col min="7" max="7" width="10.81640625" customWidth="1"/>
    <col min="8" max="8" width="16.453125" customWidth="1"/>
    <col min="10" max="10" width="15.1796875" customWidth="1"/>
    <col min="11" max="11" width="13.1796875" customWidth="1"/>
    <col min="12" max="12" width="12.26953125" customWidth="1"/>
    <col min="14" max="14" width="6.453125" customWidth="1"/>
    <col min="15" max="15" width="7.81640625" customWidth="1"/>
    <col min="16" max="16" width="6.7265625" customWidth="1"/>
    <col min="17" max="17" width="6" customWidth="1"/>
    <col min="18" max="18" width="5.72656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20" t="s">
        <v>388</v>
      </c>
      <c r="I4" s="26"/>
      <c r="J4" s="480" t="s">
        <v>385</v>
      </c>
      <c r="K4" s="481"/>
      <c r="L4" s="482"/>
      <c r="M4" s="480" t="s">
        <v>389</v>
      </c>
      <c r="N4" s="483"/>
      <c r="O4" s="483"/>
      <c r="P4" s="483"/>
      <c r="Q4" s="483"/>
      <c r="R4" s="484"/>
    </row>
    <row r="5" spans="1:18" ht="15">
      <c r="A5" s="505">
        <f>'CRPSignature Page'!A8</f>
        <v>0</v>
      </c>
      <c r="B5" s="506"/>
      <c r="C5" s="507"/>
      <c r="D5" s="505">
        <f>'CRPSignature Page'!D8</f>
        <v>0</v>
      </c>
      <c r="E5" s="506"/>
      <c r="F5" s="506"/>
      <c r="G5" s="507"/>
      <c r="H5" s="508" t="s">
        <v>10</v>
      </c>
      <c r="I5" s="409"/>
      <c r="J5" s="505">
        <f>'CRPSignature Page'!I8</f>
        <v>0</v>
      </c>
      <c r="K5" s="408"/>
      <c r="L5" s="409"/>
      <c r="M5" s="508">
        <f>'CRPSignature Page'!P8</f>
        <v>0</v>
      </c>
      <c r="N5" s="509"/>
      <c r="O5" s="442"/>
      <c r="P5" s="442"/>
      <c r="Q5" s="442"/>
      <c r="R5" s="443"/>
    </row>
    <row r="6" spans="1:18">
      <c r="A6" s="466"/>
      <c r="B6" s="466"/>
      <c r="C6" s="466"/>
      <c r="D6" s="466"/>
      <c r="E6" s="466"/>
      <c r="F6" s="466"/>
      <c r="G6" s="466"/>
      <c r="H6" s="466"/>
      <c r="I6" s="466"/>
      <c r="J6" s="466"/>
      <c r="K6" s="466"/>
      <c r="L6" s="466"/>
      <c r="M6" s="466"/>
      <c r="N6" s="466"/>
      <c r="O6" s="466"/>
      <c r="P6" s="466"/>
      <c r="Q6" s="466"/>
      <c r="R6" s="466"/>
    </row>
    <row r="7" spans="1:18" ht="127.5" customHeight="1">
      <c r="A7" s="467" t="s">
        <v>484</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160</v>
      </c>
      <c r="D15" s="308"/>
      <c r="E15" s="297" t="s">
        <v>20</v>
      </c>
      <c r="F15" s="231">
        <f>'Component List'!D2</f>
        <v>1.6399999999999997</v>
      </c>
      <c r="G15" s="287">
        <v>50</v>
      </c>
      <c r="H15" s="231">
        <f>D15*F15*G15/100</f>
        <v>0</v>
      </c>
      <c r="I15" s="264"/>
      <c r="J15" s="264"/>
      <c r="K15" s="264"/>
      <c r="L15" s="264"/>
      <c r="M15" s="264"/>
      <c r="N15" s="28"/>
      <c r="O15" s="28"/>
      <c r="P15" s="28"/>
      <c r="Q15" s="28"/>
      <c r="R15" s="13"/>
    </row>
    <row r="16" spans="1:18" ht="17.5">
      <c r="A16" s="12"/>
      <c r="B16" s="347"/>
      <c r="C16" s="206" t="s">
        <v>159</v>
      </c>
      <c r="D16" s="308"/>
      <c r="E16" s="297" t="s">
        <v>20</v>
      </c>
      <c r="F16" s="231">
        <f>'Component List'!D3</f>
        <v>0</v>
      </c>
      <c r="G16" s="287">
        <v>50</v>
      </c>
      <c r="H16" s="231">
        <f>D16*F16*G16/100</f>
        <v>0</v>
      </c>
      <c r="I16" s="264"/>
      <c r="J16" s="264"/>
      <c r="K16" s="264"/>
      <c r="L16" s="264"/>
      <c r="M16" s="264"/>
      <c r="N16" s="28"/>
      <c r="O16" s="28"/>
      <c r="P16" s="28"/>
      <c r="Q16" s="28"/>
      <c r="R16" s="13"/>
    </row>
    <row r="17" spans="1:18" ht="17.5">
      <c r="A17" s="12"/>
      <c r="B17" s="347"/>
      <c r="C17" s="206" t="s">
        <v>161</v>
      </c>
      <c r="D17" s="308"/>
      <c r="E17" s="297" t="s">
        <v>20</v>
      </c>
      <c r="F17" s="231">
        <f>'Component List'!D4</f>
        <v>80.06</v>
      </c>
      <c r="G17" s="287">
        <v>50</v>
      </c>
      <c r="H17" s="231">
        <f t="shared" ref="H17:H41" si="0">D17*F17*G17/100</f>
        <v>0</v>
      </c>
      <c r="I17" s="264"/>
      <c r="J17" s="264"/>
      <c r="K17" s="264"/>
      <c r="L17" s="264"/>
      <c r="M17" s="264"/>
      <c r="N17" s="28"/>
      <c r="O17" s="28"/>
      <c r="P17" s="28"/>
      <c r="Q17" s="28"/>
      <c r="R17" s="13"/>
    </row>
    <row r="18" spans="1:18" ht="17.5">
      <c r="A18" s="12"/>
      <c r="B18" s="347"/>
      <c r="C18" s="206" t="s">
        <v>172</v>
      </c>
      <c r="D18" s="308"/>
      <c r="E18" s="297" t="s">
        <v>20</v>
      </c>
      <c r="F18" s="231">
        <f>'Component List'!D5</f>
        <v>62.6</v>
      </c>
      <c r="G18" s="287">
        <v>50</v>
      </c>
      <c r="H18" s="231">
        <f t="shared" si="0"/>
        <v>0</v>
      </c>
      <c r="I18" s="264"/>
      <c r="J18" s="264"/>
      <c r="K18" s="264"/>
      <c r="L18" s="264"/>
      <c r="M18" s="264"/>
      <c r="N18" s="28"/>
      <c r="O18" s="28"/>
      <c r="P18" s="28"/>
      <c r="Q18" s="28"/>
      <c r="R18" s="13"/>
    </row>
    <row r="19" spans="1:18" ht="17.5">
      <c r="A19" s="12"/>
      <c r="B19" s="347"/>
      <c r="C19" s="206" t="s">
        <v>226</v>
      </c>
      <c r="D19" s="308"/>
      <c r="E19" s="297" t="s">
        <v>20</v>
      </c>
      <c r="F19" s="231">
        <f>'Component List'!D10</f>
        <v>252.55999999999997</v>
      </c>
      <c r="G19" s="287">
        <v>50</v>
      </c>
      <c r="H19" s="231">
        <f t="shared" si="0"/>
        <v>0</v>
      </c>
      <c r="I19" s="264"/>
      <c r="J19" s="264"/>
      <c r="K19" s="264"/>
      <c r="L19" s="264"/>
      <c r="M19" s="264"/>
      <c r="N19" s="28"/>
      <c r="O19" s="28"/>
      <c r="P19" s="28"/>
      <c r="Q19" s="28"/>
      <c r="R19" s="13"/>
    </row>
    <row r="20" spans="1:18" ht="17.5">
      <c r="A20" s="12"/>
      <c r="B20" s="347"/>
      <c r="C20" s="206" t="s">
        <v>164</v>
      </c>
      <c r="D20" s="308"/>
      <c r="E20" s="297" t="s">
        <v>20</v>
      </c>
      <c r="F20" s="231">
        <f>'Component List'!D14</f>
        <v>16.079999999999998</v>
      </c>
      <c r="G20" s="287">
        <v>50</v>
      </c>
      <c r="H20" s="231">
        <f t="shared" si="0"/>
        <v>0</v>
      </c>
      <c r="I20" s="264"/>
      <c r="J20" s="264"/>
      <c r="K20" s="264"/>
      <c r="L20" s="264"/>
      <c r="M20" s="264"/>
      <c r="N20" s="28"/>
      <c r="O20" s="28"/>
      <c r="P20" s="28"/>
      <c r="Q20" s="28"/>
      <c r="R20" s="13"/>
    </row>
    <row r="21" spans="1:18" ht="17.5">
      <c r="A21" s="35"/>
      <c r="B21" s="349"/>
      <c r="C21" s="206" t="s">
        <v>165</v>
      </c>
      <c r="D21" s="308"/>
      <c r="E21" s="297" t="s">
        <v>20</v>
      </c>
      <c r="F21" s="231">
        <f>'Component List'!D28</f>
        <v>94.14</v>
      </c>
      <c r="G21" s="287">
        <v>50</v>
      </c>
      <c r="H21" s="292">
        <f t="shared" si="0"/>
        <v>0</v>
      </c>
      <c r="I21" s="264"/>
      <c r="J21" s="269"/>
      <c r="K21" s="269"/>
      <c r="L21" s="269"/>
      <c r="M21" s="269"/>
      <c r="N21" s="68"/>
      <c r="O21" s="68"/>
      <c r="P21" s="68"/>
      <c r="Q21" s="68"/>
      <c r="R21" s="43"/>
    </row>
    <row r="22" spans="1:18" s="93" customFormat="1" ht="17.5">
      <c r="A22" s="35"/>
      <c r="B22" s="349"/>
      <c r="C22" s="207" t="s">
        <v>412</v>
      </c>
      <c r="D22" s="308"/>
      <c r="E22" s="312" t="s">
        <v>20</v>
      </c>
      <c r="F22" s="231">
        <f>'Component List'!D16</f>
        <v>84.42</v>
      </c>
      <c r="G22" s="287">
        <v>50</v>
      </c>
      <c r="H22" s="292">
        <f t="shared" si="0"/>
        <v>0</v>
      </c>
      <c r="I22" s="264"/>
      <c r="J22" s="269"/>
      <c r="K22" s="269"/>
      <c r="L22" s="269"/>
      <c r="M22" s="269"/>
      <c r="N22" s="68"/>
      <c r="O22" s="68"/>
      <c r="P22" s="68"/>
      <c r="Q22" s="68"/>
      <c r="R22" s="43"/>
    </row>
    <row r="23" spans="1:18" s="93" customFormat="1" ht="17.5">
      <c r="A23" s="35"/>
      <c r="B23" s="349"/>
      <c r="C23" s="206" t="s">
        <v>166</v>
      </c>
      <c r="D23" s="308"/>
      <c r="E23" s="297" t="s">
        <v>20</v>
      </c>
      <c r="F23" s="231">
        <f>'Component List'!D29</f>
        <v>74.12</v>
      </c>
      <c r="G23" s="287">
        <v>50</v>
      </c>
      <c r="H23" s="292">
        <f t="shared" si="0"/>
        <v>0</v>
      </c>
      <c r="I23" s="264"/>
      <c r="J23" s="269"/>
      <c r="K23" s="269"/>
      <c r="L23" s="269"/>
      <c r="M23" s="269"/>
      <c r="N23" s="68"/>
      <c r="O23" s="68"/>
      <c r="P23" s="68"/>
      <c r="Q23" s="68"/>
      <c r="R23" s="43"/>
    </row>
    <row r="24" spans="1:18" s="93" customFormat="1" ht="17.5">
      <c r="A24" s="35"/>
      <c r="B24" s="349"/>
      <c r="C24" s="206" t="s">
        <v>167</v>
      </c>
      <c r="D24" s="308"/>
      <c r="E24" s="297" t="s">
        <v>20</v>
      </c>
      <c r="F24" s="231">
        <f>'Component List'!D30</f>
        <v>149.58000000000001</v>
      </c>
      <c r="G24" s="287">
        <v>50</v>
      </c>
      <c r="H24" s="292">
        <f t="shared" si="0"/>
        <v>0</v>
      </c>
      <c r="I24" s="264"/>
      <c r="J24" s="269"/>
      <c r="K24" s="269"/>
      <c r="L24" s="269"/>
      <c r="M24" s="269"/>
      <c r="N24" s="68"/>
      <c r="O24" s="68"/>
      <c r="P24" s="68"/>
      <c r="Q24" s="68"/>
      <c r="R24" s="43"/>
    </row>
    <row r="25" spans="1:18" s="93" customFormat="1" ht="17.5">
      <c r="A25" s="35"/>
      <c r="B25" s="349"/>
      <c r="C25" s="206" t="s">
        <v>168</v>
      </c>
      <c r="D25" s="308"/>
      <c r="E25" s="313">
        <v>100</v>
      </c>
      <c r="F25" s="231">
        <f>'Component List'!D31</f>
        <v>56.58</v>
      </c>
      <c r="G25" s="287">
        <v>50</v>
      </c>
      <c r="H25" s="292">
        <f t="shared" si="0"/>
        <v>0</v>
      </c>
      <c r="I25" s="264"/>
      <c r="J25" s="269"/>
      <c r="K25" s="269"/>
      <c r="L25" s="269"/>
      <c r="M25" s="269"/>
      <c r="N25" s="68"/>
      <c r="O25" s="68"/>
      <c r="P25" s="68"/>
      <c r="Q25" s="68"/>
      <c r="R25" s="43"/>
    </row>
    <row r="26" spans="1:18" s="93" customFormat="1" ht="17.5">
      <c r="A26" s="35"/>
      <c r="B26" s="349"/>
      <c r="C26" s="206" t="s">
        <v>272</v>
      </c>
      <c r="D26" s="308"/>
      <c r="E26" s="297" t="s">
        <v>20</v>
      </c>
      <c r="F26" s="231">
        <f>'Component List'!D37</f>
        <v>59.48</v>
      </c>
      <c r="G26" s="287">
        <v>50</v>
      </c>
      <c r="H26" s="292">
        <f t="shared" si="0"/>
        <v>0</v>
      </c>
      <c r="I26" s="264"/>
      <c r="J26" s="269"/>
      <c r="K26" s="269"/>
      <c r="L26" s="269"/>
      <c r="M26" s="269"/>
      <c r="N26" s="68"/>
      <c r="O26" s="68"/>
      <c r="P26" s="68"/>
      <c r="Q26" s="68"/>
      <c r="R26" s="43"/>
    </row>
    <row r="27" spans="1:18" s="93" customFormat="1" ht="17.5">
      <c r="A27" s="35"/>
      <c r="B27" s="349"/>
      <c r="C27" s="206" t="s">
        <v>169</v>
      </c>
      <c r="D27" s="308"/>
      <c r="E27" s="313">
        <v>100</v>
      </c>
      <c r="F27" s="231">
        <f>'Component List'!D32</f>
        <v>70.2</v>
      </c>
      <c r="G27" s="287">
        <v>50</v>
      </c>
      <c r="H27" s="292">
        <f t="shared" si="0"/>
        <v>0</v>
      </c>
      <c r="I27" s="264"/>
      <c r="J27" s="269"/>
      <c r="K27" s="269"/>
      <c r="L27" s="269"/>
      <c r="M27" s="269"/>
      <c r="N27" s="68"/>
      <c r="O27" s="68"/>
      <c r="P27" s="68"/>
      <c r="Q27" s="68"/>
      <c r="R27" s="43"/>
    </row>
    <row r="28" spans="1:18" s="93" customFormat="1" ht="17.5">
      <c r="A28" s="35"/>
      <c r="B28" s="349"/>
      <c r="C28" s="206" t="s">
        <v>269</v>
      </c>
      <c r="D28" s="308"/>
      <c r="E28" s="313">
        <v>100</v>
      </c>
      <c r="F28" s="231">
        <f>'Component List'!D33</f>
        <v>117.6</v>
      </c>
      <c r="G28" s="287">
        <v>50</v>
      </c>
      <c r="H28" s="292">
        <f t="shared" si="0"/>
        <v>0</v>
      </c>
      <c r="I28" s="264"/>
      <c r="J28" s="269"/>
      <c r="K28" s="269"/>
      <c r="L28" s="269"/>
      <c r="M28" s="269"/>
      <c r="N28" s="68"/>
      <c r="O28" s="68"/>
      <c r="P28" s="68"/>
      <c r="Q28" s="68"/>
      <c r="R28" s="43"/>
    </row>
    <row r="29" spans="1:18" s="93" customFormat="1" ht="17.5">
      <c r="A29" s="35"/>
      <c r="B29" s="349"/>
      <c r="C29" s="206" t="s">
        <v>270</v>
      </c>
      <c r="D29" s="308"/>
      <c r="E29" s="313">
        <v>100</v>
      </c>
      <c r="F29" s="231">
        <f>'Component List'!D34</f>
        <v>200</v>
      </c>
      <c r="G29" s="287">
        <v>50</v>
      </c>
      <c r="H29" s="292">
        <f t="shared" si="0"/>
        <v>0</v>
      </c>
      <c r="I29" s="264"/>
      <c r="J29" s="269"/>
      <c r="K29" s="269"/>
      <c r="L29" s="269"/>
      <c r="M29" s="269"/>
      <c r="N29" s="68"/>
      <c r="O29" s="68"/>
      <c r="P29" s="68"/>
      <c r="Q29" s="68"/>
      <c r="R29" s="43"/>
    </row>
    <row r="30" spans="1:18" s="93" customFormat="1" ht="17.5">
      <c r="A30" s="35"/>
      <c r="B30" s="349"/>
      <c r="C30" s="206" t="s">
        <v>48</v>
      </c>
      <c r="D30" s="308"/>
      <c r="E30" s="297" t="s">
        <v>248</v>
      </c>
      <c r="F30" s="231">
        <f>'Component List'!D41</f>
        <v>85</v>
      </c>
      <c r="G30" s="287">
        <v>50</v>
      </c>
      <c r="H30" s="292">
        <f t="shared" si="0"/>
        <v>0</v>
      </c>
      <c r="I30" s="264"/>
      <c r="J30" s="269"/>
      <c r="K30" s="269"/>
      <c r="L30" s="269"/>
      <c r="M30" s="269"/>
      <c r="N30" s="68"/>
      <c r="O30" s="68"/>
      <c r="P30" s="68"/>
      <c r="Q30" s="68"/>
      <c r="R30" s="43"/>
    </row>
    <row r="31" spans="1:18" s="93" customFormat="1" ht="17.5">
      <c r="A31" s="35"/>
      <c r="B31" s="349"/>
      <c r="C31" s="206" t="s">
        <v>46</v>
      </c>
      <c r="D31" s="308"/>
      <c r="E31" s="297" t="s">
        <v>47</v>
      </c>
      <c r="F31" s="231">
        <f>'Component List'!D40</f>
        <v>35.26</v>
      </c>
      <c r="G31" s="287">
        <v>50</v>
      </c>
      <c r="H31" s="292">
        <f t="shared" si="0"/>
        <v>0</v>
      </c>
      <c r="I31" s="264"/>
      <c r="J31" s="269"/>
      <c r="K31" s="269"/>
      <c r="L31" s="269"/>
      <c r="M31" s="269"/>
      <c r="N31" s="68"/>
      <c r="O31" s="68"/>
      <c r="P31" s="68"/>
      <c r="Q31" s="68"/>
      <c r="R31" s="43"/>
    </row>
    <row r="32" spans="1:18" s="93" customFormat="1" ht="17.5">
      <c r="A32" s="35"/>
      <c r="B32" s="349"/>
      <c r="C32" s="206" t="s">
        <v>49</v>
      </c>
      <c r="D32" s="308"/>
      <c r="E32" s="297" t="s">
        <v>20</v>
      </c>
      <c r="F32" s="231">
        <f>'Component List'!D42</f>
        <v>46.42</v>
      </c>
      <c r="G32" s="287">
        <v>50</v>
      </c>
      <c r="H32" s="292">
        <f t="shared" si="0"/>
        <v>0</v>
      </c>
      <c r="I32" s="264"/>
      <c r="J32" s="269"/>
      <c r="K32" s="269"/>
      <c r="L32" s="269"/>
      <c r="M32" s="269"/>
      <c r="N32" s="68"/>
      <c r="O32" s="68"/>
      <c r="P32" s="68"/>
      <c r="Q32" s="68"/>
      <c r="R32" s="43"/>
    </row>
    <row r="33" spans="1:18" ht="17.5">
      <c r="A33" s="12"/>
      <c r="B33" s="347"/>
      <c r="C33" s="206" t="s">
        <v>271</v>
      </c>
      <c r="D33" s="308"/>
      <c r="E33" s="313">
        <v>100</v>
      </c>
      <c r="F33" s="231">
        <f>'Component List'!D35</f>
        <v>214.5</v>
      </c>
      <c r="G33" s="287">
        <v>50</v>
      </c>
      <c r="H33" s="231">
        <f t="shared" si="0"/>
        <v>0</v>
      </c>
      <c r="I33" s="270"/>
      <c r="J33" s="264"/>
      <c r="K33" s="264"/>
      <c r="L33" s="264"/>
      <c r="M33" s="264"/>
      <c r="N33" s="28"/>
      <c r="O33" s="28"/>
      <c r="P33" s="28"/>
      <c r="Q33" s="28"/>
      <c r="R33" s="13"/>
    </row>
    <row r="34" spans="1:18" ht="17.5">
      <c r="A34" s="12"/>
      <c r="B34" s="347"/>
      <c r="C34" s="206" t="s">
        <v>273</v>
      </c>
      <c r="D34" s="308"/>
      <c r="E34" s="297" t="s">
        <v>15</v>
      </c>
      <c r="F34" s="231">
        <f>'Component List'!D38</f>
        <v>41.32</v>
      </c>
      <c r="G34" s="287">
        <v>50</v>
      </c>
      <c r="H34" s="231">
        <f t="shared" si="0"/>
        <v>0</v>
      </c>
      <c r="I34" s="264"/>
      <c r="J34" s="264"/>
      <c r="K34" s="264"/>
      <c r="L34" s="264"/>
      <c r="M34" s="264"/>
      <c r="N34" s="28"/>
      <c r="O34" s="28"/>
      <c r="P34" s="28"/>
      <c r="Q34" s="28"/>
      <c r="R34" s="13"/>
    </row>
    <row r="35" spans="1:18" ht="17.5">
      <c r="A35" s="12"/>
      <c r="B35" s="347"/>
      <c r="C35" s="206" t="s">
        <v>225</v>
      </c>
      <c r="D35" s="308"/>
      <c r="E35" s="297" t="s">
        <v>28</v>
      </c>
      <c r="F35" s="231">
        <f>'Component List'!D39</f>
        <v>6.38</v>
      </c>
      <c r="G35" s="287">
        <v>50</v>
      </c>
      <c r="H35" s="231">
        <f t="shared" si="0"/>
        <v>0</v>
      </c>
      <c r="I35" s="264"/>
      <c r="J35" s="264"/>
      <c r="K35" s="264"/>
      <c r="L35" s="264"/>
      <c r="M35" s="264"/>
      <c r="N35" s="28"/>
      <c r="O35" s="28"/>
      <c r="P35" s="28"/>
      <c r="Q35" s="28"/>
      <c r="R35" s="13"/>
    </row>
    <row r="36" spans="1:18" ht="17.5">
      <c r="A36" s="12"/>
      <c r="B36" s="347"/>
      <c r="C36" s="206" t="s">
        <v>264</v>
      </c>
      <c r="D36" s="308"/>
      <c r="E36" s="297" t="s">
        <v>20</v>
      </c>
      <c r="F36" s="231">
        <f>'Component List'!D49</f>
        <v>0</v>
      </c>
      <c r="G36" s="287">
        <v>50</v>
      </c>
      <c r="H36" s="231">
        <f t="shared" si="0"/>
        <v>0</v>
      </c>
      <c r="I36" s="264"/>
      <c r="J36" s="264"/>
      <c r="K36" s="264"/>
      <c r="L36" s="264"/>
      <c r="M36" s="264"/>
      <c r="N36" s="28"/>
      <c r="O36" s="28"/>
      <c r="P36" s="28"/>
      <c r="Q36" s="28"/>
      <c r="R36" s="13"/>
    </row>
    <row r="37" spans="1:18" ht="17.5">
      <c r="A37" s="12"/>
      <c r="B37" s="347"/>
      <c r="C37" s="206" t="s">
        <v>14</v>
      </c>
      <c r="D37" s="308"/>
      <c r="E37" s="297" t="s">
        <v>15</v>
      </c>
      <c r="F37" s="231">
        <f>'Component List'!D50</f>
        <v>0</v>
      </c>
      <c r="G37" s="287">
        <v>50</v>
      </c>
      <c r="H37" s="231">
        <f t="shared" si="0"/>
        <v>0</v>
      </c>
      <c r="I37" s="264"/>
      <c r="J37" s="264"/>
      <c r="K37" s="264"/>
      <c r="L37" s="264"/>
      <c r="M37" s="264"/>
      <c r="N37" s="28"/>
      <c r="O37" s="28"/>
      <c r="P37" s="28"/>
      <c r="Q37" s="28"/>
      <c r="R37" s="13"/>
    </row>
    <row r="38" spans="1:18" ht="17.5">
      <c r="A38" s="12"/>
      <c r="B38" s="347"/>
      <c r="C38" s="206" t="s">
        <v>265</v>
      </c>
      <c r="D38" s="308"/>
      <c r="E38" s="297" t="s">
        <v>23</v>
      </c>
      <c r="F38" s="231">
        <f>'Component List'!D51</f>
        <v>0</v>
      </c>
      <c r="G38" s="287">
        <v>50</v>
      </c>
      <c r="H38" s="231">
        <f t="shared" si="0"/>
        <v>0</v>
      </c>
      <c r="I38" s="264"/>
      <c r="J38" s="264"/>
      <c r="K38" s="264"/>
      <c r="L38" s="264"/>
      <c r="M38" s="264"/>
      <c r="N38" s="28"/>
      <c r="O38" s="28"/>
      <c r="P38" s="28"/>
      <c r="Q38" s="28"/>
      <c r="R38" s="13"/>
    </row>
    <row r="39" spans="1:18" ht="17.5">
      <c r="A39" s="12"/>
      <c r="B39" s="347"/>
      <c r="C39" s="206" t="s">
        <v>266</v>
      </c>
      <c r="D39" s="308"/>
      <c r="E39" s="297" t="s">
        <v>22</v>
      </c>
      <c r="F39" s="231">
        <f>'Component List'!D52</f>
        <v>0</v>
      </c>
      <c r="G39" s="287">
        <v>50</v>
      </c>
      <c r="H39" s="231">
        <f t="shared" si="0"/>
        <v>0</v>
      </c>
      <c r="I39" s="264"/>
      <c r="J39" s="264"/>
      <c r="K39" s="264"/>
      <c r="L39" s="264"/>
      <c r="M39" s="264"/>
      <c r="N39" s="28"/>
      <c r="O39" s="28"/>
      <c r="P39" s="28"/>
      <c r="Q39" s="28"/>
      <c r="R39" s="13"/>
    </row>
    <row r="40" spans="1:18" ht="17.5">
      <c r="A40" s="12"/>
      <c r="B40" s="347"/>
      <c r="C40" s="206" t="s">
        <v>267</v>
      </c>
      <c r="D40" s="308"/>
      <c r="E40" s="297" t="s">
        <v>23</v>
      </c>
      <c r="F40" s="293">
        <f>'Component List'!D53</f>
        <v>0</v>
      </c>
      <c r="G40" s="287">
        <v>50</v>
      </c>
      <c r="H40" s="231">
        <f t="shared" si="0"/>
        <v>0</v>
      </c>
      <c r="I40" s="264"/>
      <c r="J40" s="264"/>
      <c r="K40" s="264"/>
      <c r="L40" s="264"/>
      <c r="M40" s="264"/>
      <c r="N40" s="28"/>
      <c r="O40" s="28"/>
      <c r="P40" s="28"/>
      <c r="Q40" s="28"/>
      <c r="R40" s="13"/>
    </row>
    <row r="41" spans="1:18" ht="17.5">
      <c r="A41" s="12"/>
      <c r="B41" s="347"/>
      <c r="C41" s="206" t="s">
        <v>268</v>
      </c>
      <c r="D41" s="308"/>
      <c r="E41" s="297" t="s">
        <v>22</v>
      </c>
      <c r="F41" s="293">
        <f>'Component List'!D57</f>
        <v>0</v>
      </c>
      <c r="G41" s="287">
        <v>50</v>
      </c>
      <c r="H41" s="231">
        <f t="shared" si="0"/>
        <v>0</v>
      </c>
      <c r="I41" s="264"/>
      <c r="J41" s="264"/>
      <c r="K41" s="264"/>
      <c r="L41" s="264"/>
      <c r="M41" s="264"/>
      <c r="N41" s="28"/>
      <c r="O41" s="28"/>
      <c r="P41" s="28"/>
      <c r="Q41" s="28"/>
      <c r="R41" s="13"/>
    </row>
    <row r="42" spans="1:18" ht="15.5">
      <c r="A42" s="456" t="s">
        <v>89</v>
      </c>
      <c r="B42" s="457"/>
      <c r="C42" s="458"/>
      <c r="D42" s="286"/>
      <c r="E42" s="280"/>
      <c r="F42" s="265"/>
      <c r="G42" s="281"/>
      <c r="H42" s="271">
        <f t="shared" ref="H42:M42" si="1">SUM(H15:H41)</f>
        <v>0</v>
      </c>
      <c r="I42" s="271">
        <f t="shared" si="1"/>
        <v>0</v>
      </c>
      <c r="J42" s="271">
        <f t="shared" si="1"/>
        <v>0</v>
      </c>
      <c r="K42" s="271">
        <f t="shared" si="1"/>
        <v>0</v>
      </c>
      <c r="L42" s="271">
        <f t="shared" si="1"/>
        <v>0</v>
      </c>
      <c r="M42" s="271">
        <f t="shared" si="1"/>
        <v>0</v>
      </c>
      <c r="N42" s="23"/>
      <c r="O42" s="23"/>
      <c r="P42" s="23"/>
      <c r="Q42" s="23"/>
      <c r="R42" s="25"/>
    </row>
    <row r="43" spans="1:18" ht="15.5">
      <c r="A43" s="110" t="str">
        <f>IF(AE72,AE74,"")</f>
        <v/>
      </c>
      <c r="B43" s="162"/>
      <c r="C43" s="162"/>
      <c r="D43" s="162"/>
      <c r="E43" s="162"/>
      <c r="F43" s="162"/>
      <c r="G43" s="162"/>
      <c r="H43" s="162"/>
      <c r="I43" s="162"/>
      <c r="J43" s="162"/>
      <c r="K43" s="162"/>
      <c r="L43" s="162"/>
      <c r="M43" s="162"/>
      <c r="N43" s="162"/>
      <c r="O43" s="162"/>
      <c r="P43" s="162"/>
      <c r="Q43" s="162"/>
      <c r="R43" s="162"/>
    </row>
    <row r="44" spans="1:18" ht="15.5">
      <c r="A44" s="401" t="s">
        <v>262</v>
      </c>
      <c r="B44" s="402"/>
      <c r="C44" s="402"/>
      <c r="D44" s="402"/>
      <c r="E44" s="402"/>
      <c r="F44" s="402"/>
      <c r="G44" s="402"/>
      <c r="H44" s="402"/>
      <c r="I44" s="402"/>
      <c r="J44" s="402"/>
      <c r="K44" s="402"/>
      <c r="L44" s="402"/>
      <c r="M44" s="402"/>
      <c r="N44" s="402"/>
      <c r="O44" s="402"/>
      <c r="P44" s="402"/>
      <c r="Q44" s="402"/>
      <c r="R44" s="403"/>
    </row>
    <row r="45" spans="1:18" ht="51" customHeight="1">
      <c r="A45" s="393" t="s">
        <v>434</v>
      </c>
      <c r="B45" s="394"/>
      <c r="C45" s="394"/>
      <c r="D45" s="394"/>
      <c r="E45" s="394"/>
      <c r="F45" s="394"/>
      <c r="G45" s="394"/>
      <c r="H45" s="394"/>
      <c r="I45" s="394"/>
      <c r="J45" s="394"/>
      <c r="K45" s="394"/>
      <c r="L45" s="394"/>
      <c r="M45" s="394"/>
      <c r="N45" s="394"/>
      <c r="O45" s="394"/>
      <c r="P45" s="394"/>
      <c r="Q45" s="394"/>
      <c r="R45" s="395"/>
    </row>
    <row r="46" spans="1:18" ht="15.5">
      <c r="A46" s="460" t="s">
        <v>390</v>
      </c>
      <c r="B46" s="461"/>
      <c r="C46" s="461"/>
      <c r="D46" s="461"/>
      <c r="E46" s="461"/>
      <c r="F46" s="461"/>
      <c r="G46" s="461"/>
      <c r="H46" s="461"/>
      <c r="I46" s="461"/>
      <c r="J46" s="461"/>
      <c r="K46" s="461"/>
      <c r="L46" s="461"/>
      <c r="M46" s="461"/>
      <c r="N46" s="461"/>
      <c r="O46" s="461"/>
      <c r="P46" s="461"/>
      <c r="Q46" s="461"/>
      <c r="R46" s="462"/>
    </row>
    <row r="47" spans="1:18" ht="56.25" customHeight="1">
      <c r="A47" s="463" t="s">
        <v>392</v>
      </c>
      <c r="B47" s="464"/>
      <c r="C47" s="464"/>
      <c r="D47" s="464"/>
      <c r="E47" s="464"/>
      <c r="F47" s="464"/>
      <c r="G47" s="464"/>
      <c r="H47" s="464"/>
      <c r="I47" s="464"/>
      <c r="J47" s="464"/>
      <c r="K47" s="464"/>
      <c r="L47" s="464"/>
      <c r="M47" s="464"/>
      <c r="N47" s="464"/>
      <c r="O47" s="464"/>
      <c r="P47" s="464"/>
      <c r="Q47" s="464"/>
      <c r="R47" s="465"/>
    </row>
    <row r="48" spans="1:18" ht="15.5">
      <c r="A48" s="413" t="s">
        <v>221</v>
      </c>
      <c r="B48" s="414"/>
      <c r="C48" s="414"/>
      <c r="D48" s="414"/>
      <c r="E48" s="414"/>
      <c r="F48" s="414"/>
      <c r="G48" s="414"/>
      <c r="H48" s="414"/>
      <c r="I48" s="414"/>
      <c r="J48" s="414"/>
      <c r="K48" s="414"/>
      <c r="L48" s="414"/>
      <c r="M48" s="414"/>
      <c r="N48" s="414"/>
      <c r="O48" s="414"/>
      <c r="P48" s="414"/>
      <c r="Q48" s="414"/>
      <c r="R48" s="415"/>
    </row>
    <row r="49" spans="1:18" ht="70.5" customHeight="1">
      <c r="A49" s="396" t="s">
        <v>370</v>
      </c>
      <c r="B49" s="397"/>
      <c r="C49" s="397"/>
      <c r="D49" s="397"/>
      <c r="E49" s="397"/>
      <c r="F49" s="397"/>
      <c r="G49" s="397"/>
      <c r="H49" s="397"/>
      <c r="I49" s="397"/>
      <c r="J49" s="397"/>
      <c r="K49" s="397"/>
      <c r="L49" s="397"/>
      <c r="M49" s="397"/>
      <c r="N49" s="397"/>
      <c r="O49" s="397"/>
      <c r="P49" s="397"/>
      <c r="Q49" s="397"/>
      <c r="R49"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46:R46"/>
    <mergeCell ref="A47:R47"/>
    <mergeCell ref="A48:R48"/>
    <mergeCell ref="A49:R49"/>
    <mergeCell ref="H9:Q9"/>
    <mergeCell ref="R9:R13"/>
    <mergeCell ref="H10:Q10"/>
    <mergeCell ref="A42:C42"/>
    <mergeCell ref="A44:R44"/>
    <mergeCell ref="A45:R45"/>
  </mergeCells>
  <dataValidations count="3">
    <dataValidation type="list" allowBlank="1" showInputMessage="1" showErrorMessage="1" promptTitle="Choose Management" sqref="C41">
      <formula1>$AE$60:$AE$69</formula1>
    </dataValidation>
    <dataValidation type="list" allowBlank="1" showInputMessage="1" showErrorMessage="1" promptTitle="Choose Management" sqref="C38:C39">
      <formula1>$AE$40:$AE$47</formula1>
    </dataValidation>
    <dataValidation type="list" allowBlank="1" showInputMessage="1" showErrorMessage="1" promptTitle="Choose Management" sqref="C40">
      <formula1>$AE$48:$AE$57</formula1>
    </dataValidation>
  </dataValidations>
  <pageMargins left="0.24" right="0.18" top="0.26" bottom="0.44" header="0.17" footer="0.18"/>
  <pageSetup scale="53"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3</xdr:col>
                    <xdr:colOff>177800</xdr:colOff>
                    <xdr:row>0</xdr:row>
                    <xdr:rowOff>12700</xdr:rowOff>
                  </from>
                  <to>
                    <xdr:col>3</xdr:col>
                    <xdr:colOff>381000</xdr:colOff>
                    <xdr:row>1</xdr:row>
                    <xdr:rowOff>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7</xdr:col>
                    <xdr:colOff>209550</xdr:colOff>
                    <xdr:row>0</xdr:row>
                    <xdr:rowOff>12700</xdr:rowOff>
                  </from>
                  <to>
                    <xdr:col>8</xdr:col>
                    <xdr:colOff>38100</xdr:colOff>
                    <xdr:row>0</xdr:row>
                    <xdr:rowOff>152400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R23"/>
  <sheetViews>
    <sheetView zoomScale="63" zoomScaleNormal="63" workbookViewId="0">
      <selection activeCell="D15" sqref="D15"/>
    </sheetView>
  </sheetViews>
  <sheetFormatPr defaultRowHeight="12.5"/>
  <cols>
    <col min="3" max="3" width="70.7265625" customWidth="1"/>
    <col min="4" max="4" width="12.7265625" customWidth="1"/>
    <col min="6" max="6" width="10.7265625" customWidth="1"/>
    <col min="7" max="7" width="11.453125" customWidth="1"/>
    <col min="8" max="8" width="14.1796875" customWidth="1"/>
    <col min="9" max="9" width="12.54296875" customWidth="1"/>
    <col min="10" max="10" width="13.453125" customWidth="1"/>
    <col min="11" max="12" width="13" customWidth="1"/>
    <col min="14" max="14" width="7.26953125" customWidth="1"/>
    <col min="15" max="15" width="6.81640625" customWidth="1"/>
    <col min="16" max="16" width="6" customWidth="1"/>
    <col min="17" max="17" width="5.7265625" customWidth="1"/>
    <col min="18" max="18" width="5.5429687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4"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8.75" customHeight="1">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ht="17.25" customHeight="1">
      <c r="A6" s="466"/>
      <c r="B6" s="466"/>
      <c r="C6" s="466"/>
      <c r="D6" s="466"/>
      <c r="E6" s="466"/>
      <c r="F6" s="466"/>
      <c r="G6" s="466"/>
      <c r="H6" s="466"/>
      <c r="I6" s="466"/>
      <c r="J6" s="466"/>
      <c r="K6" s="466"/>
      <c r="L6" s="466"/>
      <c r="M6" s="466"/>
      <c r="N6" s="466"/>
      <c r="O6" s="466"/>
      <c r="P6" s="466"/>
      <c r="Q6" s="466"/>
      <c r="R6" s="466"/>
    </row>
    <row r="7" spans="1:18" ht="90.75" customHeight="1">
      <c r="A7" s="467" t="s">
        <v>485</v>
      </c>
      <c r="B7" s="468"/>
      <c r="C7" s="468"/>
      <c r="D7" s="468"/>
      <c r="E7" s="468"/>
      <c r="F7" s="468"/>
      <c r="G7" s="468"/>
      <c r="H7" s="468"/>
      <c r="I7" s="468"/>
      <c r="J7" s="468"/>
      <c r="K7" s="468"/>
      <c r="L7" s="468"/>
      <c r="M7" s="468"/>
      <c r="N7" s="468"/>
      <c r="O7" s="468"/>
      <c r="P7" s="468"/>
      <c r="Q7" s="468"/>
      <c r="R7" s="469"/>
    </row>
    <row r="8" spans="1:18" ht="12.75" customHeight="1">
      <c r="A8" s="470"/>
      <c r="B8" s="470"/>
      <c r="C8" s="470"/>
      <c r="D8" s="470"/>
      <c r="E8" s="470"/>
      <c r="F8" s="470"/>
      <c r="G8" s="470"/>
      <c r="H8" s="470"/>
      <c r="I8" s="470"/>
      <c r="J8" s="470"/>
      <c r="K8" s="470"/>
      <c r="L8" s="470"/>
      <c r="M8" s="470"/>
      <c r="N8" s="470"/>
      <c r="O8" s="470"/>
      <c r="P8" s="470"/>
      <c r="Q8" s="470"/>
      <c r="R8" s="470"/>
    </row>
    <row r="9" spans="1:18" ht="15" customHeight="1">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ht="15" customHeight="1">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7.2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75" customHeight="1">
      <c r="A18" s="401" t="s">
        <v>262</v>
      </c>
      <c r="B18" s="402"/>
      <c r="C18" s="402"/>
      <c r="D18" s="402"/>
      <c r="E18" s="402"/>
      <c r="F18" s="402"/>
      <c r="G18" s="402"/>
      <c r="H18" s="402"/>
      <c r="I18" s="402"/>
      <c r="J18" s="402"/>
      <c r="K18" s="402"/>
      <c r="L18" s="402"/>
      <c r="M18" s="402"/>
      <c r="N18" s="402"/>
      <c r="O18" s="402"/>
      <c r="P18" s="402"/>
      <c r="Q18" s="402"/>
      <c r="R18" s="403"/>
    </row>
    <row r="19" spans="1:18" ht="46.5" customHeight="1">
      <c r="A19" s="393" t="s">
        <v>434</v>
      </c>
      <c r="B19" s="394"/>
      <c r="C19" s="394"/>
      <c r="D19" s="394"/>
      <c r="E19" s="394"/>
      <c r="F19" s="394"/>
      <c r="G19" s="394"/>
      <c r="H19" s="394"/>
      <c r="I19" s="394"/>
      <c r="J19" s="394"/>
      <c r="K19" s="394"/>
      <c r="L19" s="394"/>
      <c r="M19" s="394"/>
      <c r="N19" s="394"/>
      <c r="O19" s="394"/>
      <c r="P19" s="394"/>
      <c r="Q19" s="394"/>
      <c r="R19" s="395"/>
    </row>
    <row r="20" spans="1:18" ht="17.25" customHeight="1">
      <c r="A20" s="460" t="s">
        <v>390</v>
      </c>
      <c r="B20" s="461"/>
      <c r="C20" s="461"/>
      <c r="D20" s="461"/>
      <c r="E20" s="461"/>
      <c r="F20" s="461"/>
      <c r="G20" s="461"/>
      <c r="H20" s="461"/>
      <c r="I20" s="461"/>
      <c r="J20" s="461"/>
      <c r="K20" s="461"/>
      <c r="L20" s="461"/>
      <c r="M20" s="461"/>
      <c r="N20" s="461"/>
      <c r="O20" s="461"/>
      <c r="P20" s="461"/>
      <c r="Q20" s="461"/>
      <c r="R20" s="462"/>
    </row>
    <row r="21" spans="1:18" ht="45.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6"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2:R22"/>
    <mergeCell ref="A23:R23"/>
    <mergeCell ref="M5:R5"/>
    <mergeCell ref="A8:R8"/>
    <mergeCell ref="A9:A13"/>
    <mergeCell ref="B9:B13"/>
    <mergeCell ref="C9:C13"/>
    <mergeCell ref="D9:D13"/>
    <mergeCell ref="E9:E13"/>
    <mergeCell ref="F9:F13"/>
    <mergeCell ref="G9:G13"/>
    <mergeCell ref="R9:R13"/>
    <mergeCell ref="A19:R19"/>
    <mergeCell ref="A20:R20"/>
    <mergeCell ref="A21:R21"/>
    <mergeCell ref="J5:L5"/>
    <mergeCell ref="A18:R18"/>
    <mergeCell ref="H10:Q10"/>
    <mergeCell ref="A16:C16"/>
    <mergeCell ref="A6:R6"/>
    <mergeCell ref="A7:R7"/>
    <mergeCell ref="J4:L4"/>
    <mergeCell ref="M4:R4"/>
    <mergeCell ref="A1:C1"/>
    <mergeCell ref="F2:I2"/>
    <mergeCell ref="H9:Q9"/>
    <mergeCell ref="A2:C2"/>
    <mergeCell ref="F3:I3"/>
    <mergeCell ref="A5:C5"/>
    <mergeCell ref="D5:G5"/>
    <mergeCell ref="H5:I5"/>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3297" r:id="rId3" name="Check Box 1">
              <controlPr defaultSize="0" autoFill="0" autoLine="0" autoPict="0">
                <anchor moveWithCells="1">
                  <from>
                    <xdr:col>3</xdr:col>
                    <xdr:colOff>171450</xdr:colOff>
                    <xdr:row>0</xdr:row>
                    <xdr:rowOff>12700</xdr:rowOff>
                  </from>
                  <to>
                    <xdr:col>4</xdr:col>
                    <xdr:colOff>152400</xdr:colOff>
                    <xdr:row>0</xdr:row>
                    <xdr:rowOff>146050</xdr:rowOff>
                  </to>
                </anchor>
              </controlPr>
            </control>
          </mc:Choice>
        </mc:AlternateContent>
        <mc:AlternateContent xmlns:mc="http://schemas.openxmlformats.org/markup-compatibility/2006">
          <mc:Choice Requires="x14">
            <control shapeId="183298" r:id="rId4" name="Check Box 2">
              <controlPr defaultSize="0" autoFill="0" autoLine="0" autoPict="0">
                <anchor moveWithCells="1">
                  <from>
                    <xdr:col>7</xdr:col>
                    <xdr:colOff>222250</xdr:colOff>
                    <xdr:row>0</xdr:row>
                    <xdr:rowOff>12700</xdr:rowOff>
                  </from>
                  <to>
                    <xdr:col>8</xdr:col>
                    <xdr:colOff>152400</xdr:colOff>
                    <xdr:row>0</xdr:row>
                    <xdr:rowOff>139700</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1">
    <pageSetUpPr fitToPage="1"/>
  </sheetPr>
  <dimension ref="A1:R32"/>
  <sheetViews>
    <sheetView zoomScale="55" zoomScaleNormal="55" workbookViewId="0">
      <selection activeCell="D15" sqref="D15"/>
    </sheetView>
  </sheetViews>
  <sheetFormatPr defaultRowHeight="12.5"/>
  <cols>
    <col min="3" max="3" width="66.1796875" customWidth="1"/>
    <col min="4" max="4" width="13.453125" customWidth="1"/>
    <col min="6" max="6" width="9.81640625" customWidth="1"/>
    <col min="7" max="7" width="12" customWidth="1"/>
    <col min="8" max="8" width="14" customWidth="1"/>
    <col min="10" max="10" width="15.81640625" customWidth="1"/>
    <col min="11" max="11" width="14.26953125" customWidth="1"/>
    <col min="12" max="12" width="13.54296875" customWidth="1"/>
    <col min="14" max="14" width="6.26953125" customWidth="1"/>
    <col min="15" max="15" width="8" customWidth="1"/>
    <col min="16" max="16" width="7.26953125" customWidth="1"/>
    <col min="17" max="17" width="7.1796875" customWidth="1"/>
    <col min="18" max="18" width="7.269531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48.5" customHeight="1">
      <c r="A7" s="467" t="s">
        <v>486</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v>
      </c>
      <c r="D15" s="308"/>
      <c r="E15" s="297" t="s">
        <v>22</v>
      </c>
      <c r="F15" s="231">
        <f>'Component List'!D48</f>
        <v>0</v>
      </c>
      <c r="G15" s="287">
        <v>50</v>
      </c>
      <c r="H15" s="231">
        <f>F15*G15/100</f>
        <v>0</v>
      </c>
      <c r="I15" s="264"/>
      <c r="J15" s="264"/>
      <c r="K15" s="264"/>
      <c r="L15" s="264"/>
      <c r="M15" s="264"/>
      <c r="N15" s="28"/>
      <c r="O15" s="28"/>
      <c r="P15" s="28"/>
      <c r="Q15" s="28"/>
      <c r="R15" s="13"/>
    </row>
    <row r="16" spans="1:18" ht="18">
      <c r="A16" s="64"/>
      <c r="B16" s="64"/>
      <c r="C16" s="242" t="s">
        <v>297</v>
      </c>
      <c r="D16" s="267"/>
      <c r="E16" s="299"/>
      <c r="F16" s="231"/>
      <c r="G16" s="287"/>
      <c r="H16" s="231"/>
      <c r="I16" s="264"/>
      <c r="J16" s="264"/>
      <c r="K16" s="264"/>
      <c r="L16" s="264"/>
      <c r="M16" s="264"/>
      <c r="N16" s="28"/>
      <c r="O16" s="28"/>
      <c r="P16" s="28"/>
      <c r="Q16" s="28"/>
      <c r="R16" s="13"/>
    </row>
    <row r="17" spans="1:18" ht="17.5">
      <c r="A17" s="12"/>
      <c r="B17" s="347"/>
      <c r="C17" s="206" t="s">
        <v>160</v>
      </c>
      <c r="D17" s="308"/>
      <c r="E17" s="297" t="s">
        <v>20</v>
      </c>
      <c r="F17" s="231">
        <f>'Component List'!D2</f>
        <v>1.6399999999999997</v>
      </c>
      <c r="G17" s="287">
        <v>50</v>
      </c>
      <c r="H17" s="231">
        <f t="shared" ref="H17:H24" si="0">D17*F17*G17/100</f>
        <v>0</v>
      </c>
      <c r="I17" s="264"/>
      <c r="J17" s="264"/>
      <c r="K17" s="264"/>
      <c r="L17" s="264"/>
      <c r="M17" s="264"/>
      <c r="N17" s="28"/>
      <c r="O17" s="28"/>
      <c r="P17" s="28"/>
      <c r="Q17" s="28"/>
      <c r="R17" s="13"/>
    </row>
    <row r="18" spans="1:18" ht="17.5">
      <c r="A18" s="12"/>
      <c r="B18" s="347"/>
      <c r="C18" s="206" t="s">
        <v>159</v>
      </c>
      <c r="D18" s="308"/>
      <c r="E18" s="297" t="s">
        <v>20</v>
      </c>
      <c r="F18" s="231">
        <f>'Component List'!D3</f>
        <v>0</v>
      </c>
      <c r="G18" s="287">
        <v>50</v>
      </c>
      <c r="H18" s="231">
        <f t="shared" si="0"/>
        <v>0</v>
      </c>
      <c r="I18" s="264"/>
      <c r="J18" s="264"/>
      <c r="K18" s="264"/>
      <c r="L18" s="264"/>
      <c r="M18" s="264"/>
      <c r="N18" s="28"/>
      <c r="O18" s="28"/>
      <c r="P18" s="28"/>
      <c r="Q18" s="28"/>
      <c r="R18" s="13"/>
    </row>
    <row r="19" spans="1:18" ht="17.5">
      <c r="A19" s="12"/>
      <c r="B19" s="347"/>
      <c r="C19" s="206" t="s">
        <v>161</v>
      </c>
      <c r="D19" s="308"/>
      <c r="E19" s="297" t="s">
        <v>20</v>
      </c>
      <c r="F19" s="231">
        <f>'Component List'!D4</f>
        <v>80.06</v>
      </c>
      <c r="G19" s="287">
        <v>50</v>
      </c>
      <c r="H19" s="231">
        <f>D19*F19*G19/100</f>
        <v>0</v>
      </c>
      <c r="I19" s="264"/>
      <c r="J19" s="264"/>
      <c r="K19" s="264"/>
      <c r="L19" s="264"/>
      <c r="M19" s="264"/>
      <c r="N19" s="28"/>
      <c r="O19" s="28"/>
      <c r="P19" s="28"/>
      <c r="Q19" s="28"/>
      <c r="R19" s="13"/>
    </row>
    <row r="20" spans="1:18" ht="17.5">
      <c r="A20" s="12"/>
      <c r="B20" s="347"/>
      <c r="C20" s="206" t="s">
        <v>302</v>
      </c>
      <c r="D20" s="308"/>
      <c r="E20" s="297" t="s">
        <v>20</v>
      </c>
      <c r="F20" s="231">
        <f>'Component List'!D5</f>
        <v>62.6</v>
      </c>
      <c r="G20" s="287">
        <v>50</v>
      </c>
      <c r="H20" s="231">
        <f t="shared" si="0"/>
        <v>0</v>
      </c>
      <c r="I20" s="264"/>
      <c r="J20" s="264"/>
      <c r="K20" s="264"/>
      <c r="L20" s="264"/>
      <c r="M20" s="264"/>
      <c r="N20" s="28"/>
      <c r="O20" s="28"/>
      <c r="P20" s="28"/>
      <c r="Q20" s="28"/>
      <c r="R20" s="13"/>
    </row>
    <row r="21" spans="1:18" ht="17.5">
      <c r="A21" s="35"/>
      <c r="B21" s="349"/>
      <c r="C21" s="206" t="s">
        <v>293</v>
      </c>
      <c r="D21" s="308"/>
      <c r="E21" s="297" t="s">
        <v>20</v>
      </c>
      <c r="F21" s="231">
        <f>'Component List'!D12</f>
        <v>214.1</v>
      </c>
      <c r="G21" s="287">
        <v>50</v>
      </c>
      <c r="H21" s="292">
        <f t="shared" si="0"/>
        <v>0</v>
      </c>
      <c r="I21" s="264"/>
      <c r="J21" s="269"/>
      <c r="K21" s="269"/>
      <c r="L21" s="269"/>
      <c r="M21" s="269"/>
      <c r="N21" s="68"/>
      <c r="O21" s="68"/>
      <c r="P21" s="68"/>
      <c r="Q21" s="68"/>
      <c r="R21" s="43"/>
    </row>
    <row r="22" spans="1:18" ht="17.5">
      <c r="A22" s="12"/>
      <c r="B22" s="347"/>
      <c r="C22" s="206" t="s">
        <v>165</v>
      </c>
      <c r="D22" s="308"/>
      <c r="E22" s="297" t="s">
        <v>20</v>
      </c>
      <c r="F22" s="231">
        <f>'Component List'!D28</f>
        <v>94.14</v>
      </c>
      <c r="G22" s="287">
        <v>50</v>
      </c>
      <c r="H22" s="231">
        <f t="shared" si="0"/>
        <v>0</v>
      </c>
      <c r="I22" s="270"/>
      <c r="J22" s="264"/>
      <c r="K22" s="264"/>
      <c r="L22" s="264"/>
      <c r="M22" s="264"/>
      <c r="N22" s="28"/>
      <c r="O22" s="28"/>
      <c r="P22" s="28"/>
      <c r="Q22" s="28"/>
      <c r="R22" s="13"/>
    </row>
    <row r="23" spans="1:18" ht="17.5">
      <c r="A23" s="12"/>
      <c r="B23" s="347"/>
      <c r="C23" s="206" t="s">
        <v>163</v>
      </c>
      <c r="D23" s="308"/>
      <c r="E23" s="297" t="s">
        <v>20</v>
      </c>
      <c r="F23" s="231">
        <f>'Component List'!D15</f>
        <v>21.78</v>
      </c>
      <c r="G23" s="287">
        <v>50</v>
      </c>
      <c r="H23" s="231">
        <f t="shared" si="0"/>
        <v>0</v>
      </c>
      <c r="I23" s="264"/>
      <c r="J23" s="264"/>
      <c r="K23" s="264"/>
      <c r="L23" s="264"/>
      <c r="M23" s="264"/>
      <c r="N23" s="28"/>
      <c r="O23" s="28"/>
      <c r="P23" s="28"/>
      <c r="Q23" s="28"/>
      <c r="R23" s="13"/>
    </row>
    <row r="24" spans="1:18" ht="17.5">
      <c r="A24" s="12"/>
      <c r="B24" s="347"/>
      <c r="C24" s="207" t="s">
        <v>412</v>
      </c>
      <c r="D24" s="308"/>
      <c r="E24" s="312" t="s">
        <v>20</v>
      </c>
      <c r="F24" s="231">
        <f>'Component List'!D16</f>
        <v>84.42</v>
      </c>
      <c r="G24" s="287">
        <v>50</v>
      </c>
      <c r="H24" s="231">
        <f t="shared" si="0"/>
        <v>0</v>
      </c>
      <c r="I24" s="264"/>
      <c r="J24" s="264"/>
      <c r="K24" s="264"/>
      <c r="L24" s="264"/>
      <c r="M24" s="264"/>
      <c r="N24" s="28"/>
      <c r="O24" s="28"/>
      <c r="P24" s="28"/>
      <c r="Q24" s="28"/>
      <c r="R24" s="13"/>
    </row>
    <row r="25" spans="1:18" ht="15.5">
      <c r="A25" s="456" t="s">
        <v>89</v>
      </c>
      <c r="B25" s="457"/>
      <c r="C25" s="458"/>
      <c r="D25" s="286"/>
      <c r="E25" s="280"/>
      <c r="F25" s="265"/>
      <c r="G25" s="281"/>
      <c r="H25" s="271">
        <f t="shared" ref="H25:M25" si="1">SUM(H15:H24)</f>
        <v>0</v>
      </c>
      <c r="I25" s="271">
        <f t="shared" si="1"/>
        <v>0</v>
      </c>
      <c r="J25" s="271">
        <f t="shared" si="1"/>
        <v>0</v>
      </c>
      <c r="K25" s="271">
        <f t="shared" si="1"/>
        <v>0</v>
      </c>
      <c r="L25" s="271">
        <f t="shared" si="1"/>
        <v>0</v>
      </c>
      <c r="M25" s="271">
        <f t="shared" si="1"/>
        <v>0</v>
      </c>
      <c r="N25" s="23"/>
      <c r="O25" s="23"/>
      <c r="P25" s="23"/>
      <c r="Q25" s="23"/>
      <c r="R25" s="25"/>
    </row>
    <row r="26" spans="1:18" ht="15.5">
      <c r="A26" s="110" t="str">
        <f>IF(AE55,AE57,"")</f>
        <v/>
      </c>
      <c r="B26" s="162"/>
      <c r="C26" s="162"/>
      <c r="D26" s="162"/>
      <c r="E26" s="162"/>
      <c r="F26" s="162"/>
      <c r="G26" s="162"/>
      <c r="H26" s="162"/>
      <c r="I26" s="162"/>
      <c r="J26" s="162"/>
      <c r="K26" s="162"/>
      <c r="L26" s="162"/>
      <c r="M26" s="162"/>
      <c r="N26" s="162"/>
      <c r="O26" s="162"/>
      <c r="P26" s="162"/>
      <c r="Q26" s="162"/>
      <c r="R26" s="162"/>
    </row>
    <row r="27" spans="1:18" ht="15.5">
      <c r="A27" s="401" t="s">
        <v>262</v>
      </c>
      <c r="B27" s="402"/>
      <c r="C27" s="402"/>
      <c r="D27" s="402"/>
      <c r="E27" s="402"/>
      <c r="F27" s="402"/>
      <c r="G27" s="402"/>
      <c r="H27" s="402"/>
      <c r="I27" s="402"/>
      <c r="J27" s="402"/>
      <c r="K27" s="402"/>
      <c r="L27" s="402"/>
      <c r="M27" s="402"/>
      <c r="N27" s="402"/>
      <c r="O27" s="402"/>
      <c r="P27" s="402"/>
      <c r="Q27" s="402"/>
      <c r="R27" s="403"/>
    </row>
    <row r="28" spans="1:18" ht="51" customHeight="1">
      <c r="A28" s="393" t="s">
        <v>434</v>
      </c>
      <c r="B28" s="394"/>
      <c r="C28" s="394"/>
      <c r="D28" s="394"/>
      <c r="E28" s="394"/>
      <c r="F28" s="394"/>
      <c r="G28" s="394"/>
      <c r="H28" s="394"/>
      <c r="I28" s="394"/>
      <c r="J28" s="394"/>
      <c r="K28" s="394"/>
      <c r="L28" s="394"/>
      <c r="M28" s="394"/>
      <c r="N28" s="394"/>
      <c r="O28" s="394"/>
      <c r="P28" s="394"/>
      <c r="Q28" s="394"/>
      <c r="R28" s="395"/>
    </row>
    <row r="29" spans="1:18" ht="15.5">
      <c r="A29" s="460" t="s">
        <v>390</v>
      </c>
      <c r="B29" s="461"/>
      <c r="C29" s="461"/>
      <c r="D29" s="461"/>
      <c r="E29" s="461"/>
      <c r="F29" s="461"/>
      <c r="G29" s="461"/>
      <c r="H29" s="461"/>
      <c r="I29" s="461"/>
      <c r="J29" s="461"/>
      <c r="K29" s="461"/>
      <c r="L29" s="461"/>
      <c r="M29" s="461"/>
      <c r="N29" s="461"/>
      <c r="O29" s="461"/>
      <c r="P29" s="461"/>
      <c r="Q29" s="461"/>
      <c r="R29" s="462"/>
    </row>
    <row r="30" spans="1:18" ht="48.75" customHeight="1">
      <c r="A30" s="463" t="s">
        <v>392</v>
      </c>
      <c r="B30" s="464"/>
      <c r="C30" s="464"/>
      <c r="D30" s="464"/>
      <c r="E30" s="464"/>
      <c r="F30" s="464"/>
      <c r="G30" s="464"/>
      <c r="H30" s="464"/>
      <c r="I30" s="464"/>
      <c r="J30" s="464"/>
      <c r="K30" s="464"/>
      <c r="L30" s="464"/>
      <c r="M30" s="464"/>
      <c r="N30" s="464"/>
      <c r="O30" s="464"/>
      <c r="P30" s="464"/>
      <c r="Q30" s="464"/>
      <c r="R30" s="465"/>
    </row>
    <row r="31" spans="1:18" ht="15.5">
      <c r="A31" s="413" t="s">
        <v>221</v>
      </c>
      <c r="B31" s="414"/>
      <c r="C31" s="414"/>
      <c r="D31" s="414"/>
      <c r="E31" s="414"/>
      <c r="F31" s="414"/>
      <c r="G31" s="414"/>
      <c r="H31" s="414"/>
      <c r="I31" s="414"/>
      <c r="J31" s="414"/>
      <c r="K31" s="414"/>
      <c r="L31" s="414"/>
      <c r="M31" s="414"/>
      <c r="N31" s="414"/>
      <c r="O31" s="414"/>
      <c r="P31" s="414"/>
      <c r="Q31" s="414"/>
      <c r="R31" s="415"/>
    </row>
    <row r="32" spans="1:18" ht="78" customHeight="1">
      <c r="A32" s="396" t="s">
        <v>370</v>
      </c>
      <c r="B32" s="397"/>
      <c r="C32" s="397"/>
      <c r="D32" s="397"/>
      <c r="E32" s="397"/>
      <c r="F32" s="397"/>
      <c r="G32" s="397"/>
      <c r="H32" s="397"/>
      <c r="I32" s="397"/>
      <c r="J32" s="397"/>
      <c r="K32" s="397"/>
      <c r="L32" s="397"/>
      <c r="M32" s="397"/>
      <c r="N32" s="397"/>
      <c r="O32" s="397"/>
      <c r="P32" s="397"/>
      <c r="Q32" s="397"/>
      <c r="R32"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9:R29"/>
    <mergeCell ref="A30:R30"/>
    <mergeCell ref="A31:R31"/>
    <mergeCell ref="A32:R32"/>
    <mergeCell ref="H9:Q9"/>
    <mergeCell ref="R9:R13"/>
    <mergeCell ref="H10:Q10"/>
    <mergeCell ref="A25:C25"/>
    <mergeCell ref="A27:R27"/>
    <mergeCell ref="A28:R28"/>
  </mergeCells>
  <pageMargins left="0.28999999999999998" right="0.21" top="0.45" bottom="0.5"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7</xdr:col>
                    <xdr:colOff>234950</xdr:colOff>
                    <xdr:row>0</xdr:row>
                    <xdr:rowOff>19050</xdr:rowOff>
                  </from>
                  <to>
                    <xdr:col>8</xdr:col>
                    <xdr:colOff>171450</xdr:colOff>
                    <xdr:row>1</xdr:row>
                    <xdr:rowOff>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AJ57"/>
  <sheetViews>
    <sheetView topLeftCell="A7" zoomScale="60" zoomScaleNormal="60" workbookViewId="0">
      <selection activeCell="D15" sqref="D15"/>
    </sheetView>
  </sheetViews>
  <sheetFormatPr defaultRowHeight="12.5"/>
  <cols>
    <col min="3" max="3" width="64.1796875" customWidth="1"/>
    <col min="4" max="4" width="11.54296875" customWidth="1"/>
    <col min="6" max="6" width="11" customWidth="1"/>
    <col min="7" max="7" width="12" customWidth="1"/>
    <col min="8" max="8" width="14.1796875" customWidth="1"/>
    <col min="9" max="9" width="13.1796875" customWidth="1"/>
    <col min="10" max="10" width="13" customWidth="1"/>
    <col min="11" max="11" width="13.81640625" customWidth="1"/>
    <col min="12" max="12" width="13.453125" customWidth="1"/>
    <col min="13" max="13" width="14" customWidth="1"/>
    <col min="15" max="15" width="7" customWidth="1"/>
    <col min="16" max="16" width="5.1796875" customWidth="1"/>
    <col min="17" max="17" width="5.81640625" customWidth="1"/>
    <col min="18" max="18" width="5.54296875" customWidth="1"/>
    <col min="23" max="23" width="60.54296875" customWidth="1"/>
  </cols>
  <sheetData>
    <row r="1" spans="1:36" ht="20.25" customHeight="1">
      <c r="A1" s="434" t="s">
        <v>366</v>
      </c>
      <c r="B1" s="435"/>
      <c r="C1" s="435"/>
      <c r="D1" s="144" t="s">
        <v>368</v>
      </c>
      <c r="E1" s="143"/>
      <c r="F1" s="143"/>
      <c r="G1" s="143"/>
      <c r="H1" s="145" t="s">
        <v>369</v>
      </c>
      <c r="I1" s="143"/>
      <c r="J1" s="143"/>
      <c r="K1" s="143"/>
      <c r="L1" s="143"/>
      <c r="M1" s="143"/>
      <c r="N1" s="143"/>
      <c r="O1" s="145" t="s">
        <v>367</v>
      </c>
      <c r="P1" s="143"/>
      <c r="Q1" s="143"/>
      <c r="R1" s="143"/>
      <c r="S1" s="174"/>
      <c r="T1" s="174"/>
      <c r="U1" s="93"/>
      <c r="V1" s="93"/>
      <c r="W1" s="93"/>
      <c r="X1" s="93"/>
      <c r="Y1" s="93"/>
      <c r="Z1" s="93"/>
      <c r="AA1" s="93"/>
      <c r="AB1" s="93"/>
      <c r="AC1" s="93"/>
      <c r="AD1" s="93"/>
      <c r="AE1" s="93"/>
      <c r="AF1" s="93"/>
      <c r="AG1" s="93"/>
      <c r="AH1" s="93"/>
      <c r="AI1" s="93"/>
      <c r="AJ1" s="93"/>
    </row>
    <row r="2" spans="1:36" ht="20">
      <c r="A2" s="429" t="s">
        <v>363</v>
      </c>
      <c r="B2" s="430"/>
      <c r="C2" s="430"/>
      <c r="D2" s="136"/>
      <c r="E2" s="136"/>
      <c r="F2" s="425" t="s">
        <v>25</v>
      </c>
      <c r="G2" s="426"/>
      <c r="H2" s="426"/>
      <c r="I2" s="426"/>
      <c r="J2" s="136"/>
      <c r="K2" s="136"/>
      <c r="L2" s="136"/>
      <c r="M2" s="136"/>
      <c r="N2" s="262" t="s">
        <v>420</v>
      </c>
      <c r="O2" s="137" t="s">
        <v>364</v>
      </c>
      <c r="P2" s="138"/>
      <c r="Q2" s="139" t="s">
        <v>365</v>
      </c>
      <c r="R2" s="140"/>
      <c r="S2" s="175"/>
      <c r="T2" s="175"/>
      <c r="U2" s="93"/>
      <c r="V2" s="93"/>
      <c r="W2" s="93"/>
      <c r="X2" s="93"/>
      <c r="Y2" s="93"/>
      <c r="Z2" s="93"/>
      <c r="AA2" s="93"/>
      <c r="AB2" s="93"/>
      <c r="AC2" s="93"/>
      <c r="AD2" s="93"/>
      <c r="AE2" s="93"/>
      <c r="AF2" s="93"/>
      <c r="AG2" s="93"/>
      <c r="AH2" s="93"/>
      <c r="AI2" s="93"/>
      <c r="AJ2" s="93"/>
    </row>
    <row r="3" spans="1:36" ht="20.25" customHeight="1">
      <c r="A3" s="141"/>
      <c r="B3" s="85"/>
      <c r="C3" s="85"/>
      <c r="D3" s="85"/>
      <c r="E3" s="85"/>
      <c r="F3" s="427" t="s">
        <v>26</v>
      </c>
      <c r="G3" s="428"/>
      <c r="H3" s="428"/>
      <c r="I3" s="428"/>
      <c r="J3" s="85"/>
      <c r="K3" s="85"/>
      <c r="L3" s="85"/>
      <c r="M3" s="85"/>
      <c r="N3" s="85"/>
      <c r="O3" s="17"/>
      <c r="P3" s="17"/>
      <c r="Q3" s="17"/>
      <c r="R3" s="142"/>
      <c r="S3" s="176"/>
      <c r="T3" s="176"/>
      <c r="U3" s="93"/>
      <c r="V3" s="93"/>
      <c r="W3" s="93"/>
      <c r="X3" s="93"/>
      <c r="Y3" s="93"/>
      <c r="Z3" s="93"/>
      <c r="AA3" s="93"/>
      <c r="AB3" s="93"/>
      <c r="AC3" s="93"/>
      <c r="AD3" s="93"/>
      <c r="AE3" s="93"/>
      <c r="AF3" s="93"/>
      <c r="AG3" s="93"/>
      <c r="AH3" s="93"/>
      <c r="AI3" s="93"/>
      <c r="AJ3" s="93"/>
    </row>
    <row r="4" spans="1:36" ht="15.5">
      <c r="A4" s="480" t="s">
        <v>386</v>
      </c>
      <c r="B4" s="483"/>
      <c r="C4" s="484"/>
      <c r="D4" s="490" t="s">
        <v>387</v>
      </c>
      <c r="E4" s="491"/>
      <c r="F4" s="491"/>
      <c r="G4" s="492"/>
      <c r="H4" s="368" t="s">
        <v>388</v>
      </c>
      <c r="I4" s="26"/>
      <c r="J4" s="480" t="s">
        <v>385</v>
      </c>
      <c r="K4" s="481"/>
      <c r="L4" s="482"/>
      <c r="M4" s="480" t="s">
        <v>389</v>
      </c>
      <c r="N4" s="483"/>
      <c r="O4" s="483"/>
      <c r="P4" s="483"/>
      <c r="Q4" s="483"/>
      <c r="R4" s="484"/>
      <c r="S4" s="177"/>
      <c r="T4" s="177"/>
      <c r="U4" s="93"/>
      <c r="V4" s="93"/>
      <c r="W4" s="93"/>
      <c r="X4" s="93"/>
      <c r="Y4" s="93"/>
      <c r="Z4" s="93"/>
      <c r="AA4" s="93"/>
      <c r="AB4" s="93"/>
      <c r="AC4" s="93"/>
      <c r="AD4" s="93"/>
      <c r="AE4" s="93"/>
      <c r="AF4" s="93"/>
      <c r="AG4" s="93"/>
      <c r="AH4" s="93"/>
      <c r="AI4" s="93"/>
      <c r="AJ4" s="93"/>
    </row>
    <row r="5" spans="1:36"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c r="U5" s="93"/>
      <c r="V5" s="93"/>
      <c r="W5" s="93"/>
      <c r="X5" s="93"/>
      <c r="Y5" s="93"/>
      <c r="Z5" s="93"/>
      <c r="AA5" s="93"/>
      <c r="AB5" s="93"/>
      <c r="AC5" s="93"/>
      <c r="AD5" s="93"/>
      <c r="AE5" s="93"/>
      <c r="AF5" s="93"/>
      <c r="AG5" s="93"/>
      <c r="AH5" s="93"/>
      <c r="AI5" s="93"/>
      <c r="AJ5" s="93"/>
    </row>
    <row r="6" spans="1:36">
      <c r="A6" s="466"/>
      <c r="B6" s="466"/>
      <c r="C6" s="466"/>
      <c r="D6" s="466"/>
      <c r="E6" s="466"/>
      <c r="F6" s="466"/>
      <c r="G6" s="466"/>
      <c r="H6" s="466"/>
      <c r="I6" s="466"/>
      <c r="J6" s="466"/>
      <c r="K6" s="466"/>
      <c r="L6" s="466"/>
      <c r="M6" s="466"/>
      <c r="N6" s="466"/>
      <c r="O6" s="466"/>
      <c r="P6" s="466"/>
      <c r="Q6" s="466"/>
      <c r="R6" s="466"/>
      <c r="S6" s="179"/>
      <c r="T6" s="179"/>
      <c r="U6" s="93"/>
      <c r="V6" s="93"/>
      <c r="W6" s="93"/>
      <c r="X6" s="93"/>
      <c r="Y6" s="93"/>
      <c r="Z6" s="93"/>
      <c r="AA6" s="93"/>
      <c r="AB6" s="93"/>
      <c r="AC6" s="93"/>
      <c r="AD6" s="93"/>
      <c r="AE6" s="93"/>
      <c r="AF6" s="93"/>
      <c r="AG6" s="93"/>
      <c r="AH6" s="93"/>
      <c r="AI6" s="93"/>
      <c r="AJ6" s="93"/>
    </row>
    <row r="7" spans="1:36" ht="109.5" customHeight="1">
      <c r="A7" s="467" t="s">
        <v>487</v>
      </c>
      <c r="B7" s="468"/>
      <c r="C7" s="468"/>
      <c r="D7" s="468"/>
      <c r="E7" s="468"/>
      <c r="F7" s="468"/>
      <c r="G7" s="468"/>
      <c r="H7" s="468"/>
      <c r="I7" s="468"/>
      <c r="J7" s="468"/>
      <c r="K7" s="468"/>
      <c r="L7" s="468"/>
      <c r="M7" s="468"/>
      <c r="N7" s="468"/>
      <c r="O7" s="468"/>
      <c r="P7" s="468"/>
      <c r="Q7" s="468"/>
      <c r="R7" s="469"/>
      <c r="S7" s="180"/>
      <c r="T7" s="180"/>
      <c r="U7" s="93"/>
      <c r="V7" s="93"/>
      <c r="W7" s="93"/>
      <c r="X7" s="93"/>
      <c r="Y7" s="93"/>
      <c r="Z7" s="93"/>
      <c r="AA7" s="93"/>
      <c r="AB7" s="93"/>
      <c r="AC7" s="93"/>
      <c r="AD7" s="93"/>
      <c r="AE7" s="93"/>
      <c r="AF7" s="93"/>
      <c r="AG7" s="93"/>
      <c r="AH7" s="93"/>
      <c r="AI7" s="93"/>
      <c r="AJ7" s="93"/>
    </row>
    <row r="8" spans="1:36" ht="14">
      <c r="A8" s="470"/>
      <c r="B8" s="470"/>
      <c r="C8" s="470"/>
      <c r="D8" s="470"/>
      <c r="E8" s="470"/>
      <c r="F8" s="470"/>
      <c r="G8" s="470"/>
      <c r="H8" s="470"/>
      <c r="I8" s="470"/>
      <c r="J8" s="470"/>
      <c r="K8" s="470"/>
      <c r="L8" s="470"/>
      <c r="M8" s="470"/>
      <c r="N8" s="470"/>
      <c r="O8" s="470"/>
      <c r="P8" s="470"/>
      <c r="Q8" s="470"/>
      <c r="R8" s="470"/>
      <c r="S8" s="173"/>
      <c r="T8" s="173"/>
      <c r="U8" s="93"/>
      <c r="V8" s="93"/>
      <c r="W8" s="93"/>
      <c r="X8" s="93"/>
      <c r="Y8" s="93"/>
      <c r="Z8" s="93"/>
      <c r="AA8" s="93"/>
      <c r="AB8" s="93"/>
      <c r="AC8" s="93"/>
      <c r="AD8" s="93"/>
      <c r="AE8" s="93"/>
      <c r="AF8" s="93"/>
      <c r="AG8" s="93"/>
      <c r="AH8" s="93"/>
      <c r="AI8" s="93"/>
      <c r="AJ8" s="93"/>
    </row>
    <row r="9" spans="1:36">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181"/>
      <c r="T9" s="181"/>
      <c r="U9" s="93"/>
      <c r="V9" s="93"/>
      <c r="W9" s="93"/>
      <c r="X9" s="93"/>
      <c r="Y9" s="93"/>
      <c r="Z9" s="93"/>
      <c r="AA9" s="93"/>
      <c r="AB9" s="93"/>
      <c r="AC9" s="93"/>
      <c r="AD9" s="93"/>
      <c r="AE9" s="93"/>
      <c r="AF9" s="93"/>
      <c r="AG9" s="93"/>
      <c r="AH9" s="93"/>
      <c r="AI9" s="93"/>
      <c r="AJ9" s="93"/>
    </row>
    <row r="10" spans="1:36" ht="16.5" customHeight="1">
      <c r="A10" s="453"/>
      <c r="B10" s="453"/>
      <c r="C10" s="499"/>
      <c r="D10" s="475"/>
      <c r="E10" s="478"/>
      <c r="F10" s="453"/>
      <c r="G10" s="453"/>
      <c r="H10" s="455" t="s">
        <v>306</v>
      </c>
      <c r="I10" s="408"/>
      <c r="J10" s="408"/>
      <c r="K10" s="408"/>
      <c r="L10" s="408"/>
      <c r="M10" s="408"/>
      <c r="N10" s="408"/>
      <c r="O10" s="408"/>
      <c r="P10" s="408"/>
      <c r="Q10" s="409"/>
      <c r="R10" s="453"/>
      <c r="S10" s="46"/>
      <c r="T10" s="46"/>
      <c r="U10" s="93"/>
      <c r="V10" s="93"/>
      <c r="W10" s="93"/>
      <c r="X10" s="93"/>
      <c r="Y10" s="93"/>
      <c r="Z10" s="93"/>
      <c r="AA10" s="93"/>
      <c r="AB10" s="93"/>
      <c r="AC10" s="93"/>
      <c r="AD10" s="93"/>
      <c r="AE10" s="93"/>
      <c r="AF10" s="93"/>
      <c r="AG10" s="93"/>
      <c r="AH10" s="93"/>
      <c r="AI10" s="93"/>
      <c r="AJ10" s="93"/>
    </row>
    <row r="11" spans="1:36">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46"/>
      <c r="T11" s="46"/>
      <c r="U11" s="93"/>
      <c r="V11" s="93"/>
      <c r="W11" s="93"/>
      <c r="X11" s="93"/>
      <c r="Y11" s="93"/>
      <c r="Z11" s="93"/>
      <c r="AA11" s="93"/>
      <c r="AB11" s="93"/>
      <c r="AC11" s="93"/>
      <c r="AD11" s="93"/>
      <c r="AE11" s="93"/>
      <c r="AF11" s="93"/>
      <c r="AG11" s="93"/>
      <c r="AH11" s="93"/>
      <c r="AI11" s="93"/>
      <c r="AJ11" s="93"/>
    </row>
    <row r="12" spans="1:36"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c r="S12" s="46"/>
      <c r="T12" s="46"/>
      <c r="U12" s="93"/>
      <c r="V12" s="93"/>
      <c r="W12" s="93"/>
      <c r="X12" s="93"/>
      <c r="Y12" s="93"/>
      <c r="Z12" s="93"/>
      <c r="AA12" s="93"/>
      <c r="AB12" s="93"/>
      <c r="AC12" s="93"/>
      <c r="AD12" s="93"/>
      <c r="AE12" s="93"/>
      <c r="AF12" s="93"/>
      <c r="AG12" s="93"/>
      <c r="AH12" s="93"/>
      <c r="AI12" s="93"/>
      <c r="AJ12" s="93"/>
    </row>
    <row r="13" spans="1:36"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46"/>
      <c r="T13" s="46"/>
      <c r="U13" s="93"/>
      <c r="V13" s="93"/>
      <c r="W13" s="93"/>
      <c r="X13" s="93"/>
      <c r="Y13" s="93"/>
      <c r="Z13" s="93"/>
      <c r="AA13" s="93"/>
      <c r="AB13" s="93"/>
      <c r="AC13" s="93"/>
      <c r="AD13" s="93"/>
      <c r="AE13" s="93"/>
      <c r="AF13" s="93"/>
      <c r="AG13" s="93"/>
      <c r="AH13" s="93"/>
      <c r="AI13" s="93"/>
      <c r="AJ13" s="93"/>
    </row>
    <row r="14" spans="1:36"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c r="U14" s="93"/>
      <c r="V14" s="93"/>
      <c r="W14" s="93"/>
      <c r="X14" s="93"/>
      <c r="Y14" s="93"/>
      <c r="Z14" s="93"/>
      <c r="AA14" s="93"/>
      <c r="AB14" s="93"/>
      <c r="AC14" s="93"/>
      <c r="AD14" s="93"/>
      <c r="AE14" s="93"/>
      <c r="AF14" s="93"/>
      <c r="AG14" s="93"/>
      <c r="AH14" s="93"/>
      <c r="AI14" s="93"/>
      <c r="AJ14" s="93"/>
    </row>
    <row r="15" spans="1:36" ht="17.5">
      <c r="A15" s="12"/>
      <c r="B15" s="347"/>
      <c r="C15" s="206" t="s">
        <v>283</v>
      </c>
      <c r="D15" s="308"/>
      <c r="E15" s="312" t="s">
        <v>20</v>
      </c>
      <c r="F15" s="231"/>
      <c r="G15" s="287"/>
      <c r="H15" s="231"/>
      <c r="I15" s="231"/>
      <c r="J15" s="231"/>
      <c r="K15" s="231"/>
      <c r="L15" s="231"/>
      <c r="M15" s="231"/>
      <c r="N15" s="28"/>
      <c r="O15" s="28"/>
      <c r="P15" s="28"/>
      <c r="Q15" s="28"/>
      <c r="R15" s="13"/>
      <c r="S15" s="182"/>
      <c r="T15" s="182"/>
      <c r="U15" s="93"/>
      <c r="V15" s="93"/>
      <c r="W15" s="93"/>
      <c r="X15" s="93"/>
      <c r="Y15" s="93"/>
      <c r="Z15" s="93"/>
      <c r="AA15" s="93"/>
      <c r="AB15" s="93"/>
      <c r="AC15" s="93"/>
      <c r="AD15" s="93"/>
      <c r="AE15" s="93"/>
      <c r="AF15" s="93"/>
      <c r="AG15" s="93"/>
      <c r="AH15" s="93"/>
      <c r="AI15" s="93"/>
      <c r="AJ15" s="93"/>
    </row>
    <row r="16" spans="1:36" ht="17.5">
      <c r="A16" s="12"/>
      <c r="B16" s="347"/>
      <c r="C16" s="207" t="s">
        <v>1</v>
      </c>
      <c r="D16" s="308"/>
      <c r="E16" s="312" t="s">
        <v>20</v>
      </c>
      <c r="F16" s="231">
        <f>VLOOKUP(C16,W21:X29,2)</f>
        <v>0</v>
      </c>
      <c r="G16" s="287">
        <v>50</v>
      </c>
      <c r="H16" s="231">
        <f>D16*F16*G16/100</f>
        <v>0</v>
      </c>
      <c r="I16" s="231"/>
      <c r="J16" s="231"/>
      <c r="K16" s="231"/>
      <c r="L16" s="231"/>
      <c r="M16" s="231"/>
      <c r="N16" s="28"/>
      <c r="O16" s="28"/>
      <c r="P16" s="28"/>
      <c r="Q16" s="28"/>
      <c r="R16" s="13"/>
      <c r="S16" s="182"/>
      <c r="T16" s="182"/>
      <c r="U16" s="93"/>
      <c r="V16" s="93"/>
      <c r="W16" s="93"/>
      <c r="X16" s="93"/>
      <c r="Y16" s="93"/>
      <c r="Z16" s="93"/>
      <c r="AA16" s="93"/>
      <c r="AB16" s="93"/>
      <c r="AC16" s="93"/>
      <c r="AD16" s="93"/>
      <c r="AE16" s="93"/>
      <c r="AF16" s="93"/>
      <c r="AG16" s="93"/>
      <c r="AH16" s="93"/>
      <c r="AI16" s="93"/>
      <c r="AJ16" s="93"/>
    </row>
    <row r="17" spans="1:36" ht="17.5">
      <c r="A17" s="12"/>
      <c r="B17" s="347"/>
      <c r="C17" s="207" t="s">
        <v>1</v>
      </c>
      <c r="D17" s="308"/>
      <c r="E17" s="312" t="s">
        <v>20</v>
      </c>
      <c r="F17" s="231">
        <f>VLOOKUP(C17,W21:X29,2)</f>
        <v>0</v>
      </c>
      <c r="G17" s="287">
        <v>50</v>
      </c>
      <c r="H17" s="231"/>
      <c r="I17" s="231">
        <f>D17*F17*G17/100</f>
        <v>0</v>
      </c>
      <c r="J17" s="231"/>
      <c r="K17" s="231"/>
      <c r="L17" s="231"/>
      <c r="M17" s="231"/>
      <c r="N17" s="28"/>
      <c r="O17" s="28"/>
      <c r="P17" s="28"/>
      <c r="Q17" s="28"/>
      <c r="R17" s="13"/>
      <c r="S17" s="182"/>
      <c r="T17" s="182"/>
      <c r="U17" s="93"/>
      <c r="V17" s="93"/>
      <c r="W17" s="93"/>
      <c r="X17" s="93"/>
      <c r="Y17" s="93"/>
      <c r="Z17" s="93"/>
      <c r="AA17" s="93"/>
      <c r="AB17" s="93"/>
      <c r="AC17" s="93"/>
      <c r="AD17" s="93"/>
      <c r="AE17" s="93"/>
      <c r="AF17" s="93"/>
      <c r="AG17" s="93"/>
      <c r="AH17" s="93"/>
      <c r="AI17" s="93"/>
      <c r="AJ17" s="93"/>
    </row>
    <row r="18" spans="1:36" ht="17.5">
      <c r="A18" s="12"/>
      <c r="B18" s="347"/>
      <c r="C18" s="207" t="s">
        <v>60</v>
      </c>
      <c r="D18" s="308"/>
      <c r="E18" s="312" t="s">
        <v>20</v>
      </c>
      <c r="F18" s="231">
        <f>(VLOOKUP(C18,W32:X40,2,TRUE))*1</f>
        <v>0</v>
      </c>
      <c r="G18" s="287">
        <v>50</v>
      </c>
      <c r="H18" s="300"/>
      <c r="I18" s="231"/>
      <c r="J18" s="231">
        <f>D18*F18*G18/100</f>
        <v>0</v>
      </c>
      <c r="K18" s="231"/>
      <c r="L18" s="231"/>
      <c r="M18" s="231"/>
      <c r="N18" s="28"/>
      <c r="O18" s="28"/>
      <c r="P18" s="28"/>
      <c r="Q18" s="28"/>
      <c r="R18" s="13"/>
      <c r="S18" s="182"/>
      <c r="T18" s="182"/>
      <c r="U18" s="93"/>
      <c r="V18" s="93"/>
      <c r="W18" s="93"/>
      <c r="X18" s="93"/>
      <c r="Y18" s="93"/>
      <c r="Z18" s="93"/>
      <c r="AA18" s="93"/>
      <c r="AB18" s="93"/>
      <c r="AC18" s="93"/>
      <c r="AD18" s="93"/>
      <c r="AE18" s="93"/>
      <c r="AF18" s="93"/>
      <c r="AG18" s="93"/>
      <c r="AH18" s="93"/>
      <c r="AI18" s="93"/>
      <c r="AJ18" s="93"/>
    </row>
    <row r="19" spans="1:36" ht="17.5">
      <c r="A19" s="12"/>
      <c r="B19" s="347"/>
      <c r="C19" s="207" t="s">
        <v>60</v>
      </c>
      <c r="D19" s="308"/>
      <c r="E19" s="312" t="s">
        <v>20</v>
      </c>
      <c r="F19" s="293">
        <f>(VLOOKUP(C19,W32:X40,2,TRUE))*1</f>
        <v>0</v>
      </c>
      <c r="G19" s="287">
        <v>50</v>
      </c>
      <c r="H19" s="300"/>
      <c r="I19" s="231"/>
      <c r="J19" s="231"/>
      <c r="K19" s="231">
        <f>D19*F19*G19/100</f>
        <v>0</v>
      </c>
      <c r="L19" s="231"/>
      <c r="M19" s="231"/>
      <c r="N19" s="28"/>
      <c r="O19" s="28"/>
      <c r="P19" s="28"/>
      <c r="Q19" s="28"/>
      <c r="R19" s="13"/>
      <c r="S19" s="182"/>
      <c r="T19" s="182"/>
      <c r="U19" s="93"/>
      <c r="V19" s="93"/>
      <c r="W19" s="93"/>
      <c r="X19" s="93"/>
      <c r="Y19" s="93"/>
      <c r="Z19" s="93"/>
      <c r="AA19" s="93"/>
      <c r="AB19" s="93"/>
      <c r="AC19" s="93"/>
      <c r="AD19" s="93"/>
      <c r="AE19" s="93"/>
      <c r="AF19" s="93"/>
      <c r="AG19" s="93"/>
      <c r="AH19" s="93"/>
      <c r="AI19" s="93"/>
      <c r="AJ19" s="93"/>
    </row>
    <row r="20" spans="1:36" ht="17.5">
      <c r="A20" s="12"/>
      <c r="B20" s="347"/>
      <c r="C20" s="207" t="s">
        <v>59</v>
      </c>
      <c r="D20" s="308"/>
      <c r="E20" s="312" t="s">
        <v>20</v>
      </c>
      <c r="F20" s="293">
        <f>(VLOOKUP(C20,W42:X50,2,TRUE))*1</f>
        <v>0</v>
      </c>
      <c r="G20" s="287">
        <v>50</v>
      </c>
      <c r="H20" s="300"/>
      <c r="I20" s="231"/>
      <c r="J20" s="231"/>
      <c r="K20" s="231"/>
      <c r="L20" s="231">
        <f>D20*F20*G20/100</f>
        <v>0</v>
      </c>
      <c r="M20" s="231"/>
      <c r="N20" s="28"/>
      <c r="O20" s="28"/>
      <c r="P20" s="28"/>
      <c r="Q20" s="28"/>
      <c r="R20" s="13"/>
      <c r="S20" s="182"/>
      <c r="T20" s="182"/>
      <c r="U20" s="93"/>
      <c r="V20" s="93"/>
      <c r="W20" s="93"/>
      <c r="X20" s="93"/>
      <c r="Y20" s="46"/>
      <c r="Z20" s="93"/>
      <c r="AA20" s="93"/>
      <c r="AB20" s="93"/>
      <c r="AC20" s="93"/>
      <c r="AD20" s="93"/>
      <c r="AE20" s="93"/>
      <c r="AF20" s="93"/>
      <c r="AG20" s="93"/>
      <c r="AH20" s="93"/>
      <c r="AI20" s="93"/>
      <c r="AJ20" s="93"/>
    </row>
    <row r="21" spans="1:36" ht="17.5">
      <c r="A21" s="12"/>
      <c r="B21" s="347"/>
      <c r="C21" s="207" t="s">
        <v>59</v>
      </c>
      <c r="D21" s="308"/>
      <c r="E21" s="297" t="s">
        <v>20</v>
      </c>
      <c r="F21" s="293">
        <f>(VLOOKUP(C21,W42:X50,2,TRUE))*1</f>
        <v>0</v>
      </c>
      <c r="G21" s="287">
        <v>50</v>
      </c>
      <c r="H21" s="300"/>
      <c r="I21" s="231"/>
      <c r="J21" s="231"/>
      <c r="K21" s="231"/>
      <c r="L21" s="231"/>
      <c r="M21" s="231">
        <f>D21*F21*G21/100</f>
        <v>0</v>
      </c>
      <c r="N21" s="28"/>
      <c r="O21" s="28"/>
      <c r="P21" s="28"/>
      <c r="Q21" s="28"/>
      <c r="R21" s="13"/>
      <c r="S21" s="182"/>
      <c r="T21" s="182"/>
      <c r="U21" s="93"/>
      <c r="V21" s="93"/>
      <c r="W21" s="26" t="s">
        <v>1</v>
      </c>
      <c r="X21" s="11">
        <v>0</v>
      </c>
      <c r="Y21" s="93"/>
      <c r="Z21" s="93"/>
      <c r="AA21" s="93"/>
      <c r="AB21" s="93"/>
      <c r="AC21" s="93"/>
      <c r="AD21" s="93"/>
      <c r="AE21" s="93"/>
      <c r="AF21" s="93"/>
      <c r="AG21" s="93"/>
      <c r="AH21" s="93"/>
      <c r="AI21" s="93"/>
      <c r="AJ21" s="93"/>
    </row>
    <row r="22" spans="1:36" ht="15.5">
      <c r="A22" s="456" t="s">
        <v>89</v>
      </c>
      <c r="B22" s="457"/>
      <c r="C22" s="458"/>
      <c r="D22" s="286"/>
      <c r="E22" s="280"/>
      <c r="F22" s="265"/>
      <c r="G22" s="281"/>
      <c r="H22" s="271">
        <f t="shared" ref="H22:M22" si="0">SUM(H15:H21)</f>
        <v>0</v>
      </c>
      <c r="I22" s="271">
        <f t="shared" si="0"/>
        <v>0</v>
      </c>
      <c r="J22" s="271">
        <f t="shared" si="0"/>
        <v>0</v>
      </c>
      <c r="K22" s="271">
        <f t="shared" si="0"/>
        <v>0</v>
      </c>
      <c r="L22" s="271">
        <f t="shared" si="0"/>
        <v>0</v>
      </c>
      <c r="M22" s="271">
        <f t="shared" si="0"/>
        <v>0</v>
      </c>
      <c r="N22" s="23"/>
      <c r="O22" s="23"/>
      <c r="P22" s="23"/>
      <c r="Q22" s="23"/>
      <c r="R22" s="25"/>
      <c r="S22" s="186"/>
      <c r="T22" s="186"/>
      <c r="U22" s="93"/>
      <c r="V22" s="93"/>
      <c r="W22" s="201" t="s">
        <v>92</v>
      </c>
      <c r="X22" s="72">
        <f>'Component List'!D18</f>
        <v>31.04</v>
      </c>
      <c r="Y22" s="46"/>
      <c r="Z22" s="93"/>
      <c r="AA22" s="93"/>
      <c r="AB22" s="93"/>
      <c r="AC22" s="93"/>
      <c r="AD22" s="93"/>
      <c r="AE22" s="93"/>
      <c r="AF22" s="93"/>
      <c r="AG22" s="93"/>
      <c r="AH22" s="93"/>
      <c r="AI22" s="93"/>
      <c r="AJ22" s="93"/>
    </row>
    <row r="23" spans="1:36" ht="36" customHeight="1">
      <c r="A23" s="496" t="str">
        <f>IF(W52,W54,"")</f>
        <v/>
      </c>
      <c r="B23" s="497"/>
      <c r="C23" s="497"/>
      <c r="D23" s="497"/>
      <c r="E23" s="497"/>
      <c r="F23" s="497"/>
      <c r="G23" s="497"/>
      <c r="H23" s="497"/>
      <c r="I23" s="497"/>
      <c r="J23" s="497"/>
      <c r="K23" s="497"/>
      <c r="L23" s="497"/>
      <c r="M23" s="497"/>
      <c r="N23" s="497"/>
      <c r="O23" s="497"/>
      <c r="P23" s="497"/>
      <c r="Q23" s="497"/>
      <c r="R23" s="497"/>
      <c r="S23" s="47"/>
      <c r="T23" s="47"/>
      <c r="U23" s="93"/>
      <c r="V23" s="93"/>
      <c r="W23" s="201" t="s">
        <v>254</v>
      </c>
      <c r="X23" s="72">
        <f>'Component List'!D19</f>
        <v>100</v>
      </c>
      <c r="Y23" s="46"/>
      <c r="Z23" s="93"/>
      <c r="AA23" s="93"/>
      <c r="AB23" s="93"/>
      <c r="AC23" s="93"/>
      <c r="AD23" s="93"/>
      <c r="AE23" s="93"/>
      <c r="AF23" s="93"/>
      <c r="AG23" s="93"/>
      <c r="AH23" s="93"/>
      <c r="AI23" s="93"/>
      <c r="AJ23" s="93"/>
    </row>
    <row r="24" spans="1:36" ht="15.5">
      <c r="A24" s="401" t="s">
        <v>262</v>
      </c>
      <c r="B24" s="402"/>
      <c r="C24" s="402"/>
      <c r="D24" s="402"/>
      <c r="E24" s="402"/>
      <c r="F24" s="402"/>
      <c r="G24" s="402"/>
      <c r="H24" s="402"/>
      <c r="I24" s="402"/>
      <c r="J24" s="402"/>
      <c r="K24" s="402"/>
      <c r="L24" s="402"/>
      <c r="M24" s="402"/>
      <c r="N24" s="402"/>
      <c r="O24" s="402"/>
      <c r="P24" s="402"/>
      <c r="Q24" s="402"/>
      <c r="R24" s="403"/>
      <c r="S24" s="187"/>
      <c r="T24" s="187"/>
      <c r="U24" s="93"/>
      <c r="V24" s="93"/>
      <c r="W24" s="201" t="s">
        <v>93</v>
      </c>
      <c r="X24" s="72">
        <f>'Component List'!D22</f>
        <v>23.04</v>
      </c>
      <c r="Y24" s="46"/>
      <c r="Z24" s="93"/>
      <c r="AA24" s="93"/>
      <c r="AB24" s="93"/>
      <c r="AC24" s="93"/>
      <c r="AD24" s="93"/>
      <c r="AE24" s="93"/>
      <c r="AF24" s="93"/>
      <c r="AG24" s="93"/>
      <c r="AH24" s="93"/>
      <c r="AI24" s="93"/>
      <c r="AJ24" s="93"/>
    </row>
    <row r="25" spans="1:36" ht="49.5" customHeight="1">
      <c r="A25" s="393" t="s">
        <v>434</v>
      </c>
      <c r="B25" s="394"/>
      <c r="C25" s="394"/>
      <c r="D25" s="394"/>
      <c r="E25" s="394"/>
      <c r="F25" s="394"/>
      <c r="G25" s="394"/>
      <c r="H25" s="394"/>
      <c r="I25" s="394"/>
      <c r="J25" s="394"/>
      <c r="K25" s="394"/>
      <c r="L25" s="394"/>
      <c r="M25" s="394"/>
      <c r="N25" s="394"/>
      <c r="O25" s="394"/>
      <c r="P25" s="394"/>
      <c r="Q25" s="394"/>
      <c r="R25" s="395"/>
      <c r="S25" s="188"/>
      <c r="T25" s="188"/>
      <c r="U25" s="93"/>
      <c r="V25" s="93"/>
      <c r="W25" s="201" t="s">
        <v>36</v>
      </c>
      <c r="X25" s="72">
        <f>'Component List'!D23</f>
        <v>100</v>
      </c>
      <c r="Y25" s="46"/>
      <c r="Z25" s="93"/>
      <c r="AA25" s="93"/>
      <c r="AB25" s="93"/>
      <c r="AC25" s="93"/>
      <c r="AD25" s="93"/>
      <c r="AE25" s="93"/>
      <c r="AF25" s="93"/>
      <c r="AG25" s="93"/>
      <c r="AH25" s="93"/>
      <c r="AI25" s="93"/>
      <c r="AJ25" s="93"/>
    </row>
    <row r="26" spans="1:36" ht="15.5">
      <c r="A26" s="460" t="s">
        <v>390</v>
      </c>
      <c r="B26" s="461"/>
      <c r="C26" s="461"/>
      <c r="D26" s="461"/>
      <c r="E26" s="461"/>
      <c r="F26" s="461"/>
      <c r="G26" s="461"/>
      <c r="H26" s="461"/>
      <c r="I26" s="461"/>
      <c r="J26" s="461"/>
      <c r="K26" s="461"/>
      <c r="L26" s="461"/>
      <c r="M26" s="461"/>
      <c r="N26" s="461"/>
      <c r="O26" s="461"/>
      <c r="P26" s="461"/>
      <c r="Q26" s="461"/>
      <c r="R26" s="462"/>
      <c r="S26" s="52"/>
      <c r="T26" s="52"/>
      <c r="U26" s="93"/>
      <c r="V26" s="93"/>
      <c r="W26" s="201" t="s">
        <v>151</v>
      </c>
      <c r="X26" s="72">
        <f>'Component List'!D24</f>
        <v>100</v>
      </c>
      <c r="Y26" s="46"/>
      <c r="Z26" s="93"/>
      <c r="AA26" s="93"/>
      <c r="AB26" s="93"/>
      <c r="AC26" s="93"/>
      <c r="AD26" s="93"/>
      <c r="AE26" s="93"/>
      <c r="AF26" s="93"/>
      <c r="AG26" s="93"/>
      <c r="AH26" s="93"/>
      <c r="AI26" s="93"/>
      <c r="AJ26" s="93"/>
    </row>
    <row r="27" spans="1:36" ht="54.75" customHeight="1">
      <c r="A27" s="463" t="s">
        <v>392</v>
      </c>
      <c r="B27" s="464"/>
      <c r="C27" s="464"/>
      <c r="D27" s="464"/>
      <c r="E27" s="464"/>
      <c r="F27" s="464"/>
      <c r="G27" s="464"/>
      <c r="H27" s="464"/>
      <c r="I27" s="464"/>
      <c r="J27" s="464"/>
      <c r="K27" s="464"/>
      <c r="L27" s="464"/>
      <c r="M27" s="464"/>
      <c r="N27" s="464"/>
      <c r="O27" s="464"/>
      <c r="P27" s="464"/>
      <c r="Q27" s="464"/>
      <c r="R27" s="465"/>
      <c r="S27" s="189"/>
      <c r="T27" s="189"/>
      <c r="U27" s="93"/>
      <c r="V27" s="93"/>
      <c r="W27" s="201" t="s">
        <v>255</v>
      </c>
      <c r="X27" s="72">
        <f>'Component List'!D25</f>
        <v>100</v>
      </c>
      <c r="Y27" s="46"/>
      <c r="Z27" s="93"/>
      <c r="AA27" s="93"/>
      <c r="AB27" s="93"/>
      <c r="AC27" s="93"/>
      <c r="AD27" s="93"/>
      <c r="AE27" s="93"/>
      <c r="AF27" s="93"/>
      <c r="AG27" s="93"/>
      <c r="AH27" s="93"/>
      <c r="AI27" s="93"/>
      <c r="AJ27" s="93"/>
    </row>
    <row r="28" spans="1:36" ht="15.5">
      <c r="A28" s="413" t="s">
        <v>221</v>
      </c>
      <c r="B28" s="414"/>
      <c r="C28" s="414"/>
      <c r="D28" s="414"/>
      <c r="E28" s="414"/>
      <c r="F28" s="414"/>
      <c r="G28" s="414"/>
      <c r="H28" s="414"/>
      <c r="I28" s="414"/>
      <c r="J28" s="414"/>
      <c r="K28" s="414"/>
      <c r="L28" s="414"/>
      <c r="M28" s="414"/>
      <c r="N28" s="414"/>
      <c r="O28" s="414"/>
      <c r="P28" s="414"/>
      <c r="Q28" s="414"/>
      <c r="R28" s="415"/>
      <c r="S28" s="187"/>
      <c r="T28" s="187"/>
      <c r="U28" s="93"/>
      <c r="V28" s="93"/>
      <c r="W28" s="201" t="s">
        <v>256</v>
      </c>
      <c r="X28" s="72">
        <f>'Component List'!D26</f>
        <v>100</v>
      </c>
      <c r="Y28" s="46"/>
      <c r="Z28" s="93"/>
      <c r="AA28" s="93"/>
      <c r="AB28" s="93"/>
      <c r="AC28" s="93"/>
      <c r="AD28" s="93"/>
      <c r="AE28" s="93"/>
      <c r="AF28" s="93"/>
      <c r="AG28" s="93"/>
      <c r="AH28" s="93"/>
      <c r="AI28" s="93"/>
      <c r="AJ28" s="93"/>
    </row>
    <row r="29" spans="1:36" ht="67.5" customHeight="1">
      <c r="A29" s="396" t="s">
        <v>370</v>
      </c>
      <c r="B29" s="397"/>
      <c r="C29" s="397"/>
      <c r="D29" s="397"/>
      <c r="E29" s="397"/>
      <c r="F29" s="397"/>
      <c r="G29" s="397"/>
      <c r="H29" s="397"/>
      <c r="I29" s="397"/>
      <c r="J29" s="397"/>
      <c r="K29" s="397"/>
      <c r="L29" s="397"/>
      <c r="M29" s="397"/>
      <c r="N29" s="397"/>
      <c r="O29" s="397"/>
      <c r="P29" s="397"/>
      <c r="Q29" s="397"/>
      <c r="R29" s="398"/>
      <c r="S29" s="190"/>
      <c r="T29" s="190"/>
      <c r="U29" s="93"/>
      <c r="V29" s="93"/>
      <c r="W29" s="201" t="s">
        <v>317</v>
      </c>
      <c r="X29" s="72">
        <f>'Component List'!D59</f>
        <v>100</v>
      </c>
      <c r="Y29" s="46"/>
      <c r="Z29" s="93"/>
      <c r="AA29" s="93"/>
      <c r="AB29" s="93"/>
      <c r="AC29" s="93"/>
      <c r="AD29" s="93"/>
      <c r="AE29" s="93"/>
      <c r="AF29" s="93"/>
      <c r="AG29" s="93"/>
      <c r="AH29" s="93"/>
      <c r="AI29" s="93"/>
      <c r="AJ29" s="93"/>
    </row>
    <row r="30" spans="1:36" ht="15.5">
      <c r="A30" s="93"/>
      <c r="B30" s="93"/>
      <c r="C30" s="93"/>
      <c r="D30" s="93"/>
      <c r="E30" s="93"/>
      <c r="F30" s="93"/>
      <c r="G30" s="93"/>
      <c r="H30" s="93"/>
      <c r="I30" s="93"/>
      <c r="J30" s="93"/>
      <c r="K30" s="93"/>
      <c r="L30" s="93"/>
      <c r="M30" s="93"/>
      <c r="N30" s="93"/>
      <c r="O30" s="93"/>
      <c r="P30" s="93"/>
      <c r="Q30" s="93"/>
      <c r="R30" s="93"/>
      <c r="S30" s="22"/>
      <c r="T30" s="22"/>
      <c r="U30" s="93"/>
      <c r="V30" s="93"/>
      <c r="W30" s="26"/>
      <c r="X30" s="80"/>
      <c r="Y30" s="93"/>
      <c r="Z30" s="93"/>
      <c r="AA30" s="93"/>
      <c r="AB30" s="93"/>
      <c r="AC30" s="93"/>
      <c r="AD30" s="93"/>
      <c r="AE30" s="93"/>
      <c r="AF30" s="93"/>
      <c r="AG30" s="93"/>
      <c r="AH30" s="93"/>
      <c r="AI30" s="93"/>
      <c r="AJ30" s="93"/>
    </row>
    <row r="31" spans="1:36" ht="15.5">
      <c r="A31" s="93"/>
      <c r="B31" s="93"/>
      <c r="C31" s="93"/>
      <c r="D31" s="93"/>
      <c r="E31" s="93"/>
      <c r="F31" s="93"/>
      <c r="G31" s="93"/>
      <c r="H31" s="93"/>
      <c r="I31" s="93"/>
      <c r="J31" s="93"/>
      <c r="K31" s="93"/>
      <c r="L31" s="93"/>
      <c r="M31" s="93"/>
      <c r="N31" s="93"/>
      <c r="O31" s="93"/>
      <c r="P31" s="93"/>
      <c r="Q31" s="93"/>
      <c r="R31" s="93"/>
      <c r="S31" s="22"/>
      <c r="T31" s="22"/>
      <c r="U31" s="93"/>
      <c r="V31" s="93"/>
      <c r="W31" s="26"/>
      <c r="X31" s="80"/>
      <c r="Y31" s="93"/>
      <c r="Z31" s="93"/>
      <c r="AA31" s="93"/>
      <c r="AB31" s="93"/>
      <c r="AC31" s="93"/>
      <c r="AD31" s="93"/>
      <c r="AE31" s="93"/>
      <c r="AF31" s="93"/>
      <c r="AG31" s="93"/>
      <c r="AH31" s="93"/>
      <c r="AI31" s="93"/>
      <c r="AJ31" s="93"/>
    </row>
    <row r="32" spans="1:36" ht="15.5">
      <c r="A32" s="93"/>
      <c r="B32" s="93"/>
      <c r="C32" s="93"/>
      <c r="D32" s="93"/>
      <c r="E32" s="93"/>
      <c r="F32" s="93"/>
      <c r="G32" s="93"/>
      <c r="H32" s="93"/>
      <c r="I32" s="93"/>
      <c r="J32" s="93"/>
      <c r="K32" s="93"/>
      <c r="L32" s="93"/>
      <c r="M32" s="93"/>
      <c r="N32" s="93"/>
      <c r="O32" s="93"/>
      <c r="P32" s="93"/>
      <c r="Q32" s="93"/>
      <c r="R32" s="93"/>
      <c r="S32" s="22"/>
      <c r="T32" s="22"/>
      <c r="U32" s="93"/>
      <c r="V32" s="93"/>
      <c r="W32" s="26" t="s">
        <v>60</v>
      </c>
      <c r="X32" s="80">
        <v>0</v>
      </c>
      <c r="Y32" s="93"/>
      <c r="Z32" s="93"/>
      <c r="AA32" s="93"/>
      <c r="AB32" s="93"/>
      <c r="AC32" s="93"/>
      <c r="AD32" s="93"/>
      <c r="AE32" s="93"/>
      <c r="AF32" s="93"/>
      <c r="AG32" s="93"/>
      <c r="AH32" s="93"/>
      <c r="AI32" s="93"/>
      <c r="AJ32" s="93"/>
    </row>
    <row r="33" spans="1:36" ht="15.5">
      <c r="A33" s="93"/>
      <c r="B33" s="93"/>
      <c r="C33" s="93"/>
      <c r="D33" s="93"/>
      <c r="E33" s="93"/>
      <c r="F33" s="93"/>
      <c r="G33" s="93"/>
      <c r="H33" s="93"/>
      <c r="I33" s="93"/>
      <c r="J33" s="93"/>
      <c r="K33" s="93"/>
      <c r="L33" s="93"/>
      <c r="M33" s="93"/>
      <c r="N33" s="93"/>
      <c r="O33" s="93"/>
      <c r="P33" s="93"/>
      <c r="Q33" s="93"/>
      <c r="R33" s="93"/>
      <c r="S33" s="22"/>
      <c r="T33" s="22"/>
      <c r="U33" s="93"/>
      <c r="V33" s="93"/>
      <c r="W33" s="203" t="s">
        <v>184</v>
      </c>
      <c r="X33" s="45">
        <f>'Component List'!D18</f>
        <v>31.04</v>
      </c>
      <c r="Y33" s="93"/>
      <c r="Z33" s="93"/>
      <c r="AA33" s="93"/>
      <c r="AB33" s="93"/>
      <c r="AC33" s="93"/>
      <c r="AD33" s="93"/>
      <c r="AE33" s="93"/>
      <c r="AF33" s="93"/>
      <c r="AG33" s="93"/>
      <c r="AH33" s="93"/>
      <c r="AI33" s="93"/>
      <c r="AJ33" s="93"/>
    </row>
    <row r="34" spans="1:36" ht="15.5">
      <c r="A34" s="93"/>
      <c r="B34" s="93"/>
      <c r="C34" s="93"/>
      <c r="D34" s="93"/>
      <c r="E34" s="93"/>
      <c r="F34" s="93"/>
      <c r="G34" s="93"/>
      <c r="H34" s="93"/>
      <c r="I34" s="93"/>
      <c r="J34" s="93"/>
      <c r="K34" s="93"/>
      <c r="L34" s="93"/>
      <c r="M34" s="93"/>
      <c r="N34" s="93"/>
      <c r="O34" s="93"/>
      <c r="P34" s="93"/>
      <c r="Q34" s="93"/>
      <c r="R34" s="93"/>
      <c r="S34" s="22"/>
      <c r="T34" s="22"/>
      <c r="U34" s="93"/>
      <c r="V34" s="93"/>
      <c r="W34" s="203" t="s">
        <v>117</v>
      </c>
      <c r="X34" s="45">
        <f>'Component List'!D19</f>
        <v>100</v>
      </c>
      <c r="Y34" s="93"/>
      <c r="Z34" s="93"/>
      <c r="AA34" s="93"/>
      <c r="AB34" s="93"/>
      <c r="AC34" s="93"/>
      <c r="AD34" s="93"/>
      <c r="AE34" s="93"/>
      <c r="AF34" s="93"/>
      <c r="AG34" s="93"/>
      <c r="AH34" s="93"/>
      <c r="AI34" s="93"/>
      <c r="AJ34" s="93"/>
    </row>
    <row r="35" spans="1:36" ht="15.5">
      <c r="A35" s="93"/>
      <c r="B35" s="93"/>
      <c r="C35" s="93"/>
      <c r="D35" s="93"/>
      <c r="E35" s="93"/>
      <c r="F35" s="93"/>
      <c r="G35" s="93"/>
      <c r="H35" s="93"/>
      <c r="I35" s="93"/>
      <c r="J35" s="93"/>
      <c r="K35" s="93"/>
      <c r="L35" s="93"/>
      <c r="M35" s="93"/>
      <c r="N35" s="93"/>
      <c r="O35" s="93"/>
      <c r="P35" s="93"/>
      <c r="Q35" s="93"/>
      <c r="R35" s="93"/>
      <c r="S35" s="22"/>
      <c r="T35" s="22"/>
      <c r="U35" s="93"/>
      <c r="V35" s="93"/>
      <c r="W35" s="203" t="s">
        <v>185</v>
      </c>
      <c r="X35" s="45">
        <f>'Component List'!D22</f>
        <v>23.04</v>
      </c>
      <c r="Y35" s="93"/>
      <c r="Z35" s="93"/>
      <c r="AA35" s="93"/>
      <c r="AB35" s="93"/>
      <c r="AC35" s="93"/>
      <c r="AD35" s="93"/>
      <c r="AE35" s="93"/>
      <c r="AF35" s="93"/>
      <c r="AG35" s="93"/>
      <c r="AH35" s="93"/>
      <c r="AI35" s="93"/>
      <c r="AJ35" s="93"/>
    </row>
    <row r="36" spans="1:36" ht="15.5">
      <c r="A36" s="93"/>
      <c r="B36" s="93"/>
      <c r="C36" s="93"/>
      <c r="D36" s="93"/>
      <c r="E36" s="93"/>
      <c r="F36" s="93"/>
      <c r="G36" s="93"/>
      <c r="H36" s="93"/>
      <c r="I36" s="93"/>
      <c r="J36" s="93"/>
      <c r="K36" s="93"/>
      <c r="L36" s="93"/>
      <c r="M36" s="93"/>
      <c r="N36" s="93"/>
      <c r="O36" s="93"/>
      <c r="P36" s="93"/>
      <c r="Q36" s="93"/>
      <c r="R36" s="93"/>
      <c r="S36" s="22"/>
      <c r="T36" s="22"/>
      <c r="U36" s="93"/>
      <c r="V36" s="93"/>
      <c r="W36" s="203" t="s">
        <v>186</v>
      </c>
      <c r="X36" s="45">
        <f>'Component List'!D23</f>
        <v>100</v>
      </c>
      <c r="Y36" s="93"/>
      <c r="Z36" s="93"/>
      <c r="AA36" s="93"/>
      <c r="AB36" s="93"/>
      <c r="AC36" s="93"/>
      <c r="AD36" s="93"/>
      <c r="AE36" s="93"/>
      <c r="AF36" s="93"/>
      <c r="AG36" s="93"/>
      <c r="AH36" s="93"/>
      <c r="AI36" s="93"/>
      <c r="AJ36" s="93"/>
    </row>
    <row r="37" spans="1:36" ht="15.5">
      <c r="A37" s="93"/>
      <c r="B37" s="93"/>
      <c r="C37" s="93"/>
      <c r="D37" s="93"/>
      <c r="E37" s="93"/>
      <c r="F37" s="93"/>
      <c r="G37" s="93"/>
      <c r="H37" s="93"/>
      <c r="I37" s="93"/>
      <c r="J37" s="93"/>
      <c r="K37" s="93"/>
      <c r="L37" s="93"/>
      <c r="M37" s="93"/>
      <c r="N37" s="93"/>
      <c r="O37" s="93"/>
      <c r="P37" s="93"/>
      <c r="Q37" s="93"/>
      <c r="R37" s="93"/>
      <c r="S37" s="22"/>
      <c r="T37" s="22"/>
      <c r="U37" s="93"/>
      <c r="V37" s="93"/>
      <c r="W37" s="203" t="s">
        <v>57</v>
      </c>
      <c r="X37" s="45">
        <f>'Component List'!D24</f>
        <v>100</v>
      </c>
      <c r="Y37" s="93"/>
      <c r="Z37" s="93"/>
      <c r="AA37" s="93"/>
      <c r="AB37" s="93"/>
      <c r="AC37" s="93"/>
      <c r="AD37" s="93"/>
      <c r="AE37" s="93"/>
      <c r="AF37" s="93"/>
      <c r="AG37" s="93"/>
      <c r="AH37" s="93"/>
      <c r="AI37" s="93"/>
      <c r="AJ37" s="93"/>
    </row>
    <row r="38" spans="1:36" ht="15.5">
      <c r="A38" s="93"/>
      <c r="B38" s="93"/>
      <c r="C38" s="93"/>
      <c r="D38" s="93"/>
      <c r="E38" s="93"/>
      <c r="F38" s="93"/>
      <c r="G38" s="93"/>
      <c r="H38" s="93"/>
      <c r="I38" s="93"/>
      <c r="J38" s="93"/>
      <c r="K38" s="93"/>
      <c r="L38" s="93"/>
      <c r="M38" s="93"/>
      <c r="N38" s="93"/>
      <c r="O38" s="93"/>
      <c r="P38" s="93"/>
      <c r="Q38" s="93"/>
      <c r="R38" s="93"/>
      <c r="S38" s="22"/>
      <c r="T38" s="22"/>
      <c r="U38" s="93"/>
      <c r="V38" s="93"/>
      <c r="W38" s="203" t="s">
        <v>118</v>
      </c>
      <c r="X38" s="45">
        <f>'Component List'!D25</f>
        <v>100</v>
      </c>
      <c r="Y38" s="93"/>
      <c r="Z38" s="93"/>
      <c r="AA38" s="93"/>
      <c r="AB38" s="93"/>
      <c r="AC38" s="93"/>
      <c r="AD38" s="93"/>
      <c r="AE38" s="93"/>
      <c r="AF38" s="93"/>
      <c r="AG38" s="93"/>
      <c r="AH38" s="93"/>
      <c r="AI38" s="93"/>
      <c r="AJ38" s="93"/>
    </row>
    <row r="39" spans="1:36" ht="15.5">
      <c r="A39" s="93"/>
      <c r="B39" s="93"/>
      <c r="C39" s="93"/>
      <c r="D39" s="93"/>
      <c r="E39" s="93"/>
      <c r="F39" s="93"/>
      <c r="G39" s="93"/>
      <c r="H39" s="93"/>
      <c r="I39" s="93"/>
      <c r="J39" s="93"/>
      <c r="K39" s="93"/>
      <c r="L39" s="93"/>
      <c r="M39" s="93"/>
      <c r="N39" s="93"/>
      <c r="O39" s="93"/>
      <c r="P39" s="93"/>
      <c r="Q39" s="93"/>
      <c r="R39" s="93"/>
      <c r="S39" s="22"/>
      <c r="T39" s="22"/>
      <c r="U39" s="93"/>
      <c r="V39" s="93"/>
      <c r="W39" s="203" t="s">
        <v>119</v>
      </c>
      <c r="X39" s="45">
        <f>'Component List'!D26</f>
        <v>100</v>
      </c>
      <c r="Y39" s="93"/>
      <c r="Z39" s="93"/>
      <c r="AA39" s="93"/>
      <c r="AB39" s="93"/>
      <c r="AC39" s="93"/>
      <c r="AD39" s="93"/>
      <c r="AE39" s="93"/>
      <c r="AF39" s="93"/>
      <c r="AG39" s="93"/>
      <c r="AH39" s="93"/>
      <c r="AI39" s="93"/>
      <c r="AJ39" s="93"/>
    </row>
    <row r="40" spans="1:36" ht="15.5">
      <c r="A40" s="93"/>
      <c r="B40" s="93"/>
      <c r="C40" s="93"/>
      <c r="D40" s="93"/>
      <c r="E40" s="93"/>
      <c r="F40" s="93"/>
      <c r="G40" s="93"/>
      <c r="H40" s="93"/>
      <c r="I40" s="93"/>
      <c r="J40" s="93"/>
      <c r="K40" s="93"/>
      <c r="L40" s="93"/>
      <c r="M40" s="93"/>
      <c r="N40" s="93"/>
      <c r="O40" s="93"/>
      <c r="P40" s="93"/>
      <c r="Q40" s="93"/>
      <c r="R40" s="93"/>
      <c r="S40" s="22"/>
      <c r="T40" s="22"/>
      <c r="U40" s="93"/>
      <c r="V40" s="93"/>
      <c r="W40" s="201" t="s">
        <v>61</v>
      </c>
      <c r="X40" s="45">
        <f>'Component List'!D59</f>
        <v>100</v>
      </c>
      <c r="Y40" s="93"/>
      <c r="Z40" s="93"/>
      <c r="AA40" s="93"/>
      <c r="AB40" s="93"/>
      <c r="AC40" s="93"/>
      <c r="AD40" s="93"/>
      <c r="AE40" s="93"/>
      <c r="AF40" s="93"/>
      <c r="AG40" s="93"/>
      <c r="AH40" s="93"/>
      <c r="AI40" s="93"/>
      <c r="AJ40" s="93"/>
    </row>
    <row r="41" spans="1:36" ht="15.5">
      <c r="A41" s="93"/>
      <c r="B41" s="93"/>
      <c r="C41" s="93"/>
      <c r="D41" s="93"/>
      <c r="E41" s="93"/>
      <c r="F41" s="93"/>
      <c r="G41" s="93"/>
      <c r="H41" s="93"/>
      <c r="I41" s="93"/>
      <c r="J41" s="93"/>
      <c r="K41" s="93"/>
      <c r="L41" s="93"/>
      <c r="M41" s="93"/>
      <c r="N41" s="93"/>
      <c r="O41" s="93"/>
      <c r="P41" s="93"/>
      <c r="Q41" s="93"/>
      <c r="R41" s="93"/>
      <c r="S41" s="22"/>
      <c r="T41" s="22"/>
      <c r="U41" s="93"/>
      <c r="V41" s="93"/>
      <c r="W41" s="26"/>
      <c r="X41" s="80">
        <v>0</v>
      </c>
      <c r="Y41" s="93"/>
      <c r="Z41" s="93"/>
      <c r="AA41" s="93"/>
      <c r="AB41" s="93"/>
      <c r="AC41" s="93"/>
      <c r="AD41" s="93"/>
      <c r="AE41" s="93"/>
      <c r="AF41" s="93"/>
      <c r="AG41" s="93"/>
      <c r="AH41" s="93"/>
      <c r="AI41" s="93"/>
      <c r="AJ41" s="93"/>
    </row>
    <row r="42" spans="1:36" ht="15.5">
      <c r="A42" s="93"/>
      <c r="B42" s="93"/>
      <c r="C42" s="93"/>
      <c r="D42" s="93"/>
      <c r="E42" s="93"/>
      <c r="F42" s="93"/>
      <c r="G42" s="93"/>
      <c r="H42" s="93"/>
      <c r="I42" s="93"/>
      <c r="J42" s="93"/>
      <c r="K42" s="93"/>
      <c r="L42" s="93"/>
      <c r="M42" s="93"/>
      <c r="N42" s="93"/>
      <c r="O42" s="93"/>
      <c r="P42" s="93"/>
      <c r="Q42" s="93"/>
      <c r="R42" s="93"/>
      <c r="S42" s="22"/>
      <c r="T42" s="22"/>
      <c r="U42" s="93"/>
      <c r="V42" s="93"/>
      <c r="W42" s="205" t="s">
        <v>59</v>
      </c>
      <c r="X42" s="80">
        <v>0</v>
      </c>
      <c r="Y42" s="93"/>
      <c r="Z42" s="93"/>
      <c r="AA42" s="93"/>
      <c r="AB42" s="93"/>
      <c r="AC42" s="93"/>
      <c r="AD42" s="93"/>
      <c r="AE42" s="93"/>
      <c r="AF42" s="93"/>
      <c r="AG42" s="93"/>
      <c r="AH42" s="93"/>
      <c r="AI42" s="93"/>
      <c r="AJ42" s="93"/>
    </row>
    <row r="43" spans="1:36" ht="15.5">
      <c r="A43" s="93"/>
      <c r="B43" s="93"/>
      <c r="C43" s="93"/>
      <c r="D43" s="93"/>
      <c r="E43" s="93"/>
      <c r="F43" s="93"/>
      <c r="G43" s="93"/>
      <c r="H43" s="93"/>
      <c r="I43" s="93"/>
      <c r="J43" s="93"/>
      <c r="K43" s="93"/>
      <c r="L43" s="93"/>
      <c r="M43" s="93"/>
      <c r="N43" s="93"/>
      <c r="O43" s="93"/>
      <c r="P43" s="93"/>
      <c r="Q43" s="93"/>
      <c r="R43" s="93"/>
      <c r="S43" s="22"/>
      <c r="T43" s="22"/>
      <c r="U43" s="93"/>
      <c r="V43" s="93"/>
      <c r="W43" s="203" t="s">
        <v>158</v>
      </c>
      <c r="X43" s="45">
        <f>'Component List'!D18</f>
        <v>31.04</v>
      </c>
      <c r="Y43" s="93"/>
      <c r="Z43" s="93"/>
      <c r="AA43" s="93"/>
      <c r="AB43" s="93"/>
      <c r="AC43" s="93"/>
      <c r="AD43" s="93"/>
      <c r="AE43" s="93"/>
      <c r="AF43" s="93"/>
      <c r="AG43" s="93"/>
      <c r="AH43" s="93"/>
      <c r="AI43" s="93"/>
      <c r="AJ43" s="93"/>
    </row>
    <row r="44" spans="1:36" ht="15.5">
      <c r="A44" s="93"/>
      <c r="B44" s="93"/>
      <c r="C44" s="93"/>
      <c r="D44" s="93"/>
      <c r="E44" s="93"/>
      <c r="F44" s="93"/>
      <c r="G44" s="93"/>
      <c r="H44" s="93"/>
      <c r="I44" s="93"/>
      <c r="J44" s="93"/>
      <c r="K44" s="93"/>
      <c r="L44" s="93"/>
      <c r="M44" s="93"/>
      <c r="N44" s="93"/>
      <c r="O44" s="93"/>
      <c r="P44" s="93"/>
      <c r="Q44" s="93"/>
      <c r="R44" s="93"/>
      <c r="S44" s="22"/>
      <c r="T44" s="22"/>
      <c r="U44" s="93"/>
      <c r="V44" s="93"/>
      <c r="W44" s="203" t="s">
        <v>120</v>
      </c>
      <c r="X44" s="45">
        <f>'Component List'!D19</f>
        <v>100</v>
      </c>
      <c r="Y44" s="93"/>
      <c r="Z44" s="93"/>
      <c r="AA44" s="93"/>
      <c r="AB44" s="93"/>
      <c r="AC44" s="93"/>
      <c r="AD44" s="93"/>
      <c r="AE44" s="93"/>
      <c r="AF44" s="93"/>
      <c r="AG44" s="93"/>
      <c r="AH44" s="93"/>
      <c r="AI44" s="93"/>
      <c r="AJ44" s="93"/>
    </row>
    <row r="45" spans="1:36" ht="15.5">
      <c r="A45" s="93"/>
      <c r="B45" s="93"/>
      <c r="C45" s="93"/>
      <c r="D45" s="93"/>
      <c r="E45" s="93"/>
      <c r="F45" s="93"/>
      <c r="G45" s="93"/>
      <c r="H45" s="93"/>
      <c r="I45" s="93"/>
      <c r="J45" s="93"/>
      <c r="K45" s="93"/>
      <c r="L45" s="93"/>
      <c r="M45" s="93"/>
      <c r="N45" s="93"/>
      <c r="O45" s="93"/>
      <c r="P45" s="93"/>
      <c r="Q45" s="93"/>
      <c r="R45" s="93"/>
      <c r="S45" s="22"/>
      <c r="T45" s="22"/>
      <c r="U45" s="93"/>
      <c r="V45" s="93"/>
      <c r="W45" s="203" t="s">
        <v>39</v>
      </c>
      <c r="X45" s="45">
        <f>'Component List'!D22</f>
        <v>23.04</v>
      </c>
      <c r="Y45" s="93"/>
      <c r="Z45" s="93"/>
      <c r="AA45" s="93"/>
      <c r="AB45" s="93"/>
      <c r="AC45" s="93"/>
      <c r="AD45" s="93"/>
      <c r="AE45" s="93"/>
      <c r="AF45" s="93"/>
      <c r="AG45" s="93"/>
      <c r="AH45" s="93"/>
      <c r="AI45" s="93"/>
      <c r="AJ45" s="93"/>
    </row>
    <row r="46" spans="1:36" ht="15.5">
      <c r="A46" s="93"/>
      <c r="B46" s="93"/>
      <c r="C46" s="93"/>
      <c r="D46" s="93"/>
      <c r="E46" s="93"/>
      <c r="F46" s="93"/>
      <c r="G46" s="93"/>
      <c r="H46" s="93"/>
      <c r="I46" s="93"/>
      <c r="J46" s="93"/>
      <c r="K46" s="93"/>
      <c r="L46" s="93"/>
      <c r="M46" s="93"/>
      <c r="N46" s="93"/>
      <c r="O46" s="93"/>
      <c r="P46" s="93"/>
      <c r="Q46" s="93"/>
      <c r="R46" s="93"/>
      <c r="S46" s="22"/>
      <c r="T46" s="22"/>
      <c r="U46" s="93"/>
      <c r="V46" s="93"/>
      <c r="W46" s="203" t="s">
        <v>40</v>
      </c>
      <c r="X46" s="45">
        <f>'Component List'!D23</f>
        <v>100</v>
      </c>
      <c r="Y46" s="93"/>
      <c r="Z46" s="93"/>
      <c r="AA46" s="93"/>
      <c r="AB46" s="93"/>
      <c r="AC46" s="93"/>
      <c r="AD46" s="93"/>
      <c r="AE46" s="93"/>
      <c r="AF46" s="93"/>
      <c r="AG46" s="93"/>
      <c r="AH46" s="93"/>
      <c r="AI46" s="93"/>
      <c r="AJ46" s="93"/>
    </row>
    <row r="47" spans="1:36" ht="15.5">
      <c r="A47" s="93"/>
      <c r="B47" s="93"/>
      <c r="C47" s="93"/>
      <c r="D47" s="93"/>
      <c r="E47" s="93"/>
      <c r="F47" s="93"/>
      <c r="G47" s="93"/>
      <c r="H47" s="93"/>
      <c r="I47" s="93"/>
      <c r="J47" s="93"/>
      <c r="K47" s="93"/>
      <c r="L47" s="93"/>
      <c r="M47" s="93"/>
      <c r="N47" s="93"/>
      <c r="O47" s="93"/>
      <c r="P47" s="93"/>
      <c r="Q47" s="93"/>
      <c r="R47" s="93"/>
      <c r="S47" s="22"/>
      <c r="T47" s="22"/>
      <c r="U47" s="93"/>
      <c r="V47" s="93"/>
      <c r="W47" s="203" t="s">
        <v>58</v>
      </c>
      <c r="X47" s="45">
        <f>'Component List'!D24</f>
        <v>100</v>
      </c>
      <c r="Y47" s="93"/>
      <c r="Z47" s="93"/>
      <c r="AA47" s="93"/>
      <c r="AB47" s="93"/>
      <c r="AC47" s="93"/>
      <c r="AD47" s="93"/>
      <c r="AE47" s="93"/>
      <c r="AF47" s="93"/>
      <c r="AG47" s="93"/>
      <c r="AH47" s="93"/>
      <c r="AI47" s="93"/>
      <c r="AJ47" s="93"/>
    </row>
    <row r="48" spans="1:36" ht="15.5">
      <c r="A48" s="93"/>
      <c r="B48" s="93"/>
      <c r="C48" s="93"/>
      <c r="D48" s="93"/>
      <c r="E48" s="93"/>
      <c r="F48" s="93"/>
      <c r="G48" s="93"/>
      <c r="H48" s="93"/>
      <c r="I48" s="93"/>
      <c r="J48" s="93"/>
      <c r="K48" s="93"/>
      <c r="L48" s="93"/>
      <c r="M48" s="93"/>
      <c r="N48" s="93"/>
      <c r="O48" s="93"/>
      <c r="P48" s="93"/>
      <c r="Q48" s="93"/>
      <c r="R48" s="93"/>
      <c r="S48" s="22"/>
      <c r="T48" s="22"/>
      <c r="U48" s="93"/>
      <c r="V48" s="93"/>
      <c r="W48" s="203" t="s">
        <v>115</v>
      </c>
      <c r="X48" s="45">
        <f>'Component List'!D25</f>
        <v>100</v>
      </c>
      <c r="Y48" s="93"/>
      <c r="Z48" s="93"/>
      <c r="AA48" s="93"/>
      <c r="AB48" s="93"/>
      <c r="AC48" s="93"/>
      <c r="AD48" s="93"/>
      <c r="AE48" s="93"/>
      <c r="AF48" s="93"/>
      <c r="AG48" s="93"/>
      <c r="AH48" s="93"/>
      <c r="AI48" s="93"/>
      <c r="AJ48" s="93"/>
    </row>
    <row r="49" spans="1:36" ht="15.5">
      <c r="A49" s="93"/>
      <c r="B49" s="93"/>
      <c r="C49" s="93"/>
      <c r="D49" s="93"/>
      <c r="E49" s="93"/>
      <c r="F49" s="93"/>
      <c r="G49" s="93"/>
      <c r="H49" s="93"/>
      <c r="I49" s="93"/>
      <c r="J49" s="93"/>
      <c r="K49" s="93"/>
      <c r="L49" s="93"/>
      <c r="M49" s="93"/>
      <c r="N49" s="93"/>
      <c r="O49" s="93"/>
      <c r="P49" s="93"/>
      <c r="Q49" s="93"/>
      <c r="R49" s="93"/>
      <c r="S49" s="22"/>
      <c r="T49" s="22"/>
      <c r="U49" s="93"/>
      <c r="V49" s="93"/>
      <c r="W49" s="203" t="s">
        <v>116</v>
      </c>
      <c r="X49" s="45">
        <f>'Component List'!D26</f>
        <v>100</v>
      </c>
      <c r="Y49" s="93"/>
      <c r="Z49" s="93"/>
      <c r="AA49" s="93"/>
      <c r="AB49" s="93"/>
      <c r="AC49" s="93"/>
      <c r="AD49" s="93"/>
      <c r="AE49" s="93"/>
      <c r="AF49" s="93"/>
      <c r="AG49" s="93"/>
      <c r="AH49" s="93"/>
      <c r="AI49" s="93"/>
      <c r="AJ49" s="93"/>
    </row>
    <row r="50" spans="1:36" ht="15.5">
      <c r="A50" s="93"/>
      <c r="B50" s="93"/>
      <c r="C50" s="93"/>
      <c r="D50" s="93"/>
      <c r="E50" s="93"/>
      <c r="F50" s="93"/>
      <c r="G50" s="93"/>
      <c r="H50" s="93"/>
      <c r="I50" s="93"/>
      <c r="J50" s="93"/>
      <c r="K50" s="93"/>
      <c r="L50" s="93"/>
      <c r="M50" s="93"/>
      <c r="N50" s="93"/>
      <c r="O50" s="93"/>
      <c r="P50" s="93"/>
      <c r="Q50" s="93"/>
      <c r="R50" s="93"/>
      <c r="S50" s="22"/>
      <c r="T50" s="22"/>
      <c r="U50" s="93"/>
      <c r="V50" s="93"/>
      <c r="W50" s="201" t="s">
        <v>177</v>
      </c>
      <c r="X50" s="45">
        <f>'Component List'!D59</f>
        <v>100</v>
      </c>
      <c r="Y50" s="93"/>
      <c r="Z50" s="93"/>
      <c r="AA50" s="93"/>
      <c r="AB50" s="93"/>
      <c r="AC50" s="93"/>
      <c r="AD50" s="93"/>
      <c r="AE50" s="93"/>
      <c r="AF50" s="93"/>
      <c r="AG50" s="93"/>
      <c r="AH50" s="93"/>
      <c r="AI50" s="93"/>
      <c r="AJ50" s="93"/>
    </row>
    <row r="51" spans="1:36">
      <c r="A51" s="93"/>
      <c r="B51" s="93"/>
      <c r="C51" s="93"/>
      <c r="D51" s="93"/>
      <c r="E51" s="93"/>
      <c r="F51" s="93"/>
      <c r="G51" s="93"/>
      <c r="H51" s="93"/>
      <c r="I51" s="93"/>
      <c r="J51" s="93"/>
      <c r="K51" s="93"/>
      <c r="L51" s="93"/>
      <c r="M51" s="93"/>
      <c r="N51" s="93"/>
      <c r="O51" s="93"/>
      <c r="P51" s="93"/>
      <c r="Q51" s="93"/>
      <c r="R51" s="93"/>
      <c r="S51" s="22"/>
      <c r="T51" s="22"/>
      <c r="U51" s="93"/>
      <c r="V51" s="93"/>
      <c r="W51" s="93"/>
      <c r="X51" s="80"/>
      <c r="Y51" s="93"/>
      <c r="Z51" s="93"/>
      <c r="AA51" s="93"/>
      <c r="AB51" s="93"/>
      <c r="AC51" s="93"/>
      <c r="AD51" s="93"/>
      <c r="AE51" s="93"/>
      <c r="AF51" s="93"/>
      <c r="AG51" s="93"/>
      <c r="AH51" s="93"/>
      <c r="AI51" s="93"/>
      <c r="AJ51" s="93"/>
    </row>
    <row r="52" spans="1:36">
      <c r="A52" s="93"/>
      <c r="B52" s="93"/>
      <c r="C52" s="93"/>
      <c r="D52" s="93"/>
      <c r="E52" s="93"/>
      <c r="F52" s="93"/>
      <c r="G52" s="93"/>
      <c r="H52" s="93"/>
      <c r="I52" s="93"/>
      <c r="J52" s="93"/>
      <c r="K52" s="93"/>
      <c r="L52" s="93"/>
      <c r="M52" s="93"/>
      <c r="N52" s="93"/>
      <c r="O52" s="93"/>
      <c r="P52" s="93"/>
      <c r="Q52" s="93"/>
      <c r="R52" s="93"/>
      <c r="S52" s="22"/>
      <c r="T52" s="22"/>
      <c r="U52" s="93"/>
      <c r="V52" s="93"/>
      <c r="W52" s="93" t="b">
        <f>OR(C18=W34,C18=W38,C18=W39,C19=W34,C19=W38,C19=W39,C20=W44,C20=W48,C20=W49,C21=W44,C21=W48,C21=W49,C16=W23,C16=W27,C16=W28,C17=W23,C17=W27,C17=W28)</f>
        <v>0</v>
      </c>
      <c r="X52" s="80"/>
      <c r="Y52" s="93"/>
      <c r="Z52" s="93"/>
      <c r="AA52" s="93"/>
      <c r="AB52" s="93"/>
      <c r="AC52" s="93"/>
      <c r="AD52" s="93"/>
      <c r="AE52" s="93"/>
      <c r="AF52" s="93"/>
      <c r="AG52" s="93"/>
      <c r="AH52" s="93"/>
      <c r="AI52" s="93"/>
      <c r="AJ52" s="93"/>
    </row>
    <row r="53" spans="1:36">
      <c r="A53" s="93"/>
      <c r="B53" s="93"/>
      <c r="C53" s="93"/>
      <c r="D53" s="93"/>
      <c r="E53" s="93"/>
      <c r="F53" s="93"/>
      <c r="G53" s="93"/>
      <c r="H53" s="93"/>
      <c r="I53" s="93"/>
      <c r="J53" s="93"/>
      <c r="K53" s="93"/>
      <c r="L53" s="93"/>
      <c r="M53" s="93"/>
      <c r="N53" s="93"/>
      <c r="O53" s="93"/>
      <c r="P53" s="93"/>
      <c r="Q53" s="93"/>
      <c r="R53" s="93"/>
      <c r="S53" s="22"/>
      <c r="T53" s="22"/>
      <c r="U53" s="93"/>
      <c r="V53" s="93"/>
      <c r="W53" s="93"/>
      <c r="X53" s="80"/>
      <c r="Y53" s="93"/>
      <c r="Z53" s="93"/>
      <c r="AA53" s="93"/>
      <c r="AB53" s="93"/>
      <c r="AC53" s="93"/>
      <c r="AD53" s="93"/>
      <c r="AE53" s="93"/>
      <c r="AF53" s="93"/>
      <c r="AG53" s="93"/>
      <c r="AH53" s="93"/>
      <c r="AI53" s="93"/>
      <c r="AJ53" s="93"/>
    </row>
    <row r="54" spans="1:36">
      <c r="A54" s="93"/>
      <c r="B54" s="93"/>
      <c r="C54" s="93"/>
      <c r="D54" s="93"/>
      <c r="E54" s="93"/>
      <c r="F54" s="93"/>
      <c r="G54" s="93"/>
      <c r="H54" s="93"/>
      <c r="I54" s="93"/>
      <c r="J54" s="93"/>
      <c r="K54" s="93"/>
      <c r="L54" s="93"/>
      <c r="M54" s="93"/>
      <c r="N54" s="93"/>
      <c r="O54" s="93"/>
      <c r="P54" s="93"/>
      <c r="Q54" s="93"/>
      <c r="R54" s="93"/>
      <c r="S54" s="22"/>
      <c r="T54" s="22"/>
      <c r="U54" s="93"/>
      <c r="V54" s="93"/>
      <c r="W54" s="493" t="s">
        <v>253</v>
      </c>
      <c r="X54" s="493"/>
      <c r="Y54" s="493"/>
      <c r="Z54" s="493"/>
      <c r="AA54" s="493"/>
      <c r="AB54" s="493"/>
      <c r="AC54" s="493"/>
      <c r="AD54" s="493"/>
      <c r="AE54" s="493"/>
      <c r="AF54" s="493"/>
      <c r="AG54" s="493"/>
      <c r="AH54" s="493"/>
      <c r="AI54" s="493"/>
      <c r="AJ54" s="493"/>
    </row>
    <row r="55" spans="1:36">
      <c r="A55" s="93"/>
      <c r="B55" s="93"/>
      <c r="C55" s="93"/>
      <c r="D55" s="93"/>
      <c r="E55" s="93"/>
      <c r="F55" s="93"/>
      <c r="G55" s="93"/>
      <c r="H55" s="93"/>
      <c r="I55" s="93"/>
      <c r="J55" s="93"/>
      <c r="K55" s="93"/>
      <c r="L55" s="93"/>
      <c r="M55" s="93"/>
      <c r="N55" s="93"/>
      <c r="O55" s="93"/>
      <c r="P55" s="93"/>
      <c r="Q55" s="93"/>
      <c r="R55" s="93"/>
      <c r="S55" s="22"/>
      <c r="T55" s="22"/>
      <c r="U55" s="93"/>
      <c r="V55" s="93"/>
      <c r="W55" s="494"/>
      <c r="X55" s="494"/>
      <c r="Y55" s="494"/>
      <c r="Z55" s="494"/>
      <c r="AA55" s="494"/>
      <c r="AB55" s="494"/>
      <c r="AC55" s="494"/>
      <c r="AD55" s="494"/>
      <c r="AE55" s="494"/>
      <c r="AF55" s="494"/>
      <c r="AG55" s="494"/>
      <c r="AH55" s="494"/>
      <c r="AI55" s="494"/>
      <c r="AJ55" s="494"/>
    </row>
    <row r="56" spans="1:36">
      <c r="A56" s="93"/>
      <c r="B56" s="93"/>
      <c r="C56" s="93"/>
      <c r="D56" s="93"/>
      <c r="E56" s="93"/>
      <c r="F56" s="93"/>
      <c r="G56" s="93"/>
      <c r="H56" s="93"/>
      <c r="I56" s="93"/>
      <c r="J56" s="93"/>
      <c r="K56" s="93"/>
      <c r="L56" s="93"/>
      <c r="M56" s="93"/>
      <c r="N56" s="93"/>
      <c r="O56" s="93"/>
      <c r="P56" s="93"/>
      <c r="Q56" s="93"/>
      <c r="R56" s="93"/>
      <c r="S56" s="22"/>
      <c r="T56" s="22"/>
      <c r="U56" s="93"/>
      <c r="V56" s="93"/>
      <c r="W56" s="494"/>
      <c r="X56" s="494"/>
      <c r="Y56" s="494"/>
      <c r="Z56" s="494"/>
      <c r="AA56" s="494"/>
      <c r="AB56" s="494"/>
      <c r="AC56" s="494"/>
      <c r="AD56" s="494"/>
      <c r="AE56" s="494"/>
      <c r="AF56" s="494"/>
      <c r="AG56" s="494"/>
      <c r="AH56" s="494"/>
      <c r="AI56" s="494"/>
      <c r="AJ56" s="494"/>
    </row>
    <row r="57" spans="1:36">
      <c r="A57" s="93"/>
      <c r="B57" s="93"/>
      <c r="C57" s="93"/>
      <c r="D57" s="93"/>
      <c r="E57" s="93"/>
      <c r="F57" s="93"/>
      <c r="G57" s="93"/>
      <c r="H57" s="93"/>
      <c r="I57" s="93"/>
      <c r="J57" s="93"/>
      <c r="K57" s="93"/>
      <c r="L57" s="93"/>
      <c r="M57" s="93"/>
      <c r="N57" s="93"/>
      <c r="O57" s="93"/>
      <c r="P57" s="93"/>
      <c r="Q57" s="93"/>
      <c r="R57" s="93"/>
      <c r="S57" s="22"/>
      <c r="T57" s="22"/>
      <c r="U57" s="93"/>
      <c r="V57" s="93"/>
      <c r="W57" s="495"/>
      <c r="X57" s="495"/>
      <c r="Y57" s="495"/>
      <c r="Z57" s="495"/>
      <c r="AA57" s="495"/>
      <c r="AB57" s="495"/>
      <c r="AC57" s="495"/>
      <c r="AD57" s="495"/>
      <c r="AE57" s="495"/>
      <c r="AF57" s="495"/>
      <c r="AG57" s="495"/>
      <c r="AH57" s="495"/>
      <c r="AI57" s="495"/>
      <c r="AJ57" s="495"/>
    </row>
  </sheetData>
  <mergeCells count="35">
    <mergeCell ref="W54:AJ57"/>
    <mergeCell ref="H9:Q9"/>
    <mergeCell ref="R9:R13"/>
    <mergeCell ref="H10:Q10"/>
    <mergeCell ref="A22:C22"/>
    <mergeCell ref="A23:R23"/>
    <mergeCell ref="A24:R24"/>
    <mergeCell ref="A25:R25"/>
    <mergeCell ref="A26:R26"/>
    <mergeCell ref="A27:R27"/>
    <mergeCell ref="A28:R28"/>
    <mergeCell ref="A29:R2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Second Half Management Practice" sqref="C20:C21">
      <formula1>$W$42:$W$50</formula1>
    </dataValidation>
    <dataValidation type="list" allowBlank="1" showInputMessage="1" showErrorMessage="1" promptTitle="Choose Management" sqref="C18:C19">
      <formula1>$W$32:$W$40</formula1>
    </dataValidation>
    <dataValidation type="list" allowBlank="1" showInputMessage="1" showErrorMessage="1" sqref="C16:C17">
      <formula1>$W$21:$W$29</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4322" r:id="rId3" name="Check Box 2">
              <controlPr defaultSize="0" autoFill="0" autoLine="0" autoPict="0">
                <anchor moveWithCells="1">
                  <from>
                    <xdr:col>3</xdr:col>
                    <xdr:colOff>203200</xdr:colOff>
                    <xdr:row>0</xdr:row>
                    <xdr:rowOff>19050</xdr:rowOff>
                  </from>
                  <to>
                    <xdr:col>4</xdr:col>
                    <xdr:colOff>171450</xdr:colOff>
                    <xdr:row>0</xdr:row>
                    <xdr:rowOff>158750</xdr:rowOff>
                  </to>
                </anchor>
              </controlPr>
            </control>
          </mc:Choice>
        </mc:AlternateContent>
        <mc:AlternateContent xmlns:mc="http://schemas.openxmlformats.org/markup-compatibility/2006">
          <mc:Choice Requires="x14">
            <control shapeId="184323" r:id="rId4" name="Check Box 3">
              <controlPr defaultSize="0" autoFill="0" autoLine="0" autoPict="0">
                <anchor moveWithCells="1">
                  <from>
                    <xdr:col>7</xdr:col>
                    <xdr:colOff>234950</xdr:colOff>
                    <xdr:row>0</xdr:row>
                    <xdr:rowOff>19050</xdr:rowOff>
                  </from>
                  <to>
                    <xdr:col>8</xdr:col>
                    <xdr:colOff>95250</xdr:colOff>
                    <xdr:row>0</xdr:row>
                    <xdr:rowOff>158750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1">
    <pageSetUpPr fitToPage="1"/>
  </sheetPr>
  <dimension ref="A1:AJ65"/>
  <sheetViews>
    <sheetView zoomScale="53" zoomScaleNormal="53" workbookViewId="0">
      <selection activeCell="D28" sqref="D28"/>
    </sheetView>
  </sheetViews>
  <sheetFormatPr defaultRowHeight="12.5"/>
  <cols>
    <col min="3" max="3" width="67.81640625" customWidth="1"/>
    <col min="4" max="4" width="12.26953125" customWidth="1"/>
    <col min="7" max="7" width="10.81640625" customWidth="1"/>
    <col min="8" max="8" width="14.81640625" customWidth="1"/>
    <col min="9" max="9" width="14.1796875" customWidth="1"/>
    <col min="10" max="10" width="14.7265625" customWidth="1"/>
    <col min="11" max="11" width="14.1796875" customWidth="1"/>
    <col min="12" max="12" width="14.7265625" customWidth="1"/>
    <col min="13" max="13" width="14" bestFit="1" customWidth="1"/>
    <col min="14" max="14" width="5.81640625" customWidth="1"/>
    <col min="15" max="15" width="6.7265625" customWidth="1"/>
    <col min="16" max="16" width="5.54296875" customWidth="1"/>
    <col min="17" max="17" width="5.81640625" customWidth="1"/>
    <col min="18" max="18" width="5.7265625" customWidth="1"/>
    <col min="19" max="20" width="5.7265625" style="22" customWidth="1"/>
    <col min="23" max="23" width="61.81640625" customWidth="1"/>
  </cols>
  <sheetData>
    <row r="1" spans="1:20" ht="18.75" customHeight="1">
      <c r="A1" s="434" t="s">
        <v>366</v>
      </c>
      <c r="B1" s="435"/>
      <c r="C1" s="435"/>
      <c r="D1" s="144" t="s">
        <v>368</v>
      </c>
      <c r="E1" s="143"/>
      <c r="F1" s="143"/>
      <c r="G1" s="143"/>
      <c r="H1" s="145" t="s">
        <v>369</v>
      </c>
      <c r="I1" s="143"/>
      <c r="J1" s="143"/>
      <c r="K1" s="143"/>
      <c r="L1" s="143"/>
      <c r="M1" s="143"/>
      <c r="N1" s="143"/>
      <c r="O1" s="145" t="s">
        <v>367</v>
      </c>
      <c r="P1" s="143"/>
      <c r="Q1" s="143"/>
      <c r="R1" s="143"/>
      <c r="S1" s="174"/>
      <c r="T1" s="174"/>
    </row>
    <row r="2" spans="1:20" ht="20">
      <c r="A2" s="429" t="s">
        <v>363</v>
      </c>
      <c r="B2" s="430"/>
      <c r="C2" s="430"/>
      <c r="D2" s="136"/>
      <c r="E2" s="136"/>
      <c r="F2" s="425" t="s">
        <v>25</v>
      </c>
      <c r="G2" s="426"/>
      <c r="H2" s="426"/>
      <c r="I2" s="426"/>
      <c r="J2" s="136"/>
      <c r="K2" s="136"/>
      <c r="L2" s="136"/>
      <c r="M2" s="136"/>
      <c r="N2" s="262" t="s">
        <v>420</v>
      </c>
      <c r="O2" s="137" t="s">
        <v>364</v>
      </c>
      <c r="P2" s="138"/>
      <c r="Q2" s="139" t="s">
        <v>365</v>
      </c>
      <c r="R2" s="140"/>
      <c r="S2" s="175"/>
      <c r="T2" s="175"/>
    </row>
    <row r="3" spans="1:20" ht="19.5" customHeight="1">
      <c r="A3" s="141"/>
      <c r="B3" s="85"/>
      <c r="C3" s="85"/>
      <c r="D3" s="85"/>
      <c r="E3" s="85"/>
      <c r="F3" s="427" t="s">
        <v>26</v>
      </c>
      <c r="G3" s="428"/>
      <c r="H3" s="428"/>
      <c r="I3" s="428"/>
      <c r="J3" s="85"/>
      <c r="K3" s="85"/>
      <c r="L3" s="85"/>
      <c r="M3" s="85"/>
      <c r="N3" s="85"/>
      <c r="O3" s="17"/>
      <c r="P3" s="17"/>
      <c r="Q3" s="17"/>
      <c r="R3" s="142"/>
      <c r="S3" s="176"/>
      <c r="T3" s="176"/>
    </row>
    <row r="4" spans="1:20" ht="18" customHeight="1">
      <c r="A4" s="480" t="s">
        <v>386</v>
      </c>
      <c r="B4" s="483"/>
      <c r="C4" s="484"/>
      <c r="D4" s="490" t="s">
        <v>387</v>
      </c>
      <c r="E4" s="491"/>
      <c r="F4" s="491"/>
      <c r="G4" s="492"/>
      <c r="H4" s="320" t="s">
        <v>388</v>
      </c>
      <c r="I4" s="26"/>
      <c r="J4" s="480" t="s">
        <v>385</v>
      </c>
      <c r="K4" s="481"/>
      <c r="L4" s="482"/>
      <c r="M4" s="480" t="s">
        <v>389</v>
      </c>
      <c r="N4" s="483"/>
      <c r="O4" s="483"/>
      <c r="P4" s="483"/>
      <c r="Q4" s="483"/>
      <c r="R4" s="484"/>
      <c r="S4" s="177"/>
      <c r="T4" s="177"/>
    </row>
    <row r="5" spans="1:20"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row>
    <row r="6" spans="1:20">
      <c r="A6" s="466"/>
      <c r="B6" s="466"/>
      <c r="C6" s="466"/>
      <c r="D6" s="466"/>
      <c r="E6" s="466"/>
      <c r="F6" s="466"/>
      <c r="G6" s="466"/>
      <c r="H6" s="466"/>
      <c r="I6" s="466"/>
      <c r="J6" s="466"/>
      <c r="K6" s="466"/>
      <c r="L6" s="466"/>
      <c r="M6" s="466"/>
      <c r="N6" s="466"/>
      <c r="O6" s="466"/>
      <c r="P6" s="466"/>
      <c r="Q6" s="466"/>
      <c r="R6" s="466"/>
      <c r="S6" s="179"/>
      <c r="T6" s="179"/>
    </row>
    <row r="7" spans="1:20" ht="165" customHeight="1">
      <c r="A7" s="467" t="s">
        <v>488</v>
      </c>
      <c r="B7" s="468"/>
      <c r="C7" s="468"/>
      <c r="D7" s="468"/>
      <c r="E7" s="468"/>
      <c r="F7" s="468"/>
      <c r="G7" s="468"/>
      <c r="H7" s="468"/>
      <c r="I7" s="468"/>
      <c r="J7" s="468"/>
      <c r="K7" s="468"/>
      <c r="L7" s="468"/>
      <c r="M7" s="468"/>
      <c r="N7" s="468"/>
      <c r="O7" s="468"/>
      <c r="P7" s="468"/>
      <c r="Q7" s="468"/>
      <c r="R7" s="469"/>
      <c r="S7" s="180"/>
      <c r="T7" s="180"/>
    </row>
    <row r="8" spans="1:20" ht="14">
      <c r="A8" s="470"/>
      <c r="B8" s="470"/>
      <c r="C8" s="470"/>
      <c r="D8" s="470"/>
      <c r="E8" s="470"/>
      <c r="F8" s="470"/>
      <c r="G8" s="470"/>
      <c r="H8" s="470"/>
      <c r="I8" s="470"/>
      <c r="J8" s="470"/>
      <c r="K8" s="470"/>
      <c r="L8" s="470"/>
      <c r="M8" s="470"/>
      <c r="N8" s="470"/>
      <c r="O8" s="470"/>
      <c r="P8" s="470"/>
      <c r="Q8" s="470"/>
      <c r="R8" s="470"/>
      <c r="S8" s="173"/>
      <c r="T8" s="173"/>
    </row>
    <row r="9" spans="1:20">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181"/>
      <c r="T9" s="181"/>
    </row>
    <row r="10" spans="1:20" ht="16.5" customHeight="1">
      <c r="A10" s="453"/>
      <c r="B10" s="453"/>
      <c r="C10" s="499"/>
      <c r="D10" s="475"/>
      <c r="E10" s="478"/>
      <c r="F10" s="453"/>
      <c r="G10" s="453"/>
      <c r="H10" s="455" t="s">
        <v>306</v>
      </c>
      <c r="I10" s="408"/>
      <c r="J10" s="408"/>
      <c r="K10" s="408"/>
      <c r="L10" s="408"/>
      <c r="M10" s="408"/>
      <c r="N10" s="408"/>
      <c r="O10" s="408"/>
      <c r="P10" s="408"/>
      <c r="Q10" s="409"/>
      <c r="R10" s="453"/>
      <c r="S10" s="46"/>
      <c r="T10" s="46"/>
    </row>
    <row r="11" spans="1:20">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46"/>
      <c r="T11" s="46"/>
    </row>
    <row r="12" spans="1:20"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c r="S12" s="46"/>
      <c r="T12" s="46"/>
    </row>
    <row r="13" spans="1:20"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46"/>
      <c r="T13" s="46"/>
    </row>
    <row r="14" spans="1:20"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row>
    <row r="15" spans="1:20" ht="15" customHeight="1">
      <c r="A15" s="12"/>
      <c r="B15" s="12"/>
      <c r="C15" s="206" t="s">
        <v>16</v>
      </c>
      <c r="D15" s="308"/>
      <c r="E15" s="297" t="s">
        <v>22</v>
      </c>
      <c r="F15" s="231">
        <f>'Component List'!D48</f>
        <v>0</v>
      </c>
      <c r="G15" s="287">
        <v>50</v>
      </c>
      <c r="H15" s="231">
        <f>D15*F15*G15/100</f>
        <v>0</v>
      </c>
      <c r="I15" s="231"/>
      <c r="J15" s="231"/>
      <c r="K15" s="231"/>
      <c r="L15" s="231"/>
      <c r="M15" s="231"/>
      <c r="N15" s="28"/>
      <c r="O15" s="28"/>
      <c r="P15" s="28"/>
      <c r="Q15" s="28"/>
      <c r="R15" s="13"/>
      <c r="S15" s="182"/>
      <c r="T15" s="182"/>
    </row>
    <row r="16" spans="1:20" ht="18">
      <c r="A16" s="64"/>
      <c r="B16" s="64"/>
      <c r="C16" s="242" t="s">
        <v>297</v>
      </c>
      <c r="D16" s="267"/>
      <c r="E16" s="299"/>
      <c r="F16" s="231"/>
      <c r="G16" s="287"/>
      <c r="H16" s="231"/>
      <c r="I16" s="231"/>
      <c r="J16" s="231"/>
      <c r="K16" s="231"/>
      <c r="L16" s="231"/>
      <c r="M16" s="231"/>
      <c r="N16" s="28"/>
      <c r="O16" s="28"/>
      <c r="P16" s="28"/>
      <c r="Q16" s="28"/>
      <c r="R16" s="13"/>
      <c r="S16" s="182"/>
      <c r="T16" s="182"/>
    </row>
    <row r="17" spans="1:36" ht="17.5">
      <c r="A17" s="12"/>
      <c r="B17" s="347"/>
      <c r="C17" s="206" t="s">
        <v>160</v>
      </c>
      <c r="D17" s="308"/>
      <c r="E17" s="297" t="s">
        <v>20</v>
      </c>
      <c r="F17" s="231">
        <f>'Component List'!D2</f>
        <v>1.6399999999999997</v>
      </c>
      <c r="G17" s="287">
        <v>50</v>
      </c>
      <c r="H17" s="231">
        <f>D17*F17*G17/100</f>
        <v>0</v>
      </c>
      <c r="I17" s="231"/>
      <c r="J17" s="231"/>
      <c r="K17" s="231"/>
      <c r="L17" s="231"/>
      <c r="M17" s="231"/>
      <c r="N17" s="28"/>
      <c r="O17" s="28"/>
      <c r="P17" s="28"/>
      <c r="Q17" s="28"/>
      <c r="R17" s="13"/>
      <c r="S17" s="182"/>
      <c r="T17" s="182"/>
    </row>
    <row r="18" spans="1:36" ht="17.5">
      <c r="A18" s="12"/>
      <c r="B18" s="347"/>
      <c r="C18" s="206" t="s">
        <v>159</v>
      </c>
      <c r="D18" s="308"/>
      <c r="E18" s="297" t="s">
        <v>20</v>
      </c>
      <c r="F18" s="231">
        <f>'Component List'!D3</f>
        <v>0</v>
      </c>
      <c r="G18" s="287">
        <v>50</v>
      </c>
      <c r="H18" s="231">
        <f>D18*F18*G18/100</f>
        <v>0</v>
      </c>
      <c r="I18" s="231"/>
      <c r="J18" s="231"/>
      <c r="K18" s="231"/>
      <c r="L18" s="231"/>
      <c r="M18" s="231"/>
      <c r="N18" s="28"/>
      <c r="O18" s="28"/>
      <c r="P18" s="28"/>
      <c r="Q18" s="28"/>
      <c r="R18" s="13"/>
      <c r="S18" s="182"/>
      <c r="T18" s="182"/>
    </row>
    <row r="19" spans="1:36" ht="17.5">
      <c r="A19" s="12"/>
      <c r="B19" s="347"/>
      <c r="C19" s="206" t="s">
        <v>161</v>
      </c>
      <c r="D19" s="308"/>
      <c r="E19" s="297" t="s">
        <v>20</v>
      </c>
      <c r="F19" s="231">
        <f>'Component List'!D4</f>
        <v>80.06</v>
      </c>
      <c r="G19" s="287">
        <v>50</v>
      </c>
      <c r="H19" s="231">
        <f t="shared" ref="H19:H24" si="0">D19*F19*G19/100</f>
        <v>0</v>
      </c>
      <c r="I19" s="231"/>
      <c r="J19" s="231"/>
      <c r="K19" s="231"/>
      <c r="L19" s="231"/>
      <c r="M19" s="231"/>
      <c r="N19" s="28"/>
      <c r="O19" s="28"/>
      <c r="P19" s="28"/>
      <c r="Q19" s="28"/>
      <c r="R19" s="13"/>
      <c r="S19" s="182"/>
      <c r="T19" s="182"/>
    </row>
    <row r="20" spans="1:36" ht="17.5">
      <c r="A20" s="12"/>
      <c r="B20" s="347"/>
      <c r="C20" s="206" t="s">
        <v>302</v>
      </c>
      <c r="D20" s="308"/>
      <c r="E20" s="297" t="s">
        <v>20</v>
      </c>
      <c r="F20" s="231">
        <f>'Component List'!D5</f>
        <v>62.6</v>
      </c>
      <c r="G20" s="287">
        <v>50</v>
      </c>
      <c r="H20" s="231">
        <f t="shared" si="0"/>
        <v>0</v>
      </c>
      <c r="I20" s="231"/>
      <c r="J20" s="231"/>
      <c r="K20" s="231"/>
      <c r="L20" s="231"/>
      <c r="M20" s="231"/>
      <c r="N20" s="28"/>
      <c r="O20" s="28"/>
      <c r="P20" s="28"/>
      <c r="Q20" s="28"/>
      <c r="R20" s="13"/>
      <c r="S20" s="182"/>
      <c r="T20" s="182"/>
    </row>
    <row r="21" spans="1:36" ht="17.5">
      <c r="A21" s="35"/>
      <c r="B21" s="349"/>
      <c r="C21" s="206" t="s">
        <v>293</v>
      </c>
      <c r="D21" s="308"/>
      <c r="E21" s="297" t="s">
        <v>20</v>
      </c>
      <c r="F21" s="231">
        <f>'Component List'!D12</f>
        <v>214.1</v>
      </c>
      <c r="G21" s="287">
        <v>50</v>
      </c>
      <c r="H21" s="292">
        <f t="shared" si="0"/>
        <v>0</v>
      </c>
      <c r="I21" s="231"/>
      <c r="J21" s="292"/>
      <c r="K21" s="292"/>
      <c r="L21" s="292"/>
      <c r="M21" s="292"/>
      <c r="N21" s="68"/>
      <c r="O21" s="68"/>
      <c r="P21" s="68"/>
      <c r="Q21" s="68"/>
      <c r="R21" s="43"/>
      <c r="S21" s="183"/>
      <c r="T21" s="183"/>
    </row>
    <row r="22" spans="1:36" ht="17.5">
      <c r="A22" s="12"/>
      <c r="B22" s="347"/>
      <c r="C22" s="206" t="s">
        <v>165</v>
      </c>
      <c r="D22" s="308"/>
      <c r="E22" s="297" t="s">
        <v>20</v>
      </c>
      <c r="F22" s="231">
        <f>'Component List'!D28</f>
        <v>94.14</v>
      </c>
      <c r="G22" s="287">
        <v>50</v>
      </c>
      <c r="H22" s="231">
        <f t="shared" si="0"/>
        <v>0</v>
      </c>
      <c r="I22" s="288"/>
      <c r="J22" s="231"/>
      <c r="K22" s="231"/>
      <c r="L22" s="231"/>
      <c r="M22" s="231"/>
      <c r="N22" s="28"/>
      <c r="O22" s="28"/>
      <c r="P22" s="28"/>
      <c r="Q22" s="28"/>
      <c r="R22" s="13"/>
      <c r="S22" s="182"/>
      <c r="T22" s="182"/>
    </row>
    <row r="23" spans="1:36" ht="17.5">
      <c r="A23" s="12"/>
      <c r="B23" s="347"/>
      <c r="C23" s="206" t="s">
        <v>163</v>
      </c>
      <c r="D23" s="308"/>
      <c r="E23" s="297" t="s">
        <v>20</v>
      </c>
      <c r="F23" s="231">
        <f>'Component List'!D15</f>
        <v>21.78</v>
      </c>
      <c r="G23" s="287">
        <v>50</v>
      </c>
      <c r="H23" s="231">
        <f t="shared" si="0"/>
        <v>0</v>
      </c>
      <c r="I23" s="231"/>
      <c r="J23" s="231"/>
      <c r="K23" s="231"/>
      <c r="L23" s="231"/>
      <c r="M23" s="231"/>
      <c r="N23" s="28"/>
      <c r="O23" s="28"/>
      <c r="P23" s="28"/>
      <c r="Q23" s="28"/>
      <c r="R23" s="13"/>
      <c r="S23" s="182"/>
      <c r="T23" s="182"/>
    </row>
    <row r="24" spans="1:36" ht="17.5">
      <c r="A24" s="12"/>
      <c r="B24" s="347"/>
      <c r="C24" s="207" t="s">
        <v>97</v>
      </c>
      <c r="D24" s="308"/>
      <c r="E24" s="312" t="s">
        <v>20</v>
      </c>
      <c r="F24" s="231">
        <f>'Component List'!D16</f>
        <v>84.42</v>
      </c>
      <c r="G24" s="287">
        <v>50</v>
      </c>
      <c r="H24" s="231">
        <f t="shared" si="0"/>
        <v>0</v>
      </c>
      <c r="I24" s="231"/>
      <c r="J24" s="231"/>
      <c r="K24" s="231"/>
      <c r="L24" s="231"/>
      <c r="M24" s="231"/>
      <c r="N24" s="28"/>
      <c r="O24" s="28"/>
      <c r="P24" s="28"/>
      <c r="Q24" s="28"/>
      <c r="R24" s="13"/>
      <c r="S24" s="182"/>
      <c r="T24" s="182"/>
    </row>
    <row r="25" spans="1:36" ht="17.5" hidden="1">
      <c r="A25" s="12"/>
      <c r="B25" s="347"/>
      <c r="C25" s="206"/>
      <c r="D25" s="308"/>
      <c r="E25" s="312" t="s">
        <v>20</v>
      </c>
      <c r="F25" s="231"/>
      <c r="G25" s="287"/>
      <c r="H25" s="231"/>
      <c r="I25" s="231"/>
      <c r="J25" s="231"/>
      <c r="K25" s="231"/>
      <c r="L25" s="231"/>
      <c r="M25" s="231"/>
      <c r="N25" s="28"/>
      <c r="O25" s="28"/>
      <c r="P25" s="28"/>
      <c r="Q25" s="28"/>
      <c r="R25" s="13"/>
      <c r="S25" s="182"/>
      <c r="T25" s="182"/>
    </row>
    <row r="26" spans="1:36" ht="17.5">
      <c r="A26" s="12"/>
      <c r="B26" s="347"/>
      <c r="C26" s="207" t="s">
        <v>60</v>
      </c>
      <c r="D26" s="308"/>
      <c r="E26" s="312" t="s">
        <v>20</v>
      </c>
      <c r="F26" s="231">
        <f>(VLOOKUP(C26,W40:X48,2,TRUE))*1</f>
        <v>0</v>
      </c>
      <c r="G26" s="287">
        <v>50</v>
      </c>
      <c r="H26" s="300"/>
      <c r="I26" s="231"/>
      <c r="J26" s="231">
        <f>D26*F26*G26/100</f>
        <v>0</v>
      </c>
      <c r="K26" s="231"/>
      <c r="L26" s="231"/>
      <c r="M26" s="231"/>
      <c r="N26" s="28"/>
      <c r="O26" s="28"/>
      <c r="P26" s="28"/>
      <c r="Q26" s="28"/>
      <c r="R26" s="13"/>
      <c r="S26" s="182"/>
      <c r="T26" s="182"/>
    </row>
    <row r="27" spans="1:36" ht="17.5">
      <c r="A27" s="12"/>
      <c r="B27" s="347"/>
      <c r="C27" s="207" t="s">
        <v>60</v>
      </c>
      <c r="D27" s="308"/>
      <c r="E27" s="312" t="s">
        <v>20</v>
      </c>
      <c r="F27" s="293">
        <f>(VLOOKUP(C27,W40:X48,2,TRUE))*1</f>
        <v>0</v>
      </c>
      <c r="G27" s="287">
        <v>50</v>
      </c>
      <c r="H27" s="300"/>
      <c r="I27" s="231"/>
      <c r="J27" s="231"/>
      <c r="K27" s="231">
        <f>D27*F27*G27/100</f>
        <v>0</v>
      </c>
      <c r="L27" s="231"/>
      <c r="M27" s="231"/>
      <c r="N27" s="28"/>
      <c r="O27" s="28"/>
      <c r="P27" s="28"/>
      <c r="Q27" s="28"/>
      <c r="R27" s="13"/>
      <c r="S27" s="182"/>
      <c r="T27" s="182"/>
    </row>
    <row r="28" spans="1:36" ht="17.5">
      <c r="A28" s="12"/>
      <c r="B28" s="347"/>
      <c r="C28" s="207" t="s">
        <v>59</v>
      </c>
      <c r="D28" s="308"/>
      <c r="E28" s="312" t="s">
        <v>20</v>
      </c>
      <c r="F28" s="293">
        <f>(VLOOKUP(C28,W50:X58,2,TRUE))*1</f>
        <v>0</v>
      </c>
      <c r="G28" s="287">
        <v>50</v>
      </c>
      <c r="H28" s="300"/>
      <c r="I28" s="231"/>
      <c r="J28" s="231"/>
      <c r="K28" s="231"/>
      <c r="L28" s="231">
        <f>D28*F28*G28/100</f>
        <v>0</v>
      </c>
      <c r="M28" s="231"/>
      <c r="N28" s="28"/>
      <c r="O28" s="28"/>
      <c r="P28" s="28"/>
      <c r="Q28" s="28"/>
      <c r="R28" s="13"/>
      <c r="S28" s="182"/>
      <c r="T28" s="182"/>
      <c r="Y28" s="46"/>
      <c r="Z28" s="93"/>
      <c r="AA28" s="93"/>
      <c r="AB28" s="93"/>
      <c r="AC28" s="93"/>
      <c r="AD28" s="93"/>
      <c r="AE28" s="93"/>
      <c r="AF28" s="93"/>
      <c r="AG28" s="93"/>
      <c r="AH28" s="93"/>
      <c r="AI28" s="93"/>
      <c r="AJ28" s="93"/>
    </row>
    <row r="29" spans="1:36" ht="17.5">
      <c r="A29" s="12"/>
      <c r="B29" s="347"/>
      <c r="C29" s="207" t="s">
        <v>59</v>
      </c>
      <c r="D29" s="308"/>
      <c r="E29" s="297" t="s">
        <v>20</v>
      </c>
      <c r="F29" s="293">
        <f>(VLOOKUP(C29,W50:X58,2,TRUE))*1</f>
        <v>0</v>
      </c>
      <c r="G29" s="287">
        <v>50</v>
      </c>
      <c r="H29" s="300"/>
      <c r="I29" s="231"/>
      <c r="J29" s="231"/>
      <c r="K29" s="231"/>
      <c r="L29" s="231"/>
      <c r="M29" s="231">
        <f>D29*F29*G29/100</f>
        <v>0</v>
      </c>
      <c r="N29" s="28"/>
      <c r="O29" s="28"/>
      <c r="P29" s="28"/>
      <c r="Q29" s="28"/>
      <c r="R29" s="13"/>
      <c r="S29" s="182"/>
      <c r="T29" s="182"/>
      <c r="W29" s="26" t="s">
        <v>1</v>
      </c>
      <c r="X29" s="11">
        <v>0</v>
      </c>
      <c r="Y29" s="93"/>
      <c r="Z29" s="93"/>
      <c r="AA29" s="93"/>
      <c r="AB29" s="93"/>
      <c r="AC29" s="93"/>
      <c r="AD29" s="93"/>
      <c r="AE29" s="93"/>
      <c r="AF29" s="93"/>
      <c r="AG29" s="93"/>
      <c r="AH29" s="93"/>
    </row>
    <row r="30" spans="1:36" ht="15.5">
      <c r="A30" s="456" t="s">
        <v>89</v>
      </c>
      <c r="B30" s="457"/>
      <c r="C30" s="458"/>
      <c r="D30" s="286"/>
      <c r="E30" s="280"/>
      <c r="F30" s="265"/>
      <c r="G30" s="281"/>
      <c r="H30" s="271">
        <f t="shared" ref="H30:M30" si="1">SUM(H15:H29)</f>
        <v>0</v>
      </c>
      <c r="I30" s="271">
        <f t="shared" si="1"/>
        <v>0</v>
      </c>
      <c r="J30" s="271">
        <f t="shared" si="1"/>
        <v>0</v>
      </c>
      <c r="K30" s="271">
        <f t="shared" si="1"/>
        <v>0</v>
      </c>
      <c r="L30" s="271">
        <f t="shared" si="1"/>
        <v>0</v>
      </c>
      <c r="M30" s="271">
        <f t="shared" si="1"/>
        <v>0</v>
      </c>
      <c r="N30" s="23"/>
      <c r="O30" s="23"/>
      <c r="P30" s="23"/>
      <c r="Q30" s="23"/>
      <c r="R30" s="25"/>
      <c r="S30" s="186"/>
      <c r="T30" s="186"/>
      <c r="W30" s="201" t="s">
        <v>92</v>
      </c>
      <c r="X30" s="72">
        <f>'Component List'!D18</f>
        <v>31.04</v>
      </c>
      <c r="Y30" s="46"/>
      <c r="Z30" s="93"/>
      <c r="AA30" s="93"/>
      <c r="AB30" s="93"/>
      <c r="AC30" s="93"/>
      <c r="AD30" s="93"/>
      <c r="AE30" s="93"/>
      <c r="AF30" s="93"/>
      <c r="AG30" s="93"/>
      <c r="AH30" s="93"/>
      <c r="AI30" s="93"/>
      <c r="AJ30" s="93"/>
    </row>
    <row r="31" spans="1:36" ht="37.5" customHeight="1">
      <c r="A31" s="496" t="str">
        <f>IF(W60,W62,"")</f>
        <v/>
      </c>
      <c r="B31" s="497"/>
      <c r="C31" s="497"/>
      <c r="D31" s="497"/>
      <c r="E31" s="497"/>
      <c r="F31" s="497"/>
      <c r="G31" s="497"/>
      <c r="H31" s="497"/>
      <c r="I31" s="497"/>
      <c r="J31" s="497"/>
      <c r="K31" s="497"/>
      <c r="L31" s="497"/>
      <c r="M31" s="497"/>
      <c r="N31" s="497"/>
      <c r="O31" s="497"/>
      <c r="P31" s="497"/>
      <c r="Q31" s="497"/>
      <c r="R31" s="497"/>
      <c r="S31" s="47"/>
      <c r="T31" s="47"/>
      <c r="W31" s="201" t="s">
        <v>254</v>
      </c>
      <c r="X31" s="72">
        <f>'Component List'!D19</f>
        <v>100</v>
      </c>
      <c r="Y31" s="46"/>
      <c r="Z31" s="93"/>
      <c r="AA31" s="93"/>
      <c r="AB31" s="93"/>
      <c r="AC31" s="93"/>
      <c r="AD31" s="93"/>
      <c r="AE31" s="93"/>
      <c r="AF31" s="93"/>
      <c r="AG31" s="93"/>
      <c r="AH31" s="93"/>
      <c r="AI31" s="93"/>
      <c r="AJ31" s="93"/>
    </row>
    <row r="32" spans="1:36" ht="15.5">
      <c r="A32" s="401" t="s">
        <v>262</v>
      </c>
      <c r="B32" s="402"/>
      <c r="C32" s="402"/>
      <c r="D32" s="402"/>
      <c r="E32" s="402"/>
      <c r="F32" s="402"/>
      <c r="G32" s="402"/>
      <c r="H32" s="402"/>
      <c r="I32" s="402"/>
      <c r="J32" s="402"/>
      <c r="K32" s="402"/>
      <c r="L32" s="402"/>
      <c r="M32" s="402"/>
      <c r="N32" s="402"/>
      <c r="O32" s="402"/>
      <c r="P32" s="402"/>
      <c r="Q32" s="402"/>
      <c r="R32" s="403"/>
      <c r="S32" s="187"/>
      <c r="T32" s="187"/>
      <c r="W32" s="201" t="s">
        <v>93</v>
      </c>
      <c r="X32" s="72">
        <f>'Component List'!D22</f>
        <v>23.04</v>
      </c>
      <c r="Y32" s="46"/>
      <c r="Z32" s="93"/>
      <c r="AA32" s="93"/>
      <c r="AB32" s="93"/>
      <c r="AC32" s="93"/>
      <c r="AD32" s="93"/>
      <c r="AE32" s="93"/>
      <c r="AF32" s="93"/>
      <c r="AG32" s="93"/>
      <c r="AH32" s="93"/>
      <c r="AI32" s="93"/>
      <c r="AJ32" s="93"/>
    </row>
    <row r="33" spans="1:36" ht="52.5" customHeight="1">
      <c r="A33" s="393" t="s">
        <v>434</v>
      </c>
      <c r="B33" s="394"/>
      <c r="C33" s="394"/>
      <c r="D33" s="394"/>
      <c r="E33" s="394"/>
      <c r="F33" s="394"/>
      <c r="G33" s="394"/>
      <c r="H33" s="394"/>
      <c r="I33" s="394"/>
      <c r="J33" s="394"/>
      <c r="K33" s="394"/>
      <c r="L33" s="394"/>
      <c r="M33" s="394"/>
      <c r="N33" s="394"/>
      <c r="O33" s="394"/>
      <c r="P33" s="394"/>
      <c r="Q33" s="394"/>
      <c r="R33" s="395"/>
      <c r="S33" s="188"/>
      <c r="T33" s="188"/>
      <c r="W33" s="201" t="s">
        <v>36</v>
      </c>
      <c r="X33" s="72">
        <f>'Component List'!D23</f>
        <v>100</v>
      </c>
      <c r="Y33" s="46"/>
      <c r="Z33" s="93"/>
      <c r="AA33" s="93"/>
      <c r="AB33" s="93"/>
      <c r="AC33" s="93"/>
      <c r="AD33" s="93"/>
      <c r="AE33" s="93"/>
      <c r="AF33" s="93"/>
      <c r="AG33" s="93"/>
      <c r="AH33" s="93"/>
      <c r="AI33" s="93"/>
      <c r="AJ33" s="93"/>
    </row>
    <row r="34" spans="1:36" ht="15.5">
      <c r="A34" s="460" t="s">
        <v>390</v>
      </c>
      <c r="B34" s="461"/>
      <c r="C34" s="461"/>
      <c r="D34" s="461"/>
      <c r="E34" s="461"/>
      <c r="F34" s="461"/>
      <c r="G34" s="461"/>
      <c r="H34" s="461"/>
      <c r="I34" s="461"/>
      <c r="J34" s="461"/>
      <c r="K34" s="461"/>
      <c r="L34" s="461"/>
      <c r="M34" s="461"/>
      <c r="N34" s="461"/>
      <c r="O34" s="461"/>
      <c r="P34" s="461"/>
      <c r="Q34" s="461"/>
      <c r="R34" s="462"/>
      <c r="S34" s="52"/>
      <c r="T34" s="52"/>
      <c r="W34" s="201" t="s">
        <v>151</v>
      </c>
      <c r="X34" s="72">
        <f>'Component List'!D24</f>
        <v>100</v>
      </c>
      <c r="Y34" s="46"/>
      <c r="Z34" s="93"/>
      <c r="AA34" s="93"/>
      <c r="AB34" s="93"/>
      <c r="AC34" s="93"/>
      <c r="AD34" s="93"/>
      <c r="AE34" s="93"/>
      <c r="AF34" s="93"/>
      <c r="AG34" s="93"/>
      <c r="AH34" s="93"/>
      <c r="AI34" s="93"/>
      <c r="AJ34" s="93"/>
    </row>
    <row r="35" spans="1:36" ht="46.5" customHeight="1">
      <c r="A35" s="463" t="s">
        <v>392</v>
      </c>
      <c r="B35" s="464"/>
      <c r="C35" s="464"/>
      <c r="D35" s="464"/>
      <c r="E35" s="464"/>
      <c r="F35" s="464"/>
      <c r="G35" s="464"/>
      <c r="H35" s="464"/>
      <c r="I35" s="464"/>
      <c r="J35" s="464"/>
      <c r="K35" s="464"/>
      <c r="L35" s="464"/>
      <c r="M35" s="464"/>
      <c r="N35" s="464"/>
      <c r="O35" s="464"/>
      <c r="P35" s="464"/>
      <c r="Q35" s="464"/>
      <c r="R35" s="465"/>
      <c r="S35" s="189"/>
      <c r="T35" s="189"/>
      <c r="W35" s="201" t="s">
        <v>255</v>
      </c>
      <c r="X35" s="72">
        <f>'Component List'!D25</f>
        <v>100</v>
      </c>
      <c r="Y35" s="46"/>
      <c r="Z35" s="93"/>
      <c r="AA35" s="93"/>
      <c r="AB35" s="93"/>
      <c r="AC35" s="93"/>
      <c r="AD35" s="93"/>
      <c r="AE35" s="93"/>
      <c r="AF35" s="93"/>
      <c r="AG35" s="93"/>
      <c r="AH35" s="93"/>
      <c r="AI35" s="93"/>
      <c r="AJ35" s="93"/>
    </row>
    <row r="36" spans="1:36" ht="15.5">
      <c r="A36" s="413" t="s">
        <v>221</v>
      </c>
      <c r="B36" s="414"/>
      <c r="C36" s="414"/>
      <c r="D36" s="414"/>
      <c r="E36" s="414"/>
      <c r="F36" s="414"/>
      <c r="G36" s="414"/>
      <c r="H36" s="414"/>
      <c r="I36" s="414"/>
      <c r="J36" s="414"/>
      <c r="K36" s="414"/>
      <c r="L36" s="414"/>
      <c r="M36" s="414"/>
      <c r="N36" s="414"/>
      <c r="O36" s="414"/>
      <c r="P36" s="414"/>
      <c r="Q36" s="414"/>
      <c r="R36" s="415"/>
      <c r="S36" s="187"/>
      <c r="T36" s="187"/>
      <c r="W36" s="201" t="s">
        <v>256</v>
      </c>
      <c r="X36" s="72">
        <f>'Component List'!D26</f>
        <v>100</v>
      </c>
      <c r="Y36" s="46"/>
      <c r="Z36" s="93"/>
      <c r="AA36" s="93"/>
      <c r="AB36" s="93"/>
      <c r="AC36" s="93"/>
      <c r="AD36" s="93"/>
      <c r="AE36" s="93"/>
      <c r="AF36" s="93"/>
      <c r="AG36" s="93"/>
      <c r="AH36" s="93"/>
      <c r="AI36" s="93"/>
      <c r="AJ36" s="93"/>
    </row>
    <row r="37" spans="1:36" ht="79.5" customHeight="1">
      <c r="A37" s="396" t="s">
        <v>370</v>
      </c>
      <c r="B37" s="397"/>
      <c r="C37" s="397"/>
      <c r="D37" s="397"/>
      <c r="E37" s="397"/>
      <c r="F37" s="397"/>
      <c r="G37" s="397"/>
      <c r="H37" s="397"/>
      <c r="I37" s="397"/>
      <c r="J37" s="397"/>
      <c r="K37" s="397"/>
      <c r="L37" s="397"/>
      <c r="M37" s="397"/>
      <c r="N37" s="397"/>
      <c r="O37" s="397"/>
      <c r="P37" s="397"/>
      <c r="Q37" s="397"/>
      <c r="R37" s="398"/>
      <c r="S37" s="190"/>
      <c r="T37" s="190"/>
      <c r="W37" s="201" t="s">
        <v>317</v>
      </c>
      <c r="X37" s="72">
        <f>'Component List'!D59</f>
        <v>100</v>
      </c>
      <c r="Y37" s="46"/>
      <c r="Z37" s="93"/>
      <c r="AA37" s="93"/>
      <c r="AB37" s="93"/>
      <c r="AC37" s="93"/>
      <c r="AD37" s="93"/>
      <c r="AE37" s="93"/>
      <c r="AF37" s="93"/>
      <c r="AG37" s="93"/>
      <c r="AH37" s="93"/>
      <c r="AI37" s="93"/>
      <c r="AJ37" s="93"/>
    </row>
    <row r="38" spans="1:36" ht="15.5">
      <c r="W38" s="26"/>
      <c r="X38" s="80"/>
      <c r="Y38" s="93"/>
      <c r="Z38" s="93"/>
      <c r="AA38" s="93"/>
      <c r="AB38" s="93"/>
      <c r="AC38" s="93"/>
      <c r="AD38" s="93"/>
      <c r="AE38" s="93"/>
      <c r="AF38" s="93"/>
      <c r="AG38" s="93"/>
      <c r="AH38" s="93"/>
      <c r="AI38" s="93"/>
      <c r="AJ38" s="93"/>
    </row>
    <row r="39" spans="1:36" ht="15.5">
      <c r="W39" s="26"/>
      <c r="X39" s="80"/>
      <c r="Y39" s="93"/>
      <c r="Z39" s="93"/>
      <c r="AA39" s="93"/>
      <c r="AB39" s="93"/>
      <c r="AC39" s="93"/>
      <c r="AD39" s="93"/>
      <c r="AE39" s="93"/>
      <c r="AF39" s="93"/>
      <c r="AG39" s="93"/>
      <c r="AH39" s="93"/>
      <c r="AI39" s="93"/>
      <c r="AJ39" s="93"/>
    </row>
    <row r="40" spans="1:36" ht="15.5">
      <c r="W40" s="26" t="s">
        <v>60</v>
      </c>
      <c r="X40" s="80">
        <v>0</v>
      </c>
      <c r="Y40" s="93"/>
      <c r="Z40" s="93"/>
      <c r="AA40" s="93"/>
      <c r="AB40" s="93"/>
      <c r="AC40" s="93"/>
      <c r="AD40" s="93"/>
      <c r="AE40" s="93"/>
      <c r="AF40" s="93"/>
      <c r="AG40" s="93"/>
      <c r="AH40" s="93"/>
      <c r="AI40" s="93"/>
      <c r="AJ40" s="93"/>
    </row>
    <row r="41" spans="1:36" ht="15.5">
      <c r="W41" s="203" t="s">
        <v>184</v>
      </c>
      <c r="X41" s="45">
        <f>'Component List'!D18</f>
        <v>31.04</v>
      </c>
      <c r="Y41" s="93"/>
      <c r="Z41" s="93"/>
      <c r="AA41" s="93"/>
      <c r="AB41" s="93"/>
      <c r="AC41" s="93"/>
      <c r="AD41" s="93"/>
      <c r="AE41" s="93"/>
      <c r="AF41" s="93"/>
      <c r="AG41" s="93"/>
      <c r="AH41" s="93"/>
      <c r="AI41" s="93"/>
      <c r="AJ41" s="93"/>
    </row>
    <row r="42" spans="1:36" ht="15.5">
      <c r="W42" s="203" t="s">
        <v>117</v>
      </c>
      <c r="X42" s="45">
        <f>'Component List'!D19</f>
        <v>100</v>
      </c>
      <c r="Y42" s="93"/>
      <c r="Z42" s="93"/>
      <c r="AA42" s="93"/>
      <c r="AB42" s="93"/>
      <c r="AC42" s="93"/>
      <c r="AD42" s="93"/>
      <c r="AE42" s="93"/>
      <c r="AF42" s="93"/>
      <c r="AG42" s="93"/>
      <c r="AH42" s="93"/>
      <c r="AI42" s="93"/>
      <c r="AJ42" s="93"/>
    </row>
    <row r="43" spans="1:36" ht="15.5">
      <c r="W43" s="203" t="s">
        <v>185</v>
      </c>
      <c r="X43" s="45">
        <f>'Component List'!D22</f>
        <v>23.04</v>
      </c>
      <c r="Y43" s="93"/>
      <c r="Z43" s="93"/>
      <c r="AA43" s="93"/>
      <c r="AB43" s="93"/>
      <c r="AC43" s="93"/>
      <c r="AD43" s="93"/>
      <c r="AE43" s="93"/>
      <c r="AF43" s="93"/>
      <c r="AG43" s="93"/>
      <c r="AH43" s="93"/>
      <c r="AI43" s="93"/>
      <c r="AJ43" s="93"/>
    </row>
    <row r="44" spans="1:36" ht="15.5">
      <c r="W44" s="203" t="s">
        <v>186</v>
      </c>
      <c r="X44" s="45">
        <f>'Component List'!D23</f>
        <v>100</v>
      </c>
      <c r="Y44" s="93"/>
      <c r="Z44" s="93"/>
      <c r="AA44" s="93"/>
      <c r="AB44" s="93"/>
      <c r="AC44" s="93"/>
      <c r="AD44" s="93"/>
      <c r="AE44" s="93"/>
      <c r="AF44" s="93"/>
      <c r="AG44" s="93"/>
      <c r="AH44" s="93"/>
      <c r="AI44" s="93"/>
      <c r="AJ44" s="93"/>
    </row>
    <row r="45" spans="1:36" ht="15.5">
      <c r="W45" s="203" t="s">
        <v>57</v>
      </c>
      <c r="X45" s="45">
        <f>'Component List'!D24</f>
        <v>100</v>
      </c>
      <c r="Y45" s="93"/>
      <c r="Z45" s="93"/>
      <c r="AA45" s="93"/>
      <c r="AB45" s="93"/>
      <c r="AC45" s="93"/>
      <c r="AD45" s="93"/>
      <c r="AE45" s="93"/>
      <c r="AF45" s="93"/>
      <c r="AG45" s="93"/>
      <c r="AH45" s="93"/>
      <c r="AI45" s="93"/>
      <c r="AJ45" s="93"/>
    </row>
    <row r="46" spans="1:36" ht="15.5">
      <c r="W46" s="203" t="s">
        <v>118</v>
      </c>
      <c r="X46" s="45">
        <f>'Component List'!D25</f>
        <v>100</v>
      </c>
      <c r="Y46" s="93"/>
      <c r="Z46" s="93"/>
      <c r="AA46" s="93"/>
      <c r="AB46" s="93"/>
      <c r="AC46" s="93"/>
      <c r="AD46" s="93"/>
      <c r="AE46" s="93"/>
      <c r="AF46" s="93"/>
      <c r="AG46" s="93"/>
      <c r="AH46" s="93"/>
      <c r="AI46" s="93"/>
      <c r="AJ46" s="93"/>
    </row>
    <row r="47" spans="1:36" ht="15.5">
      <c r="W47" s="203" t="s">
        <v>119</v>
      </c>
      <c r="X47" s="45">
        <f>'Component List'!D26</f>
        <v>100</v>
      </c>
      <c r="Y47" s="93"/>
      <c r="Z47" s="93"/>
      <c r="AA47" s="93"/>
      <c r="AB47" s="93"/>
      <c r="AC47" s="93"/>
      <c r="AD47" s="93"/>
      <c r="AE47" s="93"/>
      <c r="AF47" s="93"/>
      <c r="AG47" s="93"/>
      <c r="AH47" s="93"/>
      <c r="AI47" s="93"/>
      <c r="AJ47" s="93"/>
    </row>
    <row r="48" spans="1:36" ht="15.5">
      <c r="W48" s="201" t="s">
        <v>61</v>
      </c>
      <c r="X48" s="45">
        <f>'Component List'!D59</f>
        <v>100</v>
      </c>
      <c r="Y48" s="93"/>
      <c r="Z48" s="93"/>
      <c r="AA48" s="93"/>
      <c r="AB48" s="93"/>
      <c r="AC48" s="93"/>
      <c r="AD48" s="93"/>
      <c r="AE48" s="93"/>
      <c r="AF48" s="93"/>
      <c r="AG48" s="93"/>
      <c r="AH48" s="93"/>
      <c r="AI48" s="93"/>
      <c r="AJ48" s="93"/>
    </row>
    <row r="49" spans="23:36" ht="15.5">
      <c r="W49" s="26"/>
      <c r="X49" s="80">
        <v>0</v>
      </c>
      <c r="Y49" s="93"/>
      <c r="Z49" s="93"/>
      <c r="AA49" s="93"/>
      <c r="AB49" s="93"/>
      <c r="AC49" s="93"/>
      <c r="AD49" s="93"/>
      <c r="AE49" s="93"/>
      <c r="AF49" s="93"/>
      <c r="AG49" s="93"/>
      <c r="AH49" s="93"/>
      <c r="AI49" s="93"/>
      <c r="AJ49" s="93"/>
    </row>
    <row r="50" spans="23:36" ht="15.5">
      <c r="W50" s="205" t="s">
        <v>59</v>
      </c>
      <c r="X50" s="80">
        <v>0</v>
      </c>
      <c r="Y50" s="93"/>
      <c r="Z50" s="93"/>
      <c r="AA50" s="93"/>
      <c r="AB50" s="93"/>
      <c r="AC50" s="93"/>
      <c r="AD50" s="93"/>
      <c r="AE50" s="93"/>
      <c r="AF50" s="93"/>
      <c r="AG50" s="93"/>
      <c r="AH50" s="93"/>
      <c r="AI50" s="93"/>
      <c r="AJ50" s="93"/>
    </row>
    <row r="51" spans="23:36" ht="15.5">
      <c r="W51" s="203" t="s">
        <v>158</v>
      </c>
      <c r="X51" s="45">
        <f>'Component List'!D18</f>
        <v>31.04</v>
      </c>
      <c r="Y51" s="93"/>
      <c r="Z51" s="93"/>
      <c r="AA51" s="93"/>
      <c r="AB51" s="93"/>
      <c r="AC51" s="93"/>
      <c r="AD51" s="93"/>
      <c r="AE51" s="93"/>
      <c r="AF51" s="93"/>
      <c r="AG51" s="93"/>
      <c r="AH51" s="93"/>
      <c r="AI51" s="93"/>
      <c r="AJ51" s="93"/>
    </row>
    <row r="52" spans="23:36" ht="15.5">
      <c r="W52" s="203" t="s">
        <v>120</v>
      </c>
      <c r="X52" s="45">
        <f>'Component List'!D19</f>
        <v>100</v>
      </c>
      <c r="Y52" s="93"/>
      <c r="Z52" s="93"/>
      <c r="AA52" s="93"/>
      <c r="AB52" s="93"/>
      <c r="AC52" s="93"/>
      <c r="AD52" s="93"/>
      <c r="AE52" s="93"/>
      <c r="AF52" s="93"/>
      <c r="AG52" s="93"/>
      <c r="AH52" s="93"/>
      <c r="AI52" s="93"/>
      <c r="AJ52" s="93"/>
    </row>
    <row r="53" spans="23:36" ht="15.5">
      <c r="W53" s="203" t="s">
        <v>39</v>
      </c>
      <c r="X53" s="45">
        <f>'Component List'!D22</f>
        <v>23.04</v>
      </c>
      <c r="Y53" s="93"/>
      <c r="Z53" s="93"/>
      <c r="AA53" s="93"/>
      <c r="AB53" s="93"/>
      <c r="AC53" s="93"/>
      <c r="AD53" s="93"/>
      <c r="AE53" s="93"/>
      <c r="AF53" s="93"/>
      <c r="AG53" s="93"/>
      <c r="AH53" s="93"/>
      <c r="AI53" s="93"/>
      <c r="AJ53" s="93"/>
    </row>
    <row r="54" spans="23:36" ht="15.5">
      <c r="W54" s="203" t="s">
        <v>40</v>
      </c>
      <c r="X54" s="45">
        <f>'Component List'!D23</f>
        <v>100</v>
      </c>
      <c r="Y54" s="93"/>
      <c r="Z54" s="93"/>
      <c r="AA54" s="93"/>
      <c r="AB54" s="93"/>
      <c r="AC54" s="93"/>
      <c r="AD54" s="93"/>
      <c r="AE54" s="93"/>
      <c r="AF54" s="93"/>
      <c r="AG54" s="93"/>
      <c r="AH54" s="93"/>
      <c r="AI54" s="93"/>
      <c r="AJ54" s="93"/>
    </row>
    <row r="55" spans="23:36" ht="15.5">
      <c r="W55" s="203" t="s">
        <v>58</v>
      </c>
      <c r="X55" s="45">
        <f>'Component List'!D24</f>
        <v>100</v>
      </c>
      <c r="Y55" s="93"/>
      <c r="Z55" s="93"/>
      <c r="AA55" s="93"/>
      <c r="AB55" s="93"/>
      <c r="AC55" s="93"/>
      <c r="AD55" s="93"/>
      <c r="AE55" s="93"/>
      <c r="AF55" s="93"/>
      <c r="AG55" s="93"/>
      <c r="AH55" s="93"/>
      <c r="AI55" s="93"/>
      <c r="AJ55" s="93"/>
    </row>
    <row r="56" spans="23:36" ht="15.5">
      <c r="W56" s="203" t="s">
        <v>115</v>
      </c>
      <c r="X56" s="45">
        <f>'Component List'!D25</f>
        <v>100</v>
      </c>
      <c r="Y56" s="93"/>
      <c r="Z56" s="93"/>
      <c r="AA56" s="93"/>
      <c r="AB56" s="93"/>
      <c r="AC56" s="93"/>
      <c r="AD56" s="93"/>
      <c r="AE56" s="93"/>
      <c r="AF56" s="93"/>
      <c r="AG56" s="93"/>
      <c r="AH56" s="93"/>
      <c r="AI56" s="93"/>
      <c r="AJ56" s="93"/>
    </row>
    <row r="57" spans="23:36" ht="15.5">
      <c r="W57" s="203" t="s">
        <v>116</v>
      </c>
      <c r="X57" s="45">
        <f>'Component List'!D26</f>
        <v>100</v>
      </c>
      <c r="Y57" s="93"/>
      <c r="Z57" s="93"/>
      <c r="AA57" s="93"/>
      <c r="AB57" s="93"/>
      <c r="AC57" s="93"/>
      <c r="AD57" s="93"/>
      <c r="AE57" s="93"/>
      <c r="AF57" s="93"/>
      <c r="AG57" s="93"/>
      <c r="AH57" s="93"/>
      <c r="AI57" s="93"/>
      <c r="AJ57" s="93"/>
    </row>
    <row r="58" spans="23:36" ht="15.5">
      <c r="W58" s="201" t="s">
        <v>177</v>
      </c>
      <c r="X58" s="45">
        <f>'Component List'!D59</f>
        <v>100</v>
      </c>
      <c r="Y58" s="93"/>
      <c r="Z58" s="93"/>
      <c r="AA58" s="93"/>
      <c r="AB58" s="93"/>
      <c r="AC58" s="93"/>
      <c r="AD58" s="93"/>
      <c r="AE58" s="93"/>
      <c r="AF58" s="93"/>
      <c r="AG58" s="93"/>
      <c r="AH58" s="93"/>
      <c r="AI58" s="93"/>
      <c r="AJ58" s="93"/>
    </row>
    <row r="59" spans="23:36">
      <c r="W59" s="93"/>
      <c r="X59" s="80"/>
      <c r="Y59" s="93"/>
      <c r="Z59" s="93"/>
      <c r="AA59" s="93"/>
      <c r="AB59" s="93"/>
      <c r="AC59" s="93"/>
      <c r="AD59" s="93"/>
      <c r="AE59" s="93"/>
      <c r="AF59" s="93"/>
      <c r="AG59" s="93"/>
      <c r="AH59" s="93"/>
      <c r="AI59" s="93"/>
      <c r="AJ59" s="93"/>
    </row>
    <row r="60" spans="23:36">
      <c r="W60" s="93" t="b">
        <f>OR(C26=W42,C26=W46,C26=W47,C27=W42,C27=W46,C27=W47,C28=W52,C28=W56,C28=W57,C29=W52,C29=W56,C29=W57)</f>
        <v>0</v>
      </c>
      <c r="X60" s="80"/>
      <c r="Y60" s="93"/>
      <c r="Z60" s="93"/>
      <c r="AA60" s="93"/>
      <c r="AB60" s="93"/>
      <c r="AC60" s="93"/>
      <c r="AD60" s="93"/>
      <c r="AE60" s="93"/>
      <c r="AF60" s="93"/>
      <c r="AG60" s="93"/>
      <c r="AH60" s="93"/>
      <c r="AI60" s="93"/>
      <c r="AJ60" s="93"/>
    </row>
    <row r="61" spans="23:36">
      <c r="W61" s="93"/>
      <c r="X61" s="80"/>
      <c r="Y61" s="93"/>
      <c r="Z61" s="93"/>
      <c r="AA61" s="93"/>
      <c r="AB61" s="93"/>
      <c r="AC61" s="93"/>
      <c r="AD61" s="93"/>
      <c r="AE61" s="93"/>
      <c r="AF61" s="93"/>
      <c r="AG61" s="93"/>
      <c r="AH61" s="93"/>
      <c r="AI61" s="93"/>
      <c r="AJ61" s="93"/>
    </row>
    <row r="62" spans="23:36">
      <c r="W62" s="493" t="s">
        <v>253</v>
      </c>
      <c r="X62" s="493"/>
      <c r="Y62" s="493"/>
      <c r="Z62" s="493"/>
      <c r="AA62" s="493"/>
      <c r="AB62" s="493"/>
      <c r="AC62" s="493"/>
      <c r="AD62" s="493"/>
      <c r="AE62" s="493"/>
      <c r="AF62" s="493"/>
      <c r="AG62" s="493"/>
      <c r="AH62" s="493"/>
      <c r="AI62" s="493"/>
      <c r="AJ62" s="493"/>
    </row>
    <row r="63" spans="23:36">
      <c r="W63" s="494"/>
      <c r="X63" s="494"/>
      <c r="Y63" s="494"/>
      <c r="Z63" s="494"/>
      <c r="AA63" s="494"/>
      <c r="AB63" s="494"/>
      <c r="AC63" s="494"/>
      <c r="AD63" s="494"/>
      <c r="AE63" s="494"/>
      <c r="AF63" s="494"/>
      <c r="AG63" s="494"/>
      <c r="AH63" s="494"/>
      <c r="AI63" s="494"/>
      <c r="AJ63" s="494"/>
    </row>
    <row r="64" spans="23:36">
      <c r="W64" s="494"/>
      <c r="X64" s="494"/>
      <c r="Y64" s="494"/>
      <c r="Z64" s="494"/>
      <c r="AA64" s="494"/>
      <c r="AB64" s="494"/>
      <c r="AC64" s="494"/>
      <c r="AD64" s="494"/>
      <c r="AE64" s="494"/>
      <c r="AF64" s="494"/>
      <c r="AG64" s="494"/>
      <c r="AH64" s="494"/>
      <c r="AI64" s="494"/>
      <c r="AJ64" s="494"/>
    </row>
    <row r="65" spans="23:36">
      <c r="W65" s="495"/>
      <c r="X65" s="495"/>
      <c r="Y65" s="495"/>
      <c r="Z65" s="495"/>
      <c r="AA65" s="495"/>
      <c r="AB65" s="495"/>
      <c r="AC65" s="495"/>
      <c r="AD65" s="495"/>
      <c r="AE65" s="495"/>
      <c r="AF65" s="495"/>
      <c r="AG65" s="495"/>
      <c r="AH65" s="495"/>
      <c r="AI65" s="495"/>
      <c r="AJ65"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W62:AJ65"/>
    <mergeCell ref="A33:R33"/>
    <mergeCell ref="A6:R6"/>
    <mergeCell ref="A7:R7"/>
    <mergeCell ref="A8:R8"/>
    <mergeCell ref="A9:A13"/>
    <mergeCell ref="B9:B13"/>
    <mergeCell ref="C9:C13"/>
    <mergeCell ref="D9:D13"/>
    <mergeCell ref="E9:E13"/>
    <mergeCell ref="F9:F13"/>
    <mergeCell ref="G9:G13"/>
    <mergeCell ref="H9:Q9"/>
    <mergeCell ref="R9:R13"/>
    <mergeCell ref="H10:Q10"/>
    <mergeCell ref="A30:C30"/>
    <mergeCell ref="A31:R31"/>
    <mergeCell ref="A34:R34"/>
    <mergeCell ref="A35:R35"/>
    <mergeCell ref="A36:R36"/>
    <mergeCell ref="A37:R37"/>
    <mergeCell ref="A32:R32"/>
  </mergeCells>
  <dataValidations count="2">
    <dataValidation type="list" allowBlank="1" showInputMessage="1" showErrorMessage="1" promptTitle="Second Half Management Practice" sqref="C28:C29">
      <formula1>$W$50:$W$58</formula1>
    </dataValidation>
    <dataValidation type="list" allowBlank="1" showInputMessage="1" showErrorMessage="1" promptTitle="Choose Management" sqref="C26:C27">
      <formula1>$W$40:$W$48</formula1>
    </dataValidation>
  </dataValidations>
  <pageMargins left="0.28999999999999998" right="0.24" top="0.47" bottom="0.39" header="0.3" footer="0.17"/>
  <pageSetup scale="55"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9697"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29698" r:id="rId5" name="Check Box 2">
              <controlPr defaultSize="0" autoFill="0" autoLine="0" autoPict="0">
                <anchor moveWithCells="1">
                  <from>
                    <xdr:col>7</xdr:col>
                    <xdr:colOff>241300</xdr:colOff>
                    <xdr:row>0</xdr:row>
                    <xdr:rowOff>0</xdr:rowOff>
                  </from>
                  <to>
                    <xdr:col>8</xdr:col>
                    <xdr:colOff>139700</xdr:colOff>
                    <xdr:row>0</xdr:row>
                    <xdr:rowOff>139700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pageSetUpPr fitToPage="1"/>
  </sheetPr>
  <dimension ref="A1:AJ48"/>
  <sheetViews>
    <sheetView zoomScale="55" zoomScaleNormal="55" workbookViewId="0">
      <selection activeCell="D15" sqref="D15"/>
    </sheetView>
  </sheetViews>
  <sheetFormatPr defaultRowHeight="12.5"/>
  <cols>
    <col min="3" max="3" width="67.81640625" customWidth="1"/>
    <col min="4" max="4" width="15.453125" customWidth="1"/>
    <col min="6" max="6" width="14.54296875" customWidth="1"/>
    <col min="7" max="7" width="11" customWidth="1"/>
    <col min="8" max="8" width="14.54296875" customWidth="1"/>
    <col min="9" max="9" width="14.81640625" customWidth="1"/>
    <col min="10" max="10" width="15.26953125" customWidth="1"/>
    <col min="11" max="11" width="14.26953125" customWidth="1"/>
    <col min="12" max="12" width="14.7265625" customWidth="1"/>
    <col min="13" max="13" width="14.54296875" customWidth="1"/>
    <col min="23" max="23" width="61.81640625" customWidth="1"/>
  </cols>
  <sheetData>
    <row r="1" spans="1:36" ht="21.75" customHeight="1">
      <c r="A1" s="434" t="s">
        <v>366</v>
      </c>
      <c r="B1" s="435"/>
      <c r="C1" s="435"/>
      <c r="D1" s="144" t="s">
        <v>368</v>
      </c>
      <c r="E1" s="143"/>
      <c r="F1" s="143"/>
      <c r="G1" s="143"/>
      <c r="H1" s="145" t="s">
        <v>369</v>
      </c>
      <c r="I1" s="143"/>
      <c r="J1" s="143"/>
      <c r="K1" s="143"/>
      <c r="L1" s="143"/>
      <c r="M1" s="143"/>
      <c r="N1" s="143"/>
      <c r="O1" s="145" t="s">
        <v>367</v>
      </c>
      <c r="P1" s="143"/>
      <c r="Q1" s="143"/>
      <c r="R1" s="143"/>
      <c r="S1" s="93"/>
      <c r="T1" s="93"/>
      <c r="U1" s="93"/>
      <c r="V1" s="93"/>
      <c r="W1" s="93"/>
      <c r="X1" s="93"/>
      <c r="Y1" s="93"/>
      <c r="Z1" s="93"/>
      <c r="AA1" s="93"/>
      <c r="AB1" s="93"/>
      <c r="AC1" s="93"/>
      <c r="AD1" s="93"/>
      <c r="AE1" s="93"/>
      <c r="AF1" s="93"/>
      <c r="AG1" s="93"/>
      <c r="AH1" s="93"/>
      <c r="AI1" s="93"/>
      <c r="AJ1" s="93"/>
    </row>
    <row r="2" spans="1:36" ht="24" customHeight="1">
      <c r="A2" s="429" t="s">
        <v>363</v>
      </c>
      <c r="B2" s="430"/>
      <c r="C2" s="430"/>
      <c r="D2" s="136"/>
      <c r="E2" s="136"/>
      <c r="F2" s="425" t="s">
        <v>25</v>
      </c>
      <c r="G2" s="426"/>
      <c r="H2" s="426"/>
      <c r="I2" s="426"/>
      <c r="J2" s="136"/>
      <c r="K2" s="136"/>
      <c r="L2" s="136"/>
      <c r="M2" s="136"/>
      <c r="N2" s="262" t="s">
        <v>420</v>
      </c>
      <c r="O2" s="137" t="s">
        <v>364</v>
      </c>
      <c r="P2" s="138"/>
      <c r="Q2" s="139" t="s">
        <v>365</v>
      </c>
      <c r="R2" s="140"/>
      <c r="S2" s="93"/>
      <c r="T2" s="93"/>
      <c r="U2" s="93"/>
      <c r="V2" s="93"/>
      <c r="W2" s="93"/>
      <c r="X2" s="93"/>
      <c r="Y2" s="93"/>
      <c r="Z2" s="93"/>
      <c r="AA2" s="93"/>
      <c r="AB2" s="93"/>
      <c r="AC2" s="93"/>
      <c r="AD2" s="93"/>
      <c r="AE2" s="93"/>
      <c r="AF2" s="93"/>
      <c r="AG2" s="93"/>
      <c r="AH2" s="93"/>
      <c r="AI2" s="93"/>
      <c r="AJ2" s="93"/>
    </row>
    <row r="3" spans="1:36" ht="22.5" customHeight="1">
      <c r="A3" s="141"/>
      <c r="B3" s="85"/>
      <c r="C3" s="85"/>
      <c r="D3" s="85"/>
      <c r="E3" s="85"/>
      <c r="F3" s="427" t="s">
        <v>26</v>
      </c>
      <c r="G3" s="428"/>
      <c r="H3" s="428"/>
      <c r="I3" s="428"/>
      <c r="J3" s="85"/>
      <c r="K3" s="85"/>
      <c r="L3" s="85"/>
      <c r="M3" s="85"/>
      <c r="N3" s="85"/>
      <c r="O3" s="17"/>
      <c r="P3" s="17"/>
      <c r="Q3" s="17"/>
      <c r="R3" s="142"/>
      <c r="S3" s="93"/>
      <c r="T3" s="93"/>
      <c r="U3" s="93"/>
      <c r="V3" s="93"/>
      <c r="W3" s="93"/>
      <c r="X3" s="93"/>
      <c r="Y3" s="93"/>
      <c r="Z3" s="93"/>
      <c r="AA3" s="93"/>
      <c r="AB3" s="93"/>
      <c r="AC3" s="93"/>
      <c r="AD3" s="93"/>
      <c r="AE3" s="93"/>
      <c r="AF3" s="93"/>
      <c r="AG3" s="93"/>
      <c r="AH3" s="93"/>
      <c r="AI3" s="93"/>
      <c r="AJ3" s="93"/>
    </row>
    <row r="4" spans="1:36" ht="15.5">
      <c r="A4" s="480" t="s">
        <v>386</v>
      </c>
      <c r="B4" s="483"/>
      <c r="C4" s="484"/>
      <c r="D4" s="490" t="s">
        <v>387</v>
      </c>
      <c r="E4" s="491"/>
      <c r="F4" s="491"/>
      <c r="G4" s="492"/>
      <c r="H4" s="356" t="s">
        <v>388</v>
      </c>
      <c r="I4" s="26"/>
      <c r="J4" s="480" t="s">
        <v>385</v>
      </c>
      <c r="K4" s="481"/>
      <c r="L4" s="482"/>
      <c r="M4" s="480" t="s">
        <v>389</v>
      </c>
      <c r="N4" s="483"/>
      <c r="O4" s="483"/>
      <c r="P4" s="483"/>
      <c r="Q4" s="483"/>
      <c r="R4" s="484"/>
      <c r="S4" s="93"/>
      <c r="T4" s="93"/>
      <c r="U4" s="93"/>
      <c r="V4" s="93"/>
      <c r="W4" s="93"/>
      <c r="X4" s="93"/>
      <c r="Y4" s="93"/>
      <c r="Z4" s="93"/>
      <c r="AA4" s="93"/>
      <c r="AB4" s="93"/>
      <c r="AC4" s="93"/>
      <c r="AD4" s="93"/>
      <c r="AE4" s="93"/>
      <c r="AF4" s="93"/>
      <c r="AG4" s="93"/>
      <c r="AH4" s="93"/>
      <c r="AI4" s="93"/>
      <c r="AJ4" s="93"/>
    </row>
    <row r="5" spans="1:36" ht="25.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93"/>
      <c r="T5" s="93"/>
      <c r="U5" s="93"/>
      <c r="V5" s="93"/>
      <c r="W5" s="93"/>
      <c r="X5" s="93"/>
      <c r="Y5" s="93"/>
      <c r="Z5" s="93"/>
      <c r="AA5" s="93"/>
      <c r="AB5" s="93"/>
      <c r="AC5" s="93"/>
      <c r="AD5" s="93"/>
      <c r="AE5" s="93"/>
      <c r="AF5" s="93"/>
      <c r="AG5" s="93"/>
      <c r="AH5" s="93"/>
      <c r="AI5" s="93"/>
      <c r="AJ5" s="93"/>
    </row>
    <row r="6" spans="1:36">
      <c r="A6" s="466"/>
      <c r="B6" s="466"/>
      <c r="C6" s="466"/>
      <c r="D6" s="466"/>
      <c r="E6" s="466"/>
      <c r="F6" s="466"/>
      <c r="G6" s="466"/>
      <c r="H6" s="466"/>
      <c r="I6" s="466"/>
      <c r="J6" s="466"/>
      <c r="K6" s="466"/>
      <c r="L6" s="466"/>
      <c r="M6" s="466"/>
      <c r="N6" s="466"/>
      <c r="O6" s="466"/>
      <c r="P6" s="466"/>
      <c r="Q6" s="466"/>
      <c r="R6" s="466"/>
      <c r="S6" s="93"/>
      <c r="T6" s="93"/>
      <c r="U6" s="93"/>
      <c r="V6" s="93"/>
      <c r="W6" s="93"/>
      <c r="X6" s="93"/>
      <c r="Y6" s="93"/>
      <c r="Z6" s="93"/>
      <c r="AA6" s="93"/>
      <c r="AB6" s="93"/>
      <c r="AC6" s="93"/>
      <c r="AD6" s="93"/>
      <c r="AE6" s="93"/>
      <c r="AF6" s="93"/>
      <c r="AG6" s="93"/>
      <c r="AH6" s="93"/>
      <c r="AI6" s="93"/>
      <c r="AJ6" s="93"/>
    </row>
    <row r="7" spans="1:36" ht="111" customHeight="1">
      <c r="A7" s="467" t="s">
        <v>489</v>
      </c>
      <c r="B7" s="468"/>
      <c r="C7" s="468"/>
      <c r="D7" s="468"/>
      <c r="E7" s="468"/>
      <c r="F7" s="468"/>
      <c r="G7" s="468"/>
      <c r="H7" s="468"/>
      <c r="I7" s="468"/>
      <c r="J7" s="468"/>
      <c r="K7" s="468"/>
      <c r="L7" s="468"/>
      <c r="M7" s="468"/>
      <c r="N7" s="468"/>
      <c r="O7" s="468"/>
      <c r="P7" s="468"/>
      <c r="Q7" s="468"/>
      <c r="R7" s="469"/>
      <c r="S7" s="93"/>
      <c r="T7" s="93"/>
      <c r="U7" s="93"/>
      <c r="V7" s="93"/>
      <c r="W7" s="93"/>
      <c r="X7" s="93"/>
      <c r="Y7" s="93"/>
      <c r="Z7" s="93"/>
      <c r="AA7" s="93"/>
      <c r="AB7" s="93"/>
      <c r="AC7" s="93"/>
      <c r="AD7" s="93"/>
      <c r="AE7" s="93"/>
      <c r="AF7" s="93"/>
      <c r="AG7" s="93"/>
      <c r="AH7" s="93"/>
      <c r="AI7" s="93"/>
      <c r="AJ7" s="93"/>
    </row>
    <row r="8" spans="1:36" ht="14">
      <c r="A8" s="470"/>
      <c r="B8" s="470"/>
      <c r="C8" s="470"/>
      <c r="D8" s="470"/>
      <c r="E8" s="470"/>
      <c r="F8" s="470"/>
      <c r="G8" s="470"/>
      <c r="H8" s="470"/>
      <c r="I8" s="470"/>
      <c r="J8" s="470"/>
      <c r="K8" s="470"/>
      <c r="L8" s="470"/>
      <c r="M8" s="470"/>
      <c r="N8" s="470"/>
      <c r="O8" s="470"/>
      <c r="P8" s="470"/>
      <c r="Q8" s="470"/>
      <c r="R8" s="470"/>
      <c r="S8" s="93"/>
      <c r="T8" s="93"/>
      <c r="U8" s="93"/>
      <c r="V8" s="93"/>
      <c r="W8" s="93"/>
      <c r="X8" s="93"/>
      <c r="Y8" s="93"/>
      <c r="Z8" s="93"/>
      <c r="AA8" s="93"/>
      <c r="AB8" s="93"/>
      <c r="AC8" s="93"/>
      <c r="AD8" s="93"/>
      <c r="AE8" s="93"/>
      <c r="AF8" s="93"/>
      <c r="AG8" s="93"/>
      <c r="AH8" s="93"/>
      <c r="AI8" s="93"/>
      <c r="AJ8" s="93"/>
    </row>
    <row r="9" spans="1:36">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93"/>
      <c r="T9" s="93"/>
      <c r="U9" s="93"/>
      <c r="V9" s="93"/>
      <c r="W9" s="93"/>
      <c r="X9" s="93"/>
      <c r="Y9" s="93"/>
      <c r="Z9" s="93"/>
      <c r="AA9" s="93"/>
      <c r="AB9" s="93"/>
      <c r="AC9" s="93"/>
      <c r="AD9" s="93"/>
      <c r="AE9" s="93"/>
      <c r="AF9" s="93"/>
      <c r="AG9" s="93"/>
      <c r="AH9" s="93"/>
      <c r="AI9" s="93"/>
      <c r="AJ9" s="93"/>
    </row>
    <row r="10" spans="1:36" ht="18" customHeight="1">
      <c r="A10" s="453"/>
      <c r="B10" s="453"/>
      <c r="C10" s="499"/>
      <c r="D10" s="475"/>
      <c r="E10" s="478"/>
      <c r="F10" s="453"/>
      <c r="G10" s="453"/>
      <c r="H10" s="455" t="s">
        <v>306</v>
      </c>
      <c r="I10" s="408"/>
      <c r="J10" s="408"/>
      <c r="K10" s="408"/>
      <c r="L10" s="408"/>
      <c r="M10" s="408"/>
      <c r="N10" s="408"/>
      <c r="O10" s="408"/>
      <c r="P10" s="408"/>
      <c r="Q10" s="409"/>
      <c r="R10" s="453"/>
      <c r="S10" s="93"/>
      <c r="T10" s="93"/>
      <c r="U10" s="93"/>
      <c r="V10" s="93"/>
      <c r="W10" s="93"/>
      <c r="X10" s="93"/>
      <c r="Y10" s="93"/>
      <c r="Z10" s="93"/>
      <c r="AA10" s="93"/>
      <c r="AB10" s="93"/>
      <c r="AC10" s="93"/>
      <c r="AD10" s="93"/>
      <c r="AE10" s="93"/>
      <c r="AF10" s="93"/>
      <c r="AG10" s="93"/>
      <c r="AH10" s="93"/>
      <c r="AI10" s="93"/>
      <c r="AJ10" s="93"/>
    </row>
    <row r="11" spans="1:36">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93"/>
      <c r="T11" s="93"/>
      <c r="U11" s="93"/>
      <c r="V11" s="93"/>
      <c r="W11" s="93"/>
      <c r="X11" s="93"/>
      <c r="Y11" s="93"/>
      <c r="Z11" s="93"/>
      <c r="AA11" s="93"/>
      <c r="AB11" s="93"/>
      <c r="AC11" s="93"/>
      <c r="AD11" s="93"/>
      <c r="AE11" s="93"/>
      <c r="AF11" s="93"/>
      <c r="AG11" s="93"/>
      <c r="AH11" s="93"/>
      <c r="AI11" s="93"/>
      <c r="AJ11" s="93"/>
    </row>
    <row r="12" spans="1:36" ht="15.7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c r="S12" s="93"/>
      <c r="T12" s="93"/>
      <c r="U12" s="93"/>
      <c r="V12" s="93"/>
      <c r="W12" s="93"/>
      <c r="X12" s="93"/>
      <c r="Y12" s="93"/>
      <c r="Z12" s="93"/>
      <c r="AA12" s="93"/>
      <c r="AB12" s="93"/>
      <c r="AC12" s="93"/>
      <c r="AD12" s="93"/>
      <c r="AE12" s="93"/>
      <c r="AF12" s="93"/>
      <c r="AG12" s="93"/>
      <c r="AH12" s="93"/>
      <c r="AI12" s="93"/>
      <c r="AJ12" s="93"/>
    </row>
    <row r="13" spans="1:36"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93"/>
      <c r="T13" s="93"/>
      <c r="U13" s="93"/>
      <c r="V13" s="93"/>
      <c r="W13" s="93"/>
      <c r="X13" s="93"/>
      <c r="Y13" s="93"/>
      <c r="Z13" s="93"/>
      <c r="AA13" s="93"/>
      <c r="AB13" s="93"/>
      <c r="AC13" s="93"/>
      <c r="AD13" s="93"/>
      <c r="AE13" s="93"/>
      <c r="AF13" s="93"/>
      <c r="AG13" s="93"/>
      <c r="AH13" s="93"/>
      <c r="AI13" s="93"/>
      <c r="AJ13" s="93"/>
    </row>
    <row r="14" spans="1:36"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93"/>
      <c r="T14" s="93"/>
      <c r="U14" s="93"/>
      <c r="V14" s="93"/>
      <c r="W14" s="93"/>
      <c r="X14" s="93"/>
      <c r="Y14" s="93"/>
      <c r="Z14" s="93"/>
      <c r="AA14" s="93"/>
      <c r="AB14" s="93"/>
      <c r="AC14" s="93"/>
      <c r="AD14" s="93"/>
      <c r="AE14" s="93"/>
      <c r="AF14" s="93"/>
      <c r="AG14" s="93"/>
      <c r="AH14" s="93"/>
      <c r="AI14" s="93"/>
      <c r="AJ14" s="93"/>
    </row>
    <row r="15" spans="1:36" ht="17.5">
      <c r="A15" s="12"/>
      <c r="B15" s="347"/>
      <c r="C15" s="206" t="s">
        <v>283</v>
      </c>
      <c r="D15" s="308"/>
      <c r="E15" s="297" t="s">
        <v>20</v>
      </c>
      <c r="F15" s="231"/>
      <c r="G15" s="287"/>
      <c r="H15" s="231"/>
      <c r="I15" s="231"/>
      <c r="J15" s="231"/>
      <c r="K15" s="231"/>
      <c r="L15" s="231"/>
      <c r="M15" s="231"/>
      <c r="N15" s="28"/>
      <c r="O15" s="28"/>
      <c r="P15" s="28"/>
      <c r="Q15" s="28"/>
      <c r="R15" s="13"/>
      <c r="S15" s="93"/>
      <c r="T15" s="93"/>
      <c r="U15" s="93"/>
      <c r="V15" s="93"/>
      <c r="W15" s="93"/>
      <c r="X15" s="93"/>
      <c r="Y15" s="93"/>
      <c r="Z15" s="93"/>
      <c r="AA15" s="93"/>
      <c r="AB15" s="93"/>
      <c r="AC15" s="93"/>
      <c r="AD15" s="93"/>
      <c r="AE15" s="93"/>
      <c r="AF15" s="93"/>
      <c r="AG15" s="93"/>
      <c r="AH15" s="93"/>
      <c r="AI15" s="93"/>
      <c r="AJ15" s="93"/>
    </row>
    <row r="16" spans="1:36" ht="17.5">
      <c r="A16" s="12"/>
      <c r="B16" s="347"/>
      <c r="C16" s="206" t="s">
        <v>1</v>
      </c>
      <c r="D16" s="308"/>
      <c r="E16" s="297" t="s">
        <v>20</v>
      </c>
      <c r="F16" s="231">
        <f>VLOOKUP(C16,W20:X28,2)</f>
        <v>0</v>
      </c>
      <c r="G16" s="287">
        <v>50</v>
      </c>
      <c r="H16" s="231">
        <f>D16*F16*G16/100</f>
        <v>0</v>
      </c>
      <c r="I16" s="231"/>
      <c r="J16" s="231"/>
      <c r="K16" s="231"/>
      <c r="L16" s="231"/>
      <c r="M16" s="231"/>
      <c r="N16" s="28"/>
      <c r="O16" s="28"/>
      <c r="P16" s="28"/>
      <c r="Q16" s="28"/>
      <c r="R16" s="13"/>
      <c r="S16" s="93"/>
      <c r="T16" s="93"/>
      <c r="U16" s="93"/>
      <c r="V16" s="93"/>
      <c r="W16" s="93"/>
      <c r="X16" s="93"/>
      <c r="Y16" s="93"/>
      <c r="Z16" s="93"/>
      <c r="AA16" s="93"/>
      <c r="AB16" s="93"/>
      <c r="AC16" s="93"/>
      <c r="AD16" s="93"/>
      <c r="AE16" s="93"/>
      <c r="AF16" s="93"/>
      <c r="AG16" s="93"/>
      <c r="AH16" s="93"/>
      <c r="AI16" s="93"/>
      <c r="AJ16" s="93"/>
    </row>
    <row r="17" spans="1:36" ht="17.5">
      <c r="A17" s="12"/>
      <c r="B17" s="347"/>
      <c r="C17" s="206" t="s">
        <v>1</v>
      </c>
      <c r="D17" s="308"/>
      <c r="E17" s="297" t="s">
        <v>20</v>
      </c>
      <c r="F17" s="231">
        <f>VLOOKUP(C17,W20:X28,2)</f>
        <v>0</v>
      </c>
      <c r="G17" s="287">
        <v>50</v>
      </c>
      <c r="H17" s="231"/>
      <c r="I17" s="231">
        <f>D17*F17*G17/100</f>
        <v>0</v>
      </c>
      <c r="J17" s="231"/>
      <c r="K17" s="231"/>
      <c r="L17" s="231"/>
      <c r="M17" s="231"/>
      <c r="N17" s="28"/>
      <c r="O17" s="28"/>
      <c r="P17" s="28"/>
      <c r="Q17" s="28"/>
      <c r="R17" s="13"/>
      <c r="S17" s="93"/>
      <c r="T17" s="93"/>
      <c r="U17" s="93"/>
      <c r="V17" s="93"/>
      <c r="W17" s="93"/>
      <c r="X17" s="93"/>
      <c r="Y17" s="93"/>
      <c r="Z17" s="93"/>
      <c r="AA17" s="93"/>
      <c r="AB17" s="93"/>
      <c r="AC17" s="93"/>
      <c r="AD17" s="93"/>
      <c r="AE17" s="93"/>
      <c r="AF17" s="93"/>
      <c r="AG17" s="93"/>
      <c r="AH17" s="93"/>
      <c r="AI17" s="93"/>
      <c r="AJ17" s="93"/>
    </row>
    <row r="18" spans="1:36" ht="17.5">
      <c r="A18" s="12"/>
      <c r="B18" s="347"/>
      <c r="C18" s="206" t="s">
        <v>42</v>
      </c>
      <c r="D18" s="308"/>
      <c r="E18" s="297" t="s">
        <v>20</v>
      </c>
      <c r="F18" s="231">
        <f>VLOOKUP(C18,W31:X35,2)</f>
        <v>0</v>
      </c>
      <c r="G18" s="287">
        <v>50</v>
      </c>
      <c r="H18" s="300"/>
      <c r="I18" s="231"/>
      <c r="J18" s="231">
        <f>D18*F18*G18/100</f>
        <v>0</v>
      </c>
      <c r="K18" s="231"/>
      <c r="L18" s="231"/>
      <c r="M18" s="231"/>
      <c r="N18" s="28"/>
      <c r="O18" s="28"/>
      <c r="P18" s="28"/>
      <c r="Q18" s="28"/>
      <c r="R18" s="13"/>
      <c r="S18" s="93"/>
      <c r="T18" s="93"/>
      <c r="U18" s="93"/>
      <c r="V18" s="93"/>
      <c r="W18" s="93"/>
      <c r="X18" s="93"/>
      <c r="Y18" s="93"/>
      <c r="Z18" s="93"/>
      <c r="AA18" s="93"/>
      <c r="AB18" s="93"/>
      <c r="AC18" s="93"/>
      <c r="AD18" s="93"/>
      <c r="AE18" s="93"/>
      <c r="AF18" s="93"/>
      <c r="AG18" s="93"/>
      <c r="AH18" s="93"/>
      <c r="AI18" s="93"/>
      <c r="AJ18" s="93"/>
    </row>
    <row r="19" spans="1:36" ht="17.5">
      <c r="A19" s="12"/>
      <c r="B19" s="347"/>
      <c r="C19" s="206" t="s">
        <v>42</v>
      </c>
      <c r="D19" s="308"/>
      <c r="E19" s="297" t="s">
        <v>20</v>
      </c>
      <c r="F19" s="231">
        <f>VLOOKUP(C19,W31:X35,2)</f>
        <v>0</v>
      </c>
      <c r="G19" s="287">
        <v>50</v>
      </c>
      <c r="H19" s="300"/>
      <c r="I19" s="231"/>
      <c r="J19" s="231"/>
      <c r="K19" s="231">
        <f>D19*F19*G19/100</f>
        <v>0</v>
      </c>
      <c r="L19" s="231"/>
      <c r="M19" s="231"/>
      <c r="N19" s="28"/>
      <c r="O19" s="28"/>
      <c r="P19" s="28"/>
      <c r="Q19" s="28"/>
      <c r="R19" s="13"/>
      <c r="S19" s="93"/>
      <c r="T19" s="93"/>
      <c r="U19" s="93"/>
      <c r="V19" s="93"/>
      <c r="W19" s="93"/>
      <c r="X19" s="93"/>
      <c r="Y19" s="93"/>
      <c r="Z19" s="93"/>
      <c r="AA19" s="93"/>
      <c r="AB19" s="93"/>
      <c r="AC19" s="93"/>
      <c r="AD19" s="93"/>
      <c r="AE19" s="93"/>
      <c r="AF19" s="93"/>
      <c r="AG19" s="93"/>
      <c r="AH19" s="93"/>
      <c r="AI19" s="93"/>
      <c r="AJ19" s="93"/>
    </row>
    <row r="20" spans="1:36" ht="17.5">
      <c r="A20" s="12"/>
      <c r="B20" s="347"/>
      <c r="C20" s="206" t="s">
        <v>41</v>
      </c>
      <c r="D20" s="308"/>
      <c r="E20" s="297" t="s">
        <v>20</v>
      </c>
      <c r="F20" s="293">
        <f>VLOOKUP(C20,W37:X41,2)</f>
        <v>0</v>
      </c>
      <c r="G20" s="287">
        <v>50</v>
      </c>
      <c r="H20" s="300"/>
      <c r="I20" s="300"/>
      <c r="J20" s="231"/>
      <c r="K20" s="315"/>
      <c r="L20" s="231">
        <f>D20*F20*G20/100</f>
        <v>0</v>
      </c>
      <c r="M20" s="231"/>
      <c r="N20" s="28"/>
      <c r="O20" s="28"/>
      <c r="P20" s="28"/>
      <c r="Q20" s="28"/>
      <c r="R20" s="13"/>
      <c r="S20" s="93"/>
      <c r="T20" s="93"/>
      <c r="U20" s="93"/>
      <c r="V20" s="93"/>
      <c r="W20" s="26" t="s">
        <v>1</v>
      </c>
      <c r="X20" s="11">
        <v>0</v>
      </c>
      <c r="Y20" s="93"/>
      <c r="Z20" s="93"/>
      <c r="AA20" s="93"/>
      <c r="AB20" s="93"/>
      <c r="AC20" s="93"/>
      <c r="AD20" s="93"/>
      <c r="AE20" s="93"/>
      <c r="AF20" s="93"/>
      <c r="AG20" s="93"/>
      <c r="AH20" s="93"/>
      <c r="AI20" s="93"/>
      <c r="AJ20" s="93"/>
    </row>
    <row r="21" spans="1:36" ht="17.5">
      <c r="A21" s="12"/>
      <c r="B21" s="347"/>
      <c r="C21" s="206" t="s">
        <v>41</v>
      </c>
      <c r="D21" s="308"/>
      <c r="E21" s="297" t="s">
        <v>20</v>
      </c>
      <c r="F21" s="293">
        <f>VLOOKUP(C21,W37:X41,2)</f>
        <v>0</v>
      </c>
      <c r="G21" s="287">
        <v>50</v>
      </c>
      <c r="H21" s="300"/>
      <c r="I21" s="300"/>
      <c r="J21" s="231"/>
      <c r="K21" s="300"/>
      <c r="L21" s="231"/>
      <c r="M21" s="231">
        <f>D21*F21*G21/100</f>
        <v>0</v>
      </c>
      <c r="N21" s="28"/>
      <c r="O21" s="28"/>
      <c r="P21" s="28"/>
      <c r="Q21" s="28"/>
      <c r="R21" s="13"/>
      <c r="S21" s="93"/>
      <c r="T21" s="93"/>
      <c r="U21" s="93"/>
      <c r="V21" s="93"/>
      <c r="W21" s="201" t="s">
        <v>92</v>
      </c>
      <c r="X21" s="72">
        <f>'Component List'!D18</f>
        <v>31.04</v>
      </c>
      <c r="Y21" s="93"/>
      <c r="Z21" s="93"/>
      <c r="AA21" s="93"/>
      <c r="AB21" s="93"/>
      <c r="AC21" s="93"/>
      <c r="AD21" s="93"/>
      <c r="AE21" s="93"/>
      <c r="AF21" s="93"/>
      <c r="AG21" s="93"/>
      <c r="AH21" s="93"/>
      <c r="AI21" s="93"/>
      <c r="AJ21" s="93"/>
    </row>
    <row r="22" spans="1:36" ht="15.5">
      <c r="A22" s="456" t="s">
        <v>89</v>
      </c>
      <c r="B22" s="457"/>
      <c r="C22" s="458"/>
      <c r="D22" s="286"/>
      <c r="E22" s="280"/>
      <c r="F22" s="265"/>
      <c r="G22" s="281"/>
      <c r="H22" s="271">
        <f t="shared" ref="H22:M22" si="0">SUM(H15:H21)</f>
        <v>0</v>
      </c>
      <c r="I22" s="271">
        <f t="shared" si="0"/>
        <v>0</v>
      </c>
      <c r="J22" s="271">
        <f t="shared" si="0"/>
        <v>0</v>
      </c>
      <c r="K22" s="271">
        <f t="shared" si="0"/>
        <v>0</v>
      </c>
      <c r="L22" s="271">
        <f t="shared" si="0"/>
        <v>0</v>
      </c>
      <c r="M22" s="271">
        <f t="shared" si="0"/>
        <v>0</v>
      </c>
      <c r="N22" s="23"/>
      <c r="O22" s="23"/>
      <c r="P22" s="23"/>
      <c r="Q22" s="23"/>
      <c r="R22" s="25"/>
      <c r="S22" s="93"/>
      <c r="T22" s="93"/>
      <c r="U22" s="93"/>
      <c r="V22" s="93"/>
      <c r="W22" s="201" t="s">
        <v>254</v>
      </c>
      <c r="X22" s="72">
        <f>'Component List'!D19</f>
        <v>100</v>
      </c>
      <c r="Y22" s="93"/>
      <c r="Z22" s="93"/>
      <c r="AA22" s="93"/>
      <c r="AB22" s="93"/>
      <c r="AC22" s="93"/>
      <c r="AD22" s="93"/>
      <c r="AE22" s="93"/>
      <c r="AF22" s="93"/>
      <c r="AG22" s="93"/>
      <c r="AH22" s="93"/>
      <c r="AI22" s="93"/>
      <c r="AJ22" s="93"/>
    </row>
    <row r="23" spans="1:36" ht="39.75" customHeight="1">
      <c r="A23" s="496" t="str">
        <f>IF(W43,W45,"")</f>
        <v/>
      </c>
      <c r="B23" s="497"/>
      <c r="C23" s="497"/>
      <c r="D23" s="497"/>
      <c r="E23" s="497"/>
      <c r="F23" s="497"/>
      <c r="G23" s="497"/>
      <c r="H23" s="497"/>
      <c r="I23" s="497"/>
      <c r="J23" s="497"/>
      <c r="K23" s="497"/>
      <c r="L23" s="497"/>
      <c r="M23" s="497"/>
      <c r="N23" s="497"/>
      <c r="O23" s="497"/>
      <c r="P23" s="497"/>
      <c r="Q23" s="497"/>
      <c r="R23" s="497"/>
      <c r="S23" s="93"/>
      <c r="T23" s="93"/>
      <c r="U23" s="93"/>
      <c r="V23" s="93"/>
      <c r="W23" s="201" t="s">
        <v>93</v>
      </c>
      <c r="X23" s="72">
        <f>'Component List'!D22</f>
        <v>23.04</v>
      </c>
      <c r="Y23" s="93"/>
      <c r="Z23" s="93"/>
      <c r="AA23" s="93"/>
      <c r="AB23" s="93"/>
      <c r="AC23" s="93"/>
      <c r="AD23" s="93"/>
      <c r="AE23" s="93"/>
      <c r="AF23" s="93"/>
      <c r="AG23" s="93"/>
      <c r="AH23" s="93"/>
      <c r="AI23" s="93"/>
      <c r="AJ23" s="93"/>
    </row>
    <row r="24" spans="1:36" ht="15.5">
      <c r="A24" s="401" t="s">
        <v>262</v>
      </c>
      <c r="B24" s="402"/>
      <c r="C24" s="402"/>
      <c r="D24" s="402"/>
      <c r="E24" s="402"/>
      <c r="F24" s="402"/>
      <c r="G24" s="402"/>
      <c r="H24" s="402"/>
      <c r="I24" s="402"/>
      <c r="J24" s="402"/>
      <c r="K24" s="402"/>
      <c r="L24" s="402"/>
      <c r="M24" s="402"/>
      <c r="N24" s="402"/>
      <c r="O24" s="402"/>
      <c r="P24" s="402"/>
      <c r="Q24" s="402"/>
      <c r="R24" s="403"/>
      <c r="S24" s="93"/>
      <c r="T24" s="93"/>
      <c r="U24" s="93"/>
      <c r="V24" s="93"/>
      <c r="W24" s="201" t="s">
        <v>411</v>
      </c>
      <c r="X24" s="72">
        <f>'Component List'!D27</f>
        <v>100</v>
      </c>
      <c r="Y24" s="93"/>
      <c r="Z24" s="93"/>
      <c r="AA24" s="93"/>
      <c r="AB24" s="93"/>
      <c r="AC24" s="93"/>
      <c r="AD24" s="93"/>
      <c r="AE24" s="93"/>
      <c r="AF24" s="93"/>
      <c r="AG24" s="93"/>
      <c r="AH24" s="93"/>
      <c r="AI24" s="93"/>
      <c r="AJ24" s="93"/>
    </row>
    <row r="25" spans="1:36" ht="56.25" customHeight="1">
      <c r="A25" s="393" t="s">
        <v>434</v>
      </c>
      <c r="B25" s="394"/>
      <c r="C25" s="394"/>
      <c r="D25" s="394"/>
      <c r="E25" s="394"/>
      <c r="F25" s="394"/>
      <c r="G25" s="394"/>
      <c r="H25" s="394"/>
      <c r="I25" s="394"/>
      <c r="J25" s="394"/>
      <c r="K25" s="394"/>
      <c r="L25" s="394"/>
      <c r="M25" s="394"/>
      <c r="N25" s="394"/>
      <c r="O25" s="394"/>
      <c r="P25" s="394"/>
      <c r="Q25" s="394"/>
      <c r="R25" s="395"/>
      <c r="S25" s="93"/>
      <c r="T25" s="93"/>
      <c r="U25" s="93"/>
      <c r="V25" s="93"/>
      <c r="W25" s="216"/>
      <c r="X25" s="197"/>
      <c r="Y25" s="93"/>
      <c r="Z25" s="93"/>
      <c r="AA25" s="93"/>
      <c r="AB25" s="93"/>
      <c r="AC25" s="93"/>
      <c r="AD25" s="93"/>
      <c r="AE25" s="93"/>
      <c r="AF25" s="93"/>
      <c r="AG25" s="93"/>
      <c r="AH25" s="93"/>
      <c r="AI25" s="93"/>
      <c r="AJ25" s="93"/>
    </row>
    <row r="26" spans="1:36" ht="15.5">
      <c r="A26" s="460" t="s">
        <v>390</v>
      </c>
      <c r="B26" s="461"/>
      <c r="C26" s="461"/>
      <c r="D26" s="461"/>
      <c r="E26" s="461"/>
      <c r="F26" s="461"/>
      <c r="G26" s="461"/>
      <c r="H26" s="461"/>
      <c r="I26" s="461"/>
      <c r="J26" s="461"/>
      <c r="K26" s="461"/>
      <c r="L26" s="461"/>
      <c r="M26" s="461"/>
      <c r="N26" s="461"/>
      <c r="O26" s="461"/>
      <c r="P26" s="461"/>
      <c r="Q26" s="461"/>
      <c r="R26" s="462"/>
      <c r="S26" s="93"/>
      <c r="T26" s="93"/>
      <c r="U26" s="93"/>
      <c r="V26" s="93"/>
      <c r="W26" s="216"/>
      <c r="X26" s="197"/>
      <c r="Y26" s="93"/>
      <c r="Z26" s="93"/>
      <c r="AA26" s="93"/>
      <c r="AB26" s="93"/>
      <c r="AC26" s="93"/>
      <c r="AD26" s="93"/>
      <c r="AE26" s="93"/>
      <c r="AF26" s="93"/>
      <c r="AG26" s="93"/>
      <c r="AH26" s="93"/>
      <c r="AI26" s="93"/>
      <c r="AJ26" s="93"/>
    </row>
    <row r="27" spans="1:36" ht="47.25" customHeight="1">
      <c r="A27" s="463" t="s">
        <v>392</v>
      </c>
      <c r="B27" s="464"/>
      <c r="C27" s="464"/>
      <c r="D27" s="464"/>
      <c r="E27" s="464"/>
      <c r="F27" s="464"/>
      <c r="G27" s="464"/>
      <c r="H27" s="464"/>
      <c r="I27" s="464"/>
      <c r="J27" s="464"/>
      <c r="K27" s="464"/>
      <c r="L27" s="464"/>
      <c r="M27" s="464"/>
      <c r="N27" s="464"/>
      <c r="O27" s="464"/>
      <c r="P27" s="464"/>
      <c r="Q27" s="464"/>
      <c r="R27" s="465"/>
      <c r="S27" s="93"/>
      <c r="T27" s="93"/>
      <c r="U27" s="93"/>
      <c r="V27" s="93"/>
      <c r="W27" s="216"/>
      <c r="X27" s="197"/>
      <c r="Y27" s="93"/>
      <c r="Z27" s="93"/>
      <c r="AA27" s="93"/>
      <c r="AB27" s="93"/>
      <c r="AC27" s="93"/>
      <c r="AD27" s="93"/>
      <c r="AE27" s="93"/>
      <c r="AF27" s="93"/>
      <c r="AG27" s="93"/>
      <c r="AH27" s="93"/>
      <c r="AI27" s="93"/>
      <c r="AJ27" s="93"/>
    </row>
    <row r="28" spans="1:36" ht="15.5">
      <c r="A28" s="413" t="s">
        <v>221</v>
      </c>
      <c r="B28" s="414"/>
      <c r="C28" s="414"/>
      <c r="D28" s="414"/>
      <c r="E28" s="414"/>
      <c r="F28" s="414"/>
      <c r="G28" s="414"/>
      <c r="H28" s="414"/>
      <c r="I28" s="414"/>
      <c r="J28" s="414"/>
      <c r="K28" s="414"/>
      <c r="L28" s="414"/>
      <c r="M28" s="414"/>
      <c r="N28" s="414"/>
      <c r="O28" s="414"/>
      <c r="P28" s="414"/>
      <c r="Q28" s="414"/>
      <c r="R28" s="415"/>
      <c r="S28" s="93"/>
      <c r="T28" s="93"/>
      <c r="U28" s="93"/>
      <c r="V28" s="93"/>
      <c r="W28" s="216"/>
      <c r="X28" s="197"/>
      <c r="Y28" s="93"/>
      <c r="Z28" s="93"/>
      <c r="AA28" s="93"/>
      <c r="AB28" s="93"/>
      <c r="AC28" s="93"/>
      <c r="AD28" s="93"/>
      <c r="AE28" s="93"/>
      <c r="AF28" s="93"/>
      <c r="AG28" s="93"/>
      <c r="AH28" s="93"/>
      <c r="AI28" s="93"/>
      <c r="AJ28" s="93"/>
    </row>
    <row r="29" spans="1:36" ht="75" customHeight="1">
      <c r="A29" s="396" t="s">
        <v>370</v>
      </c>
      <c r="B29" s="397"/>
      <c r="C29" s="397"/>
      <c r="D29" s="397"/>
      <c r="E29" s="397"/>
      <c r="F29" s="397"/>
      <c r="G29" s="397"/>
      <c r="H29" s="397"/>
      <c r="I29" s="397"/>
      <c r="J29" s="397"/>
      <c r="K29" s="397"/>
      <c r="L29" s="397"/>
      <c r="M29" s="397"/>
      <c r="N29" s="397"/>
      <c r="O29" s="397"/>
      <c r="P29" s="397"/>
      <c r="Q29" s="397"/>
      <c r="R29" s="398"/>
      <c r="S29" s="93"/>
      <c r="T29" s="93"/>
      <c r="U29" s="93"/>
      <c r="V29" s="93"/>
      <c r="W29" s="26"/>
      <c r="X29" s="80"/>
      <c r="Y29" s="93"/>
      <c r="Z29" s="93"/>
      <c r="AA29" s="93"/>
      <c r="AB29" s="93"/>
      <c r="AC29" s="93"/>
      <c r="AD29" s="93"/>
      <c r="AE29" s="93"/>
      <c r="AF29" s="93"/>
      <c r="AG29" s="93"/>
      <c r="AH29" s="93"/>
      <c r="AI29" s="93"/>
      <c r="AJ29" s="93"/>
    </row>
    <row r="30" spans="1:36" ht="15.5">
      <c r="A30" s="93"/>
      <c r="B30" s="93"/>
      <c r="C30" s="93"/>
      <c r="D30" s="93"/>
      <c r="E30" s="93"/>
      <c r="F30" s="93"/>
      <c r="G30" s="93"/>
      <c r="H30" s="93"/>
      <c r="I30" s="93"/>
      <c r="J30" s="93"/>
      <c r="K30" s="93"/>
      <c r="L30" s="93"/>
      <c r="M30" s="93"/>
      <c r="N30" s="93"/>
      <c r="O30" s="93"/>
      <c r="P30" s="93"/>
      <c r="Q30" s="93"/>
      <c r="R30" s="93"/>
      <c r="S30" s="93"/>
      <c r="T30" s="93"/>
      <c r="U30" s="93"/>
      <c r="V30" s="93"/>
      <c r="W30" s="26"/>
      <c r="X30" s="80"/>
      <c r="Y30" s="93"/>
      <c r="Z30" s="93"/>
      <c r="AA30" s="93"/>
      <c r="AB30" s="93"/>
      <c r="AC30" s="93"/>
      <c r="AD30" s="93"/>
      <c r="AE30" s="93"/>
      <c r="AF30" s="93"/>
      <c r="AG30" s="93"/>
      <c r="AH30" s="93"/>
      <c r="AI30" s="93"/>
      <c r="AJ30" s="93"/>
    </row>
    <row r="31" spans="1:36" ht="15.5">
      <c r="A31" s="93"/>
      <c r="B31" s="93"/>
      <c r="C31" s="93"/>
      <c r="D31" s="93"/>
      <c r="E31" s="93"/>
      <c r="F31" s="93"/>
      <c r="G31" s="93"/>
      <c r="H31" s="93"/>
      <c r="I31" s="93"/>
      <c r="J31" s="93"/>
      <c r="K31" s="93"/>
      <c r="L31" s="93"/>
      <c r="M31" s="93"/>
      <c r="N31" s="93"/>
      <c r="O31" s="93"/>
      <c r="P31" s="93"/>
      <c r="Q31" s="93"/>
      <c r="R31" s="93"/>
      <c r="S31" s="93"/>
      <c r="T31" s="93"/>
      <c r="U31" s="93"/>
      <c r="V31" s="93"/>
      <c r="W31" s="26" t="s">
        <v>42</v>
      </c>
      <c r="X31" s="51">
        <v>0</v>
      </c>
      <c r="Y31" s="93"/>
      <c r="Z31" s="93"/>
      <c r="AA31" s="93"/>
      <c r="AB31" s="93"/>
      <c r="AC31" s="93"/>
      <c r="AD31" s="93"/>
      <c r="AE31" s="93"/>
      <c r="AF31" s="93"/>
      <c r="AG31" s="93"/>
      <c r="AH31" s="93"/>
      <c r="AI31" s="93"/>
      <c r="AJ31" s="93"/>
    </row>
    <row r="32" spans="1:36" ht="15.5">
      <c r="A32" s="93"/>
      <c r="B32" s="93"/>
      <c r="C32" s="93"/>
      <c r="D32" s="93"/>
      <c r="E32" s="93"/>
      <c r="F32" s="93"/>
      <c r="G32" s="93"/>
      <c r="H32" s="93"/>
      <c r="I32" s="93"/>
      <c r="J32" s="93"/>
      <c r="K32" s="93"/>
      <c r="L32" s="93"/>
      <c r="M32" s="93"/>
      <c r="N32" s="93"/>
      <c r="O32" s="93"/>
      <c r="P32" s="93"/>
      <c r="Q32" s="93"/>
      <c r="R32" s="93"/>
      <c r="S32" s="93"/>
      <c r="T32" s="93"/>
      <c r="U32" s="93"/>
      <c r="V32" s="93"/>
      <c r="W32" s="203" t="s">
        <v>43</v>
      </c>
      <c r="X32" s="45">
        <f>'Component List'!D18</f>
        <v>31.04</v>
      </c>
      <c r="Y32" s="93"/>
      <c r="Z32" s="93"/>
      <c r="AA32" s="93"/>
      <c r="AB32" s="93"/>
      <c r="AC32" s="93"/>
      <c r="AD32" s="93"/>
      <c r="AE32" s="93"/>
      <c r="AF32" s="93"/>
      <c r="AG32" s="93"/>
      <c r="AH32" s="93"/>
      <c r="AI32" s="93"/>
      <c r="AJ32" s="93"/>
    </row>
    <row r="33" spans="1:36" ht="15.5">
      <c r="A33" s="93"/>
      <c r="B33" s="93"/>
      <c r="C33" s="93"/>
      <c r="D33" s="93"/>
      <c r="E33" s="93"/>
      <c r="F33" s="93"/>
      <c r="G33" s="93"/>
      <c r="H33" s="93"/>
      <c r="I33" s="93"/>
      <c r="J33" s="93"/>
      <c r="K33" s="93"/>
      <c r="L33" s="93"/>
      <c r="M33" s="93"/>
      <c r="N33" s="93"/>
      <c r="O33" s="93"/>
      <c r="P33" s="93"/>
      <c r="Q33" s="93"/>
      <c r="R33" s="93"/>
      <c r="S33" s="93"/>
      <c r="T33" s="93"/>
      <c r="U33" s="93"/>
      <c r="V33" s="93"/>
      <c r="W33" s="203" t="s">
        <v>121</v>
      </c>
      <c r="X33" s="45">
        <f>'Component List'!D19</f>
        <v>100</v>
      </c>
      <c r="Y33" s="93"/>
      <c r="Z33" s="93"/>
      <c r="AA33" s="93"/>
      <c r="AB33" s="93"/>
      <c r="AC33" s="93"/>
      <c r="AD33" s="93"/>
      <c r="AE33" s="93"/>
      <c r="AF33" s="93"/>
      <c r="AG33" s="93"/>
      <c r="AH33" s="93"/>
      <c r="AI33" s="93"/>
      <c r="AJ33" s="93"/>
    </row>
    <row r="34" spans="1:36" ht="15.5">
      <c r="A34" s="93"/>
      <c r="B34" s="93"/>
      <c r="C34" s="93"/>
      <c r="D34" s="93"/>
      <c r="E34" s="93"/>
      <c r="F34" s="93"/>
      <c r="G34" s="93"/>
      <c r="H34" s="93"/>
      <c r="I34" s="93"/>
      <c r="J34" s="93"/>
      <c r="K34" s="93"/>
      <c r="L34" s="93"/>
      <c r="M34" s="93"/>
      <c r="N34" s="93"/>
      <c r="O34" s="93"/>
      <c r="P34" s="93"/>
      <c r="Q34" s="93"/>
      <c r="R34" s="93"/>
      <c r="S34" s="93"/>
      <c r="T34" s="93"/>
      <c r="U34" s="93"/>
      <c r="V34" s="93"/>
      <c r="W34" s="203" t="s">
        <v>44</v>
      </c>
      <c r="X34" s="45">
        <f>'Component List'!D22</f>
        <v>23.04</v>
      </c>
      <c r="Y34" s="93"/>
      <c r="Z34" s="93"/>
      <c r="AA34" s="93"/>
      <c r="AB34" s="93"/>
      <c r="AC34" s="93"/>
      <c r="AD34" s="93"/>
      <c r="AE34" s="93"/>
      <c r="AF34" s="93"/>
      <c r="AG34" s="93"/>
      <c r="AH34" s="93"/>
      <c r="AI34" s="93"/>
      <c r="AJ34" s="93"/>
    </row>
    <row r="35" spans="1:36" ht="15.5">
      <c r="A35" s="93"/>
      <c r="B35" s="93"/>
      <c r="C35" s="93"/>
      <c r="D35" s="93"/>
      <c r="E35" s="93"/>
      <c r="F35" s="93"/>
      <c r="G35" s="93"/>
      <c r="H35" s="93"/>
      <c r="I35" s="93"/>
      <c r="J35" s="93"/>
      <c r="K35" s="93"/>
      <c r="L35" s="93"/>
      <c r="M35" s="93"/>
      <c r="N35" s="93"/>
      <c r="O35" s="93"/>
      <c r="P35" s="93"/>
      <c r="Q35" s="93"/>
      <c r="R35" s="93"/>
      <c r="S35" s="93"/>
      <c r="T35" s="93"/>
      <c r="U35" s="93"/>
      <c r="V35" s="93"/>
      <c r="W35" s="203" t="s">
        <v>122</v>
      </c>
      <c r="X35" s="45">
        <f>'Component List'!D27</f>
        <v>100</v>
      </c>
      <c r="Y35" s="93"/>
      <c r="Z35" s="93"/>
      <c r="AA35" s="93"/>
      <c r="AB35" s="93"/>
      <c r="AC35" s="93"/>
      <c r="AD35" s="93"/>
      <c r="AE35" s="93"/>
      <c r="AF35" s="93"/>
      <c r="AG35" s="93"/>
      <c r="AH35" s="93"/>
      <c r="AI35" s="93"/>
      <c r="AJ35" s="93"/>
    </row>
    <row r="36" spans="1:36" ht="15.5">
      <c r="A36" s="93"/>
      <c r="B36" s="93"/>
      <c r="C36" s="93"/>
      <c r="D36" s="93"/>
      <c r="E36" s="93"/>
      <c r="F36" s="93"/>
      <c r="G36" s="93"/>
      <c r="H36" s="93"/>
      <c r="I36" s="93"/>
      <c r="J36" s="93"/>
      <c r="K36" s="93"/>
      <c r="L36" s="93"/>
      <c r="M36" s="93"/>
      <c r="N36" s="93"/>
      <c r="O36" s="93"/>
      <c r="P36" s="93"/>
      <c r="Q36" s="93"/>
      <c r="R36" s="93"/>
      <c r="S36" s="93"/>
      <c r="T36" s="93"/>
      <c r="U36" s="93"/>
      <c r="V36" s="93"/>
      <c r="W36" s="26"/>
      <c r="X36" s="80"/>
      <c r="Y36" s="93"/>
      <c r="Z36" s="93"/>
      <c r="AA36" s="93"/>
      <c r="AB36" s="93"/>
      <c r="AC36" s="93"/>
      <c r="AD36" s="93"/>
      <c r="AE36" s="93"/>
      <c r="AF36" s="93"/>
      <c r="AG36" s="93"/>
      <c r="AH36" s="93"/>
      <c r="AI36" s="93"/>
      <c r="AJ36" s="93"/>
    </row>
    <row r="37" spans="1:36" ht="15.5">
      <c r="A37" s="93"/>
      <c r="B37" s="93"/>
      <c r="C37" s="93"/>
      <c r="D37" s="93"/>
      <c r="E37" s="93"/>
      <c r="F37" s="93"/>
      <c r="G37" s="93"/>
      <c r="H37" s="93"/>
      <c r="I37" s="93"/>
      <c r="J37" s="93"/>
      <c r="K37" s="93"/>
      <c r="L37" s="93"/>
      <c r="M37" s="93"/>
      <c r="N37" s="93"/>
      <c r="O37" s="93"/>
      <c r="P37" s="93"/>
      <c r="Q37" s="93"/>
      <c r="R37" s="93"/>
      <c r="S37" s="93"/>
      <c r="T37" s="93"/>
      <c r="U37" s="93"/>
      <c r="V37" s="93"/>
      <c r="W37" s="205" t="s">
        <v>41</v>
      </c>
      <c r="X37" s="51">
        <v>0</v>
      </c>
      <c r="Y37" s="93"/>
      <c r="Z37" s="93"/>
      <c r="AA37" s="93"/>
      <c r="AB37" s="93"/>
      <c r="AC37" s="93"/>
      <c r="AD37" s="93"/>
      <c r="AE37" s="93"/>
      <c r="AF37" s="93"/>
      <c r="AG37" s="93"/>
      <c r="AH37" s="93"/>
      <c r="AI37" s="93"/>
      <c r="AJ37" s="93"/>
    </row>
    <row r="38" spans="1:36" ht="15.5">
      <c r="A38" s="93"/>
      <c r="B38" s="93"/>
      <c r="C38" s="93"/>
      <c r="D38" s="93"/>
      <c r="E38" s="93"/>
      <c r="F38" s="93"/>
      <c r="G38" s="93"/>
      <c r="H38" s="93"/>
      <c r="I38" s="93"/>
      <c r="J38" s="93"/>
      <c r="K38" s="93"/>
      <c r="L38" s="93"/>
      <c r="M38" s="93"/>
      <c r="N38" s="93"/>
      <c r="O38" s="93"/>
      <c r="P38" s="93"/>
      <c r="Q38" s="93"/>
      <c r="R38" s="93"/>
      <c r="S38" s="93"/>
      <c r="T38" s="93"/>
      <c r="U38" s="93"/>
      <c r="V38" s="93"/>
      <c r="W38" s="203" t="s">
        <v>152</v>
      </c>
      <c r="X38" s="45">
        <f>'Component List'!D18</f>
        <v>31.04</v>
      </c>
      <c r="Y38" s="93"/>
      <c r="Z38" s="93"/>
      <c r="AA38" s="93"/>
      <c r="AB38" s="93"/>
      <c r="AC38" s="93"/>
      <c r="AD38" s="93"/>
      <c r="AE38" s="93"/>
      <c r="AF38" s="93"/>
      <c r="AG38" s="93"/>
      <c r="AH38" s="93"/>
      <c r="AI38" s="93"/>
      <c r="AJ38" s="93"/>
    </row>
    <row r="39" spans="1:36" ht="15.5">
      <c r="A39" s="93"/>
      <c r="B39" s="93"/>
      <c r="C39" s="93"/>
      <c r="D39" s="93"/>
      <c r="E39" s="93"/>
      <c r="F39" s="93"/>
      <c r="G39" s="93"/>
      <c r="H39" s="93"/>
      <c r="I39" s="93"/>
      <c r="J39" s="93"/>
      <c r="K39" s="93"/>
      <c r="L39" s="93"/>
      <c r="M39" s="93"/>
      <c r="N39" s="93"/>
      <c r="O39" s="93"/>
      <c r="P39" s="93"/>
      <c r="Q39" s="93"/>
      <c r="R39" s="93"/>
      <c r="S39" s="93"/>
      <c r="T39" s="93"/>
      <c r="U39" s="93"/>
      <c r="V39" s="93"/>
      <c r="W39" s="203" t="s">
        <v>123</v>
      </c>
      <c r="X39" s="45">
        <f>'Component List'!D19</f>
        <v>100</v>
      </c>
      <c r="Y39" s="93"/>
      <c r="Z39" s="93"/>
      <c r="AA39" s="93"/>
      <c r="AB39" s="93"/>
      <c r="AC39" s="93"/>
      <c r="AD39" s="93"/>
      <c r="AE39" s="93"/>
      <c r="AF39" s="93"/>
      <c r="AG39" s="93"/>
      <c r="AH39" s="93"/>
      <c r="AI39" s="93"/>
      <c r="AJ39" s="93"/>
    </row>
    <row r="40" spans="1:36" ht="15.5">
      <c r="A40" s="93"/>
      <c r="B40" s="93"/>
      <c r="C40" s="93"/>
      <c r="D40" s="93"/>
      <c r="E40" s="93"/>
      <c r="F40" s="93"/>
      <c r="G40" s="93"/>
      <c r="H40" s="93"/>
      <c r="I40" s="93"/>
      <c r="J40" s="93"/>
      <c r="K40" s="93"/>
      <c r="L40" s="93"/>
      <c r="M40" s="93"/>
      <c r="N40" s="93"/>
      <c r="O40" s="93"/>
      <c r="P40" s="93"/>
      <c r="Q40" s="93"/>
      <c r="R40" s="93"/>
      <c r="S40" s="93"/>
      <c r="T40" s="93"/>
      <c r="U40" s="93"/>
      <c r="V40" s="93"/>
      <c r="W40" s="203" t="s">
        <v>153</v>
      </c>
      <c r="X40" s="45">
        <f>'Component List'!D22</f>
        <v>23.04</v>
      </c>
      <c r="Y40" s="93"/>
      <c r="Z40" s="93"/>
      <c r="AA40" s="93"/>
      <c r="AB40" s="93"/>
      <c r="AC40" s="93"/>
      <c r="AD40" s="93"/>
      <c r="AE40" s="93"/>
      <c r="AF40" s="93"/>
      <c r="AG40" s="93"/>
      <c r="AH40" s="93"/>
      <c r="AI40" s="93"/>
      <c r="AJ40" s="93"/>
    </row>
    <row r="41" spans="1:36" ht="15.5">
      <c r="A41" s="93"/>
      <c r="B41" s="93"/>
      <c r="C41" s="93"/>
      <c r="D41" s="93"/>
      <c r="E41" s="93"/>
      <c r="F41" s="93"/>
      <c r="G41" s="93"/>
      <c r="H41" s="93"/>
      <c r="I41" s="93"/>
      <c r="J41" s="93"/>
      <c r="K41" s="93"/>
      <c r="L41" s="93"/>
      <c r="M41" s="93"/>
      <c r="N41" s="93"/>
      <c r="O41" s="93"/>
      <c r="P41" s="93"/>
      <c r="Q41" s="93"/>
      <c r="R41" s="93"/>
      <c r="S41" s="93"/>
      <c r="T41" s="93"/>
      <c r="U41" s="93"/>
      <c r="V41" s="93"/>
      <c r="W41" s="203" t="s">
        <v>124</v>
      </c>
      <c r="X41" s="45">
        <f>'Component List'!D27</f>
        <v>100</v>
      </c>
      <c r="Y41" s="93"/>
      <c r="Z41" s="93"/>
      <c r="AA41" s="93"/>
      <c r="AB41" s="93"/>
      <c r="AC41" s="93"/>
      <c r="AD41" s="93"/>
      <c r="AE41" s="93"/>
      <c r="AF41" s="93"/>
      <c r="AG41" s="93"/>
      <c r="AH41" s="93"/>
      <c r="AI41" s="93"/>
      <c r="AJ41" s="93"/>
    </row>
    <row r="42" spans="1:36">
      <c r="A42" s="93"/>
      <c r="B42" s="93"/>
      <c r="C42" s="93"/>
      <c r="D42" s="93"/>
      <c r="E42" s="93"/>
      <c r="F42" s="93"/>
      <c r="G42" s="93"/>
      <c r="H42" s="93"/>
      <c r="I42" s="93"/>
      <c r="J42" s="93"/>
      <c r="K42" s="93"/>
      <c r="L42" s="93"/>
      <c r="M42" s="93"/>
      <c r="N42" s="93"/>
      <c r="O42" s="93"/>
      <c r="P42" s="93"/>
      <c r="Q42" s="93"/>
      <c r="R42" s="93"/>
      <c r="S42" s="93"/>
      <c r="T42" s="93"/>
      <c r="U42" s="93"/>
      <c r="V42" s="93"/>
      <c r="W42" s="93"/>
      <c r="X42" s="80"/>
      <c r="Y42" s="93"/>
      <c r="Z42" s="93"/>
      <c r="AA42" s="93"/>
      <c r="AB42" s="93"/>
      <c r="AC42" s="93"/>
      <c r="AD42" s="93"/>
      <c r="AE42" s="93"/>
      <c r="AF42" s="93"/>
      <c r="AG42" s="93"/>
      <c r="AH42" s="93"/>
      <c r="AI42" s="93"/>
      <c r="AJ42" s="93"/>
    </row>
    <row r="43" spans="1:36">
      <c r="A43" s="93"/>
      <c r="B43" s="93"/>
      <c r="C43" s="93"/>
      <c r="D43" s="93"/>
      <c r="E43" s="93"/>
      <c r="F43" s="93"/>
      <c r="G43" s="93"/>
      <c r="H43" s="93"/>
      <c r="I43" s="93"/>
      <c r="J43" s="93"/>
      <c r="K43" s="93"/>
      <c r="L43" s="93"/>
      <c r="M43" s="93"/>
      <c r="N43" s="93"/>
      <c r="O43" s="93"/>
      <c r="P43" s="93"/>
      <c r="Q43" s="93"/>
      <c r="R43" s="93"/>
      <c r="S43" s="93"/>
      <c r="T43" s="93"/>
      <c r="U43" s="93"/>
      <c r="V43" s="93"/>
      <c r="W43" s="93" t="b">
        <f>OR(C18=W33,C18=W35,C19=W33,C19=W35,C20=W39,C20=W41,C21=W39,C21=W41,C16=W22,C16=W24,C17=W22,C17=W24)</f>
        <v>0</v>
      </c>
      <c r="X43" s="80"/>
      <c r="Y43" s="93"/>
      <c r="Z43" s="93"/>
      <c r="AA43" s="93"/>
      <c r="AB43" s="93"/>
      <c r="AC43" s="93"/>
      <c r="AD43" s="93"/>
      <c r="AE43" s="93"/>
      <c r="AF43" s="93"/>
      <c r="AG43" s="93"/>
      <c r="AH43" s="93"/>
      <c r="AI43" s="93"/>
      <c r="AJ43" s="93"/>
    </row>
    <row r="44" spans="1:36">
      <c r="A44" s="93"/>
      <c r="B44" s="93"/>
      <c r="C44" s="93"/>
      <c r="D44" s="93"/>
      <c r="E44" s="93"/>
      <c r="F44" s="93"/>
      <c r="G44" s="93"/>
      <c r="H44" s="93"/>
      <c r="I44" s="93"/>
      <c r="J44" s="93"/>
      <c r="K44" s="93"/>
      <c r="L44" s="93"/>
      <c r="M44" s="93"/>
      <c r="N44" s="93"/>
      <c r="O44" s="93"/>
      <c r="P44" s="93"/>
      <c r="Q44" s="93"/>
      <c r="R44" s="93"/>
      <c r="S44" s="93"/>
      <c r="T44" s="93"/>
      <c r="U44" s="93"/>
      <c r="V44" s="93"/>
      <c r="W44" s="93"/>
      <c r="X44" s="80"/>
      <c r="Y44" s="93"/>
      <c r="Z44" s="93"/>
      <c r="AA44" s="93"/>
      <c r="AB44" s="93"/>
      <c r="AC44" s="93"/>
      <c r="AD44" s="93"/>
      <c r="AE44" s="93"/>
      <c r="AF44" s="93"/>
      <c r="AG44" s="93"/>
      <c r="AH44" s="93"/>
      <c r="AI44" s="93"/>
      <c r="AJ44" s="93"/>
    </row>
    <row r="45" spans="1:36">
      <c r="A45" s="93"/>
      <c r="B45" s="93"/>
      <c r="C45" s="93"/>
      <c r="D45" s="93"/>
      <c r="E45" s="93"/>
      <c r="F45" s="93"/>
      <c r="G45" s="93"/>
      <c r="H45" s="93"/>
      <c r="I45" s="93"/>
      <c r="J45" s="93"/>
      <c r="K45" s="93"/>
      <c r="L45" s="93"/>
      <c r="M45" s="93"/>
      <c r="N45" s="93"/>
      <c r="O45" s="93"/>
      <c r="P45" s="93"/>
      <c r="Q45" s="93"/>
      <c r="R45" s="93"/>
      <c r="S45" s="93"/>
      <c r="T45" s="93"/>
      <c r="U45" s="93"/>
      <c r="V45" s="93"/>
      <c r="W45" s="493" t="s">
        <v>253</v>
      </c>
      <c r="X45" s="493"/>
      <c r="Y45" s="493"/>
      <c r="Z45" s="493"/>
      <c r="AA45" s="493"/>
      <c r="AB45" s="493"/>
      <c r="AC45" s="493"/>
      <c r="AD45" s="493"/>
      <c r="AE45" s="493"/>
      <c r="AF45" s="493"/>
      <c r="AG45" s="493"/>
      <c r="AH45" s="493"/>
      <c r="AI45" s="493"/>
      <c r="AJ45" s="493"/>
    </row>
    <row r="46" spans="1:36">
      <c r="A46" s="93"/>
      <c r="B46" s="93"/>
      <c r="C46" s="93"/>
      <c r="D46" s="93"/>
      <c r="E46" s="93"/>
      <c r="F46" s="93"/>
      <c r="G46" s="93"/>
      <c r="H46" s="93"/>
      <c r="I46" s="93"/>
      <c r="J46" s="93"/>
      <c r="K46" s="93"/>
      <c r="L46" s="93"/>
      <c r="M46" s="93"/>
      <c r="N46" s="93"/>
      <c r="O46" s="93"/>
      <c r="P46" s="93"/>
      <c r="Q46" s="93"/>
      <c r="R46" s="93"/>
      <c r="S46" s="93"/>
      <c r="T46" s="93"/>
      <c r="U46" s="93"/>
      <c r="V46" s="93"/>
      <c r="W46" s="494"/>
      <c r="X46" s="494"/>
      <c r="Y46" s="494"/>
      <c r="Z46" s="494"/>
      <c r="AA46" s="494"/>
      <c r="AB46" s="494"/>
      <c r="AC46" s="494"/>
      <c r="AD46" s="494"/>
      <c r="AE46" s="494"/>
      <c r="AF46" s="494"/>
      <c r="AG46" s="494"/>
      <c r="AH46" s="494"/>
      <c r="AI46" s="494"/>
      <c r="AJ46" s="494"/>
    </row>
    <row r="47" spans="1:36">
      <c r="A47" s="93"/>
      <c r="B47" s="93"/>
      <c r="C47" s="93"/>
      <c r="D47" s="93"/>
      <c r="E47" s="93"/>
      <c r="F47" s="93"/>
      <c r="G47" s="93"/>
      <c r="H47" s="93"/>
      <c r="I47" s="93"/>
      <c r="J47" s="93"/>
      <c r="K47" s="93"/>
      <c r="L47" s="93"/>
      <c r="M47" s="93"/>
      <c r="N47" s="93"/>
      <c r="O47" s="93"/>
      <c r="P47" s="93"/>
      <c r="Q47" s="93"/>
      <c r="R47" s="93"/>
      <c r="S47" s="93"/>
      <c r="T47" s="93"/>
      <c r="U47" s="93"/>
      <c r="V47" s="93"/>
      <c r="W47" s="494"/>
      <c r="X47" s="494"/>
      <c r="Y47" s="494"/>
      <c r="Z47" s="494"/>
      <c r="AA47" s="494"/>
      <c r="AB47" s="494"/>
      <c r="AC47" s="494"/>
      <c r="AD47" s="494"/>
      <c r="AE47" s="494"/>
      <c r="AF47" s="494"/>
      <c r="AG47" s="494"/>
      <c r="AH47" s="494"/>
      <c r="AI47" s="494"/>
      <c r="AJ47" s="494"/>
    </row>
    <row r="48" spans="1:36">
      <c r="A48" s="93"/>
      <c r="B48" s="93"/>
      <c r="C48" s="93"/>
      <c r="D48" s="93"/>
      <c r="E48" s="93"/>
      <c r="F48" s="93"/>
      <c r="G48" s="93"/>
      <c r="H48" s="93"/>
      <c r="I48" s="93"/>
      <c r="J48" s="93"/>
      <c r="K48" s="93"/>
      <c r="L48" s="93"/>
      <c r="M48" s="93"/>
      <c r="N48" s="93"/>
      <c r="O48" s="93"/>
      <c r="P48" s="93"/>
      <c r="Q48" s="93"/>
      <c r="R48" s="93"/>
      <c r="S48" s="93"/>
      <c r="T48" s="93"/>
      <c r="U48" s="93"/>
      <c r="V48" s="93"/>
      <c r="W48" s="495"/>
      <c r="X48" s="495"/>
      <c r="Y48" s="495"/>
      <c r="Z48" s="495"/>
      <c r="AA48" s="495"/>
      <c r="AB48" s="495"/>
      <c r="AC48" s="495"/>
      <c r="AD48" s="495"/>
      <c r="AE48" s="495"/>
      <c r="AF48" s="495"/>
      <c r="AG48" s="495"/>
      <c r="AH48" s="495"/>
      <c r="AI48" s="495"/>
      <c r="AJ48"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W45:AJ48"/>
    <mergeCell ref="H9:Q9"/>
    <mergeCell ref="R9:R13"/>
    <mergeCell ref="H10:Q10"/>
    <mergeCell ref="A22:C22"/>
    <mergeCell ref="A23:R23"/>
    <mergeCell ref="A24:R24"/>
    <mergeCell ref="A25:R25"/>
    <mergeCell ref="A26:R26"/>
    <mergeCell ref="A27:R27"/>
    <mergeCell ref="A28:R28"/>
    <mergeCell ref="A29:R29"/>
  </mergeCells>
  <dataValidations count="3">
    <dataValidation type="list" allowBlank="1" showInputMessage="1" showErrorMessage="1" promptTitle="Choose Management" sqref="C20:C21">
      <formula1>$W$37:$W$41</formula1>
    </dataValidation>
    <dataValidation type="list" allowBlank="1" showInputMessage="1" showErrorMessage="1" promptTitle="Choose Management" sqref="C18:C19">
      <formula1>$W$31:$W$35</formula1>
    </dataValidation>
    <dataValidation type="list" allowBlank="1" showInputMessage="1" showErrorMessage="1" sqref="C16:C17">
      <formula1>$W$20:$W$24</formula1>
    </dataValidation>
  </dataValidations>
  <pageMargins left="0.7" right="0.7" top="0.75" bottom="0.75" header="0.3" footer="0.3"/>
  <pageSetup scale="4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6737" r:id="rId4" name="Check Box 1">
              <controlPr defaultSize="0" autoFill="0" autoLine="0" autoPict="0">
                <anchor moveWithCells="1">
                  <from>
                    <xdr:col>3</xdr:col>
                    <xdr:colOff>222250</xdr:colOff>
                    <xdr:row>0</xdr:row>
                    <xdr:rowOff>25400</xdr:rowOff>
                  </from>
                  <to>
                    <xdr:col>4</xdr:col>
                    <xdr:colOff>57150</xdr:colOff>
                    <xdr:row>0</xdr:row>
                    <xdr:rowOff>165100</xdr:rowOff>
                  </to>
                </anchor>
              </controlPr>
            </control>
          </mc:Choice>
        </mc:AlternateContent>
        <mc:AlternateContent xmlns:mc="http://schemas.openxmlformats.org/markup-compatibility/2006">
          <mc:Choice Requires="x14">
            <control shapeId="116738" r:id="rId5" name="Check Box 2">
              <controlPr defaultSize="0" autoFill="0" autoLine="0" autoPict="0">
                <anchor moveWithCells="1">
                  <from>
                    <xdr:col>7</xdr:col>
                    <xdr:colOff>285750</xdr:colOff>
                    <xdr:row>0</xdr:row>
                    <xdr:rowOff>25400</xdr:rowOff>
                  </from>
                  <to>
                    <xdr:col>8</xdr:col>
                    <xdr:colOff>158750</xdr:colOff>
                    <xdr:row>0</xdr:row>
                    <xdr:rowOff>165100</xdr:rowOff>
                  </to>
                </anchor>
              </controlPr>
            </control>
          </mc:Choice>
        </mc:AlternateContent>
      </controls>
    </mc:Choice>
  </mc:AlternateConten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AJ55"/>
  <sheetViews>
    <sheetView zoomScale="55" zoomScaleNormal="55" workbookViewId="0">
      <selection activeCell="D15" sqref="D15"/>
    </sheetView>
  </sheetViews>
  <sheetFormatPr defaultRowHeight="12.5"/>
  <cols>
    <col min="3" max="3" width="70.453125" customWidth="1"/>
    <col min="4" max="4" width="12.453125" customWidth="1"/>
    <col min="6" max="6" width="10.1796875" customWidth="1"/>
    <col min="7" max="7" width="11.54296875" customWidth="1"/>
    <col min="8" max="8" width="14.453125" customWidth="1"/>
    <col min="9" max="9" width="14" customWidth="1"/>
    <col min="10" max="10" width="15.453125" customWidth="1"/>
    <col min="11" max="11" width="13.81640625" customWidth="1"/>
    <col min="12" max="12" width="14.453125" customWidth="1"/>
    <col min="13" max="13" width="13.54296875" customWidth="1"/>
    <col min="14" max="14" width="5.7265625" customWidth="1"/>
    <col min="15" max="15" width="7" customWidth="1"/>
    <col min="16" max="16" width="5.54296875" customWidth="1"/>
    <col min="17" max="17" width="6.1796875" customWidth="1"/>
    <col min="18" max="18" width="6.453125" customWidth="1"/>
    <col min="20" max="21" width="9.1796875" style="93"/>
    <col min="23" max="23" width="56.45312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48.5" customHeight="1">
      <c r="A7" s="467" t="s">
        <v>490</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160</v>
      </c>
      <c r="D15" s="308"/>
      <c r="E15" s="297" t="s">
        <v>20</v>
      </c>
      <c r="F15" s="231">
        <f>'Component List'!D2</f>
        <v>1.6399999999999997</v>
      </c>
      <c r="G15" s="287">
        <v>50</v>
      </c>
      <c r="H15" s="231">
        <f>D15*F15*G15/100</f>
        <v>0</v>
      </c>
      <c r="I15" s="231"/>
      <c r="J15" s="231"/>
      <c r="K15" s="231"/>
      <c r="L15" s="231"/>
      <c r="M15" s="231"/>
      <c r="N15" s="28"/>
      <c r="O15" s="28"/>
      <c r="P15" s="28"/>
      <c r="Q15" s="28"/>
      <c r="R15" s="13"/>
    </row>
    <row r="16" spans="1:18" ht="17.5">
      <c r="A16" s="12"/>
      <c r="B16" s="347"/>
      <c r="C16" s="206" t="s">
        <v>159</v>
      </c>
      <c r="D16" s="308"/>
      <c r="E16" s="297" t="s">
        <v>20</v>
      </c>
      <c r="F16" s="231">
        <f>'Component List'!D3</f>
        <v>0</v>
      </c>
      <c r="G16" s="287">
        <v>50</v>
      </c>
      <c r="H16" s="231">
        <f>D16*F16*G16/100</f>
        <v>0</v>
      </c>
      <c r="I16" s="231"/>
      <c r="J16" s="231"/>
      <c r="K16" s="231"/>
      <c r="L16" s="231"/>
      <c r="M16" s="231"/>
      <c r="N16" s="28"/>
      <c r="O16" s="28"/>
      <c r="P16" s="28"/>
      <c r="Q16" s="28"/>
      <c r="R16" s="13"/>
    </row>
    <row r="17" spans="1:36" ht="17.5">
      <c r="A17" s="12"/>
      <c r="B17" s="347"/>
      <c r="C17" s="206" t="s">
        <v>161</v>
      </c>
      <c r="D17" s="308"/>
      <c r="E17" s="297" t="s">
        <v>20</v>
      </c>
      <c r="F17" s="231">
        <f>'Component List'!D4</f>
        <v>80.06</v>
      </c>
      <c r="G17" s="287">
        <v>50</v>
      </c>
      <c r="H17" s="231">
        <f t="shared" ref="H17:H23" si="0">D17*F17*G17/100</f>
        <v>0</v>
      </c>
      <c r="I17" s="231"/>
      <c r="J17" s="231"/>
      <c r="K17" s="231"/>
      <c r="L17" s="231"/>
      <c r="M17" s="231"/>
      <c r="N17" s="28"/>
      <c r="O17" s="28"/>
      <c r="P17" s="28"/>
      <c r="Q17" s="28"/>
      <c r="R17" s="13"/>
    </row>
    <row r="18" spans="1:36" ht="17.5">
      <c r="A18" s="12"/>
      <c r="B18" s="347"/>
      <c r="C18" s="206" t="s">
        <v>45</v>
      </c>
      <c r="D18" s="308"/>
      <c r="E18" s="297" t="s">
        <v>20</v>
      </c>
      <c r="F18" s="231">
        <f>'Component List'!D5</f>
        <v>62.6</v>
      </c>
      <c r="G18" s="287">
        <v>50</v>
      </c>
      <c r="H18" s="231">
        <f t="shared" si="0"/>
        <v>0</v>
      </c>
      <c r="I18" s="231"/>
      <c r="J18" s="231"/>
      <c r="K18" s="231"/>
      <c r="L18" s="231"/>
      <c r="M18" s="231"/>
      <c r="N18" s="28"/>
      <c r="O18" s="28"/>
      <c r="P18" s="28"/>
      <c r="Q18" s="28"/>
      <c r="R18" s="13"/>
    </row>
    <row r="19" spans="1:36" ht="17.5">
      <c r="A19" s="12"/>
      <c r="B19" s="347"/>
      <c r="C19" s="206" t="s">
        <v>238</v>
      </c>
      <c r="D19" s="308"/>
      <c r="E19" s="297" t="s">
        <v>20</v>
      </c>
      <c r="F19" s="231">
        <f>'Component List'!D13</f>
        <v>436.24</v>
      </c>
      <c r="G19" s="287">
        <v>50</v>
      </c>
      <c r="H19" s="231">
        <f t="shared" si="0"/>
        <v>0</v>
      </c>
      <c r="I19" s="231"/>
      <c r="J19" s="231"/>
      <c r="K19" s="231"/>
      <c r="L19" s="231"/>
      <c r="M19" s="231"/>
      <c r="N19" s="28"/>
      <c r="O19" s="28"/>
      <c r="P19" s="28"/>
      <c r="Q19" s="28"/>
      <c r="R19" s="13"/>
    </row>
    <row r="20" spans="1:36" ht="17.5">
      <c r="A20" s="12"/>
      <c r="B20" s="347"/>
      <c r="C20" s="207" t="s">
        <v>412</v>
      </c>
      <c r="D20" s="308"/>
      <c r="E20" s="312" t="s">
        <v>20</v>
      </c>
      <c r="F20" s="231">
        <f>'Component List'!D16</f>
        <v>84.42</v>
      </c>
      <c r="G20" s="287">
        <v>50</v>
      </c>
      <c r="H20" s="231">
        <f t="shared" si="0"/>
        <v>0</v>
      </c>
      <c r="I20" s="231"/>
      <c r="J20" s="231"/>
      <c r="K20" s="231"/>
      <c r="L20" s="231"/>
      <c r="M20" s="300"/>
      <c r="N20" s="28"/>
      <c r="O20" s="28"/>
      <c r="P20" s="28"/>
      <c r="Q20" s="28"/>
      <c r="R20" s="13"/>
    </row>
    <row r="21" spans="1:36" ht="17.5">
      <c r="A21" s="35"/>
      <c r="B21" s="349"/>
      <c r="C21" s="206" t="s">
        <v>163</v>
      </c>
      <c r="D21" s="308"/>
      <c r="E21" s="297" t="s">
        <v>20</v>
      </c>
      <c r="F21" s="231">
        <f>'Component List'!D15</f>
        <v>21.78</v>
      </c>
      <c r="G21" s="287">
        <v>50</v>
      </c>
      <c r="H21" s="292">
        <f>D21*F21*G21/100</f>
        <v>0</v>
      </c>
      <c r="I21" s="231"/>
      <c r="J21" s="292"/>
      <c r="K21" s="292"/>
      <c r="L21" s="292"/>
      <c r="M21" s="292"/>
      <c r="N21" s="68"/>
      <c r="O21" s="68"/>
      <c r="P21" s="68"/>
      <c r="Q21" s="68"/>
      <c r="R21" s="43"/>
    </row>
    <row r="22" spans="1:36" ht="17.5">
      <c r="A22" s="12"/>
      <c r="B22" s="347"/>
      <c r="C22" s="206" t="s">
        <v>165</v>
      </c>
      <c r="D22" s="308"/>
      <c r="E22" s="297" t="s">
        <v>20</v>
      </c>
      <c r="F22" s="231">
        <f>'Component List'!D28</f>
        <v>94.14</v>
      </c>
      <c r="G22" s="287">
        <v>50</v>
      </c>
      <c r="H22" s="231">
        <f t="shared" si="0"/>
        <v>0</v>
      </c>
      <c r="I22" s="288"/>
      <c r="J22" s="231"/>
      <c r="K22" s="231"/>
      <c r="L22" s="231"/>
      <c r="M22" s="231"/>
      <c r="N22" s="28"/>
      <c r="O22" s="28"/>
      <c r="P22" s="28"/>
      <c r="Q22" s="28"/>
      <c r="R22" s="13"/>
    </row>
    <row r="23" spans="1:36" ht="17.5">
      <c r="A23" s="12"/>
      <c r="B23" s="347"/>
      <c r="C23" s="206" t="s">
        <v>286</v>
      </c>
      <c r="D23" s="308"/>
      <c r="E23" s="297" t="s">
        <v>20</v>
      </c>
      <c r="F23" s="231">
        <f>'Component List'!D36</f>
        <v>75.36</v>
      </c>
      <c r="G23" s="287">
        <v>50</v>
      </c>
      <c r="H23" s="231">
        <f t="shared" si="0"/>
        <v>0</v>
      </c>
      <c r="I23" s="231"/>
      <c r="J23" s="231"/>
      <c r="K23" s="231"/>
      <c r="L23" s="231"/>
      <c r="M23" s="231"/>
      <c r="N23" s="28"/>
      <c r="O23" s="28"/>
      <c r="P23" s="28"/>
      <c r="Q23" s="28"/>
      <c r="R23" s="13"/>
    </row>
    <row r="24" spans="1:36" ht="17.5">
      <c r="A24" s="12"/>
      <c r="B24" s="347"/>
      <c r="C24" s="206"/>
      <c r="D24" s="308"/>
      <c r="E24" s="297"/>
      <c r="F24" s="231"/>
      <c r="G24" s="287"/>
      <c r="H24" s="231"/>
      <c r="I24" s="231"/>
      <c r="J24" s="231"/>
      <c r="K24" s="231"/>
      <c r="L24" s="231"/>
      <c r="M24" s="231"/>
      <c r="N24" s="28"/>
      <c r="O24" s="28"/>
      <c r="P24" s="28"/>
      <c r="Q24" s="28"/>
      <c r="R24" s="13"/>
    </row>
    <row r="25" spans="1:36" ht="17.5">
      <c r="A25" s="12"/>
      <c r="B25" s="347"/>
      <c r="C25" s="206" t="s">
        <v>42</v>
      </c>
      <c r="D25" s="308"/>
      <c r="E25" s="297" t="s">
        <v>20</v>
      </c>
      <c r="F25" s="231">
        <f>VLOOKUP(C25,W38:X42,2)</f>
        <v>0</v>
      </c>
      <c r="G25" s="287">
        <v>50</v>
      </c>
      <c r="H25" s="300"/>
      <c r="I25" s="231"/>
      <c r="J25" s="231">
        <f>D25*F25*G25/100</f>
        <v>0</v>
      </c>
      <c r="K25" s="231"/>
      <c r="L25" s="231"/>
      <c r="M25" s="231"/>
      <c r="N25" s="28"/>
      <c r="O25" s="28"/>
      <c r="P25" s="28"/>
      <c r="Q25" s="28"/>
      <c r="R25" s="13"/>
    </row>
    <row r="26" spans="1:36" ht="17.5">
      <c r="A26" s="12"/>
      <c r="B26" s="347"/>
      <c r="C26" s="206" t="s">
        <v>42</v>
      </c>
      <c r="D26" s="308"/>
      <c r="E26" s="297" t="s">
        <v>20</v>
      </c>
      <c r="F26" s="231">
        <f>VLOOKUP(C26,W38:X42,2)</f>
        <v>0</v>
      </c>
      <c r="G26" s="287">
        <v>50</v>
      </c>
      <c r="H26" s="300"/>
      <c r="I26" s="231"/>
      <c r="J26" s="231"/>
      <c r="K26" s="231">
        <f>D26*F26*G26/100</f>
        <v>0</v>
      </c>
      <c r="L26" s="231"/>
      <c r="M26" s="231"/>
      <c r="N26" s="28"/>
      <c r="O26" s="28"/>
      <c r="P26" s="28"/>
      <c r="Q26" s="28"/>
      <c r="R26" s="13"/>
      <c r="Y26" s="93"/>
      <c r="Z26" s="93"/>
      <c r="AA26" s="93"/>
      <c r="AB26" s="93"/>
      <c r="AC26" s="93"/>
      <c r="AD26" s="93"/>
      <c r="AE26" s="93"/>
      <c r="AF26" s="93"/>
      <c r="AG26" s="93"/>
      <c r="AH26" s="93"/>
      <c r="AI26" s="93"/>
      <c r="AJ26" s="93"/>
    </row>
    <row r="27" spans="1:36" ht="17.5">
      <c r="A27" s="12"/>
      <c r="B27" s="347"/>
      <c r="C27" s="206" t="s">
        <v>41</v>
      </c>
      <c r="D27" s="308"/>
      <c r="E27" s="297" t="s">
        <v>20</v>
      </c>
      <c r="F27" s="293">
        <f>VLOOKUP(C27,W44:X48,2)</f>
        <v>0</v>
      </c>
      <c r="G27" s="287">
        <v>50</v>
      </c>
      <c r="H27" s="300"/>
      <c r="I27" s="300"/>
      <c r="J27" s="231"/>
      <c r="K27" s="315"/>
      <c r="L27" s="231">
        <f>D27*F27*G27/100</f>
        <v>0</v>
      </c>
      <c r="M27" s="231"/>
      <c r="N27" s="28"/>
      <c r="O27" s="28"/>
      <c r="P27" s="28"/>
      <c r="Q27" s="28"/>
      <c r="R27" s="13"/>
      <c r="W27" s="26" t="s">
        <v>1</v>
      </c>
      <c r="X27" s="11">
        <v>0</v>
      </c>
      <c r="Y27" s="93"/>
      <c r="Z27" s="93"/>
      <c r="AA27" s="93"/>
      <c r="AB27" s="93"/>
      <c r="AC27" s="93"/>
      <c r="AD27" s="93"/>
      <c r="AE27" s="93"/>
      <c r="AF27" s="93"/>
      <c r="AG27" s="93"/>
      <c r="AH27" s="93"/>
    </row>
    <row r="28" spans="1:36" ht="17.5">
      <c r="A28" s="12"/>
      <c r="B28" s="347"/>
      <c r="C28" s="206" t="s">
        <v>41</v>
      </c>
      <c r="D28" s="308"/>
      <c r="E28" s="297" t="s">
        <v>20</v>
      </c>
      <c r="F28" s="293">
        <f>VLOOKUP(C28,W44:X48,2)</f>
        <v>0</v>
      </c>
      <c r="G28" s="287">
        <v>50</v>
      </c>
      <c r="H28" s="300"/>
      <c r="I28" s="300"/>
      <c r="J28" s="231"/>
      <c r="K28" s="300"/>
      <c r="L28" s="231"/>
      <c r="M28" s="231">
        <f>D28*F28*G28/100</f>
        <v>0</v>
      </c>
      <c r="N28" s="28"/>
      <c r="O28" s="28"/>
      <c r="P28" s="28"/>
      <c r="Q28" s="28"/>
      <c r="R28" s="13"/>
      <c r="W28" s="201" t="s">
        <v>92</v>
      </c>
      <c r="X28" s="72">
        <f>'Component List'!D18</f>
        <v>31.04</v>
      </c>
      <c r="Y28" s="93"/>
      <c r="Z28" s="93"/>
      <c r="AA28" s="93"/>
      <c r="AB28" s="93"/>
      <c r="AC28" s="93"/>
      <c r="AD28" s="93"/>
      <c r="AE28" s="93"/>
      <c r="AF28" s="93"/>
      <c r="AG28" s="93"/>
      <c r="AH28" s="93"/>
      <c r="AI28" s="93"/>
      <c r="AJ28" s="93"/>
    </row>
    <row r="29" spans="1:36" ht="15.5">
      <c r="A29" s="456" t="s">
        <v>89</v>
      </c>
      <c r="B29" s="457"/>
      <c r="C29" s="458"/>
      <c r="D29" s="286"/>
      <c r="E29" s="280"/>
      <c r="F29" s="265"/>
      <c r="G29" s="281"/>
      <c r="H29" s="271">
        <f t="shared" ref="H29:M29" si="1">SUM(H15:H28)</f>
        <v>0</v>
      </c>
      <c r="I29" s="271">
        <f t="shared" si="1"/>
        <v>0</v>
      </c>
      <c r="J29" s="271">
        <f t="shared" si="1"/>
        <v>0</v>
      </c>
      <c r="K29" s="271">
        <f t="shared" si="1"/>
        <v>0</v>
      </c>
      <c r="L29" s="271">
        <f t="shared" si="1"/>
        <v>0</v>
      </c>
      <c r="M29" s="271">
        <f t="shared" si="1"/>
        <v>0</v>
      </c>
      <c r="N29" s="23"/>
      <c r="O29" s="23"/>
      <c r="P29" s="23"/>
      <c r="Q29" s="23"/>
      <c r="R29" s="25"/>
      <c r="W29" s="201" t="s">
        <v>254</v>
      </c>
      <c r="X29" s="72">
        <f>'Component List'!D19</f>
        <v>100</v>
      </c>
      <c r="Y29" s="93"/>
      <c r="Z29" s="93"/>
      <c r="AA29" s="93"/>
      <c r="AB29" s="93"/>
      <c r="AC29" s="93"/>
      <c r="AD29" s="93"/>
      <c r="AE29" s="93"/>
      <c r="AF29" s="93"/>
      <c r="AG29" s="93"/>
      <c r="AH29" s="93"/>
      <c r="AI29" s="93"/>
      <c r="AJ29" s="93"/>
    </row>
    <row r="30" spans="1:36" ht="37.5" customHeight="1">
      <c r="A30" s="496" t="str">
        <f>IF(W50,W52,"")</f>
        <v/>
      </c>
      <c r="B30" s="497"/>
      <c r="C30" s="497"/>
      <c r="D30" s="497"/>
      <c r="E30" s="497"/>
      <c r="F30" s="497"/>
      <c r="G30" s="497"/>
      <c r="H30" s="497"/>
      <c r="I30" s="497"/>
      <c r="J30" s="497"/>
      <c r="K30" s="497"/>
      <c r="L30" s="497"/>
      <c r="M30" s="497"/>
      <c r="N30" s="497"/>
      <c r="O30" s="497"/>
      <c r="P30" s="497"/>
      <c r="Q30" s="497"/>
      <c r="R30" s="497"/>
      <c r="W30" s="201" t="s">
        <v>93</v>
      </c>
      <c r="X30" s="72">
        <f>'Component List'!D22</f>
        <v>23.04</v>
      </c>
      <c r="Y30" s="93"/>
      <c r="Z30" s="93"/>
      <c r="AA30" s="93"/>
      <c r="AB30" s="93"/>
      <c r="AC30" s="93"/>
      <c r="AD30" s="93"/>
      <c r="AE30" s="93"/>
      <c r="AF30" s="93"/>
      <c r="AG30" s="93"/>
      <c r="AH30" s="93"/>
      <c r="AI30" s="93"/>
      <c r="AJ30" s="93"/>
    </row>
    <row r="31" spans="1:36" ht="15.5">
      <c r="A31" s="401" t="s">
        <v>262</v>
      </c>
      <c r="B31" s="402"/>
      <c r="C31" s="402"/>
      <c r="D31" s="402"/>
      <c r="E31" s="402"/>
      <c r="F31" s="402"/>
      <c r="G31" s="402"/>
      <c r="H31" s="402"/>
      <c r="I31" s="402"/>
      <c r="J31" s="402"/>
      <c r="K31" s="402"/>
      <c r="L31" s="402"/>
      <c r="M31" s="402"/>
      <c r="N31" s="402"/>
      <c r="O31" s="402"/>
      <c r="P31" s="402"/>
      <c r="Q31" s="402"/>
      <c r="R31" s="403"/>
      <c r="W31" s="201" t="s">
        <v>411</v>
      </c>
      <c r="X31" s="72">
        <f>'Component List'!D27</f>
        <v>100</v>
      </c>
      <c r="Y31" s="93"/>
      <c r="Z31" s="93"/>
      <c r="AA31" s="93"/>
      <c r="AB31" s="93"/>
      <c r="AC31" s="93"/>
      <c r="AD31" s="93"/>
      <c r="AE31" s="93"/>
      <c r="AF31" s="93"/>
      <c r="AG31" s="93"/>
      <c r="AH31" s="93"/>
      <c r="AI31" s="93"/>
      <c r="AJ31" s="93"/>
    </row>
    <row r="32" spans="1:36" ht="46.5" customHeight="1">
      <c r="A32" s="393" t="s">
        <v>434</v>
      </c>
      <c r="B32" s="394"/>
      <c r="C32" s="394"/>
      <c r="D32" s="394"/>
      <c r="E32" s="394"/>
      <c r="F32" s="394"/>
      <c r="G32" s="394"/>
      <c r="H32" s="394"/>
      <c r="I32" s="394"/>
      <c r="J32" s="394"/>
      <c r="K32" s="394"/>
      <c r="L32" s="394"/>
      <c r="M32" s="394"/>
      <c r="N32" s="394"/>
      <c r="O32" s="394"/>
      <c r="P32" s="394"/>
      <c r="Q32" s="394"/>
      <c r="R32" s="395"/>
      <c r="W32" s="216"/>
      <c r="X32" s="197"/>
      <c r="Y32" s="93"/>
      <c r="Z32" s="93"/>
      <c r="AA32" s="93"/>
      <c r="AB32" s="93"/>
      <c r="AC32" s="93"/>
      <c r="AD32" s="93"/>
      <c r="AE32" s="93"/>
      <c r="AF32" s="93"/>
      <c r="AG32" s="93"/>
      <c r="AH32" s="93"/>
      <c r="AI32" s="93"/>
      <c r="AJ32" s="93"/>
    </row>
    <row r="33" spans="1:36" ht="15.5">
      <c r="A33" s="460" t="s">
        <v>390</v>
      </c>
      <c r="B33" s="461"/>
      <c r="C33" s="461"/>
      <c r="D33" s="461"/>
      <c r="E33" s="461"/>
      <c r="F33" s="461"/>
      <c r="G33" s="461"/>
      <c r="H33" s="461"/>
      <c r="I33" s="461"/>
      <c r="J33" s="461"/>
      <c r="K33" s="461"/>
      <c r="L33" s="461"/>
      <c r="M33" s="461"/>
      <c r="N33" s="461"/>
      <c r="O33" s="461"/>
      <c r="P33" s="461"/>
      <c r="Q33" s="461"/>
      <c r="R33" s="462"/>
      <c r="W33" s="216"/>
      <c r="X33" s="197"/>
      <c r="Y33" s="93"/>
      <c r="Z33" s="93"/>
      <c r="AA33" s="93"/>
      <c r="AB33" s="93"/>
      <c r="AC33" s="93"/>
      <c r="AD33" s="93"/>
      <c r="AE33" s="93"/>
      <c r="AF33" s="93"/>
      <c r="AG33" s="93"/>
      <c r="AH33" s="93"/>
      <c r="AI33" s="93"/>
      <c r="AJ33" s="93"/>
    </row>
    <row r="34" spans="1:36" ht="50.25" customHeight="1">
      <c r="A34" s="463" t="s">
        <v>392</v>
      </c>
      <c r="B34" s="464"/>
      <c r="C34" s="464"/>
      <c r="D34" s="464"/>
      <c r="E34" s="464"/>
      <c r="F34" s="464"/>
      <c r="G34" s="464"/>
      <c r="H34" s="464"/>
      <c r="I34" s="464"/>
      <c r="J34" s="464"/>
      <c r="K34" s="464"/>
      <c r="L34" s="464"/>
      <c r="M34" s="464"/>
      <c r="N34" s="464"/>
      <c r="O34" s="464"/>
      <c r="P34" s="464"/>
      <c r="Q34" s="464"/>
      <c r="R34" s="465"/>
      <c r="W34" s="216"/>
      <c r="X34" s="197"/>
      <c r="Y34" s="93"/>
      <c r="Z34" s="93"/>
      <c r="AA34" s="93"/>
      <c r="AB34" s="93"/>
      <c r="AC34" s="93"/>
      <c r="AD34" s="93"/>
      <c r="AE34" s="93"/>
      <c r="AF34" s="93"/>
      <c r="AG34" s="93"/>
      <c r="AH34" s="93"/>
      <c r="AI34" s="93"/>
      <c r="AJ34" s="93"/>
    </row>
    <row r="35" spans="1:36" ht="15.75" customHeight="1">
      <c r="A35" s="413" t="s">
        <v>221</v>
      </c>
      <c r="B35" s="414"/>
      <c r="C35" s="414"/>
      <c r="D35" s="414"/>
      <c r="E35" s="414"/>
      <c r="F35" s="414"/>
      <c r="G35" s="414"/>
      <c r="H35" s="414"/>
      <c r="I35" s="414"/>
      <c r="J35" s="414"/>
      <c r="K35" s="414"/>
      <c r="L35" s="414"/>
      <c r="M35" s="414"/>
      <c r="N35" s="414"/>
      <c r="O35" s="414"/>
      <c r="P35" s="414"/>
      <c r="Q35" s="414"/>
      <c r="R35" s="415"/>
      <c r="W35" s="216"/>
      <c r="X35" s="197"/>
      <c r="Y35" s="93"/>
      <c r="Z35" s="93"/>
      <c r="AA35" s="93"/>
      <c r="AB35" s="93"/>
      <c r="AC35" s="93"/>
      <c r="AD35" s="93"/>
      <c r="AE35" s="93"/>
      <c r="AF35" s="93"/>
      <c r="AG35" s="93"/>
      <c r="AH35" s="93"/>
      <c r="AI35" s="93"/>
      <c r="AJ35" s="93"/>
    </row>
    <row r="36" spans="1:36" ht="75.75" customHeight="1">
      <c r="A36" s="396" t="s">
        <v>370</v>
      </c>
      <c r="B36" s="397"/>
      <c r="C36" s="397"/>
      <c r="D36" s="397"/>
      <c r="E36" s="397"/>
      <c r="F36" s="397"/>
      <c r="G36" s="397"/>
      <c r="H36" s="397"/>
      <c r="I36" s="397"/>
      <c r="J36" s="397"/>
      <c r="K36" s="397"/>
      <c r="L36" s="397"/>
      <c r="M36" s="397"/>
      <c r="N36" s="397"/>
      <c r="O36" s="397"/>
      <c r="P36" s="397"/>
      <c r="Q36" s="397"/>
      <c r="R36" s="398"/>
      <c r="W36" s="26"/>
      <c r="X36" s="80"/>
      <c r="Y36" s="93"/>
      <c r="Z36" s="93"/>
      <c r="AA36" s="93"/>
      <c r="AB36" s="93"/>
      <c r="AC36" s="93"/>
      <c r="AD36" s="93"/>
      <c r="AE36" s="93"/>
      <c r="AF36" s="93"/>
      <c r="AG36" s="93"/>
      <c r="AH36" s="93"/>
      <c r="AI36" s="93"/>
      <c r="AJ36" s="93"/>
    </row>
    <row r="37" spans="1:36" ht="15.5">
      <c r="W37" s="26"/>
      <c r="X37" s="80"/>
      <c r="Y37" s="93"/>
      <c r="Z37" s="93"/>
      <c r="AA37" s="93"/>
      <c r="AB37" s="93"/>
      <c r="AC37" s="93"/>
      <c r="AD37" s="93"/>
      <c r="AE37" s="93"/>
      <c r="AF37" s="93"/>
      <c r="AG37" s="93"/>
      <c r="AH37" s="93"/>
      <c r="AI37" s="93"/>
      <c r="AJ37" s="93"/>
    </row>
    <row r="38" spans="1:36" ht="15.5">
      <c r="W38" s="26" t="s">
        <v>42</v>
      </c>
      <c r="X38" s="51">
        <v>0</v>
      </c>
      <c r="Y38" s="93"/>
      <c r="Z38" s="93"/>
      <c r="AA38" s="93"/>
      <c r="AB38" s="93"/>
      <c r="AC38" s="93"/>
      <c r="AD38" s="93"/>
      <c r="AE38" s="93"/>
      <c r="AF38" s="93"/>
      <c r="AG38" s="93"/>
      <c r="AH38" s="93"/>
      <c r="AI38" s="93"/>
      <c r="AJ38" s="93"/>
    </row>
    <row r="39" spans="1:36" ht="15.5">
      <c r="W39" s="203" t="s">
        <v>43</v>
      </c>
      <c r="X39" s="45">
        <f>'Component List'!D18</f>
        <v>31.04</v>
      </c>
      <c r="Y39" s="93"/>
      <c r="Z39" s="93"/>
      <c r="AA39" s="93"/>
      <c r="AB39" s="93"/>
      <c r="AC39" s="93"/>
      <c r="AD39" s="93"/>
      <c r="AE39" s="93"/>
      <c r="AF39" s="93"/>
      <c r="AG39" s="93"/>
      <c r="AH39" s="93"/>
      <c r="AI39" s="93"/>
      <c r="AJ39" s="93"/>
    </row>
    <row r="40" spans="1:36" ht="15.5">
      <c r="W40" s="203" t="s">
        <v>121</v>
      </c>
      <c r="X40" s="45">
        <f>'Component List'!D19</f>
        <v>100</v>
      </c>
      <c r="Y40" s="93"/>
      <c r="Z40" s="93"/>
      <c r="AA40" s="93"/>
      <c r="AB40" s="93"/>
      <c r="AC40" s="93"/>
      <c r="AD40" s="93"/>
      <c r="AE40" s="93"/>
      <c r="AF40" s="93"/>
      <c r="AG40" s="93"/>
      <c r="AH40" s="93"/>
      <c r="AI40" s="93"/>
      <c r="AJ40" s="93"/>
    </row>
    <row r="41" spans="1:36" ht="15.5">
      <c r="W41" s="203" t="s">
        <v>44</v>
      </c>
      <c r="X41" s="45">
        <f>'Component List'!D22</f>
        <v>23.04</v>
      </c>
      <c r="Y41" s="93"/>
      <c r="Z41" s="93"/>
      <c r="AA41" s="93"/>
      <c r="AB41" s="93"/>
      <c r="AC41" s="93"/>
      <c r="AD41" s="93"/>
      <c r="AE41" s="93"/>
      <c r="AF41" s="93"/>
      <c r="AG41" s="93"/>
      <c r="AH41" s="93"/>
      <c r="AI41" s="93"/>
      <c r="AJ41" s="93"/>
    </row>
    <row r="42" spans="1:36" ht="15.5">
      <c r="W42" s="203" t="s">
        <v>122</v>
      </c>
      <c r="X42" s="45">
        <f>'Component List'!D27</f>
        <v>100</v>
      </c>
      <c r="Y42" s="93"/>
      <c r="Z42" s="93"/>
      <c r="AA42" s="93"/>
      <c r="AB42" s="93"/>
      <c r="AC42" s="93"/>
      <c r="AD42" s="93"/>
      <c r="AE42" s="93"/>
      <c r="AF42" s="93"/>
      <c r="AG42" s="93"/>
      <c r="AH42" s="93"/>
      <c r="AI42" s="93"/>
      <c r="AJ42" s="93"/>
    </row>
    <row r="43" spans="1:36" ht="15.5">
      <c r="W43" s="26"/>
      <c r="X43" s="80"/>
      <c r="Y43" s="93"/>
      <c r="Z43" s="93"/>
      <c r="AA43" s="93"/>
      <c r="AB43" s="93"/>
      <c r="AC43" s="93"/>
      <c r="AD43" s="93"/>
      <c r="AE43" s="93"/>
      <c r="AF43" s="93"/>
      <c r="AG43" s="93"/>
      <c r="AH43" s="93"/>
      <c r="AI43" s="93"/>
      <c r="AJ43" s="93"/>
    </row>
    <row r="44" spans="1:36" ht="15.5">
      <c r="W44" s="205" t="s">
        <v>41</v>
      </c>
      <c r="X44" s="51">
        <v>0</v>
      </c>
      <c r="Y44" s="93"/>
      <c r="Z44" s="93"/>
      <c r="AA44" s="93"/>
      <c r="AB44" s="93"/>
      <c r="AC44" s="93"/>
      <c r="AD44" s="93"/>
      <c r="AE44" s="93"/>
      <c r="AF44" s="93"/>
      <c r="AG44" s="93"/>
      <c r="AH44" s="93"/>
      <c r="AI44" s="93"/>
      <c r="AJ44" s="93"/>
    </row>
    <row r="45" spans="1:36" ht="15.5">
      <c r="W45" s="203" t="s">
        <v>152</v>
      </c>
      <c r="X45" s="45">
        <f>'Component List'!D18</f>
        <v>31.04</v>
      </c>
      <c r="Y45" s="93"/>
      <c r="Z45" s="93"/>
      <c r="AA45" s="93"/>
      <c r="AB45" s="93"/>
      <c r="AC45" s="93"/>
      <c r="AD45" s="93"/>
      <c r="AE45" s="93"/>
      <c r="AF45" s="93"/>
      <c r="AG45" s="93"/>
      <c r="AH45" s="93"/>
      <c r="AI45" s="93"/>
      <c r="AJ45" s="93"/>
    </row>
    <row r="46" spans="1:36" ht="15.5">
      <c r="W46" s="203" t="s">
        <v>123</v>
      </c>
      <c r="X46" s="45">
        <f>'Component List'!D19</f>
        <v>100</v>
      </c>
      <c r="Y46" s="93"/>
      <c r="Z46" s="93"/>
      <c r="AA46" s="93"/>
      <c r="AB46" s="93"/>
      <c r="AC46" s="93"/>
      <c r="AD46" s="93"/>
      <c r="AE46" s="93"/>
      <c r="AF46" s="93"/>
      <c r="AG46" s="93"/>
      <c r="AH46" s="93"/>
      <c r="AI46" s="93"/>
      <c r="AJ46" s="93"/>
    </row>
    <row r="47" spans="1:36" ht="15.5">
      <c r="W47" s="203" t="s">
        <v>153</v>
      </c>
      <c r="X47" s="45">
        <f>'Component List'!D22</f>
        <v>23.04</v>
      </c>
      <c r="Y47" s="93"/>
      <c r="Z47" s="93"/>
      <c r="AA47" s="93"/>
      <c r="AB47" s="93"/>
      <c r="AC47" s="93"/>
      <c r="AD47" s="93"/>
      <c r="AE47" s="93"/>
      <c r="AF47" s="93"/>
      <c r="AG47" s="93"/>
      <c r="AH47" s="93"/>
      <c r="AI47" s="93"/>
      <c r="AJ47" s="93"/>
    </row>
    <row r="48" spans="1:36" ht="15.5">
      <c r="W48" s="203" t="s">
        <v>124</v>
      </c>
      <c r="X48" s="45">
        <f>'Component List'!D27</f>
        <v>100</v>
      </c>
      <c r="Y48" s="93"/>
      <c r="Z48" s="93"/>
      <c r="AA48" s="93"/>
      <c r="AB48" s="93"/>
      <c r="AC48" s="93"/>
      <c r="AD48" s="93"/>
      <c r="AE48" s="93"/>
      <c r="AF48" s="93"/>
      <c r="AG48" s="93"/>
      <c r="AH48" s="93"/>
      <c r="AI48" s="93"/>
      <c r="AJ48" s="93"/>
    </row>
    <row r="49" spans="23:36">
      <c r="W49" s="93"/>
      <c r="X49" s="80"/>
      <c r="Y49" s="93"/>
      <c r="Z49" s="93"/>
      <c r="AA49" s="93"/>
      <c r="AB49" s="93"/>
      <c r="AC49" s="93"/>
      <c r="AD49" s="93"/>
      <c r="AE49" s="93"/>
      <c r="AF49" s="93"/>
      <c r="AG49" s="93"/>
      <c r="AH49" s="93"/>
      <c r="AI49" s="93"/>
      <c r="AJ49" s="93"/>
    </row>
    <row r="50" spans="23:36">
      <c r="W50" s="93" t="b">
        <f>OR(C25=W40,C25=W42,C26=W40,C26=W42,C27=W46,C27=W48,C28=W46,C28=W48)</f>
        <v>0</v>
      </c>
      <c r="X50" s="80"/>
      <c r="Y50" s="93"/>
      <c r="Z50" s="93"/>
      <c r="AA50" s="93"/>
      <c r="AB50" s="93"/>
      <c r="AC50" s="93"/>
      <c r="AD50" s="93"/>
      <c r="AE50" s="93"/>
      <c r="AF50" s="93"/>
      <c r="AG50" s="93"/>
      <c r="AH50" s="93"/>
      <c r="AI50" s="93"/>
      <c r="AJ50" s="93"/>
    </row>
    <row r="51" spans="23:36">
      <c r="W51" s="93"/>
      <c r="X51" s="80"/>
      <c r="Y51" s="93"/>
      <c r="Z51" s="93"/>
      <c r="AA51" s="93"/>
      <c r="AB51" s="93"/>
      <c r="AC51" s="93"/>
      <c r="AD51" s="93"/>
      <c r="AE51" s="93"/>
      <c r="AF51" s="93"/>
      <c r="AG51" s="93"/>
      <c r="AH51" s="93"/>
      <c r="AI51" s="93"/>
      <c r="AJ51" s="93"/>
    </row>
    <row r="52" spans="23:36">
      <c r="W52" s="493" t="s">
        <v>253</v>
      </c>
      <c r="X52" s="493"/>
      <c r="Y52" s="493"/>
      <c r="Z52" s="493"/>
      <c r="AA52" s="493"/>
      <c r="AB52" s="493"/>
      <c r="AC52" s="493"/>
      <c r="AD52" s="493"/>
      <c r="AE52" s="493"/>
      <c r="AF52" s="493"/>
      <c r="AG52" s="493"/>
      <c r="AH52" s="493"/>
      <c r="AI52" s="493"/>
      <c r="AJ52" s="493"/>
    </row>
    <row r="53" spans="23:36">
      <c r="W53" s="494"/>
      <c r="X53" s="494"/>
      <c r="Y53" s="494"/>
      <c r="Z53" s="494"/>
      <c r="AA53" s="494"/>
      <c r="AB53" s="494"/>
      <c r="AC53" s="494"/>
      <c r="AD53" s="494"/>
      <c r="AE53" s="494"/>
      <c r="AF53" s="494"/>
      <c r="AG53" s="494"/>
      <c r="AH53" s="494"/>
      <c r="AI53" s="494"/>
      <c r="AJ53" s="494"/>
    </row>
    <row r="54" spans="23:36">
      <c r="W54" s="494"/>
      <c r="X54" s="494"/>
      <c r="Y54" s="494"/>
      <c r="Z54" s="494"/>
      <c r="AA54" s="494"/>
      <c r="AB54" s="494"/>
      <c r="AC54" s="494"/>
      <c r="AD54" s="494"/>
      <c r="AE54" s="494"/>
      <c r="AF54" s="494"/>
      <c r="AG54" s="494"/>
      <c r="AH54" s="494"/>
      <c r="AI54" s="494"/>
      <c r="AJ54" s="494"/>
    </row>
    <row r="55" spans="23:36">
      <c r="W55" s="495"/>
      <c r="X55" s="495"/>
      <c r="Y55" s="495"/>
      <c r="Z55" s="495"/>
      <c r="AA55" s="495"/>
      <c r="AB55" s="495"/>
      <c r="AC55" s="495"/>
      <c r="AD55" s="495"/>
      <c r="AE55" s="495"/>
      <c r="AF55" s="495"/>
      <c r="AG55" s="495"/>
      <c r="AH55" s="495"/>
      <c r="AI55" s="495"/>
      <c r="AJ55"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W52:AJ55"/>
    <mergeCell ref="A32:R32"/>
    <mergeCell ref="A6:R6"/>
    <mergeCell ref="A7:R7"/>
    <mergeCell ref="A8:R8"/>
    <mergeCell ref="A9:A13"/>
    <mergeCell ref="B9:B13"/>
    <mergeCell ref="C9:C13"/>
    <mergeCell ref="D9:D13"/>
    <mergeCell ref="E9:E13"/>
    <mergeCell ref="F9:F13"/>
    <mergeCell ref="G9:G13"/>
    <mergeCell ref="H9:Q9"/>
    <mergeCell ref="R9:R13"/>
    <mergeCell ref="H10:Q10"/>
    <mergeCell ref="A29:C29"/>
    <mergeCell ref="A30:R30"/>
    <mergeCell ref="A33:R33"/>
    <mergeCell ref="A34:R34"/>
    <mergeCell ref="A35:R35"/>
    <mergeCell ref="A36:R36"/>
    <mergeCell ref="A31:R31"/>
  </mergeCells>
  <dataValidations count="2">
    <dataValidation type="list" allowBlank="1" showInputMessage="1" showErrorMessage="1" promptTitle="Choose Management" sqref="C27:C28">
      <formula1>$W$44:$W$48</formula1>
    </dataValidation>
    <dataValidation type="list" allowBlank="1" showInputMessage="1" showErrorMessage="1" promptTitle="Choose Management" sqref="C25:C26">
      <formula1>$W$38:$W$42</formula1>
    </dataValidation>
  </dataValidations>
  <pageMargins left="0.2" right="0.21" top="0.44" bottom="0.56000000000000005" header="0.3" footer="0.3"/>
  <pageSetup scale="55"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30722" r:id="rId5" name="Check Box 2">
              <controlPr defaultSize="0" autoFill="0" autoLine="0" autoPict="0">
                <anchor moveWithCells="1">
                  <from>
                    <xdr:col>7</xdr:col>
                    <xdr:colOff>209550</xdr:colOff>
                    <xdr:row>0</xdr:row>
                    <xdr:rowOff>12700</xdr:rowOff>
                  </from>
                  <to>
                    <xdr:col>8</xdr:col>
                    <xdr:colOff>127000</xdr:colOff>
                    <xdr:row>0</xdr:row>
                    <xdr:rowOff>152400</xdr:rowOff>
                  </to>
                </anchor>
              </controlPr>
            </control>
          </mc:Choice>
        </mc:AlternateContent>
      </controls>
    </mc:Choice>
  </mc:AlternateConten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4">
    <pageSetUpPr fitToPage="1"/>
  </sheetPr>
  <dimension ref="A1:R23"/>
  <sheetViews>
    <sheetView zoomScale="55" zoomScaleNormal="55" workbookViewId="0">
      <selection activeCell="D15" sqref="D15"/>
    </sheetView>
  </sheetViews>
  <sheetFormatPr defaultRowHeight="12.5"/>
  <cols>
    <col min="3" max="3" width="75.453125" customWidth="1"/>
    <col min="4" max="4" width="14.7265625" customWidth="1"/>
    <col min="6" max="6" width="14.1796875" customWidth="1"/>
    <col min="8" max="8" width="12.26953125" customWidth="1"/>
    <col min="9" max="9" width="13" customWidth="1"/>
    <col min="10" max="10" width="13.54296875" customWidth="1"/>
    <col min="11" max="11" width="16.453125" customWidth="1"/>
    <col min="12" max="12" width="14.2695312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3.25" customHeight="1">
      <c r="A2" s="429" t="s">
        <v>363</v>
      </c>
      <c r="B2" s="430"/>
      <c r="C2" s="430"/>
      <c r="D2" s="136"/>
      <c r="E2" s="136"/>
      <c r="F2" s="425" t="s">
        <v>25</v>
      </c>
      <c r="G2" s="426"/>
      <c r="H2" s="426"/>
      <c r="I2" s="426"/>
      <c r="J2" s="136"/>
      <c r="K2" s="136"/>
      <c r="L2" s="136"/>
      <c r="M2" s="136"/>
      <c r="N2" s="262" t="s">
        <v>420</v>
      </c>
      <c r="O2" s="137" t="s">
        <v>364</v>
      </c>
      <c r="P2" s="138"/>
      <c r="Q2" s="139" t="s">
        <v>365</v>
      </c>
      <c r="R2" s="140"/>
    </row>
    <row r="3" spans="1:18" ht="22.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56" t="s">
        <v>388</v>
      </c>
      <c r="I4" s="26"/>
      <c r="J4" s="480" t="s">
        <v>385</v>
      </c>
      <c r="K4" s="481"/>
      <c r="L4" s="482"/>
      <c r="M4" s="480" t="s">
        <v>389</v>
      </c>
      <c r="N4" s="483"/>
      <c r="O4" s="483"/>
      <c r="P4" s="483"/>
      <c r="Q4" s="483"/>
      <c r="R4" s="484"/>
    </row>
    <row r="5" spans="1:18" ht="25.5" customHeight="1">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2.25" customHeight="1">
      <c r="A7" s="467" t="s">
        <v>491</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8"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6.5" customHeight="1">
      <c r="A12" s="453"/>
      <c r="B12" s="453"/>
      <c r="C12" s="499"/>
      <c r="D12" s="475"/>
      <c r="E12" s="478"/>
      <c r="F12" s="453"/>
      <c r="G12" s="453"/>
      <c r="H12" s="357" t="s">
        <v>339</v>
      </c>
      <c r="I12" s="357" t="s">
        <v>339</v>
      </c>
      <c r="J12" s="357" t="s">
        <v>339</v>
      </c>
      <c r="K12" s="357" t="s">
        <v>339</v>
      </c>
      <c r="L12" s="357" t="s">
        <v>339</v>
      </c>
      <c r="M12" s="357" t="s">
        <v>339</v>
      </c>
      <c r="N12" s="357" t="s">
        <v>339</v>
      </c>
      <c r="O12" s="357" t="s">
        <v>339</v>
      </c>
      <c r="P12" s="357" t="s">
        <v>339</v>
      </c>
      <c r="Q12" s="357"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31"/>
      <c r="G15" s="287"/>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58" t="str">
        <f>IF(AE46,AE48,"")</f>
        <v/>
      </c>
      <c r="B17" s="355"/>
      <c r="C17" s="355"/>
      <c r="D17" s="355"/>
      <c r="E17" s="355"/>
      <c r="F17" s="355"/>
      <c r="G17" s="355"/>
      <c r="H17" s="355"/>
      <c r="I17" s="355"/>
      <c r="J17" s="355"/>
      <c r="K17" s="355"/>
      <c r="L17" s="355"/>
      <c r="M17" s="355"/>
      <c r="N17" s="355"/>
      <c r="O17" s="355"/>
      <c r="P17" s="355"/>
      <c r="Q17" s="355"/>
      <c r="R17" s="355"/>
    </row>
    <row r="18" spans="1:18" ht="15.5">
      <c r="A18" s="401" t="s">
        <v>262</v>
      </c>
      <c r="B18" s="402"/>
      <c r="C18" s="402"/>
      <c r="D18" s="402"/>
      <c r="E18" s="402"/>
      <c r="F18" s="402"/>
      <c r="G18" s="402"/>
      <c r="H18" s="402"/>
      <c r="I18" s="402"/>
      <c r="J18" s="402"/>
      <c r="K18" s="402"/>
      <c r="L18" s="402"/>
      <c r="M18" s="402"/>
      <c r="N18" s="402"/>
      <c r="O18" s="402"/>
      <c r="P18" s="402"/>
      <c r="Q18" s="402"/>
      <c r="R18" s="403"/>
    </row>
    <row r="19" spans="1:18" ht="50.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52.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3.7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20:R20"/>
    <mergeCell ref="A21:R21"/>
    <mergeCell ref="A22:R22"/>
    <mergeCell ref="A23:R23"/>
    <mergeCell ref="H9:Q9"/>
    <mergeCell ref="R9:R13"/>
    <mergeCell ref="H10:Q10"/>
    <mergeCell ref="A16:C16"/>
    <mergeCell ref="A18:R18"/>
    <mergeCell ref="A19:R19"/>
  </mergeCells>
  <pageMargins left="0.7" right="0.7" top="0.75" bottom="0.75" header="0.3" footer="0.3"/>
  <pageSetup scale="4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7761" r:id="rId4" name="Check Box 1">
              <controlPr defaultSize="0" autoFill="0" autoLine="0" autoPict="0">
                <anchor moveWithCells="1">
                  <from>
                    <xdr:col>3</xdr:col>
                    <xdr:colOff>228600</xdr:colOff>
                    <xdr:row>0</xdr:row>
                    <xdr:rowOff>25400</xdr:rowOff>
                  </from>
                  <to>
                    <xdr:col>4</xdr:col>
                    <xdr:colOff>95250</xdr:colOff>
                    <xdr:row>0</xdr:row>
                    <xdr:rowOff>165100</xdr:rowOff>
                  </to>
                </anchor>
              </controlPr>
            </control>
          </mc:Choice>
        </mc:AlternateContent>
        <mc:AlternateContent xmlns:mc="http://schemas.openxmlformats.org/markup-compatibility/2006">
          <mc:Choice Requires="x14">
            <control shapeId="117762" r:id="rId5" name="Check Box 2">
              <controlPr defaultSize="0" autoFill="0" autoLine="0" autoPict="0">
                <anchor moveWithCells="1">
                  <from>
                    <xdr:col>7</xdr:col>
                    <xdr:colOff>285750</xdr:colOff>
                    <xdr:row>0</xdr:row>
                    <xdr:rowOff>12700</xdr:rowOff>
                  </from>
                  <to>
                    <xdr:col>8</xdr:col>
                    <xdr:colOff>266700</xdr:colOff>
                    <xdr:row>0</xdr:row>
                    <xdr:rowOff>152400</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pageSetUpPr fitToPage="1"/>
  </sheetPr>
  <dimension ref="A1:R38"/>
  <sheetViews>
    <sheetView zoomScale="56" zoomScaleNormal="56" workbookViewId="0">
      <selection activeCell="D16" sqref="D16"/>
    </sheetView>
  </sheetViews>
  <sheetFormatPr defaultRowHeight="12.5"/>
  <cols>
    <col min="3" max="3" width="68.81640625" customWidth="1"/>
    <col min="4" max="4" width="12.453125" customWidth="1"/>
    <col min="6" max="6" width="10.7265625" customWidth="1"/>
    <col min="7" max="7" width="12" customWidth="1"/>
    <col min="8" max="8" width="13.7265625" customWidth="1"/>
    <col min="10" max="10" width="14.81640625" customWidth="1"/>
    <col min="11" max="11" width="15.7265625" customWidth="1"/>
    <col min="12" max="12" width="12.1796875" customWidth="1"/>
    <col min="14" max="14" width="6.26953125" customWidth="1"/>
    <col min="15" max="15" width="9.26953125" customWidth="1"/>
    <col min="16" max="16" width="7" customWidth="1"/>
    <col min="17" max="17" width="6.54296875" customWidth="1"/>
    <col min="18" max="18" width="5.45312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9.75" customHeight="1">
      <c r="A7" s="467" t="s">
        <v>492</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297</v>
      </c>
      <c r="D15" s="167"/>
      <c r="E15" s="166"/>
      <c r="F15" s="27"/>
      <c r="G15" s="67"/>
      <c r="H15" s="27"/>
      <c r="I15" s="28"/>
      <c r="J15" s="28"/>
      <c r="K15" s="28"/>
      <c r="L15" s="28"/>
      <c r="M15" s="28"/>
      <c r="N15" s="28"/>
      <c r="O15" s="28"/>
      <c r="P15" s="28"/>
      <c r="Q15" s="28"/>
      <c r="R15" s="13"/>
    </row>
    <row r="16" spans="1:18" ht="17.5">
      <c r="A16" s="12"/>
      <c r="B16" s="347"/>
      <c r="C16" s="206" t="s">
        <v>160</v>
      </c>
      <c r="D16" s="308"/>
      <c r="E16" s="297" t="s">
        <v>20</v>
      </c>
      <c r="F16" s="231">
        <f>'Component List'!D2</f>
        <v>1.6399999999999997</v>
      </c>
      <c r="G16" s="287">
        <v>50</v>
      </c>
      <c r="H16" s="231">
        <f t="shared" ref="H16:H24" si="0">D16*F16*G16/100</f>
        <v>0</v>
      </c>
      <c r="I16" s="264"/>
      <c r="J16" s="264"/>
      <c r="K16" s="264"/>
      <c r="L16" s="264"/>
      <c r="M16" s="264"/>
      <c r="N16" s="28"/>
      <c r="O16" s="28"/>
      <c r="P16" s="28"/>
      <c r="Q16" s="28"/>
      <c r="R16" s="13"/>
    </row>
    <row r="17" spans="1:18" ht="17.5">
      <c r="A17" s="12"/>
      <c r="B17" s="347"/>
      <c r="C17" s="206" t="s">
        <v>159</v>
      </c>
      <c r="D17" s="308"/>
      <c r="E17" s="297" t="s">
        <v>20</v>
      </c>
      <c r="F17" s="231">
        <f>'Component List'!D3</f>
        <v>0</v>
      </c>
      <c r="G17" s="287">
        <v>50</v>
      </c>
      <c r="H17" s="231">
        <f t="shared" si="0"/>
        <v>0</v>
      </c>
      <c r="I17" s="264"/>
      <c r="J17" s="264"/>
      <c r="K17" s="264"/>
      <c r="L17" s="264"/>
      <c r="M17" s="264"/>
      <c r="N17" s="28"/>
      <c r="O17" s="28"/>
      <c r="P17" s="28"/>
      <c r="Q17" s="28"/>
      <c r="R17" s="13"/>
    </row>
    <row r="18" spans="1:18" ht="17.5">
      <c r="A18" s="12"/>
      <c r="B18" s="347"/>
      <c r="C18" s="206" t="s">
        <v>161</v>
      </c>
      <c r="D18" s="308"/>
      <c r="E18" s="297" t="s">
        <v>20</v>
      </c>
      <c r="F18" s="231">
        <f>'Component List'!D4</f>
        <v>80.06</v>
      </c>
      <c r="G18" s="287">
        <v>50</v>
      </c>
      <c r="H18" s="231">
        <f t="shared" si="0"/>
        <v>0</v>
      </c>
      <c r="I18" s="264"/>
      <c r="J18" s="264"/>
      <c r="K18" s="264"/>
      <c r="L18" s="264"/>
      <c r="M18" s="264"/>
      <c r="N18" s="28"/>
      <c r="O18" s="28"/>
      <c r="P18" s="28"/>
      <c r="Q18" s="28"/>
      <c r="R18" s="13"/>
    </row>
    <row r="19" spans="1:18" ht="17.5">
      <c r="A19" s="12"/>
      <c r="B19" s="347"/>
      <c r="C19" s="206" t="s">
        <v>236</v>
      </c>
      <c r="D19" s="308"/>
      <c r="E19" s="297" t="s">
        <v>20</v>
      </c>
      <c r="F19" s="231">
        <f>'Component List'!D5</f>
        <v>62.6</v>
      </c>
      <c r="G19" s="287">
        <v>50</v>
      </c>
      <c r="H19" s="231">
        <f t="shared" si="0"/>
        <v>0</v>
      </c>
      <c r="I19" s="264"/>
      <c r="J19" s="264"/>
      <c r="K19" s="264"/>
      <c r="L19" s="264"/>
      <c r="M19" s="264"/>
      <c r="N19" s="28"/>
      <c r="O19" s="28"/>
      <c r="P19" s="28"/>
      <c r="Q19" s="28"/>
      <c r="R19" s="13"/>
    </row>
    <row r="20" spans="1:18" ht="17.5">
      <c r="A20" s="12"/>
      <c r="B20" s="347"/>
      <c r="C20" s="206" t="s">
        <v>222</v>
      </c>
      <c r="D20" s="308"/>
      <c r="E20" s="297" t="s">
        <v>20</v>
      </c>
      <c r="F20" s="231">
        <f>'Component List'!D13</f>
        <v>436.24</v>
      </c>
      <c r="G20" s="287">
        <v>50</v>
      </c>
      <c r="H20" s="231">
        <f t="shared" si="0"/>
        <v>0</v>
      </c>
      <c r="I20" s="264"/>
      <c r="J20" s="264"/>
      <c r="K20" s="264"/>
      <c r="L20" s="264"/>
      <c r="M20" s="264"/>
      <c r="N20" s="28"/>
      <c r="O20" s="28"/>
      <c r="P20" s="28"/>
      <c r="Q20" s="28"/>
      <c r="R20" s="13"/>
    </row>
    <row r="21" spans="1:18" ht="17.5">
      <c r="A21" s="35"/>
      <c r="B21" s="349"/>
      <c r="C21" s="207" t="s">
        <v>418</v>
      </c>
      <c r="D21" s="308"/>
      <c r="E21" s="312" t="s">
        <v>20</v>
      </c>
      <c r="F21" s="231">
        <f>'Component List'!D16</f>
        <v>84.42</v>
      </c>
      <c r="G21" s="287">
        <v>50</v>
      </c>
      <c r="H21" s="292">
        <f t="shared" si="0"/>
        <v>0</v>
      </c>
      <c r="I21" s="264"/>
      <c r="J21" s="269"/>
      <c r="K21" s="269"/>
      <c r="L21" s="269"/>
      <c r="M21" s="269"/>
      <c r="N21" s="68"/>
      <c r="O21" s="68"/>
      <c r="P21" s="68"/>
      <c r="Q21" s="68"/>
      <c r="R21" s="43"/>
    </row>
    <row r="22" spans="1:18" ht="17.5">
      <c r="A22" s="12"/>
      <c r="B22" s="347"/>
      <c r="C22" s="206" t="s">
        <v>165</v>
      </c>
      <c r="D22" s="308"/>
      <c r="E22" s="297" t="s">
        <v>20</v>
      </c>
      <c r="F22" s="231">
        <f>'Component List'!D28</f>
        <v>94.14</v>
      </c>
      <c r="G22" s="287">
        <v>50</v>
      </c>
      <c r="H22" s="231">
        <f t="shared" si="0"/>
        <v>0</v>
      </c>
      <c r="I22" s="314"/>
      <c r="J22" s="264"/>
      <c r="K22" s="264"/>
      <c r="L22" s="264"/>
      <c r="M22" s="264"/>
      <c r="N22" s="28"/>
      <c r="O22" s="28"/>
      <c r="P22" s="28"/>
      <c r="Q22" s="28"/>
      <c r="R22" s="13"/>
    </row>
    <row r="23" spans="1:18" ht="17.5">
      <c r="A23" s="12"/>
      <c r="B23" s="347"/>
      <c r="C23" s="206" t="s">
        <v>163</v>
      </c>
      <c r="D23" s="308"/>
      <c r="E23" s="297" t="s">
        <v>20</v>
      </c>
      <c r="F23" s="231">
        <f>'Component List'!D15</f>
        <v>21.78</v>
      </c>
      <c r="G23" s="287">
        <v>50</v>
      </c>
      <c r="H23" s="231">
        <f t="shared" si="0"/>
        <v>0</v>
      </c>
      <c r="I23" s="264"/>
      <c r="J23" s="264"/>
      <c r="K23" s="264"/>
      <c r="L23" s="264"/>
      <c r="M23" s="264"/>
      <c r="N23" s="28"/>
      <c r="O23" s="28"/>
      <c r="P23" s="28"/>
      <c r="Q23" s="28"/>
      <c r="R23" s="13"/>
    </row>
    <row r="24" spans="1:18" ht="17.5">
      <c r="A24" s="12"/>
      <c r="B24" s="347"/>
      <c r="C24" s="206" t="s">
        <v>286</v>
      </c>
      <c r="D24" s="308"/>
      <c r="E24" s="297" t="s">
        <v>20</v>
      </c>
      <c r="F24" s="231">
        <f>'Component List'!D36</f>
        <v>75.36</v>
      </c>
      <c r="G24" s="287">
        <v>50</v>
      </c>
      <c r="H24" s="231">
        <f t="shared" si="0"/>
        <v>0</v>
      </c>
      <c r="I24" s="264"/>
      <c r="J24" s="264"/>
      <c r="K24" s="264"/>
      <c r="L24" s="264"/>
      <c r="M24" s="264"/>
      <c r="N24" s="28"/>
      <c r="O24" s="28"/>
      <c r="P24" s="28"/>
      <c r="Q24" s="28"/>
      <c r="R24" s="13"/>
    </row>
    <row r="25" spans="1:18" ht="18">
      <c r="A25" s="64"/>
      <c r="B25" s="64"/>
      <c r="C25" s="242" t="s">
        <v>287</v>
      </c>
      <c r="D25" s="267"/>
      <c r="E25" s="299"/>
      <c r="F25" s="231"/>
      <c r="G25" s="287"/>
      <c r="H25" s="231"/>
      <c r="I25" s="264"/>
      <c r="J25" s="264"/>
      <c r="K25" s="264"/>
      <c r="L25" s="264"/>
      <c r="M25" s="264"/>
      <c r="N25" s="28"/>
      <c r="O25" s="28"/>
      <c r="P25" s="28"/>
      <c r="Q25" s="28"/>
      <c r="R25" s="13"/>
    </row>
    <row r="26" spans="1:18" ht="17.5">
      <c r="A26" s="12"/>
      <c r="B26" s="347"/>
      <c r="C26" s="206" t="s">
        <v>169</v>
      </c>
      <c r="D26" s="308"/>
      <c r="E26" s="313">
        <v>100</v>
      </c>
      <c r="F26" s="231">
        <f>'Component List'!D32</f>
        <v>70.2</v>
      </c>
      <c r="G26" s="287">
        <v>50</v>
      </c>
      <c r="H26" s="231">
        <f>D26*F26*G26/100</f>
        <v>0</v>
      </c>
      <c r="I26" s="264"/>
      <c r="J26" s="264"/>
      <c r="K26" s="264"/>
      <c r="L26" s="264"/>
      <c r="M26" s="264"/>
      <c r="N26" s="28"/>
      <c r="O26" s="28"/>
      <c r="P26" s="28"/>
      <c r="Q26" s="28"/>
      <c r="R26" s="13"/>
    </row>
    <row r="27" spans="1:18" ht="17.5">
      <c r="A27" s="12"/>
      <c r="B27" s="347"/>
      <c r="C27" s="206" t="s">
        <v>269</v>
      </c>
      <c r="D27" s="308"/>
      <c r="E27" s="313">
        <v>100</v>
      </c>
      <c r="F27" s="231">
        <f>'Component List'!D33</f>
        <v>117.6</v>
      </c>
      <c r="G27" s="287">
        <v>50</v>
      </c>
      <c r="H27" s="231">
        <f>D27*F27*G27/100</f>
        <v>0</v>
      </c>
      <c r="I27" s="264"/>
      <c r="J27" s="264"/>
      <c r="K27" s="264"/>
      <c r="L27" s="264"/>
      <c r="M27" s="264"/>
      <c r="N27" s="28"/>
      <c r="O27" s="28"/>
      <c r="P27" s="28"/>
      <c r="Q27" s="28"/>
      <c r="R27" s="13"/>
    </row>
    <row r="28" spans="1:18" ht="17.5">
      <c r="A28" s="12"/>
      <c r="B28" s="347"/>
      <c r="C28" s="206" t="s">
        <v>270</v>
      </c>
      <c r="D28" s="308"/>
      <c r="E28" s="313">
        <v>100</v>
      </c>
      <c r="F28" s="293">
        <f>'Component List'!D34</f>
        <v>200</v>
      </c>
      <c r="G28" s="287">
        <v>50</v>
      </c>
      <c r="H28" s="231">
        <f>D28*F28*G28/100</f>
        <v>0</v>
      </c>
      <c r="I28" s="264"/>
      <c r="J28" s="264"/>
      <c r="K28" s="264"/>
      <c r="L28" s="264"/>
      <c r="M28" s="264"/>
      <c r="N28" s="28"/>
      <c r="O28" s="28"/>
      <c r="P28" s="28"/>
      <c r="Q28" s="28"/>
      <c r="R28" s="13"/>
    </row>
    <row r="29" spans="1:18" ht="17.5">
      <c r="A29" s="12"/>
      <c r="B29" s="347"/>
      <c r="C29" s="206" t="s">
        <v>168</v>
      </c>
      <c r="D29" s="308"/>
      <c r="E29" s="313">
        <v>100</v>
      </c>
      <c r="F29" s="293">
        <f>'Component List'!D31</f>
        <v>56.58</v>
      </c>
      <c r="G29" s="287">
        <v>50</v>
      </c>
      <c r="H29" s="231">
        <f>D29*F29*G29/100</f>
        <v>0</v>
      </c>
      <c r="I29" s="264"/>
      <c r="J29" s="264"/>
      <c r="K29" s="264"/>
      <c r="L29" s="264"/>
      <c r="M29" s="264"/>
      <c r="N29" s="28"/>
      <c r="O29" s="28"/>
      <c r="P29" s="28"/>
      <c r="Q29" s="28"/>
      <c r="R29" s="13"/>
    </row>
    <row r="30" spans="1:18" ht="17.5">
      <c r="A30" s="12"/>
      <c r="B30" s="347"/>
      <c r="C30" s="206" t="s">
        <v>272</v>
      </c>
      <c r="D30" s="308"/>
      <c r="E30" s="297" t="s">
        <v>20</v>
      </c>
      <c r="F30" s="293">
        <f>'Component List'!D37</f>
        <v>59.48</v>
      </c>
      <c r="G30" s="287">
        <v>50</v>
      </c>
      <c r="H30" s="231">
        <f>D30*F30*G30/100</f>
        <v>0</v>
      </c>
      <c r="I30" s="264"/>
      <c r="J30" s="264"/>
      <c r="K30" s="264"/>
      <c r="L30" s="264"/>
      <c r="M30" s="264"/>
      <c r="N30" s="28"/>
      <c r="O30" s="28"/>
      <c r="P30" s="28"/>
      <c r="Q30" s="28"/>
      <c r="R30" s="13"/>
    </row>
    <row r="31" spans="1:18" ht="15.5">
      <c r="A31" s="456" t="s">
        <v>89</v>
      </c>
      <c r="B31" s="457"/>
      <c r="C31" s="458"/>
      <c r="D31" s="286"/>
      <c r="E31" s="280"/>
      <c r="F31" s="265"/>
      <c r="G31" s="281"/>
      <c r="H31" s="271">
        <f>SUM(H16:H30)</f>
        <v>0</v>
      </c>
      <c r="I31" s="271">
        <f>SUM(I16:I30)</f>
        <v>0</v>
      </c>
      <c r="J31" s="271">
        <f>SUM(J16:J30)</f>
        <v>0</v>
      </c>
      <c r="K31" s="271">
        <f>SUM(K16:K30)</f>
        <v>0</v>
      </c>
      <c r="L31" s="271">
        <f>SUM(L16:L30)</f>
        <v>0</v>
      </c>
      <c r="M31" s="271">
        <f>SUM(M15:M30)</f>
        <v>0</v>
      </c>
      <c r="N31" s="23"/>
      <c r="O31" s="23"/>
      <c r="P31" s="23"/>
      <c r="Q31" s="23"/>
      <c r="R31" s="25"/>
    </row>
    <row r="32" spans="1:18" ht="15.5">
      <c r="A32" s="110" t="str">
        <f>IF(AE61,AE63,"")</f>
        <v/>
      </c>
      <c r="B32" s="162"/>
      <c r="C32" s="162"/>
      <c r="D32" s="162"/>
      <c r="E32" s="162"/>
      <c r="F32" s="162"/>
      <c r="G32" s="162"/>
      <c r="H32" s="162"/>
      <c r="I32" s="162"/>
      <c r="J32" s="162"/>
      <c r="K32" s="162"/>
      <c r="L32" s="162"/>
      <c r="M32" s="162"/>
      <c r="N32" s="162"/>
      <c r="O32" s="162"/>
      <c r="P32" s="162"/>
      <c r="Q32" s="162"/>
      <c r="R32" s="162"/>
    </row>
    <row r="33" spans="1:18" ht="15.5">
      <c r="A33" s="401" t="s">
        <v>262</v>
      </c>
      <c r="B33" s="402"/>
      <c r="C33" s="402"/>
      <c r="D33" s="402"/>
      <c r="E33" s="402"/>
      <c r="F33" s="402"/>
      <c r="G33" s="402"/>
      <c r="H33" s="402"/>
      <c r="I33" s="402"/>
      <c r="J33" s="402"/>
      <c r="K33" s="402"/>
      <c r="L33" s="402"/>
      <c r="M33" s="402"/>
      <c r="N33" s="402"/>
      <c r="O33" s="402"/>
      <c r="P33" s="402"/>
      <c r="Q33" s="402"/>
      <c r="R33" s="403"/>
    </row>
    <row r="34" spans="1:18" ht="46.5" customHeight="1">
      <c r="A34" s="393" t="s">
        <v>434</v>
      </c>
      <c r="B34" s="394"/>
      <c r="C34" s="394"/>
      <c r="D34" s="394"/>
      <c r="E34" s="394"/>
      <c r="F34" s="394"/>
      <c r="G34" s="394"/>
      <c r="H34" s="394"/>
      <c r="I34" s="394"/>
      <c r="J34" s="394"/>
      <c r="K34" s="394"/>
      <c r="L34" s="394"/>
      <c r="M34" s="394"/>
      <c r="N34" s="394"/>
      <c r="O34" s="394"/>
      <c r="P34" s="394"/>
      <c r="Q34" s="394"/>
      <c r="R34" s="395"/>
    </row>
    <row r="35" spans="1:18" ht="15.5">
      <c r="A35" s="460" t="s">
        <v>390</v>
      </c>
      <c r="B35" s="461"/>
      <c r="C35" s="461"/>
      <c r="D35" s="461"/>
      <c r="E35" s="461"/>
      <c r="F35" s="461"/>
      <c r="G35" s="461"/>
      <c r="H35" s="461"/>
      <c r="I35" s="461"/>
      <c r="J35" s="461"/>
      <c r="K35" s="461"/>
      <c r="L35" s="461"/>
      <c r="M35" s="461"/>
      <c r="N35" s="461"/>
      <c r="O35" s="461"/>
      <c r="P35" s="461"/>
      <c r="Q35" s="461"/>
      <c r="R35" s="462"/>
    </row>
    <row r="36" spans="1:18" ht="50.25" customHeight="1">
      <c r="A36" s="463" t="s">
        <v>392</v>
      </c>
      <c r="B36" s="464"/>
      <c r="C36" s="464"/>
      <c r="D36" s="464"/>
      <c r="E36" s="464"/>
      <c r="F36" s="464"/>
      <c r="G36" s="464"/>
      <c r="H36" s="464"/>
      <c r="I36" s="464"/>
      <c r="J36" s="464"/>
      <c r="K36" s="464"/>
      <c r="L36" s="464"/>
      <c r="M36" s="464"/>
      <c r="N36" s="464"/>
      <c r="O36" s="464"/>
      <c r="P36" s="464"/>
      <c r="Q36" s="464"/>
      <c r="R36" s="465"/>
    </row>
    <row r="37" spans="1:18" ht="15.5">
      <c r="A37" s="413" t="s">
        <v>221</v>
      </c>
      <c r="B37" s="414"/>
      <c r="C37" s="414"/>
      <c r="D37" s="414"/>
      <c r="E37" s="414"/>
      <c r="F37" s="414"/>
      <c r="G37" s="414"/>
      <c r="H37" s="414"/>
      <c r="I37" s="414"/>
      <c r="J37" s="414"/>
      <c r="K37" s="414"/>
      <c r="L37" s="414"/>
      <c r="M37" s="414"/>
      <c r="N37" s="414"/>
      <c r="O37" s="414"/>
      <c r="P37" s="414"/>
      <c r="Q37" s="414"/>
      <c r="R37" s="415"/>
    </row>
    <row r="38" spans="1:18" ht="75.75" customHeight="1">
      <c r="A38" s="396" t="s">
        <v>370</v>
      </c>
      <c r="B38" s="397"/>
      <c r="C38" s="397"/>
      <c r="D38" s="397"/>
      <c r="E38" s="397"/>
      <c r="F38" s="397"/>
      <c r="G38" s="397"/>
      <c r="H38" s="397"/>
      <c r="I38" s="397"/>
      <c r="J38" s="397"/>
      <c r="K38" s="397"/>
      <c r="L38" s="397"/>
      <c r="M38" s="397"/>
      <c r="N38" s="397"/>
      <c r="O38" s="397"/>
      <c r="P38" s="397"/>
      <c r="Q38" s="397"/>
      <c r="R38"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35:R35"/>
    <mergeCell ref="A36:R36"/>
    <mergeCell ref="A37:R37"/>
    <mergeCell ref="A38:R38"/>
    <mergeCell ref="H9:Q9"/>
    <mergeCell ref="R9:R13"/>
    <mergeCell ref="H10:Q10"/>
    <mergeCell ref="A31:C31"/>
    <mergeCell ref="A33:R33"/>
    <mergeCell ref="A34:R34"/>
  </mergeCells>
  <dataValidations count="3">
    <dataValidation type="list" allowBlank="1" showInputMessage="1" showErrorMessage="1" promptTitle="Choose Management" sqref="C26:C27">
      <formula1>$AE$28:$AE$36</formula1>
    </dataValidation>
    <dataValidation type="list" allowBlank="1" showInputMessage="1" showErrorMessage="1" promptTitle="Choose Management" sqref="C28:C29">
      <formula1>$AE$37:$AE$46</formula1>
    </dataValidation>
    <dataValidation type="list" allowBlank="1" showInputMessage="1" showErrorMessage="1" promptTitle="Choose Management" sqref="C30">
      <formula1>$AE$49:$AE$58</formula1>
    </dataValidation>
  </dataValidations>
  <pageMargins left="0.21" right="0.16" top="0.47" bottom="0.59" header="0.3" footer="0.3"/>
  <pageSetup scale="57"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1745" r:id="rId4" name="Check Box 1">
              <controlPr defaultSize="0" autoFill="0" autoLine="0" autoPict="0">
                <anchor moveWithCells="1">
                  <from>
                    <xdr:col>3</xdr:col>
                    <xdr:colOff>177800</xdr:colOff>
                    <xdr:row>0</xdr:row>
                    <xdr:rowOff>0</xdr:rowOff>
                  </from>
                  <to>
                    <xdr:col>3</xdr:col>
                    <xdr:colOff>381000</xdr:colOff>
                    <xdr:row>1</xdr:row>
                    <xdr:rowOff>0</xdr:rowOff>
                  </to>
                </anchor>
              </controlPr>
            </control>
          </mc:Choice>
        </mc:AlternateContent>
        <mc:AlternateContent xmlns:mc="http://schemas.openxmlformats.org/markup-compatibility/2006">
          <mc:Choice Requires="x14">
            <control shapeId="31746" r:id="rId5" name="Check Box 2">
              <controlPr defaultSize="0" autoFill="0" autoLine="0" autoPict="0">
                <anchor moveWithCells="1">
                  <from>
                    <xdr:col>7</xdr:col>
                    <xdr:colOff>209550</xdr:colOff>
                    <xdr:row>0</xdr:row>
                    <xdr:rowOff>0</xdr:rowOff>
                  </from>
                  <to>
                    <xdr:col>8</xdr:col>
                    <xdr:colOff>158750</xdr:colOff>
                    <xdr:row>0</xdr:row>
                    <xdr:rowOff>139700</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R23"/>
  <sheetViews>
    <sheetView zoomScale="53" zoomScaleNormal="53" workbookViewId="0">
      <selection activeCell="D15" sqref="D15"/>
    </sheetView>
  </sheetViews>
  <sheetFormatPr defaultRowHeight="12.5"/>
  <cols>
    <col min="3" max="3" width="67.54296875" customWidth="1"/>
    <col min="4" max="4" width="11.54296875" customWidth="1"/>
    <col min="5" max="5" width="10.453125" customWidth="1"/>
    <col min="6" max="7" width="11.54296875" customWidth="1"/>
    <col min="8" max="8" width="13.453125" customWidth="1"/>
    <col min="9" max="9" width="11.54296875" customWidth="1"/>
    <col min="10" max="10" width="14.26953125" customWidth="1"/>
    <col min="11" max="12" width="12.7265625" customWidth="1"/>
    <col min="15" max="15" width="6.7265625" customWidth="1"/>
    <col min="16" max="17" width="6.453125" customWidth="1"/>
    <col min="18" max="18" width="7" customWidth="1"/>
  </cols>
  <sheetData>
    <row r="1" spans="1:18" ht="19.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6.75" customHeight="1">
      <c r="A7" s="467" t="s">
        <v>493</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7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72" t="s">
        <v>20</v>
      </c>
      <c r="F15" s="231"/>
      <c r="G15" s="294"/>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50.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6.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72"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5345" r:id="rId3" name="Check Box 1">
              <controlPr defaultSize="0" autoFill="0" autoLine="0" autoPict="0">
                <anchor moveWithCells="1">
                  <from>
                    <xdr:col>3</xdr:col>
                    <xdr:colOff>203200</xdr:colOff>
                    <xdr:row>0</xdr:row>
                    <xdr:rowOff>0</xdr:rowOff>
                  </from>
                  <to>
                    <xdr:col>4</xdr:col>
                    <xdr:colOff>228600</xdr:colOff>
                    <xdr:row>0</xdr:row>
                    <xdr:rowOff>133350</xdr:rowOff>
                  </to>
                </anchor>
              </controlPr>
            </control>
          </mc:Choice>
        </mc:AlternateContent>
        <mc:AlternateContent xmlns:mc="http://schemas.openxmlformats.org/markup-compatibility/2006">
          <mc:Choice Requires="x14">
            <control shapeId="185346" r:id="rId4" name="Check Box 2">
              <controlPr defaultSize="0" autoFill="0" autoLine="0" autoPict="0">
                <anchor moveWithCells="1">
                  <from>
                    <xdr:col>7</xdr:col>
                    <xdr:colOff>266700</xdr:colOff>
                    <xdr:row>0</xdr:row>
                    <xdr:rowOff>12700</xdr:rowOff>
                  </from>
                  <to>
                    <xdr:col>8</xdr:col>
                    <xdr:colOff>209550</xdr:colOff>
                    <xdr:row>0</xdr:row>
                    <xdr:rowOff>139700</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pageSetUpPr fitToPage="1"/>
  </sheetPr>
  <dimension ref="A1:R33"/>
  <sheetViews>
    <sheetView zoomScale="56" zoomScaleNormal="56" workbookViewId="0">
      <selection activeCell="D18" sqref="D18"/>
    </sheetView>
  </sheetViews>
  <sheetFormatPr defaultRowHeight="12.5"/>
  <cols>
    <col min="3" max="3" width="64.7265625" customWidth="1"/>
    <col min="4" max="4" width="12.54296875" customWidth="1"/>
    <col min="7" max="7" width="11.26953125" customWidth="1"/>
    <col min="8" max="8" width="14.26953125" customWidth="1"/>
    <col min="10" max="10" width="13.7265625" customWidth="1"/>
    <col min="11" max="11" width="13.453125" customWidth="1"/>
    <col min="12" max="12" width="16" customWidth="1"/>
    <col min="14" max="14" width="5.81640625" customWidth="1"/>
    <col min="15" max="15" width="7.26953125" customWidth="1"/>
    <col min="16" max="16" width="7.1796875" customWidth="1"/>
    <col min="17" max="17" width="6.1796875" customWidth="1"/>
    <col min="18" max="18" width="8.5429687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20.2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51.5" customHeight="1">
      <c r="A7" s="467" t="s">
        <v>494</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ustomHeight="1">
      <c r="A15" s="64"/>
      <c r="B15" s="64"/>
      <c r="C15" s="242" t="s">
        <v>297</v>
      </c>
      <c r="D15" s="167"/>
      <c r="E15" s="64"/>
      <c r="F15" s="27"/>
      <c r="G15" s="67"/>
      <c r="H15" s="27"/>
      <c r="I15" s="28"/>
      <c r="J15" s="28"/>
      <c r="K15" s="28"/>
      <c r="L15" s="28"/>
      <c r="M15" s="28"/>
      <c r="N15" s="28"/>
      <c r="O15" s="28"/>
      <c r="P15" s="28"/>
      <c r="Q15" s="28"/>
      <c r="R15" s="13"/>
    </row>
    <row r="16" spans="1:18" ht="15" customHeight="1">
      <c r="A16" s="12"/>
      <c r="B16" s="347"/>
      <c r="C16" s="250" t="s">
        <v>98</v>
      </c>
      <c r="D16" s="308"/>
      <c r="E16" s="284" t="s">
        <v>77</v>
      </c>
      <c r="F16" s="231">
        <f>'Component List'!D48</f>
        <v>0</v>
      </c>
      <c r="G16" s="294">
        <v>50</v>
      </c>
      <c r="H16" s="231">
        <f>D16*F16*G16/100</f>
        <v>0</v>
      </c>
      <c r="I16" s="264"/>
      <c r="J16" s="264"/>
      <c r="K16" s="264"/>
      <c r="L16" s="264"/>
      <c r="M16" s="264"/>
      <c r="N16" s="28"/>
      <c r="O16" s="28"/>
      <c r="P16" s="28"/>
      <c r="Q16" s="28"/>
      <c r="R16" s="13"/>
    </row>
    <row r="17" spans="1:18" ht="17.5">
      <c r="A17" s="12"/>
      <c r="B17" s="347"/>
      <c r="C17" s="206" t="s">
        <v>160</v>
      </c>
      <c r="D17" s="308"/>
      <c r="E17" s="272" t="s">
        <v>20</v>
      </c>
      <c r="F17" s="231">
        <f>'Component List'!D2</f>
        <v>1.6399999999999997</v>
      </c>
      <c r="G17" s="294">
        <v>50</v>
      </c>
      <c r="H17" s="231">
        <f t="shared" ref="H17:H25" si="0">D17*F17*G17/100</f>
        <v>0</v>
      </c>
      <c r="I17" s="264"/>
      <c r="J17" s="264"/>
      <c r="K17" s="264"/>
      <c r="L17" s="264"/>
      <c r="M17" s="264"/>
      <c r="N17" s="28"/>
      <c r="O17" s="28"/>
      <c r="P17" s="28"/>
      <c r="Q17" s="28"/>
      <c r="R17" s="13"/>
    </row>
    <row r="18" spans="1:18" ht="17.5">
      <c r="A18" s="12"/>
      <c r="B18" s="347"/>
      <c r="C18" s="206" t="s">
        <v>159</v>
      </c>
      <c r="D18" s="308"/>
      <c r="E18" s="272" t="s">
        <v>20</v>
      </c>
      <c r="F18" s="231">
        <f>'Component List'!D3</f>
        <v>0</v>
      </c>
      <c r="G18" s="294">
        <v>50</v>
      </c>
      <c r="H18" s="231">
        <f t="shared" si="0"/>
        <v>0</v>
      </c>
      <c r="I18" s="264"/>
      <c r="J18" s="264"/>
      <c r="K18" s="264"/>
      <c r="L18" s="264"/>
      <c r="M18" s="264"/>
      <c r="N18" s="28"/>
      <c r="O18" s="28"/>
      <c r="P18" s="28"/>
      <c r="Q18" s="28"/>
      <c r="R18" s="13"/>
    </row>
    <row r="19" spans="1:18" ht="17.5">
      <c r="A19" s="12"/>
      <c r="B19" s="347"/>
      <c r="C19" s="206" t="s">
        <v>161</v>
      </c>
      <c r="D19" s="308"/>
      <c r="E19" s="272" t="s">
        <v>20</v>
      </c>
      <c r="F19" s="231">
        <f>'Component List'!D4</f>
        <v>80.06</v>
      </c>
      <c r="G19" s="294">
        <v>50</v>
      </c>
      <c r="H19" s="231">
        <f t="shared" si="0"/>
        <v>0</v>
      </c>
      <c r="I19" s="264"/>
      <c r="J19" s="264"/>
      <c r="K19" s="264"/>
      <c r="L19" s="264"/>
      <c r="M19" s="264"/>
      <c r="N19" s="28"/>
      <c r="O19" s="28"/>
      <c r="P19" s="28"/>
      <c r="Q19" s="28"/>
      <c r="R19" s="13"/>
    </row>
    <row r="20" spans="1:18" ht="17.5">
      <c r="A20" s="12"/>
      <c r="B20" s="347"/>
      <c r="C20" s="206" t="s">
        <v>302</v>
      </c>
      <c r="D20" s="308"/>
      <c r="E20" s="272" t="s">
        <v>20</v>
      </c>
      <c r="F20" s="231">
        <f>'Component List'!D5</f>
        <v>62.6</v>
      </c>
      <c r="G20" s="294">
        <v>50</v>
      </c>
      <c r="H20" s="231">
        <f t="shared" si="0"/>
        <v>0</v>
      </c>
      <c r="I20" s="264"/>
      <c r="J20" s="264"/>
      <c r="K20" s="264"/>
      <c r="L20" s="264"/>
      <c r="M20" s="264"/>
      <c r="N20" s="28"/>
      <c r="O20" s="28"/>
      <c r="P20" s="28"/>
      <c r="Q20" s="28"/>
      <c r="R20" s="13"/>
    </row>
    <row r="21" spans="1:18" ht="17.5">
      <c r="A21" s="35"/>
      <c r="B21" s="349"/>
      <c r="C21" s="206" t="s">
        <v>62</v>
      </c>
      <c r="D21" s="308"/>
      <c r="E21" s="272" t="s">
        <v>20</v>
      </c>
      <c r="F21" s="231">
        <f>'Component List'!D12</f>
        <v>214.1</v>
      </c>
      <c r="G21" s="294">
        <v>50</v>
      </c>
      <c r="H21" s="263">
        <f t="shared" si="0"/>
        <v>0</v>
      </c>
      <c r="I21" s="264"/>
      <c r="J21" s="269"/>
      <c r="K21" s="269"/>
      <c r="L21" s="269"/>
      <c r="M21" s="269"/>
      <c r="N21" s="68"/>
      <c r="O21" s="68"/>
      <c r="P21" s="68"/>
      <c r="Q21" s="68"/>
      <c r="R21" s="43"/>
    </row>
    <row r="22" spans="1:18" ht="17.5">
      <c r="A22" s="12"/>
      <c r="B22" s="347"/>
      <c r="C22" s="206" t="s">
        <v>164</v>
      </c>
      <c r="D22" s="308"/>
      <c r="E22" s="272" t="s">
        <v>20</v>
      </c>
      <c r="F22" s="231">
        <f>'Component List'!D14</f>
        <v>16.079999999999998</v>
      </c>
      <c r="G22" s="294">
        <v>50</v>
      </c>
      <c r="H22" s="231">
        <f t="shared" si="0"/>
        <v>0</v>
      </c>
      <c r="I22" s="270"/>
      <c r="J22" s="264"/>
      <c r="K22" s="264"/>
      <c r="L22" s="264"/>
      <c r="M22" s="264"/>
      <c r="N22" s="28"/>
      <c r="O22" s="28"/>
      <c r="P22" s="28"/>
      <c r="Q22" s="28"/>
      <c r="R22" s="13"/>
    </row>
    <row r="23" spans="1:18" ht="17.5">
      <c r="A23" s="12"/>
      <c r="B23" s="347"/>
      <c r="C23" s="206" t="s">
        <v>165</v>
      </c>
      <c r="D23" s="308"/>
      <c r="E23" s="272" t="s">
        <v>20</v>
      </c>
      <c r="F23" s="231">
        <f>'Component List'!D28</f>
        <v>94.14</v>
      </c>
      <c r="G23" s="294">
        <v>50</v>
      </c>
      <c r="H23" s="264">
        <f t="shared" si="0"/>
        <v>0</v>
      </c>
      <c r="I23" s="264"/>
      <c r="J23" s="264"/>
      <c r="K23" s="264"/>
      <c r="L23" s="264"/>
      <c r="M23" s="264"/>
      <c r="N23" s="28"/>
      <c r="O23" s="28"/>
      <c r="P23" s="28"/>
      <c r="Q23" s="28"/>
      <c r="R23" s="13"/>
    </row>
    <row r="24" spans="1:18" ht="17.5">
      <c r="A24" s="12"/>
      <c r="B24" s="347"/>
      <c r="C24" s="206" t="s">
        <v>419</v>
      </c>
      <c r="D24" s="308"/>
      <c r="E24" s="272" t="s">
        <v>20</v>
      </c>
      <c r="F24" s="231">
        <f>'Component List'!D16</f>
        <v>84.42</v>
      </c>
      <c r="G24" s="294">
        <v>50</v>
      </c>
      <c r="H24" s="231">
        <f t="shared" si="0"/>
        <v>0</v>
      </c>
      <c r="I24" s="264"/>
      <c r="J24" s="264"/>
      <c r="K24" s="264"/>
      <c r="L24" s="264"/>
      <c r="M24" s="264"/>
      <c r="N24" s="28"/>
      <c r="O24" s="28"/>
      <c r="P24" s="28"/>
      <c r="Q24" s="28"/>
      <c r="R24" s="13"/>
    </row>
    <row r="25" spans="1:18" ht="17.5">
      <c r="A25" s="12"/>
      <c r="B25" s="347"/>
      <c r="C25" s="206" t="s">
        <v>12</v>
      </c>
      <c r="D25" s="308"/>
      <c r="E25" s="272" t="s">
        <v>20</v>
      </c>
      <c r="F25" s="231">
        <f>'Component List'!D15</f>
        <v>21.78</v>
      </c>
      <c r="G25" s="294">
        <v>50</v>
      </c>
      <c r="H25" s="231">
        <f t="shared" si="0"/>
        <v>0</v>
      </c>
      <c r="I25" s="264"/>
      <c r="J25" s="264"/>
      <c r="K25" s="264"/>
      <c r="L25" s="264"/>
      <c r="M25" s="264"/>
      <c r="N25" s="28"/>
      <c r="O25" s="28"/>
      <c r="P25" s="28"/>
      <c r="Q25" s="28"/>
      <c r="R25" s="13"/>
    </row>
    <row r="26" spans="1:18" ht="15.5">
      <c r="A26" s="456" t="s">
        <v>89</v>
      </c>
      <c r="B26" s="457"/>
      <c r="C26" s="458"/>
      <c r="D26" s="286"/>
      <c r="E26" s="280"/>
      <c r="F26" s="265"/>
      <c r="G26" s="281"/>
      <c r="H26" s="271">
        <f t="shared" ref="H26:M26" si="1">SUM(H15:H25)</f>
        <v>0</v>
      </c>
      <c r="I26" s="271">
        <f t="shared" si="1"/>
        <v>0</v>
      </c>
      <c r="J26" s="271">
        <f t="shared" si="1"/>
        <v>0</v>
      </c>
      <c r="K26" s="271">
        <f t="shared" si="1"/>
        <v>0</v>
      </c>
      <c r="L26" s="271">
        <f t="shared" si="1"/>
        <v>0</v>
      </c>
      <c r="M26" s="271">
        <f t="shared" si="1"/>
        <v>0</v>
      </c>
      <c r="N26" s="23"/>
      <c r="O26" s="23"/>
      <c r="P26" s="23"/>
      <c r="Q26" s="23"/>
      <c r="R26" s="25"/>
    </row>
    <row r="27" spans="1:18" ht="15.5">
      <c r="A27" s="110" t="str">
        <f>IF(AE56,AE58,"")</f>
        <v/>
      </c>
      <c r="B27" s="162"/>
      <c r="C27" s="162"/>
      <c r="D27" s="162"/>
      <c r="E27" s="162"/>
      <c r="F27" s="162"/>
      <c r="G27" s="162"/>
      <c r="H27" s="162"/>
      <c r="I27" s="162"/>
      <c r="J27" s="162"/>
      <c r="K27" s="162"/>
      <c r="L27" s="162"/>
      <c r="M27" s="162"/>
      <c r="N27" s="162"/>
      <c r="O27" s="162"/>
      <c r="P27" s="162"/>
      <c r="Q27" s="162"/>
      <c r="R27" s="162"/>
    </row>
    <row r="28" spans="1:18" ht="15.5">
      <c r="A28" s="401" t="s">
        <v>262</v>
      </c>
      <c r="B28" s="402"/>
      <c r="C28" s="402"/>
      <c r="D28" s="402"/>
      <c r="E28" s="402"/>
      <c r="F28" s="402"/>
      <c r="G28" s="402"/>
      <c r="H28" s="402"/>
      <c r="I28" s="402"/>
      <c r="J28" s="402"/>
      <c r="K28" s="402"/>
      <c r="L28" s="402"/>
      <c r="M28" s="402"/>
      <c r="N28" s="402"/>
      <c r="O28" s="402"/>
      <c r="P28" s="402"/>
      <c r="Q28" s="402"/>
      <c r="R28" s="403"/>
    </row>
    <row r="29" spans="1:18" ht="47.25" customHeight="1">
      <c r="A29" s="393" t="s">
        <v>434</v>
      </c>
      <c r="B29" s="394"/>
      <c r="C29" s="394"/>
      <c r="D29" s="394"/>
      <c r="E29" s="394"/>
      <c r="F29" s="394"/>
      <c r="G29" s="394"/>
      <c r="H29" s="394"/>
      <c r="I29" s="394"/>
      <c r="J29" s="394"/>
      <c r="K29" s="394"/>
      <c r="L29" s="394"/>
      <c r="M29" s="394"/>
      <c r="N29" s="394"/>
      <c r="O29" s="394"/>
      <c r="P29" s="394"/>
      <c r="Q29" s="394"/>
      <c r="R29" s="395"/>
    </row>
    <row r="30" spans="1:18" ht="15.5">
      <c r="A30" s="460" t="s">
        <v>390</v>
      </c>
      <c r="B30" s="461"/>
      <c r="C30" s="461"/>
      <c r="D30" s="461"/>
      <c r="E30" s="461"/>
      <c r="F30" s="461"/>
      <c r="G30" s="461"/>
      <c r="H30" s="461"/>
      <c r="I30" s="461"/>
      <c r="J30" s="461"/>
      <c r="K30" s="461"/>
      <c r="L30" s="461"/>
      <c r="M30" s="461"/>
      <c r="N30" s="461"/>
      <c r="O30" s="461"/>
      <c r="P30" s="461"/>
      <c r="Q30" s="461"/>
      <c r="R30" s="462"/>
    </row>
    <row r="31" spans="1:18" ht="52.5" customHeight="1">
      <c r="A31" s="463" t="s">
        <v>392</v>
      </c>
      <c r="B31" s="464"/>
      <c r="C31" s="464"/>
      <c r="D31" s="464"/>
      <c r="E31" s="464"/>
      <c r="F31" s="464"/>
      <c r="G31" s="464"/>
      <c r="H31" s="464"/>
      <c r="I31" s="464"/>
      <c r="J31" s="464"/>
      <c r="K31" s="464"/>
      <c r="L31" s="464"/>
      <c r="M31" s="464"/>
      <c r="N31" s="464"/>
      <c r="O31" s="464"/>
      <c r="P31" s="464"/>
      <c r="Q31" s="464"/>
      <c r="R31" s="465"/>
    </row>
    <row r="32" spans="1:18" ht="15.5">
      <c r="A32" s="413" t="s">
        <v>221</v>
      </c>
      <c r="B32" s="414"/>
      <c r="C32" s="414"/>
      <c r="D32" s="414"/>
      <c r="E32" s="414"/>
      <c r="F32" s="414"/>
      <c r="G32" s="414"/>
      <c r="H32" s="414"/>
      <c r="I32" s="414"/>
      <c r="J32" s="414"/>
      <c r="K32" s="414"/>
      <c r="L32" s="414"/>
      <c r="M32" s="414"/>
      <c r="N32" s="414"/>
      <c r="O32" s="414"/>
      <c r="P32" s="414"/>
      <c r="Q32" s="414"/>
      <c r="R32" s="415"/>
    </row>
    <row r="33" spans="1:18" ht="80.25" customHeight="1">
      <c r="A33" s="396" t="s">
        <v>370</v>
      </c>
      <c r="B33" s="397"/>
      <c r="C33" s="397"/>
      <c r="D33" s="397"/>
      <c r="E33" s="397"/>
      <c r="F33" s="397"/>
      <c r="G33" s="397"/>
      <c r="H33" s="397"/>
      <c r="I33" s="397"/>
      <c r="J33" s="397"/>
      <c r="K33" s="397"/>
      <c r="L33" s="397"/>
      <c r="M33" s="397"/>
      <c r="N33" s="397"/>
      <c r="O33" s="397"/>
      <c r="P33" s="397"/>
      <c r="Q33" s="397"/>
      <c r="R3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30:R30"/>
    <mergeCell ref="A31:R31"/>
    <mergeCell ref="A32:R32"/>
    <mergeCell ref="A33:R33"/>
    <mergeCell ref="H9:Q9"/>
    <mergeCell ref="R9:R13"/>
    <mergeCell ref="H10:Q10"/>
    <mergeCell ref="A26:C26"/>
    <mergeCell ref="A28:R28"/>
    <mergeCell ref="A29:R29"/>
  </mergeCells>
  <pageMargins left="0.38" right="0.22" top="0.51" bottom="0.56999999999999995" header="0.3" footer="0.3"/>
  <pageSetup scale="57" orientation="landscape" r:id="rId1"/>
  <headerFooter>
    <oddFooter>&amp;CThe signature of the NRCS representative signifies a CCC or NRCS transaction as indicated above&amp;RAD-1155
Exp. 9/30/1007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769" r:id="rId4" name="Check Box 1">
              <controlPr defaultSize="0" autoFill="0" autoLine="0" autoPict="0">
                <anchor moveWithCells="1">
                  <from>
                    <xdr:col>3</xdr:col>
                    <xdr:colOff>177800</xdr:colOff>
                    <xdr:row>0</xdr:row>
                    <xdr:rowOff>12700</xdr:rowOff>
                  </from>
                  <to>
                    <xdr:col>3</xdr:col>
                    <xdr:colOff>381000</xdr:colOff>
                    <xdr:row>0</xdr:row>
                    <xdr:rowOff>158750</xdr:rowOff>
                  </to>
                </anchor>
              </controlPr>
            </control>
          </mc:Choice>
        </mc:AlternateContent>
        <mc:AlternateContent xmlns:mc="http://schemas.openxmlformats.org/markup-compatibility/2006">
          <mc:Choice Requires="x14">
            <control shapeId="32770" r:id="rId5" name="Check Box 2">
              <controlPr defaultSize="0" autoFill="0" autoLine="0" autoPict="0">
                <anchor moveWithCells="1">
                  <from>
                    <xdr:col>7</xdr:col>
                    <xdr:colOff>209550</xdr:colOff>
                    <xdr:row>0</xdr:row>
                    <xdr:rowOff>19050</xdr:rowOff>
                  </from>
                  <to>
                    <xdr:col>8</xdr:col>
                    <xdr:colOff>133350</xdr:colOff>
                    <xdr:row>0</xdr:row>
                    <xdr:rowOff>158750</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AJ61"/>
  <sheetViews>
    <sheetView topLeftCell="A2" zoomScale="58" zoomScaleNormal="58" workbookViewId="0">
      <selection activeCell="D15" sqref="D15"/>
    </sheetView>
  </sheetViews>
  <sheetFormatPr defaultRowHeight="12.5"/>
  <cols>
    <col min="3" max="3" width="67.7265625" customWidth="1"/>
    <col min="4" max="4" width="13.54296875" customWidth="1"/>
    <col min="6" max="6" width="13.81640625" customWidth="1"/>
    <col min="7" max="7" width="12.26953125" customWidth="1"/>
    <col min="8" max="8" width="13.54296875" customWidth="1"/>
    <col min="9" max="9" width="14" customWidth="1"/>
    <col min="10" max="10" width="14.81640625" customWidth="1"/>
    <col min="11" max="11" width="15" customWidth="1"/>
    <col min="12" max="12" width="12.81640625" customWidth="1"/>
    <col min="13" max="13" width="14.453125" customWidth="1"/>
    <col min="14" max="14" width="8.1796875" customWidth="1"/>
    <col min="15" max="15" width="6.7265625" customWidth="1"/>
    <col min="16" max="16" width="6.81640625" customWidth="1"/>
    <col min="17" max="17" width="6.7265625" customWidth="1"/>
    <col min="18" max="18" width="6.1796875" customWidth="1"/>
    <col min="23" max="23" width="77.26953125" customWidth="1"/>
  </cols>
  <sheetData>
    <row r="1" spans="1:36" ht="20.25" customHeight="1">
      <c r="A1" s="434" t="s">
        <v>366</v>
      </c>
      <c r="B1" s="435"/>
      <c r="C1" s="435"/>
      <c r="D1" s="144" t="s">
        <v>368</v>
      </c>
      <c r="E1" s="143"/>
      <c r="F1" s="143"/>
      <c r="G1" s="143"/>
      <c r="H1" s="145" t="s">
        <v>369</v>
      </c>
      <c r="I1" s="143"/>
      <c r="J1" s="143"/>
      <c r="K1" s="143"/>
      <c r="L1" s="143"/>
      <c r="M1" s="143"/>
      <c r="N1" s="143"/>
      <c r="O1" s="145" t="s">
        <v>367</v>
      </c>
      <c r="P1" s="143"/>
      <c r="Q1" s="143"/>
      <c r="R1" s="143"/>
      <c r="S1" s="93"/>
      <c r="T1" s="93"/>
      <c r="U1" s="93"/>
      <c r="V1" s="93"/>
      <c r="W1" s="93"/>
      <c r="X1" s="93"/>
      <c r="Y1" s="93"/>
      <c r="Z1" s="93"/>
      <c r="AA1" s="93"/>
      <c r="AB1" s="93"/>
      <c r="AC1" s="93"/>
      <c r="AD1" s="93"/>
      <c r="AE1" s="93"/>
      <c r="AF1" s="93"/>
      <c r="AG1" s="93"/>
      <c r="AH1" s="93"/>
      <c r="AI1" s="93"/>
      <c r="AJ1" s="93"/>
    </row>
    <row r="2" spans="1:36" ht="22.5" customHeight="1">
      <c r="A2" s="429" t="s">
        <v>363</v>
      </c>
      <c r="B2" s="430"/>
      <c r="C2" s="430"/>
      <c r="D2" s="136"/>
      <c r="E2" s="136"/>
      <c r="F2" s="425" t="s">
        <v>25</v>
      </c>
      <c r="G2" s="426"/>
      <c r="H2" s="426"/>
      <c r="I2" s="426"/>
      <c r="J2" s="136"/>
      <c r="K2" s="136"/>
      <c r="L2" s="136"/>
      <c r="M2" s="136"/>
      <c r="N2" s="262" t="s">
        <v>420</v>
      </c>
      <c r="O2" s="137" t="s">
        <v>364</v>
      </c>
      <c r="P2" s="138"/>
      <c r="Q2" s="139" t="s">
        <v>365</v>
      </c>
      <c r="R2" s="140"/>
      <c r="S2" s="93"/>
      <c r="T2" s="93"/>
      <c r="U2" s="93"/>
      <c r="V2" s="93"/>
      <c r="W2" s="93"/>
      <c r="X2" s="93"/>
      <c r="Y2" s="93"/>
      <c r="Z2" s="93"/>
      <c r="AA2" s="93"/>
      <c r="AB2" s="93"/>
      <c r="AC2" s="93"/>
      <c r="AD2" s="93"/>
      <c r="AE2" s="93"/>
      <c r="AF2" s="93"/>
      <c r="AG2" s="93"/>
      <c r="AH2" s="93"/>
      <c r="AI2" s="93"/>
      <c r="AJ2" s="93"/>
    </row>
    <row r="3" spans="1:36" ht="23.25" customHeight="1">
      <c r="A3" s="141"/>
      <c r="B3" s="85"/>
      <c r="C3" s="85"/>
      <c r="D3" s="85"/>
      <c r="E3" s="85"/>
      <c r="F3" s="427" t="s">
        <v>26</v>
      </c>
      <c r="G3" s="428"/>
      <c r="H3" s="428"/>
      <c r="I3" s="428"/>
      <c r="J3" s="85"/>
      <c r="K3" s="85"/>
      <c r="L3" s="85"/>
      <c r="M3" s="85"/>
      <c r="N3" s="85"/>
      <c r="O3" s="17"/>
      <c r="P3" s="17"/>
      <c r="Q3" s="17"/>
      <c r="R3" s="142"/>
      <c r="S3" s="93"/>
      <c r="T3" s="93"/>
      <c r="U3" s="93"/>
      <c r="V3" s="93"/>
      <c r="W3" s="93"/>
      <c r="X3" s="93"/>
      <c r="Y3" s="93"/>
      <c r="Z3" s="93"/>
      <c r="AA3" s="93"/>
      <c r="AB3" s="93"/>
      <c r="AC3" s="93"/>
      <c r="AD3" s="93"/>
      <c r="AE3" s="93"/>
      <c r="AF3" s="93"/>
      <c r="AG3" s="93"/>
      <c r="AH3" s="93"/>
      <c r="AI3" s="93"/>
      <c r="AJ3" s="93"/>
    </row>
    <row r="4" spans="1:36" ht="15.5">
      <c r="A4" s="480" t="s">
        <v>386</v>
      </c>
      <c r="B4" s="483"/>
      <c r="C4" s="484"/>
      <c r="D4" s="490" t="s">
        <v>387</v>
      </c>
      <c r="E4" s="491"/>
      <c r="F4" s="491"/>
      <c r="G4" s="492"/>
      <c r="H4" s="368" t="s">
        <v>388</v>
      </c>
      <c r="I4" s="26"/>
      <c r="J4" s="480" t="s">
        <v>385</v>
      </c>
      <c r="K4" s="481"/>
      <c r="L4" s="482"/>
      <c r="M4" s="480" t="s">
        <v>389</v>
      </c>
      <c r="N4" s="483"/>
      <c r="O4" s="483"/>
      <c r="P4" s="483"/>
      <c r="Q4" s="483"/>
      <c r="R4" s="484"/>
      <c r="S4" s="93"/>
      <c r="T4" s="93"/>
      <c r="U4" s="93"/>
      <c r="V4" s="93"/>
      <c r="W4" s="93"/>
      <c r="X4" s="93"/>
      <c r="Y4" s="93"/>
      <c r="Z4" s="93"/>
      <c r="AA4" s="93"/>
      <c r="AB4" s="93"/>
      <c r="AC4" s="93"/>
      <c r="AD4" s="93"/>
      <c r="AE4" s="93"/>
      <c r="AF4" s="93"/>
      <c r="AG4" s="93"/>
      <c r="AH4" s="93"/>
      <c r="AI4" s="93"/>
      <c r="AJ4" s="93"/>
    </row>
    <row r="5" spans="1:36"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93"/>
      <c r="T5" s="93"/>
      <c r="U5" s="93"/>
      <c r="V5" s="93"/>
      <c r="W5" s="93"/>
      <c r="X5" s="93"/>
      <c r="Y5" s="93"/>
      <c r="Z5" s="93"/>
      <c r="AA5" s="93"/>
      <c r="AB5" s="93"/>
      <c r="AC5" s="93"/>
      <c r="AD5" s="93"/>
      <c r="AE5" s="93"/>
      <c r="AF5" s="93"/>
      <c r="AG5" s="93"/>
      <c r="AH5" s="93"/>
      <c r="AI5" s="93"/>
      <c r="AJ5" s="93"/>
    </row>
    <row r="6" spans="1:36">
      <c r="A6" s="466"/>
      <c r="B6" s="466"/>
      <c r="C6" s="466"/>
      <c r="D6" s="466"/>
      <c r="E6" s="466"/>
      <c r="F6" s="466"/>
      <c r="G6" s="466"/>
      <c r="H6" s="466"/>
      <c r="I6" s="466"/>
      <c r="J6" s="466"/>
      <c r="K6" s="466"/>
      <c r="L6" s="466"/>
      <c r="M6" s="466"/>
      <c r="N6" s="466"/>
      <c r="O6" s="466"/>
      <c r="P6" s="466"/>
      <c r="Q6" s="466"/>
      <c r="R6" s="466"/>
      <c r="S6" s="93"/>
      <c r="T6" s="93"/>
      <c r="U6" s="93"/>
      <c r="V6" s="93"/>
      <c r="W6" s="93"/>
      <c r="X6" s="93"/>
      <c r="Y6" s="93"/>
      <c r="Z6" s="93"/>
      <c r="AA6" s="93"/>
      <c r="AB6" s="93"/>
      <c r="AC6" s="93"/>
      <c r="AD6" s="93"/>
      <c r="AE6" s="93"/>
      <c r="AF6" s="93"/>
      <c r="AG6" s="93"/>
      <c r="AH6" s="93"/>
      <c r="AI6" s="93"/>
      <c r="AJ6" s="93"/>
    </row>
    <row r="7" spans="1:36" ht="113.25" customHeight="1">
      <c r="A7" s="467" t="s">
        <v>495</v>
      </c>
      <c r="B7" s="468"/>
      <c r="C7" s="468"/>
      <c r="D7" s="468"/>
      <c r="E7" s="468"/>
      <c r="F7" s="468"/>
      <c r="G7" s="468"/>
      <c r="H7" s="468"/>
      <c r="I7" s="468"/>
      <c r="J7" s="468"/>
      <c r="K7" s="468"/>
      <c r="L7" s="468"/>
      <c r="M7" s="468"/>
      <c r="N7" s="468"/>
      <c r="O7" s="468"/>
      <c r="P7" s="468"/>
      <c r="Q7" s="468"/>
      <c r="R7" s="469"/>
      <c r="S7" s="93"/>
      <c r="T7" s="93"/>
      <c r="U7" s="93"/>
      <c r="V7" s="93"/>
      <c r="W7" s="93"/>
      <c r="X7" s="93"/>
      <c r="Y7" s="93"/>
      <c r="Z7" s="93"/>
      <c r="AA7" s="93"/>
      <c r="AB7" s="93"/>
      <c r="AC7" s="93"/>
      <c r="AD7" s="93"/>
      <c r="AE7" s="93"/>
      <c r="AF7" s="93"/>
      <c r="AG7" s="93"/>
      <c r="AH7" s="93"/>
      <c r="AI7" s="93"/>
      <c r="AJ7" s="93"/>
    </row>
    <row r="8" spans="1:36" ht="14">
      <c r="A8" s="470"/>
      <c r="B8" s="470"/>
      <c r="C8" s="470"/>
      <c r="D8" s="470"/>
      <c r="E8" s="470"/>
      <c r="F8" s="470"/>
      <c r="G8" s="470"/>
      <c r="H8" s="470"/>
      <c r="I8" s="470"/>
      <c r="J8" s="470"/>
      <c r="K8" s="470"/>
      <c r="L8" s="470"/>
      <c r="M8" s="470"/>
      <c r="N8" s="470"/>
      <c r="O8" s="470"/>
      <c r="P8" s="470"/>
      <c r="Q8" s="470"/>
      <c r="R8" s="470"/>
      <c r="S8" s="93"/>
      <c r="T8" s="93"/>
      <c r="U8" s="93"/>
      <c r="V8" s="93"/>
      <c r="W8" s="93"/>
      <c r="X8" s="93"/>
      <c r="Y8" s="93"/>
      <c r="Z8" s="93"/>
      <c r="AA8" s="93"/>
      <c r="AB8" s="93"/>
      <c r="AC8" s="93"/>
      <c r="AD8" s="93"/>
      <c r="AE8" s="93"/>
      <c r="AF8" s="93"/>
      <c r="AG8" s="93"/>
      <c r="AH8" s="93"/>
      <c r="AI8" s="93"/>
      <c r="AJ8" s="93"/>
    </row>
    <row r="9" spans="1:36">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93"/>
      <c r="T9" s="93"/>
      <c r="U9" s="93"/>
      <c r="V9" s="93"/>
      <c r="W9" s="93"/>
      <c r="X9" s="93"/>
      <c r="Y9" s="93"/>
      <c r="Z9" s="93"/>
      <c r="AA9" s="93"/>
      <c r="AB9" s="93"/>
      <c r="AC9" s="93"/>
      <c r="AD9" s="93"/>
      <c r="AE9" s="93"/>
      <c r="AF9" s="93"/>
      <c r="AG9" s="93"/>
      <c r="AH9" s="93"/>
      <c r="AI9" s="93"/>
      <c r="AJ9" s="93"/>
    </row>
    <row r="10" spans="1:36" ht="15" customHeight="1">
      <c r="A10" s="453"/>
      <c r="B10" s="453"/>
      <c r="C10" s="499"/>
      <c r="D10" s="475"/>
      <c r="E10" s="478"/>
      <c r="F10" s="453"/>
      <c r="G10" s="453"/>
      <c r="H10" s="455" t="s">
        <v>306</v>
      </c>
      <c r="I10" s="408"/>
      <c r="J10" s="408"/>
      <c r="K10" s="408"/>
      <c r="L10" s="408"/>
      <c r="M10" s="408"/>
      <c r="N10" s="408"/>
      <c r="O10" s="408"/>
      <c r="P10" s="408"/>
      <c r="Q10" s="409"/>
      <c r="R10" s="453"/>
      <c r="S10" s="93"/>
      <c r="T10" s="93"/>
      <c r="U10" s="93"/>
      <c r="V10" s="93"/>
      <c r="W10" s="93"/>
      <c r="X10" s="93"/>
      <c r="Y10" s="93"/>
      <c r="Z10" s="93"/>
      <c r="AA10" s="93"/>
      <c r="AB10" s="93"/>
      <c r="AC10" s="93"/>
      <c r="AD10" s="93"/>
      <c r="AE10" s="93"/>
      <c r="AF10" s="93"/>
      <c r="AG10" s="93"/>
      <c r="AH10" s="93"/>
      <c r="AI10" s="93"/>
      <c r="AJ10" s="93"/>
    </row>
    <row r="11" spans="1:36">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93"/>
      <c r="T11" s="93"/>
      <c r="U11" s="93"/>
      <c r="V11" s="93"/>
      <c r="W11" s="93"/>
      <c r="X11" s="93"/>
      <c r="Y11" s="93"/>
      <c r="Z11" s="93"/>
      <c r="AA11" s="93"/>
      <c r="AB11" s="93"/>
      <c r="AC11" s="93"/>
      <c r="AD11" s="93"/>
      <c r="AE11" s="93"/>
      <c r="AF11" s="93"/>
      <c r="AG11" s="93"/>
      <c r="AH11" s="93"/>
      <c r="AI11" s="93"/>
      <c r="AJ11" s="93"/>
    </row>
    <row r="12" spans="1:36"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c r="S12" s="93"/>
      <c r="T12" s="93"/>
      <c r="U12" s="93"/>
      <c r="V12" s="93"/>
      <c r="W12" s="93"/>
      <c r="X12" s="93"/>
      <c r="Y12" s="93"/>
      <c r="Z12" s="93"/>
      <c r="AA12" s="93"/>
      <c r="AB12" s="93"/>
      <c r="AC12" s="93"/>
      <c r="AD12" s="93"/>
      <c r="AE12" s="93"/>
      <c r="AF12" s="93"/>
      <c r="AG12" s="93"/>
      <c r="AH12" s="93"/>
      <c r="AI12" s="93"/>
      <c r="AJ12" s="93"/>
    </row>
    <row r="13" spans="1:36"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93"/>
      <c r="T13" s="93"/>
      <c r="U13" s="93"/>
      <c r="V13" s="93"/>
      <c r="W13" s="93"/>
      <c r="X13" s="93"/>
      <c r="Y13" s="93"/>
      <c r="Z13" s="93"/>
      <c r="AA13" s="93"/>
      <c r="AB13" s="93"/>
      <c r="AC13" s="93"/>
      <c r="AD13" s="93"/>
      <c r="AE13" s="93"/>
      <c r="AF13" s="93"/>
      <c r="AG13" s="93"/>
      <c r="AH13" s="93"/>
      <c r="AI13" s="93"/>
      <c r="AJ13" s="93"/>
    </row>
    <row r="14" spans="1:36"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93"/>
      <c r="T14" s="93"/>
      <c r="U14" s="93"/>
      <c r="V14" s="93"/>
      <c r="W14" s="93"/>
      <c r="X14" s="93"/>
      <c r="Y14" s="93"/>
      <c r="Z14" s="93"/>
      <c r="AA14" s="93"/>
      <c r="AB14" s="93"/>
      <c r="AC14" s="93"/>
      <c r="AD14" s="93"/>
      <c r="AE14" s="93"/>
      <c r="AF14" s="93"/>
      <c r="AG14" s="93"/>
      <c r="AH14" s="93"/>
      <c r="AI14" s="93"/>
      <c r="AJ14" s="93"/>
    </row>
    <row r="15" spans="1:36" ht="22.5" customHeight="1">
      <c r="A15" s="12"/>
      <c r="B15" s="347"/>
      <c r="C15" s="206" t="s">
        <v>283</v>
      </c>
      <c r="D15" s="308"/>
      <c r="E15" s="297" t="s">
        <v>20</v>
      </c>
      <c r="F15" s="231"/>
      <c r="G15" s="287"/>
      <c r="H15" s="231"/>
      <c r="I15" s="231"/>
      <c r="J15" s="231"/>
      <c r="K15" s="231"/>
      <c r="L15" s="231"/>
      <c r="M15" s="300"/>
      <c r="N15" s="28"/>
      <c r="O15" s="28"/>
      <c r="P15" s="28"/>
      <c r="Q15" s="28"/>
      <c r="R15" s="13"/>
      <c r="S15" s="93"/>
      <c r="T15" s="93"/>
      <c r="U15" s="93"/>
      <c r="V15" s="93"/>
      <c r="W15" s="93"/>
      <c r="X15" s="93"/>
      <c r="Y15" s="93"/>
      <c r="Z15" s="93"/>
      <c r="AA15" s="93"/>
      <c r="AB15" s="93"/>
      <c r="AC15" s="93"/>
      <c r="AD15" s="93"/>
      <c r="AE15" s="93"/>
      <c r="AF15" s="93"/>
      <c r="AG15" s="93"/>
      <c r="AH15" s="93"/>
      <c r="AI15" s="93"/>
      <c r="AJ15" s="93"/>
    </row>
    <row r="16" spans="1:36" ht="17.5">
      <c r="A16" s="12"/>
      <c r="B16" s="347"/>
      <c r="C16" s="206" t="s">
        <v>1</v>
      </c>
      <c r="D16" s="308"/>
      <c r="E16" s="297" t="s">
        <v>20</v>
      </c>
      <c r="F16" s="231">
        <f>VLOOKUP(C16,W17:X25,2)</f>
        <v>0</v>
      </c>
      <c r="G16" s="287">
        <v>50</v>
      </c>
      <c r="H16" s="231">
        <f t="shared" ref="H16" si="0">D16*F16*G16/100</f>
        <v>0</v>
      </c>
      <c r="I16" s="231"/>
      <c r="J16" s="231"/>
      <c r="K16" s="231"/>
      <c r="L16" s="231"/>
      <c r="M16" s="300"/>
      <c r="N16" s="28"/>
      <c r="O16" s="28"/>
      <c r="P16" s="28"/>
      <c r="Q16" s="28"/>
      <c r="R16" s="13"/>
      <c r="S16" s="93"/>
      <c r="T16" s="93"/>
      <c r="U16" s="93"/>
      <c r="V16" s="93"/>
      <c r="W16" s="93"/>
      <c r="X16" s="93"/>
      <c r="Y16" s="93"/>
      <c r="Z16" s="93"/>
      <c r="AA16" s="93"/>
      <c r="AB16" s="93"/>
      <c r="AC16" s="93"/>
      <c r="AD16" s="93"/>
      <c r="AE16" s="93"/>
      <c r="AF16" s="93"/>
      <c r="AG16" s="93"/>
      <c r="AH16" s="93"/>
      <c r="AI16" s="93"/>
      <c r="AJ16" s="93"/>
    </row>
    <row r="17" spans="1:36" ht="17.5">
      <c r="A17" s="12"/>
      <c r="B17" s="347"/>
      <c r="C17" s="206" t="s">
        <v>1</v>
      </c>
      <c r="D17" s="308"/>
      <c r="E17" s="297" t="s">
        <v>20</v>
      </c>
      <c r="F17" s="231">
        <f>VLOOKUP(C17,W17:X25,2)</f>
        <v>0</v>
      </c>
      <c r="G17" s="287">
        <v>50</v>
      </c>
      <c r="H17" s="317"/>
      <c r="I17" s="231">
        <f>D17*F17*G17/100</f>
        <v>0</v>
      </c>
      <c r="J17" s="231"/>
      <c r="K17" s="231"/>
      <c r="L17" s="231"/>
      <c r="M17" s="300"/>
      <c r="N17" s="28"/>
      <c r="O17" s="28"/>
      <c r="P17" s="28"/>
      <c r="Q17" s="28"/>
      <c r="R17" s="13"/>
      <c r="S17" s="93"/>
      <c r="T17" s="93"/>
      <c r="U17" s="93"/>
      <c r="V17" s="93"/>
      <c r="W17" s="26" t="s">
        <v>1</v>
      </c>
      <c r="X17" s="11">
        <v>0</v>
      </c>
      <c r="Y17" s="93"/>
      <c r="Z17" s="93"/>
      <c r="AA17" s="93"/>
      <c r="AB17" s="93"/>
      <c r="AC17" s="93"/>
      <c r="AD17" s="93"/>
      <c r="AE17" s="93"/>
      <c r="AF17" s="93"/>
      <c r="AG17" s="93"/>
      <c r="AH17" s="93"/>
      <c r="AI17" s="93"/>
      <c r="AJ17" s="93"/>
    </row>
    <row r="18" spans="1:36" ht="17.5">
      <c r="A18" s="12"/>
      <c r="B18" s="347"/>
      <c r="C18" s="244" t="s">
        <v>42</v>
      </c>
      <c r="D18" s="308"/>
      <c r="E18" s="297" t="s">
        <v>20</v>
      </c>
      <c r="F18" s="231">
        <f>VLOOKUP(C18,W36:X44,2)</f>
        <v>0</v>
      </c>
      <c r="G18" s="287">
        <v>50</v>
      </c>
      <c r="H18" s="231"/>
      <c r="I18" s="231"/>
      <c r="J18" s="231">
        <f>D18*F18*G18/100</f>
        <v>0</v>
      </c>
      <c r="K18" s="231"/>
      <c r="L18" s="231"/>
      <c r="M18" s="300"/>
      <c r="N18" s="28"/>
      <c r="O18" s="28"/>
      <c r="P18" s="28"/>
      <c r="Q18" s="28"/>
      <c r="R18" s="13"/>
      <c r="S18" s="93"/>
      <c r="T18" s="93"/>
      <c r="U18" s="93"/>
      <c r="V18" s="93"/>
      <c r="W18" s="201" t="s">
        <v>92</v>
      </c>
      <c r="X18" s="72">
        <f>'Component List'!D18</f>
        <v>31.04</v>
      </c>
      <c r="Y18" s="93"/>
      <c r="Z18" s="93"/>
      <c r="AA18" s="93"/>
      <c r="AB18" s="93"/>
      <c r="AC18" s="93"/>
      <c r="AD18" s="93"/>
      <c r="AE18" s="93"/>
      <c r="AF18" s="93"/>
      <c r="AG18" s="93"/>
      <c r="AH18" s="93"/>
      <c r="AI18" s="93"/>
      <c r="AJ18" s="93"/>
    </row>
    <row r="19" spans="1:36" ht="17.5">
      <c r="A19" s="12"/>
      <c r="B19" s="347"/>
      <c r="C19" s="251" t="s">
        <v>42</v>
      </c>
      <c r="D19" s="308"/>
      <c r="E19" s="297" t="s">
        <v>20</v>
      </c>
      <c r="F19" s="293">
        <f>VLOOKUP(C19,W36:X44,2)</f>
        <v>0</v>
      </c>
      <c r="G19" s="287">
        <v>50</v>
      </c>
      <c r="H19" s="231"/>
      <c r="I19" s="231"/>
      <c r="J19" s="231"/>
      <c r="K19" s="231">
        <f>D19*F19*G19/100</f>
        <v>0</v>
      </c>
      <c r="L19" s="231"/>
      <c r="M19" s="300"/>
      <c r="N19" s="28"/>
      <c r="O19" s="28"/>
      <c r="P19" s="28"/>
      <c r="Q19" s="28"/>
      <c r="R19" s="13"/>
      <c r="S19" s="93"/>
      <c r="T19" s="93"/>
      <c r="U19" s="93"/>
      <c r="V19" s="93"/>
      <c r="W19" s="201" t="s">
        <v>254</v>
      </c>
      <c r="X19" s="72">
        <f>'Component List'!D19</f>
        <v>100</v>
      </c>
      <c r="Y19" s="93"/>
      <c r="Z19" s="93"/>
      <c r="AA19" s="93"/>
      <c r="AB19" s="93"/>
      <c r="AC19" s="93"/>
      <c r="AD19" s="93"/>
      <c r="AE19" s="93"/>
      <c r="AF19" s="93"/>
      <c r="AG19" s="93"/>
      <c r="AH19" s="93"/>
      <c r="AI19" s="93"/>
      <c r="AJ19" s="93"/>
    </row>
    <row r="20" spans="1:36" ht="17.5">
      <c r="A20" s="12"/>
      <c r="B20" s="347"/>
      <c r="C20" s="244" t="s">
        <v>31</v>
      </c>
      <c r="D20" s="308"/>
      <c r="E20" s="297" t="s">
        <v>20</v>
      </c>
      <c r="F20" s="293">
        <f>VLOOKUP(C20,W46:X54,2)</f>
        <v>0</v>
      </c>
      <c r="G20" s="287">
        <v>50</v>
      </c>
      <c r="H20" s="231"/>
      <c r="I20" s="231"/>
      <c r="J20" s="231"/>
      <c r="K20" s="231"/>
      <c r="L20" s="231">
        <f>D20*F20*G20/100</f>
        <v>0</v>
      </c>
      <c r="M20" s="300"/>
      <c r="N20" s="28"/>
      <c r="O20" s="28"/>
      <c r="P20" s="28"/>
      <c r="Q20" s="28"/>
      <c r="R20" s="13"/>
      <c r="S20" s="93"/>
      <c r="T20" s="93"/>
      <c r="U20" s="93"/>
      <c r="V20" s="93"/>
      <c r="W20" s="201" t="s">
        <v>93</v>
      </c>
      <c r="X20" s="72">
        <f>'Component List'!D22</f>
        <v>23.04</v>
      </c>
      <c r="Y20" s="93"/>
      <c r="Z20" s="93"/>
      <c r="AA20" s="93"/>
      <c r="AB20" s="93"/>
      <c r="AC20" s="93"/>
      <c r="AD20" s="93"/>
      <c r="AE20" s="93"/>
      <c r="AF20" s="93"/>
      <c r="AG20" s="93"/>
      <c r="AH20" s="93"/>
      <c r="AI20" s="93"/>
      <c r="AJ20" s="93"/>
    </row>
    <row r="21" spans="1:36" ht="17.5">
      <c r="A21" s="12"/>
      <c r="B21" s="347"/>
      <c r="C21" s="244" t="s">
        <v>31</v>
      </c>
      <c r="D21" s="308"/>
      <c r="E21" s="297" t="s">
        <v>20</v>
      </c>
      <c r="F21" s="293">
        <f>VLOOKUP(C21,W46:X54,2)</f>
        <v>0</v>
      </c>
      <c r="G21" s="287">
        <v>50</v>
      </c>
      <c r="H21" s="231"/>
      <c r="I21" s="231"/>
      <c r="J21" s="231"/>
      <c r="K21" s="231"/>
      <c r="L21" s="231"/>
      <c r="M21" s="231">
        <f>D21*F21*G21/100</f>
        <v>0</v>
      </c>
      <c r="N21" s="28"/>
      <c r="O21" s="28"/>
      <c r="P21" s="28"/>
      <c r="Q21" s="28"/>
      <c r="R21" s="13"/>
      <c r="S21" s="93"/>
      <c r="T21" s="93"/>
      <c r="U21" s="93"/>
      <c r="V21" s="93"/>
      <c r="W21" s="201" t="s">
        <v>36</v>
      </c>
      <c r="X21" s="72">
        <f>'Component List'!D23</f>
        <v>100</v>
      </c>
      <c r="Y21" s="93"/>
      <c r="Z21" s="93"/>
      <c r="AA21" s="93"/>
      <c r="AB21" s="93"/>
      <c r="AC21" s="93"/>
      <c r="AD21" s="93"/>
      <c r="AE21" s="93"/>
      <c r="AF21" s="93"/>
      <c r="AG21" s="93"/>
      <c r="AH21" s="93"/>
      <c r="AI21" s="93"/>
      <c r="AJ21" s="93"/>
    </row>
    <row r="22" spans="1:36" ht="15.5">
      <c r="A22" s="456" t="s">
        <v>89</v>
      </c>
      <c r="B22" s="457"/>
      <c r="C22" s="458"/>
      <c r="D22" s="286"/>
      <c r="E22" s="280"/>
      <c r="F22" s="265"/>
      <c r="G22" s="281"/>
      <c r="H22" s="271">
        <f t="shared" ref="H22:M22" si="1">SUM(H15:H21)</f>
        <v>0</v>
      </c>
      <c r="I22" s="271">
        <f t="shared" si="1"/>
        <v>0</v>
      </c>
      <c r="J22" s="271">
        <f t="shared" si="1"/>
        <v>0</v>
      </c>
      <c r="K22" s="271">
        <f t="shared" si="1"/>
        <v>0</v>
      </c>
      <c r="L22" s="271">
        <f t="shared" si="1"/>
        <v>0</v>
      </c>
      <c r="M22" s="271">
        <f t="shared" si="1"/>
        <v>0</v>
      </c>
      <c r="N22" s="23"/>
      <c r="O22" s="23"/>
      <c r="P22" s="23"/>
      <c r="Q22" s="23"/>
      <c r="R22" s="25"/>
      <c r="S22" s="93"/>
      <c r="T22" s="93"/>
      <c r="U22" s="93"/>
      <c r="V22" s="93"/>
      <c r="W22" s="201" t="s">
        <v>151</v>
      </c>
      <c r="X22" s="72">
        <f>'Component List'!D24</f>
        <v>100</v>
      </c>
      <c r="Y22" s="93"/>
      <c r="Z22" s="93"/>
      <c r="AA22" s="93"/>
      <c r="AB22" s="93"/>
      <c r="AC22" s="93"/>
      <c r="AD22" s="93"/>
      <c r="AE22" s="93"/>
      <c r="AF22" s="93"/>
      <c r="AG22" s="93"/>
      <c r="AH22" s="93"/>
      <c r="AI22" s="93"/>
      <c r="AJ22" s="93"/>
    </row>
    <row r="23" spans="1:36" ht="41.25" customHeight="1">
      <c r="A23" s="496" t="str">
        <f>IF(W56,W58,"")</f>
        <v/>
      </c>
      <c r="B23" s="497"/>
      <c r="C23" s="497"/>
      <c r="D23" s="497"/>
      <c r="E23" s="497"/>
      <c r="F23" s="497"/>
      <c r="G23" s="497"/>
      <c r="H23" s="497"/>
      <c r="I23" s="497"/>
      <c r="J23" s="497"/>
      <c r="K23" s="497"/>
      <c r="L23" s="497"/>
      <c r="M23" s="497"/>
      <c r="N23" s="497"/>
      <c r="O23" s="497"/>
      <c r="P23" s="497"/>
      <c r="Q23" s="497"/>
      <c r="R23" s="497"/>
      <c r="S23" s="93"/>
      <c r="T23" s="93"/>
      <c r="U23" s="93"/>
      <c r="V23" s="93"/>
      <c r="W23" s="201" t="s">
        <v>255</v>
      </c>
      <c r="X23" s="72">
        <f>'Component List'!D25</f>
        <v>100</v>
      </c>
      <c r="Y23" s="93"/>
      <c r="Z23" s="93"/>
      <c r="AA23" s="93"/>
      <c r="AB23" s="93"/>
      <c r="AC23" s="93"/>
      <c r="AD23" s="93"/>
      <c r="AE23" s="93"/>
      <c r="AF23" s="93"/>
      <c r="AG23" s="93"/>
      <c r="AH23" s="93"/>
      <c r="AI23" s="93"/>
      <c r="AJ23" s="93"/>
    </row>
    <row r="24" spans="1:36" ht="15.5">
      <c r="A24" s="401" t="s">
        <v>262</v>
      </c>
      <c r="B24" s="402"/>
      <c r="C24" s="402"/>
      <c r="D24" s="402"/>
      <c r="E24" s="402"/>
      <c r="F24" s="402"/>
      <c r="G24" s="402"/>
      <c r="H24" s="402"/>
      <c r="I24" s="402"/>
      <c r="J24" s="402"/>
      <c r="K24" s="402"/>
      <c r="L24" s="402"/>
      <c r="M24" s="402"/>
      <c r="N24" s="402"/>
      <c r="O24" s="402"/>
      <c r="P24" s="402"/>
      <c r="Q24" s="402"/>
      <c r="R24" s="403"/>
      <c r="S24" s="93"/>
      <c r="T24" s="93"/>
      <c r="U24" s="93"/>
      <c r="V24" s="93"/>
      <c r="W24" s="201" t="s">
        <v>256</v>
      </c>
      <c r="X24" s="72">
        <f>'Component List'!D26</f>
        <v>100</v>
      </c>
      <c r="Y24" s="93"/>
      <c r="Z24" s="93"/>
      <c r="AA24" s="93"/>
      <c r="AB24" s="93"/>
      <c r="AC24" s="93"/>
      <c r="AD24" s="93"/>
      <c r="AE24" s="93"/>
      <c r="AF24" s="93"/>
      <c r="AG24" s="93"/>
      <c r="AH24" s="93"/>
      <c r="AI24" s="93"/>
      <c r="AJ24" s="93"/>
    </row>
    <row r="25" spans="1:36" ht="54.75" customHeight="1">
      <c r="A25" s="393" t="s">
        <v>434</v>
      </c>
      <c r="B25" s="394"/>
      <c r="C25" s="394"/>
      <c r="D25" s="394"/>
      <c r="E25" s="394"/>
      <c r="F25" s="394"/>
      <c r="G25" s="394"/>
      <c r="H25" s="394"/>
      <c r="I25" s="394"/>
      <c r="J25" s="394"/>
      <c r="K25" s="394"/>
      <c r="L25" s="394"/>
      <c r="M25" s="394"/>
      <c r="N25" s="394"/>
      <c r="O25" s="394"/>
      <c r="P25" s="394"/>
      <c r="Q25" s="394"/>
      <c r="R25" s="395"/>
      <c r="S25" s="93"/>
      <c r="T25" s="93"/>
      <c r="U25" s="93"/>
      <c r="V25" s="93"/>
      <c r="W25" s="201" t="s">
        <v>317</v>
      </c>
      <c r="X25" s="72">
        <f>'Component List'!D59</f>
        <v>100</v>
      </c>
      <c r="Y25" s="93"/>
      <c r="Z25" s="93"/>
      <c r="AA25" s="93"/>
      <c r="AB25" s="93"/>
      <c r="AC25" s="93"/>
      <c r="AD25" s="93"/>
      <c r="AE25" s="93"/>
      <c r="AF25" s="93"/>
      <c r="AG25" s="93"/>
      <c r="AH25" s="93"/>
      <c r="AI25" s="93"/>
      <c r="AJ25" s="93"/>
    </row>
    <row r="26" spans="1:36" ht="15.5">
      <c r="A26" s="460" t="s">
        <v>390</v>
      </c>
      <c r="B26" s="461"/>
      <c r="C26" s="461"/>
      <c r="D26" s="461"/>
      <c r="E26" s="461"/>
      <c r="F26" s="461"/>
      <c r="G26" s="461"/>
      <c r="H26" s="461"/>
      <c r="I26" s="461"/>
      <c r="J26" s="461"/>
      <c r="K26" s="461"/>
      <c r="L26" s="461"/>
      <c r="M26" s="461"/>
      <c r="N26" s="461"/>
      <c r="O26" s="461"/>
      <c r="P26" s="461"/>
      <c r="Q26" s="461"/>
      <c r="R26" s="462"/>
      <c r="S26" s="93"/>
      <c r="T26" s="93"/>
      <c r="U26" s="93"/>
      <c r="V26" s="93"/>
      <c r="W26" s="217"/>
      <c r="X26" s="192"/>
      <c r="Y26" s="93"/>
      <c r="Z26" s="93"/>
      <c r="AA26" s="93"/>
      <c r="AB26" s="93"/>
      <c r="AC26" s="93"/>
      <c r="AD26" s="93"/>
      <c r="AE26" s="93"/>
      <c r="AF26" s="93"/>
      <c r="AG26" s="93"/>
      <c r="AH26" s="93"/>
      <c r="AI26" s="93"/>
      <c r="AJ26" s="93"/>
    </row>
    <row r="27" spans="1:36" ht="49.5" customHeight="1">
      <c r="A27" s="463" t="s">
        <v>392</v>
      </c>
      <c r="B27" s="464"/>
      <c r="C27" s="464"/>
      <c r="D27" s="464"/>
      <c r="E27" s="464"/>
      <c r="F27" s="464"/>
      <c r="G27" s="464"/>
      <c r="H27" s="464"/>
      <c r="I27" s="464"/>
      <c r="J27" s="464"/>
      <c r="K27" s="464"/>
      <c r="L27" s="464"/>
      <c r="M27" s="464"/>
      <c r="N27" s="464"/>
      <c r="O27" s="464"/>
      <c r="P27" s="464"/>
      <c r="Q27" s="464"/>
      <c r="R27" s="465"/>
      <c r="S27" s="93"/>
      <c r="T27" s="93"/>
      <c r="U27" s="93"/>
      <c r="V27" s="93"/>
      <c r="W27" s="26"/>
      <c r="X27" s="93"/>
      <c r="Y27" s="93"/>
      <c r="Z27" s="93"/>
      <c r="AA27" s="93"/>
      <c r="AB27" s="93"/>
      <c r="AC27" s="93"/>
      <c r="AD27" s="93"/>
      <c r="AE27" s="93"/>
      <c r="AF27" s="93"/>
      <c r="AG27" s="93"/>
      <c r="AH27" s="93"/>
      <c r="AI27" s="93"/>
      <c r="AJ27" s="93"/>
    </row>
    <row r="28" spans="1:36" ht="22.5" customHeight="1">
      <c r="A28" s="413" t="s">
        <v>221</v>
      </c>
      <c r="B28" s="414"/>
      <c r="C28" s="414"/>
      <c r="D28" s="414"/>
      <c r="E28" s="414"/>
      <c r="F28" s="414"/>
      <c r="G28" s="414"/>
      <c r="H28" s="414"/>
      <c r="I28" s="414"/>
      <c r="J28" s="414"/>
      <c r="K28" s="414"/>
      <c r="L28" s="414"/>
      <c r="M28" s="414"/>
      <c r="N28" s="414"/>
      <c r="O28" s="414"/>
      <c r="P28" s="414"/>
      <c r="Q28" s="414"/>
      <c r="R28" s="415"/>
      <c r="S28" s="93"/>
      <c r="T28" s="93"/>
      <c r="U28" s="93"/>
      <c r="V28" s="93"/>
      <c r="W28" s="26"/>
      <c r="X28" s="93"/>
      <c r="Y28" s="93"/>
      <c r="Z28" s="93"/>
      <c r="AA28" s="93"/>
      <c r="AB28" s="93"/>
      <c r="AC28" s="93"/>
      <c r="AD28" s="93"/>
      <c r="AE28" s="93"/>
      <c r="AF28" s="93"/>
      <c r="AG28" s="93"/>
      <c r="AH28" s="93"/>
      <c r="AI28" s="93"/>
      <c r="AJ28" s="93"/>
    </row>
    <row r="29" spans="1:36" ht="74.25" customHeight="1">
      <c r="A29" s="396" t="s">
        <v>370</v>
      </c>
      <c r="B29" s="397"/>
      <c r="C29" s="397"/>
      <c r="D29" s="397"/>
      <c r="E29" s="397"/>
      <c r="F29" s="397"/>
      <c r="G29" s="397"/>
      <c r="H29" s="397"/>
      <c r="I29" s="397"/>
      <c r="J29" s="397"/>
      <c r="K29" s="397"/>
      <c r="L29" s="397"/>
      <c r="M29" s="397"/>
      <c r="N29" s="397"/>
      <c r="O29" s="397"/>
      <c r="P29" s="397"/>
      <c r="Q29" s="397"/>
      <c r="R29" s="398"/>
      <c r="S29" s="93"/>
      <c r="T29" s="93"/>
      <c r="U29" s="93"/>
      <c r="V29" s="93"/>
      <c r="W29" s="26"/>
      <c r="X29" s="93"/>
      <c r="Y29" s="93"/>
      <c r="Z29" s="93"/>
      <c r="AA29" s="93"/>
      <c r="AB29" s="93"/>
      <c r="AC29" s="93"/>
      <c r="AD29" s="93"/>
      <c r="AE29" s="93"/>
      <c r="AF29" s="93"/>
      <c r="AG29" s="93"/>
      <c r="AH29" s="93"/>
      <c r="AI29" s="93"/>
      <c r="AJ29" s="93"/>
    </row>
    <row r="30" spans="1:36" ht="19.5" customHeight="1">
      <c r="A30" s="93"/>
      <c r="B30" s="93"/>
      <c r="C30" s="93"/>
      <c r="D30" s="93"/>
      <c r="E30" s="93"/>
      <c r="F30" s="93"/>
      <c r="G30" s="93"/>
      <c r="H30" s="93"/>
      <c r="I30" s="93"/>
      <c r="J30" s="93"/>
      <c r="K30" s="93"/>
      <c r="L30" s="93"/>
      <c r="M30" s="93"/>
      <c r="N30" s="93"/>
      <c r="O30" s="93"/>
      <c r="P30" s="93"/>
      <c r="Q30" s="93"/>
      <c r="R30" s="93"/>
      <c r="S30" s="93"/>
      <c r="T30" s="93"/>
      <c r="U30" s="93"/>
      <c r="V30" s="93"/>
      <c r="W30" s="26"/>
      <c r="X30" s="93"/>
      <c r="Y30" s="93"/>
      <c r="Z30" s="93"/>
      <c r="AA30" s="93"/>
      <c r="AB30" s="93"/>
      <c r="AC30" s="93"/>
      <c r="AD30" s="93"/>
      <c r="AE30" s="93"/>
      <c r="AF30" s="93"/>
      <c r="AG30" s="93"/>
      <c r="AH30" s="93"/>
      <c r="AI30" s="93"/>
      <c r="AJ30" s="93"/>
    </row>
    <row r="31" spans="1:36" ht="23.25" customHeight="1">
      <c r="A31" s="93"/>
      <c r="B31" s="93"/>
      <c r="C31" s="93"/>
      <c r="D31" s="93"/>
      <c r="E31" s="93"/>
      <c r="F31" s="93"/>
      <c r="G31" s="93"/>
      <c r="H31" s="93"/>
      <c r="I31" s="93"/>
      <c r="J31" s="93"/>
      <c r="K31" s="93"/>
      <c r="L31" s="93"/>
      <c r="M31" s="93"/>
      <c r="N31" s="93"/>
      <c r="O31" s="93"/>
      <c r="P31" s="93"/>
      <c r="Q31" s="93"/>
      <c r="R31" s="93"/>
      <c r="S31" s="93"/>
      <c r="T31" s="93"/>
      <c r="U31" s="93"/>
      <c r="V31" s="93"/>
      <c r="W31" s="26"/>
      <c r="X31" s="93"/>
      <c r="Y31" s="93"/>
      <c r="Z31" s="93"/>
      <c r="AA31" s="93"/>
      <c r="AB31" s="93"/>
      <c r="AC31" s="93"/>
      <c r="AD31" s="93"/>
      <c r="AE31" s="93"/>
      <c r="AF31" s="93"/>
      <c r="AG31" s="93"/>
      <c r="AH31" s="93"/>
      <c r="AI31" s="93"/>
      <c r="AJ31" s="93"/>
    </row>
    <row r="32" spans="1:36" ht="15.5">
      <c r="A32" s="93"/>
      <c r="B32" s="93"/>
      <c r="C32" s="93"/>
      <c r="D32" s="93"/>
      <c r="E32" s="93"/>
      <c r="F32" s="93"/>
      <c r="G32" s="93"/>
      <c r="H32" s="93"/>
      <c r="I32" s="93"/>
      <c r="J32" s="93"/>
      <c r="K32" s="93"/>
      <c r="L32" s="93"/>
      <c r="M32" s="93"/>
      <c r="N32" s="93"/>
      <c r="O32" s="93"/>
      <c r="P32" s="93"/>
      <c r="Q32" s="93"/>
      <c r="R32" s="93"/>
      <c r="S32" s="93"/>
      <c r="T32" s="93"/>
      <c r="U32" s="93"/>
      <c r="V32" s="93"/>
      <c r="W32" s="26"/>
      <c r="X32" s="93"/>
      <c r="Y32" s="93"/>
      <c r="Z32" s="93"/>
      <c r="AA32" s="93"/>
      <c r="AB32" s="93"/>
      <c r="AC32" s="93"/>
      <c r="AD32" s="93"/>
      <c r="AE32" s="93"/>
      <c r="AF32" s="93"/>
      <c r="AG32" s="93"/>
      <c r="AH32" s="93"/>
      <c r="AI32" s="93"/>
      <c r="AJ32" s="93"/>
    </row>
    <row r="33" spans="1:36" ht="45" customHeight="1">
      <c r="A33" s="93"/>
      <c r="B33" s="93"/>
      <c r="C33" s="93"/>
      <c r="D33" s="93"/>
      <c r="E33" s="93"/>
      <c r="F33" s="93"/>
      <c r="G33" s="93"/>
      <c r="H33" s="93"/>
      <c r="I33" s="93"/>
      <c r="J33" s="93"/>
      <c r="K33" s="93"/>
      <c r="L33" s="93"/>
      <c r="M33" s="93"/>
      <c r="N33" s="93"/>
      <c r="O33" s="93"/>
      <c r="P33" s="93"/>
      <c r="Q33" s="93"/>
      <c r="R33" s="93"/>
      <c r="S33" s="93"/>
      <c r="T33" s="93"/>
      <c r="U33" s="93"/>
      <c r="V33" s="93"/>
      <c r="W33" s="26"/>
      <c r="X33" s="93"/>
      <c r="Y33" s="93"/>
      <c r="Z33" s="93"/>
      <c r="AA33" s="93"/>
      <c r="AB33" s="93"/>
      <c r="AC33" s="93"/>
      <c r="AD33" s="93"/>
      <c r="AE33" s="93"/>
      <c r="AF33" s="93"/>
      <c r="AG33" s="93"/>
      <c r="AH33" s="93"/>
      <c r="AI33" s="93"/>
      <c r="AJ33" s="93"/>
    </row>
    <row r="34" spans="1:36" ht="15.5">
      <c r="A34" s="93"/>
      <c r="B34" s="93"/>
      <c r="C34" s="93"/>
      <c r="D34" s="93"/>
      <c r="E34" s="93"/>
      <c r="F34" s="93"/>
      <c r="G34" s="93"/>
      <c r="H34" s="93"/>
      <c r="I34" s="93"/>
      <c r="J34" s="93"/>
      <c r="K34" s="93"/>
      <c r="L34" s="93"/>
      <c r="M34" s="93"/>
      <c r="N34" s="93"/>
      <c r="O34" s="93"/>
      <c r="P34" s="93"/>
      <c r="Q34" s="93"/>
      <c r="R34" s="93"/>
      <c r="S34" s="93"/>
      <c r="T34" s="93"/>
      <c r="U34" s="93"/>
      <c r="V34" s="93"/>
      <c r="W34" s="26"/>
      <c r="X34" s="93"/>
      <c r="Y34" s="93"/>
      <c r="Z34" s="93"/>
      <c r="AA34" s="93"/>
      <c r="AB34" s="93"/>
      <c r="AC34" s="93"/>
      <c r="AD34" s="93"/>
      <c r="AE34" s="93"/>
      <c r="AF34" s="93"/>
      <c r="AG34" s="93"/>
      <c r="AH34" s="93"/>
      <c r="AI34" s="93"/>
      <c r="AJ34" s="93"/>
    </row>
    <row r="35" spans="1:36" ht="53.25" customHeight="1">
      <c r="A35" s="93"/>
      <c r="B35" s="93"/>
      <c r="C35" s="93"/>
      <c r="D35" s="93"/>
      <c r="E35" s="93"/>
      <c r="F35" s="93"/>
      <c r="G35" s="93"/>
      <c r="H35" s="93"/>
      <c r="I35" s="93"/>
      <c r="J35" s="93"/>
      <c r="K35" s="93"/>
      <c r="L35" s="93"/>
      <c r="M35" s="93"/>
      <c r="N35" s="93"/>
      <c r="O35" s="93"/>
      <c r="P35" s="93"/>
      <c r="Q35" s="93"/>
      <c r="R35" s="93"/>
      <c r="S35" s="93"/>
      <c r="T35" s="93"/>
      <c r="U35" s="93"/>
      <c r="V35" s="93"/>
      <c r="W35" s="26"/>
      <c r="X35" s="93"/>
      <c r="Y35" s="93"/>
      <c r="Z35" s="93"/>
      <c r="AA35" s="93"/>
      <c r="AB35" s="93"/>
      <c r="AC35" s="93"/>
      <c r="AD35" s="93"/>
      <c r="AE35" s="93"/>
      <c r="AF35" s="93"/>
      <c r="AG35" s="93"/>
      <c r="AH35" s="93"/>
      <c r="AI35" s="93"/>
      <c r="AJ35" s="93"/>
    </row>
    <row r="36" spans="1:36" ht="15.5">
      <c r="A36" s="93"/>
      <c r="B36" s="93"/>
      <c r="C36" s="93"/>
      <c r="D36" s="93"/>
      <c r="E36" s="93"/>
      <c r="F36" s="93"/>
      <c r="G36" s="93"/>
      <c r="H36" s="93"/>
      <c r="I36" s="93"/>
      <c r="J36" s="93"/>
      <c r="K36" s="93"/>
      <c r="L36" s="93"/>
      <c r="M36" s="93"/>
      <c r="N36" s="93"/>
      <c r="O36" s="93"/>
      <c r="P36" s="93"/>
      <c r="Q36" s="93"/>
      <c r="R36" s="93"/>
      <c r="S36" s="93"/>
      <c r="T36" s="93"/>
      <c r="U36" s="93"/>
      <c r="V36" s="93"/>
      <c r="W36" s="26" t="s">
        <v>42</v>
      </c>
      <c r="X36" s="93">
        <v>0</v>
      </c>
      <c r="Y36" s="93"/>
      <c r="Z36" s="93"/>
      <c r="AA36" s="93"/>
      <c r="AB36" s="93"/>
      <c r="AC36" s="93"/>
      <c r="AD36" s="93"/>
      <c r="AE36" s="93"/>
      <c r="AF36" s="93"/>
      <c r="AG36" s="93"/>
      <c r="AH36" s="93"/>
      <c r="AI36" s="93"/>
      <c r="AJ36" s="93"/>
    </row>
    <row r="37" spans="1:36" ht="18" customHeight="1">
      <c r="A37" s="93"/>
      <c r="B37" s="93"/>
      <c r="C37" s="93"/>
      <c r="D37" s="93"/>
      <c r="E37" s="93"/>
      <c r="F37" s="93"/>
      <c r="G37" s="93"/>
      <c r="H37" s="93"/>
      <c r="I37" s="93"/>
      <c r="J37" s="93"/>
      <c r="K37" s="93"/>
      <c r="L37" s="93"/>
      <c r="M37" s="93"/>
      <c r="N37" s="93"/>
      <c r="O37" s="93"/>
      <c r="P37" s="93"/>
      <c r="Q37" s="93"/>
      <c r="R37" s="93"/>
      <c r="S37" s="93"/>
      <c r="T37" s="93"/>
      <c r="U37" s="191"/>
      <c r="V37" s="93"/>
      <c r="W37" s="203" t="s">
        <v>64</v>
      </c>
      <c r="X37" s="66">
        <f>'Component List'!D18</f>
        <v>31.04</v>
      </c>
      <c r="Y37" s="93"/>
      <c r="Z37" s="93"/>
      <c r="AA37" s="93"/>
      <c r="AB37" s="93"/>
      <c r="AC37" s="93"/>
      <c r="AD37" s="93"/>
      <c r="AE37" s="93"/>
      <c r="AF37" s="93"/>
      <c r="AG37" s="93"/>
      <c r="AH37" s="93"/>
      <c r="AI37" s="93"/>
      <c r="AJ37" s="93"/>
    </row>
    <row r="38" spans="1:36" ht="15.5">
      <c r="A38" s="93"/>
      <c r="B38" s="93"/>
      <c r="C38" s="93"/>
      <c r="D38" s="93"/>
      <c r="E38" s="93"/>
      <c r="F38" s="93"/>
      <c r="G38" s="93"/>
      <c r="H38" s="93"/>
      <c r="I38" s="93"/>
      <c r="J38" s="93"/>
      <c r="K38" s="93"/>
      <c r="L38" s="93"/>
      <c r="M38" s="93"/>
      <c r="N38" s="93"/>
      <c r="O38" s="93"/>
      <c r="P38" s="93"/>
      <c r="Q38" s="93"/>
      <c r="R38" s="93"/>
      <c r="S38" s="93"/>
      <c r="T38" s="93"/>
      <c r="U38" s="93"/>
      <c r="V38" s="93"/>
      <c r="W38" s="203" t="s">
        <v>125</v>
      </c>
      <c r="X38" s="66">
        <f>'Component List'!D19</f>
        <v>100</v>
      </c>
      <c r="Y38" s="93"/>
      <c r="Z38" s="93"/>
      <c r="AA38" s="93"/>
      <c r="AB38" s="93"/>
      <c r="AC38" s="93"/>
      <c r="AD38" s="93"/>
      <c r="AE38" s="93"/>
      <c r="AF38" s="93"/>
      <c r="AG38" s="93"/>
      <c r="AH38" s="93"/>
      <c r="AI38" s="93"/>
      <c r="AJ38" s="93"/>
    </row>
    <row r="39" spans="1:36" ht="15" customHeight="1">
      <c r="A39" s="93"/>
      <c r="B39" s="93"/>
      <c r="C39" s="93"/>
      <c r="D39" s="93"/>
      <c r="E39" s="93"/>
      <c r="F39" s="93"/>
      <c r="G39" s="93"/>
      <c r="H39" s="93"/>
      <c r="I39" s="93"/>
      <c r="J39" s="93"/>
      <c r="K39" s="93"/>
      <c r="L39" s="93"/>
      <c r="M39" s="93"/>
      <c r="N39" s="93"/>
      <c r="O39" s="93"/>
      <c r="P39" s="93"/>
      <c r="Q39" s="93"/>
      <c r="R39" s="93"/>
      <c r="S39" s="93"/>
      <c r="T39" s="93"/>
      <c r="U39" s="93"/>
      <c r="V39" s="93"/>
      <c r="W39" s="203" t="s">
        <v>63</v>
      </c>
      <c r="X39" s="66">
        <f>'Component List'!D22</f>
        <v>23.04</v>
      </c>
      <c r="Y39" s="93"/>
      <c r="Z39" s="93"/>
      <c r="AA39" s="93"/>
      <c r="AB39" s="93"/>
      <c r="AC39" s="93"/>
      <c r="AD39" s="93"/>
      <c r="AE39" s="93"/>
      <c r="AF39" s="93"/>
      <c r="AG39" s="93"/>
      <c r="AH39" s="93"/>
      <c r="AI39" s="93"/>
      <c r="AJ39" s="93"/>
    </row>
    <row r="40" spans="1:36" ht="15.5">
      <c r="A40" s="93"/>
      <c r="B40" s="93"/>
      <c r="C40" s="93"/>
      <c r="D40" s="93"/>
      <c r="E40" s="93"/>
      <c r="F40" s="93"/>
      <c r="G40" s="93"/>
      <c r="H40" s="93"/>
      <c r="I40" s="93"/>
      <c r="J40" s="93"/>
      <c r="K40" s="93"/>
      <c r="L40" s="93"/>
      <c r="M40" s="93"/>
      <c r="N40" s="93"/>
      <c r="O40" s="93"/>
      <c r="P40" s="93"/>
      <c r="Q40" s="93"/>
      <c r="R40" s="93"/>
      <c r="S40" s="93"/>
      <c r="T40" s="93"/>
      <c r="U40" s="93"/>
      <c r="V40" s="93"/>
      <c r="W40" s="203" t="s">
        <v>65</v>
      </c>
      <c r="X40" s="66">
        <f>'Component List'!D23</f>
        <v>100</v>
      </c>
      <c r="Y40" s="93"/>
      <c r="Z40" s="93"/>
      <c r="AA40" s="93"/>
      <c r="AB40" s="93"/>
      <c r="AC40" s="93"/>
      <c r="AD40" s="93"/>
      <c r="AE40" s="93"/>
      <c r="AF40" s="93"/>
      <c r="AG40" s="93"/>
      <c r="AH40" s="93"/>
      <c r="AI40" s="93"/>
      <c r="AJ40" s="93"/>
    </row>
    <row r="41" spans="1:36" ht="15.5">
      <c r="A41" s="93"/>
      <c r="B41" s="93"/>
      <c r="C41" s="93"/>
      <c r="D41" s="93"/>
      <c r="E41" s="93"/>
      <c r="F41" s="93"/>
      <c r="G41" s="93"/>
      <c r="H41" s="93"/>
      <c r="I41" s="93"/>
      <c r="J41" s="93"/>
      <c r="K41" s="93"/>
      <c r="L41" s="93"/>
      <c r="M41" s="93"/>
      <c r="N41" s="93"/>
      <c r="O41" s="93"/>
      <c r="P41" s="93"/>
      <c r="Q41" s="93"/>
      <c r="R41" s="93"/>
      <c r="S41" s="93"/>
      <c r="T41" s="93"/>
      <c r="U41" s="93"/>
      <c r="V41" s="93"/>
      <c r="W41" s="203" t="s">
        <v>414</v>
      </c>
      <c r="X41" s="66">
        <f>'Component List'!D24</f>
        <v>100</v>
      </c>
      <c r="Y41" s="93"/>
      <c r="Z41" s="93"/>
      <c r="AA41" s="93"/>
      <c r="AB41" s="93"/>
      <c r="AC41" s="93"/>
      <c r="AD41" s="93"/>
      <c r="AE41" s="93"/>
      <c r="AF41" s="93"/>
      <c r="AG41" s="93"/>
      <c r="AH41" s="93"/>
      <c r="AI41" s="93"/>
      <c r="AJ41" s="93"/>
    </row>
    <row r="42" spans="1:36" ht="15.5">
      <c r="A42" s="93"/>
      <c r="B42" s="93"/>
      <c r="C42" s="93"/>
      <c r="D42" s="93"/>
      <c r="E42" s="93"/>
      <c r="F42" s="93"/>
      <c r="G42" s="93"/>
      <c r="H42" s="93"/>
      <c r="I42" s="93"/>
      <c r="J42" s="93"/>
      <c r="K42" s="93"/>
      <c r="L42" s="93"/>
      <c r="M42" s="93"/>
      <c r="N42" s="93"/>
      <c r="O42" s="93"/>
      <c r="P42" s="93"/>
      <c r="Q42" s="93"/>
      <c r="R42" s="93"/>
      <c r="S42" s="93"/>
      <c r="T42" s="93"/>
      <c r="U42" s="93"/>
      <c r="V42" s="93"/>
      <c r="W42" s="203" t="s">
        <v>126</v>
      </c>
      <c r="X42" s="66">
        <f>'Component List'!D25</f>
        <v>100</v>
      </c>
      <c r="Y42" s="93"/>
      <c r="Z42" s="93"/>
      <c r="AA42" s="93"/>
      <c r="AB42" s="93"/>
      <c r="AC42" s="93"/>
      <c r="AD42" s="93"/>
      <c r="AE42" s="93"/>
      <c r="AF42" s="93"/>
      <c r="AG42" s="93"/>
      <c r="AH42" s="93"/>
      <c r="AI42" s="93"/>
      <c r="AJ42" s="93"/>
    </row>
    <row r="43" spans="1:36" ht="15.5">
      <c r="A43" s="93"/>
      <c r="B43" s="93"/>
      <c r="C43" s="93"/>
      <c r="D43" s="93"/>
      <c r="E43" s="93"/>
      <c r="F43" s="93"/>
      <c r="G43" s="93"/>
      <c r="H43" s="93"/>
      <c r="I43" s="93"/>
      <c r="J43" s="93"/>
      <c r="K43" s="93"/>
      <c r="L43" s="93"/>
      <c r="M43" s="93"/>
      <c r="N43" s="93"/>
      <c r="O43" s="93"/>
      <c r="P43" s="93"/>
      <c r="Q43" s="93"/>
      <c r="R43" s="93"/>
      <c r="S43" s="93"/>
      <c r="T43" s="93"/>
      <c r="U43" s="93"/>
      <c r="V43" s="93"/>
      <c r="W43" s="203" t="s">
        <v>127</v>
      </c>
      <c r="X43" s="66">
        <f>'Component List'!D26</f>
        <v>100</v>
      </c>
      <c r="Y43" s="93"/>
      <c r="Z43" s="93"/>
      <c r="AA43" s="93"/>
      <c r="AB43" s="93"/>
      <c r="AC43" s="93"/>
      <c r="AD43" s="93"/>
      <c r="AE43" s="93"/>
      <c r="AF43" s="93"/>
      <c r="AG43" s="93"/>
      <c r="AH43" s="93"/>
      <c r="AI43" s="93"/>
      <c r="AJ43" s="93"/>
    </row>
    <row r="44" spans="1:36" ht="15.5">
      <c r="A44" s="93"/>
      <c r="B44" s="93"/>
      <c r="C44" s="93"/>
      <c r="D44" s="93"/>
      <c r="E44" s="93"/>
      <c r="F44" s="93"/>
      <c r="G44" s="93"/>
      <c r="H44" s="93"/>
      <c r="I44" s="93"/>
      <c r="J44" s="93"/>
      <c r="K44" s="93"/>
      <c r="L44" s="93"/>
      <c r="M44" s="93"/>
      <c r="N44" s="93"/>
      <c r="O44" s="93"/>
      <c r="P44" s="93"/>
      <c r="Q44" s="93"/>
      <c r="R44" s="93"/>
      <c r="S44" s="93"/>
      <c r="T44" s="93"/>
      <c r="U44" s="93"/>
      <c r="V44" s="93"/>
      <c r="W44" s="203" t="s">
        <v>66</v>
      </c>
      <c r="X44" s="66">
        <f>'Component List'!D59</f>
        <v>100</v>
      </c>
      <c r="Y44" s="93"/>
      <c r="Z44" s="93"/>
      <c r="AA44" s="93"/>
      <c r="AB44" s="93"/>
      <c r="AC44" s="93"/>
      <c r="AD44" s="93"/>
      <c r="AE44" s="93"/>
      <c r="AF44" s="93"/>
      <c r="AG44" s="93"/>
      <c r="AH44" s="93"/>
      <c r="AI44" s="93"/>
      <c r="AJ44" s="93"/>
    </row>
    <row r="45" spans="1:36" ht="15.5">
      <c r="A45" s="93"/>
      <c r="B45" s="93"/>
      <c r="C45" s="93"/>
      <c r="D45" s="93"/>
      <c r="E45" s="93"/>
      <c r="F45" s="93"/>
      <c r="G45" s="93"/>
      <c r="H45" s="93"/>
      <c r="I45" s="93"/>
      <c r="J45" s="93"/>
      <c r="K45" s="93"/>
      <c r="L45" s="93"/>
      <c r="M45" s="93"/>
      <c r="N45" s="93"/>
      <c r="O45" s="93"/>
      <c r="P45" s="93"/>
      <c r="Q45" s="93"/>
      <c r="R45" s="93"/>
      <c r="S45" s="93"/>
      <c r="T45" s="93"/>
      <c r="U45" s="93"/>
      <c r="V45" s="93"/>
      <c r="W45" s="26"/>
      <c r="X45" s="93"/>
      <c r="Y45" s="93"/>
      <c r="Z45" s="93"/>
      <c r="AA45" s="93"/>
      <c r="AB45" s="93"/>
      <c r="AC45" s="93"/>
      <c r="AD45" s="93"/>
      <c r="AE45" s="93"/>
      <c r="AF45" s="93"/>
      <c r="AG45" s="93"/>
      <c r="AH45" s="93"/>
      <c r="AI45" s="93"/>
      <c r="AJ45" s="93"/>
    </row>
    <row r="46" spans="1:36" ht="15.5">
      <c r="A46" s="93"/>
      <c r="B46" s="93"/>
      <c r="C46" s="93"/>
      <c r="D46" s="93"/>
      <c r="E46" s="93"/>
      <c r="F46" s="93"/>
      <c r="G46" s="93"/>
      <c r="H46" s="93"/>
      <c r="I46" s="93"/>
      <c r="J46" s="93"/>
      <c r="K46" s="93"/>
      <c r="L46" s="93"/>
      <c r="M46" s="93"/>
      <c r="N46" s="93"/>
      <c r="O46" s="93"/>
      <c r="P46" s="93"/>
      <c r="Q46" s="93"/>
      <c r="R46" s="93"/>
      <c r="S46" s="93"/>
      <c r="T46" s="93"/>
      <c r="U46" s="93"/>
      <c r="V46" s="93"/>
      <c r="W46" s="218" t="s">
        <v>31</v>
      </c>
      <c r="X46" s="93">
        <v>0</v>
      </c>
      <c r="Y46" s="93"/>
      <c r="Z46" s="93"/>
      <c r="AA46" s="93"/>
      <c r="AB46" s="93"/>
      <c r="AC46" s="93"/>
      <c r="AD46" s="93"/>
      <c r="AE46" s="93"/>
      <c r="AF46" s="93"/>
      <c r="AG46" s="93"/>
      <c r="AH46" s="93"/>
      <c r="AI46" s="93"/>
      <c r="AJ46" s="93"/>
    </row>
    <row r="47" spans="1:36" ht="15.5">
      <c r="A47" s="93"/>
      <c r="B47" s="93"/>
      <c r="C47" s="93"/>
      <c r="D47" s="93"/>
      <c r="E47" s="93"/>
      <c r="F47" s="93"/>
      <c r="G47" s="93"/>
      <c r="H47" s="93"/>
      <c r="I47" s="93"/>
      <c r="J47" s="93"/>
      <c r="K47" s="93"/>
      <c r="L47" s="93"/>
      <c r="M47" s="93"/>
      <c r="N47" s="93"/>
      <c r="O47" s="93"/>
      <c r="P47" s="93"/>
      <c r="Q47" s="93"/>
      <c r="R47" s="93"/>
      <c r="S47" s="93"/>
      <c r="T47" s="93"/>
      <c r="U47" s="93"/>
      <c r="V47" s="93"/>
      <c r="W47" s="203" t="s">
        <v>70</v>
      </c>
      <c r="X47" s="66">
        <f>'Component List'!D18</f>
        <v>31.04</v>
      </c>
      <c r="Y47" s="93"/>
      <c r="Z47" s="93"/>
      <c r="AA47" s="93"/>
      <c r="AB47" s="93"/>
      <c r="AC47" s="93"/>
      <c r="AD47" s="93"/>
      <c r="AE47" s="93"/>
      <c r="AF47" s="93"/>
      <c r="AG47" s="93"/>
      <c r="AH47" s="93"/>
      <c r="AI47" s="93"/>
      <c r="AJ47" s="93"/>
    </row>
    <row r="48" spans="1:36" ht="15.5">
      <c r="A48" s="93"/>
      <c r="B48" s="93"/>
      <c r="C48" s="93"/>
      <c r="D48" s="93"/>
      <c r="E48" s="93"/>
      <c r="F48" s="93"/>
      <c r="G48" s="93"/>
      <c r="H48" s="93"/>
      <c r="I48" s="93"/>
      <c r="J48" s="93"/>
      <c r="K48" s="93"/>
      <c r="L48" s="93"/>
      <c r="M48" s="93"/>
      <c r="N48" s="93"/>
      <c r="O48" s="93"/>
      <c r="P48" s="93"/>
      <c r="Q48" s="93"/>
      <c r="R48" s="93"/>
      <c r="S48" s="93"/>
      <c r="T48" s="93"/>
      <c r="U48" s="93"/>
      <c r="V48" s="93"/>
      <c r="W48" s="203" t="s">
        <v>128</v>
      </c>
      <c r="X48" s="66">
        <f>'Component List'!D19</f>
        <v>100</v>
      </c>
      <c r="Y48" s="93"/>
      <c r="Z48" s="93"/>
      <c r="AA48" s="93"/>
      <c r="AB48" s="93"/>
      <c r="AC48" s="93"/>
      <c r="AD48" s="93"/>
      <c r="AE48" s="93"/>
      <c r="AF48" s="93"/>
      <c r="AG48" s="93"/>
      <c r="AH48" s="93"/>
      <c r="AI48" s="93"/>
      <c r="AJ48" s="93"/>
    </row>
    <row r="49" spans="1:36" ht="15.5">
      <c r="A49" s="93"/>
      <c r="B49" s="93"/>
      <c r="C49" s="93"/>
      <c r="D49" s="93"/>
      <c r="E49" s="93"/>
      <c r="F49" s="93"/>
      <c r="G49" s="93"/>
      <c r="H49" s="93"/>
      <c r="I49" s="93"/>
      <c r="J49" s="93"/>
      <c r="K49" s="93"/>
      <c r="L49" s="93"/>
      <c r="M49" s="93"/>
      <c r="N49" s="93"/>
      <c r="O49" s="93"/>
      <c r="P49" s="93"/>
      <c r="Q49" s="93"/>
      <c r="R49" s="93"/>
      <c r="S49" s="93"/>
      <c r="T49" s="93"/>
      <c r="U49" s="93"/>
      <c r="V49" s="93"/>
      <c r="W49" s="203" t="s">
        <v>504</v>
      </c>
      <c r="X49" s="66">
        <f>'Component List'!D22</f>
        <v>23.04</v>
      </c>
      <c r="Y49" s="93"/>
      <c r="Z49" s="93"/>
      <c r="AA49" s="93"/>
      <c r="AB49" s="93"/>
      <c r="AC49" s="93"/>
      <c r="AD49" s="93"/>
      <c r="AE49" s="93"/>
      <c r="AF49" s="93"/>
      <c r="AG49" s="93"/>
      <c r="AH49" s="93"/>
      <c r="AI49" s="93"/>
      <c r="AJ49" s="93"/>
    </row>
    <row r="50" spans="1:36" ht="15.5">
      <c r="A50" s="93"/>
      <c r="B50" s="93"/>
      <c r="C50" s="93"/>
      <c r="D50" s="93"/>
      <c r="E50" s="93"/>
      <c r="F50" s="93"/>
      <c r="G50" s="93"/>
      <c r="H50" s="93"/>
      <c r="I50" s="93"/>
      <c r="J50" s="93"/>
      <c r="K50" s="93"/>
      <c r="L50" s="93"/>
      <c r="M50" s="93"/>
      <c r="N50" s="93"/>
      <c r="O50" s="93"/>
      <c r="P50" s="93"/>
      <c r="Q50" s="93"/>
      <c r="R50" s="93"/>
      <c r="S50" s="93"/>
      <c r="T50" s="93"/>
      <c r="U50" s="93"/>
      <c r="V50" s="93"/>
      <c r="W50" s="203" t="s">
        <v>68</v>
      </c>
      <c r="X50" s="66">
        <f>'Component List'!D23</f>
        <v>100</v>
      </c>
      <c r="Y50" s="93"/>
      <c r="Z50" s="93"/>
      <c r="AA50" s="93"/>
      <c r="AB50" s="93"/>
      <c r="AC50" s="93"/>
      <c r="AD50" s="93"/>
      <c r="AE50" s="93"/>
      <c r="AF50" s="93"/>
      <c r="AG50" s="93"/>
      <c r="AH50" s="93"/>
      <c r="AI50" s="93"/>
      <c r="AJ50" s="93"/>
    </row>
    <row r="51" spans="1:36" ht="15.5">
      <c r="A51" s="93"/>
      <c r="B51" s="93"/>
      <c r="C51" s="93"/>
      <c r="D51" s="93"/>
      <c r="E51" s="93"/>
      <c r="F51" s="93"/>
      <c r="G51" s="93"/>
      <c r="H51" s="93"/>
      <c r="I51" s="93"/>
      <c r="J51" s="93"/>
      <c r="K51" s="93"/>
      <c r="L51" s="93"/>
      <c r="M51" s="93"/>
      <c r="N51" s="93"/>
      <c r="O51" s="93"/>
      <c r="P51" s="93"/>
      <c r="Q51" s="93"/>
      <c r="R51" s="93"/>
      <c r="S51" s="93"/>
      <c r="T51" s="93"/>
      <c r="U51" s="93"/>
      <c r="V51" s="93"/>
      <c r="W51" s="203" t="s">
        <v>415</v>
      </c>
      <c r="X51" s="66">
        <f>'Component List'!D24</f>
        <v>100</v>
      </c>
      <c r="Y51" s="93"/>
      <c r="Z51" s="93"/>
      <c r="AA51" s="93"/>
      <c r="AB51" s="93"/>
      <c r="AC51" s="93"/>
      <c r="AD51" s="93"/>
      <c r="AE51" s="93"/>
      <c r="AF51" s="93"/>
      <c r="AG51" s="93"/>
      <c r="AH51" s="93"/>
      <c r="AI51" s="93"/>
      <c r="AJ51" s="93"/>
    </row>
    <row r="52" spans="1:36" ht="15.5">
      <c r="S52" s="93"/>
      <c r="T52" s="93"/>
      <c r="U52" s="93"/>
      <c r="V52" s="93"/>
      <c r="W52" s="203" t="s">
        <v>129</v>
      </c>
      <c r="X52" s="66">
        <f>'Component List'!D25</f>
        <v>100</v>
      </c>
      <c r="Y52" s="93"/>
      <c r="Z52" s="93"/>
      <c r="AA52" s="93"/>
      <c r="AB52" s="93"/>
      <c r="AC52" s="93"/>
      <c r="AD52" s="93"/>
      <c r="AE52" s="93"/>
      <c r="AF52" s="93"/>
      <c r="AG52" s="93"/>
      <c r="AH52" s="93"/>
      <c r="AI52" s="93"/>
      <c r="AJ52" s="93"/>
    </row>
    <row r="53" spans="1:36" ht="15.5">
      <c r="S53" s="93"/>
      <c r="T53" s="93"/>
      <c r="U53" s="93"/>
      <c r="V53" s="93"/>
      <c r="W53" s="203" t="s">
        <v>130</v>
      </c>
      <c r="X53" s="66">
        <f>'Component List'!D26</f>
        <v>100</v>
      </c>
      <c r="Y53" s="93"/>
      <c r="Z53" s="93"/>
      <c r="AA53" s="93"/>
      <c r="AB53" s="93"/>
      <c r="AC53" s="93"/>
      <c r="AD53" s="93"/>
      <c r="AE53" s="93"/>
      <c r="AF53" s="93"/>
      <c r="AG53" s="93"/>
      <c r="AH53" s="93"/>
      <c r="AI53" s="93"/>
      <c r="AJ53" s="93"/>
    </row>
    <row r="54" spans="1:36" ht="15.5">
      <c r="S54" s="93"/>
      <c r="T54" s="93"/>
      <c r="U54" s="93"/>
      <c r="V54" s="93"/>
      <c r="W54" s="203" t="s">
        <v>67</v>
      </c>
      <c r="X54" s="66">
        <f>'Component List'!D59</f>
        <v>100</v>
      </c>
      <c r="Y54" s="93"/>
      <c r="Z54" s="93"/>
      <c r="AA54" s="93"/>
      <c r="AB54" s="93"/>
      <c r="AC54" s="93"/>
      <c r="AD54" s="93"/>
      <c r="AE54" s="93"/>
      <c r="AF54" s="93"/>
      <c r="AG54" s="93"/>
      <c r="AH54" s="93"/>
      <c r="AI54" s="93"/>
      <c r="AJ54" s="93"/>
    </row>
    <row r="55" spans="1:36">
      <c r="S55" s="93"/>
      <c r="T55" s="93"/>
      <c r="U55" s="93"/>
      <c r="V55" s="93"/>
      <c r="W55" s="93"/>
      <c r="X55" s="93"/>
      <c r="Y55" s="93"/>
      <c r="Z55" s="93"/>
      <c r="AA55" s="93"/>
      <c r="AB55" s="93"/>
      <c r="AC55" s="93"/>
      <c r="AD55" s="93"/>
      <c r="AE55" s="93"/>
      <c r="AF55" s="93"/>
      <c r="AG55" s="93"/>
      <c r="AH55" s="93"/>
      <c r="AI55" s="93"/>
      <c r="AJ55" s="93"/>
    </row>
    <row r="56" spans="1:36">
      <c r="S56" s="93"/>
      <c r="T56" s="93"/>
      <c r="U56" s="93"/>
      <c r="V56" s="93"/>
      <c r="W56" s="93" t="b">
        <f>OR(C18=W38,C18=W42,C18=W43,C19=W38,C19=W42,C19=W43,C20=W48,C20=W52,C20=W53,C21=W48,C21=W52,C21=W53,C16=W19,C16=W23,C16=W24,C17=W19,C17=W23,C17=W24)</f>
        <v>0</v>
      </c>
      <c r="X56" s="93"/>
      <c r="Y56" s="93"/>
      <c r="Z56" s="93"/>
      <c r="AA56" s="93"/>
      <c r="AB56" s="93"/>
      <c r="AC56" s="93"/>
      <c r="AD56" s="93"/>
      <c r="AE56" s="93"/>
      <c r="AF56" s="93"/>
      <c r="AG56" s="93"/>
      <c r="AH56" s="93"/>
      <c r="AI56" s="93"/>
      <c r="AJ56" s="93"/>
    </row>
    <row r="57" spans="1:36">
      <c r="S57" s="93"/>
      <c r="T57" s="93"/>
      <c r="U57" s="93"/>
      <c r="V57" s="93"/>
      <c r="W57" s="93"/>
      <c r="X57" s="93"/>
      <c r="Y57" s="93"/>
      <c r="Z57" s="93"/>
      <c r="AA57" s="93"/>
      <c r="AB57" s="93"/>
      <c r="AC57" s="93"/>
      <c r="AD57" s="93"/>
      <c r="AE57" s="93"/>
      <c r="AF57" s="93"/>
      <c r="AG57" s="93"/>
      <c r="AH57" s="93"/>
      <c r="AI57" s="93"/>
      <c r="AJ57" s="93"/>
    </row>
    <row r="58" spans="1:36">
      <c r="S58" s="93"/>
      <c r="T58" s="93"/>
      <c r="U58" s="93"/>
      <c r="V58" s="93"/>
      <c r="W58" s="493" t="s">
        <v>253</v>
      </c>
      <c r="X58" s="493"/>
      <c r="Y58" s="493"/>
      <c r="Z58" s="493"/>
      <c r="AA58" s="493"/>
      <c r="AB58" s="493"/>
      <c r="AC58" s="493"/>
      <c r="AD58" s="493"/>
      <c r="AE58" s="493"/>
      <c r="AF58" s="493"/>
      <c r="AG58" s="493"/>
      <c r="AH58" s="493"/>
      <c r="AI58" s="493"/>
      <c r="AJ58" s="493"/>
    </row>
    <row r="59" spans="1:36">
      <c r="S59" s="93"/>
      <c r="T59" s="93"/>
      <c r="U59" s="93"/>
      <c r="V59" s="93"/>
      <c r="W59" s="494"/>
      <c r="X59" s="494"/>
      <c r="Y59" s="494"/>
      <c r="Z59" s="494"/>
      <c r="AA59" s="494"/>
      <c r="AB59" s="494"/>
      <c r="AC59" s="494"/>
      <c r="AD59" s="494"/>
      <c r="AE59" s="494"/>
      <c r="AF59" s="494"/>
      <c r="AG59" s="494"/>
      <c r="AH59" s="494"/>
      <c r="AI59" s="494"/>
      <c r="AJ59" s="494"/>
    </row>
    <row r="60" spans="1:36">
      <c r="S60" s="93"/>
      <c r="T60" s="93"/>
      <c r="U60" s="93"/>
      <c r="V60" s="93"/>
      <c r="W60" s="494"/>
      <c r="X60" s="494"/>
      <c r="Y60" s="494"/>
      <c r="Z60" s="494"/>
      <c r="AA60" s="494"/>
      <c r="AB60" s="494"/>
      <c r="AC60" s="494"/>
      <c r="AD60" s="494"/>
      <c r="AE60" s="494"/>
      <c r="AF60" s="494"/>
      <c r="AG60" s="494"/>
      <c r="AH60" s="494"/>
      <c r="AI60" s="494"/>
      <c r="AJ60" s="494"/>
    </row>
    <row r="61" spans="1:36">
      <c r="S61" s="93"/>
      <c r="T61" s="93"/>
      <c r="U61" s="93"/>
      <c r="V61" s="93"/>
      <c r="W61" s="495"/>
      <c r="X61" s="495"/>
      <c r="Y61" s="495"/>
      <c r="Z61" s="495"/>
      <c r="AA61" s="495"/>
      <c r="AB61" s="495"/>
      <c r="AC61" s="495"/>
      <c r="AD61" s="495"/>
      <c r="AE61" s="495"/>
      <c r="AF61" s="495"/>
      <c r="AG61" s="495"/>
      <c r="AH61" s="495"/>
      <c r="AI61" s="495"/>
      <c r="AJ61" s="495"/>
    </row>
  </sheetData>
  <mergeCells count="35">
    <mergeCell ref="W58:AJ61"/>
    <mergeCell ref="H9:Q9"/>
    <mergeCell ref="R9:R13"/>
    <mergeCell ref="H10:Q10"/>
    <mergeCell ref="A22:C22"/>
    <mergeCell ref="A23:R23"/>
    <mergeCell ref="A24:R24"/>
    <mergeCell ref="A25:R25"/>
    <mergeCell ref="A26:R26"/>
    <mergeCell ref="A27:R27"/>
    <mergeCell ref="A28:R28"/>
    <mergeCell ref="A29:R2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sqref="C20:C21">
      <formula1>$W$46:$W$54</formula1>
    </dataValidation>
    <dataValidation type="list" allowBlank="1" showInputMessage="1" showErrorMessage="1" sqref="C18:C19">
      <formula1>$W$36:$W$44</formula1>
    </dataValidation>
    <dataValidation type="list" allowBlank="1" showInputMessage="1" showErrorMessage="1" sqref="C16:C17">
      <formula1>$W$17:$W$25</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6369" r:id="rId3" name="Check Box 1">
              <controlPr defaultSize="0" autoFill="0" autoLine="0" autoPict="0">
                <anchor moveWithCells="1">
                  <from>
                    <xdr:col>3</xdr:col>
                    <xdr:colOff>177800</xdr:colOff>
                    <xdr:row>0</xdr:row>
                    <xdr:rowOff>19050</xdr:rowOff>
                  </from>
                  <to>
                    <xdr:col>4</xdr:col>
                    <xdr:colOff>63500</xdr:colOff>
                    <xdr:row>0</xdr:row>
                    <xdr:rowOff>146050</xdr:rowOff>
                  </to>
                </anchor>
              </controlPr>
            </control>
          </mc:Choice>
        </mc:AlternateContent>
        <mc:AlternateContent xmlns:mc="http://schemas.openxmlformats.org/markup-compatibility/2006">
          <mc:Choice Requires="x14">
            <control shapeId="186370" r:id="rId4" name="Check Box 2">
              <controlPr defaultSize="0" autoFill="0" autoLine="0" autoPict="0">
                <anchor moveWithCells="1">
                  <from>
                    <xdr:col>7</xdr:col>
                    <xdr:colOff>241300</xdr:colOff>
                    <xdr:row>0</xdr:row>
                    <xdr:rowOff>19050</xdr:rowOff>
                  </from>
                  <to>
                    <xdr:col>7</xdr:col>
                    <xdr:colOff>577850</xdr:colOff>
                    <xdr:row>0</xdr:row>
                    <xdr:rowOff>158750</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1">
    <pageSetUpPr fitToPage="1"/>
  </sheetPr>
  <dimension ref="A1:AJ62"/>
  <sheetViews>
    <sheetView zoomScale="53" zoomScaleNormal="53" workbookViewId="0">
      <selection activeCell="D18" sqref="D18"/>
    </sheetView>
  </sheetViews>
  <sheetFormatPr defaultRowHeight="12.5"/>
  <cols>
    <col min="3" max="3" width="64.81640625" customWidth="1"/>
    <col min="4" max="4" width="13" customWidth="1"/>
    <col min="6" max="6" width="11" customWidth="1"/>
    <col min="7" max="7" width="11.26953125" customWidth="1"/>
    <col min="8" max="8" width="14.81640625" customWidth="1"/>
    <col min="9" max="10" width="14" customWidth="1"/>
    <col min="11" max="11" width="14.1796875" customWidth="1"/>
    <col min="12" max="12" width="14.7265625" customWidth="1"/>
    <col min="13" max="13" width="13.54296875" customWidth="1"/>
    <col min="14" max="14" width="6" customWidth="1"/>
    <col min="15" max="15" width="7" customWidth="1"/>
    <col min="16" max="16" width="6" customWidth="1"/>
    <col min="17" max="17" width="5.81640625" customWidth="1"/>
    <col min="18" max="18" width="5.54296875" customWidth="1"/>
    <col min="20" max="21" width="9.1796875" style="93"/>
    <col min="23" max="23" width="73.8164062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9.5"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48.5" customHeight="1">
      <c r="A7" s="467" t="s">
        <v>496</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8"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297</v>
      </c>
      <c r="D15" s="167"/>
      <c r="E15" s="166"/>
      <c r="F15" s="27"/>
      <c r="G15" s="67"/>
      <c r="H15" s="27"/>
      <c r="I15" s="28"/>
      <c r="J15" s="28"/>
      <c r="K15" s="28"/>
      <c r="L15" s="28"/>
      <c r="M15" s="28"/>
      <c r="N15" s="28"/>
      <c r="O15" s="28"/>
      <c r="P15" s="28"/>
      <c r="Q15" s="28"/>
      <c r="R15" s="13"/>
    </row>
    <row r="16" spans="1:18" ht="17.5">
      <c r="A16" s="12"/>
      <c r="B16" s="347"/>
      <c r="C16" s="206" t="s">
        <v>160</v>
      </c>
      <c r="D16" s="308"/>
      <c r="E16" s="297" t="s">
        <v>20</v>
      </c>
      <c r="F16" s="231">
        <f>'Component List'!D2</f>
        <v>1.6399999999999997</v>
      </c>
      <c r="G16" s="287">
        <v>50</v>
      </c>
      <c r="H16" s="231">
        <f t="shared" ref="H16:H24" si="0">D16*F16*G16/100</f>
        <v>0</v>
      </c>
      <c r="I16" s="231"/>
      <c r="J16" s="231"/>
      <c r="K16" s="231"/>
      <c r="L16" s="231"/>
      <c r="M16" s="300"/>
      <c r="N16" s="28"/>
      <c r="O16" s="28"/>
      <c r="P16" s="28"/>
      <c r="Q16" s="28"/>
      <c r="R16" s="13"/>
    </row>
    <row r="17" spans="1:36" ht="17.5">
      <c r="A17" s="12"/>
      <c r="B17" s="347"/>
      <c r="C17" s="206" t="s">
        <v>159</v>
      </c>
      <c r="D17" s="308"/>
      <c r="E17" s="297" t="s">
        <v>20</v>
      </c>
      <c r="F17" s="231">
        <f>'Component List'!D3</f>
        <v>0</v>
      </c>
      <c r="G17" s="287">
        <v>50</v>
      </c>
      <c r="H17" s="231">
        <f t="shared" si="0"/>
        <v>0</v>
      </c>
      <c r="I17" s="231"/>
      <c r="J17" s="231"/>
      <c r="K17" s="231"/>
      <c r="L17" s="231"/>
      <c r="M17" s="300"/>
      <c r="N17" s="28"/>
      <c r="O17" s="28"/>
      <c r="P17" s="28"/>
      <c r="Q17" s="28"/>
      <c r="R17" s="13"/>
      <c r="Y17" s="93"/>
      <c r="Z17" s="93"/>
      <c r="AA17" s="93"/>
      <c r="AB17" s="93"/>
      <c r="AC17" s="93"/>
      <c r="AD17" s="93"/>
      <c r="AE17" s="93"/>
      <c r="AF17" s="93"/>
      <c r="AG17" s="93"/>
      <c r="AH17" s="93"/>
      <c r="AI17" s="93"/>
      <c r="AJ17" s="93"/>
    </row>
    <row r="18" spans="1:36" ht="17.5">
      <c r="A18" s="12"/>
      <c r="B18" s="347"/>
      <c r="C18" s="206" t="s">
        <v>161</v>
      </c>
      <c r="D18" s="308"/>
      <c r="E18" s="297" t="s">
        <v>20</v>
      </c>
      <c r="F18" s="231">
        <f>'Component List'!D4</f>
        <v>80.06</v>
      </c>
      <c r="G18" s="287">
        <v>50</v>
      </c>
      <c r="H18" s="231">
        <f t="shared" si="0"/>
        <v>0</v>
      </c>
      <c r="I18" s="231"/>
      <c r="J18" s="231"/>
      <c r="K18" s="231"/>
      <c r="L18" s="231"/>
      <c r="M18" s="300"/>
      <c r="N18" s="28"/>
      <c r="O18" s="28"/>
      <c r="P18" s="28"/>
      <c r="Q18" s="28"/>
      <c r="R18" s="13"/>
      <c r="W18" s="26" t="s">
        <v>1</v>
      </c>
      <c r="X18" s="11">
        <v>0</v>
      </c>
      <c r="Y18" s="93"/>
      <c r="Z18" s="93"/>
      <c r="AA18" s="93"/>
      <c r="AB18" s="93"/>
      <c r="AC18" s="93"/>
      <c r="AD18" s="93"/>
      <c r="AE18" s="93"/>
      <c r="AF18" s="93"/>
      <c r="AG18" s="93"/>
      <c r="AH18" s="93"/>
    </row>
    <row r="19" spans="1:36" ht="17.5">
      <c r="A19" s="12"/>
      <c r="B19" s="347"/>
      <c r="C19" s="206" t="s">
        <v>302</v>
      </c>
      <c r="D19" s="308"/>
      <c r="E19" s="297" t="s">
        <v>20</v>
      </c>
      <c r="F19" s="231">
        <f>'Component List'!D5</f>
        <v>62.6</v>
      </c>
      <c r="G19" s="287">
        <v>50</v>
      </c>
      <c r="H19" s="231">
        <f t="shared" si="0"/>
        <v>0</v>
      </c>
      <c r="I19" s="231"/>
      <c r="J19" s="231"/>
      <c r="K19" s="231"/>
      <c r="L19" s="231"/>
      <c r="M19" s="300"/>
      <c r="N19" s="28"/>
      <c r="O19" s="28"/>
      <c r="P19" s="28"/>
      <c r="Q19" s="28"/>
      <c r="R19" s="13"/>
      <c r="W19" s="201" t="s">
        <v>92</v>
      </c>
      <c r="X19" s="72">
        <f>'Component List'!D18</f>
        <v>31.04</v>
      </c>
      <c r="Y19" s="93"/>
      <c r="Z19" s="93"/>
      <c r="AA19" s="93"/>
      <c r="AB19" s="93"/>
      <c r="AC19" s="93"/>
      <c r="AD19" s="93"/>
      <c r="AE19" s="93"/>
      <c r="AF19" s="93"/>
      <c r="AG19" s="93"/>
      <c r="AH19" s="93"/>
      <c r="AI19" s="93"/>
      <c r="AJ19" s="93"/>
    </row>
    <row r="20" spans="1:36" ht="17.5">
      <c r="A20" s="12"/>
      <c r="B20" s="347"/>
      <c r="C20" s="206" t="s">
        <v>135</v>
      </c>
      <c r="D20" s="308"/>
      <c r="E20" s="297" t="s">
        <v>20</v>
      </c>
      <c r="F20" s="231">
        <f>'Component List'!D10</f>
        <v>252.55999999999997</v>
      </c>
      <c r="G20" s="287">
        <v>50</v>
      </c>
      <c r="H20" s="231">
        <f t="shared" si="0"/>
        <v>0</v>
      </c>
      <c r="I20" s="231"/>
      <c r="J20" s="231"/>
      <c r="K20" s="231"/>
      <c r="L20" s="231"/>
      <c r="M20" s="300"/>
      <c r="N20" s="28"/>
      <c r="O20" s="28"/>
      <c r="P20" s="28"/>
      <c r="Q20" s="28"/>
      <c r="R20" s="13"/>
      <c r="W20" s="201" t="s">
        <v>254</v>
      </c>
      <c r="X20" s="72">
        <f>'Component List'!D19</f>
        <v>100</v>
      </c>
      <c r="Y20" s="93"/>
      <c r="Z20" s="93"/>
      <c r="AA20" s="93"/>
      <c r="AB20" s="93"/>
      <c r="AC20" s="93"/>
      <c r="AD20" s="93"/>
      <c r="AE20" s="93"/>
      <c r="AF20" s="93"/>
      <c r="AG20" s="93"/>
      <c r="AH20" s="93"/>
      <c r="AI20" s="93"/>
      <c r="AJ20" s="93"/>
    </row>
    <row r="21" spans="1:36" ht="17.5">
      <c r="A21" s="35"/>
      <c r="B21" s="349"/>
      <c r="C21" s="206" t="s">
        <v>99</v>
      </c>
      <c r="D21" s="308"/>
      <c r="E21" s="297" t="s">
        <v>20</v>
      </c>
      <c r="F21" s="231">
        <f>'Component List'!D15</f>
        <v>21.78</v>
      </c>
      <c r="G21" s="287">
        <v>50</v>
      </c>
      <c r="H21" s="231">
        <f t="shared" si="0"/>
        <v>0</v>
      </c>
      <c r="I21" s="231"/>
      <c r="J21" s="292"/>
      <c r="K21" s="292"/>
      <c r="L21" s="292"/>
      <c r="M21" s="302"/>
      <c r="N21" s="68"/>
      <c r="O21" s="68"/>
      <c r="P21" s="68"/>
      <c r="Q21" s="68"/>
      <c r="R21" s="43"/>
      <c r="W21" s="201" t="s">
        <v>93</v>
      </c>
      <c r="X21" s="72">
        <f>'Component List'!D22</f>
        <v>23.04</v>
      </c>
      <c r="Y21" s="93"/>
      <c r="Z21" s="93"/>
      <c r="AA21" s="93"/>
      <c r="AB21" s="93"/>
      <c r="AC21" s="93"/>
      <c r="AD21" s="93"/>
      <c r="AE21" s="93"/>
      <c r="AF21" s="93"/>
      <c r="AG21" s="93"/>
      <c r="AH21" s="93"/>
      <c r="AI21" s="93"/>
      <c r="AJ21" s="93"/>
    </row>
    <row r="22" spans="1:36" ht="17.5">
      <c r="A22" s="12"/>
      <c r="B22" s="347"/>
      <c r="C22" s="206" t="s">
        <v>164</v>
      </c>
      <c r="D22" s="308"/>
      <c r="E22" s="297" t="s">
        <v>20</v>
      </c>
      <c r="F22" s="231">
        <f>'Component List'!D14</f>
        <v>16.079999999999998</v>
      </c>
      <c r="G22" s="287">
        <v>50</v>
      </c>
      <c r="H22" s="231">
        <f t="shared" si="0"/>
        <v>0</v>
      </c>
      <c r="I22" s="288"/>
      <c r="J22" s="231"/>
      <c r="K22" s="231"/>
      <c r="L22" s="231"/>
      <c r="M22" s="300"/>
      <c r="N22" s="28"/>
      <c r="O22" s="28"/>
      <c r="P22" s="28"/>
      <c r="Q22" s="28"/>
      <c r="R22" s="13"/>
      <c r="W22" s="201" t="s">
        <v>36</v>
      </c>
      <c r="X22" s="72">
        <f>'Component List'!D23</f>
        <v>100</v>
      </c>
      <c r="Y22" s="93"/>
      <c r="Z22" s="93"/>
      <c r="AA22" s="93"/>
      <c r="AB22" s="93"/>
      <c r="AC22" s="93"/>
      <c r="AD22" s="93"/>
      <c r="AE22" s="93"/>
      <c r="AF22" s="93"/>
      <c r="AG22" s="93"/>
      <c r="AH22" s="93"/>
      <c r="AI22" s="93"/>
      <c r="AJ22" s="93"/>
    </row>
    <row r="23" spans="1:36" ht="17.5">
      <c r="A23" s="12"/>
      <c r="B23" s="347"/>
      <c r="C23" s="206" t="s">
        <v>165</v>
      </c>
      <c r="D23" s="308"/>
      <c r="E23" s="297" t="s">
        <v>20</v>
      </c>
      <c r="F23" s="231">
        <f>'Component List'!D28</f>
        <v>94.14</v>
      </c>
      <c r="G23" s="287">
        <v>50</v>
      </c>
      <c r="H23" s="231">
        <f t="shared" si="0"/>
        <v>0</v>
      </c>
      <c r="I23" s="231"/>
      <c r="J23" s="231"/>
      <c r="K23" s="231"/>
      <c r="L23" s="231"/>
      <c r="M23" s="300"/>
      <c r="N23" s="28"/>
      <c r="O23" s="28"/>
      <c r="P23" s="28"/>
      <c r="Q23" s="28"/>
      <c r="R23" s="13"/>
      <c r="W23" s="201" t="s">
        <v>151</v>
      </c>
      <c r="X23" s="72">
        <f>'Component List'!D24</f>
        <v>100</v>
      </c>
      <c r="Y23" s="93"/>
      <c r="Z23" s="93"/>
      <c r="AA23" s="93"/>
      <c r="AB23" s="93"/>
      <c r="AC23" s="93"/>
      <c r="AD23" s="93"/>
      <c r="AE23" s="93"/>
      <c r="AF23" s="93"/>
      <c r="AG23" s="93"/>
      <c r="AH23" s="93"/>
      <c r="AI23" s="93"/>
      <c r="AJ23" s="93"/>
    </row>
    <row r="24" spans="1:36" ht="17.5">
      <c r="A24" s="12"/>
      <c r="B24" s="347"/>
      <c r="C24" s="206" t="s">
        <v>419</v>
      </c>
      <c r="D24" s="308"/>
      <c r="E24" s="297" t="s">
        <v>20</v>
      </c>
      <c r="F24" s="231">
        <f>'Component List'!D16</f>
        <v>84.42</v>
      </c>
      <c r="G24" s="287">
        <v>50</v>
      </c>
      <c r="H24" s="231">
        <f t="shared" si="0"/>
        <v>0</v>
      </c>
      <c r="I24" s="231"/>
      <c r="J24" s="231"/>
      <c r="K24" s="231"/>
      <c r="L24" s="231"/>
      <c r="M24" s="300"/>
      <c r="N24" s="28"/>
      <c r="O24" s="28"/>
      <c r="P24" s="28"/>
      <c r="Q24" s="28"/>
      <c r="R24" s="13"/>
      <c r="W24" s="201" t="s">
        <v>255</v>
      </c>
      <c r="X24" s="72">
        <f>'Component List'!D25</f>
        <v>100</v>
      </c>
      <c r="Y24" s="93"/>
      <c r="Z24" s="93"/>
      <c r="AA24" s="93"/>
      <c r="AB24" s="93"/>
      <c r="AC24" s="93"/>
      <c r="AD24" s="93"/>
      <c r="AE24" s="93"/>
      <c r="AF24" s="93"/>
      <c r="AG24" s="93"/>
      <c r="AH24" s="93"/>
      <c r="AI24" s="93"/>
      <c r="AJ24" s="93"/>
    </row>
    <row r="25" spans="1:36" ht="17.5">
      <c r="A25" s="12"/>
      <c r="B25" s="347"/>
      <c r="C25" s="206"/>
      <c r="D25" s="308"/>
      <c r="E25" s="297"/>
      <c r="F25" s="231"/>
      <c r="G25" s="287"/>
      <c r="H25" s="231"/>
      <c r="I25" s="231"/>
      <c r="J25" s="231"/>
      <c r="K25" s="231"/>
      <c r="L25" s="231"/>
      <c r="M25" s="300"/>
      <c r="N25" s="28"/>
      <c r="O25" s="28"/>
      <c r="P25" s="28"/>
      <c r="Q25" s="28"/>
      <c r="R25" s="13"/>
      <c r="W25" s="201" t="s">
        <v>256</v>
      </c>
      <c r="X25" s="72">
        <f>'Component List'!D26</f>
        <v>100</v>
      </c>
      <c r="Y25" s="93"/>
      <c r="Z25" s="93"/>
      <c r="AA25" s="93"/>
      <c r="AB25" s="93"/>
      <c r="AC25" s="93"/>
      <c r="AD25" s="93"/>
      <c r="AE25" s="93"/>
      <c r="AF25" s="93"/>
      <c r="AG25" s="93"/>
      <c r="AH25" s="93"/>
      <c r="AI25" s="93"/>
      <c r="AJ25" s="93"/>
    </row>
    <row r="26" spans="1:36" ht="17.5">
      <c r="A26" s="12"/>
      <c r="B26" s="347"/>
      <c r="C26" s="244" t="s">
        <v>42</v>
      </c>
      <c r="D26" s="308"/>
      <c r="E26" s="297" t="s">
        <v>20</v>
      </c>
      <c r="F26" s="231">
        <f>VLOOKUP(C26,W37:X45,2)</f>
        <v>0</v>
      </c>
      <c r="G26" s="287">
        <v>50</v>
      </c>
      <c r="H26" s="231"/>
      <c r="I26" s="231"/>
      <c r="J26" s="231">
        <f>D26*F26*G26/100</f>
        <v>0</v>
      </c>
      <c r="K26" s="231"/>
      <c r="L26" s="231"/>
      <c r="M26" s="300"/>
      <c r="N26" s="28"/>
      <c r="O26" s="28"/>
      <c r="P26" s="28"/>
      <c r="Q26" s="28"/>
      <c r="R26" s="13"/>
      <c r="W26" s="201" t="s">
        <v>317</v>
      </c>
      <c r="X26" s="72">
        <f>'Component List'!D59</f>
        <v>100</v>
      </c>
      <c r="Y26" s="93"/>
      <c r="Z26" s="93"/>
      <c r="AA26" s="93"/>
      <c r="AB26" s="93"/>
      <c r="AC26" s="93"/>
      <c r="AD26" s="93"/>
      <c r="AE26" s="93"/>
      <c r="AF26" s="93"/>
      <c r="AG26" s="93"/>
      <c r="AH26" s="93"/>
      <c r="AI26" s="93"/>
      <c r="AJ26" s="93"/>
    </row>
    <row r="27" spans="1:36" s="93" customFormat="1" ht="17.5">
      <c r="A27" s="12"/>
      <c r="B27" s="347"/>
      <c r="C27" s="251" t="s">
        <v>42</v>
      </c>
      <c r="D27" s="308"/>
      <c r="E27" s="297" t="s">
        <v>20</v>
      </c>
      <c r="F27" s="293">
        <f>VLOOKUP(C27,W37:X45,2)</f>
        <v>0</v>
      </c>
      <c r="G27" s="287">
        <v>50</v>
      </c>
      <c r="H27" s="231"/>
      <c r="I27" s="231"/>
      <c r="J27" s="231"/>
      <c r="K27" s="231">
        <f>D27*F27*G27/100</f>
        <v>0</v>
      </c>
      <c r="L27" s="231"/>
      <c r="M27" s="300"/>
      <c r="N27" s="28"/>
      <c r="O27" s="28"/>
      <c r="P27" s="28"/>
      <c r="Q27" s="28"/>
      <c r="R27" s="13"/>
      <c r="W27" s="217"/>
      <c r="X27" s="192"/>
    </row>
    <row r="28" spans="1:36" ht="17.5">
      <c r="A28" s="12"/>
      <c r="B28" s="347"/>
      <c r="C28" s="244" t="s">
        <v>31</v>
      </c>
      <c r="D28" s="308"/>
      <c r="E28" s="297" t="s">
        <v>20</v>
      </c>
      <c r="F28" s="293">
        <f>VLOOKUP(C28,W47:X55,2)</f>
        <v>0</v>
      </c>
      <c r="G28" s="287">
        <v>50</v>
      </c>
      <c r="H28" s="231"/>
      <c r="I28" s="231"/>
      <c r="J28" s="231"/>
      <c r="K28" s="231"/>
      <c r="L28" s="231">
        <f>D28*F28*G28/100</f>
        <v>0</v>
      </c>
      <c r="M28" s="300"/>
      <c r="N28" s="28"/>
      <c r="O28" s="28"/>
      <c r="P28" s="28"/>
      <c r="Q28" s="28"/>
      <c r="R28" s="13"/>
      <c r="W28" s="26"/>
      <c r="X28" s="93"/>
      <c r="Y28" s="93"/>
      <c r="Z28" s="93"/>
      <c r="AA28" s="93"/>
      <c r="AB28" s="93"/>
      <c r="AC28" s="93"/>
      <c r="AD28" s="93"/>
      <c r="AE28" s="93"/>
      <c r="AF28" s="93"/>
      <c r="AG28" s="93"/>
      <c r="AH28" s="93"/>
      <c r="AI28" s="93"/>
      <c r="AJ28" s="93"/>
    </row>
    <row r="29" spans="1:36" ht="17.5">
      <c r="A29" s="12"/>
      <c r="B29" s="347"/>
      <c r="C29" s="244" t="s">
        <v>31</v>
      </c>
      <c r="D29" s="308"/>
      <c r="E29" s="297" t="s">
        <v>20</v>
      </c>
      <c r="F29" s="293">
        <f>VLOOKUP(C29,W47:X55,2)</f>
        <v>0</v>
      </c>
      <c r="G29" s="287">
        <v>50</v>
      </c>
      <c r="H29" s="231"/>
      <c r="I29" s="231"/>
      <c r="J29" s="231"/>
      <c r="K29" s="231"/>
      <c r="L29" s="231"/>
      <c r="M29" s="231">
        <f>D29*F29*G29/100</f>
        <v>0</v>
      </c>
      <c r="N29" s="28"/>
      <c r="O29" s="28"/>
      <c r="P29" s="28"/>
      <c r="Q29" s="28"/>
      <c r="R29" s="13"/>
      <c r="W29" s="26"/>
      <c r="X29" s="93"/>
      <c r="Y29" s="93"/>
      <c r="Z29" s="93"/>
      <c r="AA29" s="93"/>
      <c r="AB29" s="93"/>
      <c r="AC29" s="93"/>
      <c r="AD29" s="93"/>
      <c r="AE29" s="93"/>
      <c r="AF29" s="93"/>
      <c r="AG29" s="93"/>
      <c r="AH29" s="93"/>
      <c r="AI29" s="93"/>
      <c r="AJ29" s="93"/>
    </row>
    <row r="30" spans="1:36" ht="15.5">
      <c r="A30" s="456" t="s">
        <v>89</v>
      </c>
      <c r="B30" s="457"/>
      <c r="C30" s="458"/>
      <c r="D30" s="286"/>
      <c r="E30" s="280"/>
      <c r="F30" s="265"/>
      <c r="G30" s="281"/>
      <c r="H30" s="271">
        <f t="shared" ref="H30:M30" si="1">SUM(H15:H29)</f>
        <v>0</v>
      </c>
      <c r="I30" s="271">
        <f t="shared" si="1"/>
        <v>0</v>
      </c>
      <c r="J30" s="271">
        <f t="shared" si="1"/>
        <v>0</v>
      </c>
      <c r="K30" s="271">
        <f t="shared" si="1"/>
        <v>0</v>
      </c>
      <c r="L30" s="271">
        <f t="shared" si="1"/>
        <v>0</v>
      </c>
      <c r="M30" s="271">
        <f t="shared" si="1"/>
        <v>0</v>
      </c>
      <c r="N30" s="23"/>
      <c r="O30" s="23"/>
      <c r="P30" s="23"/>
      <c r="Q30" s="23"/>
      <c r="R30" s="25"/>
      <c r="W30" s="26"/>
      <c r="X30" s="93"/>
      <c r="Y30" s="93"/>
      <c r="Z30" s="93"/>
      <c r="AA30" s="93"/>
      <c r="AB30" s="93"/>
      <c r="AC30" s="93"/>
      <c r="AD30" s="93"/>
      <c r="AE30" s="93"/>
      <c r="AF30" s="93"/>
      <c r="AG30" s="93"/>
      <c r="AH30" s="93"/>
      <c r="AI30" s="93"/>
      <c r="AJ30" s="93"/>
    </row>
    <row r="31" spans="1:36" ht="45" customHeight="1">
      <c r="A31" s="496" t="str">
        <f>IF(W57,W59,"")</f>
        <v/>
      </c>
      <c r="B31" s="497"/>
      <c r="C31" s="497"/>
      <c r="D31" s="497"/>
      <c r="E31" s="497"/>
      <c r="F31" s="497"/>
      <c r="G31" s="497"/>
      <c r="H31" s="497"/>
      <c r="I31" s="497"/>
      <c r="J31" s="497"/>
      <c r="K31" s="497"/>
      <c r="L31" s="497"/>
      <c r="M31" s="497"/>
      <c r="N31" s="497"/>
      <c r="O31" s="497"/>
      <c r="P31" s="497"/>
      <c r="Q31" s="497"/>
      <c r="R31" s="497"/>
      <c r="W31" s="26"/>
      <c r="X31" s="93"/>
      <c r="Y31" s="93"/>
      <c r="Z31" s="93"/>
      <c r="AA31" s="93"/>
      <c r="AB31" s="93"/>
      <c r="AC31" s="93"/>
      <c r="AD31" s="93"/>
      <c r="AE31" s="93"/>
      <c r="AF31" s="93"/>
      <c r="AG31" s="93"/>
      <c r="AH31" s="93"/>
      <c r="AI31" s="93"/>
      <c r="AJ31" s="93"/>
    </row>
    <row r="32" spans="1:36" ht="15.5">
      <c r="A32" s="401" t="s">
        <v>262</v>
      </c>
      <c r="B32" s="402"/>
      <c r="C32" s="402"/>
      <c r="D32" s="402"/>
      <c r="E32" s="402"/>
      <c r="F32" s="402"/>
      <c r="G32" s="402"/>
      <c r="H32" s="402"/>
      <c r="I32" s="402"/>
      <c r="J32" s="402"/>
      <c r="K32" s="402"/>
      <c r="L32" s="402"/>
      <c r="M32" s="402"/>
      <c r="N32" s="402"/>
      <c r="O32" s="402"/>
      <c r="P32" s="402"/>
      <c r="Q32" s="402"/>
      <c r="R32" s="403"/>
      <c r="W32" s="26"/>
      <c r="X32" s="93"/>
      <c r="Y32" s="93"/>
      <c r="Z32" s="93"/>
      <c r="AA32" s="93"/>
      <c r="AB32" s="93"/>
      <c r="AC32" s="93"/>
      <c r="AD32" s="93"/>
      <c r="AE32" s="93"/>
      <c r="AF32" s="93"/>
      <c r="AG32" s="93"/>
      <c r="AH32" s="93"/>
      <c r="AI32" s="93"/>
      <c r="AJ32" s="93"/>
    </row>
    <row r="33" spans="1:36" ht="50.25" customHeight="1">
      <c r="A33" s="393" t="s">
        <v>434</v>
      </c>
      <c r="B33" s="394"/>
      <c r="C33" s="394"/>
      <c r="D33" s="394"/>
      <c r="E33" s="394"/>
      <c r="F33" s="394"/>
      <c r="G33" s="394"/>
      <c r="H33" s="394"/>
      <c r="I33" s="394"/>
      <c r="J33" s="394"/>
      <c r="K33" s="394"/>
      <c r="L33" s="394"/>
      <c r="M33" s="394"/>
      <c r="N33" s="394"/>
      <c r="O33" s="394"/>
      <c r="P33" s="394"/>
      <c r="Q33" s="394"/>
      <c r="R33" s="395"/>
      <c r="W33" s="26"/>
      <c r="X33" s="93"/>
      <c r="Y33" s="93"/>
      <c r="Z33" s="93"/>
      <c r="AA33" s="93"/>
      <c r="AB33" s="93"/>
      <c r="AC33" s="93"/>
      <c r="AD33" s="93"/>
      <c r="AE33" s="93"/>
      <c r="AF33" s="93"/>
      <c r="AG33" s="93"/>
      <c r="AH33" s="93"/>
      <c r="AI33" s="93"/>
      <c r="AJ33" s="93"/>
    </row>
    <row r="34" spans="1:36" ht="15.75" customHeight="1">
      <c r="A34" s="460" t="s">
        <v>390</v>
      </c>
      <c r="B34" s="461"/>
      <c r="C34" s="461"/>
      <c r="D34" s="461"/>
      <c r="E34" s="461"/>
      <c r="F34" s="461"/>
      <c r="G34" s="461"/>
      <c r="H34" s="461"/>
      <c r="I34" s="461"/>
      <c r="J34" s="461"/>
      <c r="K34" s="461"/>
      <c r="L34" s="461"/>
      <c r="M34" s="461"/>
      <c r="N34" s="461"/>
      <c r="O34" s="461"/>
      <c r="P34" s="461"/>
      <c r="Q34" s="461"/>
      <c r="R34" s="462"/>
      <c r="W34" s="26"/>
      <c r="X34" s="93"/>
      <c r="Y34" s="93"/>
      <c r="Z34" s="93"/>
      <c r="AA34" s="93"/>
      <c r="AB34" s="93"/>
      <c r="AC34" s="93"/>
      <c r="AD34" s="93"/>
      <c r="AE34" s="93"/>
      <c r="AF34" s="93"/>
      <c r="AG34" s="93"/>
      <c r="AH34" s="93"/>
      <c r="AI34" s="93"/>
      <c r="AJ34" s="93"/>
    </row>
    <row r="35" spans="1:36" ht="56.25" customHeight="1">
      <c r="A35" s="463" t="s">
        <v>392</v>
      </c>
      <c r="B35" s="464"/>
      <c r="C35" s="464"/>
      <c r="D35" s="464"/>
      <c r="E35" s="464"/>
      <c r="F35" s="464"/>
      <c r="G35" s="464"/>
      <c r="H35" s="464"/>
      <c r="I35" s="464"/>
      <c r="J35" s="464"/>
      <c r="K35" s="464"/>
      <c r="L35" s="464"/>
      <c r="M35" s="464"/>
      <c r="N35" s="464"/>
      <c r="O35" s="464"/>
      <c r="P35" s="464"/>
      <c r="Q35" s="464"/>
      <c r="R35" s="465"/>
      <c r="W35" s="26"/>
      <c r="X35" s="93"/>
      <c r="Y35" s="93"/>
      <c r="Z35" s="93"/>
      <c r="AA35" s="93"/>
      <c r="AB35" s="93"/>
      <c r="AC35" s="93"/>
      <c r="AD35" s="93"/>
      <c r="AE35" s="93"/>
      <c r="AF35" s="93"/>
      <c r="AG35" s="93"/>
      <c r="AH35" s="93"/>
      <c r="AI35" s="93"/>
      <c r="AJ35" s="93"/>
    </row>
    <row r="36" spans="1:36" ht="18" customHeight="1">
      <c r="A36" s="413" t="s">
        <v>221</v>
      </c>
      <c r="B36" s="414"/>
      <c r="C36" s="414"/>
      <c r="D36" s="414"/>
      <c r="E36" s="414"/>
      <c r="F36" s="414"/>
      <c r="G36" s="414"/>
      <c r="H36" s="414"/>
      <c r="I36" s="414"/>
      <c r="J36" s="414"/>
      <c r="K36" s="414"/>
      <c r="L36" s="414"/>
      <c r="M36" s="414"/>
      <c r="N36" s="414"/>
      <c r="O36" s="414"/>
      <c r="P36" s="414"/>
      <c r="Q36" s="414"/>
      <c r="R36" s="415"/>
      <c r="W36" s="26"/>
      <c r="X36" s="93"/>
      <c r="Y36" s="93"/>
      <c r="Z36" s="93"/>
      <c r="AA36" s="93"/>
      <c r="AB36" s="93"/>
      <c r="AC36" s="93"/>
      <c r="AD36" s="93"/>
      <c r="AE36" s="93"/>
      <c r="AF36" s="93"/>
      <c r="AG36" s="93"/>
      <c r="AH36" s="93"/>
      <c r="AI36" s="93"/>
      <c r="AJ36" s="93"/>
    </row>
    <row r="37" spans="1:36" ht="67.5" customHeight="1">
      <c r="A37" s="396" t="s">
        <v>370</v>
      </c>
      <c r="B37" s="397"/>
      <c r="C37" s="397"/>
      <c r="D37" s="397"/>
      <c r="E37" s="397"/>
      <c r="F37" s="397"/>
      <c r="G37" s="397"/>
      <c r="H37" s="397"/>
      <c r="I37" s="397"/>
      <c r="J37" s="397"/>
      <c r="K37" s="397"/>
      <c r="L37" s="397"/>
      <c r="M37" s="397"/>
      <c r="N37" s="397"/>
      <c r="O37" s="397"/>
      <c r="P37" s="397"/>
      <c r="Q37" s="397"/>
      <c r="R37" s="398"/>
      <c r="W37" s="26" t="s">
        <v>42</v>
      </c>
      <c r="X37" s="93">
        <v>0</v>
      </c>
      <c r="Y37" s="93"/>
      <c r="Z37" s="93"/>
      <c r="AA37" s="93"/>
      <c r="AB37" s="93"/>
      <c r="AC37" s="93"/>
      <c r="AD37" s="93"/>
      <c r="AE37" s="93"/>
      <c r="AF37" s="93"/>
      <c r="AG37" s="93"/>
      <c r="AH37" s="93"/>
      <c r="AI37" s="93"/>
      <c r="AJ37" s="93"/>
    </row>
    <row r="38" spans="1:36" ht="24" customHeight="1">
      <c r="U38" s="191"/>
      <c r="W38" s="203" t="s">
        <v>64</v>
      </c>
      <c r="X38" s="66">
        <f>'Component List'!D18</f>
        <v>31.04</v>
      </c>
      <c r="Y38" s="93"/>
      <c r="Z38" s="93"/>
      <c r="AA38" s="93"/>
      <c r="AB38" s="93"/>
      <c r="AC38" s="93"/>
      <c r="AD38" s="93"/>
      <c r="AE38" s="93"/>
      <c r="AF38" s="93"/>
      <c r="AG38" s="93"/>
      <c r="AH38" s="93"/>
      <c r="AI38" s="93"/>
      <c r="AJ38" s="93"/>
    </row>
    <row r="39" spans="1:36" ht="15.5">
      <c r="W39" s="203" t="s">
        <v>125</v>
      </c>
      <c r="X39" s="66">
        <f>'Component List'!D19</f>
        <v>100</v>
      </c>
      <c r="Y39" s="93"/>
      <c r="Z39" s="93"/>
      <c r="AA39" s="93"/>
      <c r="AB39" s="93"/>
      <c r="AC39" s="93"/>
      <c r="AD39" s="93"/>
      <c r="AE39" s="93"/>
      <c r="AF39" s="93"/>
      <c r="AG39" s="93"/>
      <c r="AH39" s="93"/>
      <c r="AI39" s="93"/>
      <c r="AJ39" s="93"/>
    </row>
    <row r="40" spans="1:36" ht="17.25" customHeight="1">
      <c r="W40" s="203" t="s">
        <v>63</v>
      </c>
      <c r="X40" s="66">
        <f>'Component List'!D22</f>
        <v>23.04</v>
      </c>
      <c r="Y40" s="93"/>
      <c r="Z40" s="93"/>
      <c r="AA40" s="93"/>
      <c r="AB40" s="93"/>
      <c r="AC40" s="93"/>
      <c r="AD40" s="93"/>
      <c r="AE40" s="93"/>
      <c r="AF40" s="93"/>
      <c r="AG40" s="93"/>
      <c r="AH40" s="93"/>
      <c r="AI40" s="93"/>
      <c r="AJ40" s="93"/>
    </row>
    <row r="41" spans="1:36" ht="15.5">
      <c r="W41" s="203" t="s">
        <v>65</v>
      </c>
      <c r="X41" s="66">
        <f>'Component List'!D23</f>
        <v>100</v>
      </c>
      <c r="Y41" s="93"/>
      <c r="Z41" s="93"/>
      <c r="AA41" s="93"/>
      <c r="AB41" s="93"/>
      <c r="AC41" s="93"/>
      <c r="AD41" s="93"/>
      <c r="AE41" s="93"/>
      <c r="AF41" s="93"/>
      <c r="AG41" s="93"/>
      <c r="AH41" s="93"/>
      <c r="AI41" s="93"/>
      <c r="AJ41" s="93"/>
    </row>
    <row r="42" spans="1:36" ht="15.5">
      <c r="W42" s="203" t="s">
        <v>414</v>
      </c>
      <c r="X42" s="66">
        <f>'Component List'!D24</f>
        <v>100</v>
      </c>
      <c r="Y42" s="93"/>
      <c r="Z42" s="93"/>
      <c r="AA42" s="93"/>
      <c r="AB42" s="93"/>
      <c r="AC42" s="93"/>
      <c r="AD42" s="93"/>
      <c r="AE42" s="93"/>
      <c r="AF42" s="93"/>
      <c r="AG42" s="93"/>
      <c r="AH42" s="93"/>
      <c r="AI42" s="93"/>
      <c r="AJ42" s="93"/>
    </row>
    <row r="43" spans="1:36" ht="15.5">
      <c r="W43" s="203" t="s">
        <v>126</v>
      </c>
      <c r="X43" s="66">
        <f>'Component List'!D25</f>
        <v>100</v>
      </c>
      <c r="Y43" s="93"/>
      <c r="Z43" s="93"/>
      <c r="AA43" s="93"/>
      <c r="AB43" s="93"/>
      <c r="AC43" s="93"/>
      <c r="AD43" s="93"/>
      <c r="AE43" s="93"/>
      <c r="AF43" s="93"/>
      <c r="AG43" s="93"/>
      <c r="AH43" s="93"/>
      <c r="AI43" s="93"/>
      <c r="AJ43" s="93"/>
    </row>
    <row r="44" spans="1:36" ht="15.5">
      <c r="W44" s="203" t="s">
        <v>127</v>
      </c>
      <c r="X44" s="66">
        <f>'Component List'!D26</f>
        <v>100</v>
      </c>
      <c r="Y44" s="93"/>
      <c r="Z44" s="93"/>
      <c r="AA44" s="93"/>
      <c r="AB44" s="93"/>
      <c r="AC44" s="93"/>
      <c r="AD44" s="93"/>
      <c r="AE44" s="93"/>
      <c r="AF44" s="93"/>
      <c r="AG44" s="93"/>
      <c r="AH44" s="93"/>
      <c r="AI44" s="93"/>
      <c r="AJ44" s="93"/>
    </row>
    <row r="45" spans="1:36" ht="15.5">
      <c r="W45" s="203" t="s">
        <v>66</v>
      </c>
      <c r="X45" s="66">
        <f>'Component List'!D59</f>
        <v>100</v>
      </c>
      <c r="Y45" s="93"/>
      <c r="Z45" s="93"/>
      <c r="AA45" s="93"/>
      <c r="AB45" s="93"/>
      <c r="AC45" s="93"/>
      <c r="AD45" s="93"/>
      <c r="AE45" s="93"/>
      <c r="AF45" s="93"/>
      <c r="AG45" s="93"/>
      <c r="AH45" s="93"/>
      <c r="AI45" s="93"/>
      <c r="AJ45" s="93"/>
    </row>
    <row r="46" spans="1:36" ht="15.5">
      <c r="W46" s="26"/>
      <c r="X46" s="93"/>
      <c r="Y46" s="93"/>
      <c r="Z46" s="93"/>
      <c r="AA46" s="93"/>
      <c r="AB46" s="93"/>
      <c r="AC46" s="93"/>
      <c r="AD46" s="93"/>
      <c r="AE46" s="93"/>
      <c r="AF46" s="93"/>
      <c r="AG46" s="93"/>
      <c r="AH46" s="93"/>
      <c r="AI46" s="93"/>
      <c r="AJ46" s="93"/>
    </row>
    <row r="47" spans="1:36" ht="15.5">
      <c r="W47" s="218" t="s">
        <v>31</v>
      </c>
      <c r="X47" s="93">
        <v>0</v>
      </c>
      <c r="Y47" s="93"/>
      <c r="Z47" s="93"/>
      <c r="AA47" s="93"/>
      <c r="AB47" s="93"/>
      <c r="AC47" s="93"/>
      <c r="AD47" s="93"/>
      <c r="AE47" s="93"/>
      <c r="AF47" s="93"/>
      <c r="AG47" s="93"/>
      <c r="AH47" s="93"/>
      <c r="AI47" s="93"/>
      <c r="AJ47" s="93"/>
    </row>
    <row r="48" spans="1:36" ht="15.5">
      <c r="W48" s="203" t="s">
        <v>70</v>
      </c>
      <c r="X48" s="66">
        <f>'Component List'!D18</f>
        <v>31.04</v>
      </c>
      <c r="Y48" s="93"/>
      <c r="Z48" s="93"/>
      <c r="AA48" s="93"/>
      <c r="AB48" s="93"/>
      <c r="AC48" s="93"/>
      <c r="AD48" s="93"/>
      <c r="AE48" s="93"/>
      <c r="AF48" s="93"/>
      <c r="AG48" s="93"/>
      <c r="AH48" s="93"/>
      <c r="AI48" s="93"/>
      <c r="AJ48" s="93"/>
    </row>
    <row r="49" spans="23:36" ht="15.5">
      <c r="W49" s="203" t="s">
        <v>128</v>
      </c>
      <c r="X49" s="66">
        <f>'Component List'!D19</f>
        <v>100</v>
      </c>
      <c r="Y49" s="93"/>
      <c r="Z49" s="93"/>
      <c r="AA49" s="93"/>
      <c r="AB49" s="93"/>
      <c r="AC49" s="93"/>
      <c r="AD49" s="93"/>
      <c r="AE49" s="93"/>
      <c r="AF49" s="93"/>
      <c r="AG49" s="93"/>
      <c r="AH49" s="93"/>
      <c r="AI49" s="93"/>
      <c r="AJ49" s="93"/>
    </row>
    <row r="50" spans="23:36" ht="15.5">
      <c r="W50" s="203" t="s">
        <v>69</v>
      </c>
      <c r="X50" s="66">
        <f>'Component List'!D22</f>
        <v>23.04</v>
      </c>
      <c r="Y50" s="93"/>
      <c r="Z50" s="93"/>
      <c r="AA50" s="93"/>
      <c r="AB50" s="93"/>
      <c r="AC50" s="93"/>
      <c r="AD50" s="93"/>
      <c r="AE50" s="93"/>
      <c r="AF50" s="93"/>
      <c r="AG50" s="93"/>
      <c r="AH50" s="93"/>
      <c r="AI50" s="93"/>
      <c r="AJ50" s="93"/>
    </row>
    <row r="51" spans="23:36" ht="15.5">
      <c r="W51" s="203" t="s">
        <v>68</v>
      </c>
      <c r="X51" s="66">
        <f>'Component List'!D23</f>
        <v>100</v>
      </c>
      <c r="Y51" s="93"/>
      <c r="Z51" s="93"/>
      <c r="AA51" s="93"/>
      <c r="AB51" s="93"/>
      <c r="AC51" s="93"/>
      <c r="AD51" s="93"/>
      <c r="AE51" s="93"/>
      <c r="AF51" s="93"/>
      <c r="AG51" s="93"/>
      <c r="AH51" s="93"/>
      <c r="AI51" s="93"/>
      <c r="AJ51" s="93"/>
    </row>
    <row r="52" spans="23:36" ht="15.5">
      <c r="W52" s="203" t="s">
        <v>415</v>
      </c>
      <c r="X52" s="66">
        <f>'Component List'!D24</f>
        <v>100</v>
      </c>
      <c r="Y52" s="93"/>
      <c r="Z52" s="93"/>
      <c r="AA52" s="93"/>
      <c r="AB52" s="93"/>
      <c r="AC52" s="93"/>
      <c r="AD52" s="93"/>
      <c r="AE52" s="93"/>
      <c r="AF52" s="93"/>
      <c r="AG52" s="93"/>
      <c r="AH52" s="93"/>
      <c r="AI52" s="93"/>
      <c r="AJ52" s="93"/>
    </row>
    <row r="53" spans="23:36" ht="15.5">
      <c r="W53" s="203" t="s">
        <v>129</v>
      </c>
      <c r="X53" s="66">
        <f>'Component List'!D25</f>
        <v>100</v>
      </c>
      <c r="Y53" s="93"/>
      <c r="Z53" s="93"/>
      <c r="AA53" s="93"/>
      <c r="AB53" s="93"/>
      <c r="AC53" s="93"/>
      <c r="AD53" s="93"/>
      <c r="AE53" s="93"/>
      <c r="AF53" s="93"/>
      <c r="AG53" s="93"/>
      <c r="AH53" s="93"/>
      <c r="AI53" s="93"/>
      <c r="AJ53" s="93"/>
    </row>
    <row r="54" spans="23:36" ht="15.5">
      <c r="W54" s="203" t="s">
        <v>130</v>
      </c>
      <c r="X54" s="66">
        <f>'Component List'!D26</f>
        <v>100</v>
      </c>
      <c r="Y54" s="93"/>
      <c r="Z54" s="93"/>
      <c r="AA54" s="93"/>
      <c r="AB54" s="93"/>
      <c r="AC54" s="93"/>
      <c r="AD54" s="93"/>
      <c r="AE54" s="93"/>
      <c r="AF54" s="93"/>
      <c r="AG54" s="93"/>
      <c r="AH54" s="93"/>
      <c r="AI54" s="93"/>
      <c r="AJ54" s="93"/>
    </row>
    <row r="55" spans="23:36" ht="15.5">
      <c r="W55" s="203" t="s">
        <v>67</v>
      </c>
      <c r="X55" s="66">
        <f>'Component List'!D59</f>
        <v>100</v>
      </c>
      <c r="Y55" s="93"/>
      <c r="Z55" s="93"/>
      <c r="AA55" s="93"/>
      <c r="AB55" s="93"/>
      <c r="AC55" s="93"/>
      <c r="AD55" s="93"/>
      <c r="AE55" s="93"/>
      <c r="AF55" s="93"/>
      <c r="AG55" s="93"/>
      <c r="AH55" s="93"/>
      <c r="AI55" s="93"/>
      <c r="AJ55" s="93"/>
    </row>
    <row r="56" spans="23:36">
      <c r="W56" s="93"/>
      <c r="X56" s="93"/>
      <c r="Y56" s="93"/>
      <c r="Z56" s="93"/>
      <c r="AA56" s="93"/>
      <c r="AB56" s="93"/>
      <c r="AC56" s="93"/>
      <c r="AD56" s="93"/>
      <c r="AE56" s="93"/>
      <c r="AF56" s="93"/>
      <c r="AG56" s="93"/>
      <c r="AH56" s="93"/>
      <c r="AI56" s="93"/>
      <c r="AJ56" s="93"/>
    </row>
    <row r="57" spans="23:36">
      <c r="W57" s="93" t="b">
        <f>OR(C26=W39,C26=W43,C26=W44,C27=W39,C27=W43,C27=W44,C28=W49,C28=W53,C28=W54,C29=W49,C29=W53,C29=W54)</f>
        <v>0</v>
      </c>
      <c r="X57" s="93"/>
      <c r="Y57" s="93"/>
      <c r="Z57" s="93"/>
      <c r="AA57" s="93"/>
      <c r="AB57" s="93"/>
      <c r="AC57" s="93"/>
      <c r="AD57" s="93"/>
      <c r="AE57" s="93"/>
      <c r="AF57" s="93"/>
      <c r="AG57" s="93"/>
      <c r="AH57" s="93"/>
      <c r="AI57" s="93"/>
      <c r="AJ57" s="93"/>
    </row>
    <row r="58" spans="23:36">
      <c r="W58" s="93"/>
      <c r="X58" s="93"/>
      <c r="Y58" s="93"/>
      <c r="Z58" s="93"/>
      <c r="AA58" s="93"/>
      <c r="AB58" s="93"/>
      <c r="AC58" s="93"/>
      <c r="AD58" s="93"/>
      <c r="AE58" s="93"/>
      <c r="AF58" s="93"/>
      <c r="AG58" s="93"/>
      <c r="AH58" s="93"/>
      <c r="AI58" s="93"/>
      <c r="AJ58" s="93"/>
    </row>
    <row r="59" spans="23:36">
      <c r="W59" s="493" t="s">
        <v>253</v>
      </c>
      <c r="X59" s="493"/>
      <c r="Y59" s="493"/>
      <c r="Z59" s="493"/>
      <c r="AA59" s="493"/>
      <c r="AB59" s="493"/>
      <c r="AC59" s="493"/>
      <c r="AD59" s="493"/>
      <c r="AE59" s="493"/>
      <c r="AF59" s="493"/>
      <c r="AG59" s="493"/>
      <c r="AH59" s="493"/>
      <c r="AI59" s="493"/>
      <c r="AJ59" s="493"/>
    </row>
    <row r="60" spans="23:36">
      <c r="W60" s="494"/>
      <c r="X60" s="494"/>
      <c r="Y60" s="494"/>
      <c r="Z60" s="494"/>
      <c r="AA60" s="494"/>
      <c r="AB60" s="494"/>
      <c r="AC60" s="494"/>
      <c r="AD60" s="494"/>
      <c r="AE60" s="494"/>
      <c r="AF60" s="494"/>
      <c r="AG60" s="494"/>
      <c r="AH60" s="494"/>
      <c r="AI60" s="494"/>
      <c r="AJ60" s="494"/>
    </row>
    <row r="61" spans="23:36">
      <c r="W61" s="494"/>
      <c r="X61" s="494"/>
      <c r="Y61" s="494"/>
      <c r="Z61" s="494"/>
      <c r="AA61" s="494"/>
      <c r="AB61" s="494"/>
      <c r="AC61" s="494"/>
      <c r="AD61" s="494"/>
      <c r="AE61" s="494"/>
      <c r="AF61" s="494"/>
      <c r="AG61" s="494"/>
      <c r="AH61" s="494"/>
      <c r="AI61" s="494"/>
      <c r="AJ61" s="494"/>
    </row>
    <row r="62" spans="23:36">
      <c r="W62" s="495"/>
      <c r="X62" s="495"/>
      <c r="Y62" s="495"/>
      <c r="Z62" s="495"/>
      <c r="AA62" s="495"/>
      <c r="AB62" s="495"/>
      <c r="AC62" s="495"/>
      <c r="AD62" s="495"/>
      <c r="AE62" s="495"/>
      <c r="AF62" s="495"/>
      <c r="AG62" s="495"/>
      <c r="AH62" s="495"/>
      <c r="AI62" s="495"/>
      <c r="AJ62"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W59:AJ62"/>
    <mergeCell ref="A33:R33"/>
    <mergeCell ref="A6:R6"/>
    <mergeCell ref="A7:R7"/>
    <mergeCell ref="A8:R8"/>
    <mergeCell ref="A9:A13"/>
    <mergeCell ref="B9:B13"/>
    <mergeCell ref="C9:C13"/>
    <mergeCell ref="D9:D13"/>
    <mergeCell ref="E9:E13"/>
    <mergeCell ref="F9:F13"/>
    <mergeCell ref="G9:G13"/>
    <mergeCell ref="H9:Q9"/>
    <mergeCell ref="R9:R13"/>
    <mergeCell ref="H10:Q10"/>
    <mergeCell ref="A30:C30"/>
    <mergeCell ref="A31:R31"/>
    <mergeCell ref="A34:R34"/>
    <mergeCell ref="A35:R35"/>
    <mergeCell ref="A36:R36"/>
    <mergeCell ref="A37:R37"/>
    <mergeCell ref="A32:R32"/>
  </mergeCells>
  <dataValidations count="2">
    <dataValidation type="list" allowBlank="1" showInputMessage="1" showErrorMessage="1" sqref="C26:C27">
      <formula1>$W$37:$W$45</formula1>
    </dataValidation>
    <dataValidation type="list" allowBlank="1" showInputMessage="1" showErrorMessage="1" sqref="C28:C29">
      <formula1>$W$47:$W$55</formula1>
    </dataValidation>
  </dataValidations>
  <pageMargins left="0.26" right="0.16" top="0.45" bottom="0.48" header="0.3" footer="0.3"/>
  <pageSetup scale="57"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793"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33794" r:id="rId5" name="Check Box 2">
              <controlPr defaultSize="0" autoFill="0" autoLine="0" autoPict="0">
                <anchor moveWithCells="1">
                  <from>
                    <xdr:col>7</xdr:col>
                    <xdr:colOff>209550</xdr:colOff>
                    <xdr:row>0</xdr:row>
                    <xdr:rowOff>12700</xdr:rowOff>
                  </from>
                  <to>
                    <xdr:col>8</xdr:col>
                    <xdr:colOff>107950</xdr:colOff>
                    <xdr:row>0</xdr:row>
                    <xdr:rowOff>152400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J48"/>
  <sheetViews>
    <sheetView zoomScale="58" zoomScaleNormal="58" workbookViewId="0">
      <selection activeCell="D15" sqref="D15"/>
    </sheetView>
  </sheetViews>
  <sheetFormatPr defaultRowHeight="12.5"/>
  <cols>
    <col min="3" max="3" width="74.1796875" customWidth="1"/>
    <col min="4" max="4" width="14.26953125" customWidth="1"/>
    <col min="6" max="6" width="11.453125" customWidth="1"/>
    <col min="7" max="7" width="11.81640625" customWidth="1"/>
    <col min="8" max="8" width="14" customWidth="1"/>
    <col min="9" max="9" width="12.81640625" customWidth="1"/>
    <col min="10" max="10" width="14.54296875" customWidth="1"/>
    <col min="11" max="11" width="13.81640625" customWidth="1"/>
    <col min="12" max="12" width="14.7265625" customWidth="1"/>
    <col min="13" max="13" width="15.54296875" customWidth="1"/>
    <col min="14" max="14" width="7.453125" customWidth="1"/>
    <col min="15" max="15" width="6.7265625" customWidth="1"/>
    <col min="16" max="16" width="6.81640625" customWidth="1"/>
    <col min="17" max="18" width="6.1796875" customWidth="1"/>
    <col min="23" max="23" width="63.7265625" customWidth="1"/>
    <col min="24" max="24" width="11.1796875" customWidth="1"/>
  </cols>
  <sheetData>
    <row r="1" spans="1:36" ht="22.5" customHeight="1">
      <c r="A1" s="434" t="s">
        <v>366</v>
      </c>
      <c r="B1" s="435"/>
      <c r="C1" s="435"/>
      <c r="D1" s="144" t="s">
        <v>368</v>
      </c>
      <c r="E1" s="143"/>
      <c r="F1" s="143"/>
      <c r="G1" s="143"/>
      <c r="H1" s="145" t="s">
        <v>369</v>
      </c>
      <c r="I1" s="143"/>
      <c r="J1" s="143"/>
      <c r="K1" s="143"/>
      <c r="L1" s="143"/>
      <c r="M1" s="143"/>
      <c r="N1" s="143"/>
      <c r="O1" s="145" t="s">
        <v>367</v>
      </c>
      <c r="P1" s="143"/>
      <c r="Q1" s="143"/>
      <c r="R1" s="143"/>
      <c r="S1" s="93"/>
      <c r="T1" s="93"/>
      <c r="U1" s="93"/>
      <c r="V1" s="93"/>
      <c r="W1" s="93"/>
      <c r="X1" s="93"/>
      <c r="Y1" s="93"/>
      <c r="Z1" s="93"/>
      <c r="AA1" s="93"/>
      <c r="AB1" s="93"/>
      <c r="AC1" s="93"/>
      <c r="AD1" s="93"/>
      <c r="AE1" s="93"/>
      <c r="AF1" s="93"/>
      <c r="AG1" s="93"/>
      <c r="AH1" s="93"/>
      <c r="AI1" s="93"/>
      <c r="AJ1" s="93"/>
    </row>
    <row r="2" spans="1:36" ht="20">
      <c r="A2" s="429" t="s">
        <v>363</v>
      </c>
      <c r="B2" s="430"/>
      <c r="C2" s="430"/>
      <c r="D2" s="136"/>
      <c r="E2" s="136"/>
      <c r="F2" s="425" t="s">
        <v>25</v>
      </c>
      <c r="G2" s="426"/>
      <c r="H2" s="426"/>
      <c r="I2" s="426"/>
      <c r="J2" s="136"/>
      <c r="K2" s="136"/>
      <c r="L2" s="136"/>
      <c r="M2" s="136"/>
      <c r="N2" s="262" t="s">
        <v>420</v>
      </c>
      <c r="O2" s="137" t="s">
        <v>364</v>
      </c>
      <c r="P2" s="138"/>
      <c r="Q2" s="139" t="s">
        <v>365</v>
      </c>
      <c r="R2" s="140"/>
      <c r="S2" s="93"/>
      <c r="T2" s="93"/>
      <c r="U2" s="93"/>
      <c r="V2" s="93"/>
      <c r="W2" s="93"/>
      <c r="X2" s="93"/>
      <c r="Y2" s="93"/>
      <c r="Z2" s="93"/>
      <c r="AA2" s="93"/>
      <c r="AB2" s="93"/>
      <c r="AC2" s="93"/>
      <c r="AD2" s="93"/>
      <c r="AE2" s="93"/>
      <c r="AF2" s="93"/>
      <c r="AG2" s="93"/>
      <c r="AH2" s="93"/>
      <c r="AI2" s="93"/>
      <c r="AJ2" s="93"/>
    </row>
    <row r="3" spans="1:36" ht="23.25" customHeight="1">
      <c r="A3" s="141"/>
      <c r="B3" s="85"/>
      <c r="C3" s="85"/>
      <c r="D3" s="85"/>
      <c r="E3" s="85"/>
      <c r="F3" s="427" t="s">
        <v>26</v>
      </c>
      <c r="G3" s="428"/>
      <c r="H3" s="428"/>
      <c r="I3" s="428"/>
      <c r="J3" s="85"/>
      <c r="K3" s="85"/>
      <c r="L3" s="85"/>
      <c r="M3" s="85"/>
      <c r="N3" s="85"/>
      <c r="O3" s="17"/>
      <c r="P3" s="17"/>
      <c r="Q3" s="17"/>
      <c r="R3" s="142"/>
      <c r="S3" s="93"/>
      <c r="T3" s="93"/>
      <c r="U3" s="93"/>
      <c r="V3" s="93"/>
      <c r="W3" s="93"/>
      <c r="X3" s="93"/>
      <c r="Y3" s="93"/>
      <c r="Z3" s="93"/>
      <c r="AA3" s="93"/>
      <c r="AB3" s="93"/>
      <c r="AC3" s="93"/>
      <c r="AD3" s="93"/>
      <c r="AE3" s="93"/>
      <c r="AF3" s="93"/>
      <c r="AG3" s="93"/>
      <c r="AH3" s="93"/>
      <c r="AI3" s="93"/>
      <c r="AJ3" s="93"/>
    </row>
    <row r="4" spans="1:36" ht="15.5">
      <c r="A4" s="480" t="s">
        <v>386</v>
      </c>
      <c r="B4" s="483"/>
      <c r="C4" s="484"/>
      <c r="D4" s="490" t="s">
        <v>387</v>
      </c>
      <c r="E4" s="491"/>
      <c r="F4" s="491"/>
      <c r="G4" s="492"/>
      <c r="H4" s="368" t="s">
        <v>388</v>
      </c>
      <c r="I4" s="26"/>
      <c r="J4" s="480" t="s">
        <v>385</v>
      </c>
      <c r="K4" s="481"/>
      <c r="L4" s="482"/>
      <c r="M4" s="480" t="s">
        <v>389</v>
      </c>
      <c r="N4" s="483"/>
      <c r="O4" s="483"/>
      <c r="P4" s="483"/>
      <c r="Q4" s="483"/>
      <c r="R4" s="484"/>
      <c r="S4" s="93"/>
      <c r="T4" s="93"/>
      <c r="U4" s="93"/>
      <c r="V4" s="93"/>
      <c r="W4" s="93"/>
      <c r="X4" s="93"/>
      <c r="Y4" s="93"/>
      <c r="Z4" s="93"/>
      <c r="AA4" s="93"/>
      <c r="AB4" s="93"/>
      <c r="AC4" s="93"/>
      <c r="AD4" s="93"/>
      <c r="AE4" s="93"/>
      <c r="AF4" s="93"/>
      <c r="AG4" s="93"/>
      <c r="AH4" s="93"/>
      <c r="AI4" s="93"/>
      <c r="AJ4" s="93"/>
    </row>
    <row r="5" spans="1:36"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93"/>
      <c r="T5" s="93"/>
      <c r="U5" s="93"/>
      <c r="V5" s="93"/>
      <c r="W5" s="93"/>
      <c r="X5" s="93"/>
      <c r="Y5" s="93"/>
      <c r="Z5" s="93"/>
      <c r="AA5" s="93"/>
      <c r="AB5" s="93"/>
      <c r="AC5" s="93"/>
      <c r="AD5" s="93"/>
      <c r="AE5" s="93"/>
      <c r="AF5" s="93"/>
      <c r="AG5" s="93"/>
      <c r="AH5" s="93"/>
      <c r="AI5" s="93"/>
      <c r="AJ5" s="93"/>
    </row>
    <row r="6" spans="1:36">
      <c r="A6" s="466"/>
      <c r="B6" s="466"/>
      <c r="C6" s="466"/>
      <c r="D6" s="466"/>
      <c r="E6" s="466"/>
      <c r="F6" s="466"/>
      <c r="G6" s="466"/>
      <c r="H6" s="466"/>
      <c r="I6" s="466"/>
      <c r="J6" s="466"/>
      <c r="K6" s="466"/>
      <c r="L6" s="466"/>
      <c r="M6" s="466"/>
      <c r="N6" s="466"/>
      <c r="O6" s="466"/>
      <c r="P6" s="466"/>
      <c r="Q6" s="466"/>
      <c r="R6" s="466"/>
      <c r="S6" s="93"/>
      <c r="T6" s="93"/>
      <c r="U6" s="93"/>
      <c r="V6" s="93"/>
      <c r="W6" s="93"/>
      <c r="X6" s="93"/>
      <c r="Y6" s="93"/>
      <c r="Z6" s="93"/>
      <c r="AA6" s="93"/>
      <c r="AB6" s="93"/>
      <c r="AC6" s="93"/>
      <c r="AD6" s="93"/>
      <c r="AE6" s="93"/>
      <c r="AF6" s="93"/>
      <c r="AG6" s="93"/>
      <c r="AH6" s="93"/>
      <c r="AI6" s="93"/>
      <c r="AJ6" s="93"/>
    </row>
    <row r="7" spans="1:36" ht="108.75" customHeight="1">
      <c r="A7" s="467" t="s">
        <v>497</v>
      </c>
      <c r="B7" s="468"/>
      <c r="C7" s="468"/>
      <c r="D7" s="468"/>
      <c r="E7" s="468"/>
      <c r="F7" s="468"/>
      <c r="G7" s="468"/>
      <c r="H7" s="468"/>
      <c r="I7" s="468"/>
      <c r="J7" s="468"/>
      <c r="K7" s="468"/>
      <c r="L7" s="468"/>
      <c r="M7" s="468"/>
      <c r="N7" s="468"/>
      <c r="O7" s="468"/>
      <c r="P7" s="468"/>
      <c r="Q7" s="468"/>
      <c r="R7" s="469"/>
      <c r="S7" s="93"/>
      <c r="T7" s="93"/>
      <c r="U7" s="93"/>
      <c r="V7" s="93"/>
      <c r="W7" s="93"/>
      <c r="X7" s="93"/>
      <c r="Y7" s="93"/>
      <c r="Z7" s="93"/>
      <c r="AA7" s="93"/>
      <c r="AB7" s="93"/>
      <c r="AC7" s="93"/>
      <c r="AD7" s="93"/>
      <c r="AE7" s="93"/>
      <c r="AF7" s="93"/>
      <c r="AG7" s="93"/>
      <c r="AH7" s="93"/>
      <c r="AI7" s="93"/>
      <c r="AJ7" s="93"/>
    </row>
    <row r="8" spans="1:36" ht="14">
      <c r="A8" s="470"/>
      <c r="B8" s="470"/>
      <c r="C8" s="470"/>
      <c r="D8" s="470"/>
      <c r="E8" s="470"/>
      <c r="F8" s="470"/>
      <c r="G8" s="470"/>
      <c r="H8" s="470"/>
      <c r="I8" s="470"/>
      <c r="J8" s="470"/>
      <c r="K8" s="470"/>
      <c r="L8" s="470"/>
      <c r="M8" s="470"/>
      <c r="N8" s="470"/>
      <c r="O8" s="470"/>
      <c r="P8" s="470"/>
      <c r="Q8" s="470"/>
      <c r="R8" s="470"/>
      <c r="S8" s="93"/>
      <c r="T8" s="93"/>
      <c r="U8" s="93"/>
      <c r="V8" s="93"/>
      <c r="W8" s="93"/>
      <c r="X8" s="93"/>
      <c r="Y8" s="93"/>
      <c r="Z8" s="93"/>
      <c r="AA8" s="93"/>
      <c r="AB8" s="93"/>
      <c r="AC8" s="93"/>
      <c r="AD8" s="93"/>
      <c r="AE8" s="93"/>
      <c r="AF8" s="93"/>
      <c r="AG8" s="93"/>
      <c r="AH8" s="93"/>
      <c r="AI8" s="93"/>
      <c r="AJ8" s="93"/>
    </row>
    <row r="9" spans="1:36">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93"/>
      <c r="T9" s="93"/>
      <c r="U9" s="93"/>
      <c r="V9" s="93"/>
      <c r="W9" s="93"/>
      <c r="X9" s="93"/>
      <c r="Y9" s="93"/>
      <c r="Z9" s="93"/>
      <c r="AA9" s="93"/>
      <c r="AB9" s="93"/>
      <c r="AC9" s="93"/>
      <c r="AD9" s="93"/>
      <c r="AE9" s="93"/>
      <c r="AF9" s="93"/>
      <c r="AG9" s="93"/>
      <c r="AH9" s="93"/>
      <c r="AI9" s="93"/>
      <c r="AJ9" s="93"/>
    </row>
    <row r="10" spans="1:36" ht="16.5" customHeight="1">
      <c r="A10" s="453"/>
      <c r="B10" s="453"/>
      <c r="C10" s="499"/>
      <c r="D10" s="475"/>
      <c r="E10" s="478"/>
      <c r="F10" s="453"/>
      <c r="G10" s="453"/>
      <c r="H10" s="455" t="s">
        <v>306</v>
      </c>
      <c r="I10" s="408"/>
      <c r="J10" s="408"/>
      <c r="K10" s="408"/>
      <c r="L10" s="408"/>
      <c r="M10" s="408"/>
      <c r="N10" s="408"/>
      <c r="O10" s="408"/>
      <c r="P10" s="408"/>
      <c r="Q10" s="409"/>
      <c r="R10" s="453"/>
      <c r="S10" s="93"/>
      <c r="T10" s="93"/>
      <c r="U10" s="93"/>
      <c r="V10" s="93"/>
      <c r="W10" s="93"/>
      <c r="X10" s="93"/>
      <c r="Y10" s="93"/>
      <c r="Z10" s="93"/>
      <c r="AA10" s="93"/>
      <c r="AB10" s="93"/>
      <c r="AC10" s="93"/>
      <c r="AD10" s="93"/>
      <c r="AE10" s="93"/>
      <c r="AF10" s="93"/>
      <c r="AG10" s="93"/>
      <c r="AH10" s="93"/>
      <c r="AI10" s="93"/>
      <c r="AJ10" s="93"/>
    </row>
    <row r="11" spans="1:36">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93"/>
      <c r="T11" s="93"/>
      <c r="U11" s="93"/>
      <c r="V11" s="93"/>
      <c r="W11" s="93"/>
      <c r="X11" s="93"/>
      <c r="Y11" s="93"/>
      <c r="Z11" s="93"/>
      <c r="AA11" s="93"/>
      <c r="AB11" s="93"/>
      <c r="AC11" s="93"/>
      <c r="AD11" s="93"/>
      <c r="AE11" s="93"/>
      <c r="AF11" s="93"/>
      <c r="AG11" s="93"/>
      <c r="AH11" s="93"/>
      <c r="AI11" s="93"/>
      <c r="AJ11" s="93"/>
    </row>
    <row r="12" spans="1:36"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c r="S12" s="93"/>
      <c r="T12" s="93"/>
      <c r="U12" s="93"/>
      <c r="V12" s="93"/>
      <c r="W12" s="93"/>
      <c r="X12" s="93"/>
      <c r="Y12" s="93"/>
      <c r="Z12" s="93"/>
      <c r="AA12" s="93"/>
      <c r="AB12" s="93"/>
      <c r="AC12" s="93"/>
      <c r="AD12" s="93"/>
      <c r="AE12" s="93"/>
      <c r="AF12" s="93"/>
      <c r="AG12" s="93"/>
      <c r="AH12" s="93"/>
      <c r="AI12" s="93"/>
      <c r="AJ12" s="93"/>
    </row>
    <row r="13" spans="1:36"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93"/>
      <c r="T13" s="93"/>
      <c r="U13" s="93"/>
      <c r="V13" s="93"/>
      <c r="W13" s="93"/>
      <c r="X13" s="93"/>
      <c r="Y13" s="93"/>
      <c r="Z13" s="93"/>
      <c r="AA13" s="93"/>
      <c r="AB13" s="93"/>
      <c r="AC13" s="93"/>
      <c r="AD13" s="93"/>
      <c r="AE13" s="93"/>
      <c r="AF13" s="93"/>
      <c r="AG13" s="93"/>
      <c r="AH13" s="93"/>
      <c r="AI13" s="93"/>
      <c r="AJ13" s="93"/>
    </row>
    <row r="14" spans="1:36"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93"/>
      <c r="T14" s="93"/>
      <c r="U14" s="93"/>
      <c r="V14" s="93"/>
      <c r="W14" s="93"/>
      <c r="X14" s="93"/>
      <c r="Y14" s="93"/>
      <c r="Z14" s="93"/>
      <c r="AA14" s="93"/>
      <c r="AB14" s="93"/>
      <c r="AC14" s="93"/>
      <c r="AD14" s="93"/>
      <c r="AE14" s="93"/>
      <c r="AF14" s="93"/>
      <c r="AG14" s="93"/>
      <c r="AH14" s="93"/>
      <c r="AI14" s="93"/>
      <c r="AJ14" s="93"/>
    </row>
    <row r="15" spans="1:36" ht="17.5">
      <c r="A15" s="12"/>
      <c r="B15" s="347"/>
      <c r="C15" s="206" t="s">
        <v>283</v>
      </c>
      <c r="D15" s="308"/>
      <c r="E15" s="297" t="s">
        <v>20</v>
      </c>
      <c r="F15" s="231"/>
      <c r="G15" s="287"/>
      <c r="H15" s="231"/>
      <c r="I15" s="288"/>
      <c r="J15" s="231"/>
      <c r="K15" s="231"/>
      <c r="L15" s="231"/>
      <c r="M15" s="300"/>
      <c r="N15" s="28"/>
      <c r="O15" s="28"/>
      <c r="P15" s="28"/>
      <c r="Q15" s="28"/>
      <c r="R15" s="13"/>
      <c r="S15" s="93"/>
      <c r="T15" s="93"/>
      <c r="U15" s="93"/>
      <c r="V15" s="93"/>
      <c r="W15" s="93"/>
      <c r="X15" s="93"/>
      <c r="Y15" s="93"/>
      <c r="Z15" s="93"/>
      <c r="AA15" s="93"/>
      <c r="AB15" s="93"/>
      <c r="AC15" s="93"/>
      <c r="AD15" s="93"/>
      <c r="AE15" s="93"/>
      <c r="AF15" s="93"/>
      <c r="AG15" s="93"/>
      <c r="AH15" s="93"/>
      <c r="AI15" s="93"/>
      <c r="AJ15" s="93"/>
    </row>
    <row r="16" spans="1:36" s="93" customFormat="1" ht="17.5">
      <c r="A16" s="346"/>
      <c r="B16" s="350"/>
      <c r="C16" s="206" t="s">
        <v>1</v>
      </c>
      <c r="D16" s="384"/>
      <c r="E16" s="297" t="s">
        <v>20</v>
      </c>
      <c r="F16" s="231">
        <f>((VLOOKUP(C16,W21:X25,2,TRUE))*1)*1</f>
        <v>0</v>
      </c>
      <c r="G16" s="287">
        <v>50</v>
      </c>
      <c r="H16" s="231">
        <f t="shared" ref="H16" si="0">D16*F16*G16/100</f>
        <v>0</v>
      </c>
      <c r="I16" s="288"/>
      <c r="J16" s="231"/>
      <c r="K16" s="231"/>
      <c r="L16" s="231"/>
      <c r="M16" s="300"/>
      <c r="N16" s="28"/>
      <c r="O16" s="28"/>
      <c r="P16" s="28"/>
      <c r="Q16" s="28"/>
      <c r="R16" s="13"/>
    </row>
    <row r="17" spans="1:36" ht="17.5">
      <c r="A17" s="376"/>
      <c r="B17" s="376"/>
      <c r="C17" s="206" t="s">
        <v>1</v>
      </c>
      <c r="D17" s="385"/>
      <c r="E17" s="297" t="s">
        <v>20</v>
      </c>
      <c r="F17" s="231">
        <f>((VLOOKUP(C17,W21:X25,2,TRUE))*1)*1</f>
        <v>0</v>
      </c>
      <c r="G17" s="287">
        <v>50</v>
      </c>
      <c r="H17" s="231"/>
      <c r="I17" s="231">
        <f>D17*F17*G17/100</f>
        <v>0</v>
      </c>
      <c r="J17" s="231"/>
      <c r="K17" s="231"/>
      <c r="L17" s="231"/>
      <c r="M17" s="300"/>
      <c r="N17" s="28"/>
      <c r="O17" s="28"/>
      <c r="P17" s="28"/>
      <c r="Q17" s="28"/>
      <c r="R17" s="13"/>
      <c r="S17" s="93"/>
      <c r="T17" s="93"/>
      <c r="U17" s="93"/>
      <c r="V17" s="93"/>
      <c r="W17" s="93"/>
      <c r="X17" s="93"/>
      <c r="Y17" s="93"/>
      <c r="Z17" s="93"/>
      <c r="AA17" s="93"/>
      <c r="AB17" s="93"/>
      <c r="AC17" s="93"/>
      <c r="AD17" s="93"/>
      <c r="AE17" s="93"/>
      <c r="AF17" s="93"/>
      <c r="AG17" s="93"/>
      <c r="AH17" s="93"/>
      <c r="AI17" s="93"/>
      <c r="AJ17" s="93"/>
    </row>
    <row r="18" spans="1:36" ht="17.5">
      <c r="A18" s="12"/>
      <c r="B18" s="347"/>
      <c r="C18" s="206" t="s">
        <v>42</v>
      </c>
      <c r="D18" s="308"/>
      <c r="E18" s="297" t="s">
        <v>20</v>
      </c>
      <c r="F18" s="231">
        <f>((VLOOKUP(C18,W28:X32,2,TRUE))*1)*1</f>
        <v>0</v>
      </c>
      <c r="G18" s="287">
        <v>50</v>
      </c>
      <c r="H18" s="231"/>
      <c r="I18" s="231"/>
      <c r="J18" s="231">
        <f>D18*F18*G18/100</f>
        <v>0</v>
      </c>
      <c r="K18" s="231"/>
      <c r="L18" s="231"/>
      <c r="M18" s="300"/>
      <c r="N18" s="28"/>
      <c r="O18" s="28"/>
      <c r="P18" s="28"/>
      <c r="Q18" s="28"/>
      <c r="R18" s="13"/>
      <c r="S18" s="93"/>
      <c r="T18" s="93"/>
      <c r="U18" s="93"/>
      <c r="V18" s="93"/>
      <c r="W18" s="93"/>
      <c r="X18" s="93"/>
      <c r="Y18" s="93"/>
      <c r="Z18" s="93"/>
      <c r="AA18" s="93"/>
      <c r="AB18" s="93"/>
      <c r="AC18" s="93"/>
      <c r="AD18" s="93"/>
      <c r="AE18" s="93"/>
      <c r="AF18" s="93"/>
      <c r="AG18" s="93"/>
      <c r="AH18" s="93"/>
      <c r="AI18" s="93"/>
      <c r="AJ18" s="93"/>
    </row>
    <row r="19" spans="1:36" ht="17.5">
      <c r="A19" s="12"/>
      <c r="B19" s="347"/>
      <c r="C19" s="206" t="s">
        <v>42</v>
      </c>
      <c r="D19" s="308"/>
      <c r="E19" s="297" t="s">
        <v>20</v>
      </c>
      <c r="F19" s="231">
        <f>((VLOOKUP(C19,W28:X32,2,TRUE))*1)*1</f>
        <v>0</v>
      </c>
      <c r="G19" s="287">
        <v>50</v>
      </c>
      <c r="H19" s="231"/>
      <c r="I19" s="231"/>
      <c r="J19" s="231"/>
      <c r="K19" s="231">
        <f>D19*F19*G19/100</f>
        <v>0</v>
      </c>
      <c r="L19" s="231"/>
      <c r="M19" s="300"/>
      <c r="N19" s="28"/>
      <c r="O19" s="28"/>
      <c r="P19" s="28"/>
      <c r="Q19" s="28"/>
      <c r="R19" s="13"/>
      <c r="S19" s="93"/>
      <c r="T19" s="93"/>
      <c r="U19" s="93"/>
      <c r="V19" s="93"/>
      <c r="W19" s="93"/>
      <c r="X19" s="93"/>
      <c r="Y19" s="93"/>
      <c r="Z19" s="93"/>
      <c r="AA19" s="93"/>
      <c r="AB19" s="93"/>
      <c r="AC19" s="93"/>
      <c r="AD19" s="93"/>
      <c r="AE19" s="93"/>
      <c r="AF19" s="93"/>
      <c r="AG19" s="93"/>
      <c r="AH19" s="93"/>
      <c r="AI19" s="93"/>
      <c r="AJ19" s="93"/>
    </row>
    <row r="20" spans="1:36" ht="17.5">
      <c r="A20" s="12"/>
      <c r="B20" s="347"/>
      <c r="C20" s="206" t="s">
        <v>157</v>
      </c>
      <c r="D20" s="308"/>
      <c r="E20" s="297" t="s">
        <v>20</v>
      </c>
      <c r="F20" s="231">
        <f>((VLOOKUP(C20,W35:X39,2,TRUE))*1)*1</f>
        <v>0</v>
      </c>
      <c r="G20" s="287">
        <v>50</v>
      </c>
      <c r="H20" s="231"/>
      <c r="I20" s="231"/>
      <c r="J20" s="231"/>
      <c r="K20" s="231"/>
      <c r="L20" s="231">
        <f>D20*F20*G20/100</f>
        <v>0</v>
      </c>
      <c r="M20" s="300"/>
      <c r="N20" s="28"/>
      <c r="O20" s="28"/>
      <c r="P20" s="28"/>
      <c r="Q20" s="28"/>
      <c r="R20" s="13"/>
      <c r="S20" s="93"/>
      <c r="T20" s="93"/>
      <c r="U20" s="93"/>
      <c r="V20" s="93"/>
      <c r="W20" s="93"/>
      <c r="X20" s="93"/>
      <c r="Y20" s="93"/>
      <c r="Z20" s="93"/>
      <c r="AA20" s="93"/>
      <c r="AB20" s="93"/>
      <c r="AC20" s="93"/>
      <c r="AD20" s="93"/>
      <c r="AE20" s="93"/>
      <c r="AF20" s="93"/>
      <c r="AG20" s="93"/>
      <c r="AH20" s="93"/>
      <c r="AI20" s="93"/>
      <c r="AJ20" s="93"/>
    </row>
    <row r="21" spans="1:36" ht="17.5">
      <c r="A21" s="12"/>
      <c r="B21" s="347"/>
      <c r="C21" s="206" t="s">
        <v>157</v>
      </c>
      <c r="D21" s="308"/>
      <c r="E21" s="297" t="s">
        <v>20</v>
      </c>
      <c r="F21" s="231">
        <f>((VLOOKUP(C21,W35:X39,2,TRUE))*1)*1</f>
        <v>0</v>
      </c>
      <c r="G21" s="287">
        <v>50</v>
      </c>
      <c r="H21" s="231"/>
      <c r="I21" s="231"/>
      <c r="J21" s="231"/>
      <c r="K21" s="231"/>
      <c r="L21" s="231"/>
      <c r="M21" s="231">
        <f>D21*F21*G21/100</f>
        <v>0</v>
      </c>
      <c r="N21" s="28"/>
      <c r="O21" s="28"/>
      <c r="P21" s="28"/>
      <c r="Q21" s="28"/>
      <c r="R21" s="13"/>
      <c r="S21" s="93"/>
      <c r="T21" s="93"/>
      <c r="U21" s="93"/>
      <c r="V21" s="93"/>
      <c r="W21" s="26" t="s">
        <v>1</v>
      </c>
      <c r="X21" s="11">
        <v>0</v>
      </c>
      <c r="Y21" s="93"/>
      <c r="Z21" s="93"/>
      <c r="AA21" s="93"/>
      <c r="AB21" s="93"/>
      <c r="AC21" s="93"/>
      <c r="AD21" s="93"/>
      <c r="AE21" s="93"/>
      <c r="AF21" s="93"/>
      <c r="AG21" s="93"/>
      <c r="AH21" s="93"/>
      <c r="AI21" s="93"/>
      <c r="AJ21" s="93"/>
    </row>
    <row r="22" spans="1:36" ht="15.5">
      <c r="A22" s="456" t="s">
        <v>89</v>
      </c>
      <c r="B22" s="457"/>
      <c r="C22" s="458"/>
      <c r="D22" s="286"/>
      <c r="E22" s="280"/>
      <c r="F22" s="265"/>
      <c r="G22" s="281"/>
      <c r="H22" s="271">
        <f t="shared" ref="H22:M22" si="1">SUM(H15:H21)</f>
        <v>0</v>
      </c>
      <c r="I22" s="271">
        <f t="shared" si="1"/>
        <v>0</v>
      </c>
      <c r="J22" s="271">
        <f t="shared" si="1"/>
        <v>0</v>
      </c>
      <c r="K22" s="271">
        <f t="shared" si="1"/>
        <v>0</v>
      </c>
      <c r="L22" s="271">
        <f t="shared" si="1"/>
        <v>0</v>
      </c>
      <c r="M22" s="271">
        <f t="shared" si="1"/>
        <v>0</v>
      </c>
      <c r="N22" s="23"/>
      <c r="O22" s="23"/>
      <c r="P22" s="23"/>
      <c r="Q22" s="23"/>
      <c r="R22" s="25"/>
      <c r="S22" s="93"/>
      <c r="T22" s="93"/>
      <c r="U22" s="93"/>
      <c r="V22" s="93"/>
      <c r="W22" s="201" t="s">
        <v>92</v>
      </c>
      <c r="X22" s="72">
        <f>'Component List'!D18</f>
        <v>31.04</v>
      </c>
      <c r="Y22" s="93"/>
      <c r="Z22" s="93"/>
      <c r="AA22" s="93"/>
      <c r="AB22" s="93"/>
      <c r="AC22" s="93"/>
      <c r="AD22" s="93"/>
      <c r="AE22" s="93"/>
      <c r="AF22" s="93"/>
      <c r="AG22" s="93"/>
      <c r="AH22" s="93"/>
      <c r="AI22" s="93"/>
      <c r="AJ22" s="93"/>
    </row>
    <row r="23" spans="1:36" ht="42" customHeight="1">
      <c r="A23" s="496" t="str">
        <f>IF(W42,W45,"")</f>
        <v/>
      </c>
      <c r="B23" s="497"/>
      <c r="C23" s="497"/>
      <c r="D23" s="497"/>
      <c r="E23" s="497"/>
      <c r="F23" s="497"/>
      <c r="G23" s="497"/>
      <c r="H23" s="497"/>
      <c r="I23" s="497"/>
      <c r="J23" s="497"/>
      <c r="K23" s="497"/>
      <c r="L23" s="497"/>
      <c r="M23" s="497"/>
      <c r="N23" s="497"/>
      <c r="O23" s="497"/>
      <c r="P23" s="497"/>
      <c r="Q23" s="497"/>
      <c r="R23" s="497"/>
      <c r="S23" s="93"/>
      <c r="T23" s="93"/>
      <c r="U23" s="93"/>
      <c r="V23" s="93"/>
      <c r="W23" s="201" t="s">
        <v>254</v>
      </c>
      <c r="X23" s="72">
        <f>'Component List'!D19</f>
        <v>100</v>
      </c>
      <c r="Y23" s="93"/>
      <c r="Z23" s="93"/>
      <c r="AA23" s="93"/>
      <c r="AB23" s="93"/>
      <c r="AC23" s="93"/>
      <c r="AD23" s="93"/>
      <c r="AE23" s="93"/>
      <c r="AF23" s="93"/>
      <c r="AG23" s="93"/>
      <c r="AH23" s="93"/>
      <c r="AI23" s="93"/>
      <c r="AJ23" s="93"/>
    </row>
    <row r="24" spans="1:36" ht="15.5">
      <c r="A24" s="401" t="s">
        <v>262</v>
      </c>
      <c r="B24" s="402"/>
      <c r="C24" s="402"/>
      <c r="D24" s="402"/>
      <c r="E24" s="402"/>
      <c r="F24" s="402"/>
      <c r="G24" s="402"/>
      <c r="H24" s="402"/>
      <c r="I24" s="402"/>
      <c r="J24" s="402"/>
      <c r="K24" s="402"/>
      <c r="L24" s="402"/>
      <c r="M24" s="402"/>
      <c r="N24" s="402"/>
      <c r="O24" s="402"/>
      <c r="P24" s="402"/>
      <c r="Q24" s="402"/>
      <c r="R24" s="403"/>
      <c r="S24" s="93"/>
      <c r="T24" s="93"/>
      <c r="U24" s="93"/>
      <c r="V24" s="93"/>
      <c r="W24" s="201" t="s">
        <v>93</v>
      </c>
      <c r="X24" s="72">
        <f>'Component List'!D22</f>
        <v>23.04</v>
      </c>
      <c r="Y24" s="93"/>
      <c r="Z24" s="93"/>
      <c r="AA24" s="93"/>
      <c r="AB24" s="93"/>
      <c r="AC24" s="93"/>
      <c r="AD24" s="93"/>
      <c r="AE24" s="93"/>
      <c r="AF24" s="93"/>
      <c r="AG24" s="93"/>
      <c r="AH24" s="93"/>
      <c r="AI24" s="93"/>
      <c r="AJ24" s="93"/>
    </row>
    <row r="25" spans="1:36" ht="48" customHeight="1">
      <c r="A25" s="393" t="s">
        <v>434</v>
      </c>
      <c r="B25" s="394"/>
      <c r="C25" s="394"/>
      <c r="D25" s="394"/>
      <c r="E25" s="394"/>
      <c r="F25" s="394"/>
      <c r="G25" s="394"/>
      <c r="H25" s="394"/>
      <c r="I25" s="394"/>
      <c r="J25" s="394"/>
      <c r="K25" s="394"/>
      <c r="L25" s="394"/>
      <c r="M25" s="394"/>
      <c r="N25" s="394"/>
      <c r="O25" s="394"/>
      <c r="P25" s="394"/>
      <c r="Q25" s="394"/>
      <c r="R25" s="395"/>
      <c r="S25" s="93"/>
      <c r="T25" s="93"/>
      <c r="U25" s="93"/>
      <c r="V25" s="93"/>
      <c r="W25" s="201" t="s">
        <v>256</v>
      </c>
      <c r="X25" s="72">
        <f>'Component List'!D26</f>
        <v>100</v>
      </c>
      <c r="Y25" s="93"/>
      <c r="Z25" s="93"/>
      <c r="AA25" s="93"/>
      <c r="AB25" s="93"/>
      <c r="AC25" s="93"/>
      <c r="AD25" s="93"/>
      <c r="AE25" s="93"/>
      <c r="AF25" s="93"/>
      <c r="AG25" s="93"/>
      <c r="AH25" s="93"/>
      <c r="AI25" s="93"/>
      <c r="AJ25" s="93"/>
    </row>
    <row r="26" spans="1:36" ht="15.5">
      <c r="A26" s="460" t="s">
        <v>390</v>
      </c>
      <c r="B26" s="461"/>
      <c r="C26" s="461"/>
      <c r="D26" s="461"/>
      <c r="E26" s="461"/>
      <c r="F26" s="461"/>
      <c r="G26" s="461"/>
      <c r="H26" s="461"/>
      <c r="I26" s="461"/>
      <c r="J26" s="461"/>
      <c r="K26" s="461"/>
      <c r="L26" s="461"/>
      <c r="M26" s="461"/>
      <c r="N26" s="461"/>
      <c r="O26" s="461"/>
      <c r="P26" s="461"/>
      <c r="Q26" s="461"/>
      <c r="R26" s="462"/>
      <c r="S26" s="93"/>
      <c r="T26" s="93"/>
      <c r="U26" s="93"/>
      <c r="V26" s="93"/>
      <c r="W26" s="93"/>
      <c r="X26" s="93"/>
      <c r="Y26" s="93"/>
      <c r="Z26" s="93"/>
      <c r="AA26" s="93"/>
      <c r="AB26" s="93"/>
      <c r="AC26" s="93"/>
      <c r="AD26" s="93"/>
      <c r="AE26" s="93"/>
      <c r="AF26" s="93"/>
      <c r="AG26" s="93"/>
      <c r="AH26" s="93"/>
      <c r="AI26" s="93"/>
      <c r="AJ26" s="93"/>
    </row>
    <row r="27" spans="1:36" ht="34.5" customHeight="1">
      <c r="A27" s="463" t="s">
        <v>392</v>
      </c>
      <c r="B27" s="464"/>
      <c r="C27" s="464"/>
      <c r="D27" s="464"/>
      <c r="E27" s="464"/>
      <c r="F27" s="464"/>
      <c r="G27" s="464"/>
      <c r="H27" s="464"/>
      <c r="I27" s="464"/>
      <c r="J27" s="464"/>
      <c r="K27" s="464"/>
      <c r="L27" s="464"/>
      <c r="M27" s="464"/>
      <c r="N27" s="464"/>
      <c r="O27" s="464"/>
      <c r="P27" s="464"/>
      <c r="Q27" s="464"/>
      <c r="R27" s="465"/>
      <c r="S27" s="93"/>
      <c r="T27" s="93"/>
      <c r="U27" s="93"/>
      <c r="V27" s="93"/>
      <c r="W27" s="93"/>
      <c r="X27" s="93"/>
      <c r="Y27" s="93"/>
      <c r="Z27" s="93"/>
      <c r="AA27" s="93"/>
      <c r="AB27" s="93"/>
      <c r="AC27" s="93"/>
      <c r="AD27" s="93"/>
      <c r="AE27" s="93"/>
      <c r="AF27" s="93"/>
      <c r="AG27" s="93"/>
      <c r="AH27" s="93"/>
      <c r="AI27" s="93"/>
      <c r="AJ27" s="93"/>
    </row>
    <row r="28" spans="1:36" ht="15.5">
      <c r="A28" s="413" t="s">
        <v>221</v>
      </c>
      <c r="B28" s="414"/>
      <c r="C28" s="414"/>
      <c r="D28" s="414"/>
      <c r="E28" s="414"/>
      <c r="F28" s="414"/>
      <c r="G28" s="414"/>
      <c r="H28" s="414"/>
      <c r="I28" s="414"/>
      <c r="J28" s="414"/>
      <c r="K28" s="414"/>
      <c r="L28" s="414"/>
      <c r="M28" s="414"/>
      <c r="N28" s="414"/>
      <c r="O28" s="414"/>
      <c r="P28" s="414"/>
      <c r="Q28" s="414"/>
      <c r="R28" s="415"/>
      <c r="S28" s="93"/>
      <c r="T28" s="93"/>
      <c r="U28" s="93"/>
      <c r="V28" s="93"/>
      <c r="W28" s="26" t="s">
        <v>42</v>
      </c>
      <c r="X28" s="80">
        <v>0</v>
      </c>
      <c r="Y28" s="93"/>
      <c r="Z28" s="93"/>
      <c r="AA28" s="93"/>
      <c r="AB28" s="93"/>
      <c r="AC28" s="93"/>
      <c r="AD28" s="93"/>
      <c r="AE28" s="93"/>
      <c r="AF28" s="93"/>
      <c r="AG28" s="93"/>
      <c r="AH28" s="93"/>
      <c r="AI28" s="93"/>
      <c r="AJ28" s="93"/>
    </row>
    <row r="29" spans="1:36" ht="64.5" customHeight="1">
      <c r="A29" s="396" t="s">
        <v>370</v>
      </c>
      <c r="B29" s="397"/>
      <c r="C29" s="397"/>
      <c r="D29" s="397"/>
      <c r="E29" s="397"/>
      <c r="F29" s="397"/>
      <c r="G29" s="397"/>
      <c r="H29" s="397"/>
      <c r="I29" s="397"/>
      <c r="J29" s="397"/>
      <c r="K29" s="397"/>
      <c r="L29" s="397"/>
      <c r="M29" s="397"/>
      <c r="N29" s="397"/>
      <c r="O29" s="397"/>
      <c r="P29" s="397"/>
      <c r="Q29" s="397"/>
      <c r="R29" s="398"/>
      <c r="S29" s="93"/>
      <c r="T29" s="93"/>
      <c r="U29" s="93"/>
      <c r="V29" s="93"/>
      <c r="W29" s="203" t="s">
        <v>95</v>
      </c>
      <c r="X29" s="45">
        <f>'Component List'!D18</f>
        <v>31.04</v>
      </c>
      <c r="Y29" s="93"/>
      <c r="Z29" s="93"/>
      <c r="AA29" s="93"/>
      <c r="AB29" s="93"/>
      <c r="AC29" s="93"/>
      <c r="AD29" s="93"/>
      <c r="AE29" s="93"/>
      <c r="AF29" s="93"/>
      <c r="AG29" s="93"/>
      <c r="AH29" s="93"/>
      <c r="AI29" s="93"/>
      <c r="AJ29" s="93"/>
    </row>
    <row r="30" spans="1:36" ht="15.5">
      <c r="A30" s="93"/>
      <c r="B30" s="93"/>
      <c r="C30" s="93"/>
      <c r="D30" s="93"/>
      <c r="E30" s="93"/>
      <c r="F30" s="93"/>
      <c r="G30" s="93"/>
      <c r="H30" s="93"/>
      <c r="I30" s="93"/>
      <c r="J30" s="93"/>
      <c r="K30" s="93"/>
      <c r="L30" s="93"/>
      <c r="M30" s="93"/>
      <c r="N30" s="93"/>
      <c r="O30" s="93"/>
      <c r="P30" s="93"/>
      <c r="Q30" s="93"/>
      <c r="R30" s="93"/>
      <c r="S30" s="93"/>
      <c r="T30" s="93"/>
      <c r="U30" s="93"/>
      <c r="V30" s="93"/>
      <c r="W30" s="203" t="s">
        <v>131</v>
      </c>
      <c r="X30" s="45">
        <f>'Component List'!D19</f>
        <v>100</v>
      </c>
      <c r="Y30" s="93"/>
      <c r="Z30" s="93"/>
      <c r="AA30" s="93"/>
      <c r="AB30" s="93"/>
      <c r="AC30" s="93"/>
      <c r="AD30" s="93"/>
      <c r="AE30" s="93"/>
      <c r="AF30" s="93"/>
      <c r="AG30" s="93"/>
      <c r="AH30" s="93"/>
      <c r="AI30" s="93"/>
      <c r="AJ30" s="93"/>
    </row>
    <row r="31" spans="1:36" ht="15.5">
      <c r="A31" s="93"/>
      <c r="B31" s="93"/>
      <c r="C31" s="93"/>
      <c r="D31" s="93"/>
      <c r="E31" s="93"/>
      <c r="F31" s="93"/>
      <c r="G31" s="93"/>
      <c r="H31" s="93"/>
      <c r="I31" s="93"/>
      <c r="J31" s="93"/>
      <c r="K31" s="93"/>
      <c r="L31" s="93"/>
      <c r="M31" s="93"/>
      <c r="N31" s="93"/>
      <c r="O31" s="93"/>
      <c r="P31" s="93"/>
      <c r="Q31" s="93"/>
      <c r="R31" s="93"/>
      <c r="S31" s="93"/>
      <c r="T31" s="93"/>
      <c r="U31" s="93"/>
      <c r="V31" s="93"/>
      <c r="W31" s="203" t="s">
        <v>154</v>
      </c>
      <c r="X31" s="45">
        <f>'Component List'!D22</f>
        <v>23.04</v>
      </c>
      <c r="Y31" s="93"/>
      <c r="Z31" s="93"/>
      <c r="AA31" s="93"/>
      <c r="AB31" s="93"/>
      <c r="AC31" s="93"/>
      <c r="AD31" s="93"/>
      <c r="AE31" s="93"/>
      <c r="AF31" s="93"/>
      <c r="AG31" s="93"/>
      <c r="AH31" s="93"/>
      <c r="AI31" s="93"/>
      <c r="AJ31" s="93"/>
    </row>
    <row r="32" spans="1:36" ht="15.5">
      <c r="A32" s="93"/>
      <c r="B32" s="93"/>
      <c r="C32" s="93"/>
      <c r="D32" s="93"/>
      <c r="E32" s="93"/>
      <c r="F32" s="93"/>
      <c r="G32" s="93"/>
      <c r="H32" s="93"/>
      <c r="I32" s="93"/>
      <c r="J32" s="93"/>
      <c r="K32" s="93"/>
      <c r="L32" s="93"/>
      <c r="M32" s="93"/>
      <c r="N32" s="93"/>
      <c r="O32" s="93"/>
      <c r="P32" s="93"/>
      <c r="Q32" s="93"/>
      <c r="R32" s="93"/>
      <c r="S32" s="93"/>
      <c r="T32" s="93"/>
      <c r="U32" s="93"/>
      <c r="V32" s="93"/>
      <c r="W32" s="203" t="s">
        <v>119</v>
      </c>
      <c r="X32" s="45">
        <f>'Component List'!D26</f>
        <v>100</v>
      </c>
      <c r="Y32" s="93"/>
      <c r="Z32" s="93"/>
      <c r="AA32" s="93"/>
      <c r="AB32" s="93"/>
      <c r="AC32" s="93"/>
      <c r="AD32" s="93"/>
      <c r="AE32" s="93"/>
      <c r="AF32" s="93"/>
      <c r="AG32" s="93"/>
      <c r="AH32" s="93"/>
      <c r="AI32" s="93"/>
      <c r="AJ32" s="93"/>
    </row>
    <row r="33" spans="1:36" ht="15.5">
      <c r="A33" s="93"/>
      <c r="B33" s="93"/>
      <c r="C33" s="93"/>
      <c r="D33" s="93"/>
      <c r="E33" s="93"/>
      <c r="F33" s="93"/>
      <c r="G33" s="93"/>
      <c r="H33" s="93"/>
      <c r="I33" s="93"/>
      <c r="J33" s="93"/>
      <c r="K33" s="93"/>
      <c r="L33" s="93"/>
      <c r="M33" s="93"/>
      <c r="N33" s="93"/>
      <c r="O33" s="93"/>
      <c r="P33" s="93"/>
      <c r="Q33" s="93"/>
      <c r="R33" s="93"/>
      <c r="S33" s="93"/>
      <c r="T33" s="93"/>
      <c r="U33" s="93"/>
      <c r="V33" s="93"/>
      <c r="W33" s="26"/>
      <c r="X33" s="80">
        <v>0</v>
      </c>
      <c r="Y33" s="93"/>
      <c r="Z33" s="93"/>
      <c r="AA33" s="93"/>
      <c r="AB33" s="93"/>
      <c r="AC33" s="93"/>
      <c r="AD33" s="93"/>
      <c r="AE33" s="93"/>
      <c r="AF33" s="93"/>
      <c r="AG33" s="93"/>
      <c r="AH33" s="93"/>
      <c r="AI33" s="93"/>
      <c r="AJ33" s="93"/>
    </row>
    <row r="34" spans="1:36" ht="15.5">
      <c r="A34" s="93"/>
      <c r="B34" s="93"/>
      <c r="C34" s="93"/>
      <c r="D34" s="93"/>
      <c r="E34" s="93"/>
      <c r="F34" s="93"/>
      <c r="G34" s="93"/>
      <c r="H34" s="93"/>
      <c r="I34" s="93"/>
      <c r="J34" s="93"/>
      <c r="K34" s="93"/>
      <c r="L34" s="93"/>
      <c r="M34" s="93"/>
      <c r="N34" s="93"/>
      <c r="O34" s="93"/>
      <c r="P34" s="93"/>
      <c r="Q34" s="93"/>
      <c r="R34" s="93"/>
      <c r="S34" s="93"/>
      <c r="T34" s="93"/>
      <c r="U34" s="93"/>
      <c r="V34" s="93"/>
      <c r="W34" s="26"/>
      <c r="X34" s="80">
        <v>0</v>
      </c>
      <c r="Y34" s="93"/>
      <c r="Z34" s="93"/>
      <c r="AA34" s="93"/>
      <c r="AB34" s="93"/>
      <c r="AC34" s="93"/>
      <c r="AD34" s="93"/>
      <c r="AE34" s="93"/>
      <c r="AF34" s="93"/>
      <c r="AG34" s="93"/>
      <c r="AH34" s="93"/>
      <c r="AI34" s="93"/>
      <c r="AJ34" s="93"/>
    </row>
    <row r="35" spans="1:36" ht="15.5">
      <c r="A35" s="93"/>
      <c r="B35" s="93"/>
      <c r="C35" s="93"/>
      <c r="D35" s="93"/>
      <c r="E35" s="93"/>
      <c r="F35" s="93"/>
      <c r="G35" s="93"/>
      <c r="H35" s="93"/>
      <c r="I35" s="93"/>
      <c r="J35" s="93"/>
      <c r="K35" s="93"/>
      <c r="L35" s="93"/>
      <c r="M35" s="93"/>
      <c r="N35" s="93"/>
      <c r="O35" s="93"/>
      <c r="P35" s="93"/>
      <c r="Q35" s="93"/>
      <c r="R35" s="93"/>
      <c r="S35" s="93"/>
      <c r="T35" s="93"/>
      <c r="U35" s="93"/>
      <c r="V35" s="93"/>
      <c r="W35" s="205" t="s">
        <v>157</v>
      </c>
      <c r="X35" s="80">
        <v>0</v>
      </c>
      <c r="Y35" s="93"/>
      <c r="Z35" s="93"/>
      <c r="AA35" s="93"/>
      <c r="AB35" s="93"/>
      <c r="AC35" s="93"/>
      <c r="AD35" s="93"/>
      <c r="AE35" s="93"/>
      <c r="AF35" s="93"/>
      <c r="AG35" s="93"/>
      <c r="AH35" s="93"/>
      <c r="AI35" s="93"/>
      <c r="AJ35" s="93"/>
    </row>
    <row r="36" spans="1:36" ht="15.5">
      <c r="A36" s="93"/>
      <c r="B36" s="93"/>
      <c r="C36" s="93"/>
      <c r="D36" s="93"/>
      <c r="E36" s="93"/>
      <c r="F36" s="93"/>
      <c r="G36" s="93"/>
      <c r="H36" s="93"/>
      <c r="I36" s="93"/>
      <c r="J36" s="93"/>
      <c r="K36" s="93"/>
      <c r="L36" s="93"/>
      <c r="M36" s="93"/>
      <c r="N36" s="93"/>
      <c r="O36" s="93"/>
      <c r="P36" s="93"/>
      <c r="Q36" s="93"/>
      <c r="R36" s="93"/>
      <c r="S36" s="93"/>
      <c r="T36" s="93"/>
      <c r="U36" s="93"/>
      <c r="V36" s="93"/>
      <c r="W36" s="203" t="s">
        <v>155</v>
      </c>
      <c r="X36" s="45">
        <f>'Component List'!D18</f>
        <v>31.04</v>
      </c>
      <c r="Y36" s="93"/>
      <c r="Z36" s="93"/>
      <c r="AA36" s="93"/>
      <c r="AB36" s="93"/>
      <c r="AC36" s="93"/>
      <c r="AD36" s="93"/>
      <c r="AE36" s="93"/>
      <c r="AF36" s="93"/>
      <c r="AG36" s="93"/>
      <c r="AH36" s="93"/>
      <c r="AI36" s="93"/>
      <c r="AJ36" s="93"/>
    </row>
    <row r="37" spans="1:36" ht="15.5">
      <c r="A37" s="93"/>
      <c r="B37" s="93"/>
      <c r="C37" s="93"/>
      <c r="D37" s="93"/>
      <c r="E37" s="93"/>
      <c r="F37" s="93"/>
      <c r="G37" s="93"/>
      <c r="H37" s="93"/>
      <c r="I37" s="93"/>
      <c r="J37" s="93"/>
      <c r="K37" s="93"/>
      <c r="L37" s="93"/>
      <c r="M37" s="93"/>
      <c r="N37" s="93"/>
      <c r="O37" s="93"/>
      <c r="P37" s="93"/>
      <c r="Q37" s="93"/>
      <c r="R37" s="93"/>
      <c r="S37" s="93"/>
      <c r="T37" s="93"/>
      <c r="U37" s="93"/>
      <c r="V37" s="93"/>
      <c r="W37" s="203" t="s">
        <v>132</v>
      </c>
      <c r="X37" s="45">
        <f>'Component List'!D19</f>
        <v>100</v>
      </c>
      <c r="Y37" s="93"/>
      <c r="Z37" s="93"/>
      <c r="AA37" s="93"/>
      <c r="AB37" s="93"/>
      <c r="AC37" s="93"/>
      <c r="AD37" s="93"/>
      <c r="AE37" s="93"/>
      <c r="AF37" s="93"/>
      <c r="AG37" s="93"/>
      <c r="AH37" s="93"/>
      <c r="AI37" s="93"/>
      <c r="AJ37" s="93"/>
    </row>
    <row r="38" spans="1:36" ht="15.5">
      <c r="A38" s="93"/>
      <c r="B38" s="93"/>
      <c r="C38" s="93"/>
      <c r="D38" s="93"/>
      <c r="E38" s="93"/>
      <c r="F38" s="93"/>
      <c r="G38" s="93"/>
      <c r="H38" s="93"/>
      <c r="I38" s="93"/>
      <c r="J38" s="93"/>
      <c r="K38" s="93"/>
      <c r="L38" s="93"/>
      <c r="M38" s="93"/>
      <c r="N38" s="93"/>
      <c r="O38" s="93"/>
      <c r="P38" s="93"/>
      <c r="Q38" s="93"/>
      <c r="R38" s="93"/>
      <c r="S38" s="93"/>
      <c r="T38" s="93"/>
      <c r="U38" s="93"/>
      <c r="V38" s="93"/>
      <c r="W38" s="203" t="s">
        <v>156</v>
      </c>
      <c r="X38" s="45">
        <f>'Component List'!D22</f>
        <v>23.04</v>
      </c>
      <c r="Y38" s="93"/>
      <c r="Z38" s="93"/>
      <c r="AA38" s="93"/>
      <c r="AB38" s="93"/>
      <c r="AC38" s="93"/>
      <c r="AD38" s="93"/>
      <c r="AE38" s="93"/>
      <c r="AF38" s="93"/>
      <c r="AG38" s="93"/>
      <c r="AH38" s="93"/>
      <c r="AI38" s="93"/>
      <c r="AJ38" s="93"/>
    </row>
    <row r="39" spans="1:36" ht="15.5">
      <c r="A39" s="93"/>
      <c r="B39" s="93"/>
      <c r="C39" s="93"/>
      <c r="D39" s="93"/>
      <c r="E39" s="93"/>
      <c r="F39" s="93"/>
      <c r="G39" s="93"/>
      <c r="H39" s="93"/>
      <c r="I39" s="93"/>
      <c r="J39" s="93"/>
      <c r="K39" s="93"/>
      <c r="L39" s="93"/>
      <c r="M39" s="93"/>
      <c r="N39" s="93"/>
      <c r="O39" s="93"/>
      <c r="P39" s="93"/>
      <c r="Q39" s="93"/>
      <c r="R39" s="93"/>
      <c r="S39" s="93"/>
      <c r="T39" s="93"/>
      <c r="U39" s="93"/>
      <c r="V39" s="93"/>
      <c r="W39" s="203" t="s">
        <v>116</v>
      </c>
      <c r="X39" s="45">
        <f>'Component List'!D26</f>
        <v>100</v>
      </c>
      <c r="Y39" s="93"/>
      <c r="Z39" s="93"/>
      <c r="AA39" s="93"/>
      <c r="AB39" s="93"/>
      <c r="AC39" s="93"/>
      <c r="AD39" s="93"/>
      <c r="AE39" s="93"/>
      <c r="AF39" s="93"/>
      <c r="AG39" s="93"/>
      <c r="AH39" s="93"/>
      <c r="AI39" s="93"/>
      <c r="AJ39" s="93"/>
    </row>
    <row r="40" spans="1:36">
      <c r="A40" s="93"/>
      <c r="B40" s="93"/>
      <c r="C40" s="93"/>
      <c r="D40" s="93"/>
      <c r="E40" s="93"/>
      <c r="F40" s="93"/>
      <c r="G40" s="93"/>
      <c r="H40" s="93"/>
      <c r="I40" s="93"/>
      <c r="J40" s="93"/>
      <c r="K40" s="93"/>
      <c r="L40" s="93"/>
      <c r="M40" s="93"/>
      <c r="N40" s="93"/>
      <c r="O40" s="93"/>
      <c r="P40" s="93"/>
      <c r="Q40" s="93"/>
      <c r="R40" s="93"/>
      <c r="S40" s="93"/>
      <c r="T40" s="93"/>
      <c r="U40" s="93"/>
      <c r="V40" s="93"/>
      <c r="W40" s="93"/>
      <c r="X40" s="80"/>
      <c r="Y40" s="93"/>
      <c r="Z40" s="93"/>
      <c r="AA40" s="93"/>
      <c r="AB40" s="93"/>
      <c r="AC40" s="93"/>
      <c r="AD40" s="93"/>
      <c r="AE40" s="93"/>
      <c r="AF40" s="93"/>
      <c r="AG40" s="93"/>
      <c r="AH40" s="93"/>
      <c r="AI40" s="93"/>
      <c r="AJ40" s="93"/>
    </row>
    <row r="41" spans="1:36">
      <c r="A41" s="93"/>
      <c r="B41" s="93"/>
      <c r="C41" s="93"/>
      <c r="D41" s="93"/>
      <c r="E41" s="93"/>
      <c r="F41" s="93"/>
      <c r="G41" s="93"/>
      <c r="H41" s="93"/>
      <c r="I41" s="93"/>
      <c r="J41" s="93"/>
      <c r="K41" s="93"/>
      <c r="L41" s="93"/>
      <c r="M41" s="93"/>
      <c r="N41" s="93"/>
      <c r="O41" s="93"/>
      <c r="P41" s="93"/>
      <c r="Q41" s="93"/>
      <c r="R41" s="93"/>
      <c r="S41" s="93"/>
      <c r="T41" s="93"/>
      <c r="U41" s="93"/>
      <c r="V41" s="93"/>
      <c r="W41" s="93"/>
      <c r="X41" s="80"/>
      <c r="Y41" s="93"/>
      <c r="Z41" s="93"/>
      <c r="AA41" s="93"/>
      <c r="AB41" s="93"/>
      <c r="AC41" s="93"/>
      <c r="AD41" s="93"/>
      <c r="AE41" s="93"/>
      <c r="AF41" s="93"/>
      <c r="AG41" s="93"/>
      <c r="AH41" s="93"/>
      <c r="AI41" s="93"/>
      <c r="AJ41" s="93"/>
    </row>
    <row r="42" spans="1:36">
      <c r="A42" s="93"/>
      <c r="B42" s="93"/>
      <c r="C42" s="93"/>
      <c r="D42" s="93"/>
      <c r="E42" s="93"/>
      <c r="F42" s="93"/>
      <c r="G42" s="93"/>
      <c r="H42" s="93"/>
      <c r="I42" s="93"/>
      <c r="J42" s="93"/>
      <c r="K42" s="93"/>
      <c r="L42" s="93"/>
      <c r="M42" s="93"/>
      <c r="N42" s="93"/>
      <c r="O42" s="93"/>
      <c r="P42" s="93"/>
      <c r="Q42" s="93"/>
      <c r="R42" s="93"/>
      <c r="S42" s="93"/>
      <c r="T42" s="93"/>
      <c r="U42" s="93"/>
      <c r="V42" s="93"/>
      <c r="W42" s="93" t="b">
        <f>OR(C18=W30,C18=W32,C19=W30,C19=W32,C20=W37,C20=W39,C21=W37,C21=W39,C16=W23,C16=W25,C17=W23,C17=W25)</f>
        <v>0</v>
      </c>
      <c r="X42" s="80"/>
      <c r="Y42" s="93"/>
      <c r="Z42" s="93"/>
      <c r="AA42" s="93"/>
      <c r="AB42" s="93"/>
      <c r="AC42" s="93"/>
      <c r="AD42" s="93"/>
      <c r="AE42" s="93"/>
      <c r="AF42" s="93"/>
      <c r="AG42" s="93"/>
      <c r="AH42" s="93"/>
      <c r="AI42" s="93"/>
      <c r="AJ42" s="93"/>
    </row>
    <row r="43" spans="1:36" ht="12.75" customHeight="1">
      <c r="A43" s="93"/>
      <c r="B43" s="93"/>
      <c r="C43" s="93"/>
      <c r="D43" s="93"/>
      <c r="E43" s="93"/>
      <c r="F43" s="93"/>
      <c r="G43" s="93"/>
      <c r="H43" s="93"/>
      <c r="I43" s="93"/>
      <c r="J43" s="93"/>
      <c r="K43" s="93"/>
      <c r="L43" s="93"/>
      <c r="M43" s="93"/>
      <c r="N43" s="93"/>
      <c r="O43" s="93"/>
      <c r="P43" s="93"/>
      <c r="Q43" s="93"/>
      <c r="R43" s="93"/>
      <c r="S43" s="93"/>
      <c r="T43" s="93"/>
      <c r="U43" s="93"/>
      <c r="V43" s="93"/>
      <c r="W43" s="93"/>
      <c r="X43" s="80"/>
      <c r="Y43" s="93"/>
      <c r="Z43" s="93"/>
      <c r="AA43" s="93"/>
      <c r="AB43" s="93"/>
      <c r="AC43" s="93"/>
      <c r="AD43" s="93"/>
      <c r="AE43" s="93"/>
      <c r="AF43" s="93"/>
      <c r="AG43" s="93"/>
      <c r="AH43" s="93"/>
      <c r="AI43" s="93"/>
      <c r="AJ43" s="93"/>
    </row>
    <row r="44" spans="1:36" ht="6.75" customHeight="1">
      <c r="A44" s="93"/>
      <c r="B44" s="93"/>
      <c r="C44" s="93"/>
      <c r="D44" s="93"/>
      <c r="E44" s="93"/>
      <c r="F44" s="93"/>
      <c r="G44" s="93"/>
      <c r="H44" s="93"/>
      <c r="I44" s="93"/>
      <c r="J44" s="93"/>
      <c r="K44" s="93"/>
      <c r="L44" s="93"/>
      <c r="M44" s="93"/>
      <c r="N44" s="93"/>
      <c r="O44" s="93"/>
      <c r="P44" s="93"/>
      <c r="Q44" s="93"/>
      <c r="R44" s="93"/>
      <c r="S44" s="93"/>
      <c r="T44" s="93"/>
      <c r="U44" s="93"/>
      <c r="V44" s="93"/>
      <c r="W44" s="93"/>
      <c r="X44" s="80"/>
      <c r="Y44" s="93"/>
      <c r="Z44" s="93"/>
      <c r="AA44" s="93"/>
      <c r="AB44" s="93"/>
      <c r="AC44" s="93"/>
      <c r="AD44" s="93"/>
      <c r="AE44" s="93"/>
      <c r="AF44" s="93"/>
      <c r="AG44" s="93"/>
      <c r="AH44" s="93"/>
      <c r="AI44" s="93"/>
      <c r="AJ44" s="93"/>
    </row>
    <row r="45" spans="1:36" ht="12.75" customHeight="1">
      <c r="A45" s="93"/>
      <c r="B45" s="93"/>
      <c r="C45" s="93"/>
      <c r="D45" s="93"/>
      <c r="E45" s="93"/>
      <c r="F45" s="93"/>
      <c r="G45" s="93"/>
      <c r="H45" s="93"/>
      <c r="I45" s="93"/>
      <c r="J45" s="93"/>
      <c r="K45" s="93"/>
      <c r="L45" s="93"/>
      <c r="M45" s="93"/>
      <c r="N45" s="93"/>
      <c r="O45" s="93"/>
      <c r="P45" s="93"/>
      <c r="Q45" s="93"/>
      <c r="R45" s="93"/>
      <c r="S45" s="93"/>
      <c r="T45" s="93"/>
      <c r="U45" s="93"/>
      <c r="V45" s="93"/>
      <c r="W45" s="493" t="s">
        <v>253</v>
      </c>
      <c r="X45" s="511"/>
      <c r="Y45" s="511"/>
      <c r="Z45" s="511"/>
      <c r="AA45" s="511"/>
      <c r="AB45" s="511"/>
      <c r="AC45" s="511"/>
      <c r="AD45" s="511"/>
      <c r="AE45" s="511"/>
      <c r="AF45" s="511"/>
      <c r="AG45" s="511"/>
      <c r="AH45" s="511"/>
      <c r="AI45" s="511"/>
      <c r="AJ45" s="511"/>
    </row>
    <row r="46" spans="1:36" ht="34.5" customHeight="1">
      <c r="A46" s="93"/>
      <c r="B46" s="93"/>
      <c r="C46" s="93"/>
      <c r="D46" s="93"/>
      <c r="E46" s="93"/>
      <c r="F46" s="93"/>
      <c r="G46" s="93"/>
      <c r="H46" s="93"/>
      <c r="I46" s="93"/>
      <c r="J46" s="93"/>
      <c r="K46" s="93"/>
      <c r="L46" s="93"/>
      <c r="M46" s="93"/>
      <c r="N46" s="93"/>
      <c r="O46" s="93"/>
      <c r="P46" s="93"/>
      <c r="Q46" s="93"/>
      <c r="R46" s="93"/>
      <c r="S46" s="93"/>
      <c r="T46" s="93"/>
      <c r="U46" s="93"/>
      <c r="V46" s="93"/>
      <c r="W46" s="495"/>
      <c r="X46" s="495"/>
      <c r="Y46" s="495"/>
      <c r="Z46" s="495"/>
      <c r="AA46" s="495"/>
      <c r="AB46" s="495"/>
      <c r="AC46" s="495"/>
      <c r="AD46" s="495"/>
      <c r="AE46" s="495"/>
      <c r="AF46" s="495"/>
      <c r="AG46" s="495"/>
      <c r="AH46" s="495"/>
      <c r="AI46" s="495"/>
      <c r="AJ46" s="495"/>
    </row>
    <row r="47" spans="1:36" ht="15.5">
      <c r="W47" s="371"/>
      <c r="X47" s="371"/>
      <c r="Y47" s="371"/>
      <c r="Z47" s="371"/>
      <c r="AA47" s="371"/>
      <c r="AB47" s="371"/>
      <c r="AC47" s="371"/>
      <c r="AD47" s="371"/>
      <c r="AE47" s="371"/>
      <c r="AF47" s="371"/>
      <c r="AG47" s="371"/>
      <c r="AH47" s="371"/>
      <c r="AI47" s="371"/>
      <c r="AJ47" s="371"/>
    </row>
    <row r="48" spans="1:36">
      <c r="W48" s="372"/>
      <c r="X48" s="372"/>
      <c r="Y48" s="372"/>
      <c r="Z48" s="372"/>
      <c r="AA48" s="372"/>
      <c r="AB48" s="372"/>
      <c r="AC48" s="372"/>
      <c r="AD48" s="372"/>
      <c r="AE48" s="372"/>
      <c r="AF48" s="372"/>
      <c r="AG48" s="372"/>
      <c r="AH48" s="372"/>
      <c r="AI48" s="372"/>
      <c r="AJ48" s="372"/>
    </row>
  </sheetData>
  <mergeCells count="35">
    <mergeCell ref="W45:AJ46"/>
    <mergeCell ref="A25:R25"/>
    <mergeCell ref="A26:R26"/>
    <mergeCell ref="A27:R27"/>
    <mergeCell ref="A28:R28"/>
    <mergeCell ref="A29:R29"/>
    <mergeCell ref="A24:R24"/>
    <mergeCell ref="A6:R6"/>
    <mergeCell ref="A7:R7"/>
    <mergeCell ref="A8:R8"/>
    <mergeCell ref="A9:A13"/>
    <mergeCell ref="B9:B13"/>
    <mergeCell ref="C9:C13"/>
    <mergeCell ref="D9:D13"/>
    <mergeCell ref="E9:E13"/>
    <mergeCell ref="F9:F13"/>
    <mergeCell ref="G9:G13"/>
    <mergeCell ref="H9:Q9"/>
    <mergeCell ref="R9:R13"/>
    <mergeCell ref="H10:Q10"/>
    <mergeCell ref="A22:C22"/>
    <mergeCell ref="A23:R2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20:C21">
      <formula1>$W$35:$W$39</formula1>
    </dataValidation>
    <dataValidation type="list" allowBlank="1" showInputMessage="1" showErrorMessage="1" promptTitle="Choose Management" sqref="C18:C19">
      <formula1>$W$28:$W$32</formula1>
    </dataValidation>
    <dataValidation type="list" allowBlank="1" showInputMessage="1" showErrorMessage="1" sqref="C16:C17">
      <formula1>$W$21:$W$25</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7393" r:id="rId4" name="Check Box 1">
              <controlPr defaultSize="0" autoFill="0" autoLine="0" autoPict="0">
                <anchor moveWithCells="1">
                  <from>
                    <xdr:col>3</xdr:col>
                    <xdr:colOff>196850</xdr:colOff>
                    <xdr:row>0</xdr:row>
                    <xdr:rowOff>19050</xdr:rowOff>
                  </from>
                  <to>
                    <xdr:col>4</xdr:col>
                    <xdr:colOff>57150</xdr:colOff>
                    <xdr:row>0</xdr:row>
                    <xdr:rowOff>158750</xdr:rowOff>
                  </to>
                </anchor>
              </controlPr>
            </control>
          </mc:Choice>
        </mc:AlternateContent>
        <mc:AlternateContent xmlns:mc="http://schemas.openxmlformats.org/markup-compatibility/2006">
          <mc:Choice Requires="x14">
            <control shapeId="187394" r:id="rId5" name="Check Box 2">
              <controlPr defaultSize="0" autoFill="0" autoLine="0" autoPict="0">
                <anchor moveWithCells="1">
                  <from>
                    <xdr:col>7</xdr:col>
                    <xdr:colOff>228600</xdr:colOff>
                    <xdr:row>0</xdr:row>
                    <xdr:rowOff>12700</xdr:rowOff>
                  </from>
                  <to>
                    <xdr:col>8</xdr:col>
                    <xdr:colOff>95250</xdr:colOff>
                    <xdr:row>0</xdr:row>
                    <xdr:rowOff>146050</xdr:rowOff>
                  </to>
                </anchor>
              </controlPr>
            </control>
          </mc:Choice>
        </mc:AlternateContent>
      </controls>
    </mc:Choice>
  </mc:AlternateConten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pageSetUpPr fitToPage="1"/>
  </sheetPr>
  <dimension ref="A1:AJ61"/>
  <sheetViews>
    <sheetView topLeftCell="A10" zoomScale="53" zoomScaleNormal="53" workbookViewId="0">
      <selection activeCell="D16" sqref="D16"/>
    </sheetView>
  </sheetViews>
  <sheetFormatPr defaultRowHeight="12.5"/>
  <cols>
    <col min="3" max="3" width="73" customWidth="1"/>
    <col min="4" max="4" width="12.81640625" customWidth="1"/>
    <col min="6" max="6" width="11.1796875" customWidth="1"/>
    <col min="7" max="7" width="12" customWidth="1"/>
    <col min="8" max="8" width="15.453125" customWidth="1"/>
    <col min="9" max="9" width="9.7265625" customWidth="1"/>
    <col min="10" max="10" width="14.7265625" customWidth="1"/>
    <col min="11" max="13" width="15.54296875" customWidth="1"/>
    <col min="14" max="14" width="5.54296875" customWidth="1"/>
    <col min="15" max="15" width="6.7265625" customWidth="1"/>
    <col min="16" max="16" width="5.81640625" customWidth="1"/>
    <col min="17" max="17" width="5.54296875" customWidth="1"/>
    <col min="18" max="18" width="6" customWidth="1"/>
    <col min="20" max="21" width="9.1796875" style="93"/>
    <col min="23" max="23" width="54.816406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49.25" customHeight="1">
      <c r="A7" s="467" t="s">
        <v>498</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8"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c r="A15" s="64"/>
      <c r="B15" s="64"/>
      <c r="C15" s="242" t="s">
        <v>297</v>
      </c>
      <c r="D15" s="167"/>
      <c r="E15" s="166"/>
      <c r="F15" s="27"/>
      <c r="G15" s="67"/>
      <c r="H15" s="27"/>
      <c r="I15" s="28"/>
      <c r="J15" s="28"/>
      <c r="K15" s="28"/>
      <c r="L15" s="28"/>
      <c r="M15" s="28"/>
      <c r="N15" s="28"/>
      <c r="O15" s="28"/>
      <c r="P15" s="28"/>
      <c r="Q15" s="28"/>
      <c r="R15" s="13"/>
    </row>
    <row r="16" spans="1:18" ht="17.5">
      <c r="A16" s="12"/>
      <c r="B16" s="347"/>
      <c r="C16" s="206" t="s">
        <v>160</v>
      </c>
      <c r="D16" s="308"/>
      <c r="E16" s="297" t="s">
        <v>20</v>
      </c>
      <c r="F16" s="231">
        <f>'Component List'!D2</f>
        <v>1.6399999999999997</v>
      </c>
      <c r="G16" s="287">
        <v>50</v>
      </c>
      <c r="H16" s="231">
        <f>D16*F16*G16/100</f>
        <v>0</v>
      </c>
      <c r="I16" s="231"/>
      <c r="J16" s="231"/>
      <c r="K16" s="231"/>
      <c r="L16" s="231"/>
      <c r="M16" s="300"/>
      <c r="N16" s="28"/>
      <c r="O16" s="28"/>
      <c r="P16" s="28"/>
      <c r="Q16" s="28"/>
      <c r="R16" s="13"/>
    </row>
    <row r="17" spans="1:18" ht="17.5">
      <c r="A17" s="12"/>
      <c r="B17" s="347"/>
      <c r="C17" s="206" t="s">
        <v>159</v>
      </c>
      <c r="D17" s="308"/>
      <c r="E17" s="297" t="s">
        <v>20</v>
      </c>
      <c r="F17" s="231">
        <f>'Component List'!D3</f>
        <v>0</v>
      </c>
      <c r="G17" s="287">
        <v>50</v>
      </c>
      <c r="H17" s="231">
        <f>D17*F17*G17/100</f>
        <v>0</v>
      </c>
      <c r="I17" s="231"/>
      <c r="J17" s="231"/>
      <c r="K17" s="231"/>
      <c r="L17" s="231"/>
      <c r="M17" s="300"/>
      <c r="N17" s="28"/>
      <c r="O17" s="28"/>
      <c r="P17" s="28"/>
      <c r="Q17" s="28"/>
      <c r="R17" s="13"/>
    </row>
    <row r="18" spans="1:18" ht="17.5">
      <c r="A18" s="12"/>
      <c r="B18" s="347"/>
      <c r="C18" s="206" t="s">
        <v>161</v>
      </c>
      <c r="D18" s="308"/>
      <c r="E18" s="297" t="s">
        <v>20</v>
      </c>
      <c r="F18" s="231">
        <f>'Component List'!D4</f>
        <v>80.06</v>
      </c>
      <c r="G18" s="287">
        <v>50</v>
      </c>
      <c r="H18" s="231">
        <f t="shared" ref="H18:H28" si="0">D18*F18*G18/100</f>
        <v>0</v>
      </c>
      <c r="I18" s="231"/>
      <c r="J18" s="231"/>
      <c r="K18" s="231"/>
      <c r="L18" s="231"/>
      <c r="M18" s="300"/>
      <c r="N18" s="28"/>
      <c r="O18" s="28"/>
      <c r="P18" s="28"/>
      <c r="Q18" s="28"/>
      <c r="R18" s="13"/>
    </row>
    <row r="19" spans="1:18" ht="17.5">
      <c r="A19" s="12"/>
      <c r="B19" s="347"/>
      <c r="C19" s="206" t="s">
        <v>302</v>
      </c>
      <c r="D19" s="308"/>
      <c r="E19" s="297" t="s">
        <v>20</v>
      </c>
      <c r="F19" s="231">
        <f>'Component List'!D5</f>
        <v>62.6</v>
      </c>
      <c r="G19" s="287">
        <v>50</v>
      </c>
      <c r="H19" s="231">
        <f t="shared" si="0"/>
        <v>0</v>
      </c>
      <c r="I19" s="231"/>
      <c r="J19" s="231"/>
      <c r="K19" s="231"/>
      <c r="L19" s="231"/>
      <c r="M19" s="300"/>
      <c r="N19" s="28"/>
      <c r="O19" s="28"/>
      <c r="P19" s="28"/>
      <c r="Q19" s="28"/>
      <c r="R19" s="13"/>
    </row>
    <row r="20" spans="1:18" ht="17.5">
      <c r="A20" s="12"/>
      <c r="B20" s="347"/>
      <c r="C20" s="206" t="s">
        <v>71</v>
      </c>
      <c r="D20" s="308"/>
      <c r="E20" s="297" t="s">
        <v>20</v>
      </c>
      <c r="F20" s="231">
        <f>'Component List'!D9</f>
        <v>204.64</v>
      </c>
      <c r="G20" s="287">
        <v>50</v>
      </c>
      <c r="H20" s="231">
        <f t="shared" si="0"/>
        <v>0</v>
      </c>
      <c r="I20" s="231"/>
      <c r="J20" s="231"/>
      <c r="K20" s="231"/>
      <c r="L20" s="231"/>
      <c r="M20" s="300"/>
      <c r="N20" s="28"/>
      <c r="O20" s="28"/>
      <c r="P20" s="28"/>
      <c r="Q20" s="28"/>
      <c r="R20" s="13"/>
    </row>
    <row r="21" spans="1:18" ht="17.5">
      <c r="A21" s="35"/>
      <c r="B21" s="349"/>
      <c r="C21" s="206" t="s">
        <v>164</v>
      </c>
      <c r="D21" s="308"/>
      <c r="E21" s="297" t="s">
        <v>20</v>
      </c>
      <c r="F21" s="231">
        <f>'Component List'!D14</f>
        <v>16.079999999999998</v>
      </c>
      <c r="G21" s="287">
        <v>50</v>
      </c>
      <c r="H21" s="292">
        <f t="shared" si="0"/>
        <v>0</v>
      </c>
      <c r="I21" s="231"/>
      <c r="J21" s="292"/>
      <c r="K21" s="292"/>
      <c r="L21" s="292"/>
      <c r="M21" s="302"/>
      <c r="N21" s="68"/>
      <c r="O21" s="68"/>
      <c r="P21" s="68"/>
      <c r="Q21" s="68"/>
      <c r="R21" s="43"/>
    </row>
    <row r="22" spans="1:18" ht="17.5">
      <c r="A22" s="12"/>
      <c r="B22" s="347"/>
      <c r="C22" s="206" t="s">
        <v>165</v>
      </c>
      <c r="D22" s="308"/>
      <c r="E22" s="297" t="s">
        <v>20</v>
      </c>
      <c r="F22" s="231">
        <f>'Component List'!D28</f>
        <v>94.14</v>
      </c>
      <c r="G22" s="287">
        <v>50</v>
      </c>
      <c r="H22" s="231">
        <f t="shared" si="0"/>
        <v>0</v>
      </c>
      <c r="I22" s="288"/>
      <c r="J22" s="231"/>
      <c r="K22" s="231"/>
      <c r="L22" s="231"/>
      <c r="M22" s="300"/>
      <c r="N22" s="28"/>
      <c r="O22" s="28"/>
      <c r="P22" s="28"/>
      <c r="Q22" s="28"/>
      <c r="R22" s="13"/>
    </row>
    <row r="23" spans="1:18" s="93" customFormat="1" ht="17.5" hidden="1">
      <c r="A23" s="64"/>
      <c r="B23" s="64"/>
      <c r="C23" s="206"/>
      <c r="D23" s="267"/>
      <c r="E23" s="297"/>
      <c r="F23" s="231"/>
      <c r="G23" s="287"/>
      <c r="H23" s="231"/>
      <c r="I23" s="288"/>
      <c r="J23" s="231"/>
      <c r="K23" s="231"/>
      <c r="L23" s="231"/>
      <c r="M23" s="300"/>
      <c r="N23" s="28"/>
      <c r="O23" s="28"/>
      <c r="P23" s="28"/>
      <c r="Q23" s="28"/>
      <c r="R23" s="13"/>
    </row>
    <row r="24" spans="1:18" ht="17.5">
      <c r="A24" s="12"/>
      <c r="B24" s="347"/>
      <c r="C24" s="206" t="s">
        <v>42</v>
      </c>
      <c r="D24" s="308"/>
      <c r="E24" s="297" t="s">
        <v>20</v>
      </c>
      <c r="F24" s="231">
        <f>((VLOOKUP(C24,W42:X46,2))*1)*1</f>
        <v>0</v>
      </c>
      <c r="G24" s="287">
        <v>50</v>
      </c>
      <c r="H24" s="231"/>
      <c r="I24" s="231"/>
      <c r="J24" s="231">
        <f>D24*F24*G24/100</f>
        <v>0</v>
      </c>
      <c r="K24" s="231"/>
      <c r="L24" s="231"/>
      <c r="M24" s="300"/>
      <c r="N24" s="28"/>
      <c r="O24" s="28"/>
      <c r="P24" s="28"/>
      <c r="Q24" s="28"/>
      <c r="R24" s="13"/>
    </row>
    <row r="25" spans="1:18" ht="17.5">
      <c r="A25" s="12"/>
      <c r="B25" s="347"/>
      <c r="C25" s="206" t="s">
        <v>42</v>
      </c>
      <c r="D25" s="308"/>
      <c r="E25" s="297" t="s">
        <v>20</v>
      </c>
      <c r="F25" s="231">
        <f>((VLOOKUP(C25,W42:X46,2))*1)*1</f>
        <v>0</v>
      </c>
      <c r="G25" s="287">
        <v>50</v>
      </c>
      <c r="H25" s="231"/>
      <c r="I25" s="231"/>
      <c r="J25" s="231"/>
      <c r="K25" s="231">
        <f>D25*F25*G25/100</f>
        <v>0</v>
      </c>
      <c r="L25" s="231"/>
      <c r="M25" s="300"/>
      <c r="N25" s="28"/>
      <c r="O25" s="28"/>
      <c r="P25" s="28"/>
      <c r="Q25" s="28"/>
      <c r="R25" s="13"/>
    </row>
    <row r="26" spans="1:18" ht="17.5">
      <c r="A26" s="12"/>
      <c r="B26" s="347"/>
      <c r="C26" s="206" t="s">
        <v>157</v>
      </c>
      <c r="D26" s="308"/>
      <c r="E26" s="297" t="s">
        <v>20</v>
      </c>
      <c r="F26" s="231">
        <f>((VLOOKUP(C26,W49:X53,2,TRUE))*1)*1</f>
        <v>0</v>
      </c>
      <c r="G26" s="287">
        <v>50</v>
      </c>
      <c r="H26" s="231"/>
      <c r="I26" s="231"/>
      <c r="J26" s="231"/>
      <c r="K26" s="231"/>
      <c r="L26" s="231">
        <f>D26*F26*G26/100</f>
        <v>0</v>
      </c>
      <c r="M26" s="300"/>
      <c r="N26" s="28"/>
      <c r="O26" s="28"/>
      <c r="P26" s="28"/>
      <c r="Q26" s="28"/>
      <c r="R26" s="13"/>
    </row>
    <row r="27" spans="1:18" ht="17.5">
      <c r="A27" s="12"/>
      <c r="B27" s="347"/>
      <c r="C27" s="206" t="s">
        <v>157</v>
      </c>
      <c r="D27" s="308"/>
      <c r="E27" s="297" t="s">
        <v>20</v>
      </c>
      <c r="F27" s="231">
        <f>((VLOOKUP(C27,W49:X53,2,TRUE))*1)*1</f>
        <v>0</v>
      </c>
      <c r="G27" s="287">
        <v>50</v>
      </c>
      <c r="H27" s="231"/>
      <c r="I27" s="231"/>
      <c r="J27" s="231"/>
      <c r="K27" s="231"/>
      <c r="L27" s="231"/>
      <c r="M27" s="231">
        <f>D27*F27*G27/100</f>
        <v>0</v>
      </c>
      <c r="N27" s="28"/>
      <c r="O27" s="28"/>
      <c r="P27" s="28"/>
      <c r="Q27" s="28"/>
      <c r="R27" s="13"/>
    </row>
    <row r="28" spans="1:18" ht="17.5">
      <c r="A28" s="12"/>
      <c r="B28" s="347"/>
      <c r="C28" s="206" t="s">
        <v>419</v>
      </c>
      <c r="D28" s="308"/>
      <c r="E28" s="297" t="s">
        <v>20</v>
      </c>
      <c r="F28" s="231">
        <f>'Component List'!D16</f>
        <v>84.42</v>
      </c>
      <c r="G28" s="287">
        <v>50</v>
      </c>
      <c r="H28" s="231">
        <f t="shared" si="0"/>
        <v>0</v>
      </c>
      <c r="I28" s="231"/>
      <c r="J28" s="231"/>
      <c r="K28" s="231"/>
      <c r="L28" s="231"/>
      <c r="M28" s="300"/>
      <c r="N28" s="28"/>
      <c r="O28" s="28"/>
      <c r="P28" s="28"/>
      <c r="Q28" s="28"/>
      <c r="R28" s="13"/>
    </row>
    <row r="29" spans="1:18" s="93" customFormat="1" ht="17.5">
      <c r="A29" s="12"/>
      <c r="B29" s="347"/>
      <c r="C29" s="206" t="s">
        <v>11</v>
      </c>
      <c r="D29" s="308"/>
      <c r="E29" s="297" t="s">
        <v>15</v>
      </c>
      <c r="F29" s="231">
        <f>'Component List'!D38</f>
        <v>41.32</v>
      </c>
      <c r="G29" s="287">
        <v>50</v>
      </c>
      <c r="H29" s="231">
        <f>D29*F29*G29/100</f>
        <v>0</v>
      </c>
      <c r="I29" s="231"/>
      <c r="J29" s="231"/>
      <c r="K29" s="231"/>
      <c r="L29" s="231"/>
      <c r="M29" s="300"/>
      <c r="N29" s="28"/>
      <c r="O29" s="28"/>
      <c r="P29" s="28"/>
      <c r="Q29" s="28"/>
      <c r="R29" s="13"/>
    </row>
    <row r="30" spans="1:18" s="93" customFormat="1" ht="17.5">
      <c r="A30" s="12"/>
      <c r="B30" s="347"/>
      <c r="C30" s="206" t="s">
        <v>50</v>
      </c>
      <c r="D30" s="308"/>
      <c r="E30" s="297" t="s">
        <v>23</v>
      </c>
      <c r="F30" s="231">
        <f>'Component List'!D51</f>
        <v>0</v>
      </c>
      <c r="G30" s="287">
        <v>50</v>
      </c>
      <c r="H30" s="231">
        <f t="shared" ref="H30:H35" si="1">D30*F30*G30/100</f>
        <v>0</v>
      </c>
      <c r="I30" s="231"/>
      <c r="J30" s="231"/>
      <c r="K30" s="231"/>
      <c r="L30" s="231"/>
      <c r="M30" s="300"/>
      <c r="N30" s="28"/>
      <c r="O30" s="28"/>
      <c r="P30" s="28"/>
      <c r="Q30" s="28"/>
      <c r="R30" s="13"/>
    </row>
    <row r="31" spans="1:18" s="93" customFormat="1" ht="17.5">
      <c r="A31" s="12"/>
      <c r="B31" s="347"/>
      <c r="C31" s="206" t="s">
        <v>51</v>
      </c>
      <c r="D31" s="308"/>
      <c r="E31" s="297" t="s">
        <v>22</v>
      </c>
      <c r="F31" s="231">
        <f>'Component List'!D52</f>
        <v>0</v>
      </c>
      <c r="G31" s="287">
        <v>50</v>
      </c>
      <c r="H31" s="231">
        <f t="shared" si="1"/>
        <v>0</v>
      </c>
      <c r="I31" s="231"/>
      <c r="J31" s="231"/>
      <c r="K31" s="231"/>
      <c r="L31" s="231"/>
      <c r="M31" s="300"/>
      <c r="N31" s="28"/>
      <c r="O31" s="28"/>
      <c r="P31" s="28"/>
      <c r="Q31" s="28"/>
      <c r="R31" s="13"/>
    </row>
    <row r="32" spans="1:18" s="93" customFormat="1" ht="17.5">
      <c r="A32" s="12"/>
      <c r="B32" s="347"/>
      <c r="C32" s="206" t="s">
        <v>52</v>
      </c>
      <c r="D32" s="308"/>
      <c r="E32" s="297" t="s">
        <v>22</v>
      </c>
      <c r="F32" s="231">
        <f>'Component List'!D53</f>
        <v>0</v>
      </c>
      <c r="G32" s="287">
        <v>50</v>
      </c>
      <c r="H32" s="231">
        <f t="shared" si="1"/>
        <v>0</v>
      </c>
      <c r="I32" s="231"/>
      <c r="J32" s="231"/>
      <c r="K32" s="231"/>
      <c r="L32" s="231"/>
      <c r="M32" s="300"/>
      <c r="N32" s="28"/>
      <c r="O32" s="28"/>
      <c r="P32" s="28"/>
      <c r="Q32" s="28"/>
      <c r="R32" s="13"/>
    </row>
    <row r="33" spans="1:36" s="93" customFormat="1" ht="35">
      <c r="A33" s="12"/>
      <c r="B33" s="347"/>
      <c r="C33" s="244" t="s">
        <v>72</v>
      </c>
      <c r="D33" s="308"/>
      <c r="E33" s="297" t="s">
        <v>22</v>
      </c>
      <c r="F33" s="231">
        <f>'Component List'!D57</f>
        <v>0</v>
      </c>
      <c r="G33" s="287">
        <v>50</v>
      </c>
      <c r="H33" s="231">
        <f t="shared" si="1"/>
        <v>0</v>
      </c>
      <c r="I33" s="231"/>
      <c r="J33" s="231"/>
      <c r="K33" s="231"/>
      <c r="L33" s="231"/>
      <c r="M33" s="300"/>
      <c r="N33" s="28"/>
      <c r="O33" s="28"/>
      <c r="P33" s="28"/>
      <c r="Q33" s="28"/>
      <c r="R33" s="13"/>
    </row>
    <row r="34" spans="1:36" ht="17.5">
      <c r="A34" s="12"/>
      <c r="B34" s="347"/>
      <c r="C34" s="206" t="s">
        <v>280</v>
      </c>
      <c r="D34" s="308"/>
      <c r="E34" s="297" t="s">
        <v>20</v>
      </c>
      <c r="F34" s="231">
        <f>'Component List'!D49</f>
        <v>0</v>
      </c>
      <c r="G34" s="287">
        <v>50</v>
      </c>
      <c r="H34" s="231">
        <f t="shared" si="1"/>
        <v>0</v>
      </c>
      <c r="I34" s="231"/>
      <c r="J34" s="231"/>
      <c r="K34" s="231"/>
      <c r="L34" s="231"/>
      <c r="M34" s="300"/>
      <c r="N34" s="28"/>
      <c r="O34" s="28"/>
      <c r="P34" s="28"/>
      <c r="Q34" s="28"/>
      <c r="R34" s="13"/>
    </row>
    <row r="35" spans="1:36" ht="17.5">
      <c r="A35" s="12"/>
      <c r="B35" s="347"/>
      <c r="C35" s="206" t="s">
        <v>14</v>
      </c>
      <c r="D35" s="308"/>
      <c r="E35" s="297" t="s">
        <v>15</v>
      </c>
      <c r="F35" s="293">
        <f>'Component List'!D50</f>
        <v>0</v>
      </c>
      <c r="G35" s="287">
        <v>50</v>
      </c>
      <c r="H35" s="231">
        <f t="shared" si="1"/>
        <v>0</v>
      </c>
      <c r="I35" s="231"/>
      <c r="J35" s="231"/>
      <c r="K35" s="231"/>
      <c r="L35" s="231"/>
      <c r="M35" s="300"/>
      <c r="N35" s="28"/>
      <c r="O35" s="28"/>
      <c r="P35" s="28"/>
      <c r="Q35" s="28"/>
      <c r="R35" s="13"/>
    </row>
    <row r="36" spans="1:36" ht="17.5">
      <c r="A36" s="12"/>
      <c r="B36" s="347"/>
      <c r="C36" s="206" t="s">
        <v>12</v>
      </c>
      <c r="D36" s="308"/>
      <c r="E36" s="297" t="s">
        <v>20</v>
      </c>
      <c r="F36" s="293">
        <f>'Component List'!D15</f>
        <v>21.78</v>
      </c>
      <c r="G36" s="287">
        <v>50</v>
      </c>
      <c r="H36" s="231">
        <f>D36*F36*G36/100</f>
        <v>0</v>
      </c>
      <c r="I36" s="231"/>
      <c r="J36" s="231"/>
      <c r="K36" s="231"/>
      <c r="L36" s="231"/>
      <c r="M36" s="300"/>
      <c r="N36" s="28"/>
      <c r="O36" s="28"/>
      <c r="P36" s="28"/>
      <c r="Q36" s="28"/>
      <c r="R36" s="13"/>
    </row>
    <row r="37" spans="1:36" ht="15.5">
      <c r="A37" s="456" t="s">
        <v>89</v>
      </c>
      <c r="B37" s="457"/>
      <c r="C37" s="458"/>
      <c r="D37" s="286"/>
      <c r="E37" s="280"/>
      <c r="F37" s="265"/>
      <c r="G37" s="281"/>
      <c r="H37" s="271">
        <f t="shared" ref="H37:M37" si="2">SUM(H15:H36)</f>
        <v>0</v>
      </c>
      <c r="I37" s="271">
        <f t="shared" si="2"/>
        <v>0</v>
      </c>
      <c r="J37" s="271">
        <f t="shared" si="2"/>
        <v>0</v>
      </c>
      <c r="K37" s="271">
        <f t="shared" si="2"/>
        <v>0</v>
      </c>
      <c r="L37" s="271">
        <f t="shared" si="2"/>
        <v>0</v>
      </c>
      <c r="M37" s="271">
        <f t="shared" si="2"/>
        <v>0</v>
      </c>
      <c r="N37" s="23"/>
      <c r="O37" s="23"/>
      <c r="P37" s="23"/>
      <c r="Q37" s="23"/>
      <c r="R37" s="25"/>
    </row>
    <row r="38" spans="1:36" ht="40.5" customHeight="1">
      <c r="A38" s="496" t="str">
        <f>IF(W56,W58,"")</f>
        <v/>
      </c>
      <c r="B38" s="497"/>
      <c r="C38" s="497"/>
      <c r="D38" s="497"/>
      <c r="E38" s="497"/>
      <c r="F38" s="497"/>
      <c r="G38" s="497"/>
      <c r="H38" s="497"/>
      <c r="I38" s="497"/>
      <c r="J38" s="497"/>
      <c r="K38" s="497"/>
      <c r="L38" s="497"/>
      <c r="M38" s="497"/>
      <c r="N38" s="497"/>
      <c r="O38" s="497"/>
      <c r="P38" s="497"/>
      <c r="Q38" s="497"/>
      <c r="R38" s="497"/>
    </row>
    <row r="39" spans="1:36" ht="15.5">
      <c r="A39" s="401" t="s">
        <v>262</v>
      </c>
      <c r="B39" s="402"/>
      <c r="C39" s="402"/>
      <c r="D39" s="402"/>
      <c r="E39" s="402"/>
      <c r="F39" s="402"/>
      <c r="G39" s="402"/>
      <c r="H39" s="402"/>
      <c r="I39" s="402"/>
      <c r="J39" s="402"/>
      <c r="K39" s="402"/>
      <c r="L39" s="402"/>
      <c r="M39" s="402"/>
      <c r="N39" s="402"/>
      <c r="O39" s="402"/>
      <c r="P39" s="402"/>
      <c r="Q39" s="402"/>
      <c r="R39" s="403"/>
    </row>
    <row r="40" spans="1:36" ht="51" customHeight="1">
      <c r="A40" s="393" t="s">
        <v>434</v>
      </c>
      <c r="B40" s="394"/>
      <c r="C40" s="394"/>
      <c r="D40" s="394"/>
      <c r="E40" s="394"/>
      <c r="F40" s="394"/>
      <c r="G40" s="394"/>
      <c r="H40" s="394"/>
      <c r="I40" s="394"/>
      <c r="J40" s="394"/>
      <c r="K40" s="394"/>
      <c r="L40" s="394"/>
      <c r="M40" s="394"/>
      <c r="N40" s="394"/>
      <c r="O40" s="394"/>
      <c r="P40" s="394"/>
      <c r="Q40" s="394"/>
      <c r="R40" s="395"/>
    </row>
    <row r="41" spans="1:36" ht="15.5">
      <c r="A41" s="460" t="s">
        <v>390</v>
      </c>
      <c r="B41" s="461"/>
      <c r="C41" s="461"/>
      <c r="D41" s="461"/>
      <c r="E41" s="461"/>
      <c r="F41" s="461"/>
      <c r="G41" s="461"/>
      <c r="H41" s="461"/>
      <c r="I41" s="461"/>
      <c r="J41" s="461"/>
      <c r="K41" s="461"/>
      <c r="L41" s="461"/>
      <c r="M41" s="461"/>
      <c r="N41" s="461"/>
      <c r="O41" s="461"/>
      <c r="P41" s="461"/>
      <c r="Q41" s="461"/>
      <c r="R41" s="462"/>
    </row>
    <row r="42" spans="1:36" ht="51.75" customHeight="1">
      <c r="A42" s="463" t="s">
        <v>392</v>
      </c>
      <c r="B42" s="464"/>
      <c r="C42" s="464"/>
      <c r="D42" s="464"/>
      <c r="E42" s="464"/>
      <c r="F42" s="464"/>
      <c r="G42" s="464"/>
      <c r="H42" s="464"/>
      <c r="I42" s="464"/>
      <c r="J42" s="464"/>
      <c r="K42" s="464"/>
      <c r="L42" s="464"/>
      <c r="M42" s="464"/>
      <c r="N42" s="464"/>
      <c r="O42" s="464"/>
      <c r="P42" s="464"/>
      <c r="Q42" s="464"/>
      <c r="R42" s="465"/>
      <c r="W42" s="26" t="s">
        <v>42</v>
      </c>
      <c r="X42" s="80">
        <v>0</v>
      </c>
      <c r="Y42" s="93"/>
      <c r="Z42" s="93"/>
      <c r="AA42" s="93"/>
      <c r="AB42" s="93"/>
      <c r="AC42" s="93"/>
      <c r="AD42" s="93"/>
      <c r="AE42" s="93"/>
      <c r="AF42" s="93"/>
      <c r="AG42" s="93"/>
      <c r="AH42" s="93"/>
      <c r="AI42" s="93"/>
      <c r="AJ42" s="93"/>
    </row>
    <row r="43" spans="1:36" ht="15.5">
      <c r="A43" s="413" t="s">
        <v>221</v>
      </c>
      <c r="B43" s="414"/>
      <c r="C43" s="414"/>
      <c r="D43" s="414"/>
      <c r="E43" s="414"/>
      <c r="F43" s="414"/>
      <c r="G43" s="414"/>
      <c r="H43" s="414"/>
      <c r="I43" s="414"/>
      <c r="J43" s="414"/>
      <c r="K43" s="414"/>
      <c r="L43" s="414"/>
      <c r="M43" s="414"/>
      <c r="N43" s="414"/>
      <c r="O43" s="414"/>
      <c r="P43" s="414"/>
      <c r="Q43" s="414"/>
      <c r="R43" s="415"/>
      <c r="W43" s="203" t="s">
        <v>95</v>
      </c>
      <c r="X43" s="45">
        <f>'Component List'!D18</f>
        <v>31.04</v>
      </c>
      <c r="Y43" s="93"/>
      <c r="Z43" s="93"/>
      <c r="AA43" s="93"/>
      <c r="AB43" s="93"/>
      <c r="AC43" s="93"/>
      <c r="AD43" s="93"/>
      <c r="AE43" s="93"/>
      <c r="AF43" s="93"/>
      <c r="AG43" s="93"/>
      <c r="AH43" s="93"/>
      <c r="AI43" s="93"/>
      <c r="AJ43" s="93"/>
    </row>
    <row r="44" spans="1:36" ht="77.25" customHeight="1">
      <c r="A44" s="396" t="s">
        <v>370</v>
      </c>
      <c r="B44" s="397"/>
      <c r="C44" s="397"/>
      <c r="D44" s="397"/>
      <c r="E44" s="397"/>
      <c r="F44" s="397"/>
      <c r="G44" s="397"/>
      <c r="H44" s="397"/>
      <c r="I44" s="397"/>
      <c r="J44" s="397"/>
      <c r="K44" s="397"/>
      <c r="L44" s="397"/>
      <c r="M44" s="397"/>
      <c r="N44" s="397"/>
      <c r="O44" s="397"/>
      <c r="P44" s="397"/>
      <c r="Q44" s="397"/>
      <c r="R44" s="398"/>
      <c r="W44" s="203" t="s">
        <v>131</v>
      </c>
      <c r="X44" s="45">
        <f>'Component List'!D19</f>
        <v>100</v>
      </c>
      <c r="Y44" s="93"/>
      <c r="Z44" s="93"/>
      <c r="AA44" s="93"/>
      <c r="AB44" s="93"/>
      <c r="AC44" s="93"/>
      <c r="AD44" s="93"/>
      <c r="AE44" s="93"/>
      <c r="AF44" s="93"/>
      <c r="AG44" s="93"/>
      <c r="AH44" s="93"/>
      <c r="AI44" s="93"/>
      <c r="AJ44" s="93"/>
    </row>
    <row r="45" spans="1:36" ht="15.5">
      <c r="W45" s="203" t="s">
        <v>154</v>
      </c>
      <c r="X45" s="45">
        <f>'Component List'!D22</f>
        <v>23.04</v>
      </c>
      <c r="Y45" s="93"/>
      <c r="Z45" s="93"/>
      <c r="AA45" s="93"/>
      <c r="AB45" s="93"/>
      <c r="AC45" s="93"/>
      <c r="AD45" s="93"/>
      <c r="AE45" s="93"/>
      <c r="AF45" s="93"/>
      <c r="AG45" s="93"/>
      <c r="AH45" s="93"/>
      <c r="AI45" s="93"/>
      <c r="AJ45" s="93"/>
    </row>
    <row r="46" spans="1:36" ht="15.5">
      <c r="W46" s="203" t="s">
        <v>119</v>
      </c>
      <c r="X46" s="45">
        <f>'Component List'!D26</f>
        <v>100</v>
      </c>
      <c r="Y46" s="93"/>
      <c r="Z46" s="93"/>
      <c r="AA46" s="93"/>
      <c r="AB46" s="93"/>
      <c r="AC46" s="93"/>
      <c r="AD46" s="93"/>
      <c r="AE46" s="93"/>
      <c r="AF46" s="93"/>
      <c r="AG46" s="93"/>
      <c r="AH46" s="93"/>
      <c r="AI46" s="93"/>
      <c r="AJ46" s="93"/>
    </row>
    <row r="47" spans="1:36" ht="15.5">
      <c r="W47" s="26"/>
      <c r="X47" s="80">
        <v>0</v>
      </c>
      <c r="Y47" s="93"/>
      <c r="Z47" s="93"/>
      <c r="AA47" s="93"/>
      <c r="AB47" s="93"/>
      <c r="AC47" s="93"/>
      <c r="AD47" s="93"/>
      <c r="AE47" s="93"/>
      <c r="AF47" s="93"/>
      <c r="AG47" s="93"/>
      <c r="AH47" s="93"/>
      <c r="AI47" s="93"/>
      <c r="AJ47" s="93"/>
    </row>
    <row r="48" spans="1:36" ht="15.5">
      <c r="W48" s="26"/>
      <c r="X48" s="80">
        <v>0</v>
      </c>
      <c r="Y48" s="93"/>
      <c r="Z48" s="93"/>
      <c r="AA48" s="93"/>
      <c r="AB48" s="93"/>
      <c r="AC48" s="93"/>
      <c r="AD48" s="93"/>
      <c r="AE48" s="93"/>
      <c r="AF48" s="93"/>
      <c r="AG48" s="93"/>
      <c r="AH48" s="93"/>
      <c r="AI48" s="93"/>
      <c r="AJ48" s="93"/>
    </row>
    <row r="49" spans="23:36" ht="15.5">
      <c r="W49" s="205" t="s">
        <v>157</v>
      </c>
      <c r="X49" s="80">
        <v>0</v>
      </c>
      <c r="Y49" s="93"/>
      <c r="Z49" s="93"/>
      <c r="AA49" s="93"/>
      <c r="AB49" s="93"/>
      <c r="AC49" s="93"/>
      <c r="AD49" s="93"/>
      <c r="AE49" s="93"/>
      <c r="AF49" s="93"/>
      <c r="AG49" s="93"/>
      <c r="AH49" s="93"/>
      <c r="AI49" s="93"/>
      <c r="AJ49" s="93"/>
    </row>
    <row r="50" spans="23:36" ht="15.5">
      <c r="W50" s="203" t="s">
        <v>155</v>
      </c>
      <c r="X50" s="45">
        <f>'Component List'!D18</f>
        <v>31.04</v>
      </c>
      <c r="Y50" s="93"/>
      <c r="Z50" s="93"/>
      <c r="AA50" s="93"/>
      <c r="AB50" s="93"/>
      <c r="AC50" s="93"/>
      <c r="AD50" s="93"/>
      <c r="AE50" s="93"/>
      <c r="AF50" s="93"/>
      <c r="AG50" s="93"/>
      <c r="AH50" s="93"/>
      <c r="AI50" s="93"/>
      <c r="AJ50" s="93"/>
    </row>
    <row r="51" spans="23:36" ht="15.5">
      <c r="W51" s="203" t="s">
        <v>132</v>
      </c>
      <c r="X51" s="45">
        <f>'Component List'!D19</f>
        <v>100</v>
      </c>
      <c r="Y51" s="93"/>
      <c r="Z51" s="93"/>
      <c r="AA51" s="93"/>
      <c r="AB51" s="93"/>
      <c r="AC51" s="93"/>
      <c r="AD51" s="93"/>
      <c r="AE51" s="93"/>
      <c r="AF51" s="93"/>
      <c r="AG51" s="93"/>
      <c r="AH51" s="93"/>
      <c r="AI51" s="93"/>
      <c r="AJ51" s="93"/>
    </row>
    <row r="52" spans="23:36" ht="15.5">
      <c r="W52" s="203" t="s">
        <v>156</v>
      </c>
      <c r="X52" s="45">
        <f>'Component List'!D22</f>
        <v>23.04</v>
      </c>
      <c r="Y52" s="93"/>
      <c r="Z52" s="93"/>
      <c r="AA52" s="93"/>
      <c r="AB52" s="93"/>
      <c r="AC52" s="93"/>
      <c r="AD52" s="93"/>
      <c r="AE52" s="93"/>
      <c r="AF52" s="93"/>
      <c r="AG52" s="93"/>
      <c r="AH52" s="93"/>
      <c r="AI52" s="93"/>
      <c r="AJ52" s="93"/>
    </row>
    <row r="53" spans="23:36" ht="15.5">
      <c r="W53" s="203" t="s">
        <v>116</v>
      </c>
      <c r="X53" s="45">
        <f>'Component List'!D26</f>
        <v>100</v>
      </c>
      <c r="Y53" s="93"/>
      <c r="Z53" s="93"/>
      <c r="AA53" s="93"/>
      <c r="AB53" s="93"/>
      <c r="AC53" s="93"/>
      <c r="AD53" s="93"/>
      <c r="AE53" s="93"/>
      <c r="AF53" s="93"/>
      <c r="AG53" s="93"/>
      <c r="AH53" s="93"/>
      <c r="AI53" s="93"/>
      <c r="AJ53" s="93"/>
    </row>
    <row r="54" spans="23:36">
      <c r="W54" s="93"/>
      <c r="X54" s="80"/>
      <c r="Y54" s="93"/>
      <c r="Z54" s="93"/>
      <c r="AA54" s="93"/>
      <c r="AB54" s="93"/>
      <c r="AC54" s="93"/>
      <c r="AD54" s="93"/>
      <c r="AE54" s="93"/>
      <c r="AF54" s="93"/>
      <c r="AG54" s="93"/>
      <c r="AH54" s="93"/>
      <c r="AI54" s="93"/>
      <c r="AJ54" s="93"/>
    </row>
    <row r="55" spans="23:36">
      <c r="W55" s="93"/>
      <c r="X55" s="80"/>
      <c r="Y55" s="93"/>
      <c r="Z55" s="93"/>
      <c r="AA55" s="93"/>
      <c r="AB55" s="93"/>
      <c r="AC55" s="93"/>
      <c r="AD55" s="93"/>
      <c r="AE55" s="93"/>
      <c r="AF55" s="93"/>
      <c r="AG55" s="93"/>
      <c r="AH55" s="93"/>
      <c r="AI55" s="93"/>
      <c r="AJ55" s="93"/>
    </row>
    <row r="56" spans="23:36">
      <c r="W56" s="93" t="b">
        <f>OR(C24=W44,C24=W46,C25=W44,C25=W46,C26=W51,C26=W53,C27=W51,C27=W53)</f>
        <v>0</v>
      </c>
      <c r="X56" s="80"/>
      <c r="Y56" s="93"/>
      <c r="Z56" s="93"/>
      <c r="AA56" s="93"/>
      <c r="AB56" s="93"/>
      <c r="AC56" s="93"/>
      <c r="AD56" s="93"/>
      <c r="AE56" s="93"/>
      <c r="AF56" s="93"/>
      <c r="AG56" s="93"/>
      <c r="AH56" s="93"/>
      <c r="AI56" s="93"/>
      <c r="AJ56" s="93"/>
    </row>
    <row r="57" spans="23:36">
      <c r="W57" s="93"/>
      <c r="X57" s="80"/>
      <c r="Y57" s="93"/>
      <c r="Z57" s="93"/>
      <c r="AA57" s="93"/>
      <c r="AB57" s="93"/>
      <c r="AC57" s="93"/>
      <c r="AD57" s="93"/>
      <c r="AE57" s="93"/>
      <c r="AF57" s="93"/>
      <c r="AG57" s="93"/>
      <c r="AH57" s="93"/>
      <c r="AI57" s="93"/>
      <c r="AJ57" s="93"/>
    </row>
    <row r="58" spans="23:36">
      <c r="W58" s="493" t="s">
        <v>253</v>
      </c>
      <c r="X58" s="493"/>
      <c r="Y58" s="493"/>
      <c r="Z58" s="493"/>
      <c r="AA58" s="493"/>
      <c r="AB58" s="493"/>
      <c r="AC58" s="493"/>
      <c r="AD58" s="493"/>
      <c r="AE58" s="493"/>
      <c r="AF58" s="493"/>
      <c r="AG58" s="493"/>
      <c r="AH58" s="493"/>
      <c r="AI58" s="493"/>
      <c r="AJ58" s="493"/>
    </row>
    <row r="59" spans="23:36">
      <c r="W59" s="494"/>
      <c r="X59" s="494"/>
      <c r="Y59" s="494"/>
      <c r="Z59" s="494"/>
      <c r="AA59" s="494"/>
      <c r="AB59" s="494"/>
      <c r="AC59" s="494"/>
      <c r="AD59" s="494"/>
      <c r="AE59" s="494"/>
      <c r="AF59" s="494"/>
      <c r="AG59" s="494"/>
      <c r="AH59" s="494"/>
      <c r="AI59" s="494"/>
      <c r="AJ59" s="494"/>
    </row>
    <row r="60" spans="23:36">
      <c r="W60" s="494"/>
      <c r="X60" s="494"/>
      <c r="Y60" s="494"/>
      <c r="Z60" s="494"/>
      <c r="AA60" s="494"/>
      <c r="AB60" s="494"/>
      <c r="AC60" s="494"/>
      <c r="AD60" s="494"/>
      <c r="AE60" s="494"/>
      <c r="AF60" s="494"/>
      <c r="AG60" s="494"/>
      <c r="AH60" s="494"/>
      <c r="AI60" s="494"/>
      <c r="AJ60" s="494"/>
    </row>
    <row r="61" spans="23:36">
      <c r="W61" s="495"/>
      <c r="X61" s="495"/>
      <c r="Y61" s="495"/>
      <c r="Z61" s="495"/>
      <c r="AA61" s="495"/>
      <c r="AB61" s="495"/>
      <c r="AC61" s="495"/>
      <c r="AD61" s="495"/>
      <c r="AE61" s="495"/>
      <c r="AF61" s="495"/>
      <c r="AG61" s="495"/>
      <c r="AH61" s="495"/>
      <c r="AI61" s="495"/>
      <c r="AJ61"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W58:AJ61"/>
    <mergeCell ref="A40:R40"/>
    <mergeCell ref="A6:R6"/>
    <mergeCell ref="A7:R7"/>
    <mergeCell ref="A8:R8"/>
    <mergeCell ref="A9:A13"/>
    <mergeCell ref="B9:B13"/>
    <mergeCell ref="C9:C13"/>
    <mergeCell ref="D9:D13"/>
    <mergeCell ref="E9:E13"/>
    <mergeCell ref="F9:F13"/>
    <mergeCell ref="G9:G13"/>
    <mergeCell ref="H9:Q9"/>
    <mergeCell ref="R9:R13"/>
    <mergeCell ref="H10:Q10"/>
    <mergeCell ref="A37:C37"/>
    <mergeCell ref="A38:R38"/>
    <mergeCell ref="A41:R41"/>
    <mergeCell ref="A42:R42"/>
    <mergeCell ref="A43:R43"/>
    <mergeCell ref="A44:R44"/>
    <mergeCell ref="A39:R39"/>
  </mergeCells>
  <dataValidations count="2">
    <dataValidation type="list" allowBlank="1" showInputMessage="1" showErrorMessage="1" promptTitle="Choose Management" sqref="C26:C27">
      <formula1>$W$49:$W$53</formula1>
    </dataValidation>
    <dataValidation type="list" allowBlank="1" showInputMessage="1" showErrorMessage="1" promptTitle="Choose Management" sqref="C24:C25">
      <formula1>$W$42:$W$46</formula1>
    </dataValidation>
  </dataValidations>
  <pageMargins left="0.17" right="0.16" top="0.26" bottom="0.39" header="0.18" footer="0.17"/>
  <pageSetup scale="54"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from>
                    <xdr:col>7</xdr:col>
                    <xdr:colOff>209550</xdr:colOff>
                    <xdr:row>0</xdr:row>
                    <xdr:rowOff>0</xdr:rowOff>
                  </from>
                  <to>
                    <xdr:col>8</xdr:col>
                    <xdr:colOff>82550</xdr:colOff>
                    <xdr:row>0</xdr:row>
                    <xdr:rowOff>139700</xdr:rowOff>
                  </to>
                </anchor>
              </controlPr>
            </control>
          </mc:Choice>
        </mc:AlternateContent>
      </controls>
    </mc:Choice>
  </mc:AlternateConten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3"/>
  <sheetViews>
    <sheetView zoomScale="58" zoomScaleNormal="58" workbookViewId="0">
      <selection activeCell="D15" sqref="D15"/>
    </sheetView>
  </sheetViews>
  <sheetFormatPr defaultRowHeight="12.5"/>
  <cols>
    <col min="3" max="3" width="70.453125" customWidth="1"/>
    <col min="4" max="4" width="14.7265625" customWidth="1"/>
    <col min="6" max="6" width="11.1796875" customWidth="1"/>
    <col min="7" max="7" width="11.81640625" customWidth="1"/>
    <col min="8" max="8" width="14.26953125" customWidth="1"/>
    <col min="9" max="9" width="13.26953125" customWidth="1"/>
    <col min="10" max="10" width="14.26953125" customWidth="1"/>
    <col min="11" max="12" width="13.54296875" customWidth="1"/>
    <col min="14" max="14" width="7.7265625" customWidth="1"/>
    <col min="15" max="15" width="7.453125" customWidth="1"/>
    <col min="16" max="16" width="6.26953125" customWidth="1"/>
    <col min="17" max="17" width="6.453125" customWidth="1"/>
    <col min="18" max="18" width="7.1796875" customWidth="1"/>
  </cols>
  <sheetData>
    <row r="1" spans="1:18" ht="20.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7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1.5" customHeight="1">
      <c r="A7" s="467" t="s">
        <v>499</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6.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318"/>
      <c r="G15" s="300"/>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36.7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8.7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4.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1">
    <dataValidation type="list" allowBlank="1" showInputMessage="1" showErrorMessage="1" promptTitle="Choose Management" sqref="C15">
      <formula1>$AE$34:$AE$43</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8417" r:id="rId3" name="Check Box 1">
              <controlPr defaultSize="0" autoFill="0" autoLine="0" autoPict="0">
                <anchor moveWithCells="1">
                  <from>
                    <xdr:col>3</xdr:col>
                    <xdr:colOff>196850</xdr:colOff>
                    <xdr:row>0</xdr:row>
                    <xdr:rowOff>19050</xdr:rowOff>
                  </from>
                  <to>
                    <xdr:col>4</xdr:col>
                    <xdr:colOff>31750</xdr:colOff>
                    <xdr:row>0</xdr:row>
                    <xdr:rowOff>146050</xdr:rowOff>
                  </to>
                </anchor>
              </controlPr>
            </control>
          </mc:Choice>
        </mc:AlternateContent>
        <mc:AlternateContent xmlns:mc="http://schemas.openxmlformats.org/markup-compatibility/2006">
          <mc:Choice Requires="x14">
            <control shapeId="188418" r:id="rId4" name="Check Box 2">
              <controlPr defaultSize="0" autoFill="0" autoLine="0" autoPict="0">
                <anchor moveWithCells="1">
                  <from>
                    <xdr:col>7</xdr:col>
                    <xdr:colOff>228600</xdr:colOff>
                    <xdr:row>0</xdr:row>
                    <xdr:rowOff>0</xdr:rowOff>
                  </from>
                  <to>
                    <xdr:col>8</xdr:col>
                    <xdr:colOff>88900</xdr:colOff>
                    <xdr:row>0</xdr:row>
                    <xdr:rowOff>127000</xdr:rowOff>
                  </to>
                </anchor>
              </controlPr>
            </control>
          </mc:Choice>
        </mc:AlternateContent>
      </controls>
    </mc:Choice>
  </mc:AlternateConten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R52"/>
  <sheetViews>
    <sheetView topLeftCell="A10" zoomScale="51" zoomScaleNormal="51" workbookViewId="0">
      <selection activeCell="D16" sqref="D16"/>
    </sheetView>
  </sheetViews>
  <sheetFormatPr defaultRowHeight="12.5"/>
  <cols>
    <col min="3" max="3" width="76.54296875" customWidth="1"/>
    <col min="4" max="4" width="12.453125" customWidth="1"/>
    <col min="6" max="6" width="10.81640625" customWidth="1"/>
    <col min="7" max="7" width="11.54296875" customWidth="1"/>
    <col min="8" max="8" width="18" customWidth="1"/>
    <col min="10" max="10" width="16.453125" customWidth="1"/>
    <col min="11" max="11" width="15.54296875" customWidth="1"/>
    <col min="12" max="12" width="12.26953125" customWidth="1"/>
    <col min="14" max="14" width="5.81640625" customWidth="1"/>
    <col min="15" max="15" width="9" customWidth="1"/>
    <col min="16" max="16" width="7.1796875" customWidth="1"/>
    <col min="17" max="17" width="6" customWidth="1"/>
    <col min="18" max="18" width="7.726562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0.5" customHeight="1">
      <c r="A7" s="467" t="s">
        <v>500</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7.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hidden="1">
      <c r="A15" s="64"/>
      <c r="B15" s="64"/>
      <c r="C15" s="242" t="s">
        <v>297</v>
      </c>
      <c r="D15" s="167"/>
      <c r="E15" s="166"/>
      <c r="F15" s="27"/>
      <c r="G15" s="67"/>
      <c r="H15" s="27"/>
      <c r="I15" s="28"/>
      <c r="J15" s="28"/>
      <c r="K15" s="28"/>
      <c r="L15" s="28"/>
      <c r="M15" s="28"/>
      <c r="N15" s="28"/>
      <c r="O15" s="28"/>
      <c r="P15" s="28"/>
      <c r="Q15" s="28"/>
      <c r="R15" s="13"/>
    </row>
    <row r="16" spans="1:18" ht="17.5">
      <c r="A16" s="12"/>
      <c r="B16" s="347"/>
      <c r="C16" s="206" t="s">
        <v>160</v>
      </c>
      <c r="D16" s="308"/>
      <c r="E16" s="297" t="s">
        <v>20</v>
      </c>
      <c r="F16" s="231">
        <f>'Component List'!D2</f>
        <v>1.6399999999999997</v>
      </c>
      <c r="G16" s="287">
        <v>50</v>
      </c>
      <c r="H16" s="231">
        <f>D16*F16*G16/100</f>
        <v>0</v>
      </c>
      <c r="I16" s="264"/>
      <c r="J16" s="264"/>
      <c r="K16" s="264"/>
      <c r="L16" s="264"/>
      <c r="M16" s="264"/>
      <c r="N16" s="28"/>
      <c r="O16" s="28"/>
      <c r="P16" s="28"/>
      <c r="Q16" s="28"/>
      <c r="R16" s="13"/>
    </row>
    <row r="17" spans="1:18" ht="17.5">
      <c r="A17" s="12"/>
      <c r="B17" s="347"/>
      <c r="C17" s="206" t="s">
        <v>159</v>
      </c>
      <c r="D17" s="308"/>
      <c r="E17" s="297" t="s">
        <v>20</v>
      </c>
      <c r="F17" s="231">
        <f>'Component List'!D3</f>
        <v>0</v>
      </c>
      <c r="G17" s="287">
        <v>50</v>
      </c>
      <c r="H17" s="231">
        <f>D17*F17*G17/100</f>
        <v>0</v>
      </c>
      <c r="I17" s="264"/>
      <c r="J17" s="264"/>
      <c r="K17" s="264"/>
      <c r="L17" s="264"/>
      <c r="M17" s="264"/>
      <c r="N17" s="28"/>
      <c r="O17" s="28"/>
      <c r="P17" s="28"/>
      <c r="Q17" s="28"/>
      <c r="R17" s="13"/>
    </row>
    <row r="18" spans="1:18" ht="17.5">
      <c r="A18" s="12"/>
      <c r="B18" s="347"/>
      <c r="C18" s="206" t="s">
        <v>161</v>
      </c>
      <c r="D18" s="308"/>
      <c r="E18" s="297" t="s">
        <v>20</v>
      </c>
      <c r="F18" s="231">
        <f>'Component List'!D4</f>
        <v>80.06</v>
      </c>
      <c r="G18" s="287">
        <v>50</v>
      </c>
      <c r="H18" s="231">
        <f t="shared" ref="H18:H24" si="0">D18*F18*G18/100</f>
        <v>0</v>
      </c>
      <c r="I18" s="264"/>
      <c r="J18" s="264"/>
      <c r="K18" s="264"/>
      <c r="L18" s="264"/>
      <c r="M18" s="264"/>
      <c r="N18" s="28"/>
      <c r="O18" s="28"/>
      <c r="P18" s="28"/>
      <c r="Q18" s="28"/>
      <c r="R18" s="13"/>
    </row>
    <row r="19" spans="1:18" ht="17.5">
      <c r="A19" s="12"/>
      <c r="B19" s="347"/>
      <c r="C19" s="206" t="s">
        <v>302</v>
      </c>
      <c r="D19" s="308"/>
      <c r="E19" s="297" t="s">
        <v>20</v>
      </c>
      <c r="F19" s="231">
        <f>'Component List'!D5</f>
        <v>62.6</v>
      </c>
      <c r="G19" s="287">
        <v>50</v>
      </c>
      <c r="H19" s="231">
        <f t="shared" si="0"/>
        <v>0</v>
      </c>
      <c r="I19" s="264"/>
      <c r="J19" s="264"/>
      <c r="K19" s="264"/>
      <c r="L19" s="264"/>
      <c r="M19" s="264"/>
      <c r="N19" s="28"/>
      <c r="O19" s="28"/>
      <c r="P19" s="28"/>
      <c r="Q19" s="28"/>
      <c r="R19" s="13"/>
    </row>
    <row r="20" spans="1:18" s="93" customFormat="1" ht="17.5">
      <c r="A20" s="12"/>
      <c r="B20" s="347"/>
      <c r="C20" s="206" t="s">
        <v>53</v>
      </c>
      <c r="D20" s="308"/>
      <c r="E20" s="297" t="s">
        <v>20</v>
      </c>
      <c r="F20" s="231">
        <f>'Component List'!D9</f>
        <v>204.64</v>
      </c>
      <c r="G20" s="287">
        <v>50</v>
      </c>
      <c r="H20" s="231">
        <f t="shared" si="0"/>
        <v>0</v>
      </c>
      <c r="I20" s="264"/>
      <c r="J20" s="264"/>
      <c r="K20" s="264"/>
      <c r="L20" s="264"/>
      <c r="M20" s="264"/>
      <c r="N20" s="28"/>
      <c r="O20" s="28"/>
      <c r="P20" s="28"/>
      <c r="Q20" s="28"/>
      <c r="R20" s="13"/>
    </row>
    <row r="21" spans="1:18" s="93" customFormat="1" ht="17.5">
      <c r="A21" s="12"/>
      <c r="B21" s="347"/>
      <c r="C21" s="206" t="s">
        <v>164</v>
      </c>
      <c r="D21" s="308"/>
      <c r="E21" s="297" t="s">
        <v>20</v>
      </c>
      <c r="F21" s="231">
        <f>'Component List'!D14</f>
        <v>16.079999999999998</v>
      </c>
      <c r="G21" s="287">
        <v>50</v>
      </c>
      <c r="H21" s="231">
        <f t="shared" si="0"/>
        <v>0</v>
      </c>
      <c r="I21" s="264"/>
      <c r="J21" s="264"/>
      <c r="K21" s="264"/>
      <c r="L21" s="264"/>
      <c r="M21" s="264"/>
      <c r="N21" s="28"/>
      <c r="O21" s="28"/>
      <c r="P21" s="28"/>
      <c r="Q21" s="28"/>
      <c r="R21" s="13"/>
    </row>
    <row r="22" spans="1:18" s="93" customFormat="1" ht="17.5">
      <c r="A22" s="12"/>
      <c r="B22" s="347"/>
      <c r="C22" s="206" t="s">
        <v>100</v>
      </c>
      <c r="D22" s="308"/>
      <c r="E22" s="297" t="s">
        <v>20</v>
      </c>
      <c r="F22" s="231">
        <f>'Component List'!D15</f>
        <v>21.78</v>
      </c>
      <c r="G22" s="287">
        <v>50</v>
      </c>
      <c r="H22" s="231">
        <f t="shared" si="0"/>
        <v>0</v>
      </c>
      <c r="I22" s="264"/>
      <c r="J22" s="264"/>
      <c r="K22" s="264"/>
      <c r="L22" s="264"/>
      <c r="M22" s="264"/>
      <c r="N22" s="28"/>
      <c r="O22" s="28"/>
      <c r="P22" s="28"/>
      <c r="Q22" s="28"/>
      <c r="R22" s="13"/>
    </row>
    <row r="23" spans="1:18" s="93" customFormat="1" ht="17.5">
      <c r="A23" s="12"/>
      <c r="B23" s="347"/>
      <c r="C23" s="206" t="s">
        <v>165</v>
      </c>
      <c r="D23" s="308"/>
      <c r="E23" s="297" t="s">
        <v>20</v>
      </c>
      <c r="F23" s="231">
        <f>'Component List'!D28</f>
        <v>94.14</v>
      </c>
      <c r="G23" s="287">
        <v>50</v>
      </c>
      <c r="H23" s="231">
        <f t="shared" si="0"/>
        <v>0</v>
      </c>
      <c r="I23" s="264"/>
      <c r="J23" s="264"/>
      <c r="K23" s="264"/>
      <c r="L23" s="264"/>
      <c r="M23" s="264"/>
      <c r="N23" s="28"/>
      <c r="O23" s="28"/>
      <c r="P23" s="28"/>
      <c r="Q23" s="28"/>
      <c r="R23" s="13"/>
    </row>
    <row r="24" spans="1:18" s="93" customFormat="1" ht="17.5">
      <c r="A24" s="12"/>
      <c r="B24" s="347"/>
      <c r="C24" s="206" t="s">
        <v>419</v>
      </c>
      <c r="D24" s="308"/>
      <c r="E24" s="297" t="s">
        <v>20</v>
      </c>
      <c r="F24" s="231">
        <f>'Component List'!D16</f>
        <v>84.42</v>
      </c>
      <c r="G24" s="287">
        <v>50</v>
      </c>
      <c r="H24" s="231">
        <f t="shared" si="0"/>
        <v>0</v>
      </c>
      <c r="I24" s="264"/>
      <c r="J24" s="264"/>
      <c r="K24" s="264"/>
      <c r="L24" s="264"/>
      <c r="M24" s="264"/>
      <c r="N24" s="28"/>
      <c r="O24" s="28"/>
      <c r="P24" s="28"/>
      <c r="Q24" s="28"/>
      <c r="R24" s="13"/>
    </row>
    <row r="25" spans="1:18" s="93" customFormat="1" ht="18" hidden="1">
      <c r="A25" s="64"/>
      <c r="B25" s="64"/>
      <c r="C25" s="242"/>
      <c r="D25" s="267"/>
      <c r="E25" s="299"/>
      <c r="F25" s="231"/>
      <c r="G25" s="287"/>
      <c r="H25" s="231"/>
      <c r="I25" s="264"/>
      <c r="J25" s="264"/>
      <c r="K25" s="264"/>
      <c r="L25" s="264"/>
      <c r="M25" s="264"/>
      <c r="N25" s="28"/>
      <c r="O25" s="28"/>
      <c r="P25" s="28"/>
      <c r="Q25" s="28"/>
      <c r="R25" s="13"/>
    </row>
    <row r="26" spans="1:18" s="93" customFormat="1" ht="17.5">
      <c r="A26" s="12"/>
      <c r="B26" s="347"/>
      <c r="C26" s="250" t="s">
        <v>74</v>
      </c>
      <c r="D26" s="308"/>
      <c r="E26" s="299" t="s">
        <v>20</v>
      </c>
      <c r="F26" s="231">
        <f>'Component List'!D29</f>
        <v>74.12</v>
      </c>
      <c r="G26" s="287">
        <v>50</v>
      </c>
      <c r="H26" s="231">
        <f>D26*F26*G26/100</f>
        <v>0</v>
      </c>
      <c r="I26" s="264"/>
      <c r="J26" s="264"/>
      <c r="K26" s="264"/>
      <c r="L26" s="264"/>
      <c r="M26" s="264"/>
      <c r="N26" s="28"/>
      <c r="O26" s="28"/>
      <c r="P26" s="28"/>
      <c r="Q26" s="28"/>
      <c r="R26" s="13"/>
    </row>
    <row r="27" spans="1:18" s="93" customFormat="1" ht="17.5">
      <c r="A27" s="12"/>
      <c r="B27" s="347"/>
      <c r="C27" s="250" t="s">
        <v>75</v>
      </c>
      <c r="D27" s="308"/>
      <c r="E27" s="299" t="s">
        <v>20</v>
      </c>
      <c r="F27" s="231">
        <f>'Component List'!D30</f>
        <v>149.58000000000001</v>
      </c>
      <c r="G27" s="287">
        <v>50</v>
      </c>
      <c r="H27" s="231">
        <f t="shared" ref="H27:H44" si="1">D27*F27*G27/100</f>
        <v>0</v>
      </c>
      <c r="I27" s="264"/>
      <c r="J27" s="264"/>
      <c r="K27" s="264"/>
      <c r="L27" s="264"/>
      <c r="M27" s="264"/>
      <c r="N27" s="28"/>
      <c r="O27" s="28"/>
      <c r="P27" s="28"/>
      <c r="Q27" s="28"/>
      <c r="R27" s="13"/>
    </row>
    <row r="28" spans="1:18" s="93" customFormat="1" ht="17.5">
      <c r="A28" s="12"/>
      <c r="B28" s="347"/>
      <c r="C28" s="250" t="s">
        <v>108</v>
      </c>
      <c r="D28" s="308"/>
      <c r="E28" s="310">
        <v>100</v>
      </c>
      <c r="F28" s="231">
        <f>'Component List'!D32</f>
        <v>70.2</v>
      </c>
      <c r="G28" s="287">
        <v>50</v>
      </c>
      <c r="H28" s="231">
        <f t="shared" si="1"/>
        <v>0</v>
      </c>
      <c r="I28" s="264"/>
      <c r="J28" s="264"/>
      <c r="K28" s="264"/>
      <c r="L28" s="264"/>
      <c r="M28" s="264"/>
      <c r="N28" s="28"/>
      <c r="O28" s="28"/>
      <c r="P28" s="28"/>
      <c r="Q28" s="28"/>
      <c r="R28" s="13"/>
    </row>
    <row r="29" spans="1:18" s="93" customFormat="1" ht="17.5">
      <c r="A29" s="12"/>
      <c r="B29" s="347"/>
      <c r="C29" s="250" t="s">
        <v>101</v>
      </c>
      <c r="D29" s="308"/>
      <c r="E29" s="310">
        <v>100</v>
      </c>
      <c r="F29" s="231">
        <f>'Component List'!D33</f>
        <v>117.6</v>
      </c>
      <c r="G29" s="287">
        <v>50</v>
      </c>
      <c r="H29" s="231">
        <f t="shared" si="1"/>
        <v>0</v>
      </c>
      <c r="I29" s="264"/>
      <c r="J29" s="264"/>
      <c r="K29" s="264"/>
      <c r="L29" s="264"/>
      <c r="M29" s="264"/>
      <c r="N29" s="28"/>
      <c r="O29" s="28"/>
      <c r="P29" s="28"/>
      <c r="Q29" s="28"/>
      <c r="R29" s="13"/>
    </row>
    <row r="30" spans="1:18" s="93" customFormat="1" ht="17.5">
      <c r="A30" s="12"/>
      <c r="B30" s="347"/>
      <c r="C30" s="250" t="s">
        <v>102</v>
      </c>
      <c r="D30" s="308"/>
      <c r="E30" s="310">
        <v>100</v>
      </c>
      <c r="F30" s="231">
        <f>'Component List'!D34</f>
        <v>200</v>
      </c>
      <c r="G30" s="287">
        <v>50</v>
      </c>
      <c r="H30" s="231">
        <f t="shared" si="1"/>
        <v>0</v>
      </c>
      <c r="I30" s="264"/>
      <c r="J30" s="264"/>
      <c r="K30" s="264"/>
      <c r="L30" s="264"/>
      <c r="M30" s="264"/>
      <c r="N30" s="28"/>
      <c r="O30" s="28"/>
      <c r="P30" s="28"/>
      <c r="Q30" s="28"/>
      <c r="R30" s="13"/>
    </row>
    <row r="31" spans="1:18" s="93" customFormat="1" ht="17.5">
      <c r="A31" s="12"/>
      <c r="B31" s="347"/>
      <c r="C31" s="250" t="s">
        <v>103</v>
      </c>
      <c r="D31" s="308"/>
      <c r="E31" s="310">
        <v>100</v>
      </c>
      <c r="F31" s="231">
        <f>'Component List'!D35</f>
        <v>214.5</v>
      </c>
      <c r="G31" s="287">
        <v>50</v>
      </c>
      <c r="H31" s="231">
        <f t="shared" si="1"/>
        <v>0</v>
      </c>
      <c r="I31" s="264"/>
      <c r="J31" s="264"/>
      <c r="K31" s="264"/>
      <c r="L31" s="264"/>
      <c r="M31" s="264"/>
      <c r="N31" s="28"/>
      <c r="O31" s="28"/>
      <c r="P31" s="28"/>
      <c r="Q31" s="28"/>
      <c r="R31" s="13"/>
    </row>
    <row r="32" spans="1:18" s="93" customFormat="1" ht="17.5">
      <c r="A32" s="12"/>
      <c r="B32" s="347"/>
      <c r="C32" s="250" t="s">
        <v>104</v>
      </c>
      <c r="D32" s="308"/>
      <c r="E32" s="299" t="s">
        <v>246</v>
      </c>
      <c r="F32" s="231">
        <f>'Component List'!D40</f>
        <v>35.26</v>
      </c>
      <c r="G32" s="287">
        <v>50</v>
      </c>
      <c r="H32" s="231">
        <f t="shared" si="1"/>
        <v>0</v>
      </c>
      <c r="I32" s="264"/>
      <c r="J32" s="264"/>
      <c r="K32" s="264"/>
      <c r="L32" s="264"/>
      <c r="M32" s="264"/>
      <c r="N32" s="28"/>
      <c r="O32" s="28"/>
      <c r="P32" s="28"/>
      <c r="Q32" s="28"/>
      <c r="R32" s="13"/>
    </row>
    <row r="33" spans="1:18" ht="16.5" customHeight="1">
      <c r="A33" s="12"/>
      <c r="B33" s="347"/>
      <c r="C33" s="250" t="s">
        <v>105</v>
      </c>
      <c r="D33" s="308"/>
      <c r="E33" s="299" t="s">
        <v>248</v>
      </c>
      <c r="F33" s="231">
        <f>'Component List'!D41</f>
        <v>85</v>
      </c>
      <c r="G33" s="287">
        <v>50</v>
      </c>
      <c r="H33" s="231">
        <f t="shared" si="1"/>
        <v>0</v>
      </c>
      <c r="I33" s="264"/>
      <c r="J33" s="264"/>
      <c r="K33" s="264"/>
      <c r="L33" s="264"/>
      <c r="M33" s="264"/>
      <c r="N33" s="28"/>
      <c r="O33" s="28"/>
      <c r="P33" s="28"/>
      <c r="Q33" s="28"/>
      <c r="R33" s="13"/>
    </row>
    <row r="34" spans="1:18" ht="17.5">
      <c r="A34" s="35"/>
      <c r="B34" s="349"/>
      <c r="C34" s="250" t="s">
        <v>106</v>
      </c>
      <c r="D34" s="308"/>
      <c r="E34" s="310">
        <v>100</v>
      </c>
      <c r="F34" s="231">
        <f>'Component List'!D31</f>
        <v>56.58</v>
      </c>
      <c r="G34" s="287">
        <v>50</v>
      </c>
      <c r="H34" s="292">
        <f t="shared" si="1"/>
        <v>0</v>
      </c>
      <c r="I34" s="264"/>
      <c r="J34" s="269"/>
      <c r="K34" s="269"/>
      <c r="L34" s="269"/>
      <c r="M34" s="269"/>
      <c r="N34" s="68"/>
      <c r="O34" s="68"/>
      <c r="P34" s="68"/>
      <c r="Q34" s="68"/>
      <c r="R34" s="43"/>
    </row>
    <row r="35" spans="1:18" ht="17.5">
      <c r="A35" s="12"/>
      <c r="B35" s="347"/>
      <c r="C35" s="250" t="s">
        <v>109</v>
      </c>
      <c r="D35" s="308"/>
      <c r="E35" s="299" t="s">
        <v>77</v>
      </c>
      <c r="F35" s="231">
        <f>'Component List'!D39</f>
        <v>6.38</v>
      </c>
      <c r="G35" s="287">
        <v>50</v>
      </c>
      <c r="H35" s="231">
        <f t="shared" si="1"/>
        <v>0</v>
      </c>
      <c r="I35" s="270"/>
      <c r="J35" s="264"/>
      <c r="K35" s="264"/>
      <c r="L35" s="264"/>
      <c r="M35" s="264"/>
      <c r="N35" s="28"/>
      <c r="O35" s="28"/>
      <c r="P35" s="28"/>
      <c r="Q35" s="28"/>
      <c r="R35" s="13"/>
    </row>
    <row r="36" spans="1:18" ht="17.5">
      <c r="A36" s="12"/>
      <c r="B36" s="347"/>
      <c r="C36" s="250" t="s">
        <v>107</v>
      </c>
      <c r="D36" s="308"/>
      <c r="E36" s="299" t="s">
        <v>20</v>
      </c>
      <c r="F36" s="231">
        <f>'Component List'!D42</f>
        <v>46.42</v>
      </c>
      <c r="G36" s="287">
        <v>50</v>
      </c>
      <c r="H36" s="231">
        <f t="shared" si="1"/>
        <v>0</v>
      </c>
      <c r="I36" s="264"/>
      <c r="J36" s="264"/>
      <c r="K36" s="264"/>
      <c r="L36" s="264"/>
      <c r="M36" s="264"/>
      <c r="N36" s="28"/>
      <c r="O36" s="28"/>
      <c r="P36" s="28"/>
      <c r="Q36" s="28"/>
      <c r="R36" s="13"/>
    </row>
    <row r="37" spans="1:18" ht="17.5">
      <c r="A37" s="12"/>
      <c r="B37" s="347"/>
      <c r="C37" s="206" t="s">
        <v>11</v>
      </c>
      <c r="D37" s="308"/>
      <c r="E37" s="297" t="s">
        <v>15</v>
      </c>
      <c r="F37" s="231">
        <f>'Component List'!D38</f>
        <v>41.32</v>
      </c>
      <c r="G37" s="287">
        <v>50</v>
      </c>
      <c r="H37" s="231">
        <f t="shared" si="1"/>
        <v>0</v>
      </c>
      <c r="I37" s="264"/>
      <c r="J37" s="264"/>
      <c r="K37" s="264"/>
      <c r="L37" s="264"/>
      <c r="M37" s="264"/>
      <c r="N37" s="28"/>
      <c r="O37" s="28"/>
      <c r="P37" s="28"/>
      <c r="Q37" s="28"/>
      <c r="R37" s="13"/>
    </row>
    <row r="38" spans="1:18" ht="17.5">
      <c r="A38" s="12"/>
      <c r="B38" s="347"/>
      <c r="C38" s="206" t="s">
        <v>73</v>
      </c>
      <c r="D38" s="308"/>
      <c r="E38" s="297" t="s">
        <v>23</v>
      </c>
      <c r="F38" s="309">
        <f>'Component List'!D51</f>
        <v>0</v>
      </c>
      <c r="G38" s="287">
        <v>50</v>
      </c>
      <c r="H38" s="231">
        <f t="shared" si="1"/>
        <v>0</v>
      </c>
      <c r="I38" s="264"/>
      <c r="J38" s="264"/>
      <c r="K38" s="264"/>
      <c r="L38" s="264"/>
      <c r="M38" s="264"/>
      <c r="N38" s="28"/>
      <c r="O38" s="28"/>
      <c r="P38" s="28"/>
      <c r="Q38" s="28"/>
      <c r="R38" s="13"/>
    </row>
    <row r="39" spans="1:18" ht="17.5">
      <c r="A39" s="12"/>
      <c r="B39" s="347"/>
      <c r="C39" s="206" t="s">
        <v>175</v>
      </c>
      <c r="D39" s="308"/>
      <c r="E39" s="297" t="s">
        <v>77</v>
      </c>
      <c r="F39" s="309">
        <f>'Component List'!D57</f>
        <v>0</v>
      </c>
      <c r="G39" s="287">
        <v>50</v>
      </c>
      <c r="H39" s="231">
        <f t="shared" si="1"/>
        <v>0</v>
      </c>
      <c r="I39" s="264"/>
      <c r="J39" s="264"/>
      <c r="K39" s="264"/>
      <c r="L39" s="264"/>
      <c r="M39" s="264"/>
      <c r="N39" s="28"/>
      <c r="O39" s="28"/>
      <c r="P39" s="28"/>
      <c r="Q39" s="28"/>
      <c r="R39" s="13"/>
    </row>
    <row r="40" spans="1:18" ht="17.5">
      <c r="A40" s="12"/>
      <c r="B40" s="347"/>
      <c r="C40" s="206" t="s">
        <v>51</v>
      </c>
      <c r="D40" s="308"/>
      <c r="E40" s="297" t="s">
        <v>77</v>
      </c>
      <c r="F40" s="309">
        <f>'Component List'!D52</f>
        <v>0</v>
      </c>
      <c r="G40" s="287">
        <v>50</v>
      </c>
      <c r="H40" s="231">
        <f t="shared" si="1"/>
        <v>0</v>
      </c>
      <c r="I40" s="264"/>
      <c r="J40" s="264"/>
      <c r="K40" s="264"/>
      <c r="L40" s="264"/>
      <c r="M40" s="264"/>
      <c r="N40" s="28"/>
      <c r="O40" s="28"/>
      <c r="P40" s="28"/>
      <c r="Q40" s="28"/>
      <c r="R40" s="13"/>
    </row>
    <row r="41" spans="1:18" ht="17.5">
      <c r="A41" s="12"/>
      <c r="B41" s="347"/>
      <c r="C41" s="206" t="s">
        <v>110</v>
      </c>
      <c r="D41" s="308"/>
      <c r="E41" s="297" t="s">
        <v>77</v>
      </c>
      <c r="F41" s="309">
        <f>'Component List'!D48</f>
        <v>0</v>
      </c>
      <c r="G41" s="287">
        <v>50</v>
      </c>
      <c r="H41" s="231">
        <f t="shared" si="1"/>
        <v>0</v>
      </c>
      <c r="I41" s="264"/>
      <c r="J41" s="264"/>
      <c r="K41" s="264"/>
      <c r="L41" s="264"/>
      <c r="M41" s="264"/>
      <c r="N41" s="28"/>
      <c r="O41" s="28"/>
      <c r="P41" s="28"/>
      <c r="Q41" s="28"/>
      <c r="R41" s="13"/>
    </row>
    <row r="42" spans="1:18" ht="17.5">
      <c r="A42" s="12"/>
      <c r="B42" s="347"/>
      <c r="C42" s="206" t="s">
        <v>111</v>
      </c>
      <c r="D42" s="308"/>
      <c r="E42" s="297" t="s">
        <v>20</v>
      </c>
      <c r="F42" s="318">
        <f>'Component List'!D49</f>
        <v>0</v>
      </c>
      <c r="G42" s="287">
        <v>50</v>
      </c>
      <c r="H42" s="231">
        <f t="shared" si="1"/>
        <v>0</v>
      </c>
      <c r="I42" s="264"/>
      <c r="J42" s="264"/>
      <c r="K42" s="264"/>
      <c r="L42" s="264"/>
      <c r="M42" s="264"/>
      <c r="N42" s="28"/>
      <c r="O42" s="28"/>
      <c r="P42" s="28"/>
      <c r="Q42" s="28"/>
      <c r="R42" s="13"/>
    </row>
    <row r="43" spans="1:18" ht="17.5">
      <c r="A43" s="12"/>
      <c r="B43" s="347"/>
      <c r="C43" s="206" t="s">
        <v>229</v>
      </c>
      <c r="D43" s="308"/>
      <c r="E43" s="297" t="s">
        <v>15</v>
      </c>
      <c r="F43" s="318">
        <f>'Component List'!D50</f>
        <v>0</v>
      </c>
      <c r="G43" s="287">
        <v>50</v>
      </c>
      <c r="H43" s="231">
        <f t="shared" si="1"/>
        <v>0</v>
      </c>
      <c r="I43" s="264"/>
      <c r="J43" s="264"/>
      <c r="K43" s="264"/>
      <c r="L43" s="264"/>
      <c r="M43" s="264"/>
      <c r="N43" s="28"/>
      <c r="O43" s="28"/>
      <c r="P43" s="28"/>
      <c r="Q43" s="28"/>
      <c r="R43" s="13"/>
    </row>
    <row r="44" spans="1:18" ht="17.5">
      <c r="A44" s="12"/>
      <c r="B44" s="347"/>
      <c r="C44" s="206" t="s">
        <v>52</v>
      </c>
      <c r="D44" s="308"/>
      <c r="E44" s="297" t="s">
        <v>77</v>
      </c>
      <c r="F44" s="318">
        <f>'Component List'!D53</f>
        <v>0</v>
      </c>
      <c r="G44" s="300">
        <v>50</v>
      </c>
      <c r="H44" s="231">
        <f t="shared" si="1"/>
        <v>0</v>
      </c>
      <c r="I44" s="264"/>
      <c r="J44" s="264"/>
      <c r="K44" s="264"/>
      <c r="L44" s="264"/>
      <c r="M44" s="264"/>
      <c r="N44" s="28"/>
      <c r="O44" s="28"/>
      <c r="P44" s="28"/>
      <c r="Q44" s="28"/>
      <c r="R44" s="13"/>
    </row>
    <row r="45" spans="1:18" ht="15.5">
      <c r="A45" s="456" t="s">
        <v>89</v>
      </c>
      <c r="B45" s="457"/>
      <c r="C45" s="458"/>
      <c r="D45" s="286"/>
      <c r="E45" s="280"/>
      <c r="F45" s="265"/>
      <c r="G45" s="281"/>
      <c r="H45" s="271">
        <f t="shared" ref="H45:M45" si="2">SUM(H15:H44)</f>
        <v>0</v>
      </c>
      <c r="I45" s="271">
        <f t="shared" si="2"/>
        <v>0</v>
      </c>
      <c r="J45" s="271">
        <f t="shared" si="2"/>
        <v>0</v>
      </c>
      <c r="K45" s="271">
        <f t="shared" si="2"/>
        <v>0</v>
      </c>
      <c r="L45" s="271">
        <f t="shared" si="2"/>
        <v>0</v>
      </c>
      <c r="M45" s="271">
        <f t="shared" si="2"/>
        <v>0</v>
      </c>
      <c r="N45" s="23"/>
      <c r="O45" s="23"/>
      <c r="P45" s="23"/>
      <c r="Q45" s="23"/>
      <c r="R45" s="25"/>
    </row>
    <row r="46" spans="1:18" ht="15.5">
      <c r="A46" s="110" t="str">
        <f>IF(AE75,AE77,"")</f>
        <v/>
      </c>
      <c r="B46" s="162"/>
      <c r="C46" s="162"/>
      <c r="D46" s="162"/>
      <c r="E46" s="162"/>
      <c r="F46" s="162"/>
      <c r="G46" s="162"/>
      <c r="H46" s="162"/>
      <c r="I46" s="162"/>
      <c r="J46" s="162"/>
      <c r="K46" s="162"/>
      <c r="L46" s="162"/>
      <c r="M46" s="162"/>
      <c r="N46" s="162"/>
      <c r="O46" s="162"/>
      <c r="P46" s="162"/>
      <c r="Q46" s="162"/>
      <c r="R46" s="162"/>
    </row>
    <row r="47" spans="1:18" ht="15.5">
      <c r="A47" s="401" t="s">
        <v>262</v>
      </c>
      <c r="B47" s="402"/>
      <c r="C47" s="402"/>
      <c r="D47" s="402"/>
      <c r="E47" s="402"/>
      <c r="F47" s="402"/>
      <c r="G47" s="402"/>
      <c r="H47" s="402"/>
      <c r="I47" s="402"/>
      <c r="J47" s="402"/>
      <c r="K47" s="402"/>
      <c r="L47" s="402"/>
      <c r="M47" s="402"/>
      <c r="N47" s="402"/>
      <c r="O47" s="402"/>
      <c r="P47" s="402"/>
      <c r="Q47" s="402"/>
      <c r="R47" s="403"/>
    </row>
    <row r="48" spans="1:18" ht="49.5" customHeight="1">
      <c r="A48" s="393" t="s">
        <v>434</v>
      </c>
      <c r="B48" s="394"/>
      <c r="C48" s="394"/>
      <c r="D48" s="394"/>
      <c r="E48" s="394"/>
      <c r="F48" s="394"/>
      <c r="G48" s="394"/>
      <c r="H48" s="394"/>
      <c r="I48" s="394"/>
      <c r="J48" s="394"/>
      <c r="K48" s="394"/>
      <c r="L48" s="394"/>
      <c r="M48" s="394"/>
      <c r="N48" s="394"/>
      <c r="O48" s="394"/>
      <c r="P48" s="394"/>
      <c r="Q48" s="394"/>
      <c r="R48" s="395"/>
    </row>
    <row r="49" spans="1:18" ht="15.5">
      <c r="A49" s="460" t="s">
        <v>390</v>
      </c>
      <c r="B49" s="461"/>
      <c r="C49" s="461"/>
      <c r="D49" s="461"/>
      <c r="E49" s="461"/>
      <c r="F49" s="461"/>
      <c r="G49" s="461"/>
      <c r="H49" s="461"/>
      <c r="I49" s="461"/>
      <c r="J49" s="461"/>
      <c r="K49" s="461"/>
      <c r="L49" s="461"/>
      <c r="M49" s="461"/>
      <c r="N49" s="461"/>
      <c r="O49" s="461"/>
      <c r="P49" s="461"/>
      <c r="Q49" s="461"/>
      <c r="R49" s="462"/>
    </row>
    <row r="50" spans="1:18" ht="50.25" customHeight="1">
      <c r="A50" s="463" t="s">
        <v>392</v>
      </c>
      <c r="B50" s="464"/>
      <c r="C50" s="464"/>
      <c r="D50" s="464"/>
      <c r="E50" s="464"/>
      <c r="F50" s="464"/>
      <c r="G50" s="464"/>
      <c r="H50" s="464"/>
      <c r="I50" s="464"/>
      <c r="J50" s="464"/>
      <c r="K50" s="464"/>
      <c r="L50" s="464"/>
      <c r="M50" s="464"/>
      <c r="N50" s="464"/>
      <c r="O50" s="464"/>
      <c r="P50" s="464"/>
      <c r="Q50" s="464"/>
      <c r="R50" s="465"/>
    </row>
    <row r="51" spans="1:18" ht="15.5">
      <c r="A51" s="413" t="s">
        <v>221</v>
      </c>
      <c r="B51" s="414"/>
      <c r="C51" s="414"/>
      <c r="D51" s="414"/>
      <c r="E51" s="414"/>
      <c r="F51" s="414"/>
      <c r="G51" s="414"/>
      <c r="H51" s="414"/>
      <c r="I51" s="414"/>
      <c r="J51" s="414"/>
      <c r="K51" s="414"/>
      <c r="L51" s="414"/>
      <c r="M51" s="414"/>
      <c r="N51" s="414"/>
      <c r="O51" s="414"/>
      <c r="P51" s="414"/>
      <c r="Q51" s="414"/>
      <c r="R51" s="415"/>
    </row>
    <row r="52" spans="1:18" ht="78" customHeight="1">
      <c r="A52" s="396" t="s">
        <v>370</v>
      </c>
      <c r="B52" s="397"/>
      <c r="C52" s="397"/>
      <c r="D52" s="397"/>
      <c r="E52" s="397"/>
      <c r="F52" s="397"/>
      <c r="G52" s="397"/>
      <c r="H52" s="397"/>
      <c r="I52" s="397"/>
      <c r="J52" s="397"/>
      <c r="K52" s="397"/>
      <c r="L52" s="397"/>
      <c r="M52" s="397"/>
      <c r="N52" s="397"/>
      <c r="O52" s="397"/>
      <c r="P52" s="397"/>
      <c r="Q52" s="397"/>
      <c r="R52"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49:R49"/>
    <mergeCell ref="A50:R50"/>
    <mergeCell ref="A51:R51"/>
    <mergeCell ref="A52:R52"/>
    <mergeCell ref="H9:Q9"/>
    <mergeCell ref="R9:R13"/>
    <mergeCell ref="H10:Q10"/>
    <mergeCell ref="A45:C45"/>
    <mergeCell ref="A47:R47"/>
    <mergeCell ref="A48:R48"/>
  </mergeCells>
  <dataValidations count="3">
    <dataValidation type="list" allowBlank="1" showInputMessage="1" showErrorMessage="1" promptTitle="Choose Management" sqref="C40:C41">
      <formula1>$AE$42:$AE$50</formula1>
    </dataValidation>
    <dataValidation type="list" allowBlank="1" showInputMessage="1" showErrorMessage="1" promptTitle="Choose Management" sqref="C42:C43">
      <formula1>$AE$51:$AE$60</formula1>
    </dataValidation>
    <dataValidation type="list" allowBlank="1" showInputMessage="1" showErrorMessage="1" promptTitle="Choose Management" sqref="C44">
      <formula1>$AE$63:$AE$72</formula1>
    </dataValidation>
  </dataValidations>
  <pageMargins left="0.17" right="0.18" top="0.26" bottom="0.35" header="0.17" footer="0.17"/>
  <pageSetup scale="51"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5841" r:id="rId4" name="Check Box 1">
              <controlPr defaultSize="0" autoFill="0" autoLine="0" autoPict="0">
                <anchor moveWithCells="1">
                  <from>
                    <xdr:col>3</xdr:col>
                    <xdr:colOff>177800</xdr:colOff>
                    <xdr:row>0</xdr:row>
                    <xdr:rowOff>0</xdr:rowOff>
                  </from>
                  <to>
                    <xdr:col>3</xdr:col>
                    <xdr:colOff>381000</xdr:colOff>
                    <xdr:row>0</xdr:row>
                    <xdr:rowOff>146050</xdr:rowOff>
                  </to>
                </anchor>
              </controlPr>
            </control>
          </mc:Choice>
        </mc:AlternateContent>
        <mc:AlternateContent xmlns:mc="http://schemas.openxmlformats.org/markup-compatibility/2006">
          <mc:Choice Requires="x14">
            <control shapeId="35842" r:id="rId5" name="Check Box 2">
              <controlPr defaultSize="0" autoFill="0" autoLine="0" autoPict="0">
                <anchor moveWithCells="1">
                  <from>
                    <xdr:col>7</xdr:col>
                    <xdr:colOff>209550</xdr:colOff>
                    <xdr:row>0</xdr:row>
                    <xdr:rowOff>12700</xdr:rowOff>
                  </from>
                  <to>
                    <xdr:col>7</xdr:col>
                    <xdr:colOff>768350</xdr:colOff>
                    <xdr:row>0</xdr:row>
                    <xdr:rowOff>152400</xdr:rowOff>
                  </to>
                </anchor>
              </controlPr>
            </control>
          </mc:Choice>
        </mc:AlternateContent>
      </controls>
    </mc:Choice>
  </mc:AlternateConten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3"/>
  <sheetViews>
    <sheetView zoomScale="63" zoomScaleNormal="63" workbookViewId="0">
      <selection activeCell="D15" sqref="D15"/>
    </sheetView>
  </sheetViews>
  <sheetFormatPr defaultRowHeight="12.5"/>
  <cols>
    <col min="3" max="3" width="75.1796875" customWidth="1"/>
    <col min="4" max="4" width="12.7265625" customWidth="1"/>
    <col min="6" max="6" width="11.1796875" customWidth="1"/>
    <col min="7" max="7" width="13" customWidth="1"/>
    <col min="8" max="8" width="14.54296875" customWidth="1"/>
    <col min="9" max="9" width="15.453125" customWidth="1"/>
    <col min="10" max="10" width="13.54296875" customWidth="1"/>
    <col min="11" max="11" width="13.81640625" customWidth="1"/>
    <col min="12" max="12" width="10.7265625" customWidth="1"/>
    <col min="14" max="14" width="7.26953125" customWidth="1"/>
    <col min="15" max="15" width="6.81640625" customWidth="1"/>
    <col min="16" max="16" width="5.26953125" customWidth="1"/>
    <col min="17" max="17" width="6.453125" customWidth="1"/>
    <col min="18" max="18" width="6.54296875" customWidth="1"/>
  </cols>
  <sheetData>
    <row r="1" spans="1:18" ht="21"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0.2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68"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90" customHeight="1">
      <c r="A7" s="467" t="s">
        <v>501</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ht="15" customHeight="1">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 customHeight="1">
      <c r="A12" s="453"/>
      <c r="B12" s="453"/>
      <c r="C12" s="499"/>
      <c r="D12" s="475"/>
      <c r="E12" s="478"/>
      <c r="F12" s="453"/>
      <c r="G12" s="453"/>
      <c r="H12" s="369" t="s">
        <v>339</v>
      </c>
      <c r="I12" s="369" t="s">
        <v>339</v>
      </c>
      <c r="J12" s="369" t="s">
        <v>339</v>
      </c>
      <c r="K12" s="369" t="s">
        <v>339</v>
      </c>
      <c r="L12" s="369" t="s">
        <v>339</v>
      </c>
      <c r="M12" s="369" t="s">
        <v>339</v>
      </c>
      <c r="N12" s="369" t="s">
        <v>339</v>
      </c>
      <c r="O12" s="369" t="s">
        <v>339</v>
      </c>
      <c r="P12" s="369" t="s">
        <v>339</v>
      </c>
      <c r="Q12" s="369"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7.5">
      <c r="A15" s="12"/>
      <c r="B15" s="347"/>
      <c r="C15" s="206" t="s">
        <v>283</v>
      </c>
      <c r="D15" s="308"/>
      <c r="E15" s="297" t="s">
        <v>20</v>
      </c>
      <c r="F15" s="293"/>
      <c r="G15" s="282"/>
      <c r="H15" s="231"/>
      <c r="I15" s="264"/>
      <c r="J15" s="264"/>
      <c r="K15" s="264"/>
      <c r="L15" s="264"/>
      <c r="M15" s="264"/>
      <c r="N15" s="28"/>
      <c r="O15" s="28"/>
      <c r="P15" s="28"/>
      <c r="Q15" s="28"/>
      <c r="R15" s="13"/>
    </row>
    <row r="16" spans="1:18" ht="15.5">
      <c r="A16" s="456" t="s">
        <v>89</v>
      </c>
      <c r="B16" s="457"/>
      <c r="C16" s="458"/>
      <c r="D16" s="286"/>
      <c r="E16" s="280"/>
      <c r="F16" s="265"/>
      <c r="G16" s="281"/>
      <c r="H16" s="271">
        <f t="shared" ref="H16:M16" si="0">SUM(H15:H15)</f>
        <v>0</v>
      </c>
      <c r="I16" s="271">
        <f t="shared" si="0"/>
        <v>0</v>
      </c>
      <c r="J16" s="271">
        <f t="shared" si="0"/>
        <v>0</v>
      </c>
      <c r="K16" s="271">
        <f t="shared" si="0"/>
        <v>0</v>
      </c>
      <c r="L16" s="271">
        <f t="shared" si="0"/>
        <v>0</v>
      </c>
      <c r="M16" s="271">
        <f t="shared" si="0"/>
        <v>0</v>
      </c>
      <c r="N16" s="23"/>
      <c r="O16" s="23"/>
      <c r="P16" s="23"/>
      <c r="Q16" s="23"/>
      <c r="R16" s="25"/>
    </row>
    <row r="17" spans="1:18" ht="15.5">
      <c r="A17" s="370" t="str">
        <f>IF(AE46,AE48,"")</f>
        <v/>
      </c>
      <c r="B17" s="367"/>
      <c r="C17" s="367"/>
      <c r="D17" s="367"/>
      <c r="E17" s="367"/>
      <c r="F17" s="367"/>
      <c r="G17" s="367"/>
      <c r="H17" s="367"/>
      <c r="I17" s="367"/>
      <c r="J17" s="367"/>
      <c r="K17" s="367"/>
      <c r="L17" s="367"/>
      <c r="M17" s="367"/>
      <c r="N17" s="367"/>
      <c r="O17" s="367"/>
      <c r="P17" s="367"/>
      <c r="Q17" s="367"/>
      <c r="R17" s="367"/>
    </row>
    <row r="18" spans="1:18" ht="15.5">
      <c r="A18" s="401" t="s">
        <v>262</v>
      </c>
      <c r="B18" s="402"/>
      <c r="C18" s="402"/>
      <c r="D18" s="402"/>
      <c r="E18" s="402"/>
      <c r="F18" s="402"/>
      <c r="G18" s="402"/>
      <c r="H18" s="402"/>
      <c r="I18" s="402"/>
      <c r="J18" s="402"/>
      <c r="K18" s="402"/>
      <c r="L18" s="402"/>
      <c r="M18" s="402"/>
      <c r="N18" s="402"/>
      <c r="O18" s="402"/>
      <c r="P18" s="402"/>
      <c r="Q18" s="402"/>
      <c r="R18" s="403"/>
    </row>
    <row r="19" spans="1:18" ht="50.25" customHeight="1">
      <c r="A19" s="393" t="s">
        <v>434</v>
      </c>
      <c r="B19" s="394"/>
      <c r="C19" s="394"/>
      <c r="D19" s="394"/>
      <c r="E19" s="394"/>
      <c r="F19" s="394"/>
      <c r="G19" s="394"/>
      <c r="H19" s="394"/>
      <c r="I19" s="394"/>
      <c r="J19" s="394"/>
      <c r="K19" s="394"/>
      <c r="L19" s="394"/>
      <c r="M19" s="394"/>
      <c r="N19" s="394"/>
      <c r="O19" s="394"/>
      <c r="P19" s="394"/>
      <c r="Q19" s="394"/>
      <c r="R19" s="395"/>
    </row>
    <row r="20" spans="1:18" ht="15.5">
      <c r="A20" s="460" t="s">
        <v>390</v>
      </c>
      <c r="B20" s="461"/>
      <c r="C20" s="461"/>
      <c r="D20" s="461"/>
      <c r="E20" s="461"/>
      <c r="F20" s="461"/>
      <c r="G20" s="461"/>
      <c r="H20" s="461"/>
      <c r="I20" s="461"/>
      <c r="J20" s="461"/>
      <c r="K20" s="461"/>
      <c r="L20" s="461"/>
      <c r="M20" s="461"/>
      <c r="N20" s="461"/>
      <c r="O20" s="461"/>
      <c r="P20" s="461"/>
      <c r="Q20" s="461"/>
      <c r="R20" s="462"/>
    </row>
    <row r="21" spans="1:18" ht="47.25" customHeight="1">
      <c r="A21" s="463" t="s">
        <v>392</v>
      </c>
      <c r="B21" s="464"/>
      <c r="C21" s="464"/>
      <c r="D21" s="464"/>
      <c r="E21" s="464"/>
      <c r="F21" s="464"/>
      <c r="G21" s="464"/>
      <c r="H21" s="464"/>
      <c r="I21" s="464"/>
      <c r="J21" s="464"/>
      <c r="K21" s="464"/>
      <c r="L21" s="464"/>
      <c r="M21" s="464"/>
      <c r="N21" s="464"/>
      <c r="O21" s="464"/>
      <c r="P21" s="464"/>
      <c r="Q21" s="464"/>
      <c r="R21" s="465"/>
    </row>
    <row r="22" spans="1:18" ht="15.5">
      <c r="A22" s="413" t="s">
        <v>221</v>
      </c>
      <c r="B22" s="414"/>
      <c r="C22" s="414"/>
      <c r="D22" s="414"/>
      <c r="E22" s="414"/>
      <c r="F22" s="414"/>
      <c r="G22" s="414"/>
      <c r="H22" s="414"/>
      <c r="I22" s="414"/>
      <c r="J22" s="414"/>
      <c r="K22" s="414"/>
      <c r="L22" s="414"/>
      <c r="M22" s="414"/>
      <c r="N22" s="414"/>
      <c r="O22" s="414"/>
      <c r="P22" s="414"/>
      <c r="Q22" s="414"/>
      <c r="R22" s="415"/>
    </row>
    <row r="23" spans="1:18" ht="64.5" customHeight="1">
      <c r="A23" s="396" t="s">
        <v>370</v>
      </c>
      <c r="B23" s="397"/>
      <c r="C23" s="397"/>
      <c r="D23" s="397"/>
      <c r="E23" s="397"/>
      <c r="F23" s="397"/>
      <c r="G23" s="397"/>
      <c r="H23" s="397"/>
      <c r="I23" s="397"/>
      <c r="J23" s="397"/>
      <c r="K23" s="397"/>
      <c r="L23" s="397"/>
      <c r="M23" s="397"/>
      <c r="N23" s="397"/>
      <c r="O23" s="397"/>
      <c r="P23" s="397"/>
      <c r="Q23" s="397"/>
      <c r="R23" s="398"/>
    </row>
  </sheetData>
  <mergeCells count="33">
    <mergeCell ref="A20:R20"/>
    <mergeCell ref="A21:R21"/>
    <mergeCell ref="A22:R22"/>
    <mergeCell ref="A23:R23"/>
    <mergeCell ref="H9:Q9"/>
    <mergeCell ref="R9:R13"/>
    <mergeCell ref="H10:Q10"/>
    <mergeCell ref="A16:C16"/>
    <mergeCell ref="A18:R18"/>
    <mergeCell ref="A19:R19"/>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1">
    <dataValidation type="list" allowBlank="1" showInputMessage="1" showErrorMessage="1" promptTitle="Choose Management" sqref="C15">
      <formula1>$AE$34:$AE$43</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89441" r:id="rId3" name="Check Box 1">
              <controlPr defaultSize="0" autoFill="0" autoLine="0" autoPict="0">
                <anchor moveWithCells="1">
                  <from>
                    <xdr:col>3</xdr:col>
                    <xdr:colOff>171450</xdr:colOff>
                    <xdr:row>0</xdr:row>
                    <xdr:rowOff>19050</xdr:rowOff>
                  </from>
                  <to>
                    <xdr:col>4</xdr:col>
                    <xdr:colOff>152400</xdr:colOff>
                    <xdr:row>0</xdr:row>
                    <xdr:rowOff>146050</xdr:rowOff>
                  </to>
                </anchor>
              </controlPr>
            </control>
          </mc:Choice>
        </mc:AlternateContent>
        <mc:AlternateContent xmlns:mc="http://schemas.openxmlformats.org/markup-compatibility/2006">
          <mc:Choice Requires="x14">
            <control shapeId="189442" r:id="rId4" name="Check Box 2">
              <controlPr defaultSize="0" autoFill="0" autoLine="0" autoPict="0">
                <anchor moveWithCells="1">
                  <from>
                    <xdr:col>7</xdr:col>
                    <xdr:colOff>222250</xdr:colOff>
                    <xdr:row>0</xdr:row>
                    <xdr:rowOff>19050</xdr:rowOff>
                  </from>
                  <to>
                    <xdr:col>8</xdr:col>
                    <xdr:colOff>127000</xdr:colOff>
                    <xdr:row>0</xdr:row>
                    <xdr:rowOff>146050</xdr:rowOff>
                  </to>
                </anchor>
              </controlPr>
            </control>
          </mc:Choice>
        </mc:AlternateContent>
      </controls>
    </mc:Choice>
  </mc:AlternateConten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pageSetUpPr fitToPage="1"/>
  </sheetPr>
  <dimension ref="A1:R43"/>
  <sheetViews>
    <sheetView topLeftCell="A13" zoomScale="55" zoomScaleNormal="55" workbookViewId="0">
      <selection activeCell="D16" sqref="D16"/>
    </sheetView>
  </sheetViews>
  <sheetFormatPr defaultRowHeight="12.5"/>
  <cols>
    <col min="3" max="3" width="68.26953125" customWidth="1"/>
    <col min="4" max="4" width="13" customWidth="1"/>
    <col min="6" max="6" width="11" customWidth="1"/>
    <col min="7" max="7" width="11.7265625" customWidth="1"/>
    <col min="8" max="8" width="13.7265625" customWidth="1"/>
    <col min="10" max="10" width="16.81640625" customWidth="1"/>
    <col min="11" max="11" width="14.81640625" customWidth="1"/>
    <col min="12" max="12" width="12.26953125" customWidth="1"/>
    <col min="14" max="14" width="6.54296875" customWidth="1"/>
    <col min="15" max="15" width="8.54296875" customWidth="1"/>
    <col min="16" max="16" width="6.54296875" customWidth="1"/>
    <col min="17" max="17" width="6.453125" customWidth="1"/>
    <col min="18" max="18" width="7.1796875" customWidth="1"/>
  </cols>
  <sheetData>
    <row r="1" spans="1:18" ht="18.7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21"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28.25" customHeight="1">
      <c r="A7" s="467" t="s">
        <v>502</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hidden="1">
      <c r="A15" s="64"/>
      <c r="B15" s="64"/>
      <c r="C15" s="242" t="s">
        <v>297</v>
      </c>
      <c r="D15" s="167"/>
      <c r="E15" s="166"/>
      <c r="F15" s="27"/>
      <c r="G15" s="67"/>
      <c r="H15" s="27"/>
      <c r="I15" s="28"/>
      <c r="J15" s="28"/>
      <c r="K15" s="28"/>
      <c r="L15" s="28"/>
      <c r="M15" s="28"/>
      <c r="N15" s="28"/>
      <c r="O15" s="28"/>
      <c r="P15" s="28"/>
      <c r="Q15" s="28"/>
      <c r="R15" s="13"/>
    </row>
    <row r="16" spans="1:18" ht="17.5">
      <c r="A16" s="12"/>
      <c r="B16" s="347"/>
      <c r="C16" s="250" t="s">
        <v>74</v>
      </c>
      <c r="D16" s="308"/>
      <c r="E16" s="299" t="s">
        <v>20</v>
      </c>
      <c r="F16" s="231">
        <f>'Component List'!D29</f>
        <v>74.12</v>
      </c>
      <c r="G16" s="287">
        <v>50</v>
      </c>
      <c r="H16" s="231">
        <f>D16*F16*G16/100</f>
        <v>0</v>
      </c>
      <c r="I16" s="264"/>
      <c r="J16" s="264"/>
      <c r="K16" s="264"/>
      <c r="L16" s="264"/>
      <c r="M16" s="264"/>
      <c r="N16" s="28"/>
      <c r="O16" s="28"/>
      <c r="P16" s="28"/>
      <c r="Q16" s="28"/>
      <c r="R16" s="13"/>
    </row>
    <row r="17" spans="1:18" ht="17.5">
      <c r="A17" s="12"/>
      <c r="B17" s="347"/>
      <c r="C17" s="250" t="s">
        <v>75</v>
      </c>
      <c r="D17" s="308"/>
      <c r="E17" s="299" t="s">
        <v>20</v>
      </c>
      <c r="F17" s="231">
        <f>'Component List'!D30</f>
        <v>149.58000000000001</v>
      </c>
      <c r="G17" s="287">
        <v>50</v>
      </c>
      <c r="H17" s="231">
        <f>D17*F17*G17/100</f>
        <v>0</v>
      </c>
      <c r="I17" s="264"/>
      <c r="J17" s="264"/>
      <c r="K17" s="264"/>
      <c r="L17" s="264"/>
      <c r="M17" s="264"/>
      <c r="N17" s="28"/>
      <c r="O17" s="28"/>
      <c r="P17" s="28"/>
      <c r="Q17" s="28"/>
      <c r="R17" s="13"/>
    </row>
    <row r="18" spans="1:18" ht="17.5">
      <c r="A18" s="12"/>
      <c r="B18" s="347"/>
      <c r="C18" s="206" t="s">
        <v>160</v>
      </c>
      <c r="D18" s="308"/>
      <c r="E18" s="297" t="s">
        <v>20</v>
      </c>
      <c r="F18" s="231">
        <f>'Component List'!D2</f>
        <v>1.6399999999999997</v>
      </c>
      <c r="G18" s="282">
        <v>50</v>
      </c>
      <c r="H18" s="231">
        <f>D18*F18*G18/100</f>
        <v>0</v>
      </c>
      <c r="I18" s="264"/>
      <c r="J18" s="264"/>
      <c r="K18" s="264"/>
      <c r="L18" s="264"/>
      <c r="M18" s="264"/>
      <c r="N18" s="28"/>
      <c r="O18" s="28"/>
      <c r="P18" s="28"/>
      <c r="Q18" s="28"/>
      <c r="R18" s="13"/>
    </row>
    <row r="19" spans="1:18" ht="17.5">
      <c r="A19" s="12"/>
      <c r="B19" s="347"/>
      <c r="C19" s="206" t="s">
        <v>159</v>
      </c>
      <c r="D19" s="308"/>
      <c r="E19" s="297" t="s">
        <v>20</v>
      </c>
      <c r="F19" s="231">
        <f>'Component List'!D3</f>
        <v>0</v>
      </c>
      <c r="G19" s="282">
        <v>50</v>
      </c>
      <c r="H19" s="231">
        <f>D19*F19*G19/100</f>
        <v>0</v>
      </c>
      <c r="I19" s="264"/>
      <c r="J19" s="264"/>
      <c r="K19" s="264"/>
      <c r="L19" s="264"/>
      <c r="M19" s="264"/>
      <c r="N19" s="28"/>
      <c r="O19" s="28"/>
      <c r="P19" s="28"/>
      <c r="Q19" s="28"/>
      <c r="R19" s="13"/>
    </row>
    <row r="20" spans="1:18" ht="17.5">
      <c r="A20" s="12"/>
      <c r="B20" s="347"/>
      <c r="C20" s="206" t="s">
        <v>161</v>
      </c>
      <c r="D20" s="308"/>
      <c r="E20" s="297" t="s">
        <v>20</v>
      </c>
      <c r="F20" s="231">
        <f>'Component List'!D4</f>
        <v>80.06</v>
      </c>
      <c r="G20" s="282">
        <v>50</v>
      </c>
      <c r="H20" s="231">
        <f t="shared" ref="H20:H34" si="0">D20*F20*G20/100</f>
        <v>0</v>
      </c>
      <c r="I20" s="264"/>
      <c r="J20" s="264"/>
      <c r="K20" s="264"/>
      <c r="L20" s="264"/>
      <c r="M20" s="264"/>
      <c r="N20" s="28"/>
      <c r="O20" s="28"/>
      <c r="P20" s="28"/>
      <c r="Q20" s="28"/>
      <c r="R20" s="13"/>
    </row>
    <row r="21" spans="1:18" ht="17.5">
      <c r="A21" s="35"/>
      <c r="B21" s="349"/>
      <c r="C21" s="206" t="s">
        <v>302</v>
      </c>
      <c r="D21" s="308"/>
      <c r="E21" s="297" t="s">
        <v>20</v>
      </c>
      <c r="F21" s="231">
        <f>'Component List'!D5</f>
        <v>62.6</v>
      </c>
      <c r="G21" s="282">
        <v>50</v>
      </c>
      <c r="H21" s="292">
        <f t="shared" si="0"/>
        <v>0</v>
      </c>
      <c r="I21" s="264"/>
      <c r="J21" s="269"/>
      <c r="K21" s="269"/>
      <c r="L21" s="269"/>
      <c r="M21" s="269"/>
      <c r="N21" s="68"/>
      <c r="O21" s="68"/>
      <c r="P21" s="68"/>
      <c r="Q21" s="68"/>
      <c r="R21" s="43"/>
    </row>
    <row r="22" spans="1:18" ht="17.5">
      <c r="A22" s="12"/>
      <c r="B22" s="347"/>
      <c r="C22" s="206" t="s">
        <v>237</v>
      </c>
      <c r="D22" s="308"/>
      <c r="E22" s="297" t="s">
        <v>20</v>
      </c>
      <c r="F22" s="231">
        <f>'Component List'!D10</f>
        <v>252.55999999999997</v>
      </c>
      <c r="G22" s="282">
        <v>50</v>
      </c>
      <c r="H22" s="231">
        <f t="shared" si="0"/>
        <v>0</v>
      </c>
      <c r="I22" s="270"/>
      <c r="J22" s="264"/>
      <c r="K22" s="264"/>
      <c r="L22" s="264"/>
      <c r="M22" s="264"/>
      <c r="N22" s="28"/>
      <c r="O22" s="28"/>
      <c r="P22" s="28"/>
      <c r="Q22" s="28"/>
      <c r="R22" s="13"/>
    </row>
    <row r="23" spans="1:18" ht="17.5">
      <c r="A23" s="12"/>
      <c r="B23" s="347"/>
      <c r="C23" s="206" t="s">
        <v>164</v>
      </c>
      <c r="D23" s="308"/>
      <c r="E23" s="297" t="s">
        <v>20</v>
      </c>
      <c r="F23" s="231">
        <f>'Component List'!D14</f>
        <v>16.079999999999998</v>
      </c>
      <c r="G23" s="282">
        <v>50</v>
      </c>
      <c r="H23" s="231">
        <f t="shared" si="0"/>
        <v>0</v>
      </c>
      <c r="I23" s="264"/>
      <c r="J23" s="264"/>
      <c r="K23" s="264"/>
      <c r="L23" s="264"/>
      <c r="M23" s="264"/>
      <c r="N23" s="28"/>
      <c r="O23" s="28"/>
      <c r="P23" s="28"/>
      <c r="Q23" s="28"/>
      <c r="R23" s="13"/>
    </row>
    <row r="24" spans="1:18" ht="17.5">
      <c r="A24" s="12"/>
      <c r="B24" s="347"/>
      <c r="C24" s="206" t="s">
        <v>165</v>
      </c>
      <c r="D24" s="308"/>
      <c r="E24" s="297" t="s">
        <v>20</v>
      </c>
      <c r="F24" s="231">
        <f>'Component List'!D28</f>
        <v>94.14</v>
      </c>
      <c r="G24" s="282">
        <v>50</v>
      </c>
      <c r="H24" s="231">
        <f t="shared" si="0"/>
        <v>0</v>
      </c>
      <c r="I24" s="264"/>
      <c r="J24" s="264"/>
      <c r="K24" s="264"/>
      <c r="L24" s="264"/>
      <c r="M24" s="264"/>
      <c r="N24" s="28"/>
      <c r="O24" s="28"/>
      <c r="P24" s="28"/>
      <c r="Q24" s="28"/>
      <c r="R24" s="13"/>
    </row>
    <row r="25" spans="1:18" ht="17.5">
      <c r="A25" s="12"/>
      <c r="B25" s="347"/>
      <c r="C25" s="206" t="s">
        <v>419</v>
      </c>
      <c r="D25" s="308"/>
      <c r="E25" s="297" t="s">
        <v>20</v>
      </c>
      <c r="F25" s="231">
        <f>'Component List'!D16</f>
        <v>84.42</v>
      </c>
      <c r="G25" s="282">
        <v>50</v>
      </c>
      <c r="H25" s="231">
        <f t="shared" si="0"/>
        <v>0</v>
      </c>
      <c r="I25" s="264"/>
      <c r="J25" s="264"/>
      <c r="K25" s="264"/>
      <c r="L25" s="264"/>
      <c r="M25" s="264"/>
      <c r="N25" s="28"/>
      <c r="O25" s="28"/>
      <c r="P25" s="28"/>
      <c r="Q25" s="28"/>
      <c r="R25" s="13"/>
    </row>
    <row r="26" spans="1:18" ht="17.5">
      <c r="A26" s="12"/>
      <c r="B26" s="347"/>
      <c r="C26" s="245" t="s">
        <v>309</v>
      </c>
      <c r="D26" s="308"/>
      <c r="E26" s="310">
        <v>100</v>
      </c>
      <c r="F26" s="231">
        <f>'Component List'!D32</f>
        <v>70.2</v>
      </c>
      <c r="G26" s="282">
        <v>50</v>
      </c>
      <c r="H26" s="231">
        <f t="shared" si="0"/>
        <v>0</v>
      </c>
      <c r="I26" s="264"/>
      <c r="J26" s="264"/>
      <c r="K26" s="264"/>
      <c r="L26" s="264"/>
      <c r="M26" s="264"/>
      <c r="N26" s="28"/>
      <c r="O26" s="28"/>
      <c r="P26" s="28"/>
      <c r="Q26" s="28"/>
      <c r="R26" s="13"/>
    </row>
    <row r="27" spans="1:18" ht="17.5">
      <c r="A27" s="12"/>
      <c r="B27" s="347"/>
      <c r="C27" s="245" t="s">
        <v>56</v>
      </c>
      <c r="D27" s="308"/>
      <c r="E27" s="310">
        <v>100</v>
      </c>
      <c r="F27" s="231">
        <f>'Component List'!D33</f>
        <v>117.6</v>
      </c>
      <c r="G27" s="282">
        <v>50</v>
      </c>
      <c r="H27" s="231">
        <f t="shared" si="0"/>
        <v>0</v>
      </c>
      <c r="I27" s="264"/>
      <c r="J27" s="264"/>
      <c r="K27" s="264"/>
      <c r="L27" s="264"/>
      <c r="M27" s="264"/>
      <c r="N27" s="28"/>
      <c r="O27" s="28"/>
      <c r="P27" s="28"/>
      <c r="Q27" s="28"/>
      <c r="R27" s="13"/>
    </row>
    <row r="28" spans="1:18" s="93" customFormat="1" ht="17.5">
      <c r="A28" s="12"/>
      <c r="B28" s="347"/>
      <c r="C28" s="245" t="s">
        <v>54</v>
      </c>
      <c r="D28" s="308"/>
      <c r="E28" s="310">
        <v>100</v>
      </c>
      <c r="F28" s="231">
        <f>'Component List'!D34</f>
        <v>200</v>
      </c>
      <c r="G28" s="282">
        <v>50</v>
      </c>
      <c r="H28" s="231">
        <f t="shared" si="0"/>
        <v>0</v>
      </c>
      <c r="I28" s="264"/>
      <c r="J28" s="264"/>
      <c r="K28" s="264"/>
      <c r="L28" s="264"/>
      <c r="M28" s="264"/>
      <c r="N28" s="28"/>
      <c r="O28" s="28"/>
      <c r="P28" s="28"/>
      <c r="Q28" s="28"/>
      <c r="R28" s="13"/>
    </row>
    <row r="29" spans="1:18" s="93" customFormat="1" ht="17.5">
      <c r="A29" s="12"/>
      <c r="B29" s="347"/>
      <c r="C29" s="245" t="s">
        <v>55</v>
      </c>
      <c r="D29" s="308"/>
      <c r="E29" s="310">
        <v>100</v>
      </c>
      <c r="F29" s="231">
        <f>'Component List'!D35</f>
        <v>214.5</v>
      </c>
      <c r="G29" s="282">
        <v>50</v>
      </c>
      <c r="H29" s="231">
        <f t="shared" si="0"/>
        <v>0</v>
      </c>
      <c r="I29" s="264"/>
      <c r="J29" s="264"/>
      <c r="K29" s="264"/>
      <c r="L29" s="264"/>
      <c r="M29" s="264"/>
      <c r="N29" s="28"/>
      <c r="O29" s="28"/>
      <c r="P29" s="28"/>
      <c r="Q29" s="28"/>
      <c r="R29" s="13"/>
    </row>
    <row r="30" spans="1:18" s="93" customFormat="1" ht="17.5">
      <c r="A30" s="12"/>
      <c r="B30" s="347"/>
      <c r="C30" s="245" t="s">
        <v>83</v>
      </c>
      <c r="D30" s="308"/>
      <c r="E30" s="297" t="s">
        <v>47</v>
      </c>
      <c r="F30" s="231">
        <f>'Component List'!D40</f>
        <v>35.26</v>
      </c>
      <c r="G30" s="282">
        <v>50</v>
      </c>
      <c r="H30" s="231">
        <f t="shared" si="0"/>
        <v>0</v>
      </c>
      <c r="I30" s="264"/>
      <c r="J30" s="264"/>
      <c r="K30" s="264"/>
      <c r="L30" s="264"/>
      <c r="M30" s="264"/>
      <c r="N30" s="28"/>
      <c r="O30" s="28"/>
      <c r="P30" s="28"/>
      <c r="Q30" s="28"/>
      <c r="R30" s="13"/>
    </row>
    <row r="31" spans="1:18" s="93" customFormat="1" ht="17.5">
      <c r="A31" s="12"/>
      <c r="B31" s="347"/>
      <c r="C31" s="245" t="s">
        <v>310</v>
      </c>
      <c r="D31" s="308"/>
      <c r="E31" s="297" t="s">
        <v>233</v>
      </c>
      <c r="F31" s="231">
        <f>'Component List'!D41</f>
        <v>85</v>
      </c>
      <c r="G31" s="282">
        <v>50</v>
      </c>
      <c r="H31" s="231">
        <f t="shared" si="0"/>
        <v>0</v>
      </c>
      <c r="I31" s="264"/>
      <c r="J31" s="264"/>
      <c r="K31" s="264"/>
      <c r="L31" s="264"/>
      <c r="M31" s="264"/>
      <c r="N31" s="28"/>
      <c r="O31" s="28"/>
      <c r="P31" s="28"/>
      <c r="Q31" s="28"/>
      <c r="R31" s="13"/>
    </row>
    <row r="32" spans="1:18" s="93" customFormat="1" ht="17.5">
      <c r="A32" s="12"/>
      <c r="B32" s="347"/>
      <c r="C32" s="245" t="s">
        <v>311</v>
      </c>
      <c r="D32" s="308"/>
      <c r="E32" s="310">
        <v>100</v>
      </c>
      <c r="F32" s="231">
        <f>'Component List'!D31</f>
        <v>56.58</v>
      </c>
      <c r="G32" s="282">
        <v>50</v>
      </c>
      <c r="H32" s="231">
        <f t="shared" si="0"/>
        <v>0</v>
      </c>
      <c r="I32" s="264"/>
      <c r="J32" s="264"/>
      <c r="K32" s="264"/>
      <c r="L32" s="264"/>
      <c r="M32" s="264"/>
      <c r="N32" s="28"/>
      <c r="O32" s="28"/>
      <c r="P32" s="28"/>
      <c r="Q32" s="28"/>
      <c r="R32" s="13"/>
    </row>
    <row r="33" spans="1:18" ht="17.5">
      <c r="A33" s="12"/>
      <c r="B33" s="347"/>
      <c r="C33" s="245" t="s">
        <v>312</v>
      </c>
      <c r="D33" s="308"/>
      <c r="E33" s="297" t="s">
        <v>20</v>
      </c>
      <c r="F33" s="231">
        <f>'Component List'!D42</f>
        <v>46.42</v>
      </c>
      <c r="G33" s="282">
        <v>50</v>
      </c>
      <c r="H33" s="231">
        <f t="shared" si="0"/>
        <v>0</v>
      </c>
      <c r="I33" s="264"/>
      <c r="J33" s="264"/>
      <c r="K33" s="264"/>
      <c r="L33" s="264"/>
      <c r="M33" s="264"/>
      <c r="N33" s="28"/>
      <c r="O33" s="28"/>
      <c r="P33" s="28"/>
      <c r="Q33" s="28"/>
      <c r="R33" s="13"/>
    </row>
    <row r="34" spans="1:18" ht="17.5">
      <c r="A34" s="12"/>
      <c r="B34" s="347"/>
      <c r="C34" s="250" t="s">
        <v>313</v>
      </c>
      <c r="D34" s="308"/>
      <c r="E34" s="299" t="s">
        <v>77</v>
      </c>
      <c r="F34" s="293">
        <f>'Component List'!D39</f>
        <v>6.38</v>
      </c>
      <c r="G34" s="282">
        <v>50</v>
      </c>
      <c r="H34" s="231">
        <f t="shared" si="0"/>
        <v>0</v>
      </c>
      <c r="I34" s="264"/>
      <c r="J34" s="264"/>
      <c r="K34" s="264"/>
      <c r="L34" s="264"/>
      <c r="M34" s="264"/>
      <c r="N34" s="28"/>
      <c r="O34" s="28"/>
      <c r="P34" s="28"/>
      <c r="Q34" s="28"/>
      <c r="R34" s="13"/>
    </row>
    <row r="35" spans="1:18" ht="17.5">
      <c r="A35" s="12"/>
      <c r="B35" s="347"/>
      <c r="C35" s="206" t="s">
        <v>314</v>
      </c>
      <c r="D35" s="308"/>
      <c r="E35" s="297" t="s">
        <v>20</v>
      </c>
      <c r="F35" s="293">
        <f>'Component List'!D37</f>
        <v>59.48</v>
      </c>
      <c r="G35" s="282">
        <v>50</v>
      </c>
      <c r="H35" s="231">
        <f>D35*F35*G35/100</f>
        <v>0</v>
      </c>
      <c r="I35" s="264"/>
      <c r="J35" s="264"/>
      <c r="K35" s="264"/>
      <c r="L35" s="264"/>
      <c r="M35" s="264"/>
      <c r="N35" s="28"/>
      <c r="O35" s="28"/>
      <c r="P35" s="28"/>
      <c r="Q35" s="28"/>
      <c r="R35" s="13"/>
    </row>
    <row r="36" spans="1:18" ht="15.5">
      <c r="A36" s="456" t="s">
        <v>89</v>
      </c>
      <c r="B36" s="457"/>
      <c r="C36" s="458"/>
      <c r="D36" s="286"/>
      <c r="E36" s="280"/>
      <c r="F36" s="265"/>
      <c r="G36" s="281"/>
      <c r="H36" s="271">
        <f t="shared" ref="H36:M36" si="1">SUM(H15:H35)</f>
        <v>0</v>
      </c>
      <c r="I36" s="271">
        <f t="shared" si="1"/>
        <v>0</v>
      </c>
      <c r="J36" s="271">
        <f t="shared" si="1"/>
        <v>0</v>
      </c>
      <c r="K36" s="271">
        <f t="shared" si="1"/>
        <v>0</v>
      </c>
      <c r="L36" s="271">
        <f t="shared" si="1"/>
        <v>0</v>
      </c>
      <c r="M36" s="271">
        <f t="shared" si="1"/>
        <v>0</v>
      </c>
      <c r="N36" s="23"/>
      <c r="O36" s="23"/>
      <c r="P36" s="23"/>
      <c r="Q36" s="23"/>
      <c r="R36" s="25"/>
    </row>
    <row r="37" spans="1:18" ht="15.5">
      <c r="A37" s="110" t="str">
        <f>IF(AE66,AE68,"")</f>
        <v/>
      </c>
      <c r="B37" s="162"/>
      <c r="C37" s="162"/>
      <c r="D37" s="162"/>
      <c r="E37" s="162"/>
      <c r="F37" s="162"/>
      <c r="G37" s="162"/>
      <c r="H37" s="162"/>
      <c r="I37" s="162"/>
      <c r="J37" s="162"/>
      <c r="K37" s="162"/>
      <c r="L37" s="162"/>
      <c r="M37" s="162"/>
      <c r="N37" s="162"/>
      <c r="O37" s="162"/>
      <c r="P37" s="162"/>
      <c r="Q37" s="162"/>
      <c r="R37" s="162"/>
    </row>
    <row r="38" spans="1:18" ht="15.5">
      <c r="A38" s="401" t="s">
        <v>262</v>
      </c>
      <c r="B38" s="402"/>
      <c r="C38" s="402"/>
      <c r="D38" s="402"/>
      <c r="E38" s="402"/>
      <c r="F38" s="402"/>
      <c r="G38" s="402"/>
      <c r="H38" s="402"/>
      <c r="I38" s="402"/>
      <c r="J38" s="402"/>
      <c r="K38" s="402"/>
      <c r="L38" s="402"/>
      <c r="M38" s="402"/>
      <c r="N38" s="402"/>
      <c r="O38" s="402"/>
      <c r="P38" s="402"/>
      <c r="Q38" s="402"/>
      <c r="R38" s="403"/>
    </row>
    <row r="39" spans="1:18" ht="46.5" customHeight="1">
      <c r="A39" s="393" t="s">
        <v>434</v>
      </c>
      <c r="B39" s="394"/>
      <c r="C39" s="394"/>
      <c r="D39" s="394"/>
      <c r="E39" s="394"/>
      <c r="F39" s="394"/>
      <c r="G39" s="394"/>
      <c r="H39" s="394"/>
      <c r="I39" s="394"/>
      <c r="J39" s="394"/>
      <c r="K39" s="394"/>
      <c r="L39" s="394"/>
      <c r="M39" s="394"/>
      <c r="N39" s="394"/>
      <c r="O39" s="394"/>
      <c r="P39" s="394"/>
      <c r="Q39" s="394"/>
      <c r="R39" s="395"/>
    </row>
    <row r="40" spans="1:18" ht="15.5">
      <c r="A40" s="460" t="s">
        <v>390</v>
      </c>
      <c r="B40" s="461"/>
      <c r="C40" s="461"/>
      <c r="D40" s="461"/>
      <c r="E40" s="461"/>
      <c r="F40" s="461"/>
      <c r="G40" s="461"/>
      <c r="H40" s="461"/>
      <c r="I40" s="461"/>
      <c r="J40" s="461"/>
      <c r="K40" s="461"/>
      <c r="L40" s="461"/>
      <c r="M40" s="461"/>
      <c r="N40" s="461"/>
      <c r="O40" s="461"/>
      <c r="P40" s="461"/>
      <c r="Q40" s="461"/>
      <c r="R40" s="462"/>
    </row>
    <row r="41" spans="1:18" ht="51.75" customHeight="1">
      <c r="A41" s="463" t="s">
        <v>392</v>
      </c>
      <c r="B41" s="464"/>
      <c r="C41" s="464"/>
      <c r="D41" s="464"/>
      <c r="E41" s="464"/>
      <c r="F41" s="464"/>
      <c r="G41" s="464"/>
      <c r="H41" s="464"/>
      <c r="I41" s="464"/>
      <c r="J41" s="464"/>
      <c r="K41" s="464"/>
      <c r="L41" s="464"/>
      <c r="M41" s="464"/>
      <c r="N41" s="464"/>
      <c r="O41" s="464"/>
      <c r="P41" s="464"/>
      <c r="Q41" s="464"/>
      <c r="R41" s="465"/>
    </row>
    <row r="42" spans="1:18" ht="15.5">
      <c r="A42" s="413" t="s">
        <v>221</v>
      </c>
      <c r="B42" s="414"/>
      <c r="C42" s="414"/>
      <c r="D42" s="414"/>
      <c r="E42" s="414"/>
      <c r="F42" s="414"/>
      <c r="G42" s="414"/>
      <c r="H42" s="414"/>
      <c r="I42" s="414"/>
      <c r="J42" s="414"/>
      <c r="K42" s="414"/>
      <c r="L42" s="414"/>
      <c r="M42" s="414"/>
      <c r="N42" s="414"/>
      <c r="O42" s="414"/>
      <c r="P42" s="414"/>
      <c r="Q42" s="414"/>
      <c r="R42" s="415"/>
    </row>
    <row r="43" spans="1:18" ht="78.75" customHeight="1">
      <c r="A43" s="396" t="s">
        <v>370</v>
      </c>
      <c r="B43" s="397"/>
      <c r="C43" s="397"/>
      <c r="D43" s="397"/>
      <c r="E43" s="397"/>
      <c r="F43" s="397"/>
      <c r="G43" s="397"/>
      <c r="H43" s="397"/>
      <c r="I43" s="397"/>
      <c r="J43" s="397"/>
      <c r="K43" s="397"/>
      <c r="L43" s="397"/>
      <c r="M43" s="397"/>
      <c r="N43" s="397"/>
      <c r="O43" s="397"/>
      <c r="P43" s="397"/>
      <c r="Q43" s="397"/>
      <c r="R43" s="398"/>
    </row>
  </sheetData>
  <mergeCells count="33">
    <mergeCell ref="A1:C1"/>
    <mergeCell ref="A2:C2"/>
    <mergeCell ref="F2:I2"/>
    <mergeCell ref="F3:I3"/>
    <mergeCell ref="A4:C4"/>
    <mergeCell ref="D4:G4"/>
    <mergeCell ref="J4:L4"/>
    <mergeCell ref="M4:R4"/>
    <mergeCell ref="A5:C5"/>
    <mergeCell ref="D5:G5"/>
    <mergeCell ref="H5:I5"/>
    <mergeCell ref="J5:L5"/>
    <mergeCell ref="M5:R5"/>
    <mergeCell ref="A6:R6"/>
    <mergeCell ref="A7:R7"/>
    <mergeCell ref="A8:R8"/>
    <mergeCell ref="A9:A13"/>
    <mergeCell ref="B9:B13"/>
    <mergeCell ref="C9:C13"/>
    <mergeCell ref="D9:D13"/>
    <mergeCell ref="E9:E13"/>
    <mergeCell ref="F9:F13"/>
    <mergeCell ref="G9:G13"/>
    <mergeCell ref="A40:R40"/>
    <mergeCell ref="A41:R41"/>
    <mergeCell ref="A42:R42"/>
    <mergeCell ref="A43:R43"/>
    <mergeCell ref="H9:Q9"/>
    <mergeCell ref="R9:R13"/>
    <mergeCell ref="H10:Q10"/>
    <mergeCell ref="A36:C36"/>
    <mergeCell ref="A38:R38"/>
    <mergeCell ref="A39:R39"/>
  </mergeCells>
  <dataValidations count="2">
    <dataValidation type="list" allowBlank="1" showInputMessage="1" showErrorMessage="1" promptTitle="Choose Management" sqref="C27:C33">
      <formula1>$AE$34:$AE$41</formula1>
    </dataValidation>
    <dataValidation type="list" allowBlank="1" showInputMessage="1" showErrorMessage="1" promptTitle="Choose Management" sqref="C34:C35">
      <formula1>$AE$42:$AE$51</formula1>
    </dataValidation>
  </dataValidations>
  <pageMargins left="0.27" right="0.16" top="0.33" bottom="0.42" header="0.18" footer="0.2"/>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7889" r:id="rId4" name="Check Box 1">
              <controlPr defaultSize="0" autoFill="0" autoLine="0" autoPict="0">
                <anchor moveWithCells="1">
                  <from>
                    <xdr:col>3</xdr:col>
                    <xdr:colOff>177800</xdr:colOff>
                    <xdr:row>0</xdr:row>
                    <xdr:rowOff>12700</xdr:rowOff>
                  </from>
                  <to>
                    <xdr:col>3</xdr:col>
                    <xdr:colOff>381000</xdr:colOff>
                    <xdr:row>1</xdr:row>
                    <xdr:rowOff>0</xdr:rowOff>
                  </to>
                </anchor>
              </controlPr>
            </control>
          </mc:Choice>
        </mc:AlternateContent>
        <mc:AlternateContent xmlns:mc="http://schemas.openxmlformats.org/markup-compatibility/2006">
          <mc:Choice Requires="x14">
            <control shapeId="37890" r:id="rId5" name="Check Box 2">
              <controlPr defaultSize="0" autoFill="0" autoLine="0" autoPict="0">
                <anchor moveWithCells="1">
                  <from>
                    <xdr:col>7</xdr:col>
                    <xdr:colOff>209550</xdr:colOff>
                    <xdr:row>0</xdr:row>
                    <xdr:rowOff>19050</xdr:rowOff>
                  </from>
                  <to>
                    <xdr:col>8</xdr:col>
                    <xdr:colOff>158750</xdr:colOff>
                    <xdr:row>1</xdr:row>
                    <xdr:rowOff>0</xdr:rowOff>
                  </to>
                </anchor>
              </controlPr>
            </control>
          </mc:Choice>
        </mc:AlternateContent>
      </controls>
    </mc:Choice>
  </mc:AlternateConten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pageSetUpPr fitToPage="1"/>
  </sheetPr>
  <dimension ref="A1:AK47"/>
  <sheetViews>
    <sheetView zoomScale="54" zoomScaleNormal="54" workbookViewId="0">
      <selection activeCell="D16" sqref="D16"/>
    </sheetView>
  </sheetViews>
  <sheetFormatPr defaultRowHeight="12.5"/>
  <cols>
    <col min="3" max="3" width="74.26953125" customWidth="1"/>
    <col min="4" max="4" width="12.26953125" customWidth="1"/>
    <col min="6" max="6" width="11" customWidth="1"/>
    <col min="7" max="7" width="12.453125" customWidth="1"/>
    <col min="8" max="8" width="14" customWidth="1"/>
    <col min="9" max="9" width="14.54296875" customWidth="1"/>
    <col min="10" max="10" width="15.81640625" customWidth="1"/>
    <col min="11" max="11" width="14" customWidth="1"/>
    <col min="12" max="12" width="13.54296875" customWidth="1"/>
    <col min="14" max="14" width="5.54296875" customWidth="1"/>
    <col min="15" max="15" width="9" customWidth="1"/>
    <col min="16" max="16" width="7.54296875" customWidth="1"/>
    <col min="17" max="17" width="5.81640625" customWidth="1"/>
    <col min="18" max="18" width="7.81640625" customWidth="1"/>
    <col min="24" max="24" width="74.1796875" customWidth="1"/>
    <col min="28" max="28" width="74.453125" customWidth="1"/>
  </cols>
  <sheetData>
    <row r="1" spans="1:18" ht="17.25"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262" t="s">
        <v>420</v>
      </c>
      <c r="O2" s="137" t="s">
        <v>364</v>
      </c>
      <c r="P2" s="138"/>
      <c r="Q2" s="139" t="s">
        <v>365</v>
      </c>
      <c r="R2" s="140"/>
    </row>
    <row r="3" spans="1:18" ht="19.5" customHeight="1">
      <c r="A3" s="141"/>
      <c r="B3" s="85"/>
      <c r="C3" s="85"/>
      <c r="D3" s="85"/>
      <c r="E3" s="85"/>
      <c r="F3" s="427" t="s">
        <v>26</v>
      </c>
      <c r="G3" s="428"/>
      <c r="H3" s="428"/>
      <c r="I3" s="428"/>
      <c r="J3" s="85"/>
      <c r="K3" s="85"/>
      <c r="L3" s="85"/>
      <c r="M3" s="85"/>
      <c r="N3" s="85"/>
      <c r="O3" s="17"/>
      <c r="P3" s="17"/>
      <c r="Q3" s="17"/>
      <c r="R3" s="142"/>
    </row>
    <row r="4" spans="1:18" ht="18" customHeight="1">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132" customHeight="1">
      <c r="A7" s="467" t="s">
        <v>503</v>
      </c>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ht="14.25" customHeight="1">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4.25" customHeight="1">
      <c r="A12" s="453"/>
      <c r="B12" s="453"/>
      <c r="C12" s="499"/>
      <c r="D12" s="475"/>
      <c r="E12" s="478"/>
      <c r="F12" s="453"/>
      <c r="G12" s="453"/>
      <c r="H12" s="111" t="s">
        <v>339</v>
      </c>
      <c r="I12" s="111" t="s">
        <v>339</v>
      </c>
      <c r="J12" s="111" t="s">
        <v>339</v>
      </c>
      <c r="K12" s="111" t="s">
        <v>339</v>
      </c>
      <c r="L12" s="111" t="s">
        <v>339</v>
      </c>
      <c r="M12" s="111" t="s">
        <v>339</v>
      </c>
      <c r="N12" s="111" t="s">
        <v>339</v>
      </c>
      <c r="O12" s="111" t="s">
        <v>339</v>
      </c>
      <c r="P12" s="111" t="s">
        <v>339</v>
      </c>
      <c r="Q12" s="111" t="s">
        <v>339</v>
      </c>
      <c r="R12" s="453"/>
    </row>
    <row r="13" spans="1:18" ht="15.5">
      <c r="A13" s="454"/>
      <c r="B13" s="454"/>
      <c r="C13" s="500"/>
      <c r="D13" s="476"/>
      <c r="E13" s="479"/>
      <c r="F13" s="454"/>
      <c r="G13" s="454"/>
      <c r="H13" s="337">
        <f>'CRPSignature Page'!H15</f>
        <v>2014</v>
      </c>
      <c r="I13" s="337">
        <f>'CRPSignature Page'!J15</f>
        <v>2016</v>
      </c>
      <c r="J13" s="337">
        <f>'CRPSignature Page'!K15</f>
        <v>2019</v>
      </c>
      <c r="K13" s="337">
        <f>'CRPSignature Page'!M15</f>
        <v>2022</v>
      </c>
      <c r="L13" s="20"/>
      <c r="M13" s="20"/>
      <c r="N13" s="154"/>
      <c r="O13" s="154"/>
      <c r="P13" s="154"/>
      <c r="Q13" s="154"/>
      <c r="R13" s="454"/>
    </row>
    <row r="14" spans="1:18"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row>
    <row r="15" spans="1:18" ht="18" hidden="1">
      <c r="A15" s="64"/>
      <c r="B15" s="64"/>
      <c r="C15" s="242" t="s">
        <v>297</v>
      </c>
      <c r="D15" s="167"/>
      <c r="E15" s="166"/>
      <c r="F15" s="27"/>
      <c r="G15" s="67"/>
      <c r="H15" s="27"/>
      <c r="I15" s="28"/>
      <c r="J15" s="28"/>
      <c r="K15" s="28"/>
      <c r="L15" s="28"/>
      <c r="M15" s="28"/>
      <c r="N15" s="28"/>
      <c r="O15" s="28"/>
      <c r="P15" s="28"/>
      <c r="Q15" s="28"/>
      <c r="R15" s="13"/>
    </row>
    <row r="16" spans="1:18" ht="17.5">
      <c r="A16" s="12"/>
      <c r="B16" s="347"/>
      <c r="C16" s="206" t="s">
        <v>318</v>
      </c>
      <c r="D16" s="308"/>
      <c r="E16" s="297" t="s">
        <v>20</v>
      </c>
      <c r="F16" s="231">
        <f>'Component List'!D28</f>
        <v>94.14</v>
      </c>
      <c r="G16" s="287">
        <v>50</v>
      </c>
      <c r="H16" s="231">
        <f t="shared" ref="H16:H27" si="0">D16*F16*G16/100</f>
        <v>0</v>
      </c>
      <c r="I16" s="231"/>
      <c r="J16" s="231"/>
      <c r="K16" s="231"/>
      <c r="L16" s="264"/>
      <c r="M16" s="264"/>
      <c r="N16" s="28"/>
      <c r="O16" s="28"/>
      <c r="P16" s="28"/>
      <c r="Q16" s="28"/>
      <c r="R16" s="13"/>
    </row>
    <row r="17" spans="1:37" ht="17.5">
      <c r="A17" s="12"/>
      <c r="B17" s="347"/>
      <c r="C17" s="206" t="s">
        <v>161</v>
      </c>
      <c r="D17" s="308"/>
      <c r="E17" s="297" t="s">
        <v>20</v>
      </c>
      <c r="F17" s="231">
        <f>'Component List'!D4</f>
        <v>80.06</v>
      </c>
      <c r="G17" s="287">
        <v>50</v>
      </c>
      <c r="H17" s="231">
        <f t="shared" si="0"/>
        <v>0</v>
      </c>
      <c r="I17" s="231"/>
      <c r="J17" s="231"/>
      <c r="K17" s="231"/>
      <c r="L17" s="264"/>
      <c r="M17" s="264"/>
      <c r="N17" s="28"/>
      <c r="O17" s="28"/>
      <c r="P17" s="28"/>
      <c r="Q17" s="28"/>
      <c r="R17" s="13"/>
    </row>
    <row r="18" spans="1:37" ht="17.5">
      <c r="A18" s="12"/>
      <c r="B18" s="347"/>
      <c r="C18" s="206" t="s">
        <v>302</v>
      </c>
      <c r="D18" s="308"/>
      <c r="E18" s="297" t="s">
        <v>20</v>
      </c>
      <c r="F18" s="231">
        <f>'Component List'!D5</f>
        <v>62.6</v>
      </c>
      <c r="G18" s="287">
        <v>50</v>
      </c>
      <c r="H18" s="231">
        <f t="shared" si="0"/>
        <v>0</v>
      </c>
      <c r="I18" s="231"/>
      <c r="J18" s="231"/>
      <c r="K18" s="231"/>
      <c r="L18" s="264"/>
      <c r="M18" s="264"/>
      <c r="N18" s="28"/>
      <c r="O18" s="28"/>
      <c r="P18" s="28"/>
      <c r="Q18" s="28"/>
      <c r="R18" s="13"/>
    </row>
    <row r="19" spans="1:37" ht="17.5">
      <c r="A19" s="12"/>
      <c r="B19" s="347"/>
      <c r="C19" s="252" t="s">
        <v>319</v>
      </c>
      <c r="D19" s="308"/>
      <c r="E19" s="319" t="s">
        <v>20</v>
      </c>
      <c r="F19" s="231">
        <f>'Component List'!D20</f>
        <v>279.16000000000003</v>
      </c>
      <c r="G19" s="287">
        <v>50</v>
      </c>
      <c r="H19" s="231">
        <f t="shared" si="0"/>
        <v>0</v>
      </c>
      <c r="I19" s="231"/>
      <c r="J19" s="231"/>
      <c r="K19" s="231"/>
      <c r="L19" s="264"/>
      <c r="M19" s="264"/>
      <c r="N19" s="28"/>
      <c r="O19" s="28"/>
      <c r="P19" s="28"/>
      <c r="Q19" s="28"/>
      <c r="R19" s="13"/>
    </row>
    <row r="20" spans="1:37" ht="17.5">
      <c r="A20" s="12"/>
      <c r="B20" s="347"/>
      <c r="C20" s="206" t="s">
        <v>419</v>
      </c>
      <c r="D20" s="308"/>
      <c r="E20" s="297" t="s">
        <v>20</v>
      </c>
      <c r="F20" s="231">
        <f>'Component List'!D16</f>
        <v>84.42</v>
      </c>
      <c r="G20" s="287">
        <v>50</v>
      </c>
      <c r="H20" s="231">
        <f t="shared" si="0"/>
        <v>0</v>
      </c>
      <c r="I20" s="231"/>
      <c r="J20" s="231"/>
      <c r="K20" s="231"/>
      <c r="L20" s="264"/>
      <c r="M20" s="264"/>
      <c r="N20" s="28"/>
      <c r="O20" s="28"/>
      <c r="P20" s="28"/>
      <c r="Q20" s="28"/>
      <c r="R20" s="13"/>
    </row>
    <row r="21" spans="1:37" ht="17.5">
      <c r="A21" s="35"/>
      <c r="B21" s="349"/>
      <c r="C21" s="206" t="s">
        <v>234</v>
      </c>
      <c r="D21" s="308"/>
      <c r="E21" s="299">
        <v>100</v>
      </c>
      <c r="F21" s="231">
        <f>'Component List'!D31</f>
        <v>56.58</v>
      </c>
      <c r="G21" s="287">
        <v>50</v>
      </c>
      <c r="H21" s="292">
        <f t="shared" si="0"/>
        <v>0</v>
      </c>
      <c r="I21" s="231"/>
      <c r="J21" s="292"/>
      <c r="K21" s="292"/>
      <c r="L21" s="269"/>
      <c r="M21" s="269"/>
      <c r="N21" s="68"/>
      <c r="O21" s="68"/>
      <c r="P21" s="68"/>
      <c r="Q21" s="68"/>
      <c r="R21" s="43"/>
    </row>
    <row r="22" spans="1:37" ht="17.5">
      <c r="A22" s="12"/>
      <c r="B22" s="347"/>
      <c r="C22" s="206" t="s">
        <v>231</v>
      </c>
      <c r="D22" s="308"/>
      <c r="E22" s="299">
        <v>100</v>
      </c>
      <c r="F22" s="231">
        <f>'Component List'!D32</f>
        <v>70.2</v>
      </c>
      <c r="G22" s="287">
        <v>50</v>
      </c>
      <c r="H22" s="231">
        <f t="shared" si="0"/>
        <v>0</v>
      </c>
      <c r="I22" s="288"/>
      <c r="J22" s="231"/>
      <c r="K22" s="231"/>
      <c r="L22" s="264"/>
      <c r="M22" s="264"/>
      <c r="N22" s="28"/>
      <c r="O22" s="28"/>
      <c r="P22" s="28"/>
      <c r="Q22" s="28"/>
      <c r="R22" s="13"/>
    </row>
    <row r="23" spans="1:37" ht="17.5">
      <c r="A23" s="12"/>
      <c r="B23" s="347"/>
      <c r="C23" s="206" t="s">
        <v>232</v>
      </c>
      <c r="D23" s="308"/>
      <c r="E23" s="299">
        <v>100</v>
      </c>
      <c r="F23" s="231">
        <f>'Component List'!D33</f>
        <v>117.6</v>
      </c>
      <c r="G23" s="287">
        <v>50</v>
      </c>
      <c r="H23" s="231">
        <f t="shared" si="0"/>
        <v>0</v>
      </c>
      <c r="I23" s="231"/>
      <c r="J23" s="231"/>
      <c r="K23" s="231"/>
      <c r="L23" s="264"/>
      <c r="M23" s="264"/>
      <c r="N23" s="28"/>
      <c r="O23" s="28"/>
      <c r="P23" s="28"/>
      <c r="Q23" s="28"/>
      <c r="R23" s="13"/>
      <c r="Z23" s="93"/>
      <c r="AA23" s="93"/>
      <c r="AB23" s="93"/>
      <c r="AC23" s="93"/>
      <c r="AD23" s="93"/>
      <c r="AE23" s="93"/>
      <c r="AF23" s="93"/>
      <c r="AG23" s="93"/>
      <c r="AH23" s="93"/>
      <c r="AI23" s="93"/>
      <c r="AJ23" s="93"/>
      <c r="AK23" s="93"/>
    </row>
    <row r="24" spans="1:37" ht="17.5">
      <c r="A24" s="12"/>
      <c r="B24" s="347"/>
      <c r="C24" s="206" t="s">
        <v>320</v>
      </c>
      <c r="D24" s="308"/>
      <c r="E24" s="299" t="s">
        <v>20</v>
      </c>
      <c r="F24" s="231">
        <f>'Component List'!D15</f>
        <v>21.78</v>
      </c>
      <c r="G24" s="287">
        <v>50</v>
      </c>
      <c r="H24" s="231">
        <f t="shared" si="0"/>
        <v>0</v>
      </c>
      <c r="I24" s="231"/>
      <c r="J24" s="231"/>
      <c r="K24" s="231"/>
      <c r="L24" s="264"/>
      <c r="M24" s="264"/>
      <c r="N24" s="28"/>
      <c r="O24" s="28"/>
      <c r="P24" s="28"/>
      <c r="Q24" s="28"/>
      <c r="R24" s="13"/>
      <c r="X24" s="235" t="s">
        <v>423</v>
      </c>
      <c r="Y24" s="202">
        <v>0</v>
      </c>
      <c r="Z24" s="93"/>
      <c r="AA24" s="93"/>
      <c r="AB24" s="235" t="s">
        <v>430</v>
      </c>
      <c r="AC24" s="202">
        <v>0</v>
      </c>
      <c r="AD24" s="93"/>
      <c r="AE24" s="93"/>
      <c r="AF24" s="93"/>
      <c r="AG24" s="93"/>
      <c r="AH24" s="93"/>
      <c r="AI24" s="93"/>
      <c r="AJ24" s="93"/>
      <c r="AK24" s="93"/>
    </row>
    <row r="25" spans="1:37" ht="17.5">
      <c r="A25" s="12"/>
      <c r="B25" s="347"/>
      <c r="C25" s="206" t="s">
        <v>321</v>
      </c>
      <c r="D25" s="308"/>
      <c r="E25" s="299" t="s">
        <v>20</v>
      </c>
      <c r="F25" s="231">
        <f>'Component List'!D37</f>
        <v>59.48</v>
      </c>
      <c r="G25" s="287">
        <v>50</v>
      </c>
      <c r="H25" s="231">
        <f t="shared" si="0"/>
        <v>0</v>
      </c>
      <c r="I25" s="231"/>
      <c r="J25" s="231"/>
      <c r="K25" s="231"/>
      <c r="L25" s="264"/>
      <c r="M25" s="264"/>
      <c r="N25" s="28"/>
      <c r="O25" s="28"/>
      <c r="P25" s="28"/>
      <c r="Q25" s="28"/>
      <c r="R25" s="13"/>
      <c r="X25" s="200" t="s">
        <v>424</v>
      </c>
      <c r="Y25" s="200">
        <f>'Component List'!D17</f>
        <v>25.980000000000004</v>
      </c>
      <c r="Z25" s="93"/>
      <c r="AA25" s="93"/>
      <c r="AB25" s="200" t="s">
        <v>431</v>
      </c>
      <c r="AC25" s="200">
        <f>'Component List'!D17</f>
        <v>25.980000000000004</v>
      </c>
      <c r="AD25" s="93"/>
      <c r="AE25" s="93"/>
      <c r="AF25" s="93"/>
      <c r="AG25" s="93"/>
      <c r="AH25" s="93"/>
      <c r="AI25" s="93"/>
      <c r="AJ25" s="93"/>
      <c r="AK25" s="93"/>
    </row>
    <row r="26" spans="1:37" ht="17.5">
      <c r="A26" s="12"/>
      <c r="B26" s="347"/>
      <c r="C26" s="206" t="s">
        <v>322</v>
      </c>
      <c r="D26" s="308"/>
      <c r="E26" s="299" t="s">
        <v>20</v>
      </c>
      <c r="F26" s="231">
        <f>'Component List'!D49</f>
        <v>0</v>
      </c>
      <c r="G26" s="287">
        <v>50</v>
      </c>
      <c r="H26" s="231">
        <f t="shared" si="0"/>
        <v>0</v>
      </c>
      <c r="I26" s="231"/>
      <c r="J26" s="231"/>
      <c r="K26" s="231"/>
      <c r="L26" s="264"/>
      <c r="M26" s="264"/>
      <c r="N26" s="28"/>
      <c r="O26" s="28"/>
      <c r="P26" s="28"/>
      <c r="Q26" s="28"/>
      <c r="R26" s="13"/>
      <c r="X26" s="200" t="s">
        <v>425</v>
      </c>
      <c r="Y26" s="200">
        <f>'Component List'!D19</f>
        <v>100</v>
      </c>
      <c r="Z26" s="93"/>
      <c r="AA26" s="93"/>
      <c r="AB26" s="200" t="s">
        <v>432</v>
      </c>
      <c r="AC26" s="200">
        <f>'Component List'!D19</f>
        <v>100</v>
      </c>
      <c r="AD26" s="93"/>
      <c r="AE26" s="93"/>
      <c r="AF26" s="93"/>
      <c r="AG26" s="93"/>
      <c r="AH26" s="93"/>
      <c r="AI26" s="93"/>
      <c r="AJ26" s="93"/>
      <c r="AK26" s="93"/>
    </row>
    <row r="27" spans="1:37" ht="17.5">
      <c r="A27" s="12"/>
      <c r="B27" s="347"/>
      <c r="C27" s="206" t="s">
        <v>323</v>
      </c>
      <c r="D27" s="308"/>
      <c r="E27" s="299" t="s">
        <v>22</v>
      </c>
      <c r="F27" s="231">
        <f>'Component List'!D58</f>
        <v>0</v>
      </c>
      <c r="G27" s="287">
        <v>50</v>
      </c>
      <c r="H27" s="231">
        <f t="shared" si="0"/>
        <v>0</v>
      </c>
      <c r="I27" s="231"/>
      <c r="J27" s="231"/>
      <c r="K27" s="231"/>
      <c r="L27" s="264"/>
      <c r="M27" s="264"/>
      <c r="N27" s="28"/>
      <c r="O27" s="28"/>
      <c r="P27" s="28"/>
      <c r="Q27" s="28"/>
      <c r="R27" s="13"/>
      <c r="X27" s="200" t="s">
        <v>426</v>
      </c>
      <c r="Y27" s="339">
        <f>'Component List'!D21</f>
        <v>23.04</v>
      </c>
      <c r="Z27" s="93"/>
      <c r="AA27" s="93"/>
      <c r="AB27" s="200" t="s">
        <v>433</v>
      </c>
      <c r="AC27" s="339">
        <f>'Component List'!D21</f>
        <v>23.04</v>
      </c>
      <c r="AD27" s="93"/>
      <c r="AE27" s="93"/>
      <c r="AF27" s="93"/>
      <c r="AG27" s="93"/>
      <c r="AH27" s="93"/>
      <c r="AI27" s="93"/>
      <c r="AJ27" s="93"/>
      <c r="AK27" s="93"/>
    </row>
    <row r="28" spans="1:37" ht="17.5">
      <c r="A28" s="12"/>
      <c r="B28" s="347"/>
      <c r="C28" s="206"/>
      <c r="D28" s="308"/>
      <c r="E28" s="299"/>
      <c r="F28" s="231"/>
      <c r="G28" s="287"/>
      <c r="H28" s="231"/>
      <c r="I28" s="231"/>
      <c r="J28" s="231"/>
      <c r="K28" s="231"/>
      <c r="L28" s="264"/>
      <c r="M28" s="264"/>
      <c r="N28" s="28"/>
      <c r="O28" s="28"/>
      <c r="P28" s="28"/>
      <c r="Q28" s="28"/>
      <c r="R28" s="13"/>
      <c r="X28" s="338"/>
      <c r="Y28" s="340"/>
      <c r="Z28" s="93"/>
      <c r="AA28" s="93"/>
      <c r="AB28" s="93"/>
      <c r="AC28" s="93"/>
      <c r="AD28" s="93"/>
      <c r="AE28" s="93"/>
      <c r="AF28" s="93"/>
      <c r="AG28" s="93"/>
      <c r="AH28" s="93"/>
      <c r="AI28" s="93"/>
      <c r="AJ28" s="93"/>
      <c r="AK28" s="93"/>
    </row>
    <row r="29" spans="1:37" ht="20.25" customHeight="1">
      <c r="A29" s="12"/>
      <c r="B29" s="347"/>
      <c r="C29" s="244" t="s">
        <v>423</v>
      </c>
      <c r="D29" s="308"/>
      <c r="E29" s="299" t="s">
        <v>20</v>
      </c>
      <c r="F29" s="293">
        <f>VLOOKUP(C29,X24:Y27,2)</f>
        <v>0</v>
      </c>
      <c r="G29" s="287">
        <v>50</v>
      </c>
      <c r="H29" s="231"/>
      <c r="I29" s="231">
        <f>D29*F29*G29/100</f>
        <v>0</v>
      </c>
      <c r="J29" s="231"/>
      <c r="K29" s="231"/>
      <c r="L29" s="264"/>
      <c r="M29" s="264"/>
      <c r="N29" s="28"/>
      <c r="O29" s="28"/>
      <c r="P29" s="28"/>
      <c r="Q29" s="28"/>
      <c r="R29" s="13"/>
      <c r="X29" s="338"/>
      <c r="Y29" s="340"/>
      <c r="Z29" s="93"/>
      <c r="AA29" s="93"/>
      <c r="AB29" s="93"/>
      <c r="AC29" s="93"/>
      <c r="AD29" s="93"/>
      <c r="AE29" s="93"/>
      <c r="AF29" s="93"/>
      <c r="AG29" s="93"/>
      <c r="AH29" s="93"/>
      <c r="AI29" s="93"/>
      <c r="AJ29" s="93"/>
      <c r="AK29" s="93"/>
    </row>
    <row r="30" spans="1:37" s="93" customFormat="1" ht="17.5" hidden="1">
      <c r="A30" s="12"/>
      <c r="B30" s="347"/>
      <c r="C30" s="253"/>
      <c r="D30" s="308"/>
      <c r="E30" s="299"/>
      <c r="F30" s="293"/>
      <c r="G30" s="287"/>
      <c r="H30" s="231"/>
      <c r="I30" s="231"/>
      <c r="J30" s="231"/>
      <c r="K30" s="231"/>
      <c r="L30" s="264"/>
      <c r="M30" s="264"/>
      <c r="N30" s="28"/>
      <c r="O30" s="28"/>
      <c r="P30" s="28"/>
      <c r="Q30" s="28"/>
      <c r="R30" s="13"/>
      <c r="X30" s="338"/>
      <c r="Y30" s="340"/>
    </row>
    <row r="31" spans="1:37" ht="22.5" customHeight="1">
      <c r="A31" s="12"/>
      <c r="B31" s="347"/>
      <c r="C31" s="253" t="s">
        <v>422</v>
      </c>
      <c r="D31" s="308"/>
      <c r="E31" s="299" t="s">
        <v>20</v>
      </c>
      <c r="F31" s="293">
        <f>VLOOKUP(C31,X37:Y40,2)</f>
        <v>0</v>
      </c>
      <c r="G31" s="287">
        <v>50</v>
      </c>
      <c r="H31" s="231"/>
      <c r="I31" s="231"/>
      <c r="J31" s="231">
        <f>D31*F31*G31/100</f>
        <v>0</v>
      </c>
      <c r="K31" s="231"/>
      <c r="L31" s="264"/>
      <c r="M31" s="264"/>
      <c r="N31" s="28"/>
      <c r="O31" s="28"/>
      <c r="P31" s="28"/>
      <c r="Q31" s="28"/>
      <c r="R31" s="13"/>
      <c r="X31" s="338"/>
      <c r="Y31" s="340"/>
      <c r="Z31" s="93"/>
      <c r="AA31" s="93"/>
      <c r="AB31" s="93"/>
      <c r="AC31" s="93"/>
      <c r="AD31" s="93"/>
      <c r="AE31" s="93"/>
      <c r="AF31" s="93"/>
      <c r="AG31" s="93"/>
      <c r="AH31" s="93"/>
      <c r="AI31" s="93"/>
      <c r="AJ31" s="93"/>
      <c r="AK31" s="93"/>
    </row>
    <row r="32" spans="1:37" s="93" customFormat="1" ht="18.75" customHeight="1">
      <c r="A32" s="12"/>
      <c r="B32" s="347"/>
      <c r="C32" s="253" t="s">
        <v>430</v>
      </c>
      <c r="D32" s="308"/>
      <c r="E32" s="299" t="s">
        <v>20</v>
      </c>
      <c r="F32" s="293">
        <f>VLOOKUP(C32,AB24:AC27,2)</f>
        <v>0</v>
      </c>
      <c r="G32" s="287">
        <v>50</v>
      </c>
      <c r="H32" s="231"/>
      <c r="I32" s="231"/>
      <c r="J32" s="231"/>
      <c r="K32" s="231">
        <f>D32*F32*G32/100</f>
        <v>0</v>
      </c>
      <c r="L32" s="264"/>
      <c r="M32" s="264"/>
      <c r="N32" s="28"/>
      <c r="O32" s="28"/>
      <c r="P32" s="28"/>
      <c r="Q32" s="28"/>
      <c r="R32" s="13"/>
      <c r="X32" s="338"/>
      <c r="Y32" s="340"/>
    </row>
    <row r="33" spans="1:37" ht="15.5">
      <c r="A33" s="456" t="s">
        <v>89</v>
      </c>
      <c r="B33" s="457"/>
      <c r="C33" s="458"/>
      <c r="D33" s="286"/>
      <c r="E33" s="280"/>
      <c r="F33" s="265"/>
      <c r="G33" s="281"/>
      <c r="H33" s="271">
        <f>SUM(H15:H28)</f>
        <v>0</v>
      </c>
      <c r="I33" s="271">
        <f t="shared" ref="I33:J33" si="1">SUM(I15:I32)</f>
        <v>0</v>
      </c>
      <c r="J33" s="271">
        <f t="shared" si="1"/>
        <v>0</v>
      </c>
      <c r="K33" s="271">
        <f>SUM(K15:K32)</f>
        <v>0</v>
      </c>
      <c r="L33" s="271"/>
      <c r="M33" s="271"/>
      <c r="N33" s="23"/>
      <c r="O33" s="23"/>
      <c r="P33" s="23"/>
      <c r="Q33" s="23"/>
      <c r="R33" s="25"/>
      <c r="X33" s="47"/>
      <c r="Y33" s="340"/>
      <c r="Z33" s="93"/>
      <c r="AA33" s="93"/>
      <c r="AB33" s="93"/>
      <c r="AC33" s="93"/>
      <c r="AD33" s="93"/>
      <c r="AE33" s="93"/>
      <c r="AF33" s="93"/>
      <c r="AG33" s="93"/>
      <c r="AH33" s="93"/>
      <c r="AI33" s="93"/>
      <c r="AJ33" s="93"/>
      <c r="AK33" s="93"/>
    </row>
    <row r="34" spans="1:37" ht="39" customHeight="1">
      <c r="A34" s="496" t="str">
        <f>IF(X42,X44,"")</f>
        <v/>
      </c>
      <c r="B34" s="497"/>
      <c r="C34" s="497"/>
      <c r="D34" s="497"/>
      <c r="E34" s="497"/>
      <c r="F34" s="497"/>
      <c r="G34" s="497"/>
      <c r="H34" s="497"/>
      <c r="I34" s="497"/>
      <c r="J34" s="497"/>
      <c r="K34" s="497"/>
      <c r="L34" s="497"/>
      <c r="M34" s="497"/>
      <c r="N34" s="497"/>
      <c r="O34" s="497"/>
      <c r="P34" s="497"/>
      <c r="Q34" s="497"/>
      <c r="R34" s="497"/>
      <c r="X34" s="47"/>
      <c r="Y34" s="340"/>
      <c r="Z34" s="93"/>
      <c r="AA34" s="93"/>
      <c r="AB34" s="93"/>
      <c r="AC34" s="93"/>
      <c r="AD34" s="93"/>
      <c r="AE34" s="93"/>
      <c r="AF34" s="93"/>
      <c r="AG34" s="93"/>
      <c r="AH34" s="93"/>
      <c r="AI34" s="93"/>
      <c r="AJ34" s="93"/>
      <c r="AK34" s="93"/>
    </row>
    <row r="35" spans="1:37" ht="15.5">
      <c r="A35" s="401" t="s">
        <v>262</v>
      </c>
      <c r="B35" s="402"/>
      <c r="C35" s="402"/>
      <c r="D35" s="402"/>
      <c r="E35" s="402"/>
      <c r="F35" s="402"/>
      <c r="G35" s="402"/>
      <c r="H35" s="402"/>
      <c r="I35" s="402"/>
      <c r="J35" s="402"/>
      <c r="K35" s="402"/>
      <c r="L35" s="402"/>
      <c r="M35" s="402"/>
      <c r="N35" s="402"/>
      <c r="O35" s="402"/>
      <c r="P35" s="402"/>
      <c r="Q35" s="402"/>
      <c r="R35" s="403"/>
      <c r="X35" s="93"/>
      <c r="Y35" s="26"/>
      <c r="Z35" s="93"/>
      <c r="AA35" s="93"/>
      <c r="AB35" s="93"/>
      <c r="AC35" s="93"/>
      <c r="AD35" s="93"/>
      <c r="AE35" s="93"/>
      <c r="AF35" s="93"/>
      <c r="AG35" s="93"/>
      <c r="AH35" s="93"/>
      <c r="AI35" s="93"/>
      <c r="AJ35" s="93"/>
      <c r="AK35" s="93"/>
    </row>
    <row r="36" spans="1:37" ht="48.75" customHeight="1">
      <c r="A36" s="393" t="s">
        <v>434</v>
      </c>
      <c r="B36" s="394"/>
      <c r="C36" s="394"/>
      <c r="D36" s="394"/>
      <c r="E36" s="394"/>
      <c r="F36" s="394"/>
      <c r="G36" s="394"/>
      <c r="H36" s="394"/>
      <c r="I36" s="394"/>
      <c r="J36" s="394"/>
      <c r="K36" s="394"/>
      <c r="L36" s="394"/>
      <c r="M36" s="394"/>
      <c r="N36" s="394"/>
      <c r="O36" s="394"/>
      <c r="P36" s="394"/>
      <c r="Q36" s="394"/>
      <c r="R36" s="395"/>
      <c r="X36" s="93"/>
      <c r="Y36" s="26"/>
      <c r="Z36" s="93"/>
      <c r="AA36" s="93"/>
      <c r="AB36" s="93"/>
      <c r="AC36" s="93"/>
      <c r="AD36" s="93"/>
      <c r="AE36" s="93"/>
      <c r="AF36" s="93"/>
      <c r="AG36" s="93"/>
      <c r="AH36" s="93"/>
      <c r="AI36" s="93"/>
      <c r="AJ36" s="93"/>
      <c r="AK36" s="93"/>
    </row>
    <row r="37" spans="1:37" ht="14.25" customHeight="1">
      <c r="A37" s="460" t="s">
        <v>390</v>
      </c>
      <c r="B37" s="461"/>
      <c r="C37" s="461"/>
      <c r="D37" s="461"/>
      <c r="E37" s="461"/>
      <c r="F37" s="461"/>
      <c r="G37" s="461"/>
      <c r="H37" s="461"/>
      <c r="I37" s="461"/>
      <c r="J37" s="461"/>
      <c r="K37" s="461"/>
      <c r="L37" s="461"/>
      <c r="M37" s="461"/>
      <c r="N37" s="461"/>
      <c r="O37" s="461"/>
      <c r="P37" s="461"/>
      <c r="Q37" s="461"/>
      <c r="R37" s="462"/>
      <c r="X37" s="26" t="s">
        <v>422</v>
      </c>
      <c r="Y37" s="26">
        <v>0</v>
      </c>
      <c r="Z37" s="93"/>
      <c r="AA37" s="93"/>
      <c r="AB37" s="93"/>
      <c r="AC37" s="93"/>
      <c r="AD37" s="93"/>
      <c r="AE37" s="93"/>
      <c r="AF37" s="93"/>
      <c r="AG37" s="93"/>
      <c r="AH37" s="93"/>
      <c r="AI37" s="93"/>
      <c r="AJ37" s="93"/>
      <c r="AK37" s="93"/>
    </row>
    <row r="38" spans="1:37" ht="48.75" customHeight="1">
      <c r="A38" s="463" t="s">
        <v>392</v>
      </c>
      <c r="B38" s="464"/>
      <c r="C38" s="464"/>
      <c r="D38" s="464"/>
      <c r="E38" s="464"/>
      <c r="F38" s="464"/>
      <c r="G38" s="464"/>
      <c r="H38" s="464"/>
      <c r="I38" s="464"/>
      <c r="J38" s="464"/>
      <c r="K38" s="464"/>
      <c r="L38" s="464"/>
      <c r="M38" s="464"/>
      <c r="N38" s="464"/>
      <c r="O38" s="464"/>
      <c r="P38" s="464"/>
      <c r="Q38" s="464"/>
      <c r="R38" s="465"/>
      <c r="X38" s="200" t="s">
        <v>427</v>
      </c>
      <c r="Y38" s="200">
        <f>'Component List'!D17</f>
        <v>25.980000000000004</v>
      </c>
      <c r="Z38" s="93"/>
      <c r="AA38" s="93"/>
      <c r="AB38" s="93"/>
      <c r="AC38" s="93"/>
      <c r="AD38" s="93"/>
      <c r="AE38" s="93"/>
      <c r="AF38" s="93"/>
      <c r="AG38" s="93"/>
      <c r="AH38" s="93"/>
      <c r="AI38" s="93"/>
      <c r="AJ38" s="93"/>
      <c r="AK38" s="93"/>
    </row>
    <row r="39" spans="1:37" ht="15.5">
      <c r="A39" s="413" t="s">
        <v>221</v>
      </c>
      <c r="B39" s="414"/>
      <c r="C39" s="414"/>
      <c r="D39" s="414"/>
      <c r="E39" s="414"/>
      <c r="F39" s="414"/>
      <c r="G39" s="414"/>
      <c r="H39" s="414"/>
      <c r="I39" s="414"/>
      <c r="J39" s="414"/>
      <c r="K39" s="414"/>
      <c r="L39" s="414"/>
      <c r="M39" s="414"/>
      <c r="N39" s="414"/>
      <c r="O39" s="414"/>
      <c r="P39" s="414"/>
      <c r="Q39" s="414"/>
      <c r="R39" s="415"/>
      <c r="X39" s="200" t="s">
        <v>428</v>
      </c>
      <c r="Y39" s="200">
        <f>'Component List'!D19</f>
        <v>100</v>
      </c>
      <c r="Z39" s="93"/>
      <c r="AA39" s="93"/>
      <c r="AB39" s="93"/>
      <c r="AC39" s="93"/>
      <c r="AD39" s="93"/>
      <c r="AE39" s="93"/>
      <c r="AF39" s="93"/>
      <c r="AG39" s="93"/>
      <c r="AH39" s="93"/>
      <c r="AI39" s="93"/>
      <c r="AJ39" s="93"/>
      <c r="AK39" s="93"/>
    </row>
    <row r="40" spans="1:37" ht="63.75" customHeight="1">
      <c r="A40" s="396" t="s">
        <v>370</v>
      </c>
      <c r="B40" s="397"/>
      <c r="C40" s="397"/>
      <c r="D40" s="397"/>
      <c r="E40" s="397"/>
      <c r="F40" s="397"/>
      <c r="G40" s="397"/>
      <c r="H40" s="397"/>
      <c r="I40" s="397"/>
      <c r="J40" s="397"/>
      <c r="K40" s="397"/>
      <c r="L40" s="397"/>
      <c r="M40" s="397"/>
      <c r="N40" s="397"/>
      <c r="O40" s="397"/>
      <c r="P40" s="397"/>
      <c r="Q40" s="397"/>
      <c r="R40" s="398"/>
      <c r="X40" s="200" t="s">
        <v>429</v>
      </c>
      <c r="Y40" s="339">
        <f>'Component List'!D21</f>
        <v>23.04</v>
      </c>
      <c r="Z40" s="93"/>
      <c r="AA40" s="93"/>
      <c r="AB40" s="93"/>
      <c r="AC40" s="93"/>
      <c r="AD40" s="93"/>
      <c r="AE40" s="93"/>
      <c r="AF40" s="93"/>
      <c r="AG40" s="93"/>
      <c r="AH40" s="93"/>
      <c r="AI40" s="93"/>
      <c r="AJ40" s="93"/>
      <c r="AK40" s="93"/>
    </row>
    <row r="41" spans="1:37">
      <c r="X41" s="93"/>
      <c r="Y41" s="93"/>
      <c r="Z41" s="93"/>
      <c r="AA41" s="93"/>
      <c r="AB41" s="93"/>
      <c r="AC41" s="93"/>
      <c r="AD41" s="93"/>
      <c r="AE41" s="93"/>
      <c r="AF41" s="93"/>
      <c r="AG41" s="93"/>
      <c r="AH41" s="93"/>
      <c r="AI41" s="93"/>
      <c r="AJ41" s="93"/>
      <c r="AK41" s="93"/>
    </row>
    <row r="42" spans="1:37" ht="15.5">
      <c r="X42" s="26" t="b">
        <f>OR(C29=X26,C31=X39,C32=AB26)</f>
        <v>0</v>
      </c>
      <c r="Y42" s="93"/>
      <c r="Z42" s="93"/>
      <c r="AA42" s="93"/>
      <c r="AB42" s="93"/>
      <c r="AC42" s="93"/>
      <c r="AD42" s="93"/>
      <c r="AE42" s="93"/>
      <c r="AF42" s="93"/>
      <c r="AG42" s="93"/>
      <c r="AH42" s="93"/>
      <c r="AI42" s="93"/>
      <c r="AJ42" s="93"/>
      <c r="AK42" s="93"/>
    </row>
    <row r="43" spans="1:37">
      <c r="X43" s="93"/>
      <c r="Y43" s="93"/>
      <c r="Z43" s="93"/>
      <c r="AA43" s="93"/>
      <c r="AB43" s="93"/>
      <c r="AC43" s="93"/>
      <c r="AD43" s="93"/>
      <c r="AE43" s="93"/>
      <c r="AF43" s="93"/>
      <c r="AG43" s="93"/>
      <c r="AH43" s="93"/>
      <c r="AI43" s="93"/>
      <c r="AJ43" s="93"/>
      <c r="AK43" s="93"/>
    </row>
    <row r="44" spans="1:37">
      <c r="X44" s="493" t="s">
        <v>253</v>
      </c>
      <c r="Y44" s="493"/>
      <c r="Z44" s="493"/>
      <c r="AA44" s="493"/>
      <c r="AB44" s="493"/>
      <c r="AC44" s="493"/>
      <c r="AD44" s="493"/>
      <c r="AE44" s="493"/>
      <c r="AF44" s="493"/>
      <c r="AG44" s="493"/>
      <c r="AH44" s="493"/>
      <c r="AI44" s="493"/>
      <c r="AJ44" s="493"/>
      <c r="AK44" s="493"/>
    </row>
    <row r="45" spans="1:37">
      <c r="X45" s="494"/>
      <c r="Y45" s="494"/>
      <c r="Z45" s="494"/>
      <c r="AA45" s="494"/>
      <c r="AB45" s="494"/>
      <c r="AC45" s="494"/>
      <c r="AD45" s="494"/>
      <c r="AE45" s="494"/>
      <c r="AF45" s="494"/>
      <c r="AG45" s="494"/>
      <c r="AH45" s="494"/>
      <c r="AI45" s="494"/>
      <c r="AJ45" s="494"/>
      <c r="AK45" s="494"/>
    </row>
    <row r="46" spans="1:37">
      <c r="X46" s="494"/>
      <c r="Y46" s="494"/>
      <c r="Z46" s="494"/>
      <c r="AA46" s="494"/>
      <c r="AB46" s="494"/>
      <c r="AC46" s="494"/>
      <c r="AD46" s="494"/>
      <c r="AE46" s="494"/>
      <c r="AF46" s="494"/>
      <c r="AG46" s="494"/>
      <c r="AH46" s="494"/>
      <c r="AI46" s="494"/>
      <c r="AJ46" s="494"/>
      <c r="AK46" s="494"/>
    </row>
    <row r="47" spans="1:37">
      <c r="X47" s="495"/>
      <c r="Y47" s="495"/>
      <c r="Z47" s="495"/>
      <c r="AA47" s="495"/>
      <c r="AB47" s="495"/>
      <c r="AC47" s="495"/>
      <c r="AD47" s="495"/>
      <c r="AE47" s="495"/>
      <c r="AF47" s="495"/>
      <c r="AG47" s="495"/>
      <c r="AH47" s="495"/>
      <c r="AI47" s="495"/>
      <c r="AJ47" s="495"/>
      <c r="AK47" s="495"/>
    </row>
  </sheetData>
  <mergeCells count="35">
    <mergeCell ref="A1:C1"/>
    <mergeCell ref="A2:C2"/>
    <mergeCell ref="F2:I2"/>
    <mergeCell ref="F3:I3"/>
    <mergeCell ref="A4:C4"/>
    <mergeCell ref="D4:G4"/>
    <mergeCell ref="J4:L4"/>
    <mergeCell ref="M4:R4"/>
    <mergeCell ref="A5:C5"/>
    <mergeCell ref="D5:G5"/>
    <mergeCell ref="H5:I5"/>
    <mergeCell ref="J5:L5"/>
    <mergeCell ref="M5:R5"/>
    <mergeCell ref="X44:AK47"/>
    <mergeCell ref="A36:R36"/>
    <mergeCell ref="A6:R6"/>
    <mergeCell ref="A7:R7"/>
    <mergeCell ref="A8:R8"/>
    <mergeCell ref="A9:A13"/>
    <mergeCell ref="B9:B13"/>
    <mergeCell ref="C9:C13"/>
    <mergeCell ref="D9:D13"/>
    <mergeCell ref="E9:E13"/>
    <mergeCell ref="F9:F13"/>
    <mergeCell ref="G9:G13"/>
    <mergeCell ref="H9:Q9"/>
    <mergeCell ref="R9:R13"/>
    <mergeCell ref="H10:Q10"/>
    <mergeCell ref="A33:C33"/>
    <mergeCell ref="A34:R34"/>
    <mergeCell ref="A37:R37"/>
    <mergeCell ref="A38:R38"/>
    <mergeCell ref="A39:R39"/>
    <mergeCell ref="A40:R40"/>
    <mergeCell ref="A35:R35"/>
  </mergeCells>
  <dataValidations count="3">
    <dataValidation type="list" allowBlank="1" showInputMessage="1" showErrorMessage="1" sqref="C30:C31">
      <formula1>$X$37:$X$40</formula1>
    </dataValidation>
    <dataValidation type="list" allowBlank="1" showInputMessage="1" showErrorMessage="1" sqref="C29">
      <formula1>$X$24:$X$27</formula1>
    </dataValidation>
    <dataValidation type="list" allowBlank="1" showInputMessage="1" showErrorMessage="1" sqref="C32">
      <formula1>$AB$24:$AB$27</formula1>
    </dataValidation>
  </dataValidations>
  <pageMargins left="0.33" right="0.16" top="0.42" bottom="0.47" header="0.3" footer="0.3"/>
  <pageSetup scale="53"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3</xdr:col>
                    <xdr:colOff>177800</xdr:colOff>
                    <xdr:row>0</xdr:row>
                    <xdr:rowOff>0</xdr:rowOff>
                  </from>
                  <to>
                    <xdr:col>3</xdr:col>
                    <xdr:colOff>381000</xdr:colOff>
                    <xdr:row>1</xdr:row>
                    <xdr:rowOff>0</xdr:rowOff>
                  </to>
                </anchor>
              </controlPr>
            </control>
          </mc:Choice>
        </mc:AlternateContent>
        <mc:AlternateContent xmlns:mc="http://schemas.openxmlformats.org/markup-compatibility/2006">
          <mc:Choice Requires="x14">
            <control shapeId="39938" r:id="rId5" name="Check Box 2">
              <controlPr defaultSize="0" autoFill="0" autoLine="0" autoPict="0">
                <anchor moveWithCells="1">
                  <from>
                    <xdr:col>7</xdr:col>
                    <xdr:colOff>234950</xdr:colOff>
                    <xdr:row>0</xdr:row>
                    <xdr:rowOff>0</xdr:rowOff>
                  </from>
                  <to>
                    <xdr:col>8</xdr:col>
                    <xdr:colOff>171450</xdr:colOff>
                    <xdr:row>0</xdr:row>
                    <xdr:rowOff>139700</xdr:rowOff>
                  </to>
                </anchor>
              </controlPr>
            </control>
          </mc:Choice>
        </mc:AlternateContent>
      </controls>
    </mc:Choice>
  </mc:AlternateConten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58"/>
  <sheetViews>
    <sheetView zoomScale="59" zoomScaleNormal="59" workbookViewId="0">
      <selection activeCell="A8" sqref="A8:R8"/>
    </sheetView>
  </sheetViews>
  <sheetFormatPr defaultRowHeight="12.5"/>
  <cols>
    <col min="3" max="3" width="68.54296875" customWidth="1"/>
    <col min="4" max="4" width="12.54296875" customWidth="1"/>
    <col min="5" max="5" width="10.54296875" customWidth="1"/>
    <col min="6" max="6" width="11.54296875" customWidth="1"/>
    <col min="7" max="7" width="12.7265625" customWidth="1"/>
    <col min="8" max="9" width="14.453125" customWidth="1"/>
    <col min="10" max="10" width="13.26953125" customWidth="1"/>
    <col min="11" max="11" width="15.453125" customWidth="1"/>
    <col min="12" max="13" width="12.54296875" customWidth="1"/>
    <col min="14" max="14" width="7.1796875" customWidth="1"/>
    <col min="15" max="15" width="6.7265625" customWidth="1"/>
    <col min="16" max="16" width="6.453125" customWidth="1"/>
    <col min="17" max="17" width="6.7265625" customWidth="1"/>
    <col min="18" max="18" width="7" customWidth="1"/>
  </cols>
  <sheetData>
    <row r="1" spans="1:34" ht="24" customHeight="1">
      <c r="A1" s="434" t="s">
        <v>366</v>
      </c>
      <c r="B1" s="435"/>
      <c r="C1" s="435"/>
      <c r="D1" s="144" t="s">
        <v>368</v>
      </c>
      <c r="E1" s="143"/>
      <c r="F1" s="143"/>
      <c r="G1" s="143"/>
      <c r="H1" s="145" t="s">
        <v>369</v>
      </c>
      <c r="I1" s="143"/>
      <c r="J1" s="143"/>
      <c r="K1" s="143"/>
      <c r="L1" s="143"/>
      <c r="M1" s="143"/>
      <c r="N1" s="143"/>
      <c r="O1" s="145" t="s">
        <v>367</v>
      </c>
      <c r="P1" s="143"/>
      <c r="Q1" s="143"/>
      <c r="R1" s="143"/>
      <c r="S1" s="184"/>
      <c r="T1" s="184"/>
      <c r="U1" s="93"/>
      <c r="V1" s="93"/>
      <c r="W1" s="93"/>
      <c r="X1" s="93"/>
      <c r="Y1" s="93"/>
      <c r="Z1" s="93"/>
      <c r="AA1" s="93"/>
      <c r="AB1" s="93"/>
      <c r="AC1" s="93"/>
      <c r="AD1" s="93"/>
      <c r="AE1" s="93"/>
      <c r="AF1" s="93"/>
      <c r="AG1" s="93"/>
      <c r="AH1" s="93"/>
    </row>
    <row r="2" spans="1:34" ht="20">
      <c r="A2" s="429" t="s">
        <v>363</v>
      </c>
      <c r="B2" s="430"/>
      <c r="C2" s="430"/>
      <c r="D2" s="136"/>
      <c r="E2" s="136"/>
      <c r="F2" s="425" t="s">
        <v>25</v>
      </c>
      <c r="G2" s="426"/>
      <c r="H2" s="426"/>
      <c r="I2" s="426"/>
      <c r="J2" s="136"/>
      <c r="K2" s="136"/>
      <c r="L2" s="136"/>
      <c r="M2" s="136"/>
      <c r="N2" s="262" t="s">
        <v>420</v>
      </c>
      <c r="O2" s="137" t="s">
        <v>364</v>
      </c>
      <c r="P2" s="138"/>
      <c r="Q2" s="139" t="s">
        <v>365</v>
      </c>
      <c r="R2" s="140"/>
      <c r="S2" s="175"/>
      <c r="T2" s="175"/>
      <c r="U2" s="93"/>
      <c r="V2" s="93"/>
      <c r="W2" s="93"/>
      <c r="X2" s="93"/>
      <c r="Y2" s="93"/>
      <c r="Z2" s="93"/>
      <c r="AA2" s="93"/>
      <c r="AB2" s="93"/>
      <c r="AC2" s="93"/>
      <c r="AD2" s="93"/>
      <c r="AE2" s="93"/>
      <c r="AF2" s="93"/>
      <c r="AG2" s="93"/>
      <c r="AH2" s="93"/>
    </row>
    <row r="3" spans="1:34" ht="23.25" customHeight="1">
      <c r="A3" s="141"/>
      <c r="B3" s="85"/>
      <c r="C3" s="85"/>
      <c r="D3" s="85"/>
      <c r="E3" s="85"/>
      <c r="F3" s="427" t="s">
        <v>26</v>
      </c>
      <c r="G3" s="428"/>
      <c r="H3" s="428"/>
      <c r="I3" s="428"/>
      <c r="J3" s="85"/>
      <c r="K3" s="85"/>
      <c r="L3" s="85"/>
      <c r="M3" s="85"/>
      <c r="N3" s="85"/>
      <c r="O3" s="17"/>
      <c r="P3" s="17"/>
      <c r="Q3" s="17"/>
      <c r="R3" s="142"/>
      <c r="S3" s="176"/>
      <c r="T3" s="176"/>
      <c r="U3" s="93"/>
      <c r="V3" s="93"/>
      <c r="W3" s="93"/>
      <c r="X3" s="93"/>
      <c r="Y3" s="93"/>
      <c r="Z3" s="93"/>
      <c r="AA3" s="93"/>
      <c r="AB3" s="93"/>
      <c r="AC3" s="93"/>
      <c r="AD3" s="93"/>
      <c r="AE3" s="93"/>
      <c r="AF3" s="93"/>
      <c r="AG3" s="93"/>
      <c r="AH3" s="93"/>
    </row>
    <row r="4" spans="1:34" ht="15.5">
      <c r="A4" s="480" t="s">
        <v>386</v>
      </c>
      <c r="B4" s="483"/>
      <c r="C4" s="484"/>
      <c r="D4" s="490" t="s">
        <v>387</v>
      </c>
      <c r="E4" s="491"/>
      <c r="F4" s="491"/>
      <c r="G4" s="492"/>
      <c r="H4" s="375" t="s">
        <v>388</v>
      </c>
      <c r="I4" s="26"/>
      <c r="J4" s="480" t="s">
        <v>385</v>
      </c>
      <c r="K4" s="481"/>
      <c r="L4" s="482"/>
      <c r="M4" s="480" t="s">
        <v>389</v>
      </c>
      <c r="N4" s="483"/>
      <c r="O4" s="483"/>
      <c r="P4" s="483"/>
      <c r="Q4" s="483"/>
      <c r="R4" s="484"/>
      <c r="S4" s="177"/>
      <c r="T4" s="177"/>
      <c r="U4" s="93"/>
      <c r="V4" s="93"/>
      <c r="W4" s="93"/>
      <c r="X4" s="93"/>
      <c r="Y4" s="93"/>
      <c r="Z4" s="93"/>
      <c r="AA4" s="93"/>
      <c r="AB4" s="93"/>
      <c r="AC4" s="93"/>
      <c r="AD4" s="93"/>
      <c r="AE4" s="93"/>
      <c r="AF4" s="93"/>
      <c r="AG4" s="93"/>
      <c r="AH4" s="93"/>
    </row>
    <row r="5" spans="1:34"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c r="U5" s="93"/>
      <c r="V5" s="93"/>
      <c r="W5" s="93"/>
      <c r="X5" s="93"/>
      <c r="Y5" s="93"/>
      <c r="Z5" s="93"/>
      <c r="AA5" s="93"/>
      <c r="AB5" s="93"/>
      <c r="AC5" s="93"/>
      <c r="AD5" s="93"/>
      <c r="AE5" s="93"/>
      <c r="AF5" s="93"/>
      <c r="AG5" s="93"/>
      <c r="AH5" s="93"/>
    </row>
    <row r="6" spans="1:34">
      <c r="A6" s="466"/>
      <c r="B6" s="466"/>
      <c r="C6" s="466"/>
      <c r="D6" s="466"/>
      <c r="E6" s="466"/>
      <c r="F6" s="466"/>
      <c r="G6" s="466"/>
      <c r="H6" s="466"/>
      <c r="I6" s="466"/>
      <c r="J6" s="466"/>
      <c r="K6" s="466"/>
      <c r="L6" s="466"/>
      <c r="M6" s="466"/>
      <c r="N6" s="466"/>
      <c r="O6" s="466"/>
      <c r="P6" s="466"/>
      <c r="Q6" s="466"/>
      <c r="R6" s="466"/>
      <c r="S6" s="179"/>
      <c r="T6" s="179"/>
      <c r="U6" s="93"/>
      <c r="V6" s="93"/>
      <c r="W6" s="93"/>
      <c r="X6" s="93"/>
      <c r="Y6" s="93"/>
      <c r="Z6" s="93"/>
      <c r="AA6" s="93"/>
      <c r="AB6" s="93"/>
      <c r="AC6" s="93"/>
      <c r="AD6" s="93"/>
      <c r="AE6" s="93"/>
      <c r="AF6" s="93"/>
      <c r="AG6" s="93"/>
      <c r="AH6" s="93"/>
    </row>
    <row r="7" spans="1:34" ht="109.5" customHeight="1">
      <c r="A7" s="467" t="s">
        <v>509</v>
      </c>
      <c r="B7" s="468"/>
      <c r="C7" s="468"/>
      <c r="D7" s="468"/>
      <c r="E7" s="468"/>
      <c r="F7" s="468"/>
      <c r="G7" s="468"/>
      <c r="H7" s="468"/>
      <c r="I7" s="468"/>
      <c r="J7" s="468"/>
      <c r="K7" s="468"/>
      <c r="L7" s="468"/>
      <c r="M7" s="468"/>
      <c r="N7" s="468"/>
      <c r="O7" s="468"/>
      <c r="P7" s="468"/>
      <c r="Q7" s="468"/>
      <c r="R7" s="469"/>
      <c r="S7" s="180"/>
      <c r="T7" s="180"/>
      <c r="U7" s="93"/>
      <c r="V7" s="93"/>
      <c r="W7" s="93"/>
      <c r="X7" s="93"/>
      <c r="Y7" s="93"/>
      <c r="Z7" s="93"/>
      <c r="AA7" s="93"/>
      <c r="AB7" s="93"/>
      <c r="AC7" s="93"/>
      <c r="AD7" s="93"/>
      <c r="AE7" s="93"/>
      <c r="AF7" s="93"/>
      <c r="AG7" s="93"/>
      <c r="AH7" s="93"/>
    </row>
    <row r="8" spans="1:34" ht="14">
      <c r="A8" s="470"/>
      <c r="B8" s="470"/>
      <c r="C8" s="470"/>
      <c r="D8" s="470"/>
      <c r="E8" s="470"/>
      <c r="F8" s="470"/>
      <c r="G8" s="470"/>
      <c r="H8" s="470"/>
      <c r="I8" s="470"/>
      <c r="J8" s="470"/>
      <c r="K8" s="470"/>
      <c r="L8" s="470"/>
      <c r="M8" s="470"/>
      <c r="N8" s="470"/>
      <c r="O8" s="470"/>
      <c r="P8" s="470"/>
      <c r="Q8" s="470"/>
      <c r="R8" s="470"/>
      <c r="S8" s="173"/>
      <c r="T8" s="173"/>
      <c r="U8" s="93"/>
      <c r="V8" s="93"/>
      <c r="W8" s="93"/>
      <c r="X8" s="93"/>
      <c r="Y8" s="93"/>
      <c r="Z8" s="93"/>
      <c r="AA8" s="93"/>
      <c r="AB8" s="93"/>
      <c r="AC8" s="93"/>
      <c r="AD8" s="93"/>
      <c r="AE8" s="93"/>
      <c r="AF8" s="93"/>
      <c r="AG8" s="93"/>
      <c r="AH8" s="93"/>
    </row>
    <row r="9" spans="1:34">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181"/>
      <c r="T9" s="181"/>
      <c r="U9" s="93"/>
      <c r="V9" s="93"/>
      <c r="W9" s="93"/>
      <c r="X9" s="93"/>
      <c r="Y9" s="93"/>
      <c r="Z9" s="93"/>
      <c r="AA9" s="93"/>
      <c r="AB9" s="93"/>
      <c r="AC9" s="93"/>
      <c r="AD9" s="93"/>
      <c r="AE9" s="93"/>
      <c r="AF9" s="93"/>
      <c r="AG9" s="93"/>
      <c r="AH9" s="93"/>
    </row>
    <row r="10" spans="1:34" ht="16.5" customHeight="1">
      <c r="A10" s="453"/>
      <c r="B10" s="453"/>
      <c r="C10" s="499"/>
      <c r="D10" s="475"/>
      <c r="E10" s="478"/>
      <c r="F10" s="453"/>
      <c r="G10" s="453"/>
      <c r="H10" s="455" t="s">
        <v>306</v>
      </c>
      <c r="I10" s="408"/>
      <c r="J10" s="408"/>
      <c r="K10" s="408"/>
      <c r="L10" s="408"/>
      <c r="M10" s="408"/>
      <c r="N10" s="408"/>
      <c r="O10" s="408"/>
      <c r="P10" s="408"/>
      <c r="Q10" s="409"/>
      <c r="R10" s="453"/>
      <c r="S10" s="46"/>
      <c r="T10" s="46"/>
      <c r="U10" s="93"/>
      <c r="V10" s="93"/>
      <c r="W10" s="93"/>
      <c r="X10" s="93"/>
      <c r="Y10" s="93"/>
      <c r="Z10" s="93"/>
      <c r="AA10" s="93"/>
      <c r="AB10" s="93"/>
      <c r="AC10" s="93"/>
      <c r="AD10" s="93"/>
      <c r="AE10" s="93"/>
      <c r="AF10" s="93"/>
      <c r="AG10" s="93"/>
      <c r="AH10" s="93"/>
    </row>
    <row r="11" spans="1:34">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c r="S11" s="46"/>
      <c r="T11" s="46"/>
      <c r="U11" s="93"/>
      <c r="V11" s="93"/>
      <c r="W11" s="93"/>
      <c r="X11" s="93"/>
      <c r="Y11" s="93"/>
      <c r="Z11" s="93"/>
      <c r="AA11" s="93"/>
      <c r="AB11" s="93"/>
      <c r="AC11" s="93"/>
      <c r="AD11" s="93"/>
      <c r="AE11" s="93"/>
      <c r="AF11" s="93"/>
      <c r="AG11" s="93"/>
      <c r="AH11" s="93"/>
    </row>
    <row r="12" spans="1:34" ht="15" customHeight="1">
      <c r="A12" s="453"/>
      <c r="B12" s="453"/>
      <c r="C12" s="499"/>
      <c r="D12" s="475"/>
      <c r="E12" s="478"/>
      <c r="F12" s="453"/>
      <c r="G12" s="453"/>
      <c r="H12" s="374" t="s">
        <v>339</v>
      </c>
      <c r="I12" s="374" t="s">
        <v>339</v>
      </c>
      <c r="J12" s="374" t="s">
        <v>339</v>
      </c>
      <c r="K12" s="374" t="s">
        <v>339</v>
      </c>
      <c r="L12" s="374" t="s">
        <v>339</v>
      </c>
      <c r="M12" s="374" t="s">
        <v>339</v>
      </c>
      <c r="N12" s="374" t="s">
        <v>339</v>
      </c>
      <c r="O12" s="374" t="s">
        <v>339</v>
      </c>
      <c r="P12" s="374" t="s">
        <v>339</v>
      </c>
      <c r="Q12" s="374" t="s">
        <v>339</v>
      </c>
      <c r="R12" s="453"/>
      <c r="S12" s="46"/>
      <c r="T12" s="46"/>
      <c r="U12" s="93"/>
      <c r="V12" s="93"/>
      <c r="W12" s="93"/>
      <c r="X12" s="93"/>
      <c r="Y12" s="93"/>
      <c r="Z12" s="93"/>
      <c r="AA12" s="93"/>
      <c r="AB12" s="93"/>
      <c r="AC12" s="93"/>
      <c r="AD12" s="93"/>
      <c r="AE12" s="93"/>
      <c r="AF12" s="93"/>
      <c r="AG12" s="93"/>
      <c r="AH12" s="93"/>
    </row>
    <row r="13" spans="1:34"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c r="S13" s="46"/>
      <c r="T13" s="46"/>
      <c r="U13" s="93"/>
      <c r="V13" s="93"/>
      <c r="W13" s="93"/>
      <c r="X13" s="93"/>
      <c r="Y13" s="93"/>
      <c r="Z13" s="93"/>
      <c r="AA13" s="93"/>
      <c r="AB13" s="93"/>
      <c r="AC13" s="93"/>
      <c r="AD13" s="93"/>
      <c r="AE13" s="93"/>
      <c r="AF13" s="93"/>
      <c r="AG13" s="93"/>
      <c r="AH13" s="93"/>
    </row>
    <row r="14" spans="1:34"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c r="U14" s="93"/>
      <c r="V14" s="93"/>
      <c r="W14" s="93"/>
      <c r="X14" s="93"/>
      <c r="Y14" s="93"/>
      <c r="Z14" s="93"/>
      <c r="AA14" s="93"/>
      <c r="AB14" s="93"/>
      <c r="AC14" s="93"/>
      <c r="AD14" s="93"/>
      <c r="AE14" s="93"/>
      <c r="AF14" s="93"/>
      <c r="AG14" s="93"/>
      <c r="AH14" s="93"/>
    </row>
    <row r="15" spans="1:34" ht="20.25" customHeight="1">
      <c r="A15" s="12"/>
      <c r="B15" s="347"/>
      <c r="C15" s="206" t="s">
        <v>283</v>
      </c>
      <c r="D15" s="308"/>
      <c r="E15" s="299" t="s">
        <v>20</v>
      </c>
      <c r="F15" s="231"/>
      <c r="G15" s="282"/>
      <c r="H15" s="231"/>
      <c r="I15" s="231"/>
      <c r="J15" s="231"/>
      <c r="K15" s="231"/>
      <c r="L15" s="231"/>
      <c r="M15" s="231"/>
      <c r="N15" s="28"/>
      <c r="O15" s="28"/>
      <c r="P15" s="28"/>
      <c r="Q15" s="28"/>
      <c r="R15" s="13"/>
      <c r="S15" s="182"/>
      <c r="T15" s="182"/>
      <c r="U15" s="93"/>
      <c r="V15" s="93"/>
      <c r="W15" s="93"/>
      <c r="X15" s="93"/>
      <c r="Y15" s="93"/>
      <c r="Z15" s="93"/>
      <c r="AA15" s="93"/>
      <c r="AB15" s="93"/>
      <c r="AC15" s="93"/>
      <c r="AD15" s="93"/>
      <c r="AE15" s="93"/>
      <c r="AF15" s="93"/>
      <c r="AG15" s="93"/>
      <c r="AH15" s="93"/>
    </row>
    <row r="16" spans="1:34" ht="17.5">
      <c r="A16" s="12"/>
      <c r="B16" s="347"/>
      <c r="C16" s="248" t="s">
        <v>91</v>
      </c>
      <c r="D16" s="308"/>
      <c r="E16" s="299" t="s">
        <v>20</v>
      </c>
      <c r="F16" s="231">
        <f>(VLOOKUP(C16,U40:V42,2))*1</f>
        <v>0</v>
      </c>
      <c r="G16" s="287">
        <v>50</v>
      </c>
      <c r="H16" s="231">
        <f>D16*F16*G16/100</f>
        <v>0</v>
      </c>
      <c r="I16" s="231"/>
      <c r="J16" s="300"/>
      <c r="K16" s="231"/>
      <c r="L16" s="231"/>
      <c r="M16" s="300"/>
      <c r="N16" s="28"/>
      <c r="O16" s="28"/>
      <c r="P16" s="28"/>
      <c r="Q16" s="28"/>
      <c r="R16" s="13"/>
      <c r="S16" s="182"/>
      <c r="T16" s="182"/>
      <c r="U16" s="93"/>
      <c r="V16" s="93"/>
      <c r="W16" s="93"/>
      <c r="X16" s="93"/>
      <c r="Y16" s="93"/>
      <c r="Z16" s="93"/>
      <c r="AA16" s="93"/>
      <c r="AB16" s="93"/>
      <c r="AC16" s="93"/>
      <c r="AD16" s="93"/>
      <c r="AE16" s="93"/>
      <c r="AF16" s="93"/>
      <c r="AG16" s="93"/>
      <c r="AH16" s="93"/>
    </row>
    <row r="17" spans="1:34" ht="17.5">
      <c r="A17" s="12"/>
      <c r="B17" s="347"/>
      <c r="C17" s="307" t="s">
        <v>91</v>
      </c>
      <c r="D17" s="308"/>
      <c r="E17" s="299" t="s">
        <v>20</v>
      </c>
      <c r="F17" s="231">
        <f>(VLOOKUP(C17,U40:V42,2))*1</f>
        <v>0</v>
      </c>
      <c r="G17" s="287">
        <v>50</v>
      </c>
      <c r="H17" s="231"/>
      <c r="I17" s="231">
        <f>D17*F17*G17/100</f>
        <v>0</v>
      </c>
      <c r="J17" s="300"/>
      <c r="K17" s="231"/>
      <c r="L17" s="231"/>
      <c r="M17" s="300"/>
      <c r="N17" s="28"/>
      <c r="O17" s="28"/>
      <c r="P17" s="28"/>
      <c r="Q17" s="28"/>
      <c r="R17" s="13"/>
      <c r="S17" s="182"/>
      <c r="T17" s="182"/>
      <c r="U17" s="93"/>
      <c r="V17" s="93"/>
      <c r="W17" s="93"/>
      <c r="X17" s="93"/>
      <c r="Y17" s="93"/>
      <c r="Z17" s="93"/>
      <c r="AA17" s="93"/>
      <c r="AB17" s="93"/>
      <c r="AC17" s="93"/>
      <c r="AD17" s="93"/>
      <c r="AE17" s="93"/>
      <c r="AF17" s="93"/>
      <c r="AG17" s="93"/>
      <c r="AH17" s="93"/>
    </row>
    <row r="18" spans="1:34" ht="17.5">
      <c r="A18" s="12"/>
      <c r="B18" s="347"/>
      <c r="C18" s="307" t="s">
        <v>188</v>
      </c>
      <c r="D18" s="308"/>
      <c r="E18" s="299" t="s">
        <v>20</v>
      </c>
      <c r="F18" s="231">
        <f>(VLOOKUP(C18,U44:V46,2,TRUE))*1</f>
        <v>0</v>
      </c>
      <c r="G18" s="287">
        <v>50</v>
      </c>
      <c r="H18" s="231"/>
      <c r="I18" s="301"/>
      <c r="J18" s="231">
        <f>D18*F18*G18/100</f>
        <v>0</v>
      </c>
      <c r="K18" s="231"/>
      <c r="L18" s="231"/>
      <c r="M18" s="300"/>
      <c r="N18" s="28"/>
      <c r="O18" s="28"/>
      <c r="P18" s="28"/>
      <c r="Q18" s="28"/>
      <c r="R18" s="13"/>
      <c r="S18" s="182"/>
      <c r="T18" s="182"/>
      <c r="U18" s="93"/>
      <c r="V18" s="93"/>
      <c r="W18" s="93"/>
      <c r="X18" s="93"/>
      <c r="Y18" s="93"/>
      <c r="Z18" s="93"/>
      <c r="AA18" s="93"/>
      <c r="AB18" s="93"/>
      <c r="AC18" s="93"/>
      <c r="AD18" s="93"/>
      <c r="AE18" s="93"/>
      <c r="AF18" s="93"/>
      <c r="AG18" s="93"/>
      <c r="AH18" s="93"/>
    </row>
    <row r="19" spans="1:34" ht="17.5">
      <c r="A19" s="12"/>
      <c r="B19" s="347"/>
      <c r="C19" s="307" t="s">
        <v>188</v>
      </c>
      <c r="D19" s="308"/>
      <c r="E19" s="299" t="s">
        <v>20</v>
      </c>
      <c r="F19" s="231">
        <f>(VLOOKUP(C19,U44:V46,2,TRUE))*1</f>
        <v>0</v>
      </c>
      <c r="G19" s="287">
        <v>50</v>
      </c>
      <c r="H19" s="231"/>
      <c r="I19" s="301"/>
      <c r="J19" s="231"/>
      <c r="K19" s="231">
        <f>D19*F19*G19/100</f>
        <v>0</v>
      </c>
      <c r="L19" s="231"/>
      <c r="M19" s="300"/>
      <c r="N19" s="28"/>
      <c r="O19" s="28"/>
      <c r="P19" s="28"/>
      <c r="Q19" s="28"/>
      <c r="R19" s="13"/>
      <c r="S19" s="182"/>
      <c r="T19" s="182"/>
      <c r="U19" s="93"/>
      <c r="V19" s="93"/>
      <c r="W19" s="93"/>
      <c r="X19" s="93"/>
      <c r="Y19" s="93"/>
      <c r="Z19" s="93"/>
      <c r="AA19" s="93"/>
      <c r="AB19" s="93"/>
      <c r="AC19" s="93"/>
      <c r="AD19" s="93"/>
      <c r="AE19" s="93"/>
      <c r="AF19" s="93"/>
      <c r="AG19" s="93"/>
      <c r="AH19" s="93"/>
    </row>
    <row r="20" spans="1:34" ht="17.5">
      <c r="A20" s="35"/>
      <c r="B20" s="349"/>
      <c r="C20" s="307" t="s">
        <v>189</v>
      </c>
      <c r="D20" s="308"/>
      <c r="E20" s="299" t="s">
        <v>20</v>
      </c>
      <c r="F20" s="231">
        <f>(VLOOKUP(C20,U48:V50,2,TRUE))*1</f>
        <v>0</v>
      </c>
      <c r="G20" s="287">
        <v>50</v>
      </c>
      <c r="H20" s="292"/>
      <c r="I20" s="301"/>
      <c r="J20" s="292"/>
      <c r="K20" s="292"/>
      <c r="L20" s="292">
        <f>D20*F20*G20/100</f>
        <v>0</v>
      </c>
      <c r="M20" s="302"/>
      <c r="N20" s="68"/>
      <c r="O20" s="68"/>
      <c r="P20" s="68"/>
      <c r="Q20" s="68"/>
      <c r="R20" s="43"/>
      <c r="S20" s="183"/>
      <c r="T20" s="183"/>
      <c r="U20" s="93"/>
      <c r="V20" s="93"/>
      <c r="W20" s="93"/>
      <c r="X20" s="93"/>
      <c r="Y20" s="93"/>
      <c r="Z20" s="93"/>
      <c r="AA20" s="93"/>
      <c r="AB20" s="93"/>
      <c r="AC20" s="93"/>
      <c r="AD20" s="93"/>
      <c r="AE20" s="93"/>
      <c r="AF20" s="93"/>
      <c r="AG20" s="93"/>
      <c r="AH20" s="93"/>
    </row>
    <row r="21" spans="1:34" ht="17.5">
      <c r="A21" s="12"/>
      <c r="B21" s="347"/>
      <c r="C21" s="307" t="s">
        <v>189</v>
      </c>
      <c r="D21" s="308"/>
      <c r="E21" s="299" t="s">
        <v>20</v>
      </c>
      <c r="F21" s="231">
        <f>(VLOOKUP(C21,U48:V50,2,TRUE))*1</f>
        <v>0</v>
      </c>
      <c r="G21" s="287">
        <v>50</v>
      </c>
      <c r="H21" s="231"/>
      <c r="I21" s="303"/>
      <c r="J21" s="231"/>
      <c r="K21" s="231"/>
      <c r="L21" s="231"/>
      <c r="M21" s="304">
        <f>D21*F21*G21/100</f>
        <v>0</v>
      </c>
      <c r="N21" s="28"/>
      <c r="O21" s="28"/>
      <c r="P21" s="28"/>
      <c r="Q21" s="28"/>
      <c r="R21" s="13"/>
      <c r="S21" s="182"/>
      <c r="T21" s="182"/>
      <c r="U21" s="93"/>
      <c r="V21" s="93"/>
      <c r="W21" s="93"/>
      <c r="X21" s="93"/>
      <c r="Y21" s="93"/>
      <c r="Z21" s="93"/>
      <c r="AA21" s="93"/>
      <c r="AB21" s="93"/>
      <c r="AC21" s="93"/>
      <c r="AD21" s="93"/>
      <c r="AE21" s="93"/>
      <c r="AF21" s="93"/>
      <c r="AG21" s="93"/>
      <c r="AH21" s="93"/>
    </row>
    <row r="22" spans="1:34" ht="15.5">
      <c r="A22" s="456" t="s">
        <v>89</v>
      </c>
      <c r="B22" s="457"/>
      <c r="C22" s="458"/>
      <c r="D22" s="286"/>
      <c r="E22" s="280"/>
      <c r="F22" s="265"/>
      <c r="G22" s="281"/>
      <c r="H22" s="271">
        <f t="shared" ref="H22:M22" si="0">SUM(H15:H21)</f>
        <v>0</v>
      </c>
      <c r="I22" s="271">
        <f t="shared" si="0"/>
        <v>0</v>
      </c>
      <c r="J22" s="271">
        <f t="shared" si="0"/>
        <v>0</v>
      </c>
      <c r="K22" s="271">
        <f t="shared" si="0"/>
        <v>0</v>
      </c>
      <c r="L22" s="271">
        <f t="shared" si="0"/>
        <v>0</v>
      </c>
      <c r="M22" s="271">
        <f t="shared" si="0"/>
        <v>0</v>
      </c>
      <c r="N22" s="23"/>
      <c r="O22" s="23"/>
      <c r="P22" s="23"/>
      <c r="Q22" s="23"/>
      <c r="R22" s="25"/>
      <c r="S22" s="185"/>
      <c r="T22" s="186"/>
      <c r="U22" s="208"/>
      <c r="V22" s="340"/>
      <c r="W22" s="93"/>
      <c r="X22" s="93"/>
      <c r="Y22" s="93"/>
      <c r="Z22" s="93"/>
      <c r="AA22" s="93"/>
      <c r="AB22" s="93"/>
      <c r="AC22" s="93"/>
      <c r="AD22" s="93"/>
      <c r="AE22" s="93"/>
      <c r="AF22" s="93"/>
      <c r="AG22" s="93"/>
      <c r="AH22" s="93"/>
    </row>
    <row r="23" spans="1:34" ht="36.75" customHeight="1">
      <c r="A23" s="496" t="str">
        <f>IF(U53,U55,"")</f>
        <v/>
      </c>
      <c r="B23" s="497"/>
      <c r="C23" s="497"/>
      <c r="D23" s="497"/>
      <c r="E23" s="497"/>
      <c r="F23" s="497"/>
      <c r="G23" s="497"/>
      <c r="H23" s="497"/>
      <c r="I23" s="497"/>
      <c r="J23" s="497"/>
      <c r="K23" s="497"/>
      <c r="L23" s="497"/>
      <c r="M23" s="497"/>
      <c r="N23" s="497"/>
      <c r="O23" s="497"/>
      <c r="P23" s="497"/>
      <c r="Q23" s="497"/>
      <c r="R23" s="497"/>
      <c r="S23" s="47"/>
      <c r="T23" s="47"/>
      <c r="U23" s="46"/>
      <c r="V23" s="46"/>
      <c r="W23" s="93"/>
      <c r="X23" s="93"/>
      <c r="Y23" s="93"/>
      <c r="Z23" s="93"/>
      <c r="AA23" s="93"/>
      <c r="AB23" s="93"/>
      <c r="AC23" s="93"/>
      <c r="AD23" s="93"/>
      <c r="AE23" s="93"/>
      <c r="AF23" s="93"/>
      <c r="AG23" s="93"/>
      <c r="AH23" s="93"/>
    </row>
    <row r="24" spans="1:34" ht="15.5">
      <c r="A24" s="401" t="s">
        <v>262</v>
      </c>
      <c r="B24" s="402"/>
      <c r="C24" s="402"/>
      <c r="D24" s="402"/>
      <c r="E24" s="402"/>
      <c r="F24" s="402"/>
      <c r="G24" s="402"/>
      <c r="H24" s="402"/>
      <c r="I24" s="402"/>
      <c r="J24" s="402"/>
      <c r="K24" s="402"/>
      <c r="L24" s="402"/>
      <c r="M24" s="402"/>
      <c r="N24" s="402"/>
      <c r="O24" s="402"/>
      <c r="P24" s="402"/>
      <c r="Q24" s="402"/>
      <c r="R24" s="403"/>
      <c r="S24" s="187"/>
      <c r="T24" s="187"/>
      <c r="U24" s="208"/>
      <c r="V24" s="340"/>
      <c r="W24" s="93"/>
      <c r="X24" s="93"/>
      <c r="Y24" s="93"/>
      <c r="Z24" s="93"/>
      <c r="AA24" s="93"/>
      <c r="AB24" s="93"/>
      <c r="AC24" s="93"/>
      <c r="AD24" s="93"/>
      <c r="AE24" s="93"/>
      <c r="AF24" s="93"/>
      <c r="AG24" s="93"/>
      <c r="AH24" s="93"/>
    </row>
    <row r="25" spans="1:34" ht="50.25" customHeight="1">
      <c r="A25" s="393" t="s">
        <v>434</v>
      </c>
      <c r="B25" s="394"/>
      <c r="C25" s="394"/>
      <c r="D25" s="394"/>
      <c r="E25" s="394"/>
      <c r="F25" s="394"/>
      <c r="G25" s="394"/>
      <c r="H25" s="394"/>
      <c r="I25" s="394"/>
      <c r="J25" s="394"/>
      <c r="K25" s="394"/>
      <c r="L25" s="394"/>
      <c r="M25" s="394"/>
      <c r="N25" s="394"/>
      <c r="O25" s="394"/>
      <c r="P25" s="394"/>
      <c r="Q25" s="394"/>
      <c r="R25" s="395"/>
      <c r="S25" s="188"/>
      <c r="T25" s="188"/>
      <c r="U25" s="208"/>
      <c r="V25" s="340"/>
      <c r="W25" s="93"/>
      <c r="X25" s="93"/>
      <c r="Y25" s="93"/>
      <c r="Z25" s="93"/>
      <c r="AA25" s="93"/>
      <c r="AB25" s="93"/>
      <c r="AC25" s="93"/>
      <c r="AD25" s="93"/>
      <c r="AE25" s="93"/>
      <c r="AF25" s="93"/>
      <c r="AG25" s="93"/>
      <c r="AH25" s="93"/>
    </row>
    <row r="26" spans="1:34" ht="15.5">
      <c r="A26" s="460" t="s">
        <v>390</v>
      </c>
      <c r="B26" s="461"/>
      <c r="C26" s="461"/>
      <c r="D26" s="461"/>
      <c r="E26" s="461"/>
      <c r="F26" s="461"/>
      <c r="G26" s="461"/>
      <c r="H26" s="461"/>
      <c r="I26" s="461"/>
      <c r="J26" s="461"/>
      <c r="K26" s="461"/>
      <c r="L26" s="461"/>
      <c r="M26" s="461"/>
      <c r="N26" s="461"/>
      <c r="O26" s="461"/>
      <c r="P26" s="461"/>
      <c r="Q26" s="461"/>
      <c r="R26" s="462"/>
      <c r="S26" s="52"/>
      <c r="T26" s="52"/>
      <c r="U26" s="93"/>
      <c r="V26" s="93"/>
      <c r="W26" s="93"/>
      <c r="X26" s="93"/>
      <c r="Y26" s="93"/>
      <c r="Z26" s="93"/>
      <c r="AA26" s="93"/>
      <c r="AB26" s="93"/>
      <c r="AC26" s="93"/>
      <c r="AD26" s="93"/>
      <c r="AE26" s="93"/>
      <c r="AF26" s="93"/>
      <c r="AG26" s="93"/>
      <c r="AH26" s="93"/>
    </row>
    <row r="27" spans="1:34" ht="49.5" customHeight="1">
      <c r="A27" s="463" t="s">
        <v>392</v>
      </c>
      <c r="B27" s="464"/>
      <c r="C27" s="464"/>
      <c r="D27" s="464"/>
      <c r="E27" s="464"/>
      <c r="F27" s="464"/>
      <c r="G27" s="464"/>
      <c r="H27" s="464"/>
      <c r="I27" s="464"/>
      <c r="J27" s="464"/>
      <c r="K27" s="464"/>
      <c r="L27" s="464"/>
      <c r="M27" s="464"/>
      <c r="N27" s="464"/>
      <c r="O27" s="464"/>
      <c r="P27" s="464"/>
      <c r="Q27" s="464"/>
      <c r="R27" s="465"/>
      <c r="S27" s="189"/>
      <c r="T27" s="189"/>
      <c r="U27" s="11"/>
      <c r="V27" s="93"/>
      <c r="W27" s="93"/>
      <c r="X27" s="93"/>
      <c r="Y27" s="93"/>
      <c r="Z27" s="93"/>
      <c r="AA27" s="93"/>
      <c r="AB27" s="93"/>
      <c r="AC27" s="93"/>
      <c r="AD27" s="93"/>
      <c r="AE27" s="93"/>
      <c r="AF27" s="93"/>
      <c r="AG27" s="93"/>
      <c r="AH27" s="93"/>
    </row>
    <row r="28" spans="1:34" ht="15.5">
      <c r="A28" s="413" t="s">
        <v>221</v>
      </c>
      <c r="B28" s="414"/>
      <c r="C28" s="414"/>
      <c r="D28" s="414"/>
      <c r="E28" s="414"/>
      <c r="F28" s="414"/>
      <c r="G28" s="414"/>
      <c r="H28" s="414"/>
      <c r="I28" s="414"/>
      <c r="J28" s="414"/>
      <c r="K28" s="414"/>
      <c r="L28" s="414"/>
      <c r="M28" s="414"/>
      <c r="N28" s="414"/>
      <c r="O28" s="414"/>
      <c r="P28" s="414"/>
      <c r="Q28" s="414"/>
      <c r="R28" s="415"/>
      <c r="S28" s="187"/>
      <c r="T28" s="187"/>
      <c r="U28" s="93"/>
      <c r="V28" s="93"/>
      <c r="W28" s="93"/>
      <c r="X28" s="93"/>
      <c r="Y28" s="93"/>
      <c r="Z28" s="93"/>
      <c r="AA28" s="93"/>
      <c r="AB28" s="93"/>
      <c r="AC28" s="93"/>
      <c r="AD28" s="93"/>
      <c r="AE28" s="93"/>
      <c r="AF28" s="93"/>
      <c r="AG28" s="93"/>
      <c r="AH28" s="93"/>
    </row>
    <row r="29" spans="1:34" ht="69" customHeight="1">
      <c r="A29" s="396" t="s">
        <v>370</v>
      </c>
      <c r="B29" s="397"/>
      <c r="C29" s="397"/>
      <c r="D29" s="397"/>
      <c r="E29" s="397"/>
      <c r="F29" s="397"/>
      <c r="G29" s="397"/>
      <c r="H29" s="397"/>
      <c r="I29" s="397"/>
      <c r="J29" s="397"/>
      <c r="K29" s="397"/>
      <c r="L29" s="397"/>
      <c r="M29" s="397"/>
      <c r="N29" s="397"/>
      <c r="O29" s="397"/>
      <c r="P29" s="397"/>
      <c r="Q29" s="397"/>
      <c r="R29" s="398"/>
      <c r="S29" s="190"/>
      <c r="T29" s="190"/>
      <c r="U29" s="208"/>
      <c r="V29" s="340"/>
      <c r="W29" s="93"/>
      <c r="X29" s="93"/>
      <c r="Y29" s="93"/>
      <c r="Z29" s="93"/>
      <c r="AA29" s="93"/>
      <c r="AB29" s="93"/>
      <c r="AC29" s="93"/>
      <c r="AD29" s="93"/>
      <c r="AE29" s="93"/>
      <c r="AF29" s="93"/>
      <c r="AG29" s="93"/>
      <c r="AH29" s="93"/>
    </row>
    <row r="30" spans="1:34" ht="15.5">
      <c r="A30" s="93"/>
      <c r="B30" s="93"/>
      <c r="C30" s="93"/>
      <c r="D30" s="93"/>
      <c r="E30" s="93"/>
      <c r="F30" s="93"/>
      <c r="G30" s="93"/>
      <c r="H30" s="93"/>
      <c r="I30" s="93"/>
      <c r="J30" s="93"/>
      <c r="K30" s="93"/>
      <c r="L30" s="93"/>
      <c r="M30" s="93"/>
      <c r="N30" s="93"/>
      <c r="O30" s="93"/>
      <c r="P30" s="93"/>
      <c r="Q30" s="93"/>
      <c r="R30" s="93"/>
      <c r="S30" s="46"/>
      <c r="T30" s="46"/>
      <c r="U30" s="26"/>
      <c r="V30" s="93"/>
      <c r="W30" s="93"/>
      <c r="X30" s="93"/>
      <c r="Y30" s="93"/>
      <c r="Z30" s="93"/>
      <c r="AA30" s="93"/>
      <c r="AB30" s="93"/>
      <c r="AC30" s="93"/>
      <c r="AD30" s="93"/>
      <c r="AE30" s="93"/>
      <c r="AF30" s="93"/>
      <c r="AG30" s="93"/>
      <c r="AH30" s="93"/>
    </row>
    <row r="31" spans="1:34" ht="15.5">
      <c r="A31" s="93"/>
      <c r="B31" s="93"/>
      <c r="C31" s="93"/>
      <c r="D31" s="93"/>
      <c r="E31" s="93"/>
      <c r="F31" s="93"/>
      <c r="G31" s="93"/>
      <c r="H31" s="93"/>
      <c r="I31" s="93"/>
      <c r="J31" s="93"/>
      <c r="K31" s="93"/>
      <c r="L31" s="93"/>
      <c r="M31" s="93"/>
      <c r="N31" s="93"/>
      <c r="O31" s="93"/>
      <c r="P31" s="93"/>
      <c r="Q31" s="93"/>
      <c r="R31" s="93"/>
      <c r="S31" s="46"/>
      <c r="T31" s="46"/>
      <c r="U31" s="26"/>
      <c r="V31" s="93"/>
      <c r="W31" s="93"/>
      <c r="X31" s="93"/>
      <c r="Y31" s="93"/>
      <c r="Z31" s="93"/>
      <c r="AA31" s="93"/>
      <c r="AB31" s="93"/>
      <c r="AC31" s="93"/>
      <c r="AD31" s="93"/>
      <c r="AE31" s="93"/>
      <c r="AF31" s="93"/>
      <c r="AG31" s="93"/>
      <c r="AH31" s="93"/>
    </row>
    <row r="32" spans="1:34">
      <c r="A32" s="93"/>
      <c r="B32" s="93"/>
      <c r="C32" s="93"/>
      <c r="D32" s="93"/>
      <c r="E32" s="93"/>
      <c r="F32" s="93"/>
      <c r="G32" s="93"/>
      <c r="H32" s="93"/>
      <c r="I32" s="93"/>
      <c r="J32" s="93"/>
      <c r="K32" s="93"/>
      <c r="L32" s="93"/>
      <c r="M32" s="93"/>
      <c r="N32" s="93"/>
      <c r="O32" s="93"/>
      <c r="P32" s="93"/>
      <c r="Q32" s="93"/>
      <c r="R32" s="93"/>
      <c r="S32" s="46"/>
      <c r="T32" s="46"/>
      <c r="U32" s="93"/>
      <c r="V32" s="93"/>
      <c r="W32" s="93"/>
      <c r="X32" s="93"/>
      <c r="Y32" s="93"/>
      <c r="Z32" s="93"/>
      <c r="AA32" s="93"/>
      <c r="AB32" s="93"/>
      <c r="AC32" s="93"/>
      <c r="AD32" s="93"/>
      <c r="AE32" s="93"/>
      <c r="AF32" s="93"/>
      <c r="AG32" s="93"/>
      <c r="AH32" s="93"/>
    </row>
    <row r="33" spans="1:34" ht="15.5">
      <c r="A33" s="93"/>
      <c r="B33" s="93"/>
      <c r="C33" s="93"/>
      <c r="D33" s="93"/>
      <c r="E33" s="93"/>
      <c r="F33" s="93"/>
      <c r="G33" s="93"/>
      <c r="H33" s="93"/>
      <c r="I33" s="93"/>
      <c r="J33" s="93"/>
      <c r="K33" s="93"/>
      <c r="L33" s="93"/>
      <c r="M33" s="93"/>
      <c r="N33" s="93"/>
      <c r="O33" s="93"/>
      <c r="P33" s="93"/>
      <c r="Q33" s="93"/>
      <c r="R33" s="93"/>
      <c r="S33" s="46"/>
      <c r="T33" s="46"/>
      <c r="U33" s="208"/>
      <c r="V33" s="340"/>
      <c r="W33" s="93"/>
      <c r="X33" s="93"/>
      <c r="Y33" s="93"/>
      <c r="Z33" s="93"/>
      <c r="AA33" s="93"/>
      <c r="AB33" s="93"/>
      <c r="AC33" s="93"/>
      <c r="AD33" s="93"/>
      <c r="AE33" s="93"/>
      <c r="AF33" s="93"/>
      <c r="AG33" s="93"/>
      <c r="AH33" s="93"/>
    </row>
    <row r="34" spans="1:34">
      <c r="A34" s="93"/>
      <c r="B34" s="93"/>
      <c r="C34" s="93"/>
      <c r="D34" s="93"/>
      <c r="E34" s="93"/>
      <c r="F34" s="93"/>
      <c r="G34" s="93"/>
      <c r="H34" s="93"/>
      <c r="I34" s="93"/>
      <c r="J34" s="93"/>
      <c r="K34" s="93"/>
      <c r="L34" s="93"/>
      <c r="M34" s="93"/>
      <c r="N34" s="93"/>
      <c r="O34" s="93"/>
      <c r="P34" s="93"/>
      <c r="Q34" s="93"/>
      <c r="R34" s="93"/>
      <c r="S34" s="46"/>
      <c r="T34" s="46"/>
      <c r="U34" s="46"/>
      <c r="V34" s="46"/>
      <c r="W34" s="93"/>
      <c r="X34" s="93"/>
      <c r="Y34" s="93"/>
      <c r="Z34" s="93"/>
      <c r="AA34" s="93"/>
      <c r="AB34" s="93"/>
      <c r="AC34" s="93"/>
      <c r="AD34" s="93"/>
      <c r="AE34" s="93"/>
      <c r="AF34" s="93"/>
      <c r="AG34" s="93"/>
      <c r="AH34" s="93"/>
    </row>
    <row r="35" spans="1:34" ht="15.5">
      <c r="A35" s="93"/>
      <c r="B35" s="93"/>
      <c r="C35" s="93"/>
      <c r="D35" s="93"/>
      <c r="E35" s="93"/>
      <c r="F35" s="93"/>
      <c r="G35" s="93"/>
      <c r="H35" s="93"/>
      <c r="I35" s="93"/>
      <c r="J35" s="93"/>
      <c r="K35" s="93"/>
      <c r="L35" s="93"/>
      <c r="M35" s="93"/>
      <c r="N35" s="93"/>
      <c r="O35" s="93"/>
      <c r="P35" s="93"/>
      <c r="Q35" s="93"/>
      <c r="R35" s="93"/>
      <c r="S35" s="46"/>
      <c r="T35" s="46"/>
      <c r="U35" s="208"/>
      <c r="V35" s="340"/>
      <c r="W35" s="93"/>
      <c r="X35" s="93"/>
      <c r="Y35" s="93"/>
      <c r="Z35" s="93"/>
      <c r="AA35" s="93"/>
      <c r="AB35" s="93"/>
      <c r="AC35" s="93"/>
      <c r="AD35" s="93"/>
      <c r="AE35" s="93"/>
      <c r="AF35" s="93"/>
      <c r="AG35" s="93"/>
      <c r="AH35" s="93"/>
    </row>
    <row r="36" spans="1:34" ht="15.5">
      <c r="A36" s="93"/>
      <c r="B36" s="93"/>
      <c r="C36" s="93"/>
      <c r="D36" s="93"/>
      <c r="E36" s="93"/>
      <c r="F36" s="93"/>
      <c r="G36" s="93"/>
      <c r="H36" s="93"/>
      <c r="I36" s="93"/>
      <c r="J36" s="93"/>
      <c r="K36" s="93"/>
      <c r="L36" s="93"/>
      <c r="M36" s="93"/>
      <c r="N36" s="93"/>
      <c r="O36" s="93"/>
      <c r="P36" s="93"/>
      <c r="Q36" s="93"/>
      <c r="R36" s="93"/>
      <c r="S36" s="46"/>
      <c r="T36" s="46"/>
      <c r="U36" s="208"/>
      <c r="V36" s="340"/>
      <c r="W36" s="93"/>
      <c r="X36" s="93"/>
      <c r="Y36" s="93"/>
      <c r="Z36" s="93"/>
      <c r="AA36" s="93"/>
      <c r="AB36" s="93"/>
      <c r="AC36" s="93"/>
      <c r="AD36" s="93"/>
      <c r="AE36" s="93"/>
      <c r="AF36" s="93"/>
      <c r="AG36" s="93"/>
      <c r="AH36" s="93"/>
    </row>
    <row r="37" spans="1:34" ht="15.5">
      <c r="A37" s="93"/>
      <c r="B37" s="93"/>
      <c r="C37" s="93"/>
      <c r="D37" s="93"/>
      <c r="E37" s="93"/>
      <c r="F37" s="93"/>
      <c r="G37" s="93"/>
      <c r="H37" s="93"/>
      <c r="I37" s="93"/>
      <c r="J37" s="93"/>
      <c r="K37" s="93"/>
      <c r="L37" s="93"/>
      <c r="M37" s="93"/>
      <c r="N37" s="93"/>
      <c r="O37" s="93"/>
      <c r="P37" s="93"/>
      <c r="Q37" s="93"/>
      <c r="R37" s="93"/>
      <c r="S37" s="46"/>
      <c r="T37" s="46"/>
      <c r="U37" s="208"/>
      <c r="V37" s="340"/>
      <c r="W37" s="93"/>
      <c r="X37" s="93"/>
      <c r="Y37" s="93"/>
      <c r="Z37" s="93"/>
      <c r="AA37" s="93"/>
      <c r="AB37" s="93"/>
      <c r="AC37" s="93"/>
      <c r="AD37" s="93"/>
      <c r="AE37" s="93"/>
      <c r="AF37" s="93"/>
      <c r="AG37" s="93"/>
      <c r="AH37" s="93"/>
    </row>
    <row r="38" spans="1:34" ht="15.5">
      <c r="A38" s="93"/>
      <c r="B38" s="93"/>
      <c r="C38" s="93"/>
      <c r="D38" s="93"/>
      <c r="E38" s="93"/>
      <c r="F38" s="93"/>
      <c r="G38" s="93"/>
      <c r="H38" s="93"/>
      <c r="I38" s="93"/>
      <c r="J38" s="93"/>
      <c r="K38" s="93"/>
      <c r="L38" s="93"/>
      <c r="M38" s="93"/>
      <c r="N38" s="93"/>
      <c r="O38" s="93"/>
      <c r="P38" s="93"/>
      <c r="Q38" s="93"/>
      <c r="R38" s="93"/>
      <c r="S38" s="46"/>
      <c r="T38" s="46"/>
      <c r="U38" s="208"/>
      <c r="V38" s="340"/>
      <c r="W38" s="93"/>
      <c r="X38" s="93"/>
      <c r="Y38" s="93"/>
      <c r="Z38" s="93"/>
      <c r="AA38" s="93"/>
      <c r="AB38" s="93"/>
      <c r="AC38" s="93"/>
      <c r="AD38" s="93"/>
      <c r="AE38" s="93"/>
      <c r="AF38" s="93"/>
      <c r="AG38" s="93"/>
      <c r="AH38" s="93"/>
    </row>
    <row r="39" spans="1:34">
      <c r="A39" s="93"/>
      <c r="B39" s="93"/>
      <c r="C39" s="93"/>
      <c r="D39" s="93"/>
      <c r="E39" s="93"/>
      <c r="F39" s="93"/>
      <c r="G39" s="93"/>
      <c r="H39" s="93"/>
      <c r="I39" s="93"/>
      <c r="J39" s="93"/>
      <c r="K39" s="93"/>
      <c r="L39" s="93"/>
      <c r="M39" s="93"/>
      <c r="N39" s="93"/>
      <c r="O39" s="93"/>
      <c r="P39" s="93"/>
      <c r="Q39" s="93"/>
      <c r="R39" s="93"/>
      <c r="S39" s="46"/>
      <c r="T39" s="46"/>
      <c r="U39" s="93"/>
      <c r="V39" s="93"/>
      <c r="W39" s="93"/>
      <c r="X39" s="93"/>
      <c r="Y39" s="93"/>
      <c r="Z39" s="93"/>
      <c r="AA39" s="93"/>
      <c r="AB39" s="93"/>
      <c r="AC39" s="93"/>
      <c r="AD39" s="93"/>
      <c r="AE39" s="93"/>
      <c r="AF39" s="93"/>
      <c r="AG39" s="93"/>
      <c r="AH39" s="93"/>
    </row>
    <row r="40" spans="1:34" ht="15.5">
      <c r="A40" s="93"/>
      <c r="B40" s="93"/>
      <c r="C40" s="93"/>
      <c r="D40" s="93"/>
      <c r="E40" s="93"/>
      <c r="F40" s="93"/>
      <c r="G40" s="93"/>
      <c r="H40" s="93"/>
      <c r="I40" s="93"/>
      <c r="J40" s="93"/>
      <c r="K40" s="93"/>
      <c r="L40" s="93"/>
      <c r="M40" s="93"/>
      <c r="N40" s="93"/>
      <c r="O40" s="93"/>
      <c r="P40" s="93"/>
      <c r="Q40" s="93"/>
      <c r="R40" s="93"/>
      <c r="S40" s="46"/>
      <c r="T40" s="46"/>
      <c r="U40" s="208" t="s">
        <v>91</v>
      </c>
      <c r="V40" s="202">
        <v>0</v>
      </c>
      <c r="W40" s="93"/>
      <c r="X40" s="93"/>
      <c r="Y40" s="93"/>
      <c r="Z40" s="93"/>
      <c r="AA40" s="93"/>
      <c r="AB40" s="93"/>
      <c r="AC40" s="93"/>
      <c r="AD40" s="93"/>
      <c r="AE40" s="93"/>
      <c r="AF40" s="93"/>
      <c r="AG40" s="93"/>
      <c r="AH40" s="93"/>
    </row>
    <row r="41" spans="1:34" ht="15.5">
      <c r="A41" s="93"/>
      <c r="B41" s="93"/>
      <c r="C41" s="93"/>
      <c r="D41" s="93"/>
      <c r="E41" s="93"/>
      <c r="F41" s="93"/>
      <c r="G41" s="93"/>
      <c r="H41" s="93"/>
      <c r="I41" s="93"/>
      <c r="J41" s="93"/>
      <c r="K41" s="93"/>
      <c r="L41" s="93"/>
      <c r="M41" s="93"/>
      <c r="N41" s="93"/>
      <c r="O41" s="93"/>
      <c r="P41" s="93"/>
      <c r="Q41" s="93"/>
      <c r="R41" s="93"/>
      <c r="S41" s="46"/>
      <c r="T41" s="46"/>
      <c r="U41" s="201" t="s">
        <v>254</v>
      </c>
      <c r="V41" s="342">
        <f>'Component List'!D19</f>
        <v>100</v>
      </c>
      <c r="W41" s="93"/>
      <c r="X41" s="93"/>
      <c r="Y41" s="93"/>
      <c r="Z41" s="93"/>
      <c r="AA41" s="93"/>
      <c r="AB41" s="93"/>
      <c r="AC41" s="93"/>
      <c r="AD41" s="93"/>
      <c r="AE41" s="93"/>
      <c r="AF41" s="93"/>
      <c r="AG41" s="93"/>
      <c r="AH41" s="93"/>
    </row>
    <row r="42" spans="1:34" ht="15.5">
      <c r="A42" s="93"/>
      <c r="B42" s="93"/>
      <c r="C42" s="93"/>
      <c r="D42" s="93"/>
      <c r="E42" s="93"/>
      <c r="F42" s="93"/>
      <c r="G42" s="93"/>
      <c r="H42" s="93"/>
      <c r="I42" s="93"/>
      <c r="J42" s="93"/>
      <c r="K42" s="93"/>
      <c r="L42" s="93"/>
      <c r="M42" s="93"/>
      <c r="N42" s="93"/>
      <c r="O42" s="93"/>
      <c r="P42" s="93"/>
      <c r="Q42" s="93"/>
      <c r="R42" s="93"/>
      <c r="S42" s="46"/>
      <c r="T42" s="46"/>
      <c r="U42" s="201" t="s">
        <v>256</v>
      </c>
      <c r="V42" s="306">
        <f>'Component List'!D26</f>
        <v>100</v>
      </c>
      <c r="W42" s="93"/>
      <c r="X42" s="93"/>
      <c r="Y42" s="93"/>
      <c r="Z42" s="93"/>
      <c r="AA42" s="93"/>
      <c r="AB42" s="93"/>
      <c r="AC42" s="93"/>
      <c r="AD42" s="93"/>
      <c r="AE42" s="93"/>
      <c r="AF42" s="93"/>
      <c r="AG42" s="93"/>
      <c r="AH42" s="93"/>
    </row>
    <row r="43" spans="1:34">
      <c r="A43" s="93"/>
      <c r="B43" s="93"/>
      <c r="C43" s="93"/>
      <c r="D43" s="93"/>
      <c r="E43" s="93"/>
      <c r="F43" s="93"/>
      <c r="G43" s="93"/>
      <c r="H43" s="93"/>
      <c r="I43" s="93"/>
      <c r="J43" s="93"/>
      <c r="K43" s="93"/>
      <c r="L43" s="93"/>
      <c r="M43" s="93"/>
      <c r="N43" s="93"/>
      <c r="O43" s="93"/>
      <c r="P43" s="93"/>
      <c r="Q43" s="93"/>
      <c r="R43" s="93"/>
      <c r="S43" s="46"/>
      <c r="T43" s="46"/>
      <c r="U43" s="93"/>
      <c r="V43" s="93"/>
      <c r="W43" s="93"/>
      <c r="X43" s="93"/>
      <c r="Y43" s="93"/>
      <c r="Z43" s="93"/>
      <c r="AA43" s="93"/>
      <c r="AB43" s="93"/>
      <c r="AC43" s="93"/>
      <c r="AD43" s="93"/>
      <c r="AE43" s="93"/>
      <c r="AF43" s="93"/>
      <c r="AG43" s="93"/>
      <c r="AH43" s="93"/>
    </row>
    <row r="44" spans="1:34" ht="15.5">
      <c r="A44" s="93"/>
      <c r="B44" s="93"/>
      <c r="C44" s="93"/>
      <c r="D44" s="93"/>
      <c r="E44" s="93"/>
      <c r="F44" s="93"/>
      <c r="G44" s="93"/>
      <c r="H44" s="93"/>
      <c r="I44" s="93"/>
      <c r="J44" s="93"/>
      <c r="K44" s="93"/>
      <c r="L44" s="93"/>
      <c r="M44" s="93"/>
      <c r="N44" s="93"/>
      <c r="O44" s="93"/>
      <c r="P44" s="93"/>
      <c r="Q44" s="93"/>
      <c r="R44" s="93"/>
      <c r="S44" s="46"/>
      <c r="T44" s="46"/>
      <c r="U44" s="208" t="s">
        <v>188</v>
      </c>
      <c r="V44" s="202">
        <v>0</v>
      </c>
      <c r="W44" s="93"/>
      <c r="X44" s="93"/>
      <c r="Y44" s="93"/>
      <c r="Z44" s="93"/>
      <c r="AA44" s="93"/>
      <c r="AB44" s="93"/>
      <c r="AC44" s="93"/>
      <c r="AD44" s="93"/>
      <c r="AE44" s="93"/>
      <c r="AF44" s="93"/>
      <c r="AG44" s="93"/>
      <c r="AH44" s="93"/>
    </row>
    <row r="45" spans="1:34" ht="15.5">
      <c r="A45" s="93"/>
      <c r="B45" s="93"/>
      <c r="C45" s="93"/>
      <c r="D45" s="93"/>
      <c r="E45" s="93"/>
      <c r="F45" s="93"/>
      <c r="G45" s="93"/>
      <c r="H45" s="93"/>
      <c r="I45" s="93"/>
      <c r="J45" s="93"/>
      <c r="K45" s="93"/>
      <c r="L45" s="93"/>
      <c r="M45" s="93"/>
      <c r="N45" s="93"/>
      <c r="O45" s="93"/>
      <c r="P45" s="93"/>
      <c r="Q45" s="93"/>
      <c r="R45" s="93"/>
      <c r="S45" s="46"/>
      <c r="T45" s="46"/>
      <c r="U45" s="201" t="s">
        <v>257</v>
      </c>
      <c r="V45" s="306">
        <f>'Component List'!D19</f>
        <v>100</v>
      </c>
      <c r="W45" s="93"/>
      <c r="X45" s="93"/>
      <c r="Y45" s="93"/>
      <c r="Z45" s="93"/>
      <c r="AA45" s="93"/>
      <c r="AB45" s="93"/>
      <c r="AC45" s="93"/>
      <c r="AD45" s="93"/>
      <c r="AE45" s="93"/>
      <c r="AF45" s="93"/>
      <c r="AG45" s="93"/>
      <c r="AH45" s="93"/>
    </row>
    <row r="46" spans="1:34" ht="15.5">
      <c r="A46" s="93"/>
      <c r="B46" s="93"/>
      <c r="C46" s="93"/>
      <c r="D46" s="93"/>
      <c r="E46" s="93"/>
      <c r="F46" s="93"/>
      <c r="G46" s="93"/>
      <c r="H46" s="93"/>
      <c r="I46" s="93"/>
      <c r="J46" s="93"/>
      <c r="K46" s="93"/>
      <c r="L46" s="93"/>
      <c r="M46" s="93"/>
      <c r="N46" s="93"/>
      <c r="O46" s="93"/>
      <c r="P46" s="93"/>
      <c r="Q46" s="93"/>
      <c r="R46" s="93"/>
      <c r="S46" s="46"/>
      <c r="T46" s="46"/>
      <c r="U46" s="201" t="s">
        <v>258</v>
      </c>
      <c r="V46" s="306">
        <f>'Component List'!D26</f>
        <v>100</v>
      </c>
      <c r="W46" s="93"/>
      <c r="X46" s="93"/>
      <c r="Y46" s="93"/>
      <c r="Z46" s="93"/>
      <c r="AA46" s="93"/>
      <c r="AB46" s="93"/>
      <c r="AC46" s="93"/>
      <c r="AD46" s="93"/>
      <c r="AE46" s="93"/>
      <c r="AF46" s="93"/>
      <c r="AG46" s="93"/>
      <c r="AH46" s="93"/>
    </row>
    <row r="47" spans="1:34" ht="15.5">
      <c r="A47" s="93"/>
      <c r="B47" s="93"/>
      <c r="C47" s="93"/>
      <c r="D47" s="93"/>
      <c r="E47" s="93"/>
      <c r="F47" s="93"/>
      <c r="G47" s="93"/>
      <c r="H47" s="93"/>
      <c r="I47" s="93"/>
      <c r="J47" s="93"/>
      <c r="K47" s="93"/>
      <c r="L47" s="93"/>
      <c r="M47" s="93"/>
      <c r="N47" s="93"/>
      <c r="O47" s="93"/>
      <c r="P47" s="93"/>
      <c r="Q47" s="93"/>
      <c r="R47" s="93"/>
      <c r="S47" s="46"/>
      <c r="T47" s="46"/>
      <c r="U47" s="208"/>
      <c r="V47" s="340"/>
      <c r="W47" s="93"/>
      <c r="X47" s="93"/>
      <c r="Y47" s="93"/>
      <c r="Z47" s="93"/>
      <c r="AA47" s="93"/>
      <c r="AB47" s="93"/>
      <c r="AC47" s="93"/>
      <c r="AD47" s="93"/>
      <c r="AE47" s="93"/>
      <c r="AF47" s="93"/>
      <c r="AG47" s="93"/>
      <c r="AH47" s="93"/>
    </row>
    <row r="48" spans="1:34" ht="15.5">
      <c r="A48" s="93"/>
      <c r="B48" s="93"/>
      <c r="C48" s="93"/>
      <c r="D48" s="93"/>
      <c r="E48" s="93"/>
      <c r="F48" s="93"/>
      <c r="G48" s="93"/>
      <c r="H48" s="93"/>
      <c r="I48" s="93"/>
      <c r="J48" s="93"/>
      <c r="K48" s="93"/>
      <c r="L48" s="93"/>
      <c r="M48" s="93"/>
      <c r="N48" s="93"/>
      <c r="O48" s="93"/>
      <c r="P48" s="93"/>
      <c r="Q48" s="93"/>
      <c r="R48" s="93"/>
      <c r="S48" s="46"/>
      <c r="T48" s="46"/>
      <c r="U48" s="208" t="s">
        <v>189</v>
      </c>
      <c r="V48" s="202">
        <v>0</v>
      </c>
      <c r="W48" s="93"/>
      <c r="X48" s="93"/>
      <c r="Y48" s="93"/>
      <c r="Z48" s="93"/>
      <c r="AA48" s="93"/>
      <c r="AB48" s="93"/>
      <c r="AC48" s="93"/>
      <c r="AD48" s="93"/>
      <c r="AE48" s="93"/>
      <c r="AF48" s="93"/>
      <c r="AG48" s="93"/>
      <c r="AH48" s="93"/>
    </row>
    <row r="49" spans="1:34" ht="15.5">
      <c r="A49" s="93"/>
      <c r="B49" s="93"/>
      <c r="C49" s="93"/>
      <c r="D49" s="93"/>
      <c r="E49" s="93"/>
      <c r="F49" s="93"/>
      <c r="G49" s="93"/>
      <c r="H49" s="93"/>
      <c r="I49" s="93"/>
      <c r="J49" s="93"/>
      <c r="K49" s="93"/>
      <c r="L49" s="93"/>
      <c r="M49" s="93"/>
      <c r="N49" s="93"/>
      <c r="O49" s="93"/>
      <c r="P49" s="93"/>
      <c r="Q49" s="93"/>
      <c r="R49" s="93"/>
      <c r="S49" s="46"/>
      <c r="T49" s="46"/>
      <c r="U49" s="201" t="s">
        <v>259</v>
      </c>
      <c r="V49" s="306">
        <f>'Component List'!D19</f>
        <v>100</v>
      </c>
      <c r="W49" s="93"/>
      <c r="X49" s="93"/>
      <c r="Y49" s="93"/>
      <c r="Z49" s="93"/>
      <c r="AA49" s="93"/>
      <c r="AB49" s="93"/>
      <c r="AC49" s="93"/>
      <c r="AD49" s="93"/>
      <c r="AE49" s="93"/>
      <c r="AF49" s="93"/>
      <c r="AG49" s="93"/>
      <c r="AH49" s="93"/>
    </row>
    <row r="50" spans="1:34" ht="15.5">
      <c r="A50" s="93"/>
      <c r="B50" s="93"/>
      <c r="C50" s="93"/>
      <c r="D50" s="93"/>
      <c r="E50" s="93"/>
      <c r="F50" s="93"/>
      <c r="G50" s="93"/>
      <c r="H50" s="93"/>
      <c r="I50" s="93"/>
      <c r="J50" s="93"/>
      <c r="K50" s="93"/>
      <c r="L50" s="93"/>
      <c r="M50" s="93"/>
      <c r="N50" s="93"/>
      <c r="O50" s="93"/>
      <c r="P50" s="93"/>
      <c r="Q50" s="93"/>
      <c r="R50" s="93"/>
      <c r="S50" s="46"/>
      <c r="T50" s="46"/>
      <c r="U50" s="201" t="s">
        <v>260</v>
      </c>
      <c r="V50" s="306">
        <f>'Component List'!D26</f>
        <v>100</v>
      </c>
      <c r="W50" s="93"/>
      <c r="X50" s="93"/>
      <c r="Y50" s="93"/>
      <c r="Z50" s="93"/>
      <c r="AA50" s="93"/>
      <c r="AB50" s="93"/>
      <c r="AC50" s="93"/>
      <c r="AD50" s="93"/>
      <c r="AE50" s="93"/>
      <c r="AF50" s="93"/>
      <c r="AG50" s="93"/>
      <c r="AH50" s="93"/>
    </row>
    <row r="51" spans="1:34" ht="15.5">
      <c r="A51" s="93"/>
      <c r="B51" s="93"/>
      <c r="C51" s="93"/>
      <c r="D51" s="93"/>
      <c r="E51" s="93"/>
      <c r="F51" s="93"/>
      <c r="G51" s="93"/>
      <c r="H51" s="93"/>
      <c r="I51" s="93"/>
      <c r="J51" s="93"/>
      <c r="K51" s="93"/>
      <c r="L51" s="93"/>
      <c r="M51" s="93"/>
      <c r="N51" s="93"/>
      <c r="O51" s="93"/>
      <c r="P51" s="93"/>
      <c r="Q51" s="93"/>
      <c r="R51" s="93"/>
      <c r="S51" s="46"/>
      <c r="T51" s="46"/>
      <c r="U51" s="208"/>
      <c r="V51" s="340"/>
      <c r="W51" s="93"/>
      <c r="X51" s="93"/>
      <c r="Y51" s="93"/>
      <c r="Z51" s="93"/>
      <c r="AA51" s="93"/>
      <c r="AB51" s="93"/>
      <c r="AC51" s="93"/>
      <c r="AD51" s="93"/>
      <c r="AE51" s="93"/>
      <c r="AF51" s="93"/>
      <c r="AG51" s="93"/>
      <c r="AH51" s="93"/>
    </row>
    <row r="52" spans="1:34">
      <c r="A52" s="93"/>
      <c r="B52" s="93"/>
      <c r="C52" s="93"/>
      <c r="D52" s="93"/>
      <c r="E52" s="93"/>
      <c r="F52" s="93"/>
      <c r="G52" s="93"/>
      <c r="H52" s="93"/>
      <c r="I52" s="93"/>
      <c r="J52" s="93"/>
      <c r="K52" s="93"/>
      <c r="L52" s="93"/>
      <c r="M52" s="93"/>
      <c r="N52" s="93"/>
      <c r="O52" s="93"/>
      <c r="P52" s="93"/>
      <c r="Q52" s="93"/>
      <c r="R52" s="93"/>
      <c r="S52" s="46"/>
      <c r="T52" s="46"/>
      <c r="U52" s="93"/>
      <c r="V52" s="93"/>
      <c r="W52" s="93"/>
      <c r="X52" s="93"/>
      <c r="Y52" s="93"/>
      <c r="Z52" s="93"/>
      <c r="AA52" s="93"/>
      <c r="AB52" s="93"/>
      <c r="AC52" s="93"/>
      <c r="AD52" s="93"/>
      <c r="AE52" s="93"/>
      <c r="AF52" s="93"/>
      <c r="AG52" s="93"/>
      <c r="AH52" s="93"/>
    </row>
    <row r="53" spans="1:34">
      <c r="A53" s="93"/>
      <c r="B53" s="93"/>
      <c r="C53" s="93"/>
      <c r="D53" s="93"/>
      <c r="E53" s="93"/>
      <c r="F53" s="93"/>
      <c r="G53" s="93"/>
      <c r="H53" s="93"/>
      <c r="I53" s="93"/>
      <c r="J53" s="93"/>
      <c r="K53" s="93"/>
      <c r="L53" s="93"/>
      <c r="M53" s="93"/>
      <c r="N53" s="93"/>
      <c r="O53" s="93"/>
      <c r="P53" s="93"/>
      <c r="Q53" s="93"/>
      <c r="R53" s="93"/>
      <c r="S53" s="46"/>
      <c r="T53" s="46"/>
      <c r="U53" s="93" t="b">
        <f>OR(C16=U41,C16=U42,C17=U41,C17=U42,C18=U45,C18=U46,C19=U45,C19=U46,C20=U49,C20=U50,C21=U49,C21=U50,)</f>
        <v>0</v>
      </c>
      <c r="V53" s="93"/>
      <c r="W53" s="93"/>
      <c r="X53" s="93"/>
      <c r="Y53" s="93"/>
      <c r="Z53" s="93"/>
      <c r="AA53" s="93"/>
      <c r="AB53" s="93"/>
      <c r="AC53" s="93"/>
      <c r="AD53" s="93"/>
      <c r="AE53" s="93"/>
      <c r="AF53" s="93"/>
      <c r="AG53" s="93"/>
      <c r="AH53" s="93"/>
    </row>
    <row r="54" spans="1:34">
      <c r="A54" s="93"/>
      <c r="B54" s="93"/>
      <c r="C54" s="93"/>
      <c r="D54" s="93"/>
      <c r="E54" s="93"/>
      <c r="F54" s="93"/>
      <c r="G54" s="93"/>
      <c r="H54" s="93"/>
      <c r="I54" s="93"/>
      <c r="J54" s="93"/>
      <c r="K54" s="93"/>
      <c r="L54" s="93"/>
      <c r="M54" s="93"/>
      <c r="N54" s="93"/>
      <c r="O54" s="93"/>
      <c r="P54" s="93"/>
      <c r="Q54" s="93"/>
      <c r="R54" s="93"/>
      <c r="S54" s="46"/>
      <c r="T54" s="46"/>
      <c r="U54" s="93"/>
      <c r="V54" s="93"/>
      <c r="W54" s="93"/>
      <c r="X54" s="93"/>
      <c r="Y54" s="93"/>
      <c r="Z54" s="93"/>
      <c r="AA54" s="93"/>
      <c r="AB54" s="93"/>
      <c r="AC54" s="93"/>
      <c r="AD54" s="93"/>
      <c r="AE54" s="93"/>
      <c r="AF54" s="93"/>
      <c r="AG54" s="93"/>
      <c r="AH54" s="93"/>
    </row>
    <row r="55" spans="1:34">
      <c r="A55" s="93"/>
      <c r="B55" s="93"/>
      <c r="C55" s="93"/>
      <c r="D55" s="93"/>
      <c r="E55" s="93"/>
      <c r="F55" s="93"/>
      <c r="G55" s="93"/>
      <c r="H55" s="93"/>
      <c r="I55" s="93"/>
      <c r="J55" s="93"/>
      <c r="K55" s="93"/>
      <c r="L55" s="93"/>
      <c r="M55" s="93"/>
      <c r="N55" s="93"/>
      <c r="O55" s="93"/>
      <c r="P55" s="93"/>
      <c r="Q55" s="93"/>
      <c r="R55" s="93"/>
      <c r="S55" s="46"/>
      <c r="T55" s="46"/>
      <c r="U55" s="512" t="s">
        <v>253</v>
      </c>
      <c r="V55" s="512"/>
      <c r="W55" s="512"/>
      <c r="X55" s="512"/>
      <c r="Y55" s="512"/>
      <c r="Z55" s="512"/>
      <c r="AA55" s="512"/>
      <c r="AB55" s="512"/>
      <c r="AC55" s="512"/>
      <c r="AD55" s="512"/>
      <c r="AE55" s="512"/>
      <c r="AF55" s="512"/>
      <c r="AG55" s="512"/>
      <c r="AH55" s="512"/>
    </row>
    <row r="56" spans="1:34">
      <c r="A56" s="93"/>
      <c r="B56" s="93"/>
      <c r="C56" s="93"/>
      <c r="D56" s="93"/>
      <c r="E56" s="93"/>
      <c r="F56" s="93"/>
      <c r="G56" s="93"/>
      <c r="H56" s="93"/>
      <c r="I56" s="93"/>
      <c r="J56" s="93"/>
      <c r="K56" s="93"/>
      <c r="L56" s="93"/>
      <c r="M56" s="93"/>
      <c r="N56" s="93"/>
      <c r="O56" s="93"/>
      <c r="P56" s="93"/>
      <c r="Q56" s="93"/>
      <c r="R56" s="93"/>
      <c r="S56" s="46"/>
      <c r="T56" s="46"/>
      <c r="U56" s="512"/>
      <c r="V56" s="512"/>
      <c r="W56" s="512"/>
      <c r="X56" s="512"/>
      <c r="Y56" s="512"/>
      <c r="Z56" s="512"/>
      <c r="AA56" s="512"/>
      <c r="AB56" s="512"/>
      <c r="AC56" s="512"/>
      <c r="AD56" s="512"/>
      <c r="AE56" s="512"/>
      <c r="AF56" s="512"/>
      <c r="AG56" s="512"/>
      <c r="AH56" s="512"/>
    </row>
    <row r="57" spans="1:34">
      <c r="A57" s="93"/>
      <c r="B57" s="93"/>
      <c r="C57" s="93"/>
      <c r="D57" s="93"/>
      <c r="E57" s="93"/>
      <c r="F57" s="93"/>
      <c r="G57" s="93"/>
      <c r="H57" s="93"/>
      <c r="I57" s="93"/>
      <c r="J57" s="93"/>
      <c r="K57" s="93"/>
      <c r="L57" s="93"/>
      <c r="M57" s="93"/>
      <c r="N57" s="93"/>
      <c r="O57" s="93"/>
      <c r="P57" s="93"/>
      <c r="Q57" s="93"/>
      <c r="R57" s="93"/>
      <c r="S57" s="46"/>
      <c r="T57" s="46"/>
      <c r="U57" s="512"/>
      <c r="V57" s="512"/>
      <c r="W57" s="512"/>
      <c r="X57" s="512"/>
      <c r="Y57" s="512"/>
      <c r="Z57" s="512"/>
      <c r="AA57" s="512"/>
      <c r="AB57" s="512"/>
      <c r="AC57" s="512"/>
      <c r="AD57" s="512"/>
      <c r="AE57" s="512"/>
      <c r="AF57" s="512"/>
      <c r="AG57" s="512"/>
      <c r="AH57" s="512"/>
    </row>
    <row r="58" spans="1:34">
      <c r="A58" s="93"/>
      <c r="B58" s="93"/>
      <c r="C58" s="93"/>
      <c r="D58" s="93"/>
      <c r="E58" s="93"/>
      <c r="F58" s="93"/>
      <c r="G58" s="93"/>
      <c r="H58" s="93"/>
      <c r="I58" s="93"/>
      <c r="J58" s="93"/>
      <c r="K58" s="93"/>
      <c r="L58" s="93"/>
      <c r="M58" s="93"/>
      <c r="N58" s="93"/>
      <c r="O58" s="93"/>
      <c r="P58" s="93"/>
      <c r="Q58" s="93"/>
      <c r="R58" s="93"/>
      <c r="S58" s="46"/>
      <c r="T58" s="46"/>
      <c r="U58" s="513"/>
      <c r="V58" s="513"/>
      <c r="W58" s="513"/>
      <c r="X58" s="513"/>
      <c r="Y58" s="513"/>
      <c r="Z58" s="513"/>
      <c r="AA58" s="513"/>
      <c r="AB58" s="513"/>
      <c r="AC58" s="513"/>
      <c r="AD58" s="513"/>
      <c r="AE58" s="513"/>
      <c r="AF58" s="513"/>
      <c r="AG58" s="513"/>
      <c r="AH58" s="513"/>
    </row>
  </sheetData>
  <mergeCells count="35">
    <mergeCell ref="A1:C1"/>
    <mergeCell ref="F2:I2"/>
    <mergeCell ref="A2:C2"/>
    <mergeCell ref="A4:C4"/>
    <mergeCell ref="D4:G4"/>
    <mergeCell ref="J4:L4"/>
    <mergeCell ref="M4:R4"/>
    <mergeCell ref="F3:I3"/>
    <mergeCell ref="A27:R27"/>
    <mergeCell ref="A28:R28"/>
    <mergeCell ref="M5:R5"/>
    <mergeCell ref="A8:R8"/>
    <mergeCell ref="A6:R6"/>
    <mergeCell ref="A7:R7"/>
    <mergeCell ref="A5:C5"/>
    <mergeCell ref="D5:G5"/>
    <mergeCell ref="H5:I5"/>
    <mergeCell ref="J5:L5"/>
    <mergeCell ref="H10:Q10"/>
    <mergeCell ref="A29:R29"/>
    <mergeCell ref="U55:AH58"/>
    <mergeCell ref="H9:Q9"/>
    <mergeCell ref="A23:R23"/>
    <mergeCell ref="A9:A13"/>
    <mergeCell ref="B9:B13"/>
    <mergeCell ref="C9:C13"/>
    <mergeCell ref="D9:D13"/>
    <mergeCell ref="A24:R24"/>
    <mergeCell ref="A25:R25"/>
    <mergeCell ref="A26:R26"/>
    <mergeCell ref="A22:C22"/>
    <mergeCell ref="E9:E13"/>
    <mergeCell ref="F9:F13"/>
    <mergeCell ref="G9:G13"/>
    <mergeCell ref="R9:R13"/>
  </mergeCells>
  <dataValidations count="3">
    <dataValidation type="list" allowBlank="1" showInputMessage="1" showErrorMessage="1" promptTitle="Choose Management" sqref="C20:C21">
      <formula1>$U$48:$U$50</formula1>
    </dataValidation>
    <dataValidation type="list" allowBlank="1" showInputMessage="1" showErrorMessage="1" promptTitle="Choose Management" sqref="C18:C19">
      <formula1>$U$44:$U$46</formula1>
    </dataValidation>
    <dataValidation type="list" allowBlank="1" showInputMessage="1" showErrorMessage="1" promptTitle="Choose Management" sqref="C16:C17">
      <formula1>$U$40:$U$42</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9137" r:id="rId3" name="Check Box 1">
              <controlPr defaultSize="0" autoFill="0" autoLine="0" autoPict="0">
                <anchor moveWithCells="1">
                  <from>
                    <xdr:col>3</xdr:col>
                    <xdr:colOff>196850</xdr:colOff>
                    <xdr:row>0</xdr:row>
                    <xdr:rowOff>19050</xdr:rowOff>
                  </from>
                  <to>
                    <xdr:col>4</xdr:col>
                    <xdr:colOff>133350</xdr:colOff>
                    <xdr:row>0</xdr:row>
                    <xdr:rowOff>158750</xdr:rowOff>
                  </to>
                </anchor>
              </controlPr>
            </control>
          </mc:Choice>
        </mc:AlternateContent>
        <mc:AlternateContent xmlns:mc="http://schemas.openxmlformats.org/markup-compatibility/2006">
          <mc:Choice Requires="x14">
            <control shapeId="219138" r:id="rId4" name="Check Box 2">
              <controlPr defaultSize="0" autoFill="0" autoLine="0" autoPict="0">
                <anchor moveWithCells="1">
                  <from>
                    <xdr:col>7</xdr:col>
                    <xdr:colOff>228600</xdr:colOff>
                    <xdr:row>0</xdr:row>
                    <xdr:rowOff>44450</xdr:rowOff>
                  </from>
                  <to>
                    <xdr:col>8</xdr:col>
                    <xdr:colOff>76200</xdr:colOff>
                    <xdr:row>0</xdr:row>
                    <xdr:rowOff>184150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1">
    <pageSetUpPr fitToPage="1"/>
  </sheetPr>
  <dimension ref="A1:AH65"/>
  <sheetViews>
    <sheetView topLeftCell="A6" zoomScale="56" zoomScaleNormal="56" workbookViewId="0">
      <selection activeCell="A8" sqref="A8:R8"/>
    </sheetView>
  </sheetViews>
  <sheetFormatPr defaultRowHeight="12.5"/>
  <cols>
    <col min="3" max="3" width="66.1796875" customWidth="1"/>
    <col min="4" max="4" width="12.7265625" customWidth="1"/>
    <col min="6" max="6" width="10.1796875" customWidth="1"/>
    <col min="7" max="7" width="11" customWidth="1"/>
    <col min="8" max="9" width="14.26953125" customWidth="1"/>
    <col min="10" max="10" width="17.26953125" customWidth="1"/>
    <col min="11" max="11" width="14" customWidth="1"/>
    <col min="12" max="12" width="14.26953125" customWidth="1"/>
    <col min="13" max="13" width="14.54296875" customWidth="1"/>
    <col min="14" max="14" width="6.1796875" customWidth="1"/>
    <col min="15" max="15" width="8.26953125" customWidth="1"/>
    <col min="16" max="17" width="5.81640625" customWidth="1"/>
    <col min="18" max="18" width="5.54296875" customWidth="1"/>
    <col min="19" max="19" width="5.54296875" style="46" customWidth="1"/>
    <col min="20" max="20" width="19.81640625" style="46" customWidth="1"/>
    <col min="21" max="21" width="66.26953125" customWidth="1"/>
    <col min="22" max="22" width="12.7265625" customWidth="1"/>
    <col min="25" max="25" width="9.1796875" customWidth="1"/>
  </cols>
  <sheetData>
    <row r="1" spans="1:20" ht="20.25" customHeight="1">
      <c r="A1" s="434" t="s">
        <v>366</v>
      </c>
      <c r="B1" s="435"/>
      <c r="C1" s="435"/>
      <c r="D1" s="144" t="s">
        <v>368</v>
      </c>
      <c r="E1" s="143"/>
      <c r="F1" s="143"/>
      <c r="G1" s="143"/>
      <c r="H1" s="145" t="s">
        <v>369</v>
      </c>
      <c r="I1" s="143"/>
      <c r="J1" s="143"/>
      <c r="K1" s="143"/>
      <c r="L1" s="143"/>
      <c r="M1" s="143"/>
      <c r="N1" s="143"/>
      <c r="O1" s="145" t="s">
        <v>367</v>
      </c>
      <c r="P1" s="143"/>
      <c r="Q1" s="143"/>
      <c r="R1" s="143"/>
      <c r="S1" s="184"/>
      <c r="T1" s="184"/>
    </row>
    <row r="2" spans="1:20" ht="20">
      <c r="A2" s="429" t="s">
        <v>363</v>
      </c>
      <c r="B2" s="430"/>
      <c r="C2" s="430"/>
      <c r="D2" s="136"/>
      <c r="E2" s="136"/>
      <c r="F2" s="425" t="s">
        <v>25</v>
      </c>
      <c r="G2" s="426"/>
      <c r="H2" s="426"/>
      <c r="I2" s="426"/>
      <c r="J2" s="136"/>
      <c r="K2" s="136"/>
      <c r="L2" s="136"/>
      <c r="M2" s="136"/>
      <c r="N2" s="262" t="s">
        <v>420</v>
      </c>
      <c r="O2" s="137" t="s">
        <v>364</v>
      </c>
      <c r="P2" s="138"/>
      <c r="Q2" s="139" t="s">
        <v>365</v>
      </c>
      <c r="R2" s="140"/>
      <c r="S2" s="175"/>
      <c r="T2" s="175"/>
    </row>
    <row r="3" spans="1:20" ht="19.5" customHeight="1">
      <c r="A3" s="141"/>
      <c r="B3" s="85"/>
      <c r="C3" s="85"/>
      <c r="D3" s="85"/>
      <c r="E3" s="85"/>
      <c r="F3" s="427" t="s">
        <v>26</v>
      </c>
      <c r="G3" s="428"/>
      <c r="H3" s="428"/>
      <c r="I3" s="428"/>
      <c r="J3" s="85"/>
      <c r="K3" s="85"/>
      <c r="L3" s="85"/>
      <c r="M3" s="85"/>
      <c r="N3" s="85"/>
      <c r="O3" s="17"/>
      <c r="P3" s="17"/>
      <c r="Q3" s="17"/>
      <c r="R3" s="142"/>
      <c r="S3" s="176"/>
      <c r="T3" s="176"/>
    </row>
    <row r="4" spans="1:20" ht="18" customHeight="1">
      <c r="A4" s="480" t="s">
        <v>386</v>
      </c>
      <c r="B4" s="483"/>
      <c r="C4" s="484"/>
      <c r="D4" s="490" t="s">
        <v>387</v>
      </c>
      <c r="E4" s="491"/>
      <c r="F4" s="491"/>
      <c r="G4" s="492"/>
      <c r="H4" s="320" t="s">
        <v>388</v>
      </c>
      <c r="I4" s="26"/>
      <c r="J4" s="480" t="s">
        <v>385</v>
      </c>
      <c r="K4" s="481"/>
      <c r="L4" s="482"/>
      <c r="M4" s="480" t="s">
        <v>389</v>
      </c>
      <c r="N4" s="483"/>
      <c r="O4" s="483"/>
      <c r="P4" s="483"/>
      <c r="Q4" s="483"/>
      <c r="R4" s="484"/>
      <c r="S4" s="177"/>
      <c r="T4" s="177"/>
    </row>
    <row r="5" spans="1:20"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c r="S5" s="178"/>
      <c r="T5" s="178"/>
    </row>
    <row r="6" spans="1:20">
      <c r="A6" s="466"/>
      <c r="B6" s="466"/>
      <c r="C6" s="466"/>
      <c r="D6" s="466"/>
      <c r="E6" s="466"/>
      <c r="F6" s="466"/>
      <c r="G6" s="466"/>
      <c r="H6" s="466"/>
      <c r="I6" s="466"/>
      <c r="J6" s="466"/>
      <c r="K6" s="466"/>
      <c r="L6" s="466"/>
      <c r="M6" s="466"/>
      <c r="N6" s="466"/>
      <c r="O6" s="466"/>
      <c r="P6" s="466"/>
      <c r="Q6" s="466"/>
      <c r="R6" s="466"/>
      <c r="S6" s="179"/>
      <c r="T6" s="179"/>
    </row>
    <row r="7" spans="1:20" ht="129" customHeight="1">
      <c r="A7" s="467" t="s">
        <v>510</v>
      </c>
      <c r="B7" s="468"/>
      <c r="C7" s="468"/>
      <c r="D7" s="468"/>
      <c r="E7" s="468"/>
      <c r="F7" s="468"/>
      <c r="G7" s="468"/>
      <c r="H7" s="468"/>
      <c r="I7" s="468"/>
      <c r="J7" s="468"/>
      <c r="K7" s="468"/>
      <c r="L7" s="468"/>
      <c r="M7" s="468"/>
      <c r="N7" s="468"/>
      <c r="O7" s="468"/>
      <c r="P7" s="468"/>
      <c r="Q7" s="468"/>
      <c r="R7" s="469"/>
      <c r="S7" s="180"/>
      <c r="T7" s="180"/>
    </row>
    <row r="8" spans="1:20" ht="14">
      <c r="A8" s="470"/>
      <c r="B8" s="470"/>
      <c r="C8" s="470"/>
      <c r="D8" s="470"/>
      <c r="E8" s="470"/>
      <c r="F8" s="470"/>
      <c r="G8" s="470"/>
      <c r="H8" s="470"/>
      <c r="I8" s="470"/>
      <c r="J8" s="470"/>
      <c r="K8" s="470"/>
      <c r="L8" s="470"/>
      <c r="M8" s="470"/>
      <c r="N8" s="470"/>
      <c r="O8" s="470"/>
      <c r="P8" s="470"/>
      <c r="Q8" s="470"/>
      <c r="R8" s="470"/>
      <c r="S8" s="173"/>
      <c r="T8" s="173"/>
    </row>
    <row r="9" spans="1:20">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c r="S9" s="181"/>
      <c r="T9" s="181"/>
    </row>
    <row r="10" spans="1:20" ht="15" customHeight="1">
      <c r="A10" s="453"/>
      <c r="B10" s="453"/>
      <c r="C10" s="499"/>
      <c r="D10" s="475"/>
      <c r="E10" s="478"/>
      <c r="F10" s="453"/>
      <c r="G10" s="453"/>
      <c r="H10" s="455" t="s">
        <v>306</v>
      </c>
      <c r="I10" s="408"/>
      <c r="J10" s="408"/>
      <c r="K10" s="408"/>
      <c r="L10" s="408"/>
      <c r="M10" s="408"/>
      <c r="N10" s="408"/>
      <c r="O10" s="408"/>
      <c r="P10" s="408"/>
      <c r="Q10" s="409"/>
      <c r="R10" s="453"/>
    </row>
    <row r="11" spans="1:20">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20" ht="15.75" customHeight="1">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20"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20" ht="17.5">
      <c r="A14" s="161">
        <v>8</v>
      </c>
      <c r="B14" s="161">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61">
        <v>34</v>
      </c>
      <c r="S14" s="52"/>
      <c r="T14" s="52"/>
    </row>
    <row r="15" spans="1:20" ht="17.5">
      <c r="A15" s="12"/>
      <c r="B15" s="347"/>
      <c r="C15" s="206" t="s">
        <v>87</v>
      </c>
      <c r="D15" s="308"/>
      <c r="E15" s="297" t="s">
        <v>20</v>
      </c>
      <c r="F15" s="231">
        <f>'Component List'!D58</f>
        <v>0</v>
      </c>
      <c r="G15" s="287">
        <v>50</v>
      </c>
      <c r="H15" s="231">
        <f>D15*F15*G15/100</f>
        <v>0</v>
      </c>
      <c r="I15" s="298"/>
      <c r="J15" s="298"/>
      <c r="K15" s="298"/>
      <c r="L15" s="298"/>
      <c r="M15" s="298"/>
      <c r="N15" s="28"/>
      <c r="O15" s="28"/>
      <c r="P15" s="28"/>
      <c r="Q15" s="28"/>
      <c r="R15" s="13"/>
      <c r="S15" s="182"/>
      <c r="T15" s="182"/>
    </row>
    <row r="16" spans="1:20" ht="17.5">
      <c r="A16" s="12"/>
      <c r="B16" s="347"/>
      <c r="C16" s="206" t="s">
        <v>408</v>
      </c>
      <c r="D16" s="308"/>
      <c r="E16" s="297" t="s">
        <v>20</v>
      </c>
      <c r="F16" s="231">
        <f>'Component List'!D65</f>
        <v>720.74</v>
      </c>
      <c r="G16" s="282">
        <v>50</v>
      </c>
      <c r="H16" s="231">
        <f>D16*F16*G16/100</f>
        <v>0</v>
      </c>
      <c r="I16" s="231"/>
      <c r="J16" s="231"/>
      <c r="K16" s="231"/>
      <c r="L16" s="231"/>
      <c r="M16" s="231"/>
      <c r="N16" s="28"/>
      <c r="O16" s="28"/>
      <c r="P16" s="28"/>
      <c r="Q16" s="28"/>
      <c r="R16" s="13"/>
      <c r="S16" s="182"/>
      <c r="T16" s="182"/>
    </row>
    <row r="17" spans="1:34" s="93" customFormat="1" ht="17.5">
      <c r="A17" s="12"/>
      <c r="B17" s="347"/>
      <c r="C17" s="206" t="s">
        <v>4</v>
      </c>
      <c r="D17" s="308"/>
      <c r="E17" s="297" t="s">
        <v>20</v>
      </c>
      <c r="F17" s="231">
        <f>'Component List'!D28</f>
        <v>94.14</v>
      </c>
      <c r="G17" s="282">
        <v>50</v>
      </c>
      <c r="H17" s="231">
        <f t="shared" ref="H17:H24" si="0">D17*F17*G17/100</f>
        <v>0</v>
      </c>
      <c r="I17" s="231"/>
      <c r="J17" s="231"/>
      <c r="K17" s="231"/>
      <c r="L17" s="231"/>
      <c r="M17" s="231"/>
      <c r="N17" s="28"/>
      <c r="O17" s="28"/>
      <c r="P17" s="28"/>
      <c r="Q17" s="28"/>
      <c r="R17" s="13"/>
      <c r="S17" s="182"/>
      <c r="T17" s="182"/>
    </row>
    <row r="18" spans="1:34" s="93" customFormat="1" ht="17.5">
      <c r="A18" s="12"/>
      <c r="B18" s="347"/>
      <c r="C18" s="206" t="s">
        <v>407</v>
      </c>
      <c r="D18" s="308"/>
      <c r="E18" s="297" t="s">
        <v>20</v>
      </c>
      <c r="F18" s="231">
        <f>'Component List'!D2</f>
        <v>1.6399999999999997</v>
      </c>
      <c r="G18" s="282">
        <v>50</v>
      </c>
      <c r="H18" s="231">
        <f t="shared" si="0"/>
        <v>0</v>
      </c>
      <c r="I18" s="231"/>
      <c r="J18" s="231"/>
      <c r="K18" s="231"/>
      <c r="L18" s="231"/>
      <c r="M18" s="231"/>
      <c r="N18" s="28"/>
      <c r="O18" s="28"/>
      <c r="P18" s="28"/>
      <c r="Q18" s="28"/>
      <c r="R18" s="13"/>
      <c r="S18" s="182"/>
      <c r="T18" s="182"/>
    </row>
    <row r="19" spans="1:34" s="93" customFormat="1" ht="17.5">
      <c r="A19" s="12"/>
      <c r="B19" s="347"/>
      <c r="C19" s="206" t="s">
        <v>406</v>
      </c>
      <c r="D19" s="308"/>
      <c r="E19" s="297" t="s">
        <v>20</v>
      </c>
      <c r="F19" s="231">
        <f>'Component List'!D3</f>
        <v>0</v>
      </c>
      <c r="G19" s="282">
        <v>50</v>
      </c>
      <c r="H19" s="231">
        <f t="shared" si="0"/>
        <v>0</v>
      </c>
      <c r="I19" s="231"/>
      <c r="J19" s="231"/>
      <c r="K19" s="231"/>
      <c r="L19" s="231"/>
      <c r="M19" s="231"/>
      <c r="N19" s="28"/>
      <c r="O19" s="28"/>
      <c r="P19" s="28"/>
      <c r="Q19" s="28"/>
      <c r="R19" s="13"/>
      <c r="S19" s="182"/>
      <c r="T19" s="182"/>
    </row>
    <row r="20" spans="1:34" s="93" customFormat="1" ht="17.5">
      <c r="A20" s="12"/>
      <c r="B20" s="347"/>
      <c r="C20" s="206" t="s">
        <v>405</v>
      </c>
      <c r="D20" s="308"/>
      <c r="E20" s="297" t="s">
        <v>20</v>
      </c>
      <c r="F20" s="231">
        <f>'Component List'!D4</f>
        <v>80.06</v>
      </c>
      <c r="G20" s="282">
        <v>50</v>
      </c>
      <c r="H20" s="231">
        <f t="shared" si="0"/>
        <v>0</v>
      </c>
      <c r="I20" s="231"/>
      <c r="J20" s="231"/>
      <c r="K20" s="231"/>
      <c r="L20" s="231"/>
      <c r="M20" s="231"/>
      <c r="N20" s="28"/>
      <c r="O20" s="28"/>
      <c r="P20" s="28"/>
      <c r="Q20" s="28"/>
      <c r="R20" s="13"/>
      <c r="S20" s="182"/>
      <c r="T20" s="182"/>
    </row>
    <row r="21" spans="1:34" s="93" customFormat="1" ht="17.5">
      <c r="A21" s="12"/>
      <c r="B21" s="347"/>
      <c r="C21" s="206" t="s">
        <v>230</v>
      </c>
      <c r="D21" s="308"/>
      <c r="E21" s="297" t="s">
        <v>20</v>
      </c>
      <c r="F21" s="231">
        <f>'Component List'!D5</f>
        <v>62.6</v>
      </c>
      <c r="G21" s="282">
        <v>50</v>
      </c>
      <c r="H21" s="231">
        <f t="shared" si="0"/>
        <v>0</v>
      </c>
      <c r="I21" s="231"/>
      <c r="J21" s="231"/>
      <c r="K21" s="231"/>
      <c r="L21" s="231"/>
      <c r="M21" s="231"/>
      <c r="N21" s="28"/>
      <c r="O21" s="28"/>
      <c r="P21" s="28"/>
      <c r="Q21" s="28"/>
      <c r="R21" s="13"/>
      <c r="S21" s="182"/>
      <c r="T21" s="182"/>
    </row>
    <row r="22" spans="1:34" s="93" customFormat="1" ht="17.5">
      <c r="A22" s="12"/>
      <c r="B22" s="347"/>
      <c r="C22" s="207" t="s">
        <v>412</v>
      </c>
      <c r="D22" s="308"/>
      <c r="E22" s="297" t="s">
        <v>20</v>
      </c>
      <c r="F22" s="231">
        <f>'Component List'!D16</f>
        <v>84.42</v>
      </c>
      <c r="G22" s="282">
        <v>50</v>
      </c>
      <c r="H22" s="231">
        <f t="shared" si="0"/>
        <v>0</v>
      </c>
      <c r="I22" s="231"/>
      <c r="J22" s="231"/>
      <c r="K22" s="231"/>
      <c r="L22" s="231"/>
      <c r="M22" s="231"/>
      <c r="N22" s="28"/>
      <c r="O22" s="28"/>
      <c r="P22" s="28"/>
      <c r="Q22" s="28"/>
      <c r="R22" s="13"/>
      <c r="S22" s="182"/>
      <c r="T22" s="182"/>
    </row>
    <row r="23" spans="1:34" s="93" customFormat="1" ht="17.25" customHeight="1">
      <c r="A23" s="12"/>
      <c r="B23" s="347"/>
      <c r="C23" s="305" t="s">
        <v>163</v>
      </c>
      <c r="D23" s="308"/>
      <c r="E23" s="297" t="s">
        <v>20</v>
      </c>
      <c r="F23" s="231">
        <f>'Component List'!D15</f>
        <v>21.78</v>
      </c>
      <c r="G23" s="282">
        <v>50</v>
      </c>
      <c r="H23" s="231">
        <f t="shared" si="0"/>
        <v>0</v>
      </c>
      <c r="I23" s="231"/>
      <c r="J23" s="231"/>
      <c r="K23" s="231"/>
      <c r="L23" s="231"/>
      <c r="M23" s="231"/>
      <c r="N23" s="28"/>
      <c r="O23" s="28"/>
      <c r="P23" s="28"/>
      <c r="Q23" s="28"/>
      <c r="R23" s="13"/>
      <c r="S23" s="182"/>
      <c r="T23" s="182"/>
    </row>
    <row r="24" spans="1:34" s="93" customFormat="1" ht="15.75" customHeight="1">
      <c r="A24" s="12"/>
      <c r="B24" s="347"/>
      <c r="C24" s="305" t="s">
        <v>286</v>
      </c>
      <c r="D24" s="308"/>
      <c r="E24" s="297" t="s">
        <v>20</v>
      </c>
      <c r="F24" s="231">
        <f>'Component List'!D36</f>
        <v>75.36</v>
      </c>
      <c r="G24" s="282">
        <v>50</v>
      </c>
      <c r="H24" s="231">
        <f t="shared" si="0"/>
        <v>0</v>
      </c>
      <c r="I24" s="231"/>
      <c r="J24" s="231"/>
      <c r="K24" s="231"/>
      <c r="L24" s="231"/>
      <c r="M24" s="231"/>
      <c r="N24" s="28"/>
      <c r="O24" s="28"/>
      <c r="P24" s="28"/>
      <c r="Q24" s="28"/>
      <c r="R24" s="13"/>
      <c r="S24" s="182"/>
      <c r="T24" s="182"/>
    </row>
    <row r="25" spans="1:34" ht="17.5">
      <c r="A25" s="12"/>
      <c r="B25" s="347"/>
      <c r="C25" s="307" t="s">
        <v>188</v>
      </c>
      <c r="D25" s="308"/>
      <c r="E25" s="299" t="s">
        <v>20</v>
      </c>
      <c r="F25" s="231">
        <f>(VLOOKUP(C25,U51:V53,2,TRUE))*1</f>
        <v>0</v>
      </c>
      <c r="G25" s="287">
        <v>50</v>
      </c>
      <c r="H25" s="231"/>
      <c r="I25" s="301"/>
      <c r="J25" s="231">
        <f>D25*F25*G25/100</f>
        <v>0</v>
      </c>
      <c r="K25" s="231"/>
      <c r="L25" s="231"/>
      <c r="M25" s="300"/>
      <c r="N25" s="28"/>
      <c r="O25" s="28"/>
      <c r="P25" s="28"/>
      <c r="Q25" s="28"/>
      <c r="R25" s="13"/>
      <c r="S25" s="182"/>
      <c r="T25" s="182"/>
    </row>
    <row r="26" spans="1:34" ht="17.5">
      <c r="A26" s="12"/>
      <c r="B26" s="347"/>
      <c r="C26" s="307" t="s">
        <v>188</v>
      </c>
      <c r="D26" s="308"/>
      <c r="E26" s="299" t="s">
        <v>20</v>
      </c>
      <c r="F26" s="231">
        <f>(VLOOKUP(C26,U51:V53,2,TRUE))*1</f>
        <v>0</v>
      </c>
      <c r="G26" s="287">
        <v>50</v>
      </c>
      <c r="H26" s="231"/>
      <c r="I26" s="301"/>
      <c r="J26" s="231"/>
      <c r="K26" s="231">
        <f>D26*F26*G26/100</f>
        <v>0</v>
      </c>
      <c r="L26" s="231"/>
      <c r="M26" s="300"/>
      <c r="N26" s="28"/>
      <c r="O26" s="28"/>
      <c r="P26" s="28"/>
      <c r="Q26" s="28"/>
      <c r="R26" s="13"/>
      <c r="S26" s="182"/>
      <c r="T26" s="182"/>
    </row>
    <row r="27" spans="1:34" ht="17.5">
      <c r="A27" s="35"/>
      <c r="B27" s="349"/>
      <c r="C27" s="307" t="s">
        <v>189</v>
      </c>
      <c r="D27" s="308"/>
      <c r="E27" s="299" t="s">
        <v>20</v>
      </c>
      <c r="F27" s="231">
        <f>(VLOOKUP(C27,U55:V57,2,TRUE))*1</f>
        <v>0</v>
      </c>
      <c r="G27" s="287">
        <v>50</v>
      </c>
      <c r="H27" s="292"/>
      <c r="I27" s="301"/>
      <c r="J27" s="292"/>
      <c r="K27" s="292"/>
      <c r="L27" s="292">
        <f>D27*F27*G27/100</f>
        <v>0</v>
      </c>
      <c r="M27" s="302"/>
      <c r="N27" s="68"/>
      <c r="O27" s="68"/>
      <c r="P27" s="68"/>
      <c r="Q27" s="68"/>
      <c r="R27" s="43"/>
      <c r="S27" s="183"/>
      <c r="T27" s="183"/>
    </row>
    <row r="28" spans="1:34" ht="17.5">
      <c r="A28" s="12"/>
      <c r="B28" s="347"/>
      <c r="C28" s="307" t="s">
        <v>189</v>
      </c>
      <c r="D28" s="308"/>
      <c r="E28" s="299" t="s">
        <v>20</v>
      </c>
      <c r="F28" s="231">
        <f>(VLOOKUP(C28,U55:V57,2,TRUE))*1</f>
        <v>0</v>
      </c>
      <c r="G28" s="287">
        <v>50</v>
      </c>
      <c r="H28" s="231"/>
      <c r="I28" s="303"/>
      <c r="J28" s="231"/>
      <c r="K28" s="231"/>
      <c r="L28" s="231"/>
      <c r="M28" s="304">
        <f>D28*F28*G28/100</f>
        <v>0</v>
      </c>
      <c r="N28" s="28"/>
      <c r="O28" s="28"/>
      <c r="P28" s="28"/>
      <c r="Q28" s="28"/>
      <c r="R28" s="13"/>
      <c r="S28" s="182"/>
      <c r="T28" s="182"/>
    </row>
    <row r="29" spans="1:34" ht="15.5">
      <c r="A29" s="456" t="s">
        <v>89</v>
      </c>
      <c r="B29" s="457"/>
      <c r="C29" s="458"/>
      <c r="D29" s="286"/>
      <c r="E29" s="280"/>
      <c r="F29" s="265"/>
      <c r="G29" s="281"/>
      <c r="H29" s="271">
        <f>SUM(H15:H28)</f>
        <v>0</v>
      </c>
      <c r="I29" s="271">
        <f t="shared" ref="I29:M29" si="1">SUM(I15:I28)</f>
        <v>0</v>
      </c>
      <c r="J29" s="271">
        <f t="shared" si="1"/>
        <v>0</v>
      </c>
      <c r="K29" s="271">
        <f t="shared" si="1"/>
        <v>0</v>
      </c>
      <c r="L29" s="271">
        <f t="shared" si="1"/>
        <v>0</v>
      </c>
      <c r="M29" s="271">
        <f t="shared" si="1"/>
        <v>0</v>
      </c>
      <c r="N29" s="23"/>
      <c r="O29" s="23"/>
      <c r="P29" s="23"/>
      <c r="Q29" s="23"/>
      <c r="R29" s="25"/>
      <c r="S29" s="185"/>
      <c r="T29" s="186"/>
      <c r="U29" s="208"/>
      <c r="V29" s="340"/>
      <c r="W29" s="93"/>
      <c r="X29" s="93"/>
      <c r="Y29" s="93"/>
      <c r="Z29" s="93"/>
      <c r="AA29" s="93"/>
      <c r="AB29" s="93"/>
      <c r="AC29" s="93"/>
      <c r="AD29" s="93"/>
      <c r="AE29" s="93"/>
      <c r="AF29" s="93"/>
      <c r="AG29" s="93"/>
      <c r="AH29" s="93"/>
    </row>
    <row r="30" spans="1:34" ht="33.75" customHeight="1">
      <c r="A30" s="496" t="str">
        <f>IF(U60,U62,"")</f>
        <v/>
      </c>
      <c r="B30" s="497"/>
      <c r="C30" s="497"/>
      <c r="D30" s="497"/>
      <c r="E30" s="497"/>
      <c r="F30" s="497"/>
      <c r="G30" s="497"/>
      <c r="H30" s="497"/>
      <c r="I30" s="497"/>
      <c r="J30" s="497"/>
      <c r="K30" s="497"/>
      <c r="L30" s="497"/>
      <c r="M30" s="497"/>
      <c r="N30" s="497"/>
      <c r="O30" s="497"/>
      <c r="P30" s="497"/>
      <c r="Q30" s="497"/>
      <c r="R30" s="497"/>
      <c r="S30" s="47"/>
      <c r="T30" s="47"/>
      <c r="U30" s="46"/>
      <c r="V30" s="46"/>
      <c r="W30" s="93"/>
      <c r="X30" s="93"/>
      <c r="Y30" s="93"/>
      <c r="Z30" s="93"/>
      <c r="AA30" s="93"/>
      <c r="AB30" s="93"/>
      <c r="AC30" s="93"/>
      <c r="AD30" s="93"/>
      <c r="AE30" s="93"/>
      <c r="AF30" s="93"/>
      <c r="AG30" s="93"/>
      <c r="AH30" s="93"/>
    </row>
    <row r="31" spans="1:34" ht="15.5">
      <c r="A31" s="401" t="s">
        <v>262</v>
      </c>
      <c r="B31" s="402"/>
      <c r="C31" s="402"/>
      <c r="D31" s="402"/>
      <c r="E31" s="402"/>
      <c r="F31" s="402"/>
      <c r="G31" s="402"/>
      <c r="H31" s="402"/>
      <c r="I31" s="402"/>
      <c r="J31" s="402"/>
      <c r="K31" s="402"/>
      <c r="L31" s="402"/>
      <c r="M31" s="402"/>
      <c r="N31" s="402"/>
      <c r="O31" s="402"/>
      <c r="P31" s="402"/>
      <c r="Q31" s="402"/>
      <c r="R31" s="403"/>
      <c r="S31" s="187"/>
      <c r="T31" s="187"/>
      <c r="U31" s="208"/>
      <c r="V31" s="340"/>
      <c r="W31" s="93"/>
      <c r="X31" s="93"/>
      <c r="Y31" s="93"/>
      <c r="Z31" s="93"/>
      <c r="AA31" s="93"/>
      <c r="AB31" s="93"/>
      <c r="AC31" s="93"/>
      <c r="AD31" s="93"/>
      <c r="AE31" s="93"/>
      <c r="AF31" s="93"/>
      <c r="AG31" s="93"/>
      <c r="AH31" s="93"/>
    </row>
    <row r="32" spans="1:34" ht="53.25" customHeight="1">
      <c r="A32" s="393" t="s">
        <v>434</v>
      </c>
      <c r="B32" s="394"/>
      <c r="C32" s="394"/>
      <c r="D32" s="394"/>
      <c r="E32" s="394"/>
      <c r="F32" s="394"/>
      <c r="G32" s="394"/>
      <c r="H32" s="394"/>
      <c r="I32" s="394"/>
      <c r="J32" s="394"/>
      <c r="K32" s="394"/>
      <c r="L32" s="394"/>
      <c r="M32" s="394"/>
      <c r="N32" s="394"/>
      <c r="O32" s="394"/>
      <c r="P32" s="394"/>
      <c r="Q32" s="394"/>
      <c r="R32" s="395"/>
      <c r="S32" s="188"/>
      <c r="T32" s="188"/>
      <c r="U32" s="208"/>
      <c r="V32" s="340"/>
      <c r="W32" s="93"/>
      <c r="X32" s="93"/>
      <c r="Y32" s="93"/>
      <c r="Z32" s="93"/>
      <c r="AA32" s="93"/>
      <c r="AB32" s="93"/>
      <c r="AC32" s="93"/>
      <c r="AD32" s="93"/>
      <c r="AE32" s="93"/>
      <c r="AF32" s="93"/>
      <c r="AG32" s="93"/>
      <c r="AH32" s="93"/>
    </row>
    <row r="33" spans="1:34" ht="15.5">
      <c r="A33" s="460" t="s">
        <v>390</v>
      </c>
      <c r="B33" s="461"/>
      <c r="C33" s="461"/>
      <c r="D33" s="461"/>
      <c r="E33" s="461"/>
      <c r="F33" s="461"/>
      <c r="G33" s="461"/>
      <c r="H33" s="461"/>
      <c r="I33" s="461"/>
      <c r="J33" s="461"/>
      <c r="K33" s="461"/>
      <c r="L33" s="461"/>
      <c r="M33" s="461"/>
      <c r="N33" s="461"/>
      <c r="O33" s="461"/>
      <c r="P33" s="461"/>
      <c r="Q33" s="461"/>
      <c r="R33" s="462"/>
      <c r="S33" s="52"/>
      <c r="T33" s="52"/>
      <c r="W33" s="93"/>
      <c r="X33" s="93"/>
      <c r="Y33" s="93"/>
      <c r="Z33" s="93"/>
      <c r="AA33" s="93"/>
      <c r="AB33" s="93"/>
      <c r="AC33" s="93"/>
      <c r="AD33" s="93"/>
      <c r="AE33" s="93"/>
      <c r="AF33" s="93"/>
      <c r="AG33" s="93"/>
      <c r="AH33" s="93"/>
    </row>
    <row r="34" spans="1:34" ht="54" customHeight="1">
      <c r="A34" s="463" t="s">
        <v>392</v>
      </c>
      <c r="B34" s="464"/>
      <c r="C34" s="464"/>
      <c r="D34" s="464"/>
      <c r="E34" s="464"/>
      <c r="F34" s="464"/>
      <c r="G34" s="464"/>
      <c r="H34" s="464"/>
      <c r="I34" s="464"/>
      <c r="J34" s="464"/>
      <c r="K34" s="464"/>
      <c r="L34" s="464"/>
      <c r="M34" s="464"/>
      <c r="N34" s="464"/>
      <c r="O34" s="464"/>
      <c r="P34" s="464"/>
      <c r="Q34" s="464"/>
      <c r="R34" s="465"/>
      <c r="S34" s="189"/>
      <c r="T34" s="189"/>
      <c r="U34" s="11"/>
      <c r="W34" s="93"/>
      <c r="X34" s="93"/>
      <c r="Y34" s="93"/>
      <c r="Z34" s="93"/>
      <c r="AA34" s="93"/>
      <c r="AB34" s="93"/>
      <c r="AC34" s="93"/>
      <c r="AD34" s="93"/>
      <c r="AE34" s="93"/>
      <c r="AF34" s="93"/>
      <c r="AG34" s="93"/>
      <c r="AH34" s="93"/>
    </row>
    <row r="35" spans="1:34" ht="15.5">
      <c r="A35" s="413" t="s">
        <v>221</v>
      </c>
      <c r="B35" s="414"/>
      <c r="C35" s="414"/>
      <c r="D35" s="414"/>
      <c r="E35" s="414"/>
      <c r="F35" s="414"/>
      <c r="G35" s="414"/>
      <c r="H35" s="414"/>
      <c r="I35" s="414"/>
      <c r="J35" s="414"/>
      <c r="K35" s="414"/>
      <c r="L35" s="414"/>
      <c r="M35" s="414"/>
      <c r="N35" s="414"/>
      <c r="O35" s="414"/>
      <c r="P35" s="414"/>
      <c r="Q35" s="414"/>
      <c r="R35" s="415"/>
      <c r="S35" s="187"/>
      <c r="T35" s="187"/>
      <c r="W35" s="93"/>
      <c r="X35" s="93"/>
      <c r="Y35" s="93"/>
      <c r="Z35" s="93"/>
      <c r="AA35" s="93"/>
      <c r="AB35" s="93"/>
      <c r="AC35" s="93"/>
      <c r="AD35" s="93"/>
      <c r="AE35" s="93"/>
      <c r="AF35" s="93"/>
      <c r="AG35" s="93"/>
      <c r="AH35" s="93"/>
    </row>
    <row r="36" spans="1:34" ht="63.75" customHeight="1">
      <c r="A36" s="396" t="s">
        <v>370</v>
      </c>
      <c r="B36" s="397"/>
      <c r="C36" s="397"/>
      <c r="D36" s="397"/>
      <c r="E36" s="397"/>
      <c r="F36" s="397"/>
      <c r="G36" s="397"/>
      <c r="H36" s="397"/>
      <c r="I36" s="397"/>
      <c r="J36" s="397"/>
      <c r="K36" s="397"/>
      <c r="L36" s="397"/>
      <c r="M36" s="397"/>
      <c r="N36" s="397"/>
      <c r="O36" s="397"/>
      <c r="P36" s="397"/>
      <c r="Q36" s="397"/>
      <c r="R36" s="398"/>
      <c r="S36" s="190"/>
      <c r="T36" s="190"/>
      <c r="U36" s="208"/>
      <c r="V36" s="340"/>
      <c r="W36" s="93"/>
      <c r="X36" s="93"/>
      <c r="Y36" s="93"/>
      <c r="Z36" s="93"/>
      <c r="AA36" s="93"/>
      <c r="AB36" s="93"/>
      <c r="AC36" s="93"/>
      <c r="AD36" s="93"/>
      <c r="AE36" s="93"/>
      <c r="AF36" s="93"/>
      <c r="AG36" s="93"/>
      <c r="AH36" s="93"/>
    </row>
    <row r="37" spans="1:34" ht="15.5">
      <c r="U37" s="26"/>
      <c r="V37" s="93"/>
      <c r="W37" s="93"/>
      <c r="X37" s="93"/>
      <c r="Y37" s="93"/>
      <c r="Z37" s="93"/>
      <c r="AA37" s="93"/>
      <c r="AB37" s="93"/>
      <c r="AC37" s="93"/>
      <c r="AD37" s="93"/>
      <c r="AE37" s="93"/>
      <c r="AF37" s="93"/>
      <c r="AG37" s="93"/>
      <c r="AH37" s="93"/>
    </row>
    <row r="38" spans="1:34" ht="15.5">
      <c r="U38" s="26"/>
      <c r="V38" s="93"/>
      <c r="W38" s="93"/>
      <c r="X38" s="93"/>
      <c r="Y38" s="93"/>
      <c r="Z38" s="93"/>
      <c r="AA38" s="93"/>
      <c r="AB38" s="93"/>
      <c r="AC38" s="93"/>
      <c r="AD38" s="93"/>
      <c r="AE38" s="93"/>
      <c r="AF38" s="93"/>
      <c r="AG38" s="93"/>
      <c r="AH38" s="93"/>
    </row>
    <row r="39" spans="1:34">
      <c r="W39" s="93"/>
      <c r="X39" s="93"/>
      <c r="Y39" s="93"/>
      <c r="Z39" s="93"/>
      <c r="AA39" s="93"/>
      <c r="AB39" s="93"/>
      <c r="AC39" s="93"/>
      <c r="AD39" s="93"/>
      <c r="AE39" s="93"/>
      <c r="AF39" s="93"/>
      <c r="AG39" s="93"/>
      <c r="AH39" s="93"/>
    </row>
    <row r="40" spans="1:34" ht="15.5">
      <c r="U40" s="208"/>
      <c r="V40" s="340"/>
      <c r="W40" s="93"/>
      <c r="X40" s="93"/>
      <c r="Y40" s="93"/>
      <c r="Z40" s="93"/>
      <c r="AA40" s="93"/>
      <c r="AB40" s="93"/>
      <c r="AC40" s="93"/>
      <c r="AD40" s="93"/>
      <c r="AE40" s="93"/>
      <c r="AF40" s="93"/>
      <c r="AG40" s="93"/>
      <c r="AH40" s="93"/>
    </row>
    <row r="41" spans="1:34">
      <c r="U41" s="46"/>
      <c r="V41" s="46"/>
      <c r="W41" s="93"/>
      <c r="X41" s="93"/>
      <c r="Y41" s="93"/>
      <c r="Z41" s="93"/>
      <c r="AA41" s="93"/>
      <c r="AB41" s="93"/>
      <c r="AC41" s="93"/>
      <c r="AD41" s="93"/>
      <c r="AE41" s="93"/>
      <c r="AF41" s="93"/>
      <c r="AG41" s="93"/>
      <c r="AH41" s="93"/>
    </row>
    <row r="42" spans="1:34" ht="15.5">
      <c r="U42" s="208"/>
      <c r="V42" s="340"/>
      <c r="W42" s="93"/>
      <c r="X42" s="93"/>
      <c r="Y42" s="93"/>
      <c r="Z42" s="93"/>
      <c r="AA42" s="93"/>
      <c r="AB42" s="93"/>
      <c r="AC42" s="93"/>
      <c r="AD42" s="93"/>
      <c r="AE42" s="93"/>
      <c r="AF42" s="93"/>
      <c r="AG42" s="93"/>
      <c r="AH42" s="93"/>
    </row>
    <row r="43" spans="1:34" ht="15.5">
      <c r="U43" s="208"/>
      <c r="V43" s="340"/>
      <c r="W43" s="93"/>
      <c r="X43" s="93"/>
      <c r="Y43" s="93"/>
      <c r="Z43" s="93"/>
      <c r="AA43" s="93"/>
      <c r="AB43" s="93"/>
      <c r="AC43" s="93"/>
      <c r="AD43" s="93"/>
      <c r="AE43" s="93"/>
      <c r="AF43" s="93"/>
      <c r="AG43" s="93"/>
      <c r="AH43" s="93"/>
    </row>
    <row r="44" spans="1:34" ht="15.5">
      <c r="U44" s="208"/>
      <c r="V44" s="340"/>
      <c r="W44" s="93"/>
      <c r="X44" s="93"/>
      <c r="Y44" s="93"/>
      <c r="Z44" s="93"/>
      <c r="AA44" s="93"/>
      <c r="AB44" s="93"/>
      <c r="AC44" s="93"/>
      <c r="AD44" s="93"/>
      <c r="AE44" s="93"/>
      <c r="AF44" s="93"/>
      <c r="AG44" s="93"/>
      <c r="AH44" s="93"/>
    </row>
    <row r="45" spans="1:34" ht="15.5">
      <c r="U45" s="208"/>
      <c r="V45" s="340"/>
      <c r="W45" s="93"/>
      <c r="X45" s="93"/>
      <c r="Y45" s="93"/>
      <c r="Z45" s="93"/>
      <c r="AA45" s="93"/>
      <c r="AB45" s="93"/>
      <c r="AC45" s="93"/>
      <c r="AD45" s="93"/>
      <c r="AE45" s="93"/>
      <c r="AF45" s="93"/>
      <c r="AG45" s="93"/>
      <c r="AH45" s="93"/>
    </row>
    <row r="46" spans="1:34">
      <c r="W46" s="93"/>
      <c r="X46" s="93"/>
      <c r="Y46" s="93"/>
      <c r="Z46" s="93"/>
      <c r="AA46" s="93"/>
      <c r="AB46" s="93"/>
      <c r="AC46" s="93"/>
      <c r="AD46" s="93"/>
      <c r="AE46" s="93"/>
      <c r="AF46" s="93"/>
      <c r="AG46" s="93"/>
      <c r="AH46" s="93"/>
    </row>
    <row r="47" spans="1:34" ht="15.5">
      <c r="U47" s="208" t="s">
        <v>91</v>
      </c>
      <c r="V47" s="202">
        <v>0</v>
      </c>
      <c r="W47" s="93"/>
      <c r="X47" s="93"/>
      <c r="Y47" s="93"/>
      <c r="Z47" s="93"/>
      <c r="AA47" s="93"/>
      <c r="AB47" s="93"/>
      <c r="AC47" s="93"/>
      <c r="AD47" s="93"/>
      <c r="AE47" s="93"/>
      <c r="AF47" s="93"/>
      <c r="AG47" s="93"/>
      <c r="AH47" s="93"/>
    </row>
    <row r="48" spans="1:34" ht="15.5">
      <c r="U48" s="201" t="s">
        <v>254</v>
      </c>
      <c r="V48" s="342">
        <f>'Component List'!D19</f>
        <v>100</v>
      </c>
      <c r="W48" s="93"/>
      <c r="X48" s="93"/>
      <c r="Y48" s="93"/>
      <c r="Z48" s="93"/>
      <c r="AA48" s="93"/>
      <c r="AB48" s="93"/>
      <c r="AC48" s="93"/>
      <c r="AD48" s="93"/>
      <c r="AE48" s="93"/>
      <c r="AF48" s="93"/>
      <c r="AG48" s="93"/>
      <c r="AH48" s="93"/>
    </row>
    <row r="49" spans="21:34" ht="15.5">
      <c r="U49" s="201" t="s">
        <v>256</v>
      </c>
      <c r="V49" s="306">
        <f>'Component List'!D26</f>
        <v>100</v>
      </c>
      <c r="W49" s="93"/>
      <c r="X49" s="93"/>
      <c r="Y49" s="93"/>
      <c r="Z49" s="93"/>
      <c r="AA49" s="93"/>
      <c r="AB49" s="93"/>
      <c r="AC49" s="93"/>
      <c r="AD49" s="93"/>
      <c r="AE49" s="93"/>
      <c r="AF49" s="93"/>
      <c r="AG49" s="93"/>
      <c r="AH49" s="93"/>
    </row>
    <row r="50" spans="21:34">
      <c r="W50" s="93"/>
      <c r="X50" s="93"/>
      <c r="Y50" s="93"/>
      <c r="Z50" s="93"/>
      <c r="AA50" s="93"/>
      <c r="AB50" s="93"/>
      <c r="AC50" s="93"/>
      <c r="AD50" s="93"/>
      <c r="AE50" s="93"/>
      <c r="AF50" s="93"/>
      <c r="AG50" s="93"/>
      <c r="AH50" s="93"/>
    </row>
    <row r="51" spans="21:34" ht="15.5">
      <c r="U51" s="208" t="s">
        <v>188</v>
      </c>
      <c r="V51" s="202">
        <v>0</v>
      </c>
      <c r="W51" s="93"/>
      <c r="X51" s="93"/>
      <c r="Y51" s="93"/>
      <c r="Z51" s="93"/>
      <c r="AA51" s="93"/>
      <c r="AB51" s="93"/>
      <c r="AC51" s="93"/>
      <c r="AD51" s="93"/>
      <c r="AE51" s="93"/>
      <c r="AF51" s="93"/>
      <c r="AG51" s="93"/>
      <c r="AH51" s="93"/>
    </row>
    <row r="52" spans="21:34" ht="15.5">
      <c r="U52" s="201" t="s">
        <v>257</v>
      </c>
      <c r="V52" s="306">
        <f>'Component List'!D19</f>
        <v>100</v>
      </c>
      <c r="W52" s="93"/>
      <c r="X52" s="93"/>
      <c r="Y52" s="93"/>
      <c r="Z52" s="93"/>
      <c r="AA52" s="93"/>
      <c r="AB52" s="93"/>
      <c r="AC52" s="93"/>
      <c r="AD52" s="93"/>
      <c r="AE52" s="93"/>
      <c r="AF52" s="93"/>
      <c r="AG52" s="93"/>
      <c r="AH52" s="93"/>
    </row>
    <row r="53" spans="21:34" ht="15.5">
      <c r="U53" s="201" t="s">
        <v>258</v>
      </c>
      <c r="V53" s="306">
        <f>'Component List'!D26</f>
        <v>100</v>
      </c>
      <c r="W53" s="93"/>
      <c r="X53" s="93"/>
      <c r="Y53" s="93"/>
      <c r="Z53" s="93"/>
      <c r="AA53" s="93"/>
      <c r="AB53" s="93"/>
      <c r="AC53" s="93"/>
      <c r="AD53" s="93"/>
      <c r="AE53" s="93"/>
      <c r="AF53" s="93"/>
      <c r="AG53" s="93"/>
      <c r="AH53" s="93"/>
    </row>
    <row r="54" spans="21:34" ht="15.5">
      <c r="U54" s="208"/>
      <c r="V54" s="340"/>
      <c r="W54" s="93"/>
      <c r="X54" s="93"/>
      <c r="Y54" s="93"/>
      <c r="Z54" s="93"/>
      <c r="AA54" s="93"/>
      <c r="AB54" s="93"/>
      <c r="AC54" s="93"/>
      <c r="AD54" s="93"/>
      <c r="AE54" s="93"/>
      <c r="AF54" s="93"/>
      <c r="AG54" s="93"/>
      <c r="AH54" s="93"/>
    </row>
    <row r="55" spans="21:34" ht="15.5">
      <c r="U55" s="208" t="s">
        <v>189</v>
      </c>
      <c r="V55" s="202">
        <v>0</v>
      </c>
      <c r="W55" s="93"/>
      <c r="X55" s="93"/>
      <c r="Y55" s="93"/>
      <c r="Z55" s="93"/>
      <c r="AA55" s="93"/>
      <c r="AB55" s="93"/>
      <c r="AC55" s="93"/>
      <c r="AD55" s="93"/>
      <c r="AE55" s="93"/>
      <c r="AF55" s="93"/>
      <c r="AG55" s="93"/>
      <c r="AH55" s="93"/>
    </row>
    <row r="56" spans="21:34" ht="15.5">
      <c r="U56" s="201" t="s">
        <v>259</v>
      </c>
      <c r="V56" s="306">
        <f>'Component List'!D19</f>
        <v>100</v>
      </c>
      <c r="W56" s="93"/>
      <c r="X56" s="93"/>
      <c r="Y56" s="93"/>
      <c r="Z56" s="93"/>
      <c r="AA56" s="93"/>
      <c r="AB56" s="93"/>
      <c r="AC56" s="93"/>
      <c r="AD56" s="93"/>
      <c r="AE56" s="93"/>
      <c r="AF56" s="93"/>
      <c r="AG56" s="93"/>
      <c r="AH56" s="93"/>
    </row>
    <row r="57" spans="21:34" ht="15.5">
      <c r="U57" s="201" t="s">
        <v>260</v>
      </c>
      <c r="V57" s="306">
        <f>'Component List'!D26</f>
        <v>100</v>
      </c>
      <c r="W57" s="93"/>
      <c r="X57" s="93"/>
      <c r="Y57" s="93"/>
      <c r="Z57" s="93"/>
      <c r="AA57" s="93"/>
      <c r="AB57" s="93"/>
      <c r="AC57" s="93"/>
      <c r="AD57" s="93"/>
      <c r="AE57" s="93"/>
      <c r="AF57" s="93"/>
      <c r="AG57" s="93"/>
      <c r="AH57" s="93"/>
    </row>
    <row r="58" spans="21:34" ht="15.5">
      <c r="U58" s="208"/>
      <c r="V58" s="340"/>
      <c r="W58" s="93"/>
      <c r="X58" s="93"/>
      <c r="Y58" s="93"/>
      <c r="Z58" s="93"/>
      <c r="AA58" s="93"/>
      <c r="AB58" s="93"/>
      <c r="AC58" s="93"/>
      <c r="AD58" s="93"/>
      <c r="AE58" s="93"/>
      <c r="AF58" s="93"/>
      <c r="AG58" s="93"/>
      <c r="AH58" s="93"/>
    </row>
    <row r="59" spans="21:34">
      <c r="U59" s="93"/>
      <c r="V59" s="93"/>
      <c r="W59" s="93"/>
      <c r="X59" s="93"/>
      <c r="Y59" s="93"/>
      <c r="Z59" s="93"/>
      <c r="AA59" s="93"/>
      <c r="AB59" s="93"/>
      <c r="AC59" s="93"/>
      <c r="AD59" s="93"/>
      <c r="AE59" s="93"/>
      <c r="AF59" s="93"/>
      <c r="AG59" s="93"/>
      <c r="AH59" s="93"/>
    </row>
    <row r="60" spans="21:34">
      <c r="U60" s="93" t="b">
        <f>OR(C25=U52,C25=U53,C26=U52,C26=U53,C27=U56,C27=U57,C28=U56,C28=U57,)</f>
        <v>0</v>
      </c>
      <c r="V60" s="93"/>
      <c r="W60" s="93"/>
      <c r="X60" s="93"/>
      <c r="Y60" s="93"/>
      <c r="Z60" s="93"/>
      <c r="AA60" s="93"/>
      <c r="AB60" s="93"/>
      <c r="AC60" s="93"/>
      <c r="AD60" s="93"/>
      <c r="AE60" s="93"/>
      <c r="AF60" s="93"/>
      <c r="AG60" s="93"/>
      <c r="AH60" s="93"/>
    </row>
    <row r="61" spans="21:34">
      <c r="U61" s="93"/>
      <c r="V61" s="93"/>
      <c r="W61" s="93"/>
      <c r="X61" s="93"/>
      <c r="Y61" s="93"/>
      <c r="Z61" s="93"/>
      <c r="AA61" s="93"/>
      <c r="AB61" s="93"/>
      <c r="AC61" s="93"/>
      <c r="AD61" s="93"/>
      <c r="AE61" s="93"/>
      <c r="AF61" s="93"/>
      <c r="AG61" s="93"/>
      <c r="AH61" s="93"/>
    </row>
    <row r="62" spans="21:34">
      <c r="U62" s="512" t="s">
        <v>253</v>
      </c>
      <c r="V62" s="512"/>
      <c r="W62" s="512"/>
      <c r="X62" s="512"/>
      <c r="Y62" s="512"/>
      <c r="Z62" s="512"/>
      <c r="AA62" s="512"/>
      <c r="AB62" s="512"/>
      <c r="AC62" s="512"/>
      <c r="AD62" s="512"/>
      <c r="AE62" s="512"/>
      <c r="AF62" s="512"/>
      <c r="AG62" s="512"/>
      <c r="AH62" s="512"/>
    </row>
    <row r="63" spans="21:34">
      <c r="U63" s="512"/>
      <c r="V63" s="512"/>
      <c r="W63" s="512"/>
      <c r="X63" s="512"/>
      <c r="Y63" s="512"/>
      <c r="Z63" s="512"/>
      <c r="AA63" s="512"/>
      <c r="AB63" s="512"/>
      <c r="AC63" s="512"/>
      <c r="AD63" s="512"/>
      <c r="AE63" s="512"/>
      <c r="AF63" s="512"/>
      <c r="AG63" s="512"/>
      <c r="AH63" s="512"/>
    </row>
    <row r="64" spans="21:34">
      <c r="U64" s="512"/>
      <c r="V64" s="512"/>
      <c r="W64" s="512"/>
      <c r="X64" s="512"/>
      <c r="Y64" s="512"/>
      <c r="Z64" s="512"/>
      <c r="AA64" s="512"/>
      <c r="AB64" s="512"/>
      <c r="AC64" s="512"/>
      <c r="AD64" s="512"/>
      <c r="AE64" s="512"/>
      <c r="AF64" s="512"/>
      <c r="AG64" s="512"/>
      <c r="AH64" s="512"/>
    </row>
    <row r="65" spans="21:34">
      <c r="U65" s="513"/>
      <c r="V65" s="513"/>
      <c r="W65" s="513"/>
      <c r="X65" s="513"/>
      <c r="Y65" s="513"/>
      <c r="Z65" s="513"/>
      <c r="AA65" s="513"/>
      <c r="AB65" s="513"/>
      <c r="AC65" s="513"/>
      <c r="AD65" s="513"/>
      <c r="AE65" s="513"/>
      <c r="AF65" s="513"/>
      <c r="AG65" s="513"/>
      <c r="AH65" s="513"/>
    </row>
  </sheetData>
  <mergeCells count="35">
    <mergeCell ref="A33:R33"/>
    <mergeCell ref="A34:R34"/>
    <mergeCell ref="A35:R35"/>
    <mergeCell ref="A36:R36"/>
    <mergeCell ref="U62:AH65"/>
    <mergeCell ref="A32:R32"/>
    <mergeCell ref="A6:R6"/>
    <mergeCell ref="A7:R7"/>
    <mergeCell ref="A8:R8"/>
    <mergeCell ref="A9:A13"/>
    <mergeCell ref="B9:B13"/>
    <mergeCell ref="C9:C13"/>
    <mergeCell ref="D9:D13"/>
    <mergeCell ref="E9:E13"/>
    <mergeCell ref="F9:F13"/>
    <mergeCell ref="G9:G13"/>
    <mergeCell ref="H9:Q9"/>
    <mergeCell ref="R9:R13"/>
    <mergeCell ref="H10:Q10"/>
    <mergeCell ref="A29:C29"/>
    <mergeCell ref="A31:R31"/>
    <mergeCell ref="A30:R30"/>
    <mergeCell ref="A1:C1"/>
    <mergeCell ref="A2:C2"/>
    <mergeCell ref="F2:I2"/>
    <mergeCell ref="F3:I3"/>
    <mergeCell ref="A4:C4"/>
    <mergeCell ref="D4:G4"/>
    <mergeCell ref="J4:L4"/>
    <mergeCell ref="M4:R4"/>
    <mergeCell ref="A5:C5"/>
    <mergeCell ref="D5:G5"/>
    <mergeCell ref="H5:I5"/>
    <mergeCell ref="J5:L5"/>
    <mergeCell ref="M5:R5"/>
  </mergeCells>
  <dataValidations count="2">
    <dataValidation type="list" allowBlank="1" showInputMessage="1" showErrorMessage="1" promptTitle="Choose Management" sqref="C27:C28">
      <formula1>$U$55:$U$57</formula1>
    </dataValidation>
    <dataValidation type="list" allowBlank="1" showInputMessage="1" showErrorMessage="1" promptTitle="Choose Management" sqref="C25:C26">
      <formula1>$U$51:$U$53</formula1>
    </dataValidation>
  </dataValidations>
  <pageMargins left="0.18" right="0.21" top="0.51" bottom="0.5" header="0.3" footer="0.3"/>
  <pageSetup scale="56"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heck Box 1">
              <controlPr defaultSize="0" autoFill="0" autoLine="0" autoPict="0">
                <anchor moveWithCells="1">
                  <from>
                    <xdr:col>3</xdr:col>
                    <xdr:colOff>190500</xdr:colOff>
                    <xdr:row>0</xdr:row>
                    <xdr:rowOff>12700</xdr:rowOff>
                  </from>
                  <to>
                    <xdr:col>3</xdr:col>
                    <xdr:colOff>393700</xdr:colOff>
                    <xdr:row>0</xdr:row>
                    <xdr:rowOff>158750</xdr:rowOff>
                  </to>
                </anchor>
              </controlPr>
            </control>
          </mc:Choice>
        </mc:AlternateContent>
        <mc:AlternateContent xmlns:mc="http://schemas.openxmlformats.org/markup-compatibility/2006">
          <mc:Choice Requires="x14">
            <control shapeId="16386" r:id="rId5" name="Check Box 2">
              <controlPr defaultSize="0" autoFill="0" autoLine="0" autoPict="0">
                <anchor moveWithCells="1">
                  <from>
                    <xdr:col>7</xdr:col>
                    <xdr:colOff>234950</xdr:colOff>
                    <xdr:row>0</xdr:row>
                    <xdr:rowOff>31750</xdr:rowOff>
                  </from>
                  <to>
                    <xdr:col>8</xdr:col>
                    <xdr:colOff>158750</xdr:colOff>
                    <xdr:row>1</xdr:row>
                    <xdr:rowOff>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pageSetUpPr fitToPage="1"/>
  </sheetPr>
  <dimension ref="A1:R29"/>
  <sheetViews>
    <sheetView zoomScale="50" zoomScaleNormal="50" workbookViewId="0">
      <selection activeCell="B16" sqref="B16:B18"/>
    </sheetView>
  </sheetViews>
  <sheetFormatPr defaultRowHeight="12.5"/>
  <cols>
    <col min="1" max="1" width="11.1796875" customWidth="1"/>
    <col min="3" max="3" width="32.81640625" customWidth="1"/>
    <col min="4" max="4" width="47.453125" customWidth="1"/>
    <col min="5" max="5" width="12.26953125" customWidth="1"/>
    <col min="7" max="7" width="16.26953125" customWidth="1"/>
    <col min="8" max="8" width="22.26953125" customWidth="1"/>
    <col min="9" max="9" width="11.453125" customWidth="1"/>
    <col min="14" max="14" width="6" customWidth="1"/>
    <col min="15" max="15" width="7.453125" customWidth="1"/>
    <col min="16" max="17" width="6" customWidth="1"/>
    <col min="18" max="18" width="8.81640625" customWidth="1"/>
  </cols>
  <sheetData>
    <row r="1" spans="1:18" s="93" customFormat="1"/>
    <row r="2" spans="1:18" ht="18" customHeight="1">
      <c r="A2" s="434" t="s">
        <v>366</v>
      </c>
      <c r="B2" s="435"/>
      <c r="C2" s="435"/>
      <c r="D2" s="144" t="s">
        <v>368</v>
      </c>
      <c r="E2" s="143"/>
      <c r="F2" s="143"/>
      <c r="G2" s="143"/>
      <c r="H2" s="145" t="s">
        <v>369</v>
      </c>
      <c r="I2" s="143"/>
      <c r="J2" s="143"/>
      <c r="K2" s="143"/>
      <c r="L2" s="143"/>
      <c r="M2" s="143"/>
      <c r="N2" s="143"/>
      <c r="O2" s="145" t="s">
        <v>367</v>
      </c>
      <c r="P2" s="143"/>
      <c r="Q2" s="143"/>
      <c r="R2" s="143"/>
    </row>
    <row r="3" spans="1:18" ht="20.25" customHeight="1">
      <c r="A3" s="429" t="s">
        <v>363</v>
      </c>
      <c r="B3" s="430"/>
      <c r="C3" s="430"/>
      <c r="D3" s="136"/>
      <c r="E3" s="425" t="s">
        <v>401</v>
      </c>
      <c r="F3" s="504"/>
      <c r="G3" s="504"/>
      <c r="H3" s="504"/>
      <c r="I3" s="504"/>
      <c r="J3" s="504"/>
      <c r="K3" s="504"/>
      <c r="L3" s="504"/>
      <c r="M3" s="136"/>
      <c r="N3" s="262" t="s">
        <v>420</v>
      </c>
      <c r="O3" s="139" t="s">
        <v>364</v>
      </c>
      <c r="P3" s="138"/>
      <c r="Q3" s="139" t="s">
        <v>365</v>
      </c>
      <c r="R3" s="140"/>
    </row>
    <row r="4" spans="1:18" ht="20.25" customHeight="1">
      <c r="A4" s="141"/>
      <c r="B4" s="85"/>
      <c r="C4" s="85"/>
      <c r="D4" s="85"/>
      <c r="E4" s="85"/>
      <c r="F4" s="427" t="s">
        <v>402</v>
      </c>
      <c r="G4" s="428"/>
      <c r="H4" s="428"/>
      <c r="I4" s="428"/>
      <c r="J4" s="428"/>
      <c r="K4" s="85"/>
      <c r="L4" s="85"/>
      <c r="M4" s="85"/>
      <c r="N4" s="85"/>
      <c r="O4" s="17"/>
      <c r="P4" s="17"/>
      <c r="Q4" s="17"/>
      <c r="R4" s="142"/>
    </row>
    <row r="5" spans="1:18" ht="50.25" customHeight="1">
      <c r="A5" s="516" t="s">
        <v>392</v>
      </c>
      <c r="B5" s="517"/>
      <c r="C5" s="517"/>
      <c r="D5" s="517"/>
      <c r="E5" s="517"/>
      <c r="F5" s="517"/>
      <c r="G5" s="517"/>
      <c r="H5" s="517"/>
      <c r="I5" s="517"/>
      <c r="J5" s="517"/>
      <c r="K5" s="517"/>
      <c r="L5" s="517"/>
      <c r="M5" s="517"/>
      <c r="N5" s="517"/>
      <c r="O5" s="517"/>
      <c r="P5" s="517"/>
      <c r="Q5" s="517"/>
      <c r="R5" s="518"/>
    </row>
    <row r="6" spans="1:18" ht="23.25" customHeight="1">
      <c r="A6" s="169" t="s">
        <v>338</v>
      </c>
      <c r="B6" s="119"/>
      <c r="C6" s="120"/>
      <c r="D6" s="121" t="s">
        <v>337</v>
      </c>
      <c r="E6" s="122"/>
      <c r="F6" s="122"/>
      <c r="G6" s="169" t="s">
        <v>336</v>
      </c>
      <c r="H6" s="169" t="s">
        <v>357</v>
      </c>
      <c r="I6" s="119"/>
      <c r="J6" s="119"/>
      <c r="K6" s="119"/>
      <c r="L6" s="119"/>
      <c r="M6" s="436" t="s">
        <v>403</v>
      </c>
      <c r="N6" s="420"/>
      <c r="O6" s="420"/>
      <c r="P6" s="420"/>
      <c r="Q6" s="420"/>
      <c r="R6" s="421"/>
    </row>
    <row r="7" spans="1:18" ht="21.75" customHeight="1">
      <c r="A7" s="441">
        <f>'CRPSignature Page'!A8:C8</f>
        <v>0</v>
      </c>
      <c r="B7" s="439"/>
      <c r="C7" s="440"/>
      <c r="D7" s="441">
        <f>'CRPSignature Page'!D8:F8</f>
        <v>0</v>
      </c>
      <c r="E7" s="439"/>
      <c r="F7" s="440"/>
      <c r="G7" s="254" t="s">
        <v>228</v>
      </c>
      <c r="H7" s="128" t="s">
        <v>358</v>
      </c>
      <c r="I7" s="438">
        <f>'CRPSignature Page'!I8:J8</f>
        <v>0</v>
      </c>
      <c r="J7" s="438"/>
      <c r="K7" s="439"/>
      <c r="L7" s="170"/>
      <c r="M7" s="437" t="s">
        <v>404</v>
      </c>
      <c r="N7" s="408"/>
      <c r="O7" s="408"/>
      <c r="P7" s="438"/>
      <c r="Q7" s="514"/>
      <c r="R7" s="515"/>
    </row>
    <row r="8" spans="1:18" ht="15">
      <c r="A8" s="124"/>
      <c r="B8" s="124"/>
      <c r="C8" s="399"/>
      <c r="D8" s="400"/>
      <c r="E8" s="124"/>
      <c r="F8" s="88"/>
      <c r="G8" s="124"/>
      <c r="H8" s="419" t="s">
        <v>340</v>
      </c>
      <c r="I8" s="420"/>
      <c r="J8" s="420"/>
      <c r="K8" s="420"/>
      <c r="L8" s="420"/>
      <c r="M8" s="420"/>
      <c r="N8" s="420"/>
      <c r="O8" s="420"/>
      <c r="P8" s="420"/>
      <c r="Q8" s="420"/>
      <c r="R8" s="421"/>
    </row>
    <row r="9" spans="1:18" ht="15.5">
      <c r="A9" s="133" t="s">
        <v>343</v>
      </c>
      <c r="B9" s="133" t="s">
        <v>27</v>
      </c>
      <c r="C9" s="422" t="s">
        <v>344</v>
      </c>
      <c r="D9" s="412"/>
      <c r="E9" s="134" t="s">
        <v>349</v>
      </c>
      <c r="F9" s="135" t="s">
        <v>350</v>
      </c>
      <c r="G9" s="134" t="s">
        <v>353</v>
      </c>
      <c r="H9" s="431" t="s">
        <v>341</v>
      </c>
      <c r="I9" s="432"/>
      <c r="J9" s="432"/>
      <c r="K9" s="432"/>
      <c r="L9" s="432"/>
      <c r="M9" s="432"/>
      <c r="N9" s="432"/>
      <c r="O9" s="432"/>
      <c r="P9" s="432"/>
      <c r="Q9" s="432"/>
      <c r="R9" s="433"/>
    </row>
    <row r="10" spans="1:18" ht="14.25" customHeight="1">
      <c r="A10" s="171" t="s">
        <v>28</v>
      </c>
      <c r="B10" s="117"/>
      <c r="C10" s="423" t="s">
        <v>345</v>
      </c>
      <c r="D10" s="424"/>
      <c r="E10" s="125" t="s">
        <v>347</v>
      </c>
      <c r="F10" s="123" t="s">
        <v>351</v>
      </c>
      <c r="G10" s="125" t="s">
        <v>354</v>
      </c>
      <c r="H10" s="416" t="s">
        <v>342</v>
      </c>
      <c r="I10" s="417"/>
      <c r="J10" s="417"/>
      <c r="K10" s="417"/>
      <c r="L10" s="417"/>
      <c r="M10" s="417"/>
      <c r="N10" s="417"/>
      <c r="O10" s="417"/>
      <c r="P10" s="417"/>
      <c r="Q10" s="417"/>
      <c r="R10" s="418"/>
    </row>
    <row r="11" spans="1:18" ht="15.5">
      <c r="A11" s="146"/>
      <c r="B11" s="104"/>
      <c r="C11" s="411" t="s">
        <v>346</v>
      </c>
      <c r="D11" s="412"/>
      <c r="E11" s="126" t="s">
        <v>348</v>
      </c>
      <c r="F11" s="126" t="s">
        <v>352</v>
      </c>
      <c r="G11" s="132" t="s">
        <v>355</v>
      </c>
      <c r="H11" s="404"/>
      <c r="I11" s="405"/>
      <c r="J11" s="405"/>
      <c r="K11" s="405"/>
      <c r="L11" s="405"/>
      <c r="M11" s="405"/>
      <c r="N11" s="405"/>
      <c r="O11" s="405"/>
      <c r="P11" s="405"/>
      <c r="Q11" s="405"/>
      <c r="R11" s="406"/>
    </row>
    <row r="12" spans="1:18" ht="13">
      <c r="A12" s="172"/>
      <c r="B12" s="172"/>
      <c r="C12" s="93"/>
      <c r="D12" s="112"/>
      <c r="E12" s="172"/>
      <c r="F12" s="93"/>
      <c r="G12" s="153" t="s">
        <v>356</v>
      </c>
      <c r="H12" s="114">
        <v>14</v>
      </c>
      <c r="I12" s="115">
        <v>15</v>
      </c>
      <c r="J12" s="115">
        <v>16</v>
      </c>
      <c r="K12" s="115">
        <v>17</v>
      </c>
      <c r="L12" s="115">
        <v>18</v>
      </c>
      <c r="M12" s="115">
        <v>19</v>
      </c>
      <c r="N12" s="115">
        <v>20</v>
      </c>
      <c r="O12" s="115">
        <v>21</v>
      </c>
      <c r="P12" s="115">
        <v>22</v>
      </c>
      <c r="Q12" s="115">
        <v>23</v>
      </c>
      <c r="R12" s="103" t="s">
        <v>9</v>
      </c>
    </row>
    <row r="13" spans="1:18">
      <c r="A13" s="104"/>
      <c r="B13" s="104"/>
      <c r="C13" s="105"/>
      <c r="D13" s="106"/>
      <c r="E13" s="104"/>
      <c r="F13" s="104"/>
      <c r="G13" s="104"/>
      <c r="H13" s="152" t="s">
        <v>339</v>
      </c>
      <c r="I13" s="152" t="s">
        <v>339</v>
      </c>
      <c r="J13" s="152" t="s">
        <v>339</v>
      </c>
      <c r="K13" s="152" t="s">
        <v>339</v>
      </c>
      <c r="L13" s="152" t="s">
        <v>339</v>
      </c>
      <c r="M13" s="152" t="s">
        <v>339</v>
      </c>
      <c r="N13" s="152" t="s">
        <v>339</v>
      </c>
      <c r="O13" s="152" t="s">
        <v>339</v>
      </c>
      <c r="P13" s="152" t="s">
        <v>339</v>
      </c>
      <c r="Q13" s="152" t="s">
        <v>339</v>
      </c>
      <c r="R13" s="104"/>
    </row>
    <row r="14" spans="1:18" ht="18.75" customHeight="1">
      <c r="A14" s="107"/>
      <c r="B14" s="107"/>
      <c r="C14" s="108"/>
      <c r="D14" s="109"/>
      <c r="E14" s="107"/>
      <c r="F14" s="107"/>
      <c r="G14" s="107"/>
      <c r="H14" s="260"/>
      <c r="I14" s="260"/>
      <c r="J14" s="260"/>
      <c r="K14" s="260"/>
      <c r="L14" s="260"/>
      <c r="M14" s="260"/>
      <c r="N14" s="261"/>
      <c r="O14" s="330"/>
      <c r="P14" s="330"/>
      <c r="Q14" s="127"/>
      <c r="R14" s="107"/>
    </row>
    <row r="15" spans="1:18" ht="21">
      <c r="A15" s="147">
        <v>8</v>
      </c>
      <c r="B15" s="148">
        <v>9</v>
      </c>
      <c r="C15" s="526">
        <v>10</v>
      </c>
      <c r="D15" s="527"/>
      <c r="E15" s="147">
        <v>11</v>
      </c>
      <c r="F15" s="150">
        <v>12</v>
      </c>
      <c r="G15" s="151">
        <v>13</v>
      </c>
      <c r="H15" s="150">
        <v>24</v>
      </c>
      <c r="I15" s="150">
        <v>25</v>
      </c>
      <c r="J15" s="150">
        <v>26</v>
      </c>
      <c r="K15" s="150">
        <v>27</v>
      </c>
      <c r="L15" s="150">
        <v>28</v>
      </c>
      <c r="M15" s="150">
        <v>29</v>
      </c>
      <c r="N15" s="150">
        <v>30</v>
      </c>
      <c r="O15" s="150">
        <v>31</v>
      </c>
      <c r="P15" s="150">
        <v>32</v>
      </c>
      <c r="Q15" s="150">
        <v>33</v>
      </c>
      <c r="R15" s="147">
        <v>34</v>
      </c>
    </row>
    <row r="16" spans="1:18" ht="63.75" customHeight="1">
      <c r="A16" s="321"/>
      <c r="B16" s="352"/>
      <c r="C16" s="532"/>
      <c r="D16" s="533"/>
      <c r="E16" s="323"/>
      <c r="F16" s="323"/>
      <c r="G16" s="323" t="s">
        <v>24</v>
      </c>
      <c r="H16" s="324"/>
      <c r="I16" s="324"/>
      <c r="J16" s="324"/>
      <c r="K16" s="324"/>
      <c r="L16" s="324"/>
      <c r="M16" s="324"/>
      <c r="N16" s="324"/>
      <c r="O16" s="325"/>
      <c r="P16" s="325"/>
      <c r="Q16" s="194"/>
      <c r="R16" s="193"/>
    </row>
    <row r="17" spans="1:18" ht="60.75" customHeight="1">
      <c r="A17" s="321"/>
      <c r="B17" s="353"/>
      <c r="C17" s="522"/>
      <c r="D17" s="523"/>
      <c r="E17" s="323"/>
      <c r="F17" s="323"/>
      <c r="G17" s="323"/>
      <c r="H17" s="323"/>
      <c r="I17" s="323"/>
      <c r="J17" s="323"/>
      <c r="K17" s="323"/>
      <c r="L17" s="323"/>
      <c r="M17" s="323"/>
      <c r="N17" s="323"/>
      <c r="O17" s="323"/>
      <c r="P17" s="323"/>
      <c r="Q17" s="193"/>
      <c r="R17" s="193"/>
    </row>
    <row r="18" spans="1:18" ht="80.25" customHeight="1">
      <c r="A18" s="322"/>
      <c r="B18" s="354"/>
      <c r="C18" s="524"/>
      <c r="D18" s="525"/>
      <c r="E18" s="326"/>
      <c r="F18" s="327"/>
      <c r="G18" s="328"/>
      <c r="H18" s="329"/>
      <c r="I18" s="329"/>
      <c r="J18" s="329"/>
      <c r="K18" s="329"/>
      <c r="L18" s="329"/>
      <c r="M18" s="329"/>
      <c r="N18" s="329"/>
      <c r="O18" s="327"/>
      <c r="P18" s="327"/>
      <c r="Q18" s="195"/>
      <c r="R18" s="196"/>
    </row>
    <row r="19" spans="1:18" ht="17.5">
      <c r="A19" s="221" t="s">
        <v>361</v>
      </c>
      <c r="B19" s="130"/>
      <c r="C19" s="130"/>
      <c r="D19" s="130"/>
      <c r="E19" s="130"/>
      <c r="F19" s="130"/>
      <c r="G19" s="130"/>
      <c r="H19" s="130"/>
      <c r="I19" s="130"/>
      <c r="J19" s="130"/>
      <c r="K19" s="130"/>
      <c r="L19" s="130"/>
      <c r="M19" s="130"/>
      <c r="N19" s="130"/>
      <c r="O19" s="130"/>
      <c r="P19" s="130"/>
      <c r="Q19" s="130"/>
      <c r="R19" s="131"/>
    </row>
    <row r="20" spans="1:18" ht="15.5">
      <c r="A20" s="222" t="s">
        <v>377</v>
      </c>
      <c r="B20" s="255"/>
      <c r="C20" s="256"/>
      <c r="D20" s="225" t="s">
        <v>378</v>
      </c>
      <c r="E20" s="222" t="s">
        <v>379</v>
      </c>
      <c r="F20" s="255"/>
      <c r="G20" s="255"/>
      <c r="H20" s="255"/>
      <c r="I20" s="222" t="s">
        <v>380</v>
      </c>
      <c r="J20" s="256"/>
      <c r="K20" s="222" t="s">
        <v>381</v>
      </c>
      <c r="L20" s="255"/>
      <c r="M20" s="255"/>
      <c r="N20" s="255"/>
      <c r="O20" s="26"/>
      <c r="P20" s="222" t="s">
        <v>382</v>
      </c>
      <c r="Q20" s="255"/>
      <c r="R20" s="331"/>
    </row>
    <row r="21" spans="1:18" ht="39" customHeight="1">
      <c r="A21" s="332"/>
      <c r="B21" s="257"/>
      <c r="C21" s="257"/>
      <c r="D21" s="333"/>
      <c r="E21" s="257"/>
      <c r="F21" s="257"/>
      <c r="G21" s="257"/>
      <c r="H21" s="211"/>
      <c r="I21" s="528"/>
      <c r="J21" s="530"/>
      <c r="K21" s="257"/>
      <c r="L21" s="211"/>
      <c r="M21" s="211"/>
      <c r="N21" s="257"/>
      <c r="O21" s="26"/>
      <c r="P21" s="531"/>
      <c r="Q21" s="529"/>
      <c r="R21" s="530"/>
    </row>
    <row r="22" spans="1:18" ht="15.75" customHeight="1">
      <c r="A22" s="221" t="s">
        <v>362</v>
      </c>
      <c r="B22" s="130"/>
      <c r="C22" s="130"/>
      <c r="D22" s="130"/>
      <c r="E22" s="130"/>
      <c r="F22" s="130"/>
      <c r="G22" s="130"/>
      <c r="H22" s="130"/>
      <c r="I22" s="130"/>
      <c r="J22" s="130"/>
      <c r="K22" s="130"/>
      <c r="L22" s="130"/>
      <c r="M22" s="130"/>
      <c r="N22" s="130"/>
      <c r="O22" s="130"/>
      <c r="P22" s="130"/>
      <c r="Q22" s="130"/>
      <c r="R22" s="131"/>
    </row>
    <row r="23" spans="1:18" ht="23.25" customHeight="1">
      <c r="A23" s="334" t="s">
        <v>376</v>
      </c>
      <c r="B23" s="227"/>
      <c r="C23" s="227"/>
      <c r="D23" s="228"/>
      <c r="E23" s="255"/>
      <c r="F23" s="255"/>
      <c r="G23" s="255"/>
      <c r="H23" s="335" t="s">
        <v>378</v>
      </c>
      <c r="I23" s="334" t="s">
        <v>413</v>
      </c>
      <c r="J23" s="222"/>
      <c r="K23" s="255"/>
      <c r="L23" s="255"/>
      <c r="M23" s="255"/>
      <c r="N23" s="255"/>
      <c r="O23" s="334" t="s">
        <v>380</v>
      </c>
      <c r="P23" s="26"/>
      <c r="Q23" s="255"/>
      <c r="R23" s="331"/>
    </row>
    <row r="24" spans="1:18" ht="18.75" customHeight="1">
      <c r="A24" s="199" t="s">
        <v>209</v>
      </c>
      <c r="B24" s="211"/>
      <c r="C24" s="211"/>
      <c r="D24" s="26"/>
      <c r="E24" s="211"/>
      <c r="F24" s="211"/>
      <c r="G24" s="211"/>
      <c r="H24" s="333"/>
      <c r="I24" s="199" t="s">
        <v>209</v>
      </c>
      <c r="J24" s="336"/>
      <c r="K24" s="211"/>
      <c r="L24" s="211"/>
      <c r="M24" s="211"/>
      <c r="N24" s="211"/>
      <c r="O24" s="528"/>
      <c r="P24" s="529"/>
      <c r="Q24" s="529"/>
      <c r="R24" s="530"/>
    </row>
    <row r="25" spans="1:18">
      <c r="A25" s="168"/>
      <c r="B25" s="168"/>
      <c r="C25" s="168"/>
      <c r="D25" s="168"/>
      <c r="E25" s="168"/>
      <c r="F25" s="168"/>
      <c r="G25" s="168"/>
      <c r="H25" s="168"/>
      <c r="I25" s="168"/>
      <c r="J25" s="168"/>
      <c r="K25" s="168"/>
      <c r="L25" s="168"/>
      <c r="M25" s="168"/>
      <c r="N25" s="168"/>
      <c r="O25" s="168"/>
      <c r="P25" s="168"/>
      <c r="Q25" s="168"/>
      <c r="R25" s="168"/>
    </row>
    <row r="26" spans="1:18" ht="15.5">
      <c r="A26" s="401" t="s">
        <v>262</v>
      </c>
      <c r="B26" s="402"/>
      <c r="C26" s="402"/>
      <c r="D26" s="402"/>
      <c r="E26" s="402"/>
      <c r="F26" s="402"/>
      <c r="G26" s="402"/>
      <c r="H26" s="402"/>
      <c r="I26" s="402"/>
      <c r="J26" s="402"/>
      <c r="K26" s="402"/>
      <c r="L26" s="402"/>
      <c r="M26" s="402"/>
      <c r="N26" s="402"/>
      <c r="O26" s="402"/>
      <c r="P26" s="402"/>
      <c r="Q26" s="402"/>
      <c r="R26" s="403"/>
    </row>
    <row r="27" spans="1:18" ht="47.25" customHeight="1">
      <c r="A27" s="393" t="s">
        <v>434</v>
      </c>
      <c r="B27" s="394"/>
      <c r="C27" s="394"/>
      <c r="D27" s="394"/>
      <c r="E27" s="394"/>
      <c r="F27" s="394"/>
      <c r="G27" s="394"/>
      <c r="H27" s="394"/>
      <c r="I27" s="394"/>
      <c r="J27" s="394"/>
      <c r="K27" s="394"/>
      <c r="L27" s="394"/>
      <c r="M27" s="394"/>
      <c r="N27" s="394"/>
      <c r="O27" s="394"/>
      <c r="P27" s="394"/>
      <c r="Q27" s="394"/>
      <c r="R27" s="395"/>
    </row>
    <row r="28" spans="1:18" ht="15.5">
      <c r="A28" s="413" t="s">
        <v>221</v>
      </c>
      <c r="B28" s="414"/>
      <c r="C28" s="414"/>
      <c r="D28" s="414"/>
      <c r="E28" s="414"/>
      <c r="F28" s="414"/>
      <c r="G28" s="414"/>
      <c r="H28" s="414"/>
      <c r="I28" s="414"/>
      <c r="J28" s="414"/>
      <c r="K28" s="414"/>
      <c r="L28" s="414"/>
      <c r="M28" s="414"/>
      <c r="N28" s="414"/>
      <c r="O28" s="414"/>
      <c r="P28" s="414"/>
      <c r="Q28" s="414"/>
      <c r="R28" s="415"/>
    </row>
    <row r="29" spans="1:18" ht="60.75" customHeight="1">
      <c r="A29" s="519" t="s">
        <v>370</v>
      </c>
      <c r="B29" s="520"/>
      <c r="C29" s="520"/>
      <c r="D29" s="520"/>
      <c r="E29" s="520"/>
      <c r="F29" s="520"/>
      <c r="G29" s="520"/>
      <c r="H29" s="520"/>
      <c r="I29" s="520"/>
      <c r="J29" s="520"/>
      <c r="K29" s="520"/>
      <c r="L29" s="520"/>
      <c r="M29" s="520"/>
      <c r="N29" s="520"/>
      <c r="O29" s="520"/>
      <c r="P29" s="520"/>
      <c r="Q29" s="520"/>
      <c r="R29" s="521"/>
    </row>
  </sheetData>
  <mergeCells count="30">
    <mergeCell ref="A28:R28"/>
    <mergeCell ref="A29:R29"/>
    <mergeCell ref="C17:D17"/>
    <mergeCell ref="C18:D18"/>
    <mergeCell ref="M6:R6"/>
    <mergeCell ref="M7:O7"/>
    <mergeCell ref="C15:D15"/>
    <mergeCell ref="O24:R24"/>
    <mergeCell ref="P21:R21"/>
    <mergeCell ref="I21:J21"/>
    <mergeCell ref="I7:K7"/>
    <mergeCell ref="C16:D16"/>
    <mergeCell ref="H8:R8"/>
    <mergeCell ref="C9:D9"/>
    <mergeCell ref="H9:R9"/>
    <mergeCell ref="C10:D10"/>
    <mergeCell ref="P7:R7"/>
    <mergeCell ref="C8:D8"/>
    <mergeCell ref="A5:R5"/>
    <mergeCell ref="A26:R26"/>
    <mergeCell ref="A27:R27"/>
    <mergeCell ref="H10:R10"/>
    <mergeCell ref="C11:D11"/>
    <mergeCell ref="H11:R11"/>
    <mergeCell ref="A2:C2"/>
    <mergeCell ref="E3:L3"/>
    <mergeCell ref="F4:J4"/>
    <mergeCell ref="A3:C3"/>
    <mergeCell ref="A7:C7"/>
    <mergeCell ref="D7:F7"/>
  </mergeCells>
  <pageMargins left="0.23" right="0.16" top="0.38" bottom="0.48" header="0.3" footer="0.3"/>
  <pageSetup scale="56" orientation="landscape" r:id="rId1"/>
  <headerFooter>
    <oddFooter>&amp;LFormer CCC-1253, NRCS-LTP-12&amp;CThe signature by the NRCS representative signifies a CCC or NRCS transaction as indicated above.&amp;RAD-1156
04-2002</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4755" r:id="rId4" name="Check Box 3">
              <controlPr defaultSize="0" autoFill="0" autoLine="0" autoPict="0">
                <anchor moveWithCells="1">
                  <from>
                    <xdr:col>3</xdr:col>
                    <xdr:colOff>114300</xdr:colOff>
                    <xdr:row>0</xdr:row>
                    <xdr:rowOff>0</xdr:rowOff>
                  </from>
                  <to>
                    <xdr:col>3</xdr:col>
                    <xdr:colOff>317500</xdr:colOff>
                    <xdr:row>2</xdr:row>
                    <xdr:rowOff>31750</xdr:rowOff>
                  </to>
                </anchor>
              </controlPr>
            </control>
          </mc:Choice>
        </mc:AlternateContent>
        <mc:AlternateContent xmlns:mc="http://schemas.openxmlformats.org/markup-compatibility/2006">
          <mc:Choice Requires="x14">
            <control shapeId="74756" r:id="rId5" name="Check Box 4">
              <controlPr defaultSize="0" autoFill="0" autoLine="0" autoPict="0">
                <anchor moveWithCells="1">
                  <from>
                    <xdr:col>7</xdr:col>
                    <xdr:colOff>190500</xdr:colOff>
                    <xdr:row>0</xdr:row>
                    <xdr:rowOff>50800</xdr:rowOff>
                  </from>
                  <to>
                    <xdr:col>7</xdr:col>
                    <xdr:colOff>622300</xdr:colOff>
                    <xdr:row>1</xdr:row>
                    <xdr:rowOff>139700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F65"/>
  <sheetViews>
    <sheetView tabSelected="1" topLeftCell="A41" zoomScaleNormal="100" workbookViewId="0">
      <selection activeCell="F66" sqref="F66"/>
    </sheetView>
  </sheetViews>
  <sheetFormatPr defaultRowHeight="12.5"/>
  <cols>
    <col min="1" max="1" width="69" style="1" bestFit="1" customWidth="1"/>
    <col min="2" max="2" width="6.26953125" customWidth="1"/>
    <col min="3" max="3" width="10" bestFit="1" customWidth="1"/>
    <col min="4" max="4" width="9.453125" style="53" bestFit="1" customWidth="1"/>
    <col min="5" max="5" width="11.54296875" bestFit="1" customWidth="1"/>
    <col min="6" max="6" width="11.26953125" style="16" bestFit="1" customWidth="1"/>
  </cols>
  <sheetData>
    <row r="1" spans="1:6" s="32" customFormat="1" ht="22.5" customHeight="1">
      <c r="A1" s="30" t="s">
        <v>285</v>
      </c>
      <c r="B1" s="31"/>
      <c r="C1" s="31" t="s">
        <v>17</v>
      </c>
      <c r="D1" s="23" t="s">
        <v>18</v>
      </c>
      <c r="E1" s="31" t="s">
        <v>19</v>
      </c>
      <c r="F1" s="31" t="s">
        <v>299</v>
      </c>
    </row>
    <row r="2" spans="1:6">
      <c r="A2" s="14" t="s">
        <v>160</v>
      </c>
      <c r="B2" s="44">
        <v>1</v>
      </c>
      <c r="C2" s="15" t="s">
        <v>20</v>
      </c>
      <c r="D2" s="54">
        <f>F2/E2*100</f>
        <v>1.6399999999999997</v>
      </c>
      <c r="E2" s="55">
        <v>50</v>
      </c>
      <c r="F2" s="343">
        <v>0.82</v>
      </c>
    </row>
    <row r="3" spans="1:6">
      <c r="A3" s="14" t="s">
        <v>159</v>
      </c>
      <c r="B3" s="44">
        <v>1</v>
      </c>
      <c r="C3" s="15" t="s">
        <v>20</v>
      </c>
      <c r="D3" s="54">
        <f t="shared" ref="D3:D65" si="0">F3/E3*100</f>
        <v>0</v>
      </c>
      <c r="E3" s="55">
        <v>50</v>
      </c>
      <c r="F3" s="343">
        <v>0</v>
      </c>
    </row>
    <row r="4" spans="1:6">
      <c r="A4" s="14" t="s">
        <v>161</v>
      </c>
      <c r="B4" s="15" t="s">
        <v>78</v>
      </c>
      <c r="C4" s="15" t="s">
        <v>20</v>
      </c>
      <c r="D4" s="54">
        <f>F4/E4*100</f>
        <v>80.06</v>
      </c>
      <c r="E4" s="55">
        <v>50</v>
      </c>
      <c r="F4" s="343">
        <v>40.03</v>
      </c>
    </row>
    <row r="5" spans="1:6">
      <c r="A5" s="14" t="s">
        <v>162</v>
      </c>
      <c r="B5" s="15" t="s">
        <v>78</v>
      </c>
      <c r="C5" s="15" t="s">
        <v>20</v>
      </c>
      <c r="D5" s="54">
        <f t="shared" si="0"/>
        <v>62.6</v>
      </c>
      <c r="E5" s="55">
        <v>50</v>
      </c>
      <c r="F5" s="343">
        <v>31.3</v>
      </c>
    </row>
    <row r="6" spans="1:6">
      <c r="A6" s="345" t="s">
        <v>436</v>
      </c>
      <c r="B6" s="44">
        <v>1</v>
      </c>
      <c r="C6" s="15" t="s">
        <v>20</v>
      </c>
      <c r="D6" s="54">
        <f t="shared" si="0"/>
        <v>52.88</v>
      </c>
      <c r="E6" s="55">
        <v>50</v>
      </c>
      <c r="F6" s="343">
        <v>26.44</v>
      </c>
    </row>
    <row r="7" spans="1:6">
      <c r="A7" s="345" t="s">
        <v>437</v>
      </c>
      <c r="B7" s="15" t="s">
        <v>78</v>
      </c>
      <c r="C7" s="15" t="s">
        <v>20</v>
      </c>
      <c r="D7" s="54">
        <f t="shared" si="0"/>
        <v>214.1</v>
      </c>
      <c r="E7" s="55">
        <v>50</v>
      </c>
      <c r="F7" s="343">
        <v>107.05</v>
      </c>
    </row>
    <row r="8" spans="1:6">
      <c r="A8" s="14" t="s">
        <v>88</v>
      </c>
      <c r="B8" s="15" t="s">
        <v>78</v>
      </c>
      <c r="C8" s="15" t="s">
        <v>20</v>
      </c>
      <c r="D8" s="54">
        <f t="shared" si="0"/>
        <v>214.1</v>
      </c>
      <c r="E8" s="55">
        <v>50</v>
      </c>
      <c r="F8" s="343">
        <v>107.05</v>
      </c>
    </row>
    <row r="9" spans="1:6">
      <c r="A9" s="345" t="s">
        <v>438</v>
      </c>
      <c r="B9" s="15" t="s">
        <v>78</v>
      </c>
      <c r="C9" s="15" t="s">
        <v>20</v>
      </c>
      <c r="D9" s="54">
        <f t="shared" si="0"/>
        <v>204.64</v>
      </c>
      <c r="E9" s="55">
        <v>50</v>
      </c>
      <c r="F9" s="343">
        <v>102.32</v>
      </c>
    </row>
    <row r="10" spans="1:6">
      <c r="A10" s="345" t="s">
        <v>439</v>
      </c>
      <c r="B10" s="15" t="s">
        <v>78</v>
      </c>
      <c r="C10" s="15" t="s">
        <v>20</v>
      </c>
      <c r="D10" s="54">
        <f t="shared" si="0"/>
        <v>252.55999999999997</v>
      </c>
      <c r="E10" s="55">
        <v>50</v>
      </c>
      <c r="F10" s="343">
        <v>126.28</v>
      </c>
    </row>
    <row r="11" spans="1:6">
      <c r="A11" s="345" t="s">
        <v>440</v>
      </c>
      <c r="B11" s="15" t="s">
        <v>78</v>
      </c>
      <c r="C11" s="15" t="s">
        <v>20</v>
      </c>
      <c r="D11" s="54">
        <f t="shared" si="0"/>
        <v>214.1</v>
      </c>
      <c r="E11" s="55">
        <v>50</v>
      </c>
      <c r="F11" s="343">
        <v>107.05</v>
      </c>
    </row>
    <row r="12" spans="1:6">
      <c r="A12" s="345" t="s">
        <v>441</v>
      </c>
      <c r="B12" s="15" t="s">
        <v>78</v>
      </c>
      <c r="C12" s="15" t="s">
        <v>20</v>
      </c>
      <c r="D12" s="54">
        <f t="shared" si="0"/>
        <v>214.1</v>
      </c>
      <c r="E12" s="55">
        <v>50</v>
      </c>
      <c r="F12" s="343">
        <v>107.05</v>
      </c>
    </row>
    <row r="13" spans="1:6">
      <c r="A13" s="345" t="s">
        <v>442</v>
      </c>
      <c r="B13" s="15" t="s">
        <v>78</v>
      </c>
      <c r="C13" s="15" t="s">
        <v>20</v>
      </c>
      <c r="D13" s="54">
        <f t="shared" si="0"/>
        <v>436.24</v>
      </c>
      <c r="E13" s="55">
        <v>50</v>
      </c>
      <c r="F13" s="343">
        <v>218.12</v>
      </c>
    </row>
    <row r="14" spans="1:6">
      <c r="A14" s="14" t="s">
        <v>164</v>
      </c>
      <c r="B14" s="15" t="s">
        <v>78</v>
      </c>
      <c r="C14" s="15" t="s">
        <v>20</v>
      </c>
      <c r="D14" s="54">
        <f t="shared" si="0"/>
        <v>16.079999999999998</v>
      </c>
      <c r="E14" s="55">
        <v>50</v>
      </c>
      <c r="F14" s="343">
        <v>8.0399999999999991</v>
      </c>
    </row>
    <row r="15" spans="1:6">
      <c r="A15" s="14" t="s">
        <v>163</v>
      </c>
      <c r="B15" s="15" t="s">
        <v>78</v>
      </c>
      <c r="C15" s="15" t="s">
        <v>20</v>
      </c>
      <c r="D15" s="54">
        <f t="shared" si="0"/>
        <v>21.78</v>
      </c>
      <c r="E15" s="55">
        <v>50</v>
      </c>
      <c r="F15" s="343">
        <v>10.89</v>
      </c>
    </row>
    <row r="16" spans="1:6">
      <c r="A16" s="14" t="s">
        <v>240</v>
      </c>
      <c r="B16" s="15" t="s">
        <v>78</v>
      </c>
      <c r="C16" s="15" t="s">
        <v>20</v>
      </c>
      <c r="D16" s="54">
        <f t="shared" si="0"/>
        <v>84.42</v>
      </c>
      <c r="E16" s="55">
        <v>50</v>
      </c>
      <c r="F16" s="343">
        <v>42.21</v>
      </c>
    </row>
    <row r="17" spans="1:6" ht="25.5" customHeight="1">
      <c r="A17" s="40" t="s">
        <v>80</v>
      </c>
      <c r="B17" s="15" t="s">
        <v>78</v>
      </c>
      <c r="C17" s="15" t="s">
        <v>20</v>
      </c>
      <c r="D17" s="54">
        <f t="shared" si="0"/>
        <v>25.980000000000004</v>
      </c>
      <c r="E17" s="55">
        <v>50</v>
      </c>
      <c r="F17" s="343">
        <v>12.99</v>
      </c>
    </row>
    <row r="18" spans="1:6">
      <c r="A18" s="345" t="s">
        <v>443</v>
      </c>
      <c r="B18" s="15" t="s">
        <v>78</v>
      </c>
      <c r="C18" s="15" t="s">
        <v>20</v>
      </c>
      <c r="D18" s="54">
        <f t="shared" si="0"/>
        <v>31.04</v>
      </c>
      <c r="E18" s="55">
        <v>50</v>
      </c>
      <c r="F18" s="343">
        <v>15.52</v>
      </c>
    </row>
    <row r="19" spans="1:6">
      <c r="A19" s="345" t="s">
        <v>444</v>
      </c>
      <c r="B19" s="15" t="s">
        <v>78</v>
      </c>
      <c r="C19" s="15" t="s">
        <v>20</v>
      </c>
      <c r="D19" s="54">
        <f t="shared" si="0"/>
        <v>100</v>
      </c>
      <c r="E19" s="55">
        <v>50</v>
      </c>
      <c r="F19" s="343">
        <v>50</v>
      </c>
    </row>
    <row r="20" spans="1:6">
      <c r="A20" s="14" t="s">
        <v>79</v>
      </c>
      <c r="B20" s="15" t="s">
        <v>78</v>
      </c>
      <c r="C20" s="15" t="s">
        <v>20</v>
      </c>
      <c r="D20" s="54">
        <f t="shared" si="0"/>
        <v>279.16000000000003</v>
      </c>
      <c r="E20" s="55">
        <v>50</v>
      </c>
      <c r="F20" s="343">
        <v>139.58000000000001</v>
      </c>
    </row>
    <row r="21" spans="1:6">
      <c r="A21" s="14" t="s">
        <v>251</v>
      </c>
      <c r="B21" s="15" t="s">
        <v>78</v>
      </c>
      <c r="C21" s="15" t="s">
        <v>20</v>
      </c>
      <c r="D21" s="54">
        <f t="shared" si="0"/>
        <v>23.04</v>
      </c>
      <c r="E21" s="55">
        <v>50</v>
      </c>
      <c r="F21" s="343">
        <v>11.52</v>
      </c>
    </row>
    <row r="22" spans="1:6" s="42" customFormat="1" ht="25.5" customHeight="1">
      <c r="A22" s="344" t="s">
        <v>435</v>
      </c>
      <c r="B22" s="15" t="s">
        <v>78</v>
      </c>
      <c r="C22" s="41" t="s">
        <v>20</v>
      </c>
      <c r="D22" s="54">
        <f t="shared" si="0"/>
        <v>23.04</v>
      </c>
      <c r="E22" s="55">
        <v>50</v>
      </c>
      <c r="F22" s="343">
        <v>11.52</v>
      </c>
    </row>
    <row r="23" spans="1:6" s="42" customFormat="1" ht="25.5" customHeight="1">
      <c r="A23" s="344" t="s">
        <v>445</v>
      </c>
      <c r="B23" s="15" t="s">
        <v>78</v>
      </c>
      <c r="C23" s="41" t="s">
        <v>20</v>
      </c>
      <c r="D23" s="54">
        <f t="shared" si="0"/>
        <v>100</v>
      </c>
      <c r="E23" s="55">
        <v>50</v>
      </c>
      <c r="F23" s="343">
        <v>50</v>
      </c>
    </row>
    <row r="24" spans="1:6" ht="26.25" customHeight="1">
      <c r="A24" s="344" t="s">
        <v>446</v>
      </c>
      <c r="B24" s="15" t="s">
        <v>78</v>
      </c>
      <c r="C24" s="15" t="s">
        <v>20</v>
      </c>
      <c r="D24" s="54">
        <f t="shared" si="0"/>
        <v>100</v>
      </c>
      <c r="E24" s="55">
        <v>50</v>
      </c>
      <c r="F24" s="343">
        <v>50</v>
      </c>
    </row>
    <row r="25" spans="1:6" ht="27" customHeight="1">
      <c r="A25" s="40" t="s">
        <v>82</v>
      </c>
      <c r="B25" s="15" t="s">
        <v>78</v>
      </c>
      <c r="C25" s="15" t="s">
        <v>20</v>
      </c>
      <c r="D25" s="54">
        <f t="shared" si="0"/>
        <v>100</v>
      </c>
      <c r="E25" s="55">
        <v>50</v>
      </c>
      <c r="F25" s="343">
        <v>50</v>
      </c>
    </row>
    <row r="26" spans="1:6" ht="25.5" customHeight="1">
      <c r="A26" s="40" t="s">
        <v>81</v>
      </c>
      <c r="B26" s="15" t="s">
        <v>78</v>
      </c>
      <c r="C26" s="15" t="s">
        <v>20</v>
      </c>
      <c r="D26" s="54">
        <f t="shared" si="0"/>
        <v>100</v>
      </c>
      <c r="E26" s="55">
        <v>50</v>
      </c>
      <c r="F26" s="343">
        <v>50</v>
      </c>
    </row>
    <row r="27" spans="1:6" ht="25.5" customHeight="1">
      <c r="A27" s="344" t="s">
        <v>447</v>
      </c>
      <c r="B27" s="15" t="s">
        <v>78</v>
      </c>
      <c r="C27" s="15" t="s">
        <v>20</v>
      </c>
      <c r="D27" s="54">
        <f t="shared" si="0"/>
        <v>100</v>
      </c>
      <c r="E27" s="55">
        <v>50</v>
      </c>
      <c r="F27" s="343">
        <v>50</v>
      </c>
    </row>
    <row r="28" spans="1:6">
      <c r="A28" s="14" t="s">
        <v>165</v>
      </c>
      <c r="B28" s="15" t="s">
        <v>78</v>
      </c>
      <c r="C28" s="15" t="s">
        <v>20</v>
      </c>
      <c r="D28" s="54">
        <f t="shared" si="0"/>
        <v>94.14</v>
      </c>
      <c r="E28" s="55">
        <v>50</v>
      </c>
      <c r="F28" s="343">
        <v>47.07</v>
      </c>
    </row>
    <row r="29" spans="1:6">
      <c r="A29" s="14" t="s">
        <v>166</v>
      </c>
      <c r="B29" s="15" t="s">
        <v>78</v>
      </c>
      <c r="C29" s="15" t="s">
        <v>20</v>
      </c>
      <c r="D29" s="54">
        <f t="shared" si="0"/>
        <v>74.12</v>
      </c>
      <c r="E29" s="55">
        <v>50</v>
      </c>
      <c r="F29" s="343">
        <v>37.06</v>
      </c>
    </row>
    <row r="30" spans="1:6">
      <c r="A30" s="14" t="s">
        <v>167</v>
      </c>
      <c r="B30" s="15" t="s">
        <v>78</v>
      </c>
      <c r="C30" s="15" t="s">
        <v>20</v>
      </c>
      <c r="D30" s="54">
        <f t="shared" si="0"/>
        <v>149.58000000000001</v>
      </c>
      <c r="E30" s="55">
        <v>50</v>
      </c>
      <c r="F30" s="343">
        <v>74.790000000000006</v>
      </c>
    </row>
    <row r="31" spans="1:6">
      <c r="A31" s="14" t="s">
        <v>168</v>
      </c>
      <c r="B31" s="15" t="s">
        <v>78</v>
      </c>
      <c r="C31" s="15" t="s">
        <v>21</v>
      </c>
      <c r="D31" s="54">
        <f t="shared" si="0"/>
        <v>56.58</v>
      </c>
      <c r="E31" s="55">
        <v>50</v>
      </c>
      <c r="F31" s="343">
        <v>28.29</v>
      </c>
    </row>
    <row r="32" spans="1:6">
      <c r="A32" s="14" t="s">
        <v>169</v>
      </c>
      <c r="B32" s="15" t="s">
        <v>78</v>
      </c>
      <c r="C32" s="15" t="s">
        <v>21</v>
      </c>
      <c r="D32" s="54">
        <f t="shared" si="0"/>
        <v>70.2</v>
      </c>
      <c r="E32" s="55">
        <v>50</v>
      </c>
      <c r="F32" s="343">
        <v>35.1</v>
      </c>
    </row>
    <row r="33" spans="1:6">
      <c r="A33" s="14" t="s">
        <v>269</v>
      </c>
      <c r="B33" s="15" t="s">
        <v>78</v>
      </c>
      <c r="C33" s="15" t="s">
        <v>21</v>
      </c>
      <c r="D33" s="54">
        <f t="shared" si="0"/>
        <v>117.6</v>
      </c>
      <c r="E33" s="55">
        <v>50</v>
      </c>
      <c r="F33" s="343">
        <v>58.8</v>
      </c>
    </row>
    <row r="34" spans="1:6">
      <c r="A34" s="14" t="s">
        <v>270</v>
      </c>
      <c r="B34" s="15" t="s">
        <v>78</v>
      </c>
      <c r="C34" s="15" t="s">
        <v>21</v>
      </c>
      <c r="D34" s="54">
        <f t="shared" si="0"/>
        <v>200</v>
      </c>
      <c r="E34" s="55">
        <v>50</v>
      </c>
      <c r="F34" s="343">
        <v>100</v>
      </c>
    </row>
    <row r="35" spans="1:6">
      <c r="A35" s="14" t="s">
        <v>271</v>
      </c>
      <c r="B35" s="15" t="s">
        <v>78</v>
      </c>
      <c r="C35" s="15" t="s">
        <v>21</v>
      </c>
      <c r="D35" s="54">
        <f t="shared" si="0"/>
        <v>214.5</v>
      </c>
      <c r="E35" s="55">
        <v>50</v>
      </c>
      <c r="F35" s="343">
        <v>107.25</v>
      </c>
    </row>
    <row r="36" spans="1:6">
      <c r="A36" s="14" t="s">
        <v>286</v>
      </c>
      <c r="B36" s="15" t="s">
        <v>78</v>
      </c>
      <c r="C36" s="15" t="s">
        <v>20</v>
      </c>
      <c r="D36" s="54">
        <f t="shared" si="0"/>
        <v>75.36</v>
      </c>
      <c r="E36" s="55">
        <v>50</v>
      </c>
      <c r="F36" s="343">
        <v>37.68</v>
      </c>
    </row>
    <row r="37" spans="1:6">
      <c r="A37" s="14" t="s">
        <v>272</v>
      </c>
      <c r="B37" s="15" t="s">
        <v>78</v>
      </c>
      <c r="C37" s="15" t="s">
        <v>20</v>
      </c>
      <c r="D37" s="54">
        <f t="shared" si="0"/>
        <v>59.48</v>
      </c>
      <c r="E37" s="55">
        <v>50</v>
      </c>
      <c r="F37" s="343">
        <v>29.74</v>
      </c>
    </row>
    <row r="38" spans="1:6">
      <c r="A38" s="14" t="s">
        <v>273</v>
      </c>
      <c r="B38" s="15" t="s">
        <v>78</v>
      </c>
      <c r="C38" s="15" t="s">
        <v>15</v>
      </c>
      <c r="D38" s="54">
        <f t="shared" si="0"/>
        <v>41.32</v>
      </c>
      <c r="E38" s="55">
        <v>50</v>
      </c>
      <c r="F38" s="343">
        <v>20.66</v>
      </c>
    </row>
    <row r="39" spans="1:6">
      <c r="A39" s="14" t="s">
        <v>225</v>
      </c>
      <c r="B39" s="15" t="s">
        <v>78</v>
      </c>
      <c r="C39" s="15" t="s">
        <v>28</v>
      </c>
      <c r="D39" s="54">
        <f t="shared" si="0"/>
        <v>6.38</v>
      </c>
      <c r="E39" s="55">
        <v>50</v>
      </c>
      <c r="F39" s="343">
        <v>3.19</v>
      </c>
    </row>
    <row r="40" spans="1:6">
      <c r="A40" s="14" t="s">
        <v>83</v>
      </c>
      <c r="B40" s="15" t="s">
        <v>78</v>
      </c>
      <c r="C40" s="15" t="s">
        <v>246</v>
      </c>
      <c r="D40" s="54">
        <f t="shared" si="0"/>
        <v>35.26</v>
      </c>
      <c r="E40" s="55">
        <v>50</v>
      </c>
      <c r="F40" s="343">
        <v>17.63</v>
      </c>
    </row>
    <row r="41" spans="1:6">
      <c r="A41" s="14" t="s">
        <v>84</v>
      </c>
      <c r="B41" s="15" t="s">
        <v>78</v>
      </c>
      <c r="C41" s="15" t="s">
        <v>248</v>
      </c>
      <c r="D41" s="54">
        <f t="shared" si="0"/>
        <v>85</v>
      </c>
      <c r="E41" s="55">
        <v>50</v>
      </c>
      <c r="F41" s="343">
        <v>42.5</v>
      </c>
    </row>
    <row r="42" spans="1:6">
      <c r="A42" s="14" t="s">
        <v>85</v>
      </c>
      <c r="B42" s="15" t="s">
        <v>78</v>
      </c>
      <c r="C42" s="15" t="s">
        <v>20</v>
      </c>
      <c r="D42" s="54">
        <f t="shared" si="0"/>
        <v>46.42</v>
      </c>
      <c r="E42" s="55">
        <v>50</v>
      </c>
      <c r="F42" s="343">
        <v>23.21</v>
      </c>
    </row>
    <row r="43" spans="1:6">
      <c r="A43" s="14" t="s">
        <v>274</v>
      </c>
      <c r="B43" s="15" t="s">
        <v>78</v>
      </c>
      <c r="C43" s="15" t="s">
        <v>23</v>
      </c>
      <c r="D43" s="54">
        <f t="shared" si="0"/>
        <v>0</v>
      </c>
      <c r="E43" s="55">
        <v>50</v>
      </c>
      <c r="F43" s="343">
        <v>0</v>
      </c>
    </row>
    <row r="44" spans="1:6">
      <c r="A44" s="14" t="s">
        <v>275</v>
      </c>
      <c r="B44" s="15" t="s">
        <v>78</v>
      </c>
      <c r="C44" s="15" t="s">
        <v>22</v>
      </c>
      <c r="D44" s="54">
        <f t="shared" si="0"/>
        <v>0</v>
      </c>
      <c r="E44" s="55">
        <v>50</v>
      </c>
      <c r="F44" s="343">
        <v>0</v>
      </c>
    </row>
    <row r="45" spans="1:6">
      <c r="A45" s="14" t="s">
        <v>276</v>
      </c>
      <c r="B45" s="15" t="s">
        <v>78</v>
      </c>
      <c r="C45" s="15" t="s">
        <v>20</v>
      </c>
      <c r="D45" s="54">
        <f t="shared" si="0"/>
        <v>0</v>
      </c>
      <c r="E45" s="55">
        <v>50</v>
      </c>
      <c r="F45" s="343">
        <v>0</v>
      </c>
    </row>
    <row r="46" spans="1:6">
      <c r="A46" s="14" t="s">
        <v>277</v>
      </c>
      <c r="B46" s="15" t="s">
        <v>78</v>
      </c>
      <c r="C46" s="15" t="s">
        <v>23</v>
      </c>
      <c r="D46" s="54">
        <f t="shared" si="0"/>
        <v>0</v>
      </c>
      <c r="E46" s="55">
        <v>50</v>
      </c>
      <c r="F46" s="343">
        <v>0</v>
      </c>
    </row>
    <row r="47" spans="1:6">
      <c r="A47" s="14" t="s">
        <v>241</v>
      </c>
      <c r="B47" s="15" t="s">
        <v>78</v>
      </c>
      <c r="C47" s="15" t="s">
        <v>20</v>
      </c>
      <c r="D47" s="54">
        <f t="shared" si="0"/>
        <v>0</v>
      </c>
      <c r="E47" s="55">
        <v>50</v>
      </c>
      <c r="F47" s="343">
        <v>0</v>
      </c>
    </row>
    <row r="48" spans="1:6">
      <c r="A48" s="14" t="s">
        <v>278</v>
      </c>
      <c r="B48" s="15" t="s">
        <v>78</v>
      </c>
      <c r="C48" s="15" t="s">
        <v>22</v>
      </c>
      <c r="D48" s="54">
        <f t="shared" si="0"/>
        <v>0</v>
      </c>
      <c r="E48" s="55">
        <v>50</v>
      </c>
      <c r="F48" s="343">
        <v>0</v>
      </c>
    </row>
    <row r="49" spans="1:6">
      <c r="A49" s="14" t="s">
        <v>242</v>
      </c>
      <c r="B49" s="15" t="s">
        <v>78</v>
      </c>
      <c r="C49" s="15" t="s">
        <v>20</v>
      </c>
      <c r="D49" s="54">
        <f t="shared" si="0"/>
        <v>0</v>
      </c>
      <c r="E49" s="55">
        <v>50</v>
      </c>
      <c r="F49" s="343">
        <v>0</v>
      </c>
    </row>
    <row r="50" spans="1:6">
      <c r="A50" s="14" t="s">
        <v>243</v>
      </c>
      <c r="B50" s="15" t="s">
        <v>78</v>
      </c>
      <c r="C50" s="15" t="s">
        <v>15</v>
      </c>
      <c r="D50" s="54">
        <f t="shared" si="0"/>
        <v>0</v>
      </c>
      <c r="E50" s="55">
        <v>50</v>
      </c>
      <c r="F50" s="343">
        <v>0</v>
      </c>
    </row>
    <row r="51" spans="1:6">
      <c r="A51" s="14" t="s">
        <v>279</v>
      </c>
      <c r="B51" s="15" t="s">
        <v>78</v>
      </c>
      <c r="C51" s="15" t="s">
        <v>23</v>
      </c>
      <c r="D51" s="54">
        <f t="shared" si="0"/>
        <v>0</v>
      </c>
      <c r="E51" s="55">
        <v>50</v>
      </c>
      <c r="F51" s="343">
        <v>0</v>
      </c>
    </row>
    <row r="52" spans="1:6">
      <c r="A52" s="14" t="s">
        <v>281</v>
      </c>
      <c r="B52" s="15" t="s">
        <v>78</v>
      </c>
      <c r="C52" s="15" t="s">
        <v>22</v>
      </c>
      <c r="D52" s="54">
        <f t="shared" si="0"/>
        <v>0</v>
      </c>
      <c r="E52" s="55">
        <v>50</v>
      </c>
      <c r="F52" s="343">
        <v>0</v>
      </c>
    </row>
    <row r="53" spans="1:6">
      <c r="A53" s="14" t="s">
        <v>282</v>
      </c>
      <c r="B53" s="15" t="s">
        <v>78</v>
      </c>
      <c r="C53" s="15" t="s">
        <v>23</v>
      </c>
      <c r="D53" s="54">
        <f t="shared" si="0"/>
        <v>0</v>
      </c>
      <c r="E53" s="55">
        <v>50</v>
      </c>
      <c r="F53" s="343">
        <v>0</v>
      </c>
    </row>
    <row r="54" spans="1:6">
      <c r="A54" s="14" t="s">
        <v>283</v>
      </c>
      <c r="B54" s="15" t="s">
        <v>78</v>
      </c>
      <c r="C54" s="15" t="s">
        <v>20</v>
      </c>
      <c r="D54" s="54">
        <v>0</v>
      </c>
      <c r="E54" s="55">
        <v>0</v>
      </c>
      <c r="F54" s="343">
        <v>0</v>
      </c>
    </row>
    <row r="55" spans="1:6">
      <c r="A55" s="14" t="s">
        <v>86</v>
      </c>
      <c r="B55" s="15"/>
      <c r="C55" s="15" t="s">
        <v>20</v>
      </c>
      <c r="D55" s="54">
        <v>0</v>
      </c>
      <c r="E55" s="55">
        <v>0</v>
      </c>
      <c r="F55" s="343">
        <v>0</v>
      </c>
    </row>
    <row r="56" spans="1:6">
      <c r="A56" s="14" t="s">
        <v>284</v>
      </c>
      <c r="B56" s="15" t="s">
        <v>78</v>
      </c>
      <c r="C56" s="15" t="s">
        <v>20</v>
      </c>
      <c r="D56" s="54">
        <v>0</v>
      </c>
      <c r="E56" s="55">
        <v>0</v>
      </c>
      <c r="F56" s="343">
        <v>0</v>
      </c>
    </row>
    <row r="57" spans="1:6">
      <c r="A57" s="14" t="s">
        <v>227</v>
      </c>
      <c r="B57" s="15" t="s">
        <v>78</v>
      </c>
      <c r="C57" s="15" t="s">
        <v>22</v>
      </c>
      <c r="D57" s="54">
        <f t="shared" si="0"/>
        <v>0</v>
      </c>
      <c r="E57" s="55">
        <v>50</v>
      </c>
      <c r="F57" s="343">
        <v>0</v>
      </c>
    </row>
    <row r="58" spans="1:6">
      <c r="A58" s="14" t="s">
        <v>87</v>
      </c>
      <c r="B58" s="15" t="s">
        <v>78</v>
      </c>
      <c r="C58" s="15" t="s">
        <v>22</v>
      </c>
      <c r="D58" s="54">
        <f t="shared" si="0"/>
        <v>0</v>
      </c>
      <c r="E58" s="55">
        <v>50</v>
      </c>
      <c r="F58" s="343">
        <v>0</v>
      </c>
    </row>
    <row r="59" spans="1:6" ht="24" customHeight="1">
      <c r="A59" s="59" t="s">
        <v>448</v>
      </c>
      <c r="B59" s="60">
        <v>1</v>
      </c>
      <c r="C59" s="57" t="s">
        <v>20</v>
      </c>
      <c r="D59" s="54">
        <f t="shared" si="0"/>
        <v>100</v>
      </c>
      <c r="E59" s="58">
        <v>50</v>
      </c>
      <c r="F59" s="61">
        <v>50</v>
      </c>
    </row>
    <row r="60" spans="1:6">
      <c r="A60" s="73" t="s">
        <v>143</v>
      </c>
      <c r="B60" s="74">
        <v>1</v>
      </c>
      <c r="C60" s="57" t="s">
        <v>20</v>
      </c>
      <c r="D60" s="54">
        <f t="shared" si="0"/>
        <v>100</v>
      </c>
      <c r="E60" s="58">
        <v>50</v>
      </c>
      <c r="F60" s="54">
        <v>50</v>
      </c>
    </row>
    <row r="61" spans="1:6">
      <c r="A61" s="73" t="s">
        <v>144</v>
      </c>
      <c r="B61" s="74">
        <v>1</v>
      </c>
      <c r="C61" s="57" t="s">
        <v>20</v>
      </c>
      <c r="D61" s="54">
        <f t="shared" si="0"/>
        <v>450</v>
      </c>
      <c r="E61" s="58">
        <v>50</v>
      </c>
      <c r="F61" s="54">
        <v>225</v>
      </c>
    </row>
    <row r="62" spans="1:6">
      <c r="A62" s="73" t="s">
        <v>450</v>
      </c>
      <c r="B62" s="74">
        <v>1</v>
      </c>
      <c r="C62" s="57" t="s">
        <v>20</v>
      </c>
      <c r="D62" s="54">
        <f t="shared" si="0"/>
        <v>500</v>
      </c>
      <c r="E62" s="58">
        <v>50</v>
      </c>
      <c r="F62" s="54">
        <v>250</v>
      </c>
    </row>
    <row r="63" spans="1:6">
      <c r="A63" s="73" t="s">
        <v>145</v>
      </c>
      <c r="B63" s="75">
        <v>1</v>
      </c>
      <c r="C63" s="57" t="s">
        <v>20</v>
      </c>
      <c r="D63" s="54">
        <f t="shared" si="0"/>
        <v>90</v>
      </c>
      <c r="E63" s="58">
        <v>50</v>
      </c>
      <c r="F63" s="54">
        <v>45</v>
      </c>
    </row>
    <row r="64" spans="1:6">
      <c r="A64" s="73" t="s">
        <v>146</v>
      </c>
      <c r="B64" s="75">
        <v>1</v>
      </c>
      <c r="C64" s="57" t="s">
        <v>20</v>
      </c>
      <c r="D64" s="54">
        <f t="shared" si="0"/>
        <v>180</v>
      </c>
      <c r="E64" s="58">
        <v>50</v>
      </c>
      <c r="F64" s="54">
        <v>90</v>
      </c>
    </row>
    <row r="65" spans="1:6">
      <c r="A65" s="73" t="s">
        <v>449</v>
      </c>
      <c r="B65" s="75">
        <v>1</v>
      </c>
      <c r="C65" s="57" t="s">
        <v>20</v>
      </c>
      <c r="D65" s="54">
        <f t="shared" si="0"/>
        <v>720.74</v>
      </c>
      <c r="E65" s="58">
        <v>50</v>
      </c>
      <c r="F65" s="54">
        <v>360.37</v>
      </c>
    </row>
  </sheetData>
  <phoneticPr fontId="0" type="noConversion"/>
  <pageMargins left="0.2" right="0.23" top="0.48" bottom="0.49" header="0.25" footer="0.5"/>
  <pageSetup scale="79" orientation="portrait" r:id="rId1"/>
  <headerFooter alignWithMargins="0">
    <oddHeader>&amp;L&amp;A    &amp;D</oddHead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pageSetUpPr fitToPage="1"/>
  </sheetPr>
  <dimension ref="A1:R40"/>
  <sheetViews>
    <sheetView topLeftCell="A8" zoomScale="57" zoomScaleNormal="57" workbookViewId="0">
      <selection activeCell="A37" sqref="A37:R37"/>
    </sheetView>
  </sheetViews>
  <sheetFormatPr defaultRowHeight="12.5"/>
  <cols>
    <col min="3" max="3" width="84.54296875" customWidth="1"/>
    <col min="4" max="4" width="13.7265625" customWidth="1"/>
    <col min="6" max="6" width="14.81640625" customWidth="1"/>
    <col min="7" max="7" width="17.7265625" customWidth="1"/>
    <col min="8" max="8" width="16" customWidth="1"/>
    <col min="9" max="9" width="12.26953125" customWidth="1"/>
    <col min="10" max="10" width="14.26953125" customWidth="1"/>
    <col min="11" max="11" width="13.453125" customWidth="1"/>
    <col min="12" max="12" width="14.54296875" customWidth="1"/>
    <col min="14" max="14" width="6" customWidth="1"/>
    <col min="15" max="15" width="6.54296875" customWidth="1"/>
    <col min="16" max="16" width="6.26953125" customWidth="1"/>
    <col min="17" max="17" width="4.26953125" customWidth="1"/>
    <col min="18" max="18" width="11.1796875" customWidth="1"/>
  </cols>
  <sheetData>
    <row r="1" spans="1:18" ht="24" customHeight="1">
      <c r="A1" s="434" t="s">
        <v>366</v>
      </c>
      <c r="B1" s="435"/>
      <c r="C1" s="435"/>
      <c r="D1" s="144" t="s">
        <v>368</v>
      </c>
      <c r="E1" s="143"/>
      <c r="F1" s="143"/>
      <c r="G1" s="143"/>
      <c r="H1" s="145" t="s">
        <v>369</v>
      </c>
      <c r="I1" s="143"/>
      <c r="J1" s="143"/>
      <c r="K1" s="143"/>
      <c r="L1" s="143"/>
      <c r="M1" s="143"/>
      <c r="N1" s="143"/>
      <c r="O1" s="145" t="s">
        <v>367</v>
      </c>
      <c r="P1" s="143"/>
      <c r="Q1" s="143"/>
      <c r="R1" s="143"/>
    </row>
    <row r="2" spans="1:18" ht="20">
      <c r="A2" s="429" t="s">
        <v>363</v>
      </c>
      <c r="B2" s="430"/>
      <c r="C2" s="430"/>
      <c r="D2" s="136"/>
      <c r="E2" s="136"/>
      <c r="F2" s="425" t="s">
        <v>25</v>
      </c>
      <c r="G2" s="426"/>
      <c r="H2" s="426"/>
      <c r="I2" s="426"/>
      <c r="J2" s="136"/>
      <c r="K2" s="136"/>
      <c r="L2" s="136"/>
      <c r="M2" s="136"/>
      <c r="N2" s="137">
        <v>2</v>
      </c>
      <c r="O2" s="137" t="s">
        <v>364</v>
      </c>
      <c r="P2" s="138"/>
      <c r="Q2" s="139" t="s">
        <v>365</v>
      </c>
      <c r="R2" s="140"/>
    </row>
    <row r="3" spans="1:18" ht="23.25" customHeight="1">
      <c r="A3" s="141"/>
      <c r="B3" s="85"/>
      <c r="C3" s="85"/>
      <c r="D3" s="85"/>
      <c r="E3" s="85"/>
      <c r="F3" s="427" t="s">
        <v>26</v>
      </c>
      <c r="G3" s="428"/>
      <c r="H3" s="428"/>
      <c r="I3" s="428"/>
      <c r="J3" s="85"/>
      <c r="K3" s="85"/>
      <c r="L3" s="85"/>
      <c r="M3" s="85"/>
      <c r="N3" s="85"/>
      <c r="O3" s="17"/>
      <c r="P3" s="17"/>
      <c r="Q3" s="17"/>
      <c r="R3" s="142"/>
    </row>
    <row r="4" spans="1:18" ht="15.5">
      <c r="A4" s="480" t="s">
        <v>386</v>
      </c>
      <c r="B4" s="483"/>
      <c r="C4" s="484"/>
      <c r="D4" s="490" t="s">
        <v>387</v>
      </c>
      <c r="E4" s="491"/>
      <c r="F4" s="491"/>
      <c r="G4" s="492"/>
      <c r="H4" s="320" t="s">
        <v>388</v>
      </c>
      <c r="I4" s="26"/>
      <c r="J4" s="480" t="s">
        <v>385</v>
      </c>
      <c r="K4" s="481"/>
      <c r="L4" s="482"/>
      <c r="M4" s="480" t="s">
        <v>389</v>
      </c>
      <c r="N4" s="483"/>
      <c r="O4" s="483"/>
      <c r="P4" s="483"/>
      <c r="Q4" s="483"/>
      <c r="R4" s="484"/>
    </row>
    <row r="5" spans="1:18" ht="17.5">
      <c r="A5" s="485">
        <f>'CRPSignature Page'!A8</f>
        <v>0</v>
      </c>
      <c r="B5" s="486"/>
      <c r="C5" s="487"/>
      <c r="D5" s="485">
        <f>'CRPSignature Page'!D8</f>
        <v>0</v>
      </c>
      <c r="E5" s="486"/>
      <c r="F5" s="486"/>
      <c r="G5" s="487"/>
      <c r="H5" s="441" t="s">
        <v>10</v>
      </c>
      <c r="I5" s="488"/>
      <c r="J5" s="485">
        <f>'CRPSignature Page'!I8</f>
        <v>0</v>
      </c>
      <c r="K5" s="489"/>
      <c r="L5" s="488"/>
      <c r="M5" s="441">
        <f>'CRPSignature Page'!P8</f>
        <v>0</v>
      </c>
      <c r="N5" s="438"/>
      <c r="O5" s="439"/>
      <c r="P5" s="439"/>
      <c r="Q5" s="439"/>
      <c r="R5" s="440"/>
    </row>
    <row r="6" spans="1:18">
      <c r="A6" s="466"/>
      <c r="B6" s="466"/>
      <c r="C6" s="466"/>
      <c r="D6" s="466"/>
      <c r="E6" s="466"/>
      <c r="F6" s="466"/>
      <c r="G6" s="466"/>
      <c r="H6" s="466"/>
      <c r="I6" s="466"/>
      <c r="J6" s="466"/>
      <c r="K6" s="466"/>
      <c r="L6" s="466"/>
      <c r="M6" s="466"/>
      <c r="N6" s="466"/>
      <c r="O6" s="466"/>
      <c r="P6" s="466"/>
      <c r="Q6" s="466"/>
      <c r="R6" s="466"/>
    </row>
    <row r="7" spans="1:18" ht="89.25" customHeight="1">
      <c r="A7" s="467"/>
      <c r="B7" s="468"/>
      <c r="C7" s="468"/>
      <c r="D7" s="468"/>
      <c r="E7" s="468"/>
      <c r="F7" s="468"/>
      <c r="G7" s="468"/>
      <c r="H7" s="468"/>
      <c r="I7" s="468"/>
      <c r="J7" s="468"/>
      <c r="K7" s="468"/>
      <c r="L7" s="468"/>
      <c r="M7" s="468"/>
      <c r="N7" s="468"/>
      <c r="O7" s="468"/>
      <c r="P7" s="468"/>
      <c r="Q7" s="468"/>
      <c r="R7" s="469"/>
    </row>
    <row r="8" spans="1:18" ht="14">
      <c r="A8" s="470"/>
      <c r="B8" s="470"/>
      <c r="C8" s="470"/>
      <c r="D8" s="470"/>
      <c r="E8" s="470"/>
      <c r="F8" s="470"/>
      <c r="G8" s="470"/>
      <c r="H8" s="470"/>
      <c r="I8" s="470"/>
      <c r="J8" s="470"/>
      <c r="K8" s="470"/>
      <c r="L8" s="470"/>
      <c r="M8" s="470"/>
      <c r="N8" s="470"/>
      <c r="O8" s="470"/>
      <c r="P8" s="470"/>
      <c r="Q8" s="470"/>
      <c r="R8" s="470"/>
    </row>
    <row r="9" spans="1:18">
      <c r="A9" s="452" t="s">
        <v>90</v>
      </c>
      <c r="B9" s="452" t="s">
        <v>27</v>
      </c>
      <c r="C9" s="498" t="s">
        <v>397</v>
      </c>
      <c r="D9" s="474" t="s">
        <v>391</v>
      </c>
      <c r="E9" s="477"/>
      <c r="F9" s="452" t="s">
        <v>8</v>
      </c>
      <c r="G9" s="452" t="s">
        <v>384</v>
      </c>
      <c r="H9" s="451" t="s">
        <v>383</v>
      </c>
      <c r="I9" s="420"/>
      <c r="J9" s="420"/>
      <c r="K9" s="420"/>
      <c r="L9" s="420"/>
      <c r="M9" s="420"/>
      <c r="N9" s="420"/>
      <c r="O9" s="420"/>
      <c r="P9" s="420"/>
      <c r="Q9" s="421"/>
      <c r="R9" s="452" t="s">
        <v>9</v>
      </c>
    </row>
    <row r="10" spans="1:18">
      <c r="A10" s="453"/>
      <c r="B10" s="453"/>
      <c r="C10" s="499"/>
      <c r="D10" s="475"/>
      <c r="E10" s="478"/>
      <c r="F10" s="453"/>
      <c r="G10" s="453"/>
      <c r="H10" s="455" t="s">
        <v>306</v>
      </c>
      <c r="I10" s="408"/>
      <c r="J10" s="408"/>
      <c r="K10" s="408"/>
      <c r="L10" s="408"/>
      <c r="M10" s="408"/>
      <c r="N10" s="408"/>
      <c r="O10" s="408"/>
      <c r="P10" s="408"/>
      <c r="Q10" s="409"/>
      <c r="R10" s="453"/>
    </row>
    <row r="11" spans="1:18">
      <c r="A11" s="453"/>
      <c r="B11" s="453"/>
      <c r="C11" s="499"/>
      <c r="D11" s="475"/>
      <c r="E11" s="478"/>
      <c r="F11" s="453"/>
      <c r="G11" s="453"/>
      <c r="H11" s="160">
        <v>14</v>
      </c>
      <c r="I11" s="154">
        <v>15</v>
      </c>
      <c r="J11" s="154">
        <v>16</v>
      </c>
      <c r="K11" s="154">
        <v>17</v>
      </c>
      <c r="L11" s="154">
        <v>18</v>
      </c>
      <c r="M11" s="154">
        <v>19</v>
      </c>
      <c r="N11" s="157">
        <v>20</v>
      </c>
      <c r="O11" s="157">
        <v>21</v>
      </c>
      <c r="P11" s="157">
        <v>22</v>
      </c>
      <c r="Q11" s="157">
        <v>23</v>
      </c>
      <c r="R11" s="453"/>
    </row>
    <row r="12" spans="1:18" ht="15.75" customHeight="1">
      <c r="A12" s="453"/>
      <c r="B12" s="453"/>
      <c r="C12" s="499"/>
      <c r="D12" s="475"/>
      <c r="E12" s="478"/>
      <c r="F12" s="453"/>
      <c r="G12" s="453"/>
      <c r="H12" s="95" t="s">
        <v>339</v>
      </c>
      <c r="I12" s="95" t="s">
        <v>339</v>
      </c>
      <c r="J12" s="95" t="s">
        <v>339</v>
      </c>
      <c r="K12" s="95" t="s">
        <v>339</v>
      </c>
      <c r="L12" s="95" t="s">
        <v>339</v>
      </c>
      <c r="M12" s="95" t="s">
        <v>339</v>
      </c>
      <c r="N12" s="95" t="s">
        <v>339</v>
      </c>
      <c r="O12" s="95" t="s">
        <v>339</v>
      </c>
      <c r="P12" s="95" t="s">
        <v>339</v>
      </c>
      <c r="Q12" s="95" t="s">
        <v>339</v>
      </c>
      <c r="R12" s="453"/>
    </row>
    <row r="13" spans="1:18" ht="15.5">
      <c r="A13" s="454"/>
      <c r="B13" s="454"/>
      <c r="C13" s="500"/>
      <c r="D13" s="476"/>
      <c r="E13" s="479"/>
      <c r="F13" s="454"/>
      <c r="G13" s="454"/>
      <c r="H13" s="337">
        <f>'CRPSignature Page'!H15</f>
        <v>2014</v>
      </c>
      <c r="I13" s="337">
        <f>'CRPSignature Page'!I15</f>
        <v>2015</v>
      </c>
      <c r="J13" s="337">
        <f>'CRPSignature Page'!K15</f>
        <v>2019</v>
      </c>
      <c r="K13" s="337">
        <f>'CRPSignature Page'!L15</f>
        <v>2020</v>
      </c>
      <c r="L13" s="337">
        <f>'CRPSignature Page'!N15</f>
        <v>2024</v>
      </c>
      <c r="M13" s="337">
        <f>'CRPSignature Page'!O15</f>
        <v>2026</v>
      </c>
      <c r="N13" s="154"/>
      <c r="O13" s="154"/>
      <c r="P13" s="154"/>
      <c r="Q13" s="154"/>
      <c r="R13" s="454"/>
    </row>
    <row r="14" spans="1:18" ht="17.5">
      <c r="A14" s="155">
        <v>8</v>
      </c>
      <c r="B14" s="155">
        <v>9</v>
      </c>
      <c r="C14" s="247">
        <v>10</v>
      </c>
      <c r="D14" s="163">
        <v>11</v>
      </c>
      <c r="E14" s="164"/>
      <c r="F14" s="161">
        <v>12</v>
      </c>
      <c r="G14" s="161">
        <v>13</v>
      </c>
      <c r="H14" s="156">
        <v>24</v>
      </c>
      <c r="I14" s="156">
        <v>25</v>
      </c>
      <c r="J14" s="156">
        <v>26</v>
      </c>
      <c r="K14" s="156">
        <v>27</v>
      </c>
      <c r="L14" s="156">
        <v>28</v>
      </c>
      <c r="M14" s="156">
        <v>29</v>
      </c>
      <c r="N14" s="157">
        <v>30</v>
      </c>
      <c r="O14" s="157">
        <v>31</v>
      </c>
      <c r="P14" s="157">
        <v>32</v>
      </c>
      <c r="Q14" s="157">
        <v>33</v>
      </c>
      <c r="R14" s="155">
        <v>34</v>
      </c>
    </row>
    <row r="15" spans="1:18" ht="17.5">
      <c r="A15" s="12"/>
      <c r="B15" s="12"/>
      <c r="C15" s="206"/>
      <c r="D15" s="316"/>
      <c r="E15" s="297"/>
      <c r="F15" s="231"/>
      <c r="G15" s="282"/>
      <c r="H15" s="231"/>
      <c r="I15" s="231"/>
      <c r="J15" s="231"/>
      <c r="K15" s="231"/>
      <c r="L15" s="231"/>
      <c r="M15" s="231"/>
      <c r="N15" s="28"/>
      <c r="O15" s="28"/>
      <c r="P15" s="28"/>
      <c r="Q15" s="28"/>
      <c r="R15" s="13"/>
    </row>
    <row r="16" spans="1:18" ht="17.5">
      <c r="A16" s="12"/>
      <c r="B16" s="12"/>
      <c r="C16" s="206"/>
      <c r="D16" s="316"/>
      <c r="E16" s="297"/>
      <c r="F16" s="231"/>
      <c r="G16" s="282"/>
      <c r="H16" s="231"/>
      <c r="I16" s="231"/>
      <c r="J16" s="231"/>
      <c r="K16" s="231"/>
      <c r="L16" s="231"/>
      <c r="M16" s="231"/>
      <c r="N16" s="28"/>
      <c r="O16" s="28"/>
      <c r="P16" s="28"/>
      <c r="Q16" s="28"/>
      <c r="R16" s="13"/>
    </row>
    <row r="17" spans="1:18" ht="17.5">
      <c r="A17" s="12"/>
      <c r="B17" s="12"/>
      <c r="C17" s="206"/>
      <c r="D17" s="316"/>
      <c r="E17" s="297"/>
      <c r="F17" s="231"/>
      <c r="G17" s="282"/>
      <c r="H17" s="231"/>
      <c r="I17" s="231"/>
      <c r="J17" s="231"/>
      <c r="K17" s="231"/>
      <c r="L17" s="231"/>
      <c r="M17" s="231"/>
      <c r="N17" s="28"/>
      <c r="O17" s="28"/>
      <c r="P17" s="28"/>
      <c r="Q17" s="28"/>
      <c r="R17" s="13"/>
    </row>
    <row r="18" spans="1:18" ht="17.5">
      <c r="A18" s="12"/>
      <c r="B18" s="12"/>
      <c r="C18" s="206"/>
      <c r="D18" s="316"/>
      <c r="E18" s="297"/>
      <c r="F18" s="231"/>
      <c r="G18" s="282"/>
      <c r="H18" s="231"/>
      <c r="I18" s="231"/>
      <c r="J18" s="231"/>
      <c r="K18" s="231"/>
      <c r="L18" s="231"/>
      <c r="M18" s="231"/>
      <c r="N18" s="28"/>
      <c r="O18" s="28"/>
      <c r="P18" s="28"/>
      <c r="Q18" s="28"/>
      <c r="R18" s="13"/>
    </row>
    <row r="19" spans="1:18" ht="17.5">
      <c r="A19" s="12"/>
      <c r="B19" s="12"/>
      <c r="C19" s="206"/>
      <c r="D19" s="316"/>
      <c r="E19" s="297"/>
      <c r="F19" s="231"/>
      <c r="G19" s="282"/>
      <c r="H19" s="231"/>
      <c r="I19" s="231"/>
      <c r="J19" s="231"/>
      <c r="K19" s="231"/>
      <c r="L19" s="231"/>
      <c r="M19" s="231"/>
      <c r="N19" s="28"/>
      <c r="O19" s="28"/>
      <c r="P19" s="28"/>
      <c r="Q19" s="28"/>
      <c r="R19" s="13"/>
    </row>
    <row r="20" spans="1:18" ht="17.5">
      <c r="A20" s="12"/>
      <c r="B20" s="12"/>
      <c r="C20" s="206"/>
      <c r="D20" s="316"/>
      <c r="E20" s="297"/>
      <c r="F20" s="231"/>
      <c r="G20" s="282"/>
      <c r="H20" s="231"/>
      <c r="I20" s="231"/>
      <c r="J20" s="231"/>
      <c r="K20" s="231"/>
      <c r="L20" s="231"/>
      <c r="M20" s="231"/>
      <c r="N20" s="28"/>
      <c r="O20" s="28"/>
      <c r="P20" s="28"/>
      <c r="Q20" s="28"/>
      <c r="R20" s="13"/>
    </row>
    <row r="21" spans="1:18" ht="17.5">
      <c r="A21" s="35"/>
      <c r="B21" s="35"/>
      <c r="C21" s="207"/>
      <c r="D21" s="316"/>
      <c r="E21" s="312"/>
      <c r="F21" s="231"/>
      <c r="G21" s="282"/>
      <c r="H21" s="292"/>
      <c r="I21" s="231"/>
      <c r="J21" s="292"/>
      <c r="K21" s="292"/>
      <c r="L21" s="292"/>
      <c r="M21" s="292"/>
      <c r="N21" s="68"/>
      <c r="O21" s="68"/>
      <c r="P21" s="68"/>
      <c r="Q21" s="68"/>
      <c r="R21" s="43"/>
    </row>
    <row r="22" spans="1:18" ht="17.5">
      <c r="A22" s="12"/>
      <c r="B22" s="12"/>
      <c r="C22" s="206"/>
      <c r="D22" s="316"/>
      <c r="E22" s="297"/>
      <c r="F22" s="231"/>
      <c r="G22" s="282"/>
      <c r="H22" s="231"/>
      <c r="I22" s="341"/>
      <c r="J22" s="231"/>
      <c r="K22" s="231"/>
      <c r="L22" s="231"/>
      <c r="M22" s="231"/>
      <c r="N22" s="28"/>
      <c r="O22" s="28"/>
      <c r="P22" s="28"/>
      <c r="Q22" s="28"/>
      <c r="R22" s="13"/>
    </row>
    <row r="23" spans="1:18" ht="17.5">
      <c r="A23" s="12"/>
      <c r="B23" s="12"/>
      <c r="C23" s="206"/>
      <c r="D23" s="316"/>
      <c r="E23" s="297"/>
      <c r="F23" s="231"/>
      <c r="G23" s="282"/>
      <c r="H23" s="231"/>
      <c r="I23" s="231"/>
      <c r="J23" s="231"/>
      <c r="K23" s="231"/>
      <c r="L23" s="231"/>
      <c r="M23" s="231"/>
      <c r="N23" s="28"/>
      <c r="O23" s="28"/>
      <c r="P23" s="28"/>
      <c r="Q23" s="28"/>
      <c r="R23" s="13"/>
    </row>
    <row r="24" spans="1:18" ht="17.5">
      <c r="A24" s="12"/>
      <c r="B24" s="12"/>
      <c r="C24" s="206"/>
      <c r="D24" s="316"/>
      <c r="E24" s="297"/>
      <c r="F24" s="231"/>
      <c r="G24" s="282"/>
      <c r="H24" s="231"/>
      <c r="I24" s="231"/>
      <c r="J24" s="231"/>
      <c r="K24" s="231"/>
      <c r="L24" s="231"/>
      <c r="M24" s="231"/>
      <c r="N24" s="28"/>
      <c r="O24" s="28"/>
      <c r="P24" s="28"/>
      <c r="Q24" s="28"/>
      <c r="R24" s="13"/>
    </row>
    <row r="25" spans="1:18" ht="17.5">
      <c r="A25" s="12"/>
      <c r="B25" s="12"/>
      <c r="C25" s="206"/>
      <c r="D25" s="316"/>
      <c r="E25" s="297"/>
      <c r="F25" s="231"/>
      <c r="G25" s="282"/>
      <c r="H25" s="231"/>
      <c r="I25" s="231"/>
      <c r="J25" s="231"/>
      <c r="K25" s="231"/>
      <c r="L25" s="231"/>
      <c r="M25" s="231"/>
      <c r="N25" s="28"/>
      <c r="O25" s="28"/>
      <c r="P25" s="28"/>
      <c r="Q25" s="28"/>
      <c r="R25" s="13"/>
    </row>
    <row r="26" spans="1:18" ht="17.5">
      <c r="A26" s="12"/>
      <c r="B26" s="12"/>
      <c r="C26" s="206"/>
      <c r="D26" s="316"/>
      <c r="E26" s="297"/>
      <c r="F26" s="231"/>
      <c r="G26" s="282"/>
      <c r="H26" s="231"/>
      <c r="I26" s="231"/>
      <c r="J26" s="231"/>
      <c r="K26" s="231"/>
      <c r="L26" s="231"/>
      <c r="M26" s="231"/>
      <c r="N26" s="28"/>
      <c r="O26" s="28"/>
      <c r="P26" s="28"/>
      <c r="Q26" s="28"/>
      <c r="R26" s="13"/>
    </row>
    <row r="27" spans="1:18" ht="17.5">
      <c r="A27" s="12"/>
      <c r="B27" s="12"/>
      <c r="C27" s="248"/>
      <c r="D27" s="316"/>
      <c r="E27" s="297"/>
      <c r="F27" s="231"/>
      <c r="G27" s="282"/>
      <c r="H27" s="231"/>
      <c r="I27" s="231"/>
      <c r="J27" s="231"/>
      <c r="K27" s="231"/>
      <c r="L27" s="231"/>
      <c r="M27" s="231"/>
      <c r="N27" s="28"/>
      <c r="O27" s="28"/>
      <c r="P27" s="28"/>
      <c r="Q27" s="28"/>
      <c r="R27" s="13"/>
    </row>
    <row r="28" spans="1:18" ht="17.5">
      <c r="A28" s="12"/>
      <c r="B28" s="12"/>
      <c r="C28" s="248"/>
      <c r="D28" s="316"/>
      <c r="E28" s="297"/>
      <c r="F28" s="231"/>
      <c r="G28" s="282"/>
      <c r="H28" s="231"/>
      <c r="I28" s="231"/>
      <c r="J28" s="231"/>
      <c r="K28" s="231"/>
      <c r="L28" s="231"/>
      <c r="M28" s="231"/>
      <c r="N28" s="28"/>
      <c r="O28" s="28"/>
      <c r="P28" s="28"/>
      <c r="Q28" s="28"/>
      <c r="R28" s="13"/>
    </row>
    <row r="29" spans="1:18" ht="17.5">
      <c r="A29" s="12"/>
      <c r="B29" s="12"/>
      <c r="C29" s="206"/>
      <c r="D29" s="316"/>
      <c r="E29" s="297"/>
      <c r="F29" s="293"/>
      <c r="G29" s="282"/>
      <c r="H29" s="231"/>
      <c r="I29" s="231"/>
      <c r="J29" s="231"/>
      <c r="K29" s="231"/>
      <c r="L29" s="231"/>
      <c r="M29" s="231"/>
      <c r="N29" s="28"/>
      <c r="O29" s="28"/>
      <c r="P29" s="28"/>
      <c r="Q29" s="28"/>
      <c r="R29" s="13"/>
    </row>
    <row r="30" spans="1:18" ht="17.5">
      <c r="A30" s="12"/>
      <c r="B30" s="12"/>
      <c r="C30" s="206"/>
      <c r="D30" s="316"/>
      <c r="E30" s="297"/>
      <c r="F30" s="293"/>
      <c r="G30" s="282"/>
      <c r="H30" s="231"/>
      <c r="I30" s="231"/>
      <c r="J30" s="231"/>
      <c r="K30" s="231"/>
      <c r="L30" s="231"/>
      <c r="M30" s="231"/>
      <c r="N30" s="28"/>
      <c r="O30" s="28"/>
      <c r="P30" s="28"/>
      <c r="Q30" s="28"/>
      <c r="R30" s="13"/>
    </row>
    <row r="31" spans="1:18" ht="17.5">
      <c r="A31" s="12"/>
      <c r="B31" s="12"/>
      <c r="C31" s="206"/>
      <c r="D31" s="316"/>
      <c r="E31" s="297"/>
      <c r="F31" s="293"/>
      <c r="G31" s="282"/>
      <c r="H31" s="231"/>
      <c r="I31" s="231"/>
      <c r="J31" s="231"/>
      <c r="K31" s="231"/>
      <c r="L31" s="231"/>
      <c r="M31" s="231"/>
      <c r="N31" s="28"/>
      <c r="O31" s="28"/>
      <c r="P31" s="28"/>
      <c r="Q31" s="28"/>
      <c r="R31" s="13"/>
    </row>
    <row r="32" spans="1:18" ht="17.5">
      <c r="A32" s="12"/>
      <c r="B32" s="12"/>
      <c r="C32" s="206"/>
      <c r="D32" s="316"/>
      <c r="E32" s="297"/>
      <c r="F32" s="293"/>
      <c r="G32" s="282"/>
      <c r="H32" s="231"/>
      <c r="I32" s="231"/>
      <c r="J32" s="231"/>
      <c r="K32" s="231"/>
      <c r="L32" s="231"/>
      <c r="M32" s="231"/>
      <c r="N32" s="28"/>
      <c r="O32" s="28"/>
      <c r="P32" s="28"/>
      <c r="Q32" s="28"/>
      <c r="R32" s="13"/>
    </row>
    <row r="33" spans="1:18" ht="15.5">
      <c r="A33" s="456" t="s">
        <v>89</v>
      </c>
      <c r="B33" s="457"/>
      <c r="C33" s="458"/>
      <c r="D33" s="286"/>
      <c r="E33" s="280"/>
      <c r="F33" s="265"/>
      <c r="G33" s="281"/>
      <c r="H33" s="271">
        <f t="shared" ref="H33:M33" si="0">SUM(H15:H32)</f>
        <v>0</v>
      </c>
      <c r="I33" s="271">
        <f t="shared" si="0"/>
        <v>0</v>
      </c>
      <c r="J33" s="271">
        <f>SUM(J15:J32)</f>
        <v>0</v>
      </c>
      <c r="K33" s="271">
        <f>SUM(K15:K32)</f>
        <v>0</v>
      </c>
      <c r="L33" s="271">
        <f t="shared" si="0"/>
        <v>0</v>
      </c>
      <c r="M33" s="271">
        <f t="shared" si="0"/>
        <v>0</v>
      </c>
      <c r="N33" s="23"/>
      <c r="O33" s="23"/>
      <c r="P33" s="23"/>
      <c r="Q33" s="23"/>
      <c r="R33" s="25"/>
    </row>
    <row r="34" spans="1:18" ht="15.5">
      <c r="A34" s="92" t="str">
        <f>IF(AE63,AE65,"")</f>
        <v/>
      </c>
      <c r="B34" s="162"/>
      <c r="C34" s="162"/>
      <c r="D34" s="162"/>
      <c r="E34" s="162"/>
      <c r="F34" s="162"/>
      <c r="G34" s="162"/>
      <c r="H34" s="162"/>
      <c r="I34" s="162"/>
      <c r="J34" s="162"/>
      <c r="K34" s="162"/>
      <c r="L34" s="162"/>
      <c r="M34" s="162"/>
      <c r="N34" s="162"/>
      <c r="O34" s="162"/>
      <c r="P34" s="162"/>
      <c r="Q34" s="162"/>
      <c r="R34" s="162"/>
    </row>
    <row r="35" spans="1:18" ht="15.5">
      <c r="A35" s="401" t="s">
        <v>262</v>
      </c>
      <c r="B35" s="402"/>
      <c r="C35" s="402"/>
      <c r="D35" s="402"/>
      <c r="E35" s="402"/>
      <c r="F35" s="402"/>
      <c r="G35" s="402"/>
      <c r="H35" s="402"/>
      <c r="I35" s="402"/>
      <c r="J35" s="402"/>
      <c r="K35" s="402"/>
      <c r="L35" s="402"/>
      <c r="M35" s="402"/>
      <c r="N35" s="402"/>
      <c r="O35" s="402"/>
      <c r="P35" s="402"/>
      <c r="Q35" s="402"/>
      <c r="R35" s="403"/>
    </row>
    <row r="36" spans="1:18" ht="48.75" customHeight="1">
      <c r="A36" s="393" t="s">
        <v>434</v>
      </c>
      <c r="B36" s="394"/>
      <c r="C36" s="394"/>
      <c r="D36" s="394"/>
      <c r="E36" s="394"/>
      <c r="F36" s="394"/>
      <c r="G36" s="394"/>
      <c r="H36" s="394"/>
      <c r="I36" s="394"/>
      <c r="J36" s="394"/>
      <c r="K36" s="394"/>
      <c r="L36" s="394"/>
      <c r="M36" s="394"/>
      <c r="N36" s="394"/>
      <c r="O36" s="394"/>
      <c r="P36" s="394"/>
      <c r="Q36" s="394"/>
      <c r="R36" s="395"/>
    </row>
    <row r="37" spans="1:18" ht="15.5">
      <c r="A37" s="460" t="s">
        <v>390</v>
      </c>
      <c r="B37" s="461"/>
      <c r="C37" s="461"/>
      <c r="D37" s="461"/>
      <c r="E37" s="461"/>
      <c r="F37" s="461"/>
      <c r="G37" s="461"/>
      <c r="H37" s="461"/>
      <c r="I37" s="461"/>
      <c r="J37" s="461"/>
      <c r="K37" s="461"/>
      <c r="L37" s="461"/>
      <c r="M37" s="461"/>
      <c r="N37" s="461"/>
      <c r="O37" s="461"/>
      <c r="P37" s="461"/>
      <c r="Q37" s="461"/>
      <c r="R37" s="462"/>
    </row>
    <row r="38" spans="1:18" ht="39.75" customHeight="1">
      <c r="A38" s="463" t="s">
        <v>392</v>
      </c>
      <c r="B38" s="464"/>
      <c r="C38" s="464"/>
      <c r="D38" s="464"/>
      <c r="E38" s="464"/>
      <c r="F38" s="464"/>
      <c r="G38" s="464"/>
      <c r="H38" s="464"/>
      <c r="I38" s="464"/>
      <c r="J38" s="464"/>
      <c r="K38" s="464"/>
      <c r="L38" s="464"/>
      <c r="M38" s="464"/>
      <c r="N38" s="464"/>
      <c r="O38" s="464"/>
      <c r="P38" s="464"/>
      <c r="Q38" s="464"/>
      <c r="R38" s="465"/>
    </row>
    <row r="39" spans="1:18" ht="15.5">
      <c r="A39" s="413" t="s">
        <v>221</v>
      </c>
      <c r="B39" s="414"/>
      <c r="C39" s="414"/>
      <c r="D39" s="414"/>
      <c r="E39" s="414"/>
      <c r="F39" s="414"/>
      <c r="G39" s="414"/>
      <c r="H39" s="414"/>
      <c r="I39" s="414"/>
      <c r="J39" s="414"/>
      <c r="K39" s="414"/>
      <c r="L39" s="414"/>
      <c r="M39" s="414"/>
      <c r="N39" s="414"/>
      <c r="O39" s="414"/>
      <c r="P39" s="414"/>
      <c r="Q39" s="414"/>
      <c r="R39" s="415"/>
    </row>
    <row r="40" spans="1:18" ht="62.25" customHeight="1">
      <c r="A40" s="396" t="s">
        <v>370</v>
      </c>
      <c r="B40" s="397"/>
      <c r="C40" s="397"/>
      <c r="D40" s="397"/>
      <c r="E40" s="397"/>
      <c r="F40" s="397"/>
      <c r="G40" s="397"/>
      <c r="H40" s="397"/>
      <c r="I40" s="397"/>
      <c r="J40" s="397"/>
      <c r="K40" s="397"/>
      <c r="L40" s="397"/>
      <c r="M40" s="397"/>
      <c r="N40" s="397"/>
      <c r="O40" s="397"/>
      <c r="P40" s="397"/>
      <c r="Q40" s="397"/>
      <c r="R40" s="398"/>
    </row>
  </sheetData>
  <mergeCells count="33">
    <mergeCell ref="A37:R37"/>
    <mergeCell ref="A38:R38"/>
    <mergeCell ref="A39:R39"/>
    <mergeCell ref="A40:R40"/>
    <mergeCell ref="H9:Q9"/>
    <mergeCell ref="R9:R13"/>
    <mergeCell ref="H10:Q10"/>
    <mergeCell ref="A33:C33"/>
    <mergeCell ref="A35:R35"/>
    <mergeCell ref="A36:R36"/>
    <mergeCell ref="A6:R6"/>
    <mergeCell ref="A7:R7"/>
    <mergeCell ref="A8:R8"/>
    <mergeCell ref="A9:A13"/>
    <mergeCell ref="B9:B13"/>
    <mergeCell ref="C9:C13"/>
    <mergeCell ref="D9:D13"/>
    <mergeCell ref="E9:E13"/>
    <mergeCell ref="F9:F13"/>
    <mergeCell ref="G9:G13"/>
    <mergeCell ref="J4:L4"/>
    <mergeCell ref="M4:R4"/>
    <mergeCell ref="A5:C5"/>
    <mergeCell ref="D5:G5"/>
    <mergeCell ref="H5:I5"/>
    <mergeCell ref="J5:L5"/>
    <mergeCell ref="M5:R5"/>
    <mergeCell ref="A1:C1"/>
    <mergeCell ref="A2:C2"/>
    <mergeCell ref="F2:I2"/>
    <mergeCell ref="F3:I3"/>
    <mergeCell ref="A4:C4"/>
    <mergeCell ref="D4:G4"/>
  </mergeCells>
  <dataValidations count="3">
    <dataValidation type="list" allowBlank="1" showInputMessage="1" showErrorMessage="1" promptTitle="Choose Management" sqref="C31:C32">
      <formula1>$AE$51:$AE$60</formula1>
    </dataValidation>
    <dataValidation type="list" allowBlank="1" showInputMessage="1" showErrorMessage="1" promptTitle="Choose Management" sqref="C29:C30">
      <formula1>$AE$39:$AE$48</formula1>
    </dataValidation>
    <dataValidation type="list" allowBlank="1" showInputMessage="1" showErrorMessage="1" promptTitle="Choose Management" sqref="C27:C28">
      <formula1>$AE$29:$AE$38</formula1>
    </dataValidation>
  </dataValidations>
  <pageMargins left="0.24" right="0.19" top="0.48" bottom="0.42" header="0.3" footer="0.3"/>
  <pageSetup scale="50" orientation="landscape" r:id="rId1"/>
  <headerFooter>
    <oddFooter>&amp;CThe signature of the NRCS representative signifies a CCC or NRCS transaction as indicated above&amp;RAD-1155
Exp. 9/30/2007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3</xdr:col>
                    <xdr:colOff>177800</xdr:colOff>
                    <xdr:row>0</xdr:row>
                    <xdr:rowOff>38100</xdr:rowOff>
                  </from>
                  <to>
                    <xdr:col>3</xdr:col>
                    <xdr:colOff>381000</xdr:colOff>
                    <xdr:row>0</xdr:row>
                    <xdr:rowOff>184150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7</xdr:col>
                    <xdr:colOff>215900</xdr:colOff>
                    <xdr:row>0</xdr:row>
                    <xdr:rowOff>38100</xdr:rowOff>
                  </from>
                  <to>
                    <xdr:col>8</xdr:col>
                    <xdr:colOff>63500</xdr:colOff>
                    <xdr:row>0</xdr:row>
                    <xdr:rowOff>177800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R6"/>
  <sheetViews>
    <sheetView workbookViewId="0">
      <selection activeCell="A2" sqref="A2:R2"/>
    </sheetView>
  </sheetViews>
  <sheetFormatPr defaultRowHeight="12.5"/>
  <sheetData>
    <row r="1" spans="1:18" ht="15.5">
      <c r="A1" s="401" t="s">
        <v>262</v>
      </c>
      <c r="B1" s="402"/>
      <c r="C1" s="402"/>
      <c r="D1" s="402"/>
      <c r="E1" s="402"/>
      <c r="F1" s="402"/>
      <c r="G1" s="402"/>
      <c r="H1" s="402"/>
      <c r="I1" s="402"/>
      <c r="J1" s="402"/>
      <c r="K1" s="402"/>
      <c r="L1" s="402"/>
      <c r="M1" s="402"/>
      <c r="N1" s="402"/>
      <c r="O1" s="402"/>
      <c r="P1" s="402"/>
      <c r="Q1" s="402"/>
      <c r="R1" s="403"/>
    </row>
    <row r="2" spans="1:18" ht="74.25" customHeight="1">
      <c r="A2" s="393" t="s">
        <v>434</v>
      </c>
      <c r="B2" s="394"/>
      <c r="C2" s="394"/>
      <c r="D2" s="394"/>
      <c r="E2" s="394"/>
      <c r="F2" s="394"/>
      <c r="G2" s="394"/>
      <c r="H2" s="394"/>
      <c r="I2" s="394"/>
      <c r="J2" s="394"/>
      <c r="K2" s="394"/>
      <c r="L2" s="394"/>
      <c r="M2" s="394"/>
      <c r="N2" s="394"/>
      <c r="O2" s="394"/>
      <c r="P2" s="394"/>
      <c r="Q2" s="394"/>
      <c r="R2" s="395"/>
    </row>
    <row r="3" spans="1:18" ht="15.5">
      <c r="A3" s="460" t="s">
        <v>390</v>
      </c>
      <c r="B3" s="461"/>
      <c r="C3" s="461"/>
      <c r="D3" s="461"/>
      <c r="E3" s="461"/>
      <c r="F3" s="461"/>
      <c r="G3" s="461"/>
      <c r="H3" s="461"/>
      <c r="I3" s="461"/>
      <c r="J3" s="461"/>
      <c r="K3" s="461"/>
      <c r="L3" s="461"/>
      <c r="M3" s="461"/>
      <c r="N3" s="461"/>
      <c r="O3" s="461"/>
      <c r="P3" s="461"/>
      <c r="Q3" s="461"/>
      <c r="R3" s="462"/>
    </row>
    <row r="4" spans="1:18" ht="63.75" customHeight="1">
      <c r="A4" s="534" t="s">
        <v>392</v>
      </c>
      <c r="B4" s="464"/>
      <c r="C4" s="464"/>
      <c r="D4" s="464"/>
      <c r="E4" s="464"/>
      <c r="F4" s="464"/>
      <c r="G4" s="464"/>
      <c r="H4" s="464"/>
      <c r="I4" s="464"/>
      <c r="J4" s="464"/>
      <c r="K4" s="464"/>
      <c r="L4" s="464"/>
      <c r="M4" s="464"/>
      <c r="N4" s="464"/>
      <c r="O4" s="464"/>
      <c r="P4" s="464"/>
      <c r="Q4" s="464"/>
      <c r="R4" s="465"/>
    </row>
    <row r="5" spans="1:18" ht="15.5">
      <c r="A5" s="413" t="s">
        <v>221</v>
      </c>
      <c r="B5" s="414"/>
      <c r="C5" s="414"/>
      <c r="D5" s="414"/>
      <c r="E5" s="414"/>
      <c r="F5" s="414"/>
      <c r="G5" s="414"/>
      <c r="H5" s="414"/>
      <c r="I5" s="414"/>
      <c r="J5" s="414"/>
      <c r="K5" s="414"/>
      <c r="L5" s="414"/>
      <c r="M5" s="414"/>
      <c r="N5" s="414"/>
      <c r="O5" s="414"/>
      <c r="P5" s="414"/>
      <c r="Q5" s="414"/>
      <c r="R5" s="415"/>
    </row>
    <row r="6" spans="1:18" ht="94.5" customHeight="1">
      <c r="A6" s="396" t="s">
        <v>370</v>
      </c>
      <c r="B6" s="397"/>
      <c r="C6" s="397"/>
      <c r="D6" s="397"/>
      <c r="E6" s="397"/>
      <c r="F6" s="397"/>
      <c r="G6" s="397"/>
      <c r="H6" s="397"/>
      <c r="I6" s="397"/>
      <c r="J6" s="397"/>
      <c r="K6" s="397"/>
      <c r="L6" s="397"/>
      <c r="M6" s="397"/>
      <c r="N6" s="397"/>
      <c r="O6" s="397"/>
      <c r="P6" s="397"/>
      <c r="Q6" s="397"/>
      <c r="R6" s="398"/>
    </row>
  </sheetData>
  <mergeCells count="6">
    <mergeCell ref="A6:R6"/>
    <mergeCell ref="A1:R1"/>
    <mergeCell ref="A2:R2"/>
    <mergeCell ref="A3:R3"/>
    <mergeCell ref="A4:R4"/>
    <mergeCell ref="A5:R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61</vt:i4>
      </vt:variant>
      <vt:variant>
        <vt:lpstr>Named Ranges</vt:lpstr>
      </vt:variant>
      <vt:variant>
        <vt:i4>41</vt:i4>
      </vt:variant>
    </vt:vector>
  </HeadingPairs>
  <TitlesOfParts>
    <vt:vector size="102" baseType="lpstr">
      <vt:lpstr>Instructions</vt:lpstr>
      <vt:lpstr>CRPSignature Page</vt:lpstr>
      <vt:lpstr>existCP1</vt:lpstr>
      <vt:lpstr>CP1</vt:lpstr>
      <vt:lpstr>existCP2</vt:lpstr>
      <vt:lpstr>CP2</vt:lpstr>
      <vt:lpstr>existCP3</vt:lpstr>
      <vt:lpstr>CP3</vt:lpstr>
      <vt:lpstr>existCP3A</vt:lpstr>
      <vt:lpstr>CP3A</vt:lpstr>
      <vt:lpstr>CP3A year 2</vt:lpstr>
      <vt:lpstr>CP3A year 3</vt:lpstr>
      <vt:lpstr>existCP4B</vt:lpstr>
      <vt:lpstr>CP4B</vt:lpstr>
      <vt:lpstr>existCP4D</vt:lpstr>
      <vt:lpstr>CP4D</vt:lpstr>
      <vt:lpstr>existCP5A</vt:lpstr>
      <vt:lpstr>CP5A</vt:lpstr>
      <vt:lpstr>existCP8A</vt:lpstr>
      <vt:lpstr>CP8A</vt:lpstr>
      <vt:lpstr>existCP9</vt:lpstr>
      <vt:lpstr>CP9</vt:lpstr>
      <vt:lpstr>CP10</vt:lpstr>
      <vt:lpstr>CP12</vt:lpstr>
      <vt:lpstr>existCP15A</vt:lpstr>
      <vt:lpstr>CP15A</vt:lpstr>
      <vt:lpstr>existCP15B</vt:lpstr>
      <vt:lpstr>CP15B</vt:lpstr>
      <vt:lpstr>existCP16A</vt:lpstr>
      <vt:lpstr>CP16A</vt:lpstr>
      <vt:lpstr>existCP17A</vt:lpstr>
      <vt:lpstr>CP17A</vt:lpstr>
      <vt:lpstr>existCP21</vt:lpstr>
      <vt:lpstr>CP21</vt:lpstr>
      <vt:lpstr>existCP22</vt:lpstr>
      <vt:lpstr>CP22</vt:lpstr>
      <vt:lpstr>existCP23&amp;23A</vt:lpstr>
      <vt:lpstr>CP23&amp;23A</vt:lpstr>
      <vt:lpstr>existCP23&amp;23ABuffer</vt:lpstr>
      <vt:lpstr>CP23&amp;23ABuffer</vt:lpstr>
      <vt:lpstr>existCP25P</vt:lpstr>
      <vt:lpstr>CP25 Prairie</vt:lpstr>
      <vt:lpstr>existCP25S</vt:lpstr>
      <vt:lpstr>CP25 Savanna</vt:lpstr>
      <vt:lpstr>existCP27</vt:lpstr>
      <vt:lpstr>CP27</vt:lpstr>
      <vt:lpstr>existCP28</vt:lpstr>
      <vt:lpstr>CP28</vt:lpstr>
      <vt:lpstr>existCP29</vt:lpstr>
      <vt:lpstr>CP29</vt:lpstr>
      <vt:lpstr>existCP30</vt:lpstr>
      <vt:lpstr>CP30</vt:lpstr>
      <vt:lpstr>existCP31</vt:lpstr>
      <vt:lpstr>CP31</vt:lpstr>
      <vt:lpstr>CP33</vt:lpstr>
      <vt:lpstr>existCP42</vt:lpstr>
      <vt:lpstr>CP42</vt:lpstr>
      <vt:lpstr>AD1156</vt:lpstr>
      <vt:lpstr>Component List</vt:lpstr>
      <vt:lpstr>Template</vt:lpstr>
      <vt:lpstr>Disclosures</vt:lpstr>
      <vt:lpstr>Choose_Year_1____2__Management_Practice_Reenroll</vt:lpstr>
      <vt:lpstr>CRAS______1st_2nd_Year_MANAGEMENT_BURNING</vt:lpstr>
      <vt:lpstr>'AD1156'!Print_Area</vt:lpstr>
      <vt:lpstr>'CP1'!Print_Area</vt:lpstr>
      <vt:lpstr>'CP12'!Print_Area</vt:lpstr>
      <vt:lpstr>CP15A!Print_Area</vt:lpstr>
      <vt:lpstr>CP15B!Print_Area</vt:lpstr>
      <vt:lpstr>CP16A!Print_Area</vt:lpstr>
      <vt:lpstr>CP17A!Print_Area</vt:lpstr>
      <vt:lpstr>'CP2'!Print_Area</vt:lpstr>
      <vt:lpstr>'CP21'!Print_Area</vt:lpstr>
      <vt:lpstr>'CP22'!Print_Area</vt:lpstr>
      <vt:lpstr>'CP23&amp;23A'!Print_Area</vt:lpstr>
      <vt:lpstr>'CP23&amp;23ABuffer'!Print_Area</vt:lpstr>
      <vt:lpstr>'CP25 Prairie'!Print_Area</vt:lpstr>
      <vt:lpstr>'CP25 Savanna'!Print_Area</vt:lpstr>
      <vt:lpstr>'CP27'!Print_Area</vt:lpstr>
      <vt:lpstr>'CP28'!Print_Area</vt:lpstr>
      <vt:lpstr>'CP29'!Print_Area</vt:lpstr>
      <vt:lpstr>'CP3'!Print_Area</vt:lpstr>
      <vt:lpstr>'CP30'!Print_Area</vt:lpstr>
      <vt:lpstr>'CP31'!Print_Area</vt:lpstr>
      <vt:lpstr>'CP33'!Print_Area</vt:lpstr>
      <vt:lpstr>CP3A!Print_Area</vt:lpstr>
      <vt:lpstr>'CP3A year 2'!Print_Area</vt:lpstr>
      <vt:lpstr>'CP3A year 3'!Print_Area</vt:lpstr>
      <vt:lpstr>'CP42'!Print_Area</vt:lpstr>
      <vt:lpstr>CP4B!Print_Area</vt:lpstr>
      <vt:lpstr>CP4D!Print_Area</vt:lpstr>
      <vt:lpstr>CP5A!Print_Area</vt:lpstr>
      <vt:lpstr>CP8A!Print_Area</vt:lpstr>
      <vt:lpstr>'CP9'!Print_Area</vt:lpstr>
      <vt:lpstr>'CRPSignature Page'!Print_Area</vt:lpstr>
      <vt:lpstr>existCP1!Print_Area</vt:lpstr>
      <vt:lpstr>existCP2!Print_Area</vt:lpstr>
      <vt:lpstr>existCP25P!Print_Area</vt:lpstr>
      <vt:lpstr>existCP25S!Print_Area</vt:lpstr>
      <vt:lpstr>existCP3!Print_Area</vt:lpstr>
      <vt:lpstr>existCP3A!Print_Area</vt:lpstr>
      <vt:lpstr>existCP4B!Print_Area</vt:lpstr>
      <vt:lpstr>existCP4D!Print_Area</vt:lpstr>
    </vt:vector>
  </TitlesOfParts>
  <Company>Dell Computer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john.pingry</dc:creator>
  <cp:lastModifiedBy>Pingry, John - NRCS, Madison, WI</cp:lastModifiedBy>
  <cp:lastPrinted>2012-04-17T20:33:04Z</cp:lastPrinted>
  <dcterms:created xsi:type="dcterms:W3CDTF">2000-10-12T14:52:31Z</dcterms:created>
  <dcterms:modified xsi:type="dcterms:W3CDTF">2014-08-07T17:44:07Z</dcterms:modified>
</cp:coreProperties>
</file>