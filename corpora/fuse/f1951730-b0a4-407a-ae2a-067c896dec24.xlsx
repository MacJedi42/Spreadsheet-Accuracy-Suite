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080" windowHeight="9345" activeTab="1"/>
  </bookViews>
  <sheets>
    <sheet name="Data" sheetId="1" r:id="rId1"/>
    <sheet name="New Figure 17" sheetId="3" r:id="rId2"/>
  </sheets>
  <externalReferences>
    <externalReference r:id="rId3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32" i="1" l="1"/>
  <c r="E232" i="1"/>
  <c r="C232" i="1"/>
  <c r="F232" i="1"/>
  <c r="G231" i="1" l="1"/>
  <c r="F231" i="1"/>
  <c r="E231" i="1"/>
  <c r="C231" i="1"/>
  <c r="G230" i="1" l="1"/>
  <c r="F230" i="1"/>
  <c r="E230" i="1"/>
  <c r="C230" i="1"/>
  <c r="G229" i="1" l="1"/>
  <c r="F229" i="1"/>
  <c r="E229" i="1"/>
  <c r="C229" i="1"/>
  <c r="G228" i="1" l="1"/>
  <c r="F228" i="1"/>
  <c r="E228" i="1"/>
  <c r="C228" i="1"/>
  <c r="G227" i="1" l="1"/>
  <c r="F227" i="1"/>
  <c r="E227" i="1"/>
  <c r="C227" i="1"/>
  <c r="G226" i="1" l="1"/>
  <c r="F226" i="1"/>
  <c r="E226" i="1"/>
  <c r="C226" i="1"/>
  <c r="G225" i="1"/>
  <c r="F225" i="1"/>
  <c r="E225" i="1"/>
  <c r="C225" i="1"/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<sst xmlns="http://schemas.openxmlformats.org/spreadsheetml/2006/main" count="242" uniqueCount="238">
  <si>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</si>
  <si>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</si>
  <si>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</si>
  <si>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</si>
  <si>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</si>
  <si>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</si>
  <si>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</si>
  <si>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</si>
  <si>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</si>
  <si>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</si>
  <si>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</si>
  <si>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</si>
  <si>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</si>
  <si>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</si>
  <si>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</si>
  <si>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</si>
  <si>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</si>
  <si>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</si>
  <si>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</si>
  <si>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</si>
  <si>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</si>
  <si>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</si>
  <si>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</si>
  <si>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</si>
  <si>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</si>
  <si>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</si>
  <si>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</si>
  <si>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</si>
  <si>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</si>
  <si>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</si>
  <si>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</si>
  <si>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</si>
  <si>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</si>
  <si>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</si>
  <si>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</si>
  <si>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</si>
  <si>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</si>
  <si>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</si>
  <si>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</si>
  <si>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</si>
  <si>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</si>
  <si>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</si>
  <si>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</si>
  <si>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</si>
  <si>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</si>
  <si>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</si>
  <si>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</si>
  <si>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</si>
  <si>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</si>
  <si>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</si>
  <si>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</si>
  <si>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</si>
  <si>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</si>
  <si>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</si>
  <si>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</si>
  <si>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</si>
  <si>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</si>
  <si>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</si>
  <si>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</si>
  <si>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</si>
  <si>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</si>
  <si>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</si>
  <si>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</si>
  <si>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</si>
  <si>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</si>
  <si>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</si>
  <si>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</si>
  <si>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</si>
  <si>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</si>
  <si>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</si>
  <si>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</si>
  <si>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</si>
  <si>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</si>
  <si>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</si>
  <si>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</si>
  <si>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</si>
  <si>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</si>
  <si>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</si>
  <si>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</si>
  <si>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</si>
  <si>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</si>
  <si>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</si>
  <si>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</si>
  <si>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</si>
  <si>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</si>
  <si>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</si>
  <si>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</si>
  <si>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</si>
  <si>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</si>
  <si>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</si>
  <si>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</si>
  <si>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</si>
  <si>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</si>
  <si>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</si>
  <si>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</si>
  <si>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</si>
  <si>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</si>
  <si>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</si>
  <si>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</si>
  <si>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</si>
  <si>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</si>
  <si>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</si>
  <si>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</si>
  <si>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</si>
  <si>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</si>
  <si>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</si>
  <si>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</si>
  <si>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</si>
  <si>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</si>
  <si>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</si>
  <si>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</si>
  <si>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</si>
  <si>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</si>
  <si>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</si>
  <si>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</si>
  <si>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</si>
  <si>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</si>
  <si>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</si>
  <si>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</si>
  <si>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</si>
  <si>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</si>
  <si>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</si>
  <si>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</si>
  <si>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</si>
  <si>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</si>
  <si>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</si>
  <si>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</si>
  <si>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</si>
  <si>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</si>
  <si>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</si>
  <si>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</si>
  <si>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</si>
  <si>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</si>
  <si>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</si>
  <si>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</si>
  <si>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</si>
  <si>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</si>
  <si>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</si>
  <si>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</si>
  <si>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</si>
  <si>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</si>
  <si>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</si>
  <si>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</si>
  <si>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</si>
  <si>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</si>
  <si>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</si>
  <si>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</si>
  <si>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</si>
  <si>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</si>
  <si>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</si>
  <si>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</si>
  <si>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</si>
  <si>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</si>
  <si>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</si>
  <si>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</si>
  <si>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</si>
  <si>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</si>
  <si>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</si>
  <si>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</si>
  <si>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</si>
  <si>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</si>
  <si>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</si>
  <si>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</si>
  <si>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</si>
  <si>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</si>
  <si>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</si>
  <si>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</si>
  <si>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</si>
  <si>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</si>
  <si>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</si>
  <si>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</si>
  <si>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</si>
  <si>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</si>
  <si>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</si>
  <si>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</si>
  <si>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</si>
  <si>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</si>
  <si>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</si>
  <si>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</si>
  <si>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</si>
  <si>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</si>
  <si>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</si>
  <si>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</si>
  <si>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</si>
  <si>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</si>
  <si>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</si>
  <si>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</si>
  <si>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</si>
  <si>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</si>
  <si>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</si>
  <si>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</si>
  <si>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</si>
  <si>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</si>
  <si>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</si>
  <si>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</si>
  <si>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</si>
  <si>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</si>
  <si>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</si>
  <si>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</si>
  <si>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</si>
  <si>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</si>
  <si>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</si>
  <si>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</si>
  <si>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</si>
  <si>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</si>
  <si>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</si>
  <si>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</si>
  <si>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</si>
  <si>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</si>
  <si>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</si>
  <si>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</si>
  <si>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</si>
  <si>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</si>
  <si>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</si>
  <si>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</si>
  <si>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</si>
  <si>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</si>
  <si>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</si>
  <si>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</si>
  <si>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</si>
  <si>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</si>
  <si>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</si>
  <si>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</si>
  <si>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</si>
  <si>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</si>
  <si>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</si>
  <si>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</si>
  <si>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</si>
  <si>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</si>
  <si>
    <t>Mar. 14</t>
  </si>
  <si>
    <t>Apr. 14</t>
  </si>
  <si>
    <t>May 14</t>
  </si>
  <si>
    <t xml:space="preserve">Data Source:  O'Neil Commodity Consulting </t>
  </si>
  <si>
    <t>June 14</t>
  </si>
  <si>
    <t>July 14</t>
  </si>
  <si>
    <t>Aug. 14</t>
  </si>
  <si>
    <t>Sept. 14</t>
  </si>
  <si>
    <t>Oct.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</si>
</sst>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Data!$F$208:$F$232</c:f>
              <c:numCache>
                <c:formatCode>"$"#,##0.00_);\("$"#,##0.00\)</c:formatCode>
                <c:ptCount val="25"/>
                <c:pt idx="0">
                  <c:v>21.380000000000003</c:v>
                </c:pt>
                <c:pt idx="1">
                  <c:v>20.3</c:v>
                </c:pt>
                <c:pt idx="2">
                  <c:v>21.130000000000003</c:v>
                </c:pt>
                <c:pt idx="3">
                  <c:v>21</c:v>
                </c:pt>
                <c:pt idx="4">
                  <c:v>21.87</c:v>
                </c:pt>
                <c:pt idx="5">
                  <c:v>22.800000000000004</c:v>
                </c:pt>
                <c:pt idx="6">
                  <c:v>22.37</c:v>
                </c:pt>
                <c:pt idx="7">
                  <c:v>21.200000000000003</c:v>
                </c:pt>
                <c:pt idx="8">
                  <c:v>21.750000000000004</c:v>
                </c:pt>
                <c:pt idx="9">
                  <c:v>21.69</c:v>
                </c:pt>
                <c:pt idx="10">
                  <c:v>21.05</c:v>
                </c:pt>
                <c:pt idx="11">
                  <c:v>20.75</c:v>
                </c:pt>
                <c:pt idx="12">
                  <c:v>23.630000000000003</c:v>
                </c:pt>
                <c:pt idx="13">
                  <c:v>24.799999999999997</c:v>
                </c:pt>
                <c:pt idx="14">
                  <c:v>27.12</c:v>
                </c:pt>
                <c:pt idx="15">
                  <c:v>28.5</c:v>
                </c:pt>
                <c:pt idx="16">
                  <c:v>25.630000000000003</c:v>
                </c:pt>
                <c:pt idx="17">
                  <c:v>23.630000000000003</c:v>
                </c:pt>
                <c:pt idx="18">
                  <c:v>22</c:v>
                </c:pt>
                <c:pt idx="19">
                  <c:v>20.799999999999997</c:v>
                </c:pt>
                <c:pt idx="20">
                  <c:v>20.630000000000003</c:v>
                </c:pt>
                <c:pt idx="21">
                  <c:v>19.070000000000004</c:v>
                </c:pt>
                <c:pt idx="22">
                  <c:v>19.150000000000002</c:v>
                </c:pt>
                <c:pt idx="23">
                  <c:v>20.380000000000003</c:v>
                </c:pt>
                <c:pt idx="24">
                  <c:v>21.3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909760"/>
        <c:axId val="61548224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Data!$B$208:$B$232</c:f>
              <c:numCache>
                <c:formatCode>"$"#,##0.00_);\("$"#,##0.00\)</c:formatCode>
                <c:ptCount val="25"/>
                <c:pt idx="0">
                  <c:v>48.63</c:v>
                </c:pt>
                <c:pt idx="1">
                  <c:v>46.5</c:v>
                </c:pt>
                <c:pt idx="2">
                  <c:v>45.38</c:v>
                </c:pt>
                <c:pt idx="3">
                  <c:v>45.75</c:v>
                </c:pt>
                <c:pt idx="4">
                  <c:v>46.25</c:v>
                </c:pt>
                <c:pt idx="5">
                  <c:v>48.2</c:v>
                </c:pt>
                <c:pt idx="6">
                  <c:v>47.25</c:v>
                </c:pt>
                <c:pt idx="7">
                  <c:v>44.7</c:v>
                </c:pt>
                <c:pt idx="8">
                  <c:v>45.38</c:v>
                </c:pt>
                <c:pt idx="9">
                  <c:v>45.88</c:v>
                </c:pt>
                <c:pt idx="10">
                  <c:v>45.5</c:v>
                </c:pt>
                <c:pt idx="11">
                  <c:v>52</c:v>
                </c:pt>
                <c:pt idx="12">
                  <c:v>56.13</c:v>
                </c:pt>
                <c:pt idx="13">
                  <c:v>53.9</c:v>
                </c:pt>
                <c:pt idx="14">
                  <c:v>57.25</c:v>
                </c:pt>
                <c:pt idx="15">
                  <c:v>56.9</c:v>
                </c:pt>
                <c:pt idx="16">
                  <c:v>53.38</c:v>
                </c:pt>
                <c:pt idx="17">
                  <c:v>52.38</c:v>
                </c:pt>
                <c:pt idx="18">
                  <c:v>48.75</c:v>
                </c:pt>
                <c:pt idx="19">
                  <c:v>46.8</c:v>
                </c:pt>
                <c:pt idx="20">
                  <c:v>43.63</c:v>
                </c:pt>
                <c:pt idx="21">
                  <c:v>42.63</c:v>
                </c:pt>
                <c:pt idx="22">
                  <c:v>43.2</c:v>
                </c:pt>
                <c:pt idx="23">
                  <c:v>46.13</c:v>
                </c:pt>
                <c:pt idx="24">
                  <c:v>46.1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Data!$D$208:$D$232</c:f>
              <c:numCache>
                <c:formatCode>"$"#,##0.00_);\("$"#,##0.00\)</c:formatCode>
                <c:ptCount val="25"/>
                <c:pt idx="0">
                  <c:v>27.25</c:v>
                </c:pt>
                <c:pt idx="1">
                  <c:v>26.2</c:v>
                </c:pt>
                <c:pt idx="2">
                  <c:v>24.25</c:v>
                </c:pt>
                <c:pt idx="3">
                  <c:v>24.75</c:v>
                </c:pt>
                <c:pt idx="4">
                  <c:v>24.38</c:v>
                </c:pt>
                <c:pt idx="5">
                  <c:v>25.4</c:v>
                </c:pt>
                <c:pt idx="6">
                  <c:v>24.88</c:v>
                </c:pt>
                <c:pt idx="7">
                  <c:v>23.5</c:v>
                </c:pt>
                <c:pt idx="8">
                  <c:v>23.63</c:v>
                </c:pt>
                <c:pt idx="9">
                  <c:v>24.19</c:v>
                </c:pt>
                <c:pt idx="10">
                  <c:v>24.45</c:v>
                </c:pt>
                <c:pt idx="11">
                  <c:v>31.25</c:v>
                </c:pt>
                <c:pt idx="12">
                  <c:v>32.5</c:v>
                </c:pt>
                <c:pt idx="13">
                  <c:v>29.1</c:v>
                </c:pt>
                <c:pt idx="14">
                  <c:v>30.13</c:v>
                </c:pt>
                <c:pt idx="15">
                  <c:v>28.4</c:v>
                </c:pt>
                <c:pt idx="16">
                  <c:v>27.75</c:v>
                </c:pt>
                <c:pt idx="17">
                  <c:v>28.75</c:v>
                </c:pt>
                <c:pt idx="18">
                  <c:v>26.75</c:v>
                </c:pt>
                <c:pt idx="19">
                  <c:v>26</c:v>
                </c:pt>
                <c:pt idx="20">
                  <c:v>23</c:v>
                </c:pt>
                <c:pt idx="21">
                  <c:v>23.56</c:v>
                </c:pt>
                <c:pt idx="22">
                  <c:v>24.05</c:v>
                </c:pt>
                <c:pt idx="23">
                  <c:v>25.75</c:v>
                </c:pt>
                <c:pt idx="24">
                  <c:v>24.8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[1]Data!$B$214</c:f>
              <c:numCache>
                <c:formatCode>General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[1]Data!$C$214</c:f>
              <c:numCache>
                <c:formatCode>General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[1]Data!$D$214</c:f>
              <c:numCache>
                <c:formatCode>General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[1]Data!$E$214</c:f>
              <c:numCache>
                <c:formatCode>General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[1]Data!$F$214</c:f>
              <c:numCache>
                <c:formatCode>General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Data!$A$208:$A$232</c:f>
              <c:strCache>
                <c:ptCount val="25"/>
                <c:pt idx="0">
                  <c:v>Oct. 12</c:v>
                </c:pt>
                <c:pt idx="1">
                  <c:v>Nov. 12</c:v>
                </c:pt>
                <c:pt idx="2">
                  <c:v>Dec. 12</c:v>
                </c:pt>
                <c:pt idx="3">
                  <c:v>Jan. 13</c:v>
                </c:pt>
                <c:pt idx="4">
                  <c:v>Feb. 13</c:v>
                </c:pt>
                <c:pt idx="5">
                  <c:v>Mar. 13</c:v>
                </c:pt>
                <c:pt idx="6">
                  <c:v>Apr. 13</c:v>
                </c:pt>
                <c:pt idx="7">
                  <c:v>May 13</c:v>
                </c:pt>
                <c:pt idx="8">
                  <c:v>June 13</c:v>
                </c:pt>
                <c:pt idx="9">
                  <c:v>July 13</c:v>
                </c:pt>
                <c:pt idx="10">
                  <c:v>Aug. 13</c:v>
                </c:pt>
                <c:pt idx="11">
                  <c:v>Sept. 13</c:v>
                </c:pt>
                <c:pt idx="12">
                  <c:v>Oct. 13</c:v>
                </c:pt>
                <c:pt idx="13">
                  <c:v>Nov. 13</c:v>
                </c:pt>
                <c:pt idx="14">
                  <c:v>Dec. 13</c:v>
                </c:pt>
                <c:pt idx="15">
                  <c:v>Jan. 14</c:v>
                </c:pt>
                <c:pt idx="16">
                  <c:v>Feb. 14</c:v>
                </c:pt>
                <c:pt idx="17">
                  <c:v>Mar. 14</c:v>
                </c:pt>
                <c:pt idx="18">
                  <c:v>Apr. 14</c:v>
                </c:pt>
                <c:pt idx="19">
                  <c:v>May 14</c:v>
                </c:pt>
                <c:pt idx="20">
                  <c:v>June 14</c:v>
                </c:pt>
                <c:pt idx="21">
                  <c:v>July 14</c:v>
                </c:pt>
                <c:pt idx="22">
                  <c:v>Aug. 14</c:v>
                </c:pt>
                <c:pt idx="23">
                  <c:v>Sept. 14</c:v>
                </c:pt>
                <c:pt idx="24">
                  <c:v>Oct. 14</c:v>
                </c:pt>
              </c:strCache>
            </c:strRef>
          </c:cat>
          <c:val>
            <c:numRef>
              <c:f>[1]Data!$G$214</c:f>
              <c:numCache>
                <c:formatCode>General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09248"/>
        <c:axId val="61547648"/>
      </c:lineChart>
      <c:catAx>
        <c:axId val="10590924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547648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61547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909248"/>
        <c:crosses val="autoZero"/>
        <c:crossBetween val="between"/>
      </c:valAx>
      <c:catAx>
        <c:axId val="105909760"/>
        <c:scaling>
          <c:orientation val="minMax"/>
        </c:scaling>
        <c:delete val="1"/>
        <c:axPos val="b"/>
        <c:majorTickMark val="out"/>
        <c:minorTickMark val="none"/>
        <c:tickLblPos val="none"/>
        <c:crossAx val="61548224"/>
        <c:crosses val="autoZero"/>
        <c:auto val="0"/>
        <c:lblAlgn val="ctr"/>
        <c:lblOffset val="100"/>
        <c:noMultiLvlLbl val="0"/>
      </c:catAx>
      <c:valAx>
        <c:axId val="61548224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10590976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0.10898</cdr:x>
      <cdr:y>0.07134</cdr:y>
    </cdr:from>
    <cdr:to>
      <cdr:x>0.52015</cdr:x>
      <cdr:y>0.22701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4411" y="231778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Oct. '14      $46.10    $24.80     $21.30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Oct.. '13        -17.9%     -23.7%     -9.9%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-17.2%     -22.1%   -1072%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20" activePane="bottomLeft" state="frozen"/>
      <selection pane="bottomLeft" activeCell="G232" sqref="G232"/>
    </sheetView>
  </sheetViews>
  <sheetFormatPr defaultColWidth="9.77734375" defaultRowHeight="12.75" x14ac:dyDescent="0.2"/>
  <cols>
    <col min="1" max="1" width="14.109375" style="4" customWidth="1"/>
    <col min="2" max="3" width="11.21875" style="6" customWidth="1"/>
    <col min="4" max="5" width="11.5546875" style="6" customWidth="1"/>
    <col min="6" max="7" width="11" style="7" customWidth="1"/>
    <col min="8" max="16384" width="9.77734375" style="4"/>
  </cols>
  <sheetData>
    <row r="1" spans="1:7" x14ac:dyDescent="0.2">
      <c r="A1" s="1" t="s">
        <v>0</v>
      </c>
      <c r="B1" s="2"/>
      <c r="C1" s="2"/>
      <c r="D1" s="2"/>
      <c r="E1" s="2"/>
      <c r="F1" s="3"/>
      <c r="G1" s="3"/>
    </row>
    <row r="2" spans="1:7" x14ac:dyDescent="0.2">
      <c r="A2" s="1"/>
      <c r="B2" s="2"/>
      <c r="C2" s="2"/>
      <c r="D2" s="2"/>
      <c r="E2" s="2"/>
      <c r="F2" s="3"/>
      <c r="G2" s="3"/>
    </row>
    <row r="3" spans="1:7" x14ac:dyDescent="0.2">
      <c r="A3" s="5" t="s">
        <v>1</v>
      </c>
      <c r="B3" s="2"/>
      <c r="C3" s="2"/>
      <c r="D3" s="2"/>
      <c r="E3" s="2"/>
      <c r="F3" s="3"/>
      <c r="G3" s="3"/>
    </row>
    <row r="5" spans="1:7" x14ac:dyDescent="0.2">
      <c r="B5" s="6" t="s">
        <v>6</v>
      </c>
      <c r="D5" s="6" t="s">
        <v>6</v>
      </c>
      <c r="F5" s="9" t="s">
        <v>4</v>
      </c>
      <c r="G5" s="9"/>
    </row>
    <row r="6" spans="1:7" x14ac:dyDescent="0.2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">
      <c r="A187" s="22" t="s">
        <v>191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">
      <c r="A188" s="22" t="s">
        <v>192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">
      <c r="A189" s="22" t="s">
        <v>193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">
      <c r="A190" s="22" t="s">
        <v>194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">
      <c r="A191" s="23" t="s">
        <v>195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">
      <c r="A192" s="23" t="s">
        <v>196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">
      <c r="A193" s="23" t="s">
        <v>197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">
      <c r="A194" s="22" t="s">
        <v>198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">
      <c r="A195" s="22" t="s">
        <v>199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">
      <c r="A196" s="22" t="s">
        <v>200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">
      <c r="A197" s="22" t="s">
        <v>201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">
      <c r="A198" s="22" t="s">
        <v>202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">
      <c r="A199" s="22" t="s">
        <v>203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">
      <c r="A200" s="22" t="s">
        <v>204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">
      <c r="A201" s="22" t="s">
        <v>205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">
      <c r="A202" s="22" t="s">
        <v>206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">
      <c r="A203" s="23" t="s">
        <v>207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">
      <c r="A204" s="23" t="s">
        <v>208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">
      <c r="A205" s="23" t="s">
        <v>209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">
      <c r="A206" s="22" t="s">
        <v>210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">
      <c r="A207" s="22" t="s">
        <v>211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">
      <c r="A208" s="22" t="s">
        <v>212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">
      <c r="A209" s="22" t="s">
        <v>213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">
      <c r="A210" s="22" t="s">
        <v>214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">
      <c r="A211" s="22" t="s">
        <v>215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">
      <c r="A212" s="22" t="s">
        <v>216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">
      <c r="A213" s="22" t="s">
        <v>217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32" si="11">B213-D213</f>
        <v>22.800000000000004</v>
      </c>
      <c r="G213" s="11">
        <f>AVERAGE(G201,G189,G177,G165)</f>
        <v>25.539375</v>
      </c>
    </row>
    <row r="214" spans="1:7" x14ac:dyDescent="0.2">
      <c r="A214" s="22" t="s">
        <v>218</v>
      </c>
      <c r="B214" s="11">
        <v>47.25</v>
      </c>
      <c r="C214" s="11">
        <f t="shared" ref="C214:C232" si="12">AVERAGE(B202,B190,B178,B166)</f>
        <v>53.807500000000005</v>
      </c>
      <c r="D214" s="11">
        <v>24.88</v>
      </c>
      <c r="E214" s="11">
        <f t="shared" ref="E214:E232" si="13">AVERAGE(D202,D190,D178,D166)</f>
        <v>28.269999999999996</v>
      </c>
      <c r="F214" s="7">
        <f t="shared" si="11"/>
        <v>22.37</v>
      </c>
      <c r="G214" s="11">
        <f t="shared" ref="G214:G232" si="14">AVERAGE(F202,F190,F178,F166)</f>
        <v>25.537500000000001</v>
      </c>
    </row>
    <row r="215" spans="1:7" x14ac:dyDescent="0.2">
      <c r="A215" s="23" t="s">
        <v>219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">
      <c r="A216" s="23" t="s">
        <v>220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">
      <c r="A217" s="23" t="s">
        <v>221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">
      <c r="A218" s="22" t="s">
        <v>222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">
      <c r="A219" s="22" t="s">
        <v>223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">
      <c r="A220" s="22" t="s">
        <v>224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">
      <c r="A221" s="22" t="s">
        <v>225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">
      <c r="A222" s="22" t="s">
        <v>226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">
      <c r="A223" s="22" t="s">
        <v>227</v>
      </c>
      <c r="B223" s="11">
        <v>56.9</v>
      </c>
      <c r="C223" s="11">
        <f t="shared" si="12"/>
        <v>54.594999999999999</v>
      </c>
      <c r="D223" s="11">
        <v>28.4</v>
      </c>
      <c r="E223" s="11">
        <f t="shared" si="13"/>
        <v>30.1875</v>
      </c>
      <c r="F223" s="7">
        <f t="shared" si="11"/>
        <v>28.5</v>
      </c>
      <c r="G223" s="11">
        <f t="shared" si="14"/>
        <v>24.407499999999999</v>
      </c>
    </row>
    <row r="224" spans="1:7" x14ac:dyDescent="0.2">
      <c r="A224" s="22" t="s">
        <v>228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5" spans="1:7" x14ac:dyDescent="0.2">
      <c r="A225" s="22" t="s">
        <v>229</v>
      </c>
      <c r="B225" s="11">
        <v>52.38</v>
      </c>
      <c r="C225" s="11">
        <f t="shared" si="12"/>
        <v>56.6875</v>
      </c>
      <c r="D225" s="11">
        <v>28.75</v>
      </c>
      <c r="E225" s="11">
        <f t="shared" si="13"/>
        <v>33.125</v>
      </c>
      <c r="F225" s="7">
        <f t="shared" si="11"/>
        <v>23.630000000000003</v>
      </c>
      <c r="G225" s="11">
        <f t="shared" si="14"/>
        <v>23.5625</v>
      </c>
    </row>
    <row r="226" spans="1:7" x14ac:dyDescent="0.2">
      <c r="A226" s="22" t="s">
        <v>230</v>
      </c>
      <c r="B226" s="11">
        <v>48.75</v>
      </c>
      <c r="C226" s="11">
        <f t="shared" si="12"/>
        <v>55.525000000000006</v>
      </c>
      <c r="D226" s="11">
        <v>26.75</v>
      </c>
      <c r="E226" s="11">
        <f t="shared" si="13"/>
        <v>29.332499999999996</v>
      </c>
      <c r="F226" s="7">
        <f t="shared" si="11"/>
        <v>22</v>
      </c>
      <c r="G226" s="11">
        <f t="shared" si="14"/>
        <v>26.192500000000003</v>
      </c>
    </row>
    <row r="227" spans="1:7" x14ac:dyDescent="0.2">
      <c r="A227" s="23" t="s">
        <v>231</v>
      </c>
      <c r="B227" s="11">
        <v>46.8</v>
      </c>
      <c r="C227" s="11">
        <f t="shared" si="12"/>
        <v>55.082499999999996</v>
      </c>
      <c r="D227" s="11">
        <v>26</v>
      </c>
      <c r="E227" s="11">
        <f t="shared" si="13"/>
        <v>30.657499999999999</v>
      </c>
      <c r="F227" s="7">
        <f t="shared" si="11"/>
        <v>20.799999999999997</v>
      </c>
      <c r="G227" s="11">
        <f t="shared" si="14"/>
        <v>24.425000000000001</v>
      </c>
    </row>
    <row r="228" spans="1:7" x14ac:dyDescent="0.2">
      <c r="A228" s="23" t="s">
        <v>233</v>
      </c>
      <c r="B228" s="11">
        <v>43.63</v>
      </c>
      <c r="C228" s="11">
        <f t="shared" si="12"/>
        <v>54.424999999999997</v>
      </c>
      <c r="D228" s="11">
        <v>23</v>
      </c>
      <c r="E228" s="11">
        <f t="shared" si="13"/>
        <v>29.247499999999999</v>
      </c>
      <c r="F228" s="7">
        <f t="shared" si="11"/>
        <v>20.630000000000003</v>
      </c>
      <c r="G228" s="11">
        <f t="shared" si="14"/>
        <v>25.177500000000002</v>
      </c>
    </row>
    <row r="229" spans="1:7" x14ac:dyDescent="0.2">
      <c r="A229" s="23" t="s">
        <v>234</v>
      </c>
      <c r="B229" s="11">
        <v>42.63</v>
      </c>
      <c r="C229" s="11">
        <f t="shared" si="12"/>
        <v>51.032499999999999</v>
      </c>
      <c r="D229" s="11">
        <v>23.56</v>
      </c>
      <c r="E229" s="11">
        <f t="shared" si="13"/>
        <v>27.73</v>
      </c>
      <c r="F229" s="7">
        <f t="shared" si="11"/>
        <v>19.070000000000004</v>
      </c>
      <c r="G229" s="11">
        <f t="shared" si="14"/>
        <v>23.302499999999998</v>
      </c>
    </row>
    <row r="230" spans="1:7" x14ac:dyDescent="0.2">
      <c r="A230" s="22" t="s">
        <v>235</v>
      </c>
      <c r="B230" s="11">
        <v>43.2</v>
      </c>
      <c r="C230" s="11">
        <f t="shared" si="12"/>
        <v>52.575000000000003</v>
      </c>
      <c r="D230" s="11">
        <v>24.05</v>
      </c>
      <c r="E230" s="11">
        <f t="shared" si="13"/>
        <v>29</v>
      </c>
      <c r="F230" s="7">
        <f t="shared" si="11"/>
        <v>19.150000000000002</v>
      </c>
      <c r="G230" s="11">
        <f t="shared" si="14"/>
        <v>23.574999999999999</v>
      </c>
    </row>
    <row r="231" spans="1:7" x14ac:dyDescent="0.2">
      <c r="A231" s="22" t="s">
        <v>236</v>
      </c>
      <c r="B231" s="11">
        <v>46.13</v>
      </c>
      <c r="C231" s="11">
        <f t="shared" si="12"/>
        <v>54.480000000000004</v>
      </c>
      <c r="D231" s="11">
        <v>25.75</v>
      </c>
      <c r="E231" s="11">
        <f t="shared" si="13"/>
        <v>30.45</v>
      </c>
      <c r="F231" s="7">
        <f t="shared" si="11"/>
        <v>20.380000000000003</v>
      </c>
      <c r="G231" s="11">
        <f t="shared" si="14"/>
        <v>24.03</v>
      </c>
    </row>
    <row r="232" spans="1:7" x14ac:dyDescent="0.2">
      <c r="A232" s="22" t="s">
        <v>237</v>
      </c>
      <c r="B232" s="6">
        <v>46.1</v>
      </c>
      <c r="C232" s="11">
        <f t="shared" si="12"/>
        <v>55.69</v>
      </c>
      <c r="D232" s="6">
        <v>24.8</v>
      </c>
      <c r="E232" s="11">
        <f t="shared" si="13"/>
        <v>31.85</v>
      </c>
      <c r="F232" s="7">
        <f t="shared" si="11"/>
        <v>21.3</v>
      </c>
      <c r="G232" s="11">
        <f t="shared" si="14"/>
        <v>23.840000000000003</v>
      </c>
    </row>
    <row r="233" spans="1:7" x14ac:dyDescent="0.2">
      <c r="A233" s="22"/>
    </row>
    <row r="234" spans="1:7" x14ac:dyDescent="0.2">
      <c r="A234" s="22"/>
    </row>
    <row r="235" spans="1:7" x14ac:dyDescent="0.2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9 G213 F230:F2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I20"/>
    </sheetView>
  </sheetViews>
  <sheetFormatPr defaultRowHeight="15" x14ac:dyDescent="0.2"/>
  <cols>
    <col min="9" max="9" width="3.77734375" customWidth="1"/>
  </cols>
  <sheetData>
    <row r="1" spans="1:10" ht="15.75" x14ac:dyDescent="0.25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25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75" x14ac:dyDescent="0.25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75" x14ac:dyDescent="0.25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75" x14ac:dyDescent="0.25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75" x14ac:dyDescent="0.25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75" x14ac:dyDescent="0.25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75" x14ac:dyDescent="0.25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75" x14ac:dyDescent="0.25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75" x14ac:dyDescent="0.25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75" x14ac:dyDescent="0.25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75" x14ac:dyDescent="0.25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75" x14ac:dyDescent="0.25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75" x14ac:dyDescent="0.25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75" x14ac:dyDescent="0.25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75" x14ac:dyDescent="0.25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75" x14ac:dyDescent="0.25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">
      <c r="A20" s="21" t="s">
        <v>232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New Figure 17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Olowolayemo, Surajudeen - AMS</cp:lastModifiedBy>
  <cp:lastPrinted>2012-02-27T14:11:52Z</cp:lastPrinted>
  <dcterms:created xsi:type="dcterms:W3CDTF">2003-12-08T23:11:41Z</dcterms:created>
  <dcterms:modified xsi:type="dcterms:W3CDTF">2014-11-03T14:45:47Z</dcterms:modified>
</cp:coreProperties>
</file>