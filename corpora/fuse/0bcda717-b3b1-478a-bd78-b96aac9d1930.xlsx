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autoCompressPictures="0"/>
  <bookViews>
    <workbookView xWindow="0" yWindow="100" windowWidth="15480" windowHeight="11640"/>
  </bookViews>
  <sheets>
    <sheet name="Sheet1" sheetId="1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E27" i="1"/>
  <c r="F27"/>
  <c r="F29"/>
  <c r="G27"/>
  <c r="G29"/>
  <c r="H27"/>
  <c r="H29"/>
  <c r="I27"/>
  <c r="I29"/>
  <c r="J27"/>
  <c r="K27"/>
  <c r="K29"/>
  <c r="L27"/>
  <c r="L29"/>
  <c r="M15"/>
  <c r="M17"/>
  <c r="M31"/>
  <c r="M28"/>
  <c r="M25"/>
  <c r="M24"/>
  <c r="M23"/>
  <c r="M22"/>
  <c r="M21"/>
  <c r="M20"/>
  <c r="M19"/>
  <c r="M18"/>
  <c r="M16"/>
  <c r="D27"/>
  <c r="H58"/>
  <c r="E29"/>
  <c r="H59"/>
  <c r="H60"/>
  <c r="H61"/>
  <c r="H64"/>
  <c r="M27"/>
  <c r="J29"/>
  <c r="M29"/>
  <c r="D30"/>
  <c r="H62"/>
  <c r="H63"/>
  <c r="M30"/>
  <c r="M33"/>
  <c r="G58"/>
  <c r="G59"/>
  <c r="G60"/>
  <c r="G61"/>
  <c r="G62"/>
  <c r="G63"/>
  <c r="G64"/>
</calcChain>
</file>

<file path=xl/sharedStrings.xml><?xml version="1.0" encoding="utf-8"?>
<sst xmlns="http://schemas.openxmlformats.org/spreadsheetml/2006/main" count="64" uniqueCount="54">
  <si>
    <t>Page</t>
  </si>
  <si>
    <t>of</t>
  </si>
  <si>
    <t>Date</t>
  </si>
  <si>
    <t>Miles</t>
  </si>
  <si>
    <t>Breakfast</t>
  </si>
  <si>
    <t>Lunch</t>
  </si>
  <si>
    <t>Dinner</t>
  </si>
  <si>
    <t>Hotel</t>
  </si>
  <si>
    <t>Registration</t>
  </si>
  <si>
    <t>Misc*</t>
  </si>
  <si>
    <t>Total</t>
  </si>
  <si>
    <t>* Itemized Miscellaneous Expenses</t>
  </si>
  <si>
    <t>Amount</t>
  </si>
  <si>
    <t xml:space="preserve">I certify that the above claim is correct and just; that no part of the same has been paid; that the above expense was necessary to the business of the University; </t>
  </si>
  <si>
    <t>that I have made payment; and that I have not been nor will be reimbursed from any other source.</t>
  </si>
  <si>
    <t>Account Number</t>
  </si>
  <si>
    <t>Fund</t>
  </si>
  <si>
    <t>Source</t>
  </si>
  <si>
    <t>Department</t>
  </si>
  <si>
    <t>Object</t>
  </si>
  <si>
    <t>Function</t>
  </si>
  <si>
    <t>Grant #</t>
  </si>
  <si>
    <t xml:space="preserve">               From                                  To</t>
  </si>
  <si>
    <t>Office Address</t>
  </si>
  <si>
    <t>BPO #</t>
  </si>
  <si>
    <t>REQ #</t>
  </si>
  <si>
    <t>at</t>
  </si>
  <si>
    <t>per mile</t>
  </si>
  <si>
    <t>Verified by/Date</t>
  </si>
  <si>
    <t>Must be typed</t>
  </si>
  <si>
    <t>Totals from above………………………………………</t>
  </si>
  <si>
    <t>Total Miles……………………………………………………</t>
  </si>
  <si>
    <t xml:space="preserve">Total Reimbursable Expenses    </t>
  </si>
  <si>
    <t>Forwarded from previous sheet……………………</t>
  </si>
  <si>
    <t xml:space="preserve">       Subtotal………………………………</t>
  </si>
  <si>
    <t>Travel  Expense Voucher</t>
  </si>
  <si>
    <t>(Less travel advance)…………………………………………………………………………………...……………………...………………………………</t>
  </si>
  <si>
    <t>(Less prepaid expenses)…………………………………………………………………………………………</t>
  </si>
  <si>
    <t>For Accounts Payable Use Only</t>
  </si>
  <si>
    <t>AP Comments</t>
  </si>
  <si>
    <t>Purpose</t>
  </si>
  <si>
    <t>Name</t>
  </si>
  <si>
    <t>Additional Approvals, as required</t>
  </si>
  <si>
    <t>Title/Date</t>
  </si>
  <si>
    <t>Signed</t>
  </si>
  <si>
    <t>Approved</t>
  </si>
  <si>
    <t>ID # / Dept</t>
  </si>
  <si>
    <t>Gas</t>
  </si>
  <si>
    <t>**   If travelling by air, please attach flight itinerary</t>
  </si>
  <si>
    <t>**Air/RR Bus/Car</t>
  </si>
  <si>
    <t>PLEASE NOTE:  Original Receipts must be attached that show proof of payment.  Failure to submit proper paperwork could delay payment.</t>
  </si>
  <si>
    <t xml:space="preserve">Departure Time from Domain:                       </t>
  </si>
  <si>
    <t>Arrival Time to Domain:                            .</t>
  </si>
  <si>
    <t>TEV Revised 2/2012</t>
  </si>
</sst>
</file>

<file path=xl/styles.xml><?xml version="1.0" encoding="utf-8"?>
<styleSheet xmlns="http://schemas.openxmlformats.org/spreadsheetml/2006/main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.000_);_(&quot;$&quot;* \(#,##0.000\);_(&quot;$&quot;* &quot;-&quot;??_);_(@_)"/>
    <numFmt numFmtId="167" formatCode="m/d/yy;@"/>
    <numFmt numFmtId="168" formatCode="_(* #,##0.00_);_(* \(#,##0.00\);_(* &quot;&quot;??_);_(@_)"/>
    <numFmt numFmtId="169" formatCode="#,###_);\(#,##0\)"/>
    <numFmt numFmtId="170" formatCode="_(* #,##0.00_);_(* \(#,##0.00\);_(* &quot;0.00&quot;??_);_(@_)"/>
  </numFmts>
  <fonts count="14">
    <font>
      <sz val="10"/>
      <name val="Arial"/>
    </font>
    <font>
      <sz val="10"/>
      <name val="Arial"/>
    </font>
    <font>
      <sz val="8"/>
      <name val="Arial"/>
      <family val="2"/>
    </font>
    <font>
      <sz val="9"/>
      <name val="Arial"/>
      <family val="2"/>
    </font>
    <font>
      <b/>
      <sz val="24"/>
      <name val="Arial"/>
      <family val="2"/>
    </font>
    <font>
      <sz val="24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sz val="26"/>
      <name val="Arial"/>
      <family val="2"/>
    </font>
    <font>
      <sz val="18"/>
      <name val="Arial"/>
      <family val="2"/>
    </font>
    <font>
      <sz val="10"/>
      <name val="Arial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69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3" fillId="0" borderId="12" xfId="0" applyFont="1" applyBorder="1"/>
    <xf numFmtId="0" fontId="3" fillId="0" borderId="0" xfId="0" applyFont="1"/>
    <xf numFmtId="0" fontId="3" fillId="0" borderId="0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0" xfId="0" applyBorder="1"/>
    <xf numFmtId="0" fontId="4" fillId="0" borderId="0" xfId="0" applyFont="1"/>
    <xf numFmtId="0" fontId="5" fillId="0" borderId="0" xfId="0" applyFont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Fill="1" applyBorder="1"/>
    <xf numFmtId="0" fontId="7" fillId="0" borderId="0" xfId="0" applyFont="1" applyBorder="1"/>
    <xf numFmtId="0" fontId="8" fillId="0" borderId="0" xfId="0" applyFont="1" applyAlignment="1">
      <alignment horizontal="right"/>
    </xf>
    <xf numFmtId="0" fontId="3" fillId="0" borderId="18" xfId="0" applyFont="1" applyFill="1" applyBorder="1" applyAlignment="1">
      <alignment horizontal="right"/>
    </xf>
    <xf numFmtId="0" fontId="3" fillId="0" borderId="18" xfId="0" applyFont="1" applyFill="1" applyBorder="1"/>
    <xf numFmtId="0" fontId="3" fillId="0" borderId="3" xfId="0" applyFont="1" applyBorder="1"/>
    <xf numFmtId="0" fontId="9" fillId="0" borderId="0" xfId="0" applyFont="1"/>
    <xf numFmtId="0" fontId="10" fillId="0" borderId="0" xfId="0" applyFont="1"/>
    <xf numFmtId="165" fontId="6" fillId="3" borderId="3" xfId="1" applyFont="1" applyFill="1" applyBorder="1" applyProtection="1">
      <protection locked="0"/>
    </xf>
    <xf numFmtId="167" fontId="7" fillId="3" borderId="20" xfId="0" applyNumberFormat="1" applyFont="1" applyFill="1" applyBorder="1" applyAlignment="1" applyProtection="1">
      <alignment horizontal="center"/>
      <protection locked="0"/>
    </xf>
    <xf numFmtId="167" fontId="7" fillId="3" borderId="21" xfId="0" applyNumberFormat="1" applyFont="1" applyFill="1" applyBorder="1" applyAlignment="1" applyProtection="1">
      <alignment horizontal="center"/>
      <protection locked="0"/>
    </xf>
    <xf numFmtId="167" fontId="7" fillId="3" borderId="22" xfId="0" applyNumberFormat="1" applyFont="1" applyFill="1" applyBorder="1" applyAlignment="1" applyProtection="1">
      <alignment horizontal="center"/>
      <protection locked="0"/>
    </xf>
    <xf numFmtId="1" fontId="3" fillId="0" borderId="0" xfId="0" applyNumberFormat="1" applyFont="1" applyBorder="1"/>
    <xf numFmtId="166" fontId="6" fillId="3" borderId="18" xfId="2" applyNumberFormat="1" applyFont="1" applyFill="1" applyBorder="1" applyProtection="1">
      <protection locked="0"/>
    </xf>
    <xf numFmtId="0" fontId="6" fillId="0" borderId="18" xfId="0" applyFont="1" applyFill="1" applyBorder="1"/>
    <xf numFmtId="0" fontId="6" fillId="0" borderId="4" xfId="0" applyFont="1" applyFill="1" applyBorder="1"/>
    <xf numFmtId="167" fontId="7" fillId="3" borderId="26" xfId="0" applyNumberFormat="1" applyFont="1" applyFill="1" applyBorder="1" applyAlignment="1" applyProtection="1">
      <alignment horizontal="center"/>
      <protection locked="0"/>
    </xf>
    <xf numFmtId="165" fontId="6" fillId="3" borderId="3" xfId="0" applyNumberFormat="1" applyFont="1" applyFill="1" applyBorder="1" applyProtection="1">
      <protection locked="0"/>
    </xf>
    <xf numFmtId="39" fontId="6" fillId="0" borderId="4" xfId="1" applyNumberFormat="1" applyFont="1" applyFill="1" applyBorder="1"/>
    <xf numFmtId="37" fontId="6" fillId="3" borderId="3" xfId="0" applyNumberFormat="1" applyFont="1" applyFill="1" applyBorder="1" applyProtection="1">
      <protection locked="0"/>
    </xf>
    <xf numFmtId="0" fontId="12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165" fontId="6" fillId="0" borderId="0" xfId="1" applyFont="1" applyFill="1" applyBorder="1"/>
    <xf numFmtId="0" fontId="3" fillId="4" borderId="0" xfId="0" applyFont="1" applyFill="1"/>
    <xf numFmtId="0" fontId="3" fillId="5" borderId="16" xfId="0" applyFont="1" applyFill="1" applyBorder="1" applyAlignment="1">
      <alignment horizontal="center" wrapText="1"/>
    </xf>
    <xf numFmtId="0" fontId="13" fillId="4" borderId="0" xfId="0" applyFont="1" applyFill="1"/>
    <xf numFmtId="0" fontId="13" fillId="4" borderId="0" xfId="0" applyFont="1" applyFill="1" applyAlignment="1">
      <alignment horizontal="right"/>
    </xf>
    <xf numFmtId="0" fontId="3" fillId="0" borderId="12" xfId="0" applyFont="1" applyFill="1" applyBorder="1" applyAlignment="1"/>
    <xf numFmtId="0" fontId="3" fillId="0" borderId="18" xfId="0" applyFont="1" applyFill="1" applyBorder="1" applyAlignment="1"/>
    <xf numFmtId="0" fontId="3" fillId="0" borderId="4" xfId="0" applyFont="1" applyFill="1" applyBorder="1" applyAlignment="1"/>
    <xf numFmtId="0" fontId="0" fillId="2" borderId="27" xfId="0" applyFill="1" applyBorder="1"/>
    <xf numFmtId="0" fontId="0" fillId="2" borderId="28" xfId="0" applyFill="1" applyBorder="1"/>
    <xf numFmtId="167" fontId="7" fillId="3" borderId="11" xfId="0" applyNumberFormat="1" applyFont="1" applyFill="1" applyBorder="1" applyAlignment="1" applyProtection="1">
      <alignment horizontal="center"/>
      <protection locked="0"/>
    </xf>
    <xf numFmtId="167" fontId="7" fillId="3" borderId="4" xfId="0" applyNumberFormat="1" applyFont="1" applyFill="1" applyBorder="1" applyAlignment="1" applyProtection="1">
      <alignment horizontal="center"/>
      <protection locked="0"/>
    </xf>
    <xf numFmtId="167" fontId="7" fillId="3" borderId="32" xfId="0" applyNumberFormat="1" applyFont="1" applyFill="1" applyBorder="1" applyAlignment="1" applyProtection="1">
      <alignment horizontal="center"/>
      <protection locked="0"/>
    </xf>
    <xf numFmtId="167" fontId="6" fillId="3" borderId="33" xfId="0" applyNumberFormat="1" applyFont="1" applyFill="1" applyBorder="1" applyAlignment="1" applyProtection="1">
      <alignment horizontal="center"/>
      <protection locked="0"/>
    </xf>
    <xf numFmtId="168" fontId="6" fillId="0" borderId="3" xfId="1" applyNumberFormat="1" applyFont="1" applyFill="1" applyBorder="1" applyAlignment="1" applyProtection="1">
      <alignment shrinkToFit="1"/>
    </xf>
    <xf numFmtId="168" fontId="6" fillId="0" borderId="3" xfId="1" applyNumberFormat="1" applyFont="1" applyFill="1" applyBorder="1" applyAlignment="1">
      <alignment shrinkToFit="1"/>
    </xf>
    <xf numFmtId="165" fontId="6" fillId="3" borderId="34" xfId="1" applyFont="1" applyFill="1" applyBorder="1" applyAlignment="1" applyProtection="1">
      <alignment shrinkToFit="1"/>
      <protection locked="0"/>
    </xf>
    <xf numFmtId="0" fontId="6" fillId="3" borderId="0" xfId="0" applyFont="1" applyFill="1" applyProtection="1">
      <protection locked="0"/>
    </xf>
    <xf numFmtId="1" fontId="6" fillId="3" borderId="29" xfId="1" applyNumberFormat="1" applyFont="1" applyFill="1" applyBorder="1" applyAlignment="1" applyProtection="1">
      <alignment horizontal="center"/>
      <protection locked="0"/>
    </xf>
    <xf numFmtId="1" fontId="6" fillId="3" borderId="3" xfId="1" applyNumberFormat="1" applyFont="1" applyFill="1" applyBorder="1" applyAlignment="1" applyProtection="1">
      <alignment horizontal="center"/>
      <protection locked="0"/>
    </xf>
    <xf numFmtId="1" fontId="6" fillId="3" borderId="31" xfId="1" applyNumberFormat="1" applyFont="1" applyFill="1" applyBorder="1" applyAlignment="1" applyProtection="1">
      <alignment horizontal="center"/>
      <protection locked="0"/>
    </xf>
    <xf numFmtId="1" fontId="6" fillId="3" borderId="30" xfId="1" applyNumberFormat="1" applyFont="1" applyFill="1" applyBorder="1" applyAlignment="1" applyProtection="1">
      <alignment horizontal="center"/>
      <protection locked="0"/>
    </xf>
    <xf numFmtId="1" fontId="6" fillId="3" borderId="19" xfId="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168" fontId="6" fillId="0" borderId="24" xfId="1" applyNumberFormat="1" applyFont="1" applyFill="1" applyBorder="1" applyAlignment="1" applyProtection="1">
      <alignment shrinkToFit="1"/>
    </xf>
    <xf numFmtId="168" fontId="6" fillId="0" borderId="25" xfId="1" applyNumberFormat="1" applyFont="1" applyFill="1" applyBorder="1" applyAlignment="1" applyProtection="1">
      <alignment shrinkToFit="1"/>
    </xf>
    <xf numFmtId="168" fontId="6" fillId="0" borderId="23" xfId="1" applyNumberFormat="1" applyFont="1" applyFill="1" applyBorder="1" applyAlignment="1" applyProtection="1">
      <alignment shrinkToFit="1"/>
    </xf>
    <xf numFmtId="0" fontId="0" fillId="2" borderId="3" xfId="0" applyFill="1" applyBorder="1" applyAlignment="1" applyProtection="1">
      <alignment horizontal="center"/>
      <protection locked="0"/>
    </xf>
    <xf numFmtId="0" fontId="11" fillId="2" borderId="4" xfId="0" applyFont="1" applyFill="1" applyBorder="1" applyAlignment="1" applyProtection="1">
      <alignment horizontal="center"/>
      <protection locked="0"/>
    </xf>
    <xf numFmtId="0" fontId="11" fillId="6" borderId="4" xfId="0" applyFont="1" applyFill="1" applyBorder="1" applyAlignment="1" applyProtection="1">
      <alignment horizontal="center"/>
      <protection locked="0"/>
    </xf>
    <xf numFmtId="0" fontId="0" fillId="2" borderId="34" xfId="0" applyFill="1" applyBorder="1" applyAlignment="1" applyProtection="1">
      <alignment horizontal="center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0" fontId="11" fillId="2" borderId="34" xfId="0" applyFont="1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11" fillId="2" borderId="19" xfId="0" applyFont="1" applyFill="1" applyBorder="1" applyAlignment="1" applyProtection="1">
      <alignment horizontal="center"/>
      <protection locked="0"/>
    </xf>
    <xf numFmtId="0" fontId="3" fillId="0" borderId="0" xfId="0" applyFont="1" applyProtection="1"/>
    <xf numFmtId="0" fontId="7" fillId="5" borderId="0" xfId="0" applyFont="1" applyFill="1" applyProtection="1"/>
    <xf numFmtId="0" fontId="3" fillId="5" borderId="0" xfId="0" applyFont="1" applyFill="1" applyProtection="1"/>
    <xf numFmtId="0" fontId="7" fillId="4" borderId="0" xfId="0" applyFont="1" applyFill="1" applyProtection="1"/>
    <xf numFmtId="0" fontId="3" fillId="4" borderId="0" xfId="0" applyFont="1" applyFill="1" applyProtection="1"/>
    <xf numFmtId="0" fontId="2" fillId="0" borderId="0" xfId="0" applyFont="1" applyProtection="1"/>
    <xf numFmtId="4" fontId="7" fillId="3" borderId="35" xfId="0" applyNumberFormat="1" applyFont="1" applyFill="1" applyBorder="1" applyAlignment="1" applyProtection="1">
      <alignment horizontal="center"/>
      <protection locked="0"/>
    </xf>
    <xf numFmtId="4" fontId="7" fillId="3" borderId="24" xfId="0" applyNumberFormat="1" applyFont="1" applyFill="1" applyBorder="1" applyAlignment="1" applyProtection="1">
      <alignment horizontal="center"/>
      <protection locked="0"/>
    </xf>
    <xf numFmtId="4" fontId="7" fillId="3" borderId="25" xfId="0" applyNumberFormat="1" applyFont="1" applyFill="1" applyBorder="1" applyAlignment="1" applyProtection="1">
      <alignment horizontal="center"/>
      <protection locked="0"/>
    </xf>
    <xf numFmtId="4" fontId="7" fillId="3" borderId="23" xfId="0" applyNumberFormat="1" applyFont="1" applyFill="1" applyBorder="1" applyAlignment="1" applyProtection="1">
      <alignment horizontal="center"/>
      <protection locked="0"/>
    </xf>
    <xf numFmtId="168" fontId="6" fillId="0" borderId="3" xfId="1" applyNumberFormat="1" applyFont="1" applyFill="1" applyBorder="1"/>
    <xf numFmtId="169" fontId="6" fillId="0" borderId="3" xfId="1" applyNumberFormat="1" applyFont="1" applyFill="1" applyBorder="1"/>
    <xf numFmtId="170" fontId="6" fillId="3" borderId="29" xfId="1" applyNumberFormat="1" applyFont="1" applyFill="1" applyBorder="1" applyProtection="1">
      <protection locked="0"/>
    </xf>
    <xf numFmtId="170" fontId="6" fillId="0" borderId="16" xfId="2" applyNumberFormat="1" applyFont="1" applyFill="1" applyBorder="1" applyAlignment="1">
      <alignment shrinkToFit="1"/>
    </xf>
    <xf numFmtId="170" fontId="6" fillId="3" borderId="12" xfId="1" applyNumberFormat="1" applyFont="1" applyFill="1" applyBorder="1" applyProtection="1">
      <protection locked="0"/>
    </xf>
    <xf numFmtId="170" fontId="6" fillId="3" borderId="19" xfId="1" applyNumberFormat="1" applyFont="1" applyFill="1" applyBorder="1" applyProtection="1">
      <protection locked="0"/>
    </xf>
    <xf numFmtId="164" fontId="0" fillId="2" borderId="12" xfId="0" applyNumberFormat="1" applyFill="1" applyBorder="1" applyAlignment="1" applyProtection="1">
      <protection locked="0"/>
    </xf>
    <xf numFmtId="164" fontId="0" fillId="0" borderId="38" xfId="0" applyNumberFormat="1" applyBorder="1" applyAlignment="1" applyProtection="1">
      <protection locked="0"/>
    </xf>
    <xf numFmtId="164" fontId="12" fillId="2" borderId="36" xfId="0" applyNumberFormat="1" applyFont="1" applyFill="1" applyBorder="1" applyAlignment="1" applyProtection="1">
      <protection locked="0"/>
    </xf>
    <xf numFmtId="164" fontId="0" fillId="2" borderId="39" xfId="0" applyNumberFormat="1" applyFill="1" applyBorder="1" applyAlignment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11" fillId="2" borderId="1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0" fillId="2" borderId="36" xfId="0" applyFill="1" applyBorder="1" applyAlignment="1" applyProtection="1">
      <alignment horizontal="center"/>
      <protection locked="0"/>
    </xf>
    <xf numFmtId="0" fontId="0" fillId="2" borderId="32" xfId="0" applyFill="1" applyBorder="1" applyAlignment="1" applyProtection="1">
      <alignment horizontal="center"/>
      <protection locked="0"/>
    </xf>
    <xf numFmtId="0" fontId="11" fillId="2" borderId="36" xfId="0" applyFont="1" applyFill="1" applyBorder="1" applyAlignment="1">
      <alignment horizontal="center"/>
    </xf>
    <xf numFmtId="0" fontId="11" fillId="2" borderId="32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6" fillId="3" borderId="36" xfId="0" applyFont="1" applyFill="1" applyBorder="1" applyAlignment="1" applyProtection="1">
      <alignment horizontal="center" shrinkToFit="1"/>
      <protection locked="0"/>
    </xf>
    <xf numFmtId="0" fontId="6" fillId="3" borderId="32" xfId="0" applyFont="1" applyFill="1" applyBorder="1" applyAlignment="1" applyProtection="1">
      <alignment horizontal="center" shrinkToFit="1"/>
      <protection locked="0"/>
    </xf>
    <xf numFmtId="0" fontId="6" fillId="3" borderId="12" xfId="0" applyFont="1" applyFill="1" applyBorder="1" applyAlignment="1" applyProtection="1">
      <alignment horizontal="center" shrinkToFit="1"/>
      <protection locked="0"/>
    </xf>
    <xf numFmtId="0" fontId="6" fillId="3" borderId="4" xfId="0" applyFont="1" applyFill="1" applyBorder="1" applyAlignment="1" applyProtection="1">
      <alignment horizontal="center" shrinkToFit="1"/>
      <protection locked="0"/>
    </xf>
    <xf numFmtId="0" fontId="6" fillId="7" borderId="12" xfId="0" applyFont="1" applyFill="1" applyBorder="1" applyAlignment="1" applyProtection="1">
      <alignment horizontal="center"/>
      <protection locked="0"/>
    </xf>
    <xf numFmtId="0" fontId="6" fillId="7" borderId="18" xfId="0" applyFont="1" applyFill="1" applyBorder="1" applyAlignment="1" applyProtection="1">
      <alignment horizontal="center"/>
      <protection locked="0"/>
    </xf>
    <xf numFmtId="0" fontId="3" fillId="7" borderId="12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40" xfId="0" applyFont="1" applyBorder="1" applyAlignment="1">
      <alignment horizontal="left"/>
    </xf>
    <xf numFmtId="0" fontId="6" fillId="3" borderId="41" xfId="0" applyFont="1" applyFill="1" applyBorder="1" applyAlignment="1" applyProtection="1">
      <alignment horizontal="center" shrinkToFit="1"/>
      <protection locked="0"/>
    </xf>
    <xf numFmtId="0" fontId="6" fillId="0" borderId="42" xfId="0" applyFont="1" applyBorder="1" applyAlignment="1" applyProtection="1">
      <alignment shrinkToFit="1"/>
      <protection locked="0"/>
    </xf>
    <xf numFmtId="0" fontId="6" fillId="8" borderId="18" xfId="0" applyFont="1" applyFill="1" applyBorder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7" fillId="3" borderId="12" xfId="0" applyFont="1" applyFill="1" applyBorder="1" applyAlignment="1" applyProtection="1">
      <alignment horizontal="left"/>
      <protection locked="0"/>
    </xf>
    <xf numFmtId="0" fontId="7" fillId="3" borderId="18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6" fillId="3" borderId="12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7" fillId="8" borderId="12" xfId="0" applyFont="1" applyFill="1" applyBorder="1" applyAlignment="1" applyProtection="1"/>
    <xf numFmtId="0" fontId="7" fillId="8" borderId="4" xfId="0" applyFont="1" applyFill="1" applyBorder="1" applyAlignment="1" applyProtection="1"/>
    <xf numFmtId="0" fontId="12" fillId="0" borderId="46" xfId="0" applyFont="1" applyBorder="1" applyProtection="1">
      <protection locked="0"/>
    </xf>
    <xf numFmtId="0" fontId="3" fillId="0" borderId="46" xfId="0" applyFont="1" applyBorder="1" applyProtection="1"/>
    <xf numFmtId="0" fontId="12" fillId="0" borderId="18" xfId="0" applyFont="1" applyBorder="1" applyProtection="1">
      <protection locked="0"/>
    </xf>
    <xf numFmtId="0" fontId="7" fillId="0" borderId="1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2" fillId="0" borderId="18" xfId="0" applyFont="1" applyBorder="1" applyAlignment="1" applyProtection="1">
      <protection locked="0"/>
    </xf>
    <xf numFmtId="0" fontId="3" fillId="0" borderId="46" xfId="0" applyFont="1" applyBorder="1" applyAlignment="1" applyProtection="1"/>
    <xf numFmtId="0" fontId="8" fillId="2" borderId="15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40" xfId="0" applyFont="1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164" fontId="12" fillId="2" borderId="12" xfId="0" applyNumberFormat="1" applyFont="1" applyFill="1" applyBorder="1" applyAlignment="1" applyProtection="1">
      <protection locked="0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3" borderId="41" xfId="0" applyFont="1" applyFill="1" applyBorder="1" applyAlignment="1" applyProtection="1">
      <alignment horizontal="left"/>
      <protection locked="0"/>
    </xf>
    <xf numFmtId="0" fontId="7" fillId="3" borderId="43" xfId="0" applyFont="1" applyFill="1" applyBorder="1" applyAlignment="1" applyProtection="1">
      <alignment horizontal="left"/>
      <protection locked="0"/>
    </xf>
    <xf numFmtId="0" fontId="7" fillId="3" borderId="42" xfId="0" applyFont="1" applyFill="1" applyBorder="1" applyAlignment="1" applyProtection="1">
      <alignment horizontal="left"/>
      <protection locked="0"/>
    </xf>
    <xf numFmtId="0" fontId="7" fillId="3" borderId="36" xfId="0" applyFont="1" applyFill="1" applyBorder="1" applyAlignment="1" applyProtection="1">
      <alignment horizontal="left"/>
      <protection locked="0"/>
    </xf>
    <xf numFmtId="0" fontId="7" fillId="3" borderId="44" xfId="0" applyFont="1" applyFill="1" applyBorder="1" applyAlignment="1" applyProtection="1">
      <alignment horizontal="left"/>
      <protection locked="0"/>
    </xf>
    <xf numFmtId="0" fontId="7" fillId="3" borderId="32" xfId="0" applyFont="1" applyFill="1" applyBorder="1" applyAlignment="1" applyProtection="1">
      <alignment horizontal="left"/>
      <protection locked="0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12</xdr:col>
      <xdr:colOff>762000</xdr:colOff>
      <xdr:row>2</xdr:row>
      <xdr:rowOff>0</xdr:rowOff>
    </xdr:to>
    <xdr:pic>
      <xdr:nvPicPr>
        <xdr:cNvPr id="1112" name="Picture 1" descr="Lincoln University Of Missour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0"/>
          <a:ext cx="1065847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codeName="Sheet1" enableFormatConditionsCalculation="0">
    <pageSetUpPr fitToPage="1"/>
  </sheetPr>
  <dimension ref="A1:S66"/>
  <sheetViews>
    <sheetView tabSelected="1" zoomScale="75" workbookViewId="0">
      <selection activeCell="B5" sqref="B5"/>
    </sheetView>
  </sheetViews>
  <sheetFormatPr baseColWidth="10" defaultColWidth="8.83203125" defaultRowHeight="12"/>
  <cols>
    <col min="1" max="1" width="12.6640625" customWidth="1"/>
    <col min="2" max="2" width="15" customWidth="1"/>
    <col min="3" max="3" width="17" customWidth="1"/>
    <col min="4" max="13" width="11.5" customWidth="1"/>
  </cols>
  <sheetData>
    <row r="1" spans="1:13" ht="28">
      <c r="B1" s="20"/>
    </row>
    <row r="2" spans="1:13" ht="28">
      <c r="A2" s="19"/>
      <c r="B2" s="20"/>
    </row>
    <row r="3" spans="1:13" ht="32.25" customHeight="1">
      <c r="A3" s="30" t="s">
        <v>35</v>
      </c>
      <c r="B3" s="31"/>
      <c r="C3" s="31"/>
    </row>
    <row r="5" spans="1:13" ht="17">
      <c r="A5" s="14" t="s">
        <v>0</v>
      </c>
      <c r="B5" s="64">
        <v>1</v>
      </c>
      <c r="C5" s="45" t="s">
        <v>1</v>
      </c>
      <c r="D5" s="64">
        <v>1</v>
      </c>
      <c r="E5" s="1"/>
      <c r="F5" s="1"/>
      <c r="G5" s="1"/>
      <c r="H5" s="1"/>
      <c r="I5" s="1"/>
      <c r="J5" s="1"/>
      <c r="L5" s="50"/>
      <c r="M5" s="51" t="s">
        <v>29</v>
      </c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4" customHeight="1">
      <c r="A7" s="29" t="s">
        <v>41</v>
      </c>
      <c r="B7" s="127"/>
      <c r="C7" s="128"/>
      <c r="D7" s="128"/>
      <c r="E7" s="128"/>
      <c r="F7" s="128"/>
      <c r="G7" s="129"/>
      <c r="K7" s="52"/>
      <c r="L7" s="53"/>
      <c r="M7" s="54"/>
    </row>
    <row r="8" spans="1:13" ht="24" customHeight="1">
      <c r="A8" s="29" t="s">
        <v>46</v>
      </c>
      <c r="B8" s="127"/>
      <c r="C8" s="128"/>
      <c r="D8" s="128"/>
      <c r="E8" s="128"/>
      <c r="F8" s="128"/>
      <c r="G8" s="129"/>
      <c r="K8" s="13" t="s">
        <v>24</v>
      </c>
      <c r="L8" s="133"/>
      <c r="M8" s="134"/>
    </row>
    <row r="9" spans="1:13" ht="24" customHeight="1">
      <c r="A9" s="29" t="s">
        <v>23</v>
      </c>
      <c r="B9" s="127"/>
      <c r="C9" s="128"/>
      <c r="D9" s="128"/>
      <c r="E9" s="128"/>
      <c r="F9" s="128"/>
      <c r="G9" s="129"/>
      <c r="K9" s="13" t="s">
        <v>25</v>
      </c>
      <c r="L9" s="133"/>
      <c r="M9" s="134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1.75" customHeight="1">
      <c r="A11" s="29" t="s">
        <v>40</v>
      </c>
      <c r="B11" s="130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2"/>
    </row>
    <row r="12" spans="1:13" ht="21.75" customHeight="1">
      <c r="A12" s="119" t="s">
        <v>51</v>
      </c>
      <c r="B12" s="120"/>
      <c r="C12" s="117"/>
      <c r="D12" s="118"/>
      <c r="E12" s="118"/>
      <c r="F12" s="118"/>
      <c r="G12" s="135" t="s">
        <v>52</v>
      </c>
      <c r="H12" s="136"/>
      <c r="I12" s="125"/>
      <c r="J12" s="125"/>
      <c r="K12" s="125"/>
      <c r="L12" s="125"/>
      <c r="M12" s="126"/>
    </row>
    <row r="13" spans="1:13" ht="13" thickBo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3" thickBot="1">
      <c r="A14" s="21" t="s">
        <v>2</v>
      </c>
      <c r="B14" s="121" t="s">
        <v>22</v>
      </c>
      <c r="C14" s="122"/>
      <c r="D14" s="22" t="s">
        <v>3</v>
      </c>
      <c r="E14" s="22" t="s">
        <v>4</v>
      </c>
      <c r="F14" s="22" t="s">
        <v>5</v>
      </c>
      <c r="G14" s="23" t="s">
        <v>6</v>
      </c>
      <c r="H14" s="49" t="s">
        <v>49</v>
      </c>
      <c r="I14" s="46" t="s">
        <v>7</v>
      </c>
      <c r="J14" s="22" t="s">
        <v>8</v>
      </c>
      <c r="K14" s="22" t="s">
        <v>47</v>
      </c>
      <c r="L14" s="23" t="s">
        <v>9</v>
      </c>
      <c r="M14" s="22" t="s">
        <v>10</v>
      </c>
    </row>
    <row r="15" spans="1:13" ht="21.75" customHeight="1">
      <c r="A15" s="60"/>
      <c r="B15" s="123"/>
      <c r="C15" s="124"/>
      <c r="D15" s="65"/>
      <c r="E15" s="95"/>
      <c r="F15" s="95"/>
      <c r="G15" s="95"/>
      <c r="H15" s="95"/>
      <c r="I15" s="95"/>
      <c r="J15" s="95"/>
      <c r="K15" s="95"/>
      <c r="L15" s="95"/>
      <c r="M15" s="74">
        <f>SUM(E15:L15)</f>
        <v>0</v>
      </c>
    </row>
    <row r="16" spans="1:13" ht="21.75" customHeight="1">
      <c r="A16" s="33"/>
      <c r="B16" s="115"/>
      <c r="C16" s="116"/>
      <c r="D16" s="66"/>
      <c r="E16" s="97"/>
      <c r="F16" s="97"/>
      <c r="G16" s="97"/>
      <c r="H16" s="97"/>
      <c r="I16" s="97"/>
      <c r="J16" s="97"/>
      <c r="K16" s="97"/>
      <c r="L16" s="97"/>
      <c r="M16" s="72">
        <f t="shared" ref="M16:M25" si="0">SUM(E16:L16)</f>
        <v>0</v>
      </c>
    </row>
    <row r="17" spans="1:13" ht="21.75" customHeight="1">
      <c r="A17" s="33"/>
      <c r="B17" s="115"/>
      <c r="C17" s="116"/>
      <c r="D17" s="67"/>
      <c r="E17" s="97"/>
      <c r="F17" s="97"/>
      <c r="G17" s="97"/>
      <c r="H17" s="97"/>
      <c r="I17" s="97"/>
      <c r="J17" s="97"/>
      <c r="K17" s="97"/>
      <c r="L17" s="97"/>
      <c r="M17" s="72">
        <f t="shared" si="0"/>
        <v>0</v>
      </c>
    </row>
    <row r="18" spans="1:13" ht="21.75" customHeight="1">
      <c r="A18" s="33"/>
      <c r="B18" s="115"/>
      <c r="C18" s="116"/>
      <c r="D18" s="66"/>
      <c r="E18" s="97"/>
      <c r="F18" s="97"/>
      <c r="G18" s="97"/>
      <c r="H18" s="97"/>
      <c r="I18" s="97"/>
      <c r="J18" s="97"/>
      <c r="K18" s="97"/>
      <c r="L18" s="97"/>
      <c r="M18" s="72">
        <f t="shared" si="0"/>
        <v>0</v>
      </c>
    </row>
    <row r="19" spans="1:13" ht="21.75" customHeight="1">
      <c r="A19" s="33"/>
      <c r="B19" s="115"/>
      <c r="C19" s="116"/>
      <c r="D19" s="67"/>
      <c r="E19" s="97"/>
      <c r="F19" s="97"/>
      <c r="G19" s="97"/>
      <c r="H19" s="97"/>
      <c r="I19" s="97"/>
      <c r="J19" s="97"/>
      <c r="K19" s="97"/>
      <c r="L19" s="97"/>
      <c r="M19" s="72">
        <f t="shared" si="0"/>
        <v>0</v>
      </c>
    </row>
    <row r="20" spans="1:13" ht="21.75" customHeight="1">
      <c r="A20" s="33"/>
      <c r="B20" s="115"/>
      <c r="C20" s="116"/>
      <c r="D20" s="66"/>
      <c r="E20" s="97"/>
      <c r="F20" s="97"/>
      <c r="G20" s="97"/>
      <c r="H20" s="97"/>
      <c r="I20" s="97"/>
      <c r="J20" s="97"/>
      <c r="K20" s="97"/>
      <c r="L20" s="97"/>
      <c r="M20" s="72">
        <f t="shared" si="0"/>
        <v>0</v>
      </c>
    </row>
    <row r="21" spans="1:13" ht="21.75" customHeight="1">
      <c r="A21" s="33"/>
      <c r="B21" s="115"/>
      <c r="C21" s="116"/>
      <c r="D21" s="67"/>
      <c r="E21" s="97"/>
      <c r="F21" s="97"/>
      <c r="G21" s="97"/>
      <c r="H21" s="97"/>
      <c r="I21" s="97"/>
      <c r="J21" s="97"/>
      <c r="K21" s="97"/>
      <c r="L21" s="97"/>
      <c r="M21" s="72">
        <f t="shared" si="0"/>
        <v>0</v>
      </c>
    </row>
    <row r="22" spans="1:13" ht="21.75" customHeight="1">
      <c r="A22" s="33"/>
      <c r="B22" s="115"/>
      <c r="C22" s="116"/>
      <c r="D22" s="66"/>
      <c r="E22" s="97"/>
      <c r="F22" s="97"/>
      <c r="G22" s="97"/>
      <c r="H22" s="97"/>
      <c r="I22" s="97"/>
      <c r="J22" s="97"/>
      <c r="K22" s="97"/>
      <c r="L22" s="97"/>
      <c r="M22" s="72">
        <f t="shared" si="0"/>
        <v>0</v>
      </c>
    </row>
    <row r="23" spans="1:13" ht="21.75" customHeight="1">
      <c r="A23" s="33"/>
      <c r="B23" s="115"/>
      <c r="C23" s="116"/>
      <c r="D23" s="68"/>
      <c r="E23" s="97"/>
      <c r="F23" s="97"/>
      <c r="G23" s="97"/>
      <c r="H23" s="97"/>
      <c r="I23" s="97"/>
      <c r="J23" s="97"/>
      <c r="K23" s="97"/>
      <c r="L23" s="97"/>
      <c r="M23" s="72">
        <f t="shared" si="0"/>
        <v>0</v>
      </c>
    </row>
    <row r="24" spans="1:13" ht="21.75" customHeight="1">
      <c r="A24" s="33"/>
      <c r="B24" s="115"/>
      <c r="C24" s="116"/>
      <c r="D24" s="68"/>
      <c r="E24" s="97"/>
      <c r="F24" s="97"/>
      <c r="G24" s="97"/>
      <c r="H24" s="97"/>
      <c r="I24" s="97"/>
      <c r="J24" s="97"/>
      <c r="K24" s="97"/>
      <c r="L24" s="97"/>
      <c r="M24" s="72">
        <f t="shared" si="0"/>
        <v>0</v>
      </c>
    </row>
    <row r="25" spans="1:13" ht="21.75" customHeight="1" thickBot="1">
      <c r="A25" s="34"/>
      <c r="B25" s="113"/>
      <c r="C25" s="114"/>
      <c r="D25" s="69"/>
      <c r="E25" s="98"/>
      <c r="F25" s="98"/>
      <c r="G25" s="98"/>
      <c r="H25" s="98"/>
      <c r="I25" s="98"/>
      <c r="J25" s="98"/>
      <c r="K25" s="98"/>
      <c r="L25" s="98"/>
      <c r="M25" s="73">
        <f t="shared" si="0"/>
        <v>0</v>
      </c>
    </row>
    <row r="26" spans="1:13" ht="6.75" customHeight="1">
      <c r="A26" s="15"/>
      <c r="B26" s="15"/>
      <c r="C26" s="15"/>
      <c r="D26" s="36"/>
      <c r="E26" s="15"/>
      <c r="F26" s="15"/>
      <c r="G26" s="15"/>
      <c r="H26" s="15"/>
      <c r="I26" s="15"/>
      <c r="J26" s="15"/>
      <c r="K26" s="15"/>
      <c r="L26" s="15"/>
      <c r="M26" s="24"/>
    </row>
    <row r="27" spans="1:13" ht="21.75" customHeight="1">
      <c r="A27" s="15"/>
      <c r="B27" s="15" t="s">
        <v>30</v>
      </c>
      <c r="C27" s="15"/>
      <c r="D27" s="94">
        <f>ROUND(D15,0)+ROUND(D16,0)+ROUND(D17,0)+ROUND(D18,0)+ROUND(D19,0)+ROUND(D20,0)+ROUND(D21,0)+ROUND(D22,0)+ROUND(D23,0)+ROUND(D24,0)+ROUND(D25,0)</f>
        <v>0</v>
      </c>
      <c r="E27" s="93">
        <f t="shared" ref="E27:L27" si="1">SUM(E15:E25)</f>
        <v>0</v>
      </c>
      <c r="F27" s="93">
        <f t="shared" si="1"/>
        <v>0</v>
      </c>
      <c r="G27" s="93">
        <f t="shared" si="1"/>
        <v>0</v>
      </c>
      <c r="H27" s="93">
        <f t="shared" si="1"/>
        <v>0</v>
      </c>
      <c r="I27" s="93">
        <f t="shared" si="1"/>
        <v>0</v>
      </c>
      <c r="J27" s="93">
        <f t="shared" si="1"/>
        <v>0</v>
      </c>
      <c r="K27" s="93">
        <f t="shared" si="1"/>
        <v>0</v>
      </c>
      <c r="L27" s="93">
        <f t="shared" si="1"/>
        <v>0</v>
      </c>
      <c r="M27" s="61">
        <f>SUM(E27:L27)</f>
        <v>0</v>
      </c>
    </row>
    <row r="28" spans="1:13" ht="21.75" customHeight="1">
      <c r="A28" s="15"/>
      <c r="B28" s="15" t="s">
        <v>33</v>
      </c>
      <c r="C28" s="15"/>
      <c r="D28" s="43"/>
      <c r="E28" s="41"/>
      <c r="F28" s="41"/>
      <c r="G28" s="41"/>
      <c r="H28" s="41"/>
      <c r="I28" s="41"/>
      <c r="J28" s="41"/>
      <c r="K28" s="41"/>
      <c r="L28" s="41"/>
      <c r="M28" s="61">
        <f>SUM(E28:L28)</f>
        <v>0</v>
      </c>
    </row>
    <row r="29" spans="1:13" ht="21.75" customHeight="1">
      <c r="A29" s="15"/>
      <c r="B29" s="15" t="s">
        <v>34</v>
      </c>
      <c r="C29" s="15"/>
      <c r="D29" s="42"/>
      <c r="E29" s="93">
        <f t="shared" ref="E29:L29" si="2">E27+E28</f>
        <v>0</v>
      </c>
      <c r="F29" s="93">
        <f t="shared" si="2"/>
        <v>0</v>
      </c>
      <c r="G29" s="93">
        <f t="shared" si="2"/>
        <v>0</v>
      </c>
      <c r="H29" s="93">
        <f t="shared" si="2"/>
        <v>0</v>
      </c>
      <c r="I29" s="93">
        <f t="shared" si="2"/>
        <v>0</v>
      </c>
      <c r="J29" s="93">
        <f t="shared" si="2"/>
        <v>0</v>
      </c>
      <c r="K29" s="93">
        <f t="shared" si="2"/>
        <v>0</v>
      </c>
      <c r="L29" s="93">
        <f t="shared" si="2"/>
        <v>0</v>
      </c>
      <c r="M29" s="61">
        <f>SUM(E29:L29)</f>
        <v>0</v>
      </c>
    </row>
    <row r="30" spans="1:13" ht="21.75" customHeight="1">
      <c r="A30" s="15"/>
      <c r="B30" s="15" t="s">
        <v>31</v>
      </c>
      <c r="C30" s="15"/>
      <c r="D30" s="94">
        <f>D27+ROUND(D28,0)</f>
        <v>0</v>
      </c>
      <c r="E30" s="27" t="s">
        <v>26</v>
      </c>
      <c r="F30" s="37">
        <v>0.37</v>
      </c>
      <c r="G30" s="28" t="s">
        <v>27</v>
      </c>
      <c r="H30" s="38"/>
      <c r="I30" s="38"/>
      <c r="J30" s="38"/>
      <c r="K30" s="38"/>
      <c r="L30" s="39"/>
      <c r="M30" s="62">
        <f>ROUND(D30*F30,2)</f>
        <v>0</v>
      </c>
    </row>
    <row r="31" spans="1:13" ht="21.75" customHeight="1">
      <c r="A31" s="15"/>
      <c r="B31" s="14" t="s">
        <v>37</v>
      </c>
      <c r="C31" s="15"/>
      <c r="D31" s="24"/>
      <c r="E31" s="24"/>
      <c r="F31" s="24"/>
      <c r="G31" s="24"/>
      <c r="H31" s="32"/>
      <c r="I31" s="32"/>
      <c r="J31" s="32"/>
      <c r="K31" s="32"/>
      <c r="L31" s="32"/>
      <c r="M31" s="61">
        <f>SUM(H31:L31)</f>
        <v>0</v>
      </c>
    </row>
    <row r="32" spans="1:13" ht="21.75" customHeight="1" thickBot="1">
      <c r="A32" s="14"/>
      <c r="B32" s="14" t="s">
        <v>36</v>
      </c>
      <c r="C32" s="14"/>
      <c r="D32" s="24"/>
      <c r="E32" s="24"/>
      <c r="F32" s="24"/>
      <c r="G32" s="24"/>
      <c r="H32" s="25"/>
      <c r="I32" s="25"/>
      <c r="J32" s="25"/>
      <c r="K32" s="25"/>
      <c r="L32" s="25"/>
      <c r="M32" s="63"/>
    </row>
    <row r="33" spans="1:19" ht="21.75" customHeight="1" thickBot="1">
      <c r="A33" s="83"/>
      <c r="B33" s="83"/>
      <c r="C33" s="83"/>
      <c r="D33" s="83"/>
      <c r="E33" s="14"/>
      <c r="F33" s="14"/>
      <c r="G33" s="14"/>
      <c r="H33" s="14"/>
      <c r="I33" s="14"/>
      <c r="J33" s="14"/>
      <c r="K33" s="14"/>
      <c r="L33" s="26" t="s">
        <v>32</v>
      </c>
      <c r="M33" s="96" t="str">
        <f>IF(OR((M29&gt;0),(M30&gt;0),(M31&gt;0),(M32&gt;0)), M29+M30-M31-M32,"")</f>
        <v/>
      </c>
    </row>
    <row r="34" spans="1:19" ht="21.75" customHeight="1">
      <c r="A34" s="84" t="s">
        <v>48</v>
      </c>
      <c r="B34" s="84"/>
      <c r="C34" s="85"/>
      <c r="D34" s="85"/>
      <c r="E34" s="14"/>
      <c r="F34" s="14"/>
      <c r="G34" s="14"/>
      <c r="H34" s="14"/>
      <c r="I34" s="14"/>
      <c r="J34" s="14"/>
      <c r="K34" s="26"/>
      <c r="L34" s="47"/>
    </row>
    <row r="35" spans="1:19" ht="21.75" customHeight="1">
      <c r="A35" s="86" t="s">
        <v>50</v>
      </c>
      <c r="B35" s="86"/>
      <c r="C35" s="87"/>
      <c r="D35" s="87"/>
      <c r="E35" s="48"/>
      <c r="F35" s="48"/>
      <c r="G35" s="48"/>
      <c r="H35" s="48"/>
      <c r="I35" s="48"/>
      <c r="J35" s="48"/>
      <c r="K35" s="26"/>
      <c r="L35" s="47"/>
    </row>
    <row r="36" spans="1:19" ht="22.5" customHeight="1" thickBot="1">
      <c r="A36" s="83"/>
      <c r="B36" s="83"/>
      <c r="C36" s="83"/>
      <c r="D36" s="83"/>
      <c r="E36" s="14"/>
      <c r="F36" s="14"/>
      <c r="G36" s="14"/>
      <c r="H36" s="14"/>
      <c r="I36" s="14"/>
      <c r="J36" s="14"/>
      <c r="K36" s="14"/>
      <c r="L36" s="14"/>
      <c r="M36" s="14"/>
    </row>
    <row r="37" spans="1:19" ht="19.5" customHeight="1" thickBot="1">
      <c r="A37" s="21" t="s">
        <v>2</v>
      </c>
      <c r="B37" s="153" t="s">
        <v>11</v>
      </c>
      <c r="C37" s="154"/>
      <c r="D37" s="154"/>
      <c r="E37" s="22" t="s">
        <v>12</v>
      </c>
      <c r="F37" s="21" t="s">
        <v>2</v>
      </c>
      <c r="G37" s="153" t="s">
        <v>11</v>
      </c>
      <c r="H37" s="154"/>
      <c r="I37" s="154"/>
      <c r="J37" s="154"/>
      <c r="K37" s="154"/>
      <c r="L37" s="154"/>
      <c r="M37" s="22" t="s">
        <v>12</v>
      </c>
    </row>
    <row r="38" spans="1:19" ht="19.5" customHeight="1">
      <c r="A38" s="35"/>
      <c r="B38" s="163"/>
      <c r="C38" s="164"/>
      <c r="D38" s="165"/>
      <c r="E38" s="89"/>
      <c r="F38" s="57"/>
      <c r="G38" s="163"/>
      <c r="H38" s="164"/>
      <c r="I38" s="164"/>
      <c r="J38" s="164"/>
      <c r="K38" s="164"/>
      <c r="L38" s="165"/>
      <c r="M38" s="92"/>
    </row>
    <row r="39" spans="1:19" ht="19.5" customHeight="1">
      <c r="A39" s="33"/>
      <c r="B39" s="130"/>
      <c r="C39" s="131"/>
      <c r="D39" s="132"/>
      <c r="E39" s="90"/>
      <c r="F39" s="58"/>
      <c r="G39" s="130"/>
      <c r="H39" s="131"/>
      <c r="I39" s="131"/>
      <c r="J39" s="131"/>
      <c r="K39" s="131"/>
      <c r="L39" s="132"/>
      <c r="M39" s="90"/>
    </row>
    <row r="40" spans="1:19" ht="19.5" customHeight="1">
      <c r="A40" s="40"/>
      <c r="B40" s="130"/>
      <c r="C40" s="131"/>
      <c r="D40" s="132"/>
      <c r="E40" s="90"/>
      <c r="F40" s="58"/>
      <c r="G40" s="130"/>
      <c r="H40" s="131"/>
      <c r="I40" s="131"/>
      <c r="J40" s="131"/>
      <c r="K40" s="131"/>
      <c r="L40" s="132"/>
      <c r="M40" s="90"/>
    </row>
    <row r="41" spans="1:19" ht="19.5" customHeight="1" thickBot="1">
      <c r="A41" s="34"/>
      <c r="B41" s="166"/>
      <c r="C41" s="167"/>
      <c r="D41" s="168"/>
      <c r="E41" s="91"/>
      <c r="F41" s="59"/>
      <c r="G41" s="166"/>
      <c r="H41" s="167"/>
      <c r="I41" s="167"/>
      <c r="J41" s="167"/>
      <c r="K41" s="167"/>
      <c r="L41" s="168"/>
      <c r="M41" s="91"/>
    </row>
    <row r="42" spans="1:19">
      <c r="A42" s="88"/>
      <c r="B42" s="88"/>
      <c r="C42" s="88"/>
      <c r="D42" s="14"/>
      <c r="E42" s="14"/>
      <c r="F42" s="14"/>
      <c r="G42" s="14"/>
      <c r="H42" s="14"/>
      <c r="I42" s="14"/>
      <c r="J42" s="14"/>
      <c r="K42" s="14"/>
      <c r="L42" s="1"/>
      <c r="M42" s="1"/>
    </row>
    <row r="43" spans="1:19" ht="13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9" ht="14" thickTop="1">
      <c r="A44" s="160" t="s">
        <v>13</v>
      </c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2"/>
    </row>
    <row r="45" spans="1:19" ht="13">
      <c r="A45" s="140" t="s">
        <v>14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2"/>
    </row>
    <row r="46" spans="1:19">
      <c r="A46" s="16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7"/>
    </row>
    <row r="47" spans="1:19" ht="27" customHeight="1">
      <c r="A47" s="71" t="s">
        <v>44</v>
      </c>
      <c r="B47" s="138"/>
      <c r="C47" s="138"/>
      <c r="D47" s="138"/>
      <c r="E47" s="138"/>
      <c r="G47" s="70" t="s">
        <v>45</v>
      </c>
      <c r="H47" s="144"/>
      <c r="I47" s="144"/>
      <c r="J47" s="144"/>
      <c r="K47" s="144"/>
      <c r="L47" s="144"/>
      <c r="M47" s="17"/>
    </row>
    <row r="48" spans="1:19" ht="30" customHeight="1">
      <c r="A48" s="71" t="s">
        <v>43</v>
      </c>
      <c r="B48" s="139"/>
      <c r="C48" s="139"/>
      <c r="D48" s="139"/>
      <c r="E48" s="139"/>
      <c r="G48" s="70" t="s">
        <v>43</v>
      </c>
      <c r="H48" s="143"/>
      <c r="I48" s="143"/>
      <c r="J48" s="143"/>
      <c r="K48" s="143"/>
      <c r="L48" s="143"/>
      <c r="M48" s="17"/>
      <c r="O48" s="18"/>
      <c r="S48" s="44"/>
    </row>
    <row r="49" spans="1:13" ht="27" customHeight="1">
      <c r="A49" s="140" t="s">
        <v>42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2"/>
    </row>
    <row r="50" spans="1:13" ht="27" customHeight="1">
      <c r="A50" s="71" t="s">
        <v>45</v>
      </c>
      <c r="B50" s="138"/>
      <c r="C50" s="138"/>
      <c r="D50" s="138"/>
      <c r="E50" s="138"/>
      <c r="G50" s="70" t="s">
        <v>45</v>
      </c>
      <c r="H50" s="144"/>
      <c r="I50" s="144"/>
      <c r="J50" s="144"/>
      <c r="K50" s="144"/>
      <c r="L50" s="144"/>
      <c r="M50" s="17"/>
    </row>
    <row r="51" spans="1:13" ht="30" customHeight="1">
      <c r="A51" s="71" t="s">
        <v>43</v>
      </c>
      <c r="B51" s="137"/>
      <c r="C51" s="137"/>
      <c r="D51" s="137"/>
      <c r="E51" s="137"/>
      <c r="G51" s="70" t="s">
        <v>43</v>
      </c>
      <c r="H51" s="143"/>
      <c r="I51" s="143"/>
      <c r="J51" s="143"/>
      <c r="K51" s="143"/>
      <c r="L51" s="143"/>
      <c r="M51" s="17"/>
    </row>
    <row r="52" spans="1:13" ht="13" thickBot="1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10"/>
    </row>
    <row r="53" spans="1:13" ht="13.5" thickTop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3" thickBot="1"/>
    <row r="55" spans="1:13" ht="21.75" customHeight="1" thickBot="1">
      <c r="A55" s="145" t="s">
        <v>38</v>
      </c>
      <c r="B55" s="146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7"/>
    </row>
    <row r="56" spans="1:13" ht="17.25" customHeight="1">
      <c r="A56" s="158" t="s">
        <v>39</v>
      </c>
      <c r="B56" s="159"/>
      <c r="C56" s="155" t="s">
        <v>15</v>
      </c>
      <c r="D56" s="156"/>
      <c r="E56" s="156"/>
      <c r="F56" s="156"/>
      <c r="G56" s="156"/>
      <c r="H56" s="156"/>
      <c r="I56" s="156"/>
      <c r="J56" s="156"/>
      <c r="K56" s="157"/>
      <c r="L56" s="55"/>
      <c r="M56" s="56"/>
    </row>
    <row r="57" spans="1:13" ht="17.25" customHeight="1">
      <c r="A57" s="2"/>
      <c r="B57" s="3"/>
      <c r="C57" s="4" t="s">
        <v>16</v>
      </c>
      <c r="D57" s="4" t="s">
        <v>17</v>
      </c>
      <c r="E57" s="151" t="s">
        <v>18</v>
      </c>
      <c r="F57" s="152"/>
      <c r="G57" s="151" t="s">
        <v>19</v>
      </c>
      <c r="H57" s="152"/>
      <c r="I57" s="5" t="s">
        <v>20</v>
      </c>
      <c r="J57" s="4"/>
      <c r="K57" s="4" t="s">
        <v>21</v>
      </c>
      <c r="L57" s="148" t="s">
        <v>12</v>
      </c>
      <c r="M57" s="149"/>
    </row>
    <row r="58" spans="1:13" ht="22.5" customHeight="1">
      <c r="A58" s="2"/>
      <c r="B58" s="3"/>
      <c r="C58" s="75"/>
      <c r="D58" s="75"/>
      <c r="E58" s="103"/>
      <c r="F58" s="104"/>
      <c r="G58" s="105" t="str">
        <f>IF($D$30&lt;&gt;0,65101,IF(OR($E$29&lt;&gt;0,$F$29&lt;&gt;0,$G$29&lt;&gt;0),65300,IF($H$29&lt;&gt;0,65103,IF($I$29&lt;&gt;0,65200,IF($J$29&lt;&gt;0,67011,IF($K$29&lt;&gt;0,65105,IF($L$29&lt;&gt;0,65400,"")))))))</f>
        <v/>
      </c>
      <c r="H58" s="106">
        <f>IF($D$27&lt;&gt;"",65101,IF(OR($E$27&lt;&gt;"",$F$27&lt;&gt;"",$G$27&lt;&gt;""),65300,IF($H$27&lt;&gt;"",65102,IF($J$27&lt;&gt;"",65200,IF($K$27&lt;&gt;"",67011,"")))))</f>
        <v>65101</v>
      </c>
      <c r="I58" s="76"/>
      <c r="J58" s="75"/>
      <c r="K58" s="75"/>
      <c r="L58" s="99"/>
      <c r="M58" s="100"/>
    </row>
    <row r="59" spans="1:13" ht="22.5" customHeight="1">
      <c r="A59" s="2"/>
      <c r="B59" s="3"/>
      <c r="C59" s="75"/>
      <c r="D59" s="75"/>
      <c r="E59" s="103"/>
      <c r="F59" s="104"/>
      <c r="G59" s="105" t="str">
        <f>IF(AND(G58=65101,OR(E$29&lt;&gt;0,F$29&lt;&gt;0,G$29&lt;&gt;0)),65300,IF(AND(OR(G58=65101,G58=65300),H$29&lt;&gt;0),65103,IF(AND(OR(G58=65101,G58=65300,G58=65103),I$29&lt;&gt;0),65200,IF(AND(OR(G58=65101,G58=65300,G58=65103,G58=65200),J$29&lt;&gt;0),67011,IF(AND(OR(G58=65101,G58=65300,G58=65103,G58=65200,G58=67011),K$29&lt;&gt;0),65105,IF(AND(OR(G58=65101,G58=65300,G58=65103,G58=65200,G58=67011,G58=65105),L$29&lt;&gt;0),65400,""))))))</f>
        <v/>
      </c>
      <c r="H59" s="106">
        <f>IF(AND(H58=65101,OR(F$27&lt;&gt;"",G$27&lt;&gt;"",H$27&lt;&gt;"")),65300,IF(AND(OR(H58=65101,H58=65300),J$27&lt;&gt;""),65102,IF(AND(OR(H58=65101,H58=65300,H58=65102),K$27&lt;&gt;""),65200,IF(AND(OR(H58=65101,H58=65300,H58=65102,H58=65200),L$27&lt;&gt;""),67011,""))))</f>
        <v>65300</v>
      </c>
      <c r="I59" s="76"/>
      <c r="J59" s="75"/>
      <c r="K59" s="75"/>
      <c r="L59" s="99"/>
      <c r="M59" s="100"/>
    </row>
    <row r="60" spans="1:13" ht="22.5" customHeight="1">
      <c r="A60" s="11"/>
      <c r="B60" s="12"/>
      <c r="C60" s="75"/>
      <c r="D60" s="75"/>
      <c r="E60" s="103"/>
      <c r="F60" s="104"/>
      <c r="G60" s="111" t="str">
        <f>IF(AND(G59=65300,H$29&lt;&gt;0,H29&lt;&gt;H31),65103,IF(AND(OR(G59=65300,G59=65103),I$29&lt;&gt;0,I29&lt;&gt;I31),65200,IF(AND(OR(G59=65300,G59=65103,G59=65200),J$29&lt;&gt;0,J29&lt;&gt;J31),67011,IF(AND(OR(G59=65300,G59=65103,G59=65200,G59=67011),K$29&lt;&gt;0,K29&lt;&gt;K31),65105,IF(AND(OR(G59=65300,G59=65103,G59=65200,G59=67011,G59=65105),L$29&lt;&gt;0,L29&lt;&gt;L31),65400,"")))))</f>
        <v/>
      </c>
      <c r="H60" s="112">
        <f>IF(AND(H59=65300,J$27&lt;&gt;""),65102,IF(AND(OR(H59=65300,H59=65102),K$27&lt;&gt;""),65200,IF(AND(OR(H59=65300,H59=65102,H59=65200),L$27&lt;&gt;""),67011,"")))</f>
        <v>65102</v>
      </c>
      <c r="I60" s="77"/>
      <c r="J60" s="75"/>
      <c r="K60" s="75"/>
      <c r="L60" s="99"/>
      <c r="M60" s="100"/>
    </row>
    <row r="61" spans="1:13" ht="22.5" customHeight="1">
      <c r="A61" s="2" t="s">
        <v>28</v>
      </c>
      <c r="B61" s="3"/>
      <c r="C61" s="75"/>
      <c r="D61" s="75"/>
      <c r="E61" s="103"/>
      <c r="F61" s="104"/>
      <c r="G61" s="105" t="str">
        <f>IF(AND(G60=65103,I$29&lt;&gt;0,I29&lt;&gt;I31),65200,IF(AND(OR(G60=65103,G60=65200),J$29&lt;&gt;0,J29&lt;&gt;J31),67011,IF(AND(OR(G60=65103,G60=65200,G60=67011)*K$29&lt;&gt;0,K29&lt;&gt;K31),65105,IF(AND(OR(G60=65103,G60=65200,G60=67011,G60=65105),L$29&lt;&gt;0,L29&lt;&gt;L31),65400,""))))</f>
        <v/>
      </c>
      <c r="H61" s="106">
        <f>IF(AND(H60=65102,K$27&lt;&gt;""),65200,IF(AND(OR(H60=65102,H60=65200),L$27&lt;&gt;""),67011,""))</f>
        <v>65200</v>
      </c>
      <c r="I61" s="76"/>
      <c r="J61" s="75"/>
      <c r="K61" s="75"/>
      <c r="L61" s="99"/>
      <c r="M61" s="100"/>
    </row>
    <row r="62" spans="1:13" ht="22.5" customHeight="1">
      <c r="A62" s="2"/>
      <c r="B62" s="3"/>
      <c r="C62" s="78"/>
      <c r="D62" s="78"/>
      <c r="E62" s="103"/>
      <c r="F62" s="104"/>
      <c r="G62" s="105" t="str">
        <f>IF(AND(G61=65200,J$29&lt;&gt;0,J29&lt;&gt;J31),67011,IF(AND(OR(G61=65200,G61=67011),K$29&lt;&gt;0,K29&lt;&gt;K31),65105,IF(AND(OR(G61=65200,G61=67011,G61=65105),L$29&lt;&gt;0,L29&lt;&gt;L31),65400,"")))</f>
        <v/>
      </c>
      <c r="H62" s="106" t="str">
        <f>IF(AND(H60=65200,L$27&lt;&gt;""),67011,"")</f>
        <v/>
      </c>
      <c r="I62" s="79"/>
      <c r="J62" s="78"/>
      <c r="K62" s="78"/>
      <c r="L62" s="150"/>
      <c r="M62" s="100"/>
    </row>
    <row r="63" spans="1:13" ht="22.5" customHeight="1">
      <c r="A63" s="2"/>
      <c r="B63" s="3"/>
      <c r="C63" s="78"/>
      <c r="D63" s="78"/>
      <c r="E63" s="103"/>
      <c r="F63" s="104"/>
      <c r="G63" s="105" t="str">
        <f>IF(AND(G62=67011,K$29&lt;&gt;0,K29&lt;&gt;K31),65105,IF(AND(OR(G62=67011,G62=65105),L$29&lt;&gt;0,L29&lt;&gt;L31),65400,""))</f>
        <v/>
      </c>
      <c r="H63" s="106" t="str">
        <f>IF(AND(H60=65200,L$27&lt;&gt;""),67011,"")</f>
        <v/>
      </c>
      <c r="I63" s="80"/>
      <c r="J63" s="78"/>
      <c r="K63" s="78"/>
      <c r="L63" s="99"/>
      <c r="M63" s="100"/>
    </row>
    <row r="64" spans="1:13" ht="22.5" customHeight="1" thickBot="1">
      <c r="A64" s="6"/>
      <c r="B64" s="7"/>
      <c r="C64" s="81"/>
      <c r="D64" s="81"/>
      <c r="E64" s="107"/>
      <c r="F64" s="108"/>
      <c r="G64" s="109" t="str">
        <f>IF(AND(G63=65105,L$29&lt;&gt;0,L29&lt;&gt;L31),65400,"")</f>
        <v/>
      </c>
      <c r="H64" s="110">
        <f>IF(AND(H61=65200,L$27&lt;&gt;""),67011,"")</f>
        <v>67011</v>
      </c>
      <c r="I64" s="82"/>
      <c r="J64" s="81"/>
      <c r="K64" s="81"/>
      <c r="L64" s="101"/>
      <c r="M64" s="102"/>
    </row>
    <row r="66" spans="1:1">
      <c r="A66" s="44" t="s">
        <v>53</v>
      </c>
    </row>
  </sheetData>
  <sheetProtection sheet="1" objects="1" scenarios="1"/>
  <mergeCells count="70">
    <mergeCell ref="G37:L37"/>
    <mergeCell ref="C56:K56"/>
    <mergeCell ref="A56:B56"/>
    <mergeCell ref="A44:M44"/>
    <mergeCell ref="A45:M45"/>
    <mergeCell ref="B37:D37"/>
    <mergeCell ref="B38:D38"/>
    <mergeCell ref="B39:D39"/>
    <mergeCell ref="G38:L38"/>
    <mergeCell ref="B41:D41"/>
    <mergeCell ref="G39:L39"/>
    <mergeCell ref="G40:L40"/>
    <mergeCell ref="G41:L41"/>
    <mergeCell ref="G61:H61"/>
    <mergeCell ref="A55:M55"/>
    <mergeCell ref="L57:M57"/>
    <mergeCell ref="E62:F62"/>
    <mergeCell ref="L60:M60"/>
    <mergeCell ref="L61:M61"/>
    <mergeCell ref="L62:M62"/>
    <mergeCell ref="E57:F57"/>
    <mergeCell ref="G57:H57"/>
    <mergeCell ref="B40:D40"/>
    <mergeCell ref="B51:E51"/>
    <mergeCell ref="B50:E50"/>
    <mergeCell ref="B48:E48"/>
    <mergeCell ref="B47:E47"/>
    <mergeCell ref="A49:M49"/>
    <mergeCell ref="H51:L51"/>
    <mergeCell ref="H48:L48"/>
    <mergeCell ref="H47:L47"/>
    <mergeCell ref="H50:L50"/>
    <mergeCell ref="I12:M12"/>
    <mergeCell ref="B7:G7"/>
    <mergeCell ref="B8:G8"/>
    <mergeCell ref="B9:G9"/>
    <mergeCell ref="B11:M11"/>
    <mergeCell ref="L9:M9"/>
    <mergeCell ref="L8:M8"/>
    <mergeCell ref="G12:H12"/>
    <mergeCell ref="B25:C25"/>
    <mergeCell ref="B23:C23"/>
    <mergeCell ref="B24:C24"/>
    <mergeCell ref="C12:F12"/>
    <mergeCell ref="A12:B12"/>
    <mergeCell ref="B14:C14"/>
    <mergeCell ref="B19:C19"/>
    <mergeCell ref="B20:C20"/>
    <mergeCell ref="B21:C21"/>
    <mergeCell ref="B22:C22"/>
    <mergeCell ref="B15:C15"/>
    <mergeCell ref="B16:C16"/>
    <mergeCell ref="B17:C17"/>
    <mergeCell ref="B18:C18"/>
    <mergeCell ref="L63:M63"/>
    <mergeCell ref="L64:M64"/>
    <mergeCell ref="L58:M58"/>
    <mergeCell ref="L59:M59"/>
    <mergeCell ref="E59:F59"/>
    <mergeCell ref="E58:F58"/>
    <mergeCell ref="G58:H58"/>
    <mergeCell ref="G59:H59"/>
    <mergeCell ref="E63:F63"/>
    <mergeCell ref="E64:F64"/>
    <mergeCell ref="G64:H64"/>
    <mergeCell ref="E60:F60"/>
    <mergeCell ref="G63:H63"/>
    <mergeCell ref="G60:H60"/>
    <mergeCell ref="G62:H62"/>
    <mergeCell ref="E61:F61"/>
  </mergeCells>
  <phoneticPr fontId="2" type="noConversion"/>
  <printOptions horizontalCentered="1"/>
  <pageMargins left="0.5" right="0.5" top="0.5" bottom="0.5" header="0.5" footer="0.5"/>
  <headerFooter alignWithMargins="0"/>
  <ignoredErrors>
    <ignoredError sqref="M15:M17 M18:M25" formulaRange="1"/>
  </ignoredErrors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Koetting</dc:creator>
  <cp:lastModifiedBy>Bené  Williams</cp:lastModifiedBy>
  <cp:lastPrinted>2012-02-17T05:14:10Z</cp:lastPrinted>
  <dcterms:created xsi:type="dcterms:W3CDTF">2003-11-12T15:49:54Z</dcterms:created>
  <dcterms:modified xsi:type="dcterms:W3CDTF">2012-05-07T20:54:36Z</dcterms:modified>
</cp:coreProperties>
</file>