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<sst xmlns="http://schemas.openxmlformats.org/spreadsheetml/2006/main" count="703" uniqueCount="314">
  <si>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</si>
  <si>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</si>
  <si>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</si>
  <si>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</si>
  <si>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</si>
  <si>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</si>
  <si>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</si>
  <si>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</si>
  <si>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</si>
  <si>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</si>
  <si>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</si>
  <si>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</si>
  <si>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</si>
  <si>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</si>
  <si>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</si>
  <si>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</si>
  <si>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</si>
  <si>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</si>
  <si>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</si>
  <si>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</si>
  <si>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</si>
  <si>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</si>
  <si>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</si>
  <si>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</si>
  <si>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</si>
  <si>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</si>
  <si>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</si>
  <si>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</si>
  <si>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</si>
  <si>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</si>
  <si>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</si>
  <si>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</si>
  <si>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</si>
  <si>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</si>
  <si>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</si>
  <si>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</si>
  <si>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</si>
  <si>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</si>
  <si>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</si>
  <si>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</si>
  <si>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</si>
  <si>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</si>
  <si>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</si>
  <si>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</si>
  <si>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</si>
  <si>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201 12th Street South, Suite 800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</si>
  <si>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</si>
  <si>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</si>
  <si>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</si>
  <si>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</si>
  <si>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</si>
  <si>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</si>
  <si>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</si>
  <si>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</si>
  <si>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</si>
  <si>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</si>
  <si>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</si>
  <si>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</si>
  <si>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</si>
  <si>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</si>
  <si>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</si>
  <si>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</si>
  <si>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</si>
  <si>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</si>
  <si>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</si>
  <si>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</si>
  <si>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</si>
  <si>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</si>
  <si>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</si>
  <si>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</si>
  <si>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</si>
  <si>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</si>
  <si>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</si>
  <si>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</si>
  <si>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</si>
  <si>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</si>
  <si>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</si>
  <si>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</si>
  <si>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(303) 771-5380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</si>
  <si>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</si>
  <si>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</si>
  <si>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</si>
  <si>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</si>
  <si>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</si>
  <si>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</si>
  <si>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</si>
  <si>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</si>
  <si>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</si>
  <si>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(925) 666-2184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</si>
  <si>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</si>
  <si>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</si>
  <si>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</si>
  <si>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</si>
  <si>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</si>
  <si>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</si>
  <si>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</si>
  <si>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</si>
  <si>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</si>
  <si>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</si>
  <si>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</si>
  <si>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</si>
  <si>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</si>
  <si>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</si>
  <si>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</si>
  <si>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</si>
  <si>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</si>
  <si>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</si>
  <si>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</si>
  <si>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</si>
  <si>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</si>
  <si>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</si>
  <si>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</si>
  <si>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</si>
  <si>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</si>
  <si>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</si>
  <si>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</si>
  <si>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</si>
  <si>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</si>
  <si>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</si>
  <si>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</si>
  <si>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</si>
  <si>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</si>
  <si>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</si>
  <si>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</si>
  <si>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</si>
  <si>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</si>
  <si>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</si>
  <si>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</si>
  <si>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</si>
  <si>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</si>
  <si>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</si>
  <si>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</si>
  <si>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</si>
  <si>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</si>
  <si>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</si>
  <si>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</si>
  <si>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</si>
  <si>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</si>
  <si>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</si>
  <si>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</si>
  <si>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</si>
  <si>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</si>
  <si>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</si>
  <si>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</si>
  <si>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</si>
  <si>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</si>
  <si>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</si>
  <si>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</si>
  <si>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</si>
  <si>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</si>
  <si>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</si>
  <si>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</si>
  <si>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</si>
  <si>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>10400 Eaton Place, Suite 312</t>
  </si>
  <si>
    <t xml:space="preserve">www.cwatkinsinc.com  www.cwivetsteam.com </t>
  </si>
  <si>
    <t>Robert A. Walker</t>
  </si>
  <si>
    <t>rwalker@AdvSystems.com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</si>
  <si>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</si>
  <si>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</si>
  <si>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</si>
  <si>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</si>
  <si>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</si>
  <si>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</si>
  <si>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</si>
  <si>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</si>
  <si>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</si>
  <si>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</si>
  <si>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</si>
  <si>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</si>
  <si>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</si>
  <si>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</si>
  <si>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</si>
  <si>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</si>
  <si>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</si>
  <si>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</si>
  <si>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</si>
  <si>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</si>
  <si>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</si>
  <si>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</si>
  <si>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</si>
  <si>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</si>
  <si>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</si>
  <si>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</si>
  <si>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</si>
  <si>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</si>
  <si>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</si>
  <si>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</si>
  <si>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</si>
  <si>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</si>
  <si>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</si>
  <si>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</si>
  <si>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</si>
  <si>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</si>
  <si>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</si>
  <si>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</si>
  <si>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</si>
  <si>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</si>
  <si>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</si>
  <si>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</si>
  <si>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</si>
  <si>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</si>
  <si>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</si>
  <si>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</si>
  <si>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</si>
  <si>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</si>
  <si>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2000 North Alafaya Trail, Suite 400</t>
  </si>
  <si>
    <t>Orlando</t>
  </si>
  <si>
    <t>FL</t>
  </si>
  <si>
    <t>32826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</si>
  <si>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</si>
  <si>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</si>
  <si>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</si>
  <si>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</si>
  <si>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</si>
  <si>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</si>
  <si>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</si>
  <si>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</si>
  <si>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</si>
  <si>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</si>
  <si>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</si>
  <si>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</si>
  <si>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6775 Rangewood Drive</t>
  </si>
  <si>
    <t>80918-7300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</si>
  <si>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</si>
  <si>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</si>
  <si>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</si>
  <si>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</si>
  <si>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</si>
  <si>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</si>
  <si>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</si>
  <si>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</si>
  <si>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209-6275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</si>
  <si>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</si>
  <si>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</si>
  <si>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</si>
  <si>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</si>
  <si>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</si>
  <si>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</si>
  <si>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11955 Democracy Drive, Suite  1620</t>
  </si>
  <si>
    <t>Reston</t>
  </si>
  <si>
    <t>jcochran@iea-corp.com, jwynn@iea-corp.com</t>
  </si>
  <si>
    <t>(888) 338-1391</t>
  </si>
  <si>
    <t>(719) 623-3600</t>
  </si>
  <si>
    <t>(877) 870-9002</t>
  </si>
  <si>
    <t>44335 Premier Plaza, Suite 200</t>
  </si>
  <si>
    <t>Ashburn</t>
  </si>
  <si>
    <t>(703) 821-3300 ext 709</t>
  </si>
  <si>
    <t>8585 E Hartford Drive, Ste 118</t>
  </si>
  <si>
    <t>Scottsdale</t>
  </si>
  <si>
    <t>AZ</t>
  </si>
  <si>
    <t>85255-5473</t>
  </si>
  <si>
    <t>(408) 538 -2668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</si>
  <si>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</si>
  <si>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</si>
  <si>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</si>
  <si>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</si>
  <si>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</si>
  <si>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</si>
  <si>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</si>
  <si>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</si>
  <si>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</si>
  <si>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</si>
  <si>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</si>
  <si>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</si>
  <si>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</si>
  <si>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</si>
  <si>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</si>
  <si>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433 N. Lee Street</t>
  </si>
  <si>
    <t>www.pro-spheretek.com</t>
  </si>
  <si>
    <t>(703) 562-0575</t>
  </si>
  <si>
    <t>(703) 562-0576</t>
  </si>
  <si>
    <t>Jane Green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</si>
  <si>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</si>
  <si>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</si>
  <si>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</si>
  <si>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</si>
  <si>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</si>
  <si>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kterrell@ktconsultinginc.com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</si>
  <si>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</si>
  <si>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</si>
  <si>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</si>
  <si>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</si>
  <si>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</si>
  <si>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</si>
  <si>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</si>
  <si>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</si>
  <si>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Bob LeFebvre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</si>
  <si>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</si>
  <si>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</si>
  <si>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</si>
  <si>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</si>
  <si>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</si>
  <si>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</si>
  <si>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</si>
  <si>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</si>
  <si>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</si>
  <si>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Rick Brunner</t>
  </si>
  <si>
    <t>rblevins@pro-spheretek.com, Rbrunner@pro-spheretek.com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</si>
  <si>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</si>
  <si>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</si>
  <si>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</si>
  <si>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</si>
  <si>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</si>
  <si>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</si>
  <si>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</si>
  <si>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</si>
  <si>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</si>
  <si>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</si>
  <si>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Marjan Hekmat, Steve Hagan</t>
  </si>
  <si>
    <t>Kevin McCracken</t>
  </si>
  <si>
    <t>5475 Mark Dabling Blvd,  Suite 300</t>
  </si>
  <si>
    <t>Last Updated April-14-2014</t>
  </si>
  <si>
    <t>Small Business Prime Contractors</t>
  </si>
  <si>
    <t>Large Strategic Partner Contractors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</si>
</sst>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13" fillId="0" borderId="1" xfId="0" applyFont="1" applyBorder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3" Type="http://schemas.openxmlformats.org/officeDocument/2006/relationships/hyperlink" Target="mailto:gsavets@catapulttechnology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onsultinginc.com" TargetMode="External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2" sqref="A2:B2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158</v>
      </c>
      <c r="G1" s="38" t="s">
        <v>311</v>
      </c>
    </row>
    <row r="2" spans="1:14" s="37" customFormat="1" ht="104.25" customHeight="1">
      <c r="A2" s="50" t="s">
        <v>274</v>
      </c>
      <c r="B2" s="51"/>
      <c r="G2" s="38"/>
    </row>
    <row r="3" spans="1:14" s="49" customFormat="1" ht="31.5" customHeight="1">
      <c r="A3" s="52" t="s">
        <v>312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">
        <v>14</v>
      </c>
      <c r="C5" s="4" t="s">
        <v>285</v>
      </c>
      <c r="D5" s="1" t="s">
        <v>89</v>
      </c>
      <c r="E5" s="1" t="s">
        <v>21</v>
      </c>
      <c r="F5" s="26" t="s">
        <v>204</v>
      </c>
      <c r="G5" s="4" t="s">
        <v>155</v>
      </c>
      <c r="H5" s="7" t="s">
        <v>156</v>
      </c>
      <c r="I5" s="7" t="s">
        <v>171</v>
      </c>
      <c r="J5" s="3" t="s">
        <v>181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237</v>
      </c>
      <c r="H6" s="7" t="s">
        <v>307</v>
      </c>
      <c r="I6" s="12" t="s">
        <v>200</v>
      </c>
      <c r="J6" s="8" t="s">
        <v>201</v>
      </c>
      <c r="K6" s="8" t="s">
        <v>186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203</v>
      </c>
      <c r="H7" s="35" t="s">
        <v>211</v>
      </c>
      <c r="I7" s="5" t="s">
        <v>154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195</v>
      </c>
      <c r="C8" s="4" t="s">
        <v>279</v>
      </c>
      <c r="D8" s="1" t="s">
        <v>239</v>
      </c>
      <c r="E8" s="1" t="s">
        <v>21</v>
      </c>
      <c r="F8" s="4">
        <v>20191</v>
      </c>
      <c r="G8" s="4" t="s">
        <v>196</v>
      </c>
      <c r="H8" s="7" t="s">
        <v>197</v>
      </c>
      <c r="I8" s="7" t="s">
        <v>202</v>
      </c>
      <c r="J8" s="3" t="s">
        <v>275</v>
      </c>
      <c r="K8" s="3" t="s">
        <v>276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238</v>
      </c>
      <c r="D9" s="1" t="s">
        <v>239</v>
      </c>
      <c r="E9" s="1" t="s">
        <v>21</v>
      </c>
      <c r="F9" s="27">
        <v>20190</v>
      </c>
      <c r="G9" s="40" t="s">
        <v>308</v>
      </c>
      <c r="H9" s="7" t="s">
        <v>230</v>
      </c>
      <c r="I9" s="7" t="s">
        <v>298</v>
      </c>
      <c r="J9" s="19" t="s">
        <v>302</v>
      </c>
      <c r="K9" s="14" t="s">
        <v>138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306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252</v>
      </c>
      <c r="H10" s="7" t="s">
        <v>303</v>
      </c>
      <c r="I10" s="12" t="s">
        <v>142</v>
      </c>
      <c r="J10" s="3" t="s">
        <v>215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49</v>
      </c>
      <c r="B11" s="8" t="s">
        <v>50</v>
      </c>
      <c r="C11" s="40" t="s">
        <v>225</v>
      </c>
      <c r="D11" s="1" t="s">
        <v>226</v>
      </c>
      <c r="E11" s="1" t="s">
        <v>21</v>
      </c>
      <c r="F11" s="27">
        <v>20186</v>
      </c>
      <c r="G11" s="4" t="s">
        <v>281</v>
      </c>
      <c r="H11" s="35" t="s">
        <v>280</v>
      </c>
      <c r="I11" s="7" t="s">
        <v>51</v>
      </c>
      <c r="J11" s="3" t="s">
        <v>227</v>
      </c>
      <c r="K11" s="3" t="s">
        <v>228</v>
      </c>
      <c r="L11" s="6" t="s">
        <v>16</v>
      </c>
      <c r="M11" s="6" t="s">
        <v>16</v>
      </c>
      <c r="N11" s="6" t="s">
        <v>16</v>
      </c>
    </row>
    <row r="12" spans="1:14">
      <c r="A12" s="2" t="s">
        <v>64</v>
      </c>
      <c r="B12" s="2" t="s">
        <v>65</v>
      </c>
      <c r="C12" s="4" t="s">
        <v>244</v>
      </c>
      <c r="D12" s="1" t="s">
        <v>245</v>
      </c>
      <c r="E12" s="1" t="s">
        <v>21</v>
      </c>
      <c r="F12" s="4">
        <v>20147</v>
      </c>
      <c r="G12" s="4" t="s">
        <v>224</v>
      </c>
      <c r="H12" s="39" t="s">
        <v>240</v>
      </c>
      <c r="I12" s="7" t="s">
        <v>145</v>
      </c>
      <c r="J12" s="3" t="s">
        <v>231</v>
      </c>
      <c r="K12" s="3" t="s">
        <v>232</v>
      </c>
      <c r="L12" s="6" t="s">
        <v>16</v>
      </c>
      <c r="M12" s="6" t="s">
        <v>16</v>
      </c>
      <c r="N12" s="6" t="s">
        <v>16</v>
      </c>
    </row>
    <row r="13" spans="1:14">
      <c r="A13" s="2" t="s">
        <v>71</v>
      </c>
      <c r="B13" s="2" t="s">
        <v>72</v>
      </c>
      <c r="C13" s="9" t="s">
        <v>73</v>
      </c>
      <c r="D13" s="2" t="s">
        <v>176</v>
      </c>
      <c r="E13" s="2" t="s">
        <v>21</v>
      </c>
      <c r="F13" s="9">
        <v>20166</v>
      </c>
      <c r="G13" s="9" t="s">
        <v>209</v>
      </c>
      <c r="H13" s="35" t="s">
        <v>213</v>
      </c>
      <c r="I13" s="7" t="s">
        <v>146</v>
      </c>
      <c r="J13" s="2" t="s">
        <v>182</v>
      </c>
      <c r="K13" s="9" t="s">
        <v>74</v>
      </c>
      <c r="L13" s="10" t="s">
        <v>16</v>
      </c>
      <c r="M13" s="10" t="s">
        <v>16</v>
      </c>
      <c r="N13" s="6" t="s">
        <v>16</v>
      </c>
    </row>
    <row r="14" spans="1:14">
      <c r="A14" s="2" t="s">
        <v>75</v>
      </c>
      <c r="B14" s="11" t="s">
        <v>76</v>
      </c>
      <c r="C14" s="9" t="s">
        <v>221</v>
      </c>
      <c r="D14" s="1" t="s">
        <v>122</v>
      </c>
      <c r="E14" s="1" t="s">
        <v>66</v>
      </c>
      <c r="F14" s="26" t="s">
        <v>222</v>
      </c>
      <c r="G14" s="40" t="s">
        <v>291</v>
      </c>
      <c r="H14" s="7" t="s">
        <v>294</v>
      </c>
      <c r="I14" s="7" t="s">
        <v>77</v>
      </c>
      <c r="J14" s="3" t="s">
        <v>194</v>
      </c>
      <c r="K14" s="3" t="s">
        <v>78</v>
      </c>
      <c r="L14" s="6" t="s">
        <v>16</v>
      </c>
      <c r="M14" s="6" t="s">
        <v>16</v>
      </c>
      <c r="N14" s="6" t="s">
        <v>16</v>
      </c>
    </row>
    <row r="15" spans="1:14">
      <c r="A15" s="2" t="s">
        <v>79</v>
      </c>
      <c r="B15" s="2" t="s">
        <v>80</v>
      </c>
      <c r="C15" s="40" t="s">
        <v>235</v>
      </c>
      <c r="D15" s="41" t="s">
        <v>236</v>
      </c>
      <c r="E15" s="1" t="s">
        <v>21</v>
      </c>
      <c r="F15" s="4">
        <v>22042</v>
      </c>
      <c r="G15" s="4" t="s">
        <v>278</v>
      </c>
      <c r="H15" s="7" t="s">
        <v>172</v>
      </c>
      <c r="I15" s="7" t="s">
        <v>82</v>
      </c>
      <c r="J15" s="14" t="s">
        <v>83</v>
      </c>
      <c r="K15" s="3" t="s">
        <v>84</v>
      </c>
      <c r="L15" s="6" t="s">
        <v>16</v>
      </c>
      <c r="M15" s="6" t="s">
        <v>16</v>
      </c>
      <c r="N15" s="6" t="s">
        <v>16</v>
      </c>
    </row>
    <row r="16" spans="1:14">
      <c r="A16" s="2" t="s">
        <v>85</v>
      </c>
      <c r="B16" s="8" t="s">
        <v>86</v>
      </c>
      <c r="C16" s="9" t="s">
        <v>247</v>
      </c>
      <c r="D16" s="2" t="s">
        <v>248</v>
      </c>
      <c r="E16" s="2" t="s">
        <v>249</v>
      </c>
      <c r="F16" s="29" t="s">
        <v>250</v>
      </c>
      <c r="G16" s="9" t="s">
        <v>87</v>
      </c>
      <c r="H16" s="7" t="s">
        <v>277</v>
      </c>
      <c r="I16" s="7" t="s">
        <v>170</v>
      </c>
      <c r="J16" s="8" t="s">
        <v>251</v>
      </c>
      <c r="K16" s="8" t="s">
        <v>88</v>
      </c>
      <c r="L16" s="6" t="s">
        <v>16</v>
      </c>
      <c r="M16" s="6" t="s">
        <v>16</v>
      </c>
      <c r="N16" s="6" t="s">
        <v>16</v>
      </c>
    </row>
    <row r="17" spans="1:14">
      <c r="A17" s="2" t="s">
        <v>95</v>
      </c>
      <c r="B17" s="2" t="s">
        <v>96</v>
      </c>
      <c r="C17" s="4" t="s">
        <v>205</v>
      </c>
      <c r="D17" s="1" t="s">
        <v>206</v>
      </c>
      <c r="E17" s="1" t="s">
        <v>207</v>
      </c>
      <c r="F17" s="26" t="s">
        <v>208</v>
      </c>
      <c r="G17" s="16" t="s">
        <v>167</v>
      </c>
      <c r="H17" s="7" t="s">
        <v>168</v>
      </c>
      <c r="I17" s="7" t="s">
        <v>97</v>
      </c>
      <c r="J17" s="3" t="s">
        <v>169</v>
      </c>
      <c r="K17" s="3" t="s">
        <v>98</v>
      </c>
      <c r="L17" s="6" t="s">
        <v>16</v>
      </c>
      <c r="M17" s="6" t="s">
        <v>16</v>
      </c>
      <c r="N17" s="6" t="s">
        <v>16</v>
      </c>
    </row>
    <row r="18" spans="1:14">
      <c r="A18" s="2" t="s">
        <v>99</v>
      </c>
      <c r="B18" s="45" t="s">
        <v>290</v>
      </c>
      <c r="C18" s="40" t="s">
        <v>253</v>
      </c>
      <c r="D18" s="41" t="s">
        <v>254</v>
      </c>
      <c r="E18" s="41" t="s">
        <v>255</v>
      </c>
      <c r="F18" s="27">
        <v>17225</v>
      </c>
      <c r="G18" s="40" t="s">
        <v>309</v>
      </c>
      <c r="H18" s="7" t="s">
        <v>293</v>
      </c>
      <c r="I18" s="7" t="s">
        <v>292</v>
      </c>
      <c r="J18" s="19" t="s">
        <v>261</v>
      </c>
      <c r="K18" s="3" t="s">
        <v>262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263</v>
      </c>
      <c r="C19" s="40" t="s">
        <v>295</v>
      </c>
      <c r="D19" s="1" t="s">
        <v>42</v>
      </c>
      <c r="E19" s="1" t="s">
        <v>21</v>
      </c>
      <c r="F19" s="4">
        <v>22182</v>
      </c>
      <c r="G19" s="40" t="s">
        <v>300</v>
      </c>
      <c r="H19" s="7" t="s">
        <v>273</v>
      </c>
      <c r="I19" s="25" t="s">
        <v>265</v>
      </c>
      <c r="J19" s="19" t="s">
        <v>301</v>
      </c>
      <c r="K19" s="3" t="s">
        <v>264</v>
      </c>
      <c r="L19" s="6" t="s">
        <v>16</v>
      </c>
      <c r="M19" s="6"/>
      <c r="N19" s="6" t="s">
        <v>16</v>
      </c>
    </row>
    <row r="20" spans="1:14">
      <c r="A20" s="2" t="s">
        <v>175</v>
      </c>
      <c r="B20" s="8" t="s">
        <v>263</v>
      </c>
      <c r="C20" s="46" t="s">
        <v>295</v>
      </c>
      <c r="D20" s="9" t="s">
        <v>42</v>
      </c>
      <c r="E20" s="8" t="s">
        <v>21</v>
      </c>
      <c r="F20" s="30">
        <v>22182</v>
      </c>
      <c r="G20" s="47" t="s">
        <v>300</v>
      </c>
      <c r="H20" s="7" t="s">
        <v>273</v>
      </c>
      <c r="I20" s="25" t="s">
        <v>265</v>
      </c>
      <c r="J20" s="46" t="s">
        <v>301</v>
      </c>
      <c r="K20" s="8" t="s">
        <v>264</v>
      </c>
      <c r="L20" s="6"/>
      <c r="M20" s="6" t="s">
        <v>16</v>
      </c>
      <c r="N20" s="6" t="s">
        <v>16</v>
      </c>
    </row>
    <row r="21" spans="1:14">
      <c r="A21" s="2" t="s">
        <v>100</v>
      </c>
      <c r="B21" s="2" t="s">
        <v>101</v>
      </c>
      <c r="C21" s="4" t="s">
        <v>256</v>
      </c>
      <c r="D21" s="1" t="s">
        <v>257</v>
      </c>
      <c r="E21" s="1" t="s">
        <v>179</v>
      </c>
      <c r="F21" s="26" t="s">
        <v>258</v>
      </c>
      <c r="G21" s="4" t="s">
        <v>260</v>
      </c>
      <c r="H21" s="7" t="s">
        <v>162</v>
      </c>
      <c r="I21" s="7" t="s">
        <v>148</v>
      </c>
      <c r="J21" s="3" t="s">
        <v>259</v>
      </c>
      <c r="K21" s="3" t="s">
        <v>259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266</v>
      </c>
      <c r="C22" s="4" t="s">
        <v>267</v>
      </c>
      <c r="D22" s="1" t="s">
        <v>177</v>
      </c>
      <c r="E22" s="1" t="s">
        <v>21</v>
      </c>
      <c r="F22" s="4">
        <v>22314</v>
      </c>
      <c r="G22" s="40" t="s">
        <v>296</v>
      </c>
      <c r="H22" s="44" t="s">
        <v>297</v>
      </c>
      <c r="I22" s="12" t="s">
        <v>268</v>
      </c>
      <c r="J22" s="3" t="s">
        <v>269</v>
      </c>
      <c r="K22" s="3" t="s">
        <v>270</v>
      </c>
      <c r="L22" s="6" t="s">
        <v>16</v>
      </c>
      <c r="M22" s="6"/>
      <c r="N22" s="6" t="s">
        <v>16</v>
      </c>
    </row>
    <row r="23" spans="1:14">
      <c r="A23" s="2" t="s">
        <v>104</v>
      </c>
      <c r="B23" s="2" t="s">
        <v>105</v>
      </c>
      <c r="C23" s="4" t="s">
        <v>106</v>
      </c>
      <c r="D23" s="1" t="s">
        <v>107</v>
      </c>
      <c r="E23" s="1" t="s">
        <v>21</v>
      </c>
      <c r="F23" s="27">
        <v>22639</v>
      </c>
      <c r="G23" s="4" t="s">
        <v>108</v>
      </c>
      <c r="H23" s="43" t="s">
        <v>283</v>
      </c>
      <c r="I23" s="7" t="s">
        <v>149</v>
      </c>
      <c r="J23" s="19" t="s">
        <v>109</v>
      </c>
      <c r="K23" s="3" t="s">
        <v>110</v>
      </c>
      <c r="L23" s="6" t="s">
        <v>16</v>
      </c>
      <c r="M23" s="6" t="s">
        <v>16</v>
      </c>
      <c r="N23" s="6" t="s">
        <v>16</v>
      </c>
    </row>
    <row r="24" spans="1:14">
      <c r="A24" s="2" t="s">
        <v>117</v>
      </c>
      <c r="B24" s="8" t="s">
        <v>118</v>
      </c>
      <c r="C24" s="4" t="s">
        <v>153</v>
      </c>
      <c r="D24" s="1" t="s">
        <v>89</v>
      </c>
      <c r="E24" s="1" t="s">
        <v>21</v>
      </c>
      <c r="F24" s="27">
        <v>22030</v>
      </c>
      <c r="G24" s="4" t="s">
        <v>119</v>
      </c>
      <c r="H24" s="7" t="s">
        <v>188</v>
      </c>
      <c r="I24" s="7" t="s">
        <v>150</v>
      </c>
      <c r="J24" s="3" t="s">
        <v>193</v>
      </c>
      <c r="K24" s="3" t="s">
        <v>192</v>
      </c>
      <c r="L24" s="10" t="s">
        <v>16</v>
      </c>
      <c r="M24" s="10" t="s">
        <v>16</v>
      </c>
      <c r="N24" s="6" t="s">
        <v>16</v>
      </c>
    </row>
    <row r="25" spans="1:14">
      <c r="A25" s="2" t="s">
        <v>120</v>
      </c>
      <c r="B25" s="2" t="s">
        <v>121</v>
      </c>
      <c r="C25" s="47" t="s">
        <v>310</v>
      </c>
      <c r="D25" s="2" t="s">
        <v>122</v>
      </c>
      <c r="E25" s="2" t="s">
        <v>66</v>
      </c>
      <c r="F25" s="9">
        <v>80918</v>
      </c>
      <c r="G25" s="9" t="s">
        <v>233</v>
      </c>
      <c r="H25" s="7" t="s">
        <v>288</v>
      </c>
      <c r="I25" s="7" t="s">
        <v>289</v>
      </c>
      <c r="J25" s="8" t="s">
        <v>242</v>
      </c>
      <c r="K25" s="8" t="s">
        <v>243</v>
      </c>
      <c r="L25" s="10" t="s">
        <v>16</v>
      </c>
      <c r="M25" s="10" t="s">
        <v>16</v>
      </c>
      <c r="N25" s="6" t="s">
        <v>16</v>
      </c>
    </row>
    <row r="26" spans="1:14">
      <c r="A26" s="2" t="s">
        <v>123</v>
      </c>
      <c r="B26" s="2" t="s">
        <v>124</v>
      </c>
      <c r="C26" s="9" t="s">
        <v>125</v>
      </c>
      <c r="D26" s="2" t="s">
        <v>42</v>
      </c>
      <c r="E26" s="2" t="s">
        <v>21</v>
      </c>
      <c r="F26" s="9">
        <v>22182</v>
      </c>
      <c r="G26" s="9" t="s">
        <v>126</v>
      </c>
      <c r="H26" s="35" t="s">
        <v>282</v>
      </c>
      <c r="I26" s="7" t="s">
        <v>151</v>
      </c>
      <c r="J26" s="8" t="s">
        <v>220</v>
      </c>
      <c r="K26" s="8" t="s">
        <v>127</v>
      </c>
      <c r="L26" s="10" t="s">
        <v>16</v>
      </c>
      <c r="M26" s="10" t="s">
        <v>16</v>
      </c>
      <c r="N26" s="6" t="s">
        <v>16</v>
      </c>
    </row>
    <row r="27" spans="1:14">
      <c r="A27" s="2" t="s">
        <v>128</v>
      </c>
      <c r="B27" s="2" t="s">
        <v>129</v>
      </c>
      <c r="C27" s="4" t="s">
        <v>229</v>
      </c>
      <c r="D27" s="1" t="s">
        <v>161</v>
      </c>
      <c r="E27" s="1" t="s">
        <v>21</v>
      </c>
      <c r="F27" s="27">
        <v>22102</v>
      </c>
      <c r="G27" s="4" t="s">
        <v>130</v>
      </c>
      <c r="H27" s="7" t="s">
        <v>131</v>
      </c>
      <c r="I27" s="7" t="s">
        <v>152</v>
      </c>
      <c r="J27" s="3" t="s">
        <v>190</v>
      </c>
      <c r="K27" s="14" t="s">
        <v>191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9" customFormat="1" ht="31.5" customHeight="1">
      <c r="A30" s="52" t="s">
        <v>313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178</v>
      </c>
      <c r="E32" s="2" t="s">
        <v>57</v>
      </c>
      <c r="F32" s="28" t="s">
        <v>33</v>
      </c>
      <c r="G32" s="4" t="s">
        <v>271</v>
      </c>
      <c r="H32" s="7" t="s">
        <v>165</v>
      </c>
      <c r="I32" s="12" t="s">
        <v>141</v>
      </c>
      <c r="J32" s="8" t="s">
        <v>272</v>
      </c>
      <c r="K32" s="8" t="s">
        <v>241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45</v>
      </c>
      <c r="D33" s="2" t="s">
        <v>81</v>
      </c>
      <c r="E33" s="2" t="s">
        <v>21</v>
      </c>
      <c r="F33" s="9">
        <v>22202</v>
      </c>
      <c r="G33" s="9" t="s">
        <v>223</v>
      </c>
      <c r="H33" s="7" t="s">
        <v>284</v>
      </c>
      <c r="I33" s="7" t="s">
        <v>143</v>
      </c>
      <c r="J33" s="2" t="s">
        <v>46</v>
      </c>
      <c r="K33" s="9" t="s">
        <v>47</v>
      </c>
      <c r="L33" s="10" t="s">
        <v>48</v>
      </c>
      <c r="M33" s="10" t="s">
        <v>16</v>
      </c>
      <c r="N33" s="37"/>
    </row>
    <row r="34" spans="1:14">
      <c r="A34" s="2" t="s">
        <v>52</v>
      </c>
      <c r="B34" s="2" t="s">
        <v>53</v>
      </c>
      <c r="C34" s="4" t="s">
        <v>54</v>
      </c>
      <c r="D34" s="1" t="s">
        <v>81</v>
      </c>
      <c r="E34" s="1" t="s">
        <v>55</v>
      </c>
      <c r="F34" s="26">
        <v>22202</v>
      </c>
      <c r="G34" s="4" t="s">
        <v>216</v>
      </c>
      <c r="H34" s="7" t="s">
        <v>217</v>
      </c>
      <c r="I34" s="7" t="s">
        <v>144</v>
      </c>
      <c r="J34" s="3" t="s">
        <v>218</v>
      </c>
      <c r="K34" s="3" t="s">
        <v>56</v>
      </c>
      <c r="L34" s="6" t="s">
        <v>16</v>
      </c>
      <c r="M34" s="6" t="s">
        <v>16</v>
      </c>
      <c r="N34" s="37"/>
    </row>
    <row r="35" spans="1:14">
      <c r="A35" s="2" t="s">
        <v>58</v>
      </c>
      <c r="B35" s="2" t="s">
        <v>59</v>
      </c>
      <c r="C35" s="9" t="s">
        <v>198</v>
      </c>
      <c r="D35" s="2" t="s">
        <v>60</v>
      </c>
      <c r="E35" s="2" t="s">
        <v>61</v>
      </c>
      <c r="F35" s="9">
        <v>25403</v>
      </c>
      <c r="G35" s="9" t="s">
        <v>199</v>
      </c>
      <c r="H35" s="35" t="s">
        <v>212</v>
      </c>
      <c r="I35" s="7" t="s">
        <v>62</v>
      </c>
      <c r="J35" s="8" t="s">
        <v>63</v>
      </c>
      <c r="K35" s="14" t="s">
        <v>137</v>
      </c>
      <c r="L35" s="10" t="s">
        <v>16</v>
      </c>
      <c r="M35" s="10"/>
      <c r="N35" s="37"/>
    </row>
    <row r="36" spans="1:14">
      <c r="A36" s="2" t="s">
        <v>67</v>
      </c>
      <c r="B36" s="2" t="s">
        <v>140</v>
      </c>
      <c r="C36" s="4" t="s">
        <v>68</v>
      </c>
      <c r="D36" s="1" t="s">
        <v>69</v>
      </c>
      <c r="E36" s="1" t="s">
        <v>21</v>
      </c>
      <c r="F36" s="27">
        <v>22153</v>
      </c>
      <c r="G36" s="4" t="s">
        <v>189</v>
      </c>
      <c r="H36" s="7" t="s">
        <v>173</v>
      </c>
      <c r="I36" s="7" t="s">
        <v>70</v>
      </c>
      <c r="J36" s="3" t="s">
        <v>219</v>
      </c>
      <c r="K36" s="3" t="s">
        <v>180</v>
      </c>
      <c r="L36" s="6" t="s">
        <v>16</v>
      </c>
      <c r="M36" s="6"/>
      <c r="N36" s="37"/>
    </row>
    <row r="37" spans="1:14">
      <c r="A37" s="2" t="s">
        <v>90</v>
      </c>
      <c r="B37" s="2" t="s">
        <v>91</v>
      </c>
      <c r="C37" s="9" t="s">
        <v>92</v>
      </c>
      <c r="D37" s="2" t="s">
        <v>161</v>
      </c>
      <c r="E37" s="2" t="s">
        <v>21</v>
      </c>
      <c r="F37" s="28" t="s">
        <v>93</v>
      </c>
      <c r="G37" s="42" t="s">
        <v>286</v>
      </c>
      <c r="H37" s="35" t="s">
        <v>287</v>
      </c>
      <c r="I37" s="7" t="s">
        <v>147</v>
      </c>
      <c r="J37" s="8" t="s">
        <v>246</v>
      </c>
      <c r="K37" s="8" t="s">
        <v>94</v>
      </c>
      <c r="L37" s="10" t="s">
        <v>16</v>
      </c>
      <c r="M37" s="10" t="s">
        <v>16</v>
      </c>
      <c r="N37" s="37"/>
    </row>
    <row r="38" spans="1:14">
      <c r="A38" s="2" t="s">
        <v>102</v>
      </c>
      <c r="B38" s="2" t="s">
        <v>103</v>
      </c>
      <c r="C38" s="40" t="s">
        <v>304</v>
      </c>
      <c r="D38" s="1" t="s">
        <v>177</v>
      </c>
      <c r="E38" s="1" t="s">
        <v>21</v>
      </c>
      <c r="F38" s="48" t="s">
        <v>305</v>
      </c>
      <c r="G38" s="4" t="s">
        <v>210</v>
      </c>
      <c r="H38" s="35" t="s">
        <v>234</v>
      </c>
      <c r="I38" s="7" t="s">
        <v>174</v>
      </c>
      <c r="J38" s="3" t="s">
        <v>183</v>
      </c>
      <c r="K38" s="14" t="s">
        <v>136</v>
      </c>
      <c r="L38" s="6" t="s">
        <v>16</v>
      </c>
      <c r="M38" s="6" t="s">
        <v>16</v>
      </c>
      <c r="N38" s="37"/>
    </row>
    <row r="39" spans="1:14">
      <c r="A39" s="2" t="s">
        <v>111</v>
      </c>
      <c r="B39" s="8" t="s">
        <v>112</v>
      </c>
      <c r="C39" s="4" t="s">
        <v>113</v>
      </c>
      <c r="D39" s="1" t="s">
        <v>114</v>
      </c>
      <c r="E39" s="1" t="s">
        <v>115</v>
      </c>
      <c r="F39" s="27">
        <v>13212</v>
      </c>
      <c r="G39" s="4" t="s">
        <v>157</v>
      </c>
      <c r="H39" s="35" t="s">
        <v>214</v>
      </c>
      <c r="I39" s="7" t="s">
        <v>299</v>
      </c>
      <c r="J39" s="3" t="s">
        <v>184</v>
      </c>
      <c r="K39" s="3" t="s">
        <v>116</v>
      </c>
      <c r="L39" s="6" t="s">
        <v>16</v>
      </c>
      <c r="M39" s="6" t="s">
        <v>16</v>
      </c>
      <c r="N39" s="37"/>
    </row>
    <row r="40" spans="1:14">
      <c r="A40" s="2" t="s">
        <v>132</v>
      </c>
      <c r="B40" s="8" t="s">
        <v>133</v>
      </c>
      <c r="C40" s="47" t="s">
        <v>134</v>
      </c>
      <c r="D40" s="2" t="s">
        <v>135</v>
      </c>
      <c r="E40" s="2" t="s">
        <v>57</v>
      </c>
      <c r="F40" s="29">
        <v>21061</v>
      </c>
      <c r="G40" s="9" t="s">
        <v>163</v>
      </c>
      <c r="H40" s="7" t="s">
        <v>164</v>
      </c>
      <c r="I40" s="12" t="s">
        <v>166</v>
      </c>
      <c r="J40" s="8" t="s">
        <v>185</v>
      </c>
      <c r="K40" s="8" t="s">
        <v>187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</hyperlinks>
  <pageMargins left="0.75" right="0.75" top="1" bottom="1" header="0.5" footer="0.5"/>
  <pageSetup scale="75" orientation="landscape" r:id="rId54"/>
  <headerFooter alignWithMargins="0"/>
  <ignoredErrors>
    <ignoredError sqref="F17 F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5" customFormat="1" ht="45">
      <c r="A1" s="54" t="s">
        <v>160</v>
      </c>
    </row>
    <row r="2" spans="1:14" s="37" customFormat="1" ht="104.25" customHeight="1">
      <c r="A2" s="50" t="s">
        <v>274</v>
      </c>
      <c r="B2" s="51"/>
      <c r="G2" s="38"/>
    </row>
    <row r="3" spans="1:14" s="49" customFormat="1" ht="31.5" customHeight="1">
      <c r="A3" s="52" t="s">
        <v>312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11955 Democracy Drive, Suite  1620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Steve Hagan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44335 Premier Plaza, Suite 200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209-6275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6775 Rangewood Drive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80918-7300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(303) 771-5380</v>
      </c>
      <c r="L13" s="6" t="s">
        <v>16</v>
      </c>
      <c r="M13" s="6" t="s">
        <v>16</v>
      </c>
      <c r="N13" s="6" t="s">
        <v>16</v>
      </c>
    </row>
    <row r="14" spans="1:14">
      <c r="A14" s="2" t="s">
        <v>79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85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kterrell@ktconsultinginc.com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95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2000 North Alafaya Trail, Suite 400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32826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99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100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433 N.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Rick Brunner</v>
      </c>
      <c r="H20" s="2" t="str">
        <f>VLOOKUP($A20,'All Contract Holders'!$A$5:$K$40,8,FALSE)</f>
        <v>rblevins@pro-spheretek.com, Rbrunner@pro-spheretek.com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(703) 562-0575</v>
      </c>
      <c r="K20" s="2" t="str">
        <f>VLOOKUP($A20,'All Contract Holders'!$A$5:$K$40,11,FALSE)</f>
        <v>(703) 562-0576</v>
      </c>
      <c r="L20" s="6" t="s">
        <v>16</v>
      </c>
      <c r="M20" s="6"/>
      <c r="N20" s="6" t="s">
        <v>16</v>
      </c>
    </row>
    <row r="21" spans="1:14">
      <c r="A21" s="2" t="s">
        <v>104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117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10400 Eaton Place, Suite 312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120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123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128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9" customFormat="1" ht="31.5" customHeight="1">
      <c r="A28" s="52" t="s">
        <v>313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Jane Green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58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67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90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102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111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132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5" customFormat="1" ht="49.5" customHeight="1">
      <c r="A1" s="54" t="s">
        <v>159</v>
      </c>
    </row>
    <row r="2" spans="1:14" s="37" customFormat="1" ht="104.25" customHeight="1">
      <c r="A2" s="50" t="s">
        <v>274</v>
      </c>
      <c r="B2" s="51"/>
      <c r="G2" s="38"/>
    </row>
    <row r="3" spans="1:14" s="49" customFormat="1" ht="31.5" customHeight="1">
      <c r="A3" s="52" t="s">
        <v>312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139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44335 Premier Plaza, Suite 200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209-6275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6775 Rangewood Drive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80918-7300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(303) 771-5380</v>
      </c>
      <c r="L13" s="6" t="s">
        <v>16</v>
      </c>
      <c r="M13" s="6" t="s">
        <v>16</v>
      </c>
      <c r="N13" s="6" t="s">
        <v>16</v>
      </c>
    </row>
    <row r="14" spans="1:14">
      <c r="A14" s="2" t="s">
        <v>79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85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kterrell@ktconsultinginc.com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95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2000 North Alafaya Trail, Suite 400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32826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99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175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100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104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117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10400 Eaton Place, Suite 312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120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123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128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9" customFormat="1" ht="31.5" customHeight="1">
      <c r="A27" s="52" t="s">
        <v>313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Jane Green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201 12th Street South, Suite 800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48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90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102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111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132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2014-04-14T19:08:22Z</dcterms:modified>
</cp:coreProperties>
</file>