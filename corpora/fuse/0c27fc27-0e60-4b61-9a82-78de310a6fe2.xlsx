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workbookProtection lockStructure="1"/>
  <bookViews>
    <workbookView showSheetTabs="0" xWindow="120" yWindow="45" windowWidth="15180" windowHeight="8580"/>
  </bookViews>
  <sheets>
    <sheet name="Blue JV (CR05)" sheetId="1" r:id="rId1"/>
  </sheets>
  <definedNames>
    <definedName name="_xlnm.Print_Area" localSheetId="0">'Blue JV (CR05)'!$A$1:$M$34</definedName>
    <definedName name="RChart">'Blue JV (CR05)'!$R$9</definedName>
    <definedName name="RegularChart">'Blue JV (CR05)'!$Q$9:$Q$11</definedName>
  </definedNames>
  <calcPr calcId="125725"/>
</workbook>
</file>

<file path=xl/calcChain.xml><?xml version="1.0" encoding="utf-8"?>
<calcChain xmlns="http://schemas.openxmlformats.org/spreadsheetml/2006/main">
  <c r="A3" i="1"/>
  <c r="N7"/>
  <c r="N8"/>
  <c r="N31" s="1"/>
  <c r="A35" s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A2"/>
  <c r="R9"/>
  <c r="J31"/>
  <c r="A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</calcChain>
</file>

<file path=xl/sharedStrings.xml><?xml version="1.0" encoding="utf-8"?>
<sst xmlns="http://schemas.openxmlformats.org/spreadsheetml/2006/main" count="23" uniqueCount="23">
  <si>
    <t>Amount</t>
  </si>
  <si>
    <t>Description</t>
  </si>
  <si>
    <t>Description for Document:</t>
  </si>
  <si>
    <t>Seq No.</t>
  </si>
  <si>
    <t>Journal Type</t>
  </si>
  <si>
    <t>Bank Code</t>
  </si>
  <si>
    <t>Chart Code</t>
  </si>
  <si>
    <t>Index Code</t>
  </si>
  <si>
    <t>Fund Code</t>
  </si>
  <si>
    <t>Org Code</t>
  </si>
  <si>
    <t>Acct Code</t>
  </si>
  <si>
    <t>Prog Code</t>
  </si>
  <si>
    <t>Document Total/Hash Total:</t>
  </si>
  <si>
    <t xml:space="preserve">Banner </t>
  </si>
  <si>
    <t>T</t>
  </si>
  <si>
    <t>F</t>
  </si>
  <si>
    <t>R</t>
  </si>
  <si>
    <t>Debit Credit D/C</t>
  </si>
  <si>
    <t>Debit</t>
  </si>
  <si>
    <t>Credit</t>
  </si>
  <si>
    <t>Activity Code</t>
  </si>
  <si>
    <t>Approved By:</t>
  </si>
  <si>
    <t>Prepared By: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</si>
</sst>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color indexed="9"/>
      <name val="Arial"/>
    </font>
    <font>
      <sz val="8"/>
      <color indexed="9"/>
      <name val="Verdana"/>
      <family val="2"/>
    </font>
    <font>
      <sz val="10"/>
      <name val="Arial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6"/>
      <color indexed="10"/>
      <name val="Rockwell Extra Bold"/>
      <family val="1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0" fillId="0" borderId="4" xfId="0" applyBorder="1"/>
    <xf numFmtId="0" fontId="0" fillId="0" borderId="0" xfId="0" applyFill="1"/>
    <xf numFmtId="8" fontId="2" fillId="0" borderId="5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6" xfId="0" applyFont="1" applyFill="1" applyBorder="1" applyAlignment="1">
      <alignment horizontal="center" wrapText="1"/>
    </xf>
    <xf numFmtId="0" fontId="4" fillId="0" borderId="0" xfId="0" applyFont="1" applyFill="1"/>
    <xf numFmtId="49" fontId="4" fillId="0" borderId="0" xfId="0" applyNumberFormat="1" applyFont="1" applyFill="1"/>
    <xf numFmtId="0" fontId="4" fillId="0" borderId="0" xfId="0" applyFont="1"/>
    <xf numFmtId="0" fontId="1" fillId="0" borderId="0" xfId="0" applyFont="1"/>
    <xf numFmtId="0" fontId="1" fillId="0" borderId="0" xfId="0" applyFont="1" applyFill="1"/>
    <xf numFmtId="0" fontId="6" fillId="0" borderId="0" xfId="0" applyFont="1" applyFill="1"/>
    <xf numFmtId="0" fontId="6" fillId="0" borderId="0" xfId="0" applyFont="1"/>
    <xf numFmtId="0" fontId="7" fillId="0" borderId="0" xfId="0" applyFont="1" applyFill="1" applyBorder="1" applyAlignment="1">
      <alignment horizontal="center" wrapText="1"/>
    </xf>
    <xf numFmtId="0" fontId="8" fillId="0" borderId="0" xfId="0" applyFont="1"/>
    <xf numFmtId="0" fontId="8" fillId="0" borderId="0" xfId="0" applyFont="1" applyFill="1" applyBorder="1" applyAlignment="1">
      <alignment horizontal="center"/>
    </xf>
    <xf numFmtId="0" fontId="8" fillId="0" borderId="0" xfId="0" applyFont="1" applyFill="1"/>
    <xf numFmtId="0" fontId="8" fillId="0" borderId="0" xfId="0" applyFont="1" applyBorder="1" applyAlignment="1" applyProtection="1">
      <alignment horizontal="left"/>
      <protection locked="0"/>
    </xf>
    <xf numFmtId="0" fontId="2" fillId="0" borderId="5" xfId="0" applyFont="1" applyBorder="1" applyAlignment="1">
      <alignment horizontal="center"/>
    </xf>
    <xf numFmtId="0" fontId="0" fillId="0" borderId="5" xfId="0" applyBorder="1" applyAlignment="1" applyProtection="1">
      <alignment horizontal="left"/>
      <protection locked="0"/>
    </xf>
    <xf numFmtId="0" fontId="0" fillId="0" borderId="5" xfId="0" applyBorder="1"/>
    <xf numFmtId="0" fontId="2" fillId="0" borderId="5" xfId="0" applyFont="1" applyBorder="1"/>
    <xf numFmtId="0" fontId="0" fillId="0" borderId="7" xfId="0" applyBorder="1" applyAlignment="1" applyProtection="1">
      <alignment horizontal="left"/>
      <protection locked="0"/>
    </xf>
    <xf numFmtId="0" fontId="10" fillId="0" borderId="6" xfId="0" applyFont="1" applyFill="1" applyBorder="1"/>
    <xf numFmtId="0" fontId="10" fillId="0" borderId="6" xfId="0" applyFont="1" applyFill="1" applyBorder="1" applyAlignment="1" applyProtection="1">
      <alignment horizontal="center"/>
      <protection locked="0"/>
    </xf>
    <xf numFmtId="49" fontId="10" fillId="0" borderId="6" xfId="0" applyNumberFormat="1" applyFont="1" applyFill="1" applyBorder="1" applyAlignment="1" applyProtection="1">
      <alignment horizontal="center"/>
      <protection locked="0"/>
    </xf>
    <xf numFmtId="40" fontId="10" fillId="0" borderId="6" xfId="0" applyNumberFormat="1" applyFont="1" applyFill="1" applyBorder="1" applyAlignment="1" applyProtection="1">
      <alignment horizontal="right"/>
      <protection locked="0"/>
    </xf>
    <xf numFmtId="0" fontId="10" fillId="0" borderId="6" xfId="0" applyFont="1" applyFill="1" applyBorder="1" applyAlignment="1" applyProtection="1">
      <alignment horizontal="left" wrapText="1"/>
      <protection locked="0"/>
    </xf>
    <xf numFmtId="0" fontId="9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0" fillId="0" borderId="8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10" xfId="0" applyBorder="1" applyAlignment="1" applyProtection="1">
      <alignment horizontal="left"/>
      <protection locked="0"/>
    </xf>
    <xf numFmtId="0" fontId="5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Border="1" applyAlignment="1" applyProtection="1">
      <alignment horizontal="right"/>
      <protection locked="0"/>
    </xf>
    <xf numFmtId="0" fontId="0" fillId="0" borderId="7" xfId="0" applyBorder="1" applyAlignment="1">
      <alignment horizontal="center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295275</xdr:colOff>
      <xdr:row>4</xdr:row>
      <xdr:rowOff>38100</xdr:rowOff>
    </xdr:to>
    <xdr:pic>
      <xdr:nvPicPr>
        <xdr:cNvPr id="1027" name="Picture 3" descr="TTUlogo purpl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190625" cy="762000"/>
        </a:xfrm>
        <a:prstGeom prst="rect">
          <a:avLst/>
        </a:prstGeom>
        <a:noFill/>
      </xdr:spPr>
    </xdr:pic>
    <xdr:clientData/>
  </xdr:twoCellAnchor>
  <xdr:twoCellAnchor>
    <xdr:from>
      <xdr:col>11</xdr:col>
      <xdr:colOff>1343025</xdr:colOff>
      <xdr:row>0</xdr:row>
      <xdr:rowOff>66675</xdr:rowOff>
    </xdr:from>
    <xdr:to>
      <xdr:col>12</xdr:col>
      <xdr:colOff>333375</xdr:colOff>
      <xdr:row>4</xdr:row>
      <xdr:rowOff>114300</xdr:rowOff>
    </xdr:to>
    <xdr:sp macro="" textlink="">
      <xdr:nvSpPr>
        <xdr:cNvPr id="1028" name="Text Box 4"/>
        <xdr:cNvSpPr txBox="1">
          <a:spLocks noChangeArrowheads="1"/>
        </xdr:cNvSpPr>
      </xdr:nvSpPr>
      <xdr:spPr bwMode="auto">
        <a:xfrm>
          <a:off x="7762875" y="66675"/>
          <a:ext cx="2343150" cy="771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Document No.: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Journal Voucher Date: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       /          /    </a:t>
          </a: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2228850</xdr:colOff>
      <xdr:row>1</xdr:row>
      <xdr:rowOff>142875</xdr:rowOff>
    </xdr:from>
    <xdr:to>
      <xdr:col>12</xdr:col>
      <xdr:colOff>285750</xdr:colOff>
      <xdr:row>1</xdr:row>
      <xdr:rowOff>144463</xdr:rowOff>
    </xdr:to>
    <xdr:cxnSp macro="">
      <xdr:nvCxnSpPr>
        <xdr:cNvPr id="7" name="Straight Connector 6"/>
        <xdr:cNvCxnSpPr/>
      </xdr:nvCxnSpPr>
      <xdr:spPr>
        <a:xfrm>
          <a:off x="8648700" y="342900"/>
          <a:ext cx="140970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2638425</xdr:colOff>
      <xdr:row>3</xdr:row>
      <xdr:rowOff>85725</xdr:rowOff>
    </xdr:from>
    <xdr:to>
      <xdr:col>12</xdr:col>
      <xdr:colOff>295275</xdr:colOff>
      <xdr:row>3</xdr:row>
      <xdr:rowOff>87313</xdr:rowOff>
    </xdr:to>
    <xdr:cxnSp macro="">
      <xdr:nvCxnSpPr>
        <xdr:cNvPr id="9" name="Straight Connector 8"/>
        <xdr:cNvCxnSpPr/>
      </xdr:nvCxnSpPr>
      <xdr:spPr>
        <a:xfrm>
          <a:off x="9058275" y="647700"/>
          <a:ext cx="100965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S46"/>
  <sheetViews>
    <sheetView showGridLines="0" showRowColHeaders="0" tabSelected="1" workbookViewId="0">
      <selection activeCell="B7" sqref="B7"/>
    </sheetView>
  </sheetViews>
  <sheetFormatPr defaultRowHeight="12.75"/>
  <cols>
    <col min="1" max="1" width="4.28515625" customWidth="1"/>
    <col min="3" max="3" width="5.7109375" customWidth="1"/>
    <col min="10" max="10" width="16.140625" customWidth="1"/>
    <col min="11" max="11" width="6.140625" customWidth="1"/>
    <col min="12" max="12" width="50.28515625" customWidth="1"/>
    <col min="13" max="15" width="6.42578125" customWidth="1"/>
  </cols>
  <sheetData>
    <row r="1" spans="1:19" ht="15.75">
      <c r="A1" s="40" t="s">
        <v>13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9"/>
      <c r="O1" s="9"/>
    </row>
    <row r="2" spans="1:19" ht="15.75">
      <c r="A2" s="40" t="str">
        <f>IF($B$7="","Yellow Journal Entries",IF($B$7="FT01","Interfund Yellow Journal Entries","InterChart Yellow Journal Entries"))</f>
        <v>Yellow Journal Entries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9"/>
      <c r="O2" s="9"/>
    </row>
    <row r="3" spans="1:19">
      <c r="A3" s="41" t="str">
        <f>IF($B$7="","",IF($B$7="FT01","(FT01)","(X25)"))</f>
        <v/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10"/>
      <c r="O3" s="10"/>
    </row>
    <row r="4" spans="1:19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1:19" ht="38.25" customHeight="1">
      <c r="A6" s="11" t="s">
        <v>3</v>
      </c>
      <c r="B6" s="11" t="s">
        <v>4</v>
      </c>
      <c r="C6" s="11" t="s">
        <v>6</v>
      </c>
      <c r="D6" s="11" t="s">
        <v>7</v>
      </c>
      <c r="E6" s="11" t="s">
        <v>8</v>
      </c>
      <c r="F6" s="11" t="s">
        <v>9</v>
      </c>
      <c r="G6" s="11" t="s">
        <v>10</v>
      </c>
      <c r="H6" s="11" t="s">
        <v>11</v>
      </c>
      <c r="I6" s="11" t="s">
        <v>20</v>
      </c>
      <c r="J6" s="11" t="s">
        <v>0</v>
      </c>
      <c r="K6" s="11" t="s">
        <v>17</v>
      </c>
      <c r="L6" s="11" t="s">
        <v>1</v>
      </c>
      <c r="M6" s="11" t="s">
        <v>5</v>
      </c>
      <c r="N6" s="19" t="s">
        <v>18</v>
      </c>
      <c r="O6" s="19" t="s">
        <v>19</v>
      </c>
      <c r="P6" s="20"/>
      <c r="Q6" s="14"/>
      <c r="R6" s="14"/>
      <c r="S6" s="15"/>
    </row>
    <row r="7" spans="1:19" s="7" customFormat="1" ht="18.95" customHeight="1">
      <c r="A7" s="29">
        <v>1</v>
      </c>
      <c r="B7" s="30"/>
      <c r="C7" s="30"/>
      <c r="D7" s="31"/>
      <c r="E7" s="30"/>
      <c r="F7" s="30"/>
      <c r="G7" s="30"/>
      <c r="H7" s="30"/>
      <c r="I7" s="30"/>
      <c r="J7" s="32"/>
      <c r="K7" s="30"/>
      <c r="L7" s="33"/>
      <c r="M7" s="30"/>
      <c r="N7" s="21">
        <f>IF(K7="D",J7,0)</f>
        <v>0</v>
      </c>
      <c r="O7" s="21">
        <f>IF(K7="C",J7,0)</f>
        <v>0</v>
      </c>
      <c r="P7" s="22"/>
      <c r="Q7" s="12"/>
      <c r="R7" s="12"/>
      <c r="S7" s="16"/>
    </row>
    <row r="8" spans="1:19" ht="18.95" customHeight="1">
      <c r="A8" s="29">
        <f>A7+1</f>
        <v>2</v>
      </c>
      <c r="B8" s="30"/>
      <c r="C8" s="30"/>
      <c r="D8" s="31"/>
      <c r="E8" s="30"/>
      <c r="F8" s="30"/>
      <c r="G8" s="30"/>
      <c r="H8" s="30"/>
      <c r="I8" s="30"/>
      <c r="J8" s="32"/>
      <c r="K8" s="30"/>
      <c r="L8" s="33"/>
      <c r="M8" s="30"/>
      <c r="N8" s="21">
        <f t="shared" ref="N8:N30" si="0">IF(K8="D",J8,0)</f>
        <v>0</v>
      </c>
      <c r="O8" s="21">
        <f t="shared" ref="O8:O30" si="1">IF(K8="C",J8,0)</f>
        <v>0</v>
      </c>
      <c r="P8" s="20"/>
      <c r="Q8" s="14"/>
      <c r="R8" s="14"/>
      <c r="S8" s="15"/>
    </row>
    <row r="9" spans="1:19" s="7" customFormat="1" ht="18.95" customHeight="1">
      <c r="A9" s="29">
        <f t="shared" ref="A9:A30" si="2">A8+1</f>
        <v>3</v>
      </c>
      <c r="B9" s="30"/>
      <c r="C9" s="30"/>
      <c r="D9" s="31"/>
      <c r="E9" s="30"/>
      <c r="F9" s="30"/>
      <c r="G9" s="30"/>
      <c r="H9" s="30"/>
      <c r="I9" s="30"/>
      <c r="J9" s="32"/>
      <c r="K9" s="30"/>
      <c r="L9" s="33"/>
      <c r="M9" s="30"/>
      <c r="N9" s="21">
        <f t="shared" si="0"/>
        <v>0</v>
      </c>
      <c r="O9" s="21">
        <f t="shared" si="1"/>
        <v>0</v>
      </c>
      <c r="P9" s="22"/>
      <c r="Q9" s="12" t="s">
        <v>14</v>
      </c>
      <c r="R9" s="13">
        <f>$C$7</f>
        <v>0</v>
      </c>
      <c r="S9" s="16"/>
    </row>
    <row r="10" spans="1:19" ht="18.95" customHeight="1">
      <c r="A10" s="29">
        <f t="shared" si="2"/>
        <v>4</v>
      </c>
      <c r="B10" s="30"/>
      <c r="C10" s="30"/>
      <c r="D10" s="31"/>
      <c r="E10" s="30"/>
      <c r="F10" s="30"/>
      <c r="G10" s="30"/>
      <c r="H10" s="30"/>
      <c r="I10" s="30"/>
      <c r="J10" s="32"/>
      <c r="K10" s="30"/>
      <c r="L10" s="33"/>
      <c r="M10" s="30"/>
      <c r="N10" s="21">
        <f t="shared" si="0"/>
        <v>0</v>
      </c>
      <c r="O10" s="21">
        <f t="shared" si="1"/>
        <v>0</v>
      </c>
      <c r="P10" s="20"/>
      <c r="Q10" s="14" t="s">
        <v>15</v>
      </c>
      <c r="R10" s="14"/>
      <c r="S10" s="15"/>
    </row>
    <row r="11" spans="1:19" s="7" customFormat="1" ht="18.95" customHeight="1">
      <c r="A11" s="29">
        <f t="shared" si="2"/>
        <v>5</v>
      </c>
      <c r="B11" s="30"/>
      <c r="C11" s="30"/>
      <c r="D11" s="31"/>
      <c r="E11" s="30"/>
      <c r="F11" s="30"/>
      <c r="G11" s="30"/>
      <c r="H11" s="30"/>
      <c r="I11" s="30"/>
      <c r="J11" s="32"/>
      <c r="K11" s="30"/>
      <c r="L11" s="33"/>
      <c r="M11" s="30"/>
      <c r="N11" s="21">
        <f t="shared" si="0"/>
        <v>0</v>
      </c>
      <c r="O11" s="21">
        <f t="shared" si="1"/>
        <v>0</v>
      </c>
      <c r="P11" s="22"/>
      <c r="Q11" s="12" t="s">
        <v>16</v>
      </c>
      <c r="R11" s="39"/>
      <c r="S11" s="17"/>
    </row>
    <row r="12" spans="1:19" ht="18.95" customHeight="1">
      <c r="A12" s="29">
        <f t="shared" si="2"/>
        <v>6</v>
      </c>
      <c r="B12" s="30"/>
      <c r="C12" s="30"/>
      <c r="D12" s="31"/>
      <c r="E12" s="30"/>
      <c r="F12" s="30"/>
      <c r="G12" s="30"/>
      <c r="H12" s="30"/>
      <c r="I12" s="30"/>
      <c r="J12" s="32"/>
      <c r="K12" s="30"/>
      <c r="L12" s="33"/>
      <c r="M12" s="30"/>
      <c r="N12" s="21">
        <f t="shared" si="0"/>
        <v>0</v>
      </c>
      <c r="O12" s="21">
        <f t="shared" si="1"/>
        <v>0</v>
      </c>
      <c r="P12" s="20"/>
      <c r="Q12" s="14"/>
      <c r="R12" s="39"/>
      <c r="S12" s="18"/>
    </row>
    <row r="13" spans="1:19" s="7" customFormat="1" ht="18.95" customHeight="1">
      <c r="A13" s="29">
        <f t="shared" si="2"/>
        <v>7</v>
      </c>
      <c r="B13" s="30"/>
      <c r="C13" s="30"/>
      <c r="D13" s="31"/>
      <c r="E13" s="30"/>
      <c r="F13" s="30"/>
      <c r="G13" s="30"/>
      <c r="H13" s="30"/>
      <c r="I13" s="30"/>
      <c r="J13" s="32"/>
      <c r="K13" s="30"/>
      <c r="L13" s="33"/>
      <c r="M13" s="30"/>
      <c r="N13" s="21">
        <f t="shared" si="0"/>
        <v>0</v>
      </c>
      <c r="O13" s="21">
        <f t="shared" si="1"/>
        <v>0</v>
      </c>
      <c r="P13" s="22"/>
      <c r="Q13" s="12"/>
      <c r="R13" s="39"/>
      <c r="S13" s="17"/>
    </row>
    <row r="14" spans="1:19" ht="18.95" customHeight="1">
      <c r="A14" s="29">
        <f t="shared" si="2"/>
        <v>8</v>
      </c>
      <c r="B14" s="30"/>
      <c r="C14" s="30"/>
      <c r="D14" s="31"/>
      <c r="E14" s="30"/>
      <c r="F14" s="30"/>
      <c r="G14" s="30"/>
      <c r="H14" s="30"/>
      <c r="I14" s="30"/>
      <c r="J14" s="32"/>
      <c r="K14" s="30"/>
      <c r="L14" s="33"/>
      <c r="M14" s="30"/>
      <c r="N14" s="21">
        <f t="shared" si="0"/>
        <v>0</v>
      </c>
      <c r="O14" s="21">
        <f t="shared" si="1"/>
        <v>0</v>
      </c>
      <c r="P14" s="20"/>
      <c r="Q14" s="12"/>
      <c r="R14" s="39"/>
      <c r="S14" s="18"/>
    </row>
    <row r="15" spans="1:19" s="7" customFormat="1" ht="18.95" customHeight="1">
      <c r="A15" s="29">
        <f t="shared" si="2"/>
        <v>9</v>
      </c>
      <c r="B15" s="30"/>
      <c r="C15" s="30"/>
      <c r="D15" s="31"/>
      <c r="E15" s="30"/>
      <c r="F15" s="30"/>
      <c r="G15" s="30"/>
      <c r="H15" s="30"/>
      <c r="I15" s="30"/>
      <c r="J15" s="32"/>
      <c r="K15" s="30"/>
      <c r="L15" s="33"/>
      <c r="M15" s="30"/>
      <c r="N15" s="21">
        <f t="shared" si="0"/>
        <v>0</v>
      </c>
      <c r="O15" s="21">
        <f t="shared" si="1"/>
        <v>0</v>
      </c>
      <c r="P15" s="22"/>
      <c r="Q15" s="12"/>
      <c r="R15" s="12"/>
      <c r="S15" s="17"/>
    </row>
    <row r="16" spans="1:19" ht="18.95" customHeight="1">
      <c r="A16" s="29">
        <f t="shared" si="2"/>
        <v>10</v>
      </c>
      <c r="B16" s="30"/>
      <c r="C16" s="30"/>
      <c r="D16" s="31"/>
      <c r="E16" s="30"/>
      <c r="F16" s="30"/>
      <c r="G16" s="30"/>
      <c r="H16" s="30"/>
      <c r="I16" s="30"/>
      <c r="J16" s="32"/>
      <c r="K16" s="30"/>
      <c r="L16" s="33"/>
      <c r="M16" s="30"/>
      <c r="N16" s="21">
        <f t="shared" si="0"/>
        <v>0</v>
      </c>
      <c r="O16" s="21">
        <f t="shared" si="1"/>
        <v>0</v>
      </c>
      <c r="P16" s="20"/>
      <c r="Q16" s="14"/>
      <c r="R16" s="14"/>
      <c r="S16" s="18"/>
    </row>
    <row r="17" spans="1:19" s="7" customFormat="1" ht="18.95" customHeight="1">
      <c r="A17" s="29">
        <f t="shared" si="2"/>
        <v>11</v>
      </c>
      <c r="B17" s="30"/>
      <c r="C17" s="30"/>
      <c r="D17" s="31"/>
      <c r="E17" s="30"/>
      <c r="F17" s="30"/>
      <c r="G17" s="30"/>
      <c r="H17" s="30"/>
      <c r="I17" s="30"/>
      <c r="J17" s="32"/>
      <c r="K17" s="30"/>
      <c r="L17" s="33"/>
      <c r="M17" s="30"/>
      <c r="N17" s="21">
        <f t="shared" si="0"/>
        <v>0</v>
      </c>
      <c r="O17" s="21">
        <f t="shared" si="1"/>
        <v>0</v>
      </c>
      <c r="P17" s="22"/>
      <c r="Q17" s="12"/>
      <c r="R17" s="12"/>
      <c r="S17" s="17"/>
    </row>
    <row r="18" spans="1:19" ht="18.95" customHeight="1">
      <c r="A18" s="29">
        <f t="shared" si="2"/>
        <v>12</v>
      </c>
      <c r="B18" s="30"/>
      <c r="C18" s="30"/>
      <c r="D18" s="31"/>
      <c r="E18" s="30"/>
      <c r="F18" s="30"/>
      <c r="G18" s="30"/>
      <c r="H18" s="30"/>
      <c r="I18" s="30"/>
      <c r="J18" s="32"/>
      <c r="K18" s="30"/>
      <c r="L18" s="33"/>
      <c r="M18" s="30"/>
      <c r="N18" s="21">
        <f t="shared" si="0"/>
        <v>0</v>
      </c>
      <c r="O18" s="21">
        <f t="shared" si="1"/>
        <v>0</v>
      </c>
      <c r="P18" s="20"/>
      <c r="Q18" s="14"/>
      <c r="R18" s="14"/>
      <c r="S18" s="18"/>
    </row>
    <row r="19" spans="1:19" s="7" customFormat="1" ht="18.95" customHeight="1">
      <c r="A19" s="29">
        <f t="shared" si="2"/>
        <v>13</v>
      </c>
      <c r="B19" s="30"/>
      <c r="C19" s="30"/>
      <c r="D19" s="31"/>
      <c r="E19" s="30"/>
      <c r="F19" s="30"/>
      <c r="G19" s="30"/>
      <c r="H19" s="30"/>
      <c r="I19" s="30"/>
      <c r="J19" s="32"/>
      <c r="K19" s="30"/>
      <c r="L19" s="33"/>
      <c r="M19" s="30"/>
      <c r="N19" s="21">
        <f t="shared" si="0"/>
        <v>0</v>
      </c>
      <c r="O19" s="21">
        <f t="shared" si="1"/>
        <v>0</v>
      </c>
      <c r="P19" s="22"/>
      <c r="Q19" s="12"/>
      <c r="R19" s="12"/>
      <c r="S19" s="17"/>
    </row>
    <row r="20" spans="1:19" ht="18.95" customHeight="1">
      <c r="A20" s="29">
        <f t="shared" si="2"/>
        <v>14</v>
      </c>
      <c r="B20" s="30"/>
      <c r="C20" s="30"/>
      <c r="D20" s="31"/>
      <c r="E20" s="30"/>
      <c r="F20" s="30"/>
      <c r="G20" s="30"/>
      <c r="H20" s="30"/>
      <c r="I20" s="30"/>
      <c r="J20" s="32"/>
      <c r="K20" s="30"/>
      <c r="L20" s="33"/>
      <c r="M20" s="30"/>
      <c r="N20" s="21">
        <f t="shared" si="0"/>
        <v>0</v>
      </c>
      <c r="O20" s="21">
        <f t="shared" si="1"/>
        <v>0</v>
      </c>
      <c r="P20" s="20"/>
      <c r="Q20" s="14"/>
      <c r="R20" s="14"/>
    </row>
    <row r="21" spans="1:19" s="7" customFormat="1" ht="18.95" customHeight="1">
      <c r="A21" s="29">
        <f t="shared" si="2"/>
        <v>15</v>
      </c>
      <c r="B21" s="30"/>
      <c r="C21" s="30"/>
      <c r="D21" s="31"/>
      <c r="E21" s="30"/>
      <c r="F21" s="30"/>
      <c r="G21" s="30"/>
      <c r="H21" s="30"/>
      <c r="I21" s="30"/>
      <c r="J21" s="32"/>
      <c r="K21" s="30"/>
      <c r="L21" s="33"/>
      <c r="M21" s="30"/>
      <c r="N21" s="21">
        <f t="shared" si="0"/>
        <v>0</v>
      </c>
      <c r="O21" s="21">
        <f t="shared" si="1"/>
        <v>0</v>
      </c>
      <c r="P21" s="22"/>
      <c r="Q21" s="12"/>
      <c r="R21" s="12"/>
    </row>
    <row r="22" spans="1:19" ht="18.95" customHeight="1">
      <c r="A22" s="29">
        <f t="shared" si="2"/>
        <v>16</v>
      </c>
      <c r="B22" s="30"/>
      <c r="C22" s="30"/>
      <c r="D22" s="31"/>
      <c r="E22" s="30"/>
      <c r="F22" s="30"/>
      <c r="G22" s="30"/>
      <c r="H22" s="30"/>
      <c r="I22" s="30"/>
      <c r="J22" s="32"/>
      <c r="K22" s="30"/>
      <c r="L22" s="33"/>
      <c r="M22" s="30"/>
      <c r="N22" s="21">
        <f t="shared" si="0"/>
        <v>0</v>
      </c>
      <c r="O22" s="21">
        <f t="shared" si="1"/>
        <v>0</v>
      </c>
      <c r="P22" s="20"/>
      <c r="Q22" s="14"/>
      <c r="R22" s="14"/>
    </row>
    <row r="23" spans="1:19" s="7" customFormat="1" ht="18.95" customHeight="1">
      <c r="A23" s="29">
        <f t="shared" si="2"/>
        <v>17</v>
      </c>
      <c r="B23" s="30"/>
      <c r="C23" s="30"/>
      <c r="D23" s="31"/>
      <c r="E23" s="30"/>
      <c r="F23" s="30"/>
      <c r="G23" s="30"/>
      <c r="H23" s="30"/>
      <c r="I23" s="30"/>
      <c r="J23" s="32"/>
      <c r="K23" s="30"/>
      <c r="L23" s="33"/>
      <c r="M23" s="30"/>
      <c r="N23" s="21">
        <f t="shared" si="0"/>
        <v>0</v>
      </c>
      <c r="O23" s="21">
        <f t="shared" si="1"/>
        <v>0</v>
      </c>
      <c r="P23" s="22"/>
      <c r="Q23" s="12"/>
      <c r="R23" s="12"/>
    </row>
    <row r="24" spans="1:19" ht="18.95" customHeight="1">
      <c r="A24" s="29">
        <f t="shared" si="2"/>
        <v>18</v>
      </c>
      <c r="B24" s="30"/>
      <c r="C24" s="30"/>
      <c r="D24" s="31"/>
      <c r="E24" s="30"/>
      <c r="F24" s="30"/>
      <c r="G24" s="30"/>
      <c r="H24" s="30"/>
      <c r="I24" s="30"/>
      <c r="J24" s="32"/>
      <c r="K24" s="30"/>
      <c r="L24" s="33"/>
      <c r="M24" s="30"/>
      <c r="N24" s="21">
        <f t="shared" si="0"/>
        <v>0</v>
      </c>
      <c r="O24" s="21">
        <f t="shared" si="1"/>
        <v>0</v>
      </c>
      <c r="P24" s="20"/>
      <c r="Q24" s="14"/>
      <c r="R24" s="14"/>
    </row>
    <row r="25" spans="1:19" s="7" customFormat="1" ht="18.95" customHeight="1">
      <c r="A25" s="29">
        <f t="shared" si="2"/>
        <v>19</v>
      </c>
      <c r="B25" s="30"/>
      <c r="C25" s="30"/>
      <c r="D25" s="31"/>
      <c r="E25" s="30"/>
      <c r="F25" s="30"/>
      <c r="G25" s="30"/>
      <c r="H25" s="30"/>
      <c r="I25" s="30"/>
      <c r="J25" s="32"/>
      <c r="K25" s="30"/>
      <c r="L25" s="33"/>
      <c r="M25" s="30"/>
      <c r="N25" s="21">
        <f t="shared" si="0"/>
        <v>0</v>
      </c>
      <c r="O25" s="21">
        <f t="shared" si="1"/>
        <v>0</v>
      </c>
      <c r="P25" s="22"/>
      <c r="Q25" s="12"/>
      <c r="R25" s="12"/>
    </row>
    <row r="26" spans="1:19" ht="18.95" customHeight="1">
      <c r="A26" s="29">
        <f t="shared" si="2"/>
        <v>20</v>
      </c>
      <c r="B26" s="30"/>
      <c r="C26" s="30"/>
      <c r="D26" s="31"/>
      <c r="E26" s="30"/>
      <c r="F26" s="30"/>
      <c r="G26" s="30"/>
      <c r="H26" s="30"/>
      <c r="I26" s="30"/>
      <c r="J26" s="32"/>
      <c r="K26" s="30"/>
      <c r="L26" s="33"/>
      <c r="M26" s="30"/>
      <c r="N26" s="21">
        <f t="shared" si="0"/>
        <v>0</v>
      </c>
      <c r="O26" s="21">
        <f t="shared" si="1"/>
        <v>0</v>
      </c>
      <c r="P26" s="20"/>
      <c r="Q26" s="14"/>
      <c r="R26" s="14"/>
    </row>
    <row r="27" spans="1:19" s="7" customFormat="1" ht="18.95" customHeight="1">
      <c r="A27" s="29">
        <f t="shared" si="2"/>
        <v>21</v>
      </c>
      <c r="B27" s="30"/>
      <c r="C27" s="30"/>
      <c r="D27" s="31"/>
      <c r="E27" s="30"/>
      <c r="F27" s="30"/>
      <c r="G27" s="30"/>
      <c r="H27" s="30"/>
      <c r="I27" s="30"/>
      <c r="J27" s="32"/>
      <c r="K27" s="30"/>
      <c r="L27" s="33"/>
      <c r="M27" s="30"/>
      <c r="N27" s="21">
        <f t="shared" si="0"/>
        <v>0</v>
      </c>
      <c r="O27" s="21">
        <f t="shared" si="1"/>
        <v>0</v>
      </c>
      <c r="P27" s="22"/>
      <c r="Q27" s="12"/>
      <c r="R27" s="12"/>
    </row>
    <row r="28" spans="1:19" ht="18.95" customHeight="1">
      <c r="A28" s="29">
        <f t="shared" si="2"/>
        <v>22</v>
      </c>
      <c r="B28" s="30"/>
      <c r="C28" s="30"/>
      <c r="D28" s="31"/>
      <c r="E28" s="30"/>
      <c r="F28" s="30"/>
      <c r="G28" s="30"/>
      <c r="H28" s="30"/>
      <c r="I28" s="30"/>
      <c r="J28" s="32"/>
      <c r="K28" s="30"/>
      <c r="L28" s="33"/>
      <c r="M28" s="30"/>
      <c r="N28" s="21">
        <f t="shared" si="0"/>
        <v>0</v>
      </c>
      <c r="O28" s="21">
        <f t="shared" si="1"/>
        <v>0</v>
      </c>
      <c r="P28" s="20"/>
      <c r="Q28" s="14"/>
      <c r="R28" s="14"/>
    </row>
    <row r="29" spans="1:19" s="7" customFormat="1" ht="18.95" customHeight="1">
      <c r="A29" s="29">
        <f t="shared" si="2"/>
        <v>23</v>
      </c>
      <c r="B29" s="30"/>
      <c r="C29" s="30"/>
      <c r="D29" s="31"/>
      <c r="E29" s="30"/>
      <c r="F29" s="30"/>
      <c r="G29" s="30"/>
      <c r="H29" s="30"/>
      <c r="I29" s="30"/>
      <c r="J29" s="32"/>
      <c r="K29" s="30"/>
      <c r="L29" s="33"/>
      <c r="M29" s="30"/>
      <c r="N29" s="21">
        <f t="shared" si="0"/>
        <v>0</v>
      </c>
      <c r="O29" s="21">
        <f t="shared" si="1"/>
        <v>0</v>
      </c>
      <c r="P29" s="22"/>
      <c r="Q29" s="12"/>
      <c r="R29" s="12"/>
    </row>
    <row r="30" spans="1:19" ht="18.95" customHeight="1">
      <c r="A30" s="29">
        <f t="shared" si="2"/>
        <v>24</v>
      </c>
      <c r="B30" s="30"/>
      <c r="C30" s="30"/>
      <c r="D30" s="31"/>
      <c r="E30" s="30"/>
      <c r="F30" s="30"/>
      <c r="G30" s="30"/>
      <c r="H30" s="30"/>
      <c r="I30" s="30"/>
      <c r="J30" s="32"/>
      <c r="K30" s="30"/>
      <c r="L30" s="33"/>
      <c r="M30" s="30"/>
      <c r="N30" s="21">
        <f t="shared" si="0"/>
        <v>0</v>
      </c>
      <c r="O30" s="21">
        <f t="shared" si="1"/>
        <v>0</v>
      </c>
      <c r="P30" s="20"/>
      <c r="Q30" s="14"/>
      <c r="R30" s="14"/>
    </row>
    <row r="31" spans="1:19" ht="15.75" customHeight="1">
      <c r="A31" s="1"/>
      <c r="B31" s="2"/>
      <c r="C31" s="2"/>
      <c r="D31" s="2"/>
      <c r="E31" s="2"/>
      <c r="F31" s="42" t="s">
        <v>12</v>
      </c>
      <c r="G31" s="42"/>
      <c r="H31" s="42"/>
      <c r="I31" s="24"/>
      <c r="J31" s="8">
        <f>SUM(J7:J30)</f>
        <v>0</v>
      </c>
      <c r="K31" s="2"/>
      <c r="L31" s="2"/>
      <c r="M31" s="3"/>
      <c r="N31" s="21">
        <f>SUM(N7:N30)</f>
        <v>0</v>
      </c>
      <c r="O31" s="21">
        <f>SUM(O7:O30)</f>
        <v>0</v>
      </c>
      <c r="P31" s="20"/>
      <c r="Q31" s="14"/>
      <c r="R31" s="14"/>
    </row>
    <row r="32" spans="1:19" ht="15.75" customHeight="1">
      <c r="A32" s="4"/>
      <c r="B32" s="5" t="s">
        <v>2</v>
      </c>
      <c r="C32" s="6"/>
      <c r="D32" s="6"/>
      <c r="E32" s="36"/>
      <c r="F32" s="37"/>
      <c r="G32" s="37"/>
      <c r="H32" s="37"/>
      <c r="I32" s="37"/>
      <c r="J32" s="37"/>
      <c r="K32" s="37"/>
      <c r="L32" s="37"/>
      <c r="M32" s="38"/>
      <c r="N32" s="23"/>
      <c r="O32" s="23"/>
      <c r="P32" s="20"/>
      <c r="Q32" s="14"/>
      <c r="R32" s="14"/>
    </row>
    <row r="33" spans="1:18" ht="15.75" customHeight="1">
      <c r="A33" s="26"/>
      <c r="B33" s="27"/>
      <c r="C33" s="26"/>
      <c r="D33" s="26"/>
      <c r="E33" s="25"/>
      <c r="F33" s="25"/>
      <c r="G33" s="25"/>
      <c r="H33" s="25"/>
      <c r="I33" s="25"/>
      <c r="J33" s="25"/>
      <c r="K33" s="25"/>
      <c r="L33" s="25"/>
      <c r="M33" s="25"/>
      <c r="N33" s="23"/>
      <c r="O33" s="23"/>
      <c r="P33" s="20"/>
      <c r="Q33" s="14"/>
      <c r="R33" s="14"/>
    </row>
    <row r="34" spans="1:18" ht="15.75" customHeight="1" thickBot="1">
      <c r="A34" s="45" t="s">
        <v>22</v>
      </c>
      <c r="B34" s="45"/>
      <c r="C34" s="45"/>
      <c r="D34" s="44"/>
      <c r="E34" s="44"/>
      <c r="F34" s="44"/>
      <c r="G34" s="44"/>
      <c r="H34" s="44"/>
      <c r="I34" s="44"/>
      <c r="J34" s="43" t="s">
        <v>21</v>
      </c>
      <c r="K34" s="43"/>
      <c r="L34" s="28"/>
      <c r="M34" s="28"/>
      <c r="N34" s="23"/>
      <c r="O34" s="23"/>
      <c r="P34" s="20"/>
      <c r="Q34" s="14"/>
      <c r="R34" s="14"/>
    </row>
    <row r="35" spans="1:18" ht="15.75" customHeight="1">
      <c r="A35" s="34" t="str">
        <f>IF(N31=O31,"","*** Warning Debits Do Not Equal Credits (D = " &amp; DOLLAR(N31,2) &amp; " &lt;&gt; C = " &amp; DOLLAR(O31,2) &amp; ") ***")</f>
        <v/>
      </c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</row>
    <row r="36" spans="1:18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1:18" ht="15.75" customHeight="1"/>
    <row r="38" spans="1:18" ht="15.75" customHeight="1"/>
    <row r="39" spans="1:18" ht="15.75" customHeight="1"/>
    <row r="40" spans="1:18" ht="15.75" customHeight="1"/>
    <row r="41" spans="1:18" ht="15.75" customHeight="1"/>
    <row r="42" spans="1:18" ht="15.75" customHeight="1"/>
    <row r="43" spans="1:18" ht="15.75" customHeight="1"/>
    <row r="44" spans="1:18" ht="15.75" customHeight="1"/>
    <row r="45" spans="1:18" ht="15.75" customHeight="1"/>
    <row r="46" spans="1:18" ht="15.75" customHeight="1"/>
  </sheetData>
  <sheetProtection password="CEFA" sheet="1" scenarios="1"/>
  <mergeCells count="10">
    <mergeCell ref="A35:M36"/>
    <mergeCell ref="E32:M32"/>
    <mergeCell ref="R11:R14"/>
    <mergeCell ref="A1:M1"/>
    <mergeCell ref="A2:M2"/>
    <mergeCell ref="A3:M3"/>
    <mergeCell ref="F31:H31"/>
    <mergeCell ref="J34:K34"/>
    <mergeCell ref="D34:I34"/>
    <mergeCell ref="A34:C34"/>
  </mergeCells>
  <phoneticPr fontId="0" type="noConversion"/>
  <dataValidations xWindow="1119" yWindow="255" count="10">
    <dataValidation type="list" allowBlank="1" showInputMessage="1" showErrorMessage="1" errorTitle="Invalid Data" error="You must enter:_x000a_T - TTU Chart_x000a_F - Regular Foundation_x000a_R - Research Foundation" promptTitle="Enter COA" prompt="T - TTU Chart_x000a_F - Regular Foundation_x000a_R - Research Foundation_x000a_" sqref="C7">
      <formula1>"T,F,R"</formula1>
    </dataValidation>
    <dataValidation type="textLength" allowBlank="1" showInputMessage="1" showErrorMessage="1" errorTitle="Invalid Data" error="Maximum Lenght of 6 Characters" sqref="D7:H30">
      <formula1>0</formula1>
      <formula2>6</formula2>
    </dataValidation>
    <dataValidation allowBlank="1" showInputMessage="1" showErrorMessage="1" errorTitle="Invalid Data" error="Maximum Lenght of 6 Characters" sqref="J7:J30"/>
    <dataValidation type="textLength" allowBlank="1" showInputMessage="1" showErrorMessage="1" errorTitle="Invalid Data" error="Maximum Character Length is 35 Characters" sqref="L7:L30">
      <formula1>0</formula1>
      <formula2>35</formula2>
    </dataValidation>
    <dataValidation type="list" allowBlank="1" showInputMessage="1" showErrorMessage="1" errorTitle="Invalid Data" error="You must enter:_x000a_T - TTU Chart_x000a_F - Regular Foundation_x000a_R - Research Foundation" promptTitle="Enter COA" prompt="T - TTU Chart_x000a_F - Regular Foundation_x000a_R - Research Foundation_x000a_" sqref="C8:C30">
      <formula1>IF($B$7 = "JE16",RChart,RegularChart)</formula1>
    </dataValidation>
    <dataValidation type="list" allowBlank="1" showInputMessage="1" showErrorMessage="1" errorTitle="Invalid Data" error="Requires D or C" promptTitle="Required" prompt="Requires D or C" sqref="K7:K30">
      <formula1>"D,C"</formula1>
    </dataValidation>
    <dataValidation type="list" allowBlank="1" showInputMessage="1" showErrorMessage="1" errorTitle="Invalide Data" promptTitle="Valid Data" prompt="In most cases the bank code should match the chart code selected unless the entry is payroll specific.  If the line entry is related to payroll, use the 'P1&quot; bank code." sqref="M8:M30">
      <formula1>"T1,F1,R1,P1"</formula1>
    </dataValidation>
    <dataValidation type="textLength" allowBlank="1" showInputMessage="1" showErrorMessage="1" errorTitle="Invalid Data" error="Maximum Lenght of 6 Characters" sqref="I7:I30">
      <formula1>6</formula1>
      <formula2>6</formula2>
    </dataValidation>
    <dataValidation type="list" allowBlank="1" showInputMessage="1" showErrorMessage="1" errorTitle="Invalide Data" promptTitle="Valid Data" prompt="In most cases the bank code will match the chart code unless the line entry is payroll specific.  If the line is specific use the 'P1' bank code._x000a_T1 = University_x000a_F1 = Foundation_x000a_R1 = Research Foundation_x000a_P1 = Payroll" sqref="M7">
      <formula1>"T1,F1,R1,P1"</formula1>
    </dataValidation>
    <dataValidation type="list" allowBlank="1" showInputMessage="1" showErrorMessage="1" errorTitle="Invalid Data" error="You must enter FT01 or X25" promptTitle="Journal Type" prompt="You must enter FT01 or X25" sqref="B7:B30">
      <formula1>"FT01,X25"</formula1>
    </dataValidation>
  </dataValidations>
  <pageMargins left="0.17" right="0.2" top="0.25" bottom="0.25" header="0.25" footer="0.22"/>
  <pageSetup scale="90" orientation="landscape" r:id="rId1"/>
  <headerFooter alignWithMargins="0">
    <oddFooter>&amp;C&amp;"Arial,Bold Italic"Page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Blue JV (CR05)</vt:lpstr>
      <vt:lpstr>'Blue JV (CR05)'!Print_Area</vt:lpstr>
      <vt:lpstr>RChart</vt:lpstr>
      <vt:lpstr>RegularChart</vt:lpstr>
    </vt:vector>
  </TitlesOfParts>
  <Company>Tennessee Tech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MASmith</dc:creator>
  <cp:lastModifiedBy>MASmith</cp:lastModifiedBy>
  <cp:lastPrinted>2007-02-19T19:04:53Z</cp:lastPrinted>
  <dcterms:created xsi:type="dcterms:W3CDTF">2006-10-04T01:00:31Z</dcterms:created>
  <dcterms:modified xsi:type="dcterms:W3CDTF">2008-11-20T21:15:34Z</dcterms:modified>
</cp:coreProperties>
</file>