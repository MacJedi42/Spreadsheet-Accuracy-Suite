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calcChain.xml" ContentType="application/vnd.openxmlformats-officedocument.spreadsheetml.calcChain+xml"/>
  <Override PartName="/xl/worksheets/sheet2.xml" ContentType="application/vnd.openxmlformats-officedocument.spreadsheetml.worksheet+xml"/>
  <Default Extension="rels" ContentType="application/vnd.openxmlformats-package.relationships+xml"/>
  <Override PartName="/xl/worksheets/sheet5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autoCompressPictures="0"/>
  <bookViews>
    <workbookView xWindow="-20" yWindow="-20" windowWidth="24800" windowHeight="17320"/>
  </bookViews>
  <sheets>
    <sheet name="TOTAL OUTFLOW (BOTH SEMESTERS)" sheetId="1" r:id="rId1"/>
    <sheet name="FALL INFLOW" sheetId="7" r:id="rId2"/>
    <sheet name="SPRING INFLOW (UPDATED PRICING)" sheetId="8" r:id="rId3"/>
    <sheet name="FALL INFLOW (UPDATED PRICING)" sheetId="9" r:id="rId4"/>
    <sheet name="Sheet1" sheetId="10" r:id="rId5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A8" i="7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F5"/>
  <c r="A6"/>
  <c r="A7"/>
  <c r="A5"/>
  <c r="D6"/>
  <c r="F6"/>
  <c r="H6"/>
  <c r="I6"/>
  <c r="D29"/>
  <c r="F29"/>
  <c r="H29"/>
  <c r="I29"/>
  <c r="C56"/>
  <c r="D5"/>
  <c r="H5"/>
  <c r="I5"/>
  <c r="D7"/>
  <c r="F7"/>
  <c r="H7"/>
  <c r="I7"/>
  <c r="D8"/>
  <c r="F8"/>
  <c r="H8"/>
  <c r="I8"/>
  <c r="D9"/>
  <c r="F9"/>
  <c r="H9"/>
  <c r="I9"/>
  <c r="D10"/>
  <c r="F10"/>
  <c r="H10"/>
  <c r="I10"/>
  <c r="D11"/>
  <c r="F11"/>
  <c r="H11"/>
  <c r="I11"/>
  <c r="D12"/>
  <c r="F12"/>
  <c r="H12"/>
  <c r="I12"/>
  <c r="D13"/>
  <c r="F13"/>
  <c r="H13"/>
  <c r="I13"/>
  <c r="D14"/>
  <c r="F14"/>
  <c r="H14"/>
  <c r="I14"/>
  <c r="D15"/>
  <c r="F15"/>
  <c r="H15"/>
  <c r="I15"/>
  <c r="D16"/>
  <c r="F16"/>
  <c r="H16"/>
  <c r="I16"/>
  <c r="D17"/>
  <c r="F17"/>
  <c r="H17"/>
  <c r="I17"/>
  <c r="D18"/>
  <c r="F18"/>
  <c r="H18"/>
  <c r="I18"/>
  <c r="D19"/>
  <c r="F19"/>
  <c r="H19"/>
  <c r="I19"/>
  <c r="D20"/>
  <c r="F20"/>
  <c r="H20"/>
  <c r="I20"/>
  <c r="D21"/>
  <c r="F21"/>
  <c r="H21"/>
  <c r="I21"/>
  <c r="D22"/>
  <c r="F22"/>
  <c r="H22"/>
  <c r="I22"/>
  <c r="D23"/>
  <c r="F23"/>
  <c r="H23"/>
  <c r="I23"/>
  <c r="D24"/>
  <c r="F24"/>
  <c r="H24"/>
  <c r="I24"/>
  <c r="D25"/>
  <c r="F25"/>
  <c r="H25"/>
  <c r="I25"/>
  <c r="D26"/>
  <c r="F26"/>
  <c r="H26"/>
  <c r="I26"/>
  <c r="D27"/>
  <c r="F27"/>
  <c r="H27"/>
  <c r="I27"/>
  <c r="D28"/>
  <c r="F28"/>
  <c r="H28"/>
  <c r="I28"/>
  <c r="D30"/>
  <c r="F30"/>
  <c r="H30"/>
  <c r="I30"/>
  <c r="D31"/>
  <c r="F31"/>
  <c r="H31"/>
  <c r="I31"/>
  <c r="D32"/>
  <c r="F32"/>
  <c r="H32"/>
  <c r="I32"/>
  <c r="D33"/>
  <c r="F33"/>
  <c r="H33"/>
  <c r="I33"/>
  <c r="D34"/>
  <c r="F34"/>
  <c r="H34"/>
  <c r="I34"/>
  <c r="D35"/>
  <c r="F35"/>
  <c r="H35"/>
  <c r="I35"/>
  <c r="D36"/>
  <c r="F36"/>
  <c r="H36"/>
  <c r="I36"/>
  <c r="D37"/>
  <c r="F37"/>
  <c r="H37"/>
  <c r="I37"/>
  <c r="D38"/>
  <c r="F38"/>
  <c r="H38"/>
  <c r="I38"/>
  <c r="D39"/>
  <c r="F39"/>
  <c r="H39"/>
  <c r="I39"/>
  <c r="D40"/>
  <c r="F40"/>
  <c r="H40"/>
  <c r="I40"/>
  <c r="D41"/>
  <c r="F41"/>
  <c r="H41"/>
  <c r="I41"/>
  <c r="D42"/>
  <c r="F42"/>
  <c r="H42"/>
  <c r="I42"/>
  <c r="D43"/>
  <c r="F43"/>
  <c r="H43"/>
  <c r="I43"/>
  <c r="D44"/>
  <c r="F44"/>
  <c r="H44"/>
  <c r="I44"/>
  <c r="D45"/>
  <c r="F45"/>
  <c r="H45"/>
  <c r="I45"/>
  <c r="D46"/>
  <c r="F46"/>
  <c r="H46"/>
  <c r="I46"/>
  <c r="C55"/>
  <c r="C55" i="9"/>
  <c r="D5"/>
  <c r="F5"/>
  <c r="H5"/>
  <c r="I5"/>
  <c r="D6"/>
  <c r="F6"/>
  <c r="H6"/>
  <c r="I6"/>
  <c r="D7"/>
  <c r="F7"/>
  <c r="H7"/>
  <c r="I7"/>
  <c r="D8"/>
  <c r="F8"/>
  <c r="H8"/>
  <c r="I8"/>
  <c r="D9"/>
  <c r="F9"/>
  <c r="H9"/>
  <c r="I9"/>
  <c r="D10"/>
  <c r="F10"/>
  <c r="H10"/>
  <c r="I10"/>
  <c r="D11"/>
  <c r="F11"/>
  <c r="H11"/>
  <c r="I11"/>
  <c r="D12"/>
  <c r="F12"/>
  <c r="H12"/>
  <c r="I12"/>
  <c r="D13"/>
  <c r="F13"/>
  <c r="H13"/>
  <c r="I13"/>
  <c r="D14"/>
  <c r="F14"/>
  <c r="H14"/>
  <c r="I14"/>
  <c r="D15"/>
  <c r="F15"/>
  <c r="H15"/>
  <c r="I15"/>
  <c r="D16"/>
  <c r="F16"/>
  <c r="H16"/>
  <c r="I16"/>
  <c r="D17"/>
  <c r="F17"/>
  <c r="H17"/>
  <c r="I17"/>
  <c r="D18"/>
  <c r="F18"/>
  <c r="H18"/>
  <c r="I18"/>
  <c r="D19"/>
  <c r="F19"/>
  <c r="H19"/>
  <c r="I19"/>
  <c r="D20"/>
  <c r="F20"/>
  <c r="H20"/>
  <c r="I20"/>
  <c r="D21"/>
  <c r="F21"/>
  <c r="H21"/>
  <c r="I21"/>
  <c r="D22"/>
  <c r="F22"/>
  <c r="H22"/>
  <c r="I22"/>
  <c r="D23"/>
  <c r="F23"/>
  <c r="H23"/>
  <c r="I23"/>
  <c r="D24"/>
  <c r="F24"/>
  <c r="H24"/>
  <c r="I24"/>
  <c r="D25"/>
  <c r="F25"/>
  <c r="H25"/>
  <c r="I25"/>
  <c r="D26"/>
  <c r="F26"/>
  <c r="H26"/>
  <c r="I26"/>
  <c r="D27"/>
  <c r="F27"/>
  <c r="H27"/>
  <c r="I27"/>
  <c r="D28"/>
  <c r="F28"/>
  <c r="H28"/>
  <c r="I28"/>
  <c r="D29"/>
  <c r="F29"/>
  <c r="H29"/>
  <c r="I29"/>
  <c r="D30"/>
  <c r="F30"/>
  <c r="H30"/>
  <c r="I30"/>
  <c r="D31"/>
  <c r="F31"/>
  <c r="H31"/>
  <c r="I31"/>
  <c r="D32"/>
  <c r="F32"/>
  <c r="H32"/>
  <c r="I32"/>
  <c r="D33"/>
  <c r="F33"/>
  <c r="H33"/>
  <c r="I33"/>
  <c r="D34"/>
  <c r="F34"/>
  <c r="H34"/>
  <c r="I34"/>
  <c r="D35"/>
  <c r="F35"/>
  <c r="H35"/>
  <c r="I35"/>
  <c r="D36"/>
  <c r="F36"/>
  <c r="H36"/>
  <c r="I36"/>
  <c r="D37"/>
  <c r="F37"/>
  <c r="H37"/>
  <c r="I37"/>
  <c r="D38"/>
  <c r="F38"/>
  <c r="H38"/>
  <c r="I38"/>
  <c r="D39"/>
  <c r="F39"/>
  <c r="H39"/>
  <c r="I39"/>
  <c r="D40"/>
  <c r="F40"/>
  <c r="H40"/>
  <c r="I40"/>
  <c r="D41"/>
  <c r="F41"/>
  <c r="H41"/>
  <c r="I41"/>
  <c r="D42"/>
  <c r="F42"/>
  <c r="H42"/>
  <c r="I42"/>
  <c r="D43"/>
  <c r="F43"/>
  <c r="H43"/>
  <c r="I43"/>
  <c r="D44"/>
  <c r="F44"/>
  <c r="H44"/>
  <c r="I44"/>
  <c r="D45"/>
  <c r="F45"/>
  <c r="H45"/>
  <c r="I45"/>
  <c r="C54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B5" i="10"/>
  <c r="F12" i="8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5"/>
  <c r="I20"/>
  <c r="I5"/>
  <c r="I6"/>
  <c r="I7"/>
  <c r="I8"/>
  <c r="I9"/>
  <c r="I10"/>
  <c r="I11"/>
  <c r="I12"/>
  <c r="I13"/>
  <c r="I14"/>
  <c r="I15"/>
  <c r="I16"/>
  <c r="I17"/>
  <c r="I18"/>
  <c r="I19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C54"/>
  <c r="H5"/>
  <c r="F32"/>
  <c r="H32"/>
  <c r="A5"/>
  <c r="F5"/>
  <c r="A6"/>
  <c r="F6"/>
  <c r="H6"/>
  <c r="A7"/>
  <c r="F7"/>
  <c r="H7"/>
  <c r="A8"/>
  <c r="F8"/>
  <c r="H8"/>
  <c r="A9"/>
  <c r="F9"/>
  <c r="H9"/>
  <c r="A10"/>
  <c r="F10"/>
  <c r="H10"/>
  <c r="A11"/>
  <c r="F11"/>
  <c r="H11"/>
  <c r="A12"/>
  <c r="H12"/>
  <c r="A13"/>
  <c r="F13"/>
  <c r="H13"/>
  <c r="A14"/>
  <c r="F14"/>
  <c r="H14"/>
  <c r="A15"/>
  <c r="F15"/>
  <c r="H15"/>
  <c r="A16"/>
  <c r="F16"/>
  <c r="H16"/>
  <c r="A17"/>
  <c r="F17"/>
  <c r="H17"/>
  <c r="A18"/>
  <c r="F18"/>
  <c r="H18"/>
  <c r="A19"/>
  <c r="F19"/>
  <c r="H19"/>
  <c r="A20"/>
  <c r="F20"/>
  <c r="H20"/>
  <c r="A21"/>
  <c r="F21"/>
  <c r="H21"/>
  <c r="A22"/>
  <c r="F22"/>
  <c r="H22"/>
  <c r="A23"/>
  <c r="F23"/>
  <c r="H23"/>
  <c r="A24"/>
  <c r="F24"/>
  <c r="H24"/>
  <c r="A25"/>
  <c r="F25"/>
  <c r="H25"/>
  <c r="A26"/>
  <c r="F26"/>
  <c r="H26"/>
  <c r="A27"/>
  <c r="F27"/>
  <c r="H27"/>
  <c r="A28"/>
  <c r="F28"/>
  <c r="H28"/>
  <c r="A29"/>
  <c r="F29"/>
  <c r="H29"/>
  <c r="A30"/>
  <c r="F30"/>
  <c r="H30"/>
  <c r="A31"/>
  <c r="F31"/>
  <c r="H31"/>
  <c r="A32"/>
  <c r="A33"/>
  <c r="F33"/>
  <c r="H33"/>
  <c r="A34"/>
  <c r="F34"/>
  <c r="H34"/>
  <c r="A35"/>
  <c r="F35"/>
  <c r="H35"/>
  <c r="A36"/>
  <c r="F36"/>
  <c r="H36"/>
  <c r="A37"/>
  <c r="F37"/>
  <c r="H37"/>
  <c r="A38"/>
  <c r="F38"/>
  <c r="H38"/>
  <c r="A39"/>
  <c r="F39"/>
  <c r="H39"/>
  <c r="A40"/>
  <c r="F40"/>
  <c r="H40"/>
  <c r="A41"/>
  <c r="F41"/>
  <c r="H41"/>
  <c r="A42"/>
  <c r="F42"/>
  <c r="H42"/>
  <c r="A43"/>
  <c r="F43"/>
  <c r="H43"/>
  <c r="A44"/>
  <c r="F44"/>
  <c r="H44"/>
  <c r="A45"/>
  <c r="F45"/>
  <c r="H45"/>
  <c r="C55"/>
  <c r="D50" i="1"/>
  <c r="C50"/>
  <c r="G51"/>
  <c r="L51"/>
  <c r="C51"/>
  <c r="E52"/>
  <c r="K52"/>
  <c r="C52"/>
  <c r="E53"/>
  <c r="K53"/>
  <c r="C53"/>
  <c r="C48"/>
  <c r="C49"/>
  <c r="C54"/>
  <c r="D33"/>
  <c r="E33"/>
  <c r="F33"/>
  <c r="G33"/>
  <c r="I33"/>
  <c r="J33"/>
  <c r="K33"/>
  <c r="L33"/>
  <c r="C33"/>
  <c r="D34"/>
  <c r="E34"/>
  <c r="F34"/>
  <c r="G34"/>
  <c r="I34"/>
  <c r="J34"/>
  <c r="K34"/>
  <c r="L34"/>
  <c r="C34"/>
  <c r="C35"/>
  <c r="C37"/>
  <c r="C38"/>
  <c r="C39"/>
  <c r="C40"/>
  <c r="C41"/>
  <c r="C42"/>
  <c r="C43"/>
  <c r="C44"/>
  <c r="D31"/>
  <c r="E31"/>
  <c r="F31"/>
  <c r="G31"/>
  <c r="I31"/>
  <c r="J31"/>
  <c r="K31"/>
  <c r="L31"/>
  <c r="C31"/>
  <c r="C27"/>
  <c r="C28"/>
  <c r="C29"/>
  <c r="C23"/>
  <c r="C17"/>
  <c r="C18"/>
  <c r="C19"/>
  <c r="C20"/>
  <c r="C13"/>
  <c r="C14"/>
  <c r="C15"/>
  <c r="C9"/>
  <c r="C10"/>
  <c r="C11"/>
  <c r="C5"/>
  <c r="C6"/>
  <c r="C7"/>
  <c r="C25"/>
  <c r="C46"/>
  <c r="C56"/>
  <c r="C58"/>
  <c r="C57"/>
  <c r="C59"/>
  <c r="H44"/>
  <c r="H35"/>
  <c r="H29"/>
  <c r="M44"/>
  <c r="M35"/>
  <c r="M29"/>
  <c r="D35"/>
  <c r="E35"/>
  <c r="F35"/>
  <c r="G35"/>
  <c r="I35"/>
  <c r="J35"/>
  <c r="K35"/>
  <c r="L35"/>
  <c r="N35"/>
  <c r="O35"/>
  <c r="P35"/>
  <c r="Q35"/>
  <c r="D54"/>
  <c r="E54"/>
  <c r="F54"/>
  <c r="G54"/>
  <c r="H54"/>
  <c r="I54"/>
  <c r="J54"/>
  <c r="K54"/>
  <c r="L54"/>
  <c r="M54"/>
  <c r="N54"/>
  <c r="O54"/>
  <c r="P54"/>
  <c r="Q54"/>
  <c r="R54"/>
  <c r="D20"/>
  <c r="E20"/>
  <c r="F20"/>
  <c r="G20"/>
  <c r="H20"/>
  <c r="I20"/>
  <c r="J20"/>
  <c r="K20"/>
  <c r="L20"/>
  <c r="M20"/>
  <c r="N20"/>
  <c r="O20"/>
  <c r="P20"/>
  <c r="Q20"/>
  <c r="R20"/>
  <c r="R7"/>
  <c r="D23"/>
  <c r="D15"/>
  <c r="D11"/>
  <c r="D7"/>
  <c r="D25"/>
  <c r="E23"/>
  <c r="E15"/>
  <c r="E11"/>
  <c r="E7"/>
  <c r="E25"/>
  <c r="F23"/>
  <c r="F15"/>
  <c r="F11"/>
  <c r="F7"/>
  <c r="F25"/>
  <c r="G23"/>
  <c r="G15"/>
  <c r="G11"/>
  <c r="G7"/>
  <c r="G25"/>
  <c r="H15"/>
  <c r="H23"/>
  <c r="H11"/>
  <c r="H7"/>
  <c r="H25"/>
  <c r="I23"/>
  <c r="I15"/>
  <c r="I11"/>
  <c r="I7"/>
  <c r="I25"/>
  <c r="J23"/>
  <c r="J15"/>
  <c r="J11"/>
  <c r="J7"/>
  <c r="J25"/>
  <c r="K23"/>
  <c r="K15"/>
  <c r="K11"/>
  <c r="K7"/>
  <c r="K25"/>
  <c r="L23"/>
  <c r="L15"/>
  <c r="L11"/>
  <c r="L7"/>
  <c r="L25"/>
  <c r="M15"/>
  <c r="M23"/>
  <c r="M11"/>
  <c r="M7"/>
  <c r="M25"/>
  <c r="N23"/>
  <c r="N15"/>
  <c r="N11"/>
  <c r="N7"/>
  <c r="N25"/>
  <c r="O23"/>
  <c r="O15"/>
  <c r="O11"/>
  <c r="O7"/>
  <c r="O25"/>
  <c r="P23"/>
  <c r="P15"/>
  <c r="P11"/>
  <c r="P7"/>
  <c r="P25"/>
  <c r="Q23"/>
  <c r="Q15"/>
  <c r="Q11"/>
  <c r="Q7"/>
  <c r="Q25"/>
  <c r="R15"/>
  <c r="R23"/>
  <c r="R11"/>
  <c r="R25"/>
  <c r="D44"/>
  <c r="E44"/>
  <c r="F44"/>
  <c r="G44"/>
  <c r="I44"/>
  <c r="J44"/>
  <c r="K44"/>
  <c r="L44"/>
  <c r="N44"/>
  <c r="O44"/>
  <c r="P44"/>
  <c r="Q44"/>
  <c r="R44"/>
  <c r="R35"/>
  <c r="D29"/>
  <c r="E29"/>
  <c r="F29"/>
  <c r="G29"/>
  <c r="I29"/>
  <c r="J29"/>
  <c r="K29"/>
  <c r="L29"/>
  <c r="N29"/>
  <c r="O29"/>
  <c r="P29"/>
  <c r="Q29"/>
  <c r="R29"/>
</calcChain>
</file>

<file path=xl/sharedStrings.xml><?xml version="1.0" encoding="utf-8"?>
<sst xmlns="http://schemas.openxmlformats.org/spreadsheetml/2006/main" count="726" uniqueCount="217">
  <si>
    <t>Mortgage payment</t>
    <phoneticPr fontId="2" type="noConversion"/>
  </si>
  <si>
    <t>Dinner ($7.50/meal)</t>
    <phoneticPr fontId="2" type="noConversion"/>
  </si>
  <si>
    <t>Number</t>
    <phoneticPr fontId="2" type="noConversion"/>
  </si>
  <si>
    <t>Category</t>
    <phoneticPr fontId="2" type="noConversion"/>
  </si>
  <si>
    <t>TOTAL CHAPTER-RELATED EXPENDITURES</t>
    <phoneticPr fontId="2" type="noConversion"/>
  </si>
  <si>
    <t>Travel Expenses (maximum allowance)</t>
    <phoneticPr fontId="2" type="noConversion"/>
  </si>
  <si>
    <t>Dues Paid</t>
  </si>
  <si>
    <t>Date Paid</t>
  </si>
  <si>
    <t>Accounts Recievable</t>
  </si>
  <si>
    <t>Account Collected</t>
  </si>
  <si>
    <t>Meal Plan Dues</t>
  </si>
  <si>
    <t>Maintenance Total</t>
  </si>
  <si>
    <t>Rush Total</t>
  </si>
  <si>
    <t xml:space="preserve">D.U. International/IFC (Estimated) </t>
  </si>
  <si>
    <t>Matt Sabatini</t>
  </si>
  <si>
    <t>Graham Arrowood</t>
  </si>
  <si>
    <t xml:space="preserve">Evan Raskin </t>
  </si>
  <si>
    <t>Kavon Javaherian</t>
  </si>
  <si>
    <t>Ben Dryzen</t>
  </si>
  <si>
    <t>Max Valsov</t>
  </si>
  <si>
    <t>No.</t>
    <phoneticPr fontId="2" type="noConversion"/>
  </si>
  <si>
    <t>Category
 (In-House, Out of House, etc.)</t>
    <phoneticPr fontId="2" type="noConversion"/>
  </si>
  <si>
    <t>Payment Plan Notes</t>
    <phoneticPr fontId="2" type="noConversion"/>
  </si>
  <si>
    <t>-</t>
    <phoneticPr fontId="2" type="noConversion"/>
  </si>
  <si>
    <t>PRESIDENT</t>
    <phoneticPr fontId="2" type="noConversion"/>
  </si>
  <si>
    <t>IN</t>
    <phoneticPr fontId="2" type="noConversion"/>
  </si>
  <si>
    <t>OUT</t>
    <phoneticPr fontId="2" type="noConversion"/>
  </si>
  <si>
    <t>OUT</t>
    <phoneticPr fontId="2" type="noConversion"/>
  </si>
  <si>
    <t>DAY</t>
    <phoneticPr fontId="2" type="noConversion"/>
  </si>
  <si>
    <t>DAY</t>
    <phoneticPr fontId="2" type="noConversion"/>
  </si>
  <si>
    <t>OUT</t>
    <phoneticPr fontId="2" type="noConversion"/>
  </si>
  <si>
    <t>FALL 2012 INFLOW</t>
    <phoneticPr fontId="2" type="noConversion"/>
  </si>
  <si>
    <t>Initiation Fee ($200 per pledge) - due Oct./March</t>
    <phoneticPr fontId="2" type="noConversion"/>
  </si>
  <si>
    <t>DU International/IFC Total</t>
    <phoneticPr fontId="2" type="noConversion"/>
  </si>
  <si>
    <t>TOTAL ANNUAL PAYABLE</t>
    <phoneticPr fontId="2" type="noConversion"/>
  </si>
  <si>
    <t>EVENT DESCRIPTION</t>
    <phoneticPr fontId="2" type="noConversion"/>
  </si>
  <si>
    <t>Social budget (annual)</t>
    <phoneticPr fontId="2" type="noConversion"/>
  </si>
  <si>
    <t>Formal budget</t>
    <phoneticPr fontId="2" type="noConversion"/>
  </si>
  <si>
    <t>Fall Rush budget</t>
    <phoneticPr fontId="2" type="noConversion"/>
  </si>
  <si>
    <t>Discretionary</t>
    <phoneticPr fontId="2" type="noConversion"/>
  </si>
  <si>
    <t>Lunches ($5.00/meal)</t>
    <phoneticPr fontId="2" type="noConversion"/>
  </si>
  <si>
    <t>Brothers</t>
    <phoneticPr fontId="2" type="noConversion"/>
  </si>
  <si>
    <t>Meal Plan Total</t>
    <phoneticPr fontId="2" type="noConversion"/>
  </si>
  <si>
    <t>Pledges Fall</t>
    <phoneticPr fontId="2" type="noConversion"/>
  </si>
  <si>
    <t>Pledges Spring</t>
    <phoneticPr fontId="2" type="noConversion"/>
  </si>
  <si>
    <t>Maintenance/Utilities</t>
    <phoneticPr fontId="2" type="noConversion"/>
  </si>
  <si>
    <t>Preston Parham</t>
  </si>
  <si>
    <t>Scott Karis</t>
  </si>
  <si>
    <t>Webster Hughes</t>
  </si>
  <si>
    <t>Zach Gilreath</t>
  </si>
  <si>
    <t>Kitchen Expenses</t>
  </si>
  <si>
    <t>Ice Machine Rental</t>
  </si>
  <si>
    <t>Loss Prevention Fee</t>
  </si>
  <si>
    <t>Oct</t>
  </si>
  <si>
    <t>Supplies</t>
  </si>
  <si>
    <t>Total Officer Expenses</t>
  </si>
  <si>
    <t>Name</t>
  </si>
  <si>
    <t>Total Dues Owed</t>
  </si>
  <si>
    <t>Thomas Natale</t>
  </si>
  <si>
    <t>Laurent Pilon</t>
  </si>
  <si>
    <t>JJ Won</t>
  </si>
  <si>
    <t>Alex Barrett</t>
  </si>
  <si>
    <t>Abir Chatterjee</t>
  </si>
  <si>
    <t>Ben Scott</t>
  </si>
  <si>
    <t>Joey Fischel</t>
  </si>
  <si>
    <t>Caleb Ollech</t>
  </si>
  <si>
    <t>Chris Joy</t>
  </si>
  <si>
    <t>Michael Bitonti</t>
  </si>
  <si>
    <t>Nick Gazda</t>
  </si>
  <si>
    <t>General repair (lawn, etc.)</t>
    <phoneticPr fontId="2" type="noConversion"/>
  </si>
  <si>
    <t>Lunch Days per Week</t>
    <phoneticPr fontId="2" type="noConversion"/>
  </si>
  <si>
    <t>Lunch Plan Dues ($)</t>
    <phoneticPr fontId="2" type="noConversion"/>
  </si>
  <si>
    <t>Amount Paid ($)</t>
    <phoneticPr fontId="2" type="noConversion"/>
  </si>
  <si>
    <t>Date of Last Payment</t>
    <phoneticPr fontId="2" type="noConversion"/>
  </si>
  <si>
    <t>Housing Contract Submitted (Date)</t>
    <phoneticPr fontId="2" type="noConversion"/>
  </si>
  <si>
    <t>Security Deposit Submitted (Date)</t>
    <phoneticPr fontId="2" type="noConversion"/>
  </si>
  <si>
    <t>Dues Contract Submitted (Date)</t>
    <phoneticPr fontId="2" type="noConversion"/>
  </si>
  <si>
    <t>PRESIDENT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</si>
  <si>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</si>
  <si>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</si>
  <si>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</si>
  <si>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</si>
  <si>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</si>
  <si>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 xml:space="preserve">Full-time Parking </t>
    <phoneticPr fontId="2" type="noConversion"/>
  </si>
  <si>
    <t>N/A</t>
  </si>
  <si>
    <t>Stefan McCarver</t>
  </si>
  <si>
    <t>Andrew Williams</t>
  </si>
  <si>
    <t>David Zittrouer</t>
  </si>
  <si>
    <t>Brett Fox</t>
  </si>
  <si>
    <t>Daniel Ginn</t>
  </si>
  <si>
    <t>Cliff Swanson</t>
  </si>
  <si>
    <t>John Andrew Couch</t>
  </si>
  <si>
    <t>Thomas Mann</t>
  </si>
  <si>
    <t>Jiasheng David Guo</t>
  </si>
  <si>
    <t>John Thomas</t>
  </si>
  <si>
    <t>Chris Harris</t>
  </si>
  <si>
    <t>Drew Newman</t>
  </si>
  <si>
    <t>DUES INCOME</t>
    <phoneticPr fontId="2" type="noConversion"/>
  </si>
  <si>
    <t>OUT</t>
    <phoneticPr fontId="2" type="noConversion"/>
  </si>
  <si>
    <t>Lunch Recipients Fall</t>
    <phoneticPr fontId="2" type="noConversion"/>
  </si>
  <si>
    <t>Lunch Recipients Spring</t>
    <phoneticPr fontId="2" type="noConversion"/>
  </si>
  <si>
    <t>2011-2012 OUTFLOW</t>
    <phoneticPr fontId="2" type="noConversion"/>
  </si>
  <si>
    <t>Delta Upsilon Fraternity</t>
    <phoneticPr fontId="2" type="noConversion"/>
  </si>
  <si>
    <t>Total Dues Owed</t>
    <phoneticPr fontId="2" type="noConversion"/>
  </si>
  <si>
    <t>Housing Contract Submitted (Date)</t>
    <phoneticPr fontId="2" type="noConversion"/>
  </si>
  <si>
    <t>Security Deposit Submitted (Date)</t>
    <phoneticPr fontId="2" type="noConversion"/>
  </si>
  <si>
    <t>Dues Contract Submitted (Date)</t>
    <phoneticPr fontId="2" type="noConversion"/>
  </si>
  <si>
    <t>Payment Plan Notes</t>
    <phoneticPr fontId="2" type="noConversion"/>
  </si>
  <si>
    <t>IN</t>
    <phoneticPr fontId="2" type="noConversion"/>
  </si>
  <si>
    <t>YES</t>
    <phoneticPr fontId="2" type="noConversion"/>
  </si>
  <si>
    <t>FALL 2011 INFLOW</t>
    <phoneticPr fontId="2" type="noConversion"/>
  </si>
  <si>
    <t>SPRING 2012 INFLOW</t>
    <phoneticPr fontId="2" type="noConversion"/>
  </si>
  <si>
    <t>FALL SEMESTER OVERVIEW</t>
    <phoneticPr fontId="2" type="noConversion"/>
  </si>
  <si>
    <t>NON-BROTHER PARKING INCOME</t>
    <phoneticPr fontId="2" type="noConversion"/>
  </si>
  <si>
    <t>Parking Dues ($)</t>
    <phoneticPr fontId="2" type="noConversion"/>
  </si>
  <si>
    <t>Accounts Collected</t>
    <phoneticPr fontId="2" type="noConversion"/>
  </si>
  <si>
    <t>Basic Dues
 (includes dinner) ($)</t>
    <phoneticPr fontId="2" type="noConversion"/>
  </si>
  <si>
    <t>Parking Type 
(Full-time, Day)</t>
    <phoneticPr fontId="2" type="noConversion"/>
  </si>
  <si>
    <t>Lunch Days per Week</t>
    <phoneticPr fontId="2" type="noConversion"/>
  </si>
  <si>
    <t>SEMESTER DUES</t>
    <phoneticPr fontId="2" type="noConversion"/>
  </si>
  <si>
    <t>AMT.</t>
    <phoneticPr fontId="2" type="noConversion"/>
  </si>
  <si>
    <t>CHANGE</t>
    <phoneticPr fontId="2" type="noConversion"/>
  </si>
  <si>
    <t>CATEGORY</t>
    <phoneticPr fontId="2" type="noConversion"/>
  </si>
  <si>
    <t>Aug/Sept
(from move-in)</t>
    <phoneticPr fontId="2" type="noConversion"/>
  </si>
  <si>
    <t>Non-Monthly Expenses</t>
    <phoneticPr fontId="2" type="noConversion"/>
  </si>
  <si>
    <t>Non-Monthly Expenses</t>
    <phoneticPr fontId="2" type="noConversion"/>
  </si>
  <si>
    <t>Aug 
(until move-in)</t>
    <phoneticPr fontId="2" type="noConversion"/>
  </si>
  <si>
    <t>Non-Monthly Expenses</t>
    <phoneticPr fontId="2" type="noConversion"/>
  </si>
  <si>
    <t>LP Total</t>
    <phoneticPr fontId="2" type="noConversion"/>
  </si>
  <si>
    <t>Spring Rush budget</t>
    <phoneticPr fontId="2" type="noConversion"/>
  </si>
  <si>
    <t>Lunch Plan Dues ($)</t>
    <phoneticPr fontId="2" type="noConversion"/>
  </si>
  <si>
    <t>Amount Paid ($)</t>
    <phoneticPr fontId="2" type="noConversion"/>
  </si>
  <si>
    <t>Date of Last Payment</t>
    <phoneticPr fontId="2" type="noConversion"/>
  </si>
  <si>
    <t>Mortgage not paid in summer</t>
    <phoneticPr fontId="2" type="noConversion"/>
  </si>
  <si>
    <t>Sum of individual officer expenses (listed above)</t>
    <phoneticPr fontId="2" type="noConversion"/>
  </si>
  <si>
    <t>Kitchen Total</t>
    <phoneticPr fontId="2" type="noConversion"/>
  </si>
  <si>
    <t>Mortgage</t>
    <phoneticPr fontId="2" type="noConversion"/>
  </si>
  <si>
    <t>PR budget</t>
    <phoneticPr fontId="2" type="noConversion"/>
  </si>
  <si>
    <t>Champagne Lawn Party budget</t>
    <phoneticPr fontId="2" type="noConversion"/>
  </si>
  <si>
    <t>PR Total</t>
    <phoneticPr fontId="2" type="noConversion"/>
  </si>
  <si>
    <t>Pledge Education budget (pledging period)</t>
    <phoneticPr fontId="2" type="noConversion"/>
  </si>
  <si>
    <t>Brotherhood Events budget (semester)</t>
    <phoneticPr fontId="2" type="noConversion"/>
  </si>
  <si>
    <t>Composite</t>
    <phoneticPr fontId="2" type="noConversion"/>
  </si>
  <si>
    <t>Member Education Total</t>
    <phoneticPr fontId="2" type="noConversion"/>
  </si>
  <si>
    <t>Scholarship Total</t>
    <phoneticPr fontId="2" type="noConversion"/>
  </si>
  <si>
    <t>OUT</t>
    <phoneticPr fontId="2" type="noConversion"/>
  </si>
  <si>
    <t>IN</t>
    <phoneticPr fontId="2" type="noConversion"/>
  </si>
  <si>
    <t>OUT</t>
    <phoneticPr fontId="2" type="noConversion"/>
  </si>
  <si>
    <t>Brian Jackson</t>
    <phoneticPr fontId="2" type="noConversion"/>
  </si>
  <si>
    <t>IN</t>
    <phoneticPr fontId="2" type="noConversion"/>
  </si>
  <si>
    <t>OUT</t>
    <phoneticPr fontId="2" type="noConversion"/>
  </si>
  <si>
    <t>PRESIDENT</t>
    <phoneticPr fontId="2" type="noConversion"/>
  </si>
  <si>
    <t>OUT</t>
    <phoneticPr fontId="2" type="noConversion"/>
  </si>
  <si>
    <t>IN</t>
    <phoneticPr fontId="2" type="noConversion"/>
  </si>
  <si>
    <t>IN</t>
    <phoneticPr fontId="2" type="noConversion"/>
  </si>
  <si>
    <t>N/A</t>
    <phoneticPr fontId="2" type="noConversion"/>
  </si>
  <si>
    <t>N/A</t>
    <phoneticPr fontId="2" type="noConversion"/>
  </si>
  <si>
    <t>Adam Gregory</t>
    <phoneticPr fontId="2" type="noConversion"/>
  </si>
  <si>
    <t>Alex Pudney</t>
    <phoneticPr fontId="2" type="noConversion"/>
  </si>
  <si>
    <t>NEW</t>
    <phoneticPr fontId="2" type="noConversion"/>
  </si>
  <si>
    <t>NEW</t>
    <phoneticPr fontId="2" type="noConversion"/>
  </si>
  <si>
    <t>Sean Cheatle</t>
    <phoneticPr fontId="2" type="noConversion"/>
  </si>
  <si>
    <t>YES</t>
  </si>
  <si>
    <t>Doug Irwin</t>
  </si>
  <si>
    <t>Jake Horvat</t>
  </si>
  <si>
    <t>Joe Acquarulo</t>
  </si>
  <si>
    <t>Jordan Meaza</t>
  </si>
  <si>
    <t>Keifer Colcord</t>
  </si>
  <si>
    <t>SPRING SEMESTER OVERVIEW</t>
    <phoneticPr fontId="2" type="noConversion"/>
  </si>
  <si>
    <t>ESTIMATED FALL INCOME</t>
    <phoneticPr fontId="2" type="noConversion"/>
  </si>
  <si>
    <t>ESTIMATED SPRING INCOME</t>
    <phoneticPr fontId="2" type="noConversion"/>
  </si>
  <si>
    <t>CASH IN RESERVE</t>
    <phoneticPr fontId="2" type="noConversion"/>
  </si>
  <si>
    <t>IHQ Dues ($80 per brother) - September</t>
    <phoneticPr fontId="2" type="noConversion"/>
  </si>
  <si>
    <t>IFC Dues ($15 per brother) - due Dec./Apr.</t>
    <phoneticPr fontId="2" type="noConversion"/>
  </si>
  <si>
    <t>Pledge Fee ($60 per pledge) - due Oct./March</t>
    <phoneticPr fontId="2" type="noConversion"/>
  </si>
  <si>
    <t>Lunch Plan Dues ($)</t>
    <phoneticPr fontId="2" type="noConversion"/>
  </si>
  <si>
    <t>OUT OF HOUSE</t>
    <phoneticPr fontId="2" type="noConversion"/>
  </si>
  <si>
    <t>IN HOUSE</t>
    <phoneticPr fontId="2" type="noConversion"/>
  </si>
  <si>
    <t>IN HOUSE (PRESIDENT SUITE)</t>
    <phoneticPr fontId="2" type="noConversion"/>
  </si>
  <si>
    <t>Housing</t>
    <phoneticPr fontId="2" type="noConversion"/>
  </si>
  <si>
    <t>OUT OF HOUSE</t>
    <phoneticPr fontId="2" type="noConversion"/>
  </si>
  <si>
    <t>Parking</t>
    <phoneticPr fontId="2" type="noConversion"/>
  </si>
  <si>
    <t>New Member Fees (Pledges)</t>
    <phoneticPr fontId="2" type="noConversion"/>
  </si>
  <si>
    <t>DAY PARKING</t>
    <phoneticPr fontId="2" type="noConversion"/>
  </si>
  <si>
    <t>PLEDGES</t>
    <phoneticPr fontId="2" type="noConversion"/>
  </si>
  <si>
    <t>INTERNATIONAL INITIATION</t>
    <phoneticPr fontId="2" type="noConversion"/>
  </si>
  <si>
    <t>Nov</t>
  </si>
  <si>
    <t>Dec</t>
  </si>
  <si>
    <t>Jan</t>
  </si>
  <si>
    <t>Feb</t>
  </si>
  <si>
    <t>Mar</t>
  </si>
  <si>
    <t>Apr</t>
  </si>
  <si>
    <t>May</t>
  </si>
  <si>
    <t>1st Semester</t>
  </si>
  <si>
    <t xml:space="preserve">2nd Semester </t>
  </si>
  <si>
    <t>June</t>
  </si>
  <si>
    <t>Jul</t>
  </si>
  <si>
    <t>Summer</t>
  </si>
  <si>
    <t>Gas (PSNC Energy)</t>
  </si>
  <si>
    <t>Water (OWASA)</t>
  </si>
  <si>
    <t>Electricity (DUKE)</t>
  </si>
  <si>
    <t>Loss Prevention</t>
  </si>
  <si>
    <t>Recruitment</t>
  </si>
  <si>
    <t>Public Relations</t>
  </si>
  <si>
    <t>Annual</t>
  </si>
  <si>
    <t>Member Education</t>
  </si>
  <si>
    <t>Scholarship</t>
  </si>
  <si>
    <t>SA</t>
    <phoneticPr fontId="2" type="noConversion"/>
  </si>
  <si>
    <t>SA</t>
    <phoneticPr fontId="2" type="noConversion"/>
  </si>
  <si>
    <t>-</t>
    <phoneticPr fontId="2" type="noConversion"/>
  </si>
  <si>
    <t>Telephone (Bell South alarm system)</t>
    <phoneticPr fontId="2" type="noConversion"/>
  </si>
  <si>
    <t>In-house brothers (School Year)</t>
    <phoneticPr fontId="2" type="noConversion"/>
  </si>
  <si>
    <t xml:space="preserve">Cable television service (Time Warner) </t>
    <phoneticPr fontId="2" type="noConversion"/>
  </si>
  <si>
    <t>Cable equipment rental (Time Warner)</t>
    <phoneticPr fontId="2" type="noConversion"/>
  </si>
  <si>
    <t xml:space="preserve"> </t>
    <phoneticPr fontId="2" type="noConversion"/>
  </si>
  <si>
    <t>DUES INCOME</t>
    <phoneticPr fontId="2" type="noConversion"/>
  </si>
  <si>
    <t>Parking Dues ($)</t>
    <phoneticPr fontId="2" type="noConversion"/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</si>
</sst>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_(&quot;$&quot;* #,##0.00_);_(&quot;$&quot;* \(#,##0.00\);_(&quot;$&quot;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Verdana"/>
    </font>
    <font>
      <b/>
      <sz val="24"/>
      <color indexed="8"/>
      <name val="Calibri"/>
    </font>
    <font>
      <sz val="10"/>
      <color indexed="8"/>
      <name val="Calibri"/>
    </font>
    <font>
      <b/>
      <sz val="10"/>
      <color indexed="8"/>
      <name val="Calibri"/>
    </font>
    <font>
      <b/>
      <sz val="10"/>
      <name val="Calibri"/>
    </font>
    <font>
      <sz val="10"/>
      <name val="Calibri"/>
    </font>
    <font>
      <b/>
      <sz val="11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164" fontId="4" fillId="0" borderId="0" xfId="0" applyNumberFormat="1" applyFont="1" applyFill="1" applyAlignment="1">
      <alignment vertical="center" wrapText="1"/>
    </xf>
    <xf numFmtId="0" fontId="5" fillId="0" borderId="0" xfId="0" applyFont="1" applyFill="1" applyAlignment="1">
      <alignment horizontal="center" vertical="center" wrapText="1"/>
    </xf>
    <xf numFmtId="3" fontId="4" fillId="0" borderId="0" xfId="0" applyNumberFormat="1" applyFont="1" applyFill="1" applyAlignment="1">
      <alignment vertical="center" wrapText="1"/>
    </xf>
    <xf numFmtId="0" fontId="4" fillId="0" borderId="0" xfId="0" applyFont="1" applyAlignment="1">
      <alignment vertical="center"/>
    </xf>
    <xf numFmtId="37" fontId="4" fillId="0" borderId="0" xfId="1" applyNumberFormat="1" applyFont="1" applyAlignment="1">
      <alignment horizontal="center" vertical="center"/>
    </xf>
    <xf numFmtId="164" fontId="4" fillId="0" borderId="0" xfId="1" applyFont="1" applyAlignment="1">
      <alignment vertical="center"/>
    </xf>
    <xf numFmtId="164" fontId="4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7" borderId="0" xfId="0" applyFont="1" applyFill="1" applyAlignment="1">
      <alignment horizontal="left" vertical="center"/>
    </xf>
    <xf numFmtId="0" fontId="4" fillId="7" borderId="0" xfId="0" applyFont="1" applyFill="1" applyAlignment="1">
      <alignment vertical="center"/>
    </xf>
    <xf numFmtId="37" fontId="4" fillId="7" borderId="0" xfId="1" applyNumberFormat="1" applyFont="1" applyFill="1" applyAlignment="1">
      <alignment horizontal="center" vertical="center"/>
    </xf>
    <xf numFmtId="164" fontId="4" fillId="7" borderId="0" xfId="1" applyFont="1" applyFill="1" applyAlignment="1">
      <alignment vertical="center"/>
    </xf>
    <xf numFmtId="164" fontId="4" fillId="7" borderId="0" xfId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37" fontId="5" fillId="0" borderId="2" xfId="1" applyNumberFormat="1" applyFont="1" applyBorder="1" applyAlignment="1">
      <alignment horizontal="center" vertical="center" wrapText="1"/>
    </xf>
    <xf numFmtId="164" fontId="5" fillId="0" borderId="2" xfId="1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4" fillId="0" borderId="0" xfId="1" applyFont="1" applyFill="1" applyAlignment="1">
      <alignment vertical="center"/>
    </xf>
    <xf numFmtId="164" fontId="4" fillId="0" borderId="0" xfId="1" applyFont="1" applyFill="1" applyAlignment="1">
      <alignment horizontal="center" vertical="center"/>
    </xf>
    <xf numFmtId="37" fontId="4" fillId="0" borderId="0" xfId="1" applyNumberFormat="1" applyFont="1" applyFill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14" fontId="4" fillId="0" borderId="0" xfId="1" applyNumberFormat="1" applyFont="1" applyAlignment="1">
      <alignment vertical="center"/>
    </xf>
    <xf numFmtId="14" fontId="4" fillId="0" borderId="0" xfId="1" applyNumberFormat="1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164" fontId="4" fillId="0" borderId="0" xfId="1" applyFont="1" applyAlignment="1">
      <alignment horizontal="left" vertical="center"/>
    </xf>
    <xf numFmtId="0" fontId="4" fillId="0" borderId="0" xfId="0" applyFont="1" applyFill="1" applyAlignment="1">
      <alignment vertical="center"/>
    </xf>
    <xf numFmtId="0" fontId="7" fillId="0" borderId="0" xfId="0" applyFont="1" applyBorder="1" applyAlignment="1">
      <alignment vertical="center"/>
    </xf>
    <xf numFmtId="0" fontId="3" fillId="0" borderId="0" xfId="0" applyFont="1" applyFill="1" applyAlignment="1" applyProtection="1">
      <alignment vertical="center"/>
    </xf>
    <xf numFmtId="0" fontId="4" fillId="0" borderId="0" xfId="0" applyFont="1" applyFill="1" applyAlignment="1" applyProtection="1">
      <alignment vertical="center" wrapText="1"/>
    </xf>
    <xf numFmtId="0" fontId="3" fillId="0" borderId="0" xfId="0" applyFont="1" applyFill="1" applyAlignment="1" applyProtection="1">
      <alignment horizontal="left" vertical="center"/>
    </xf>
    <xf numFmtId="0" fontId="5" fillId="0" borderId="6" xfId="0" applyFont="1" applyFill="1" applyBorder="1" applyAlignment="1" applyProtection="1">
      <alignment horizontal="center" vertical="center" wrapText="1"/>
    </xf>
    <xf numFmtId="0" fontId="5" fillId="2" borderId="6" xfId="0" applyFont="1" applyFill="1" applyBorder="1" applyAlignment="1" applyProtection="1">
      <alignment horizontal="center" vertical="center" wrapText="1"/>
    </xf>
    <xf numFmtId="0" fontId="5" fillId="3" borderId="6" xfId="0" applyFont="1" applyFill="1" applyBorder="1" applyAlignment="1" applyProtection="1">
      <alignment horizontal="center" vertical="center" wrapText="1"/>
    </xf>
    <xf numFmtId="0" fontId="6" fillId="4" borderId="6" xfId="0" applyFont="1" applyFill="1" applyBorder="1" applyAlignment="1" applyProtection="1">
      <alignment horizontal="center" vertical="center" wrapText="1"/>
    </xf>
    <xf numFmtId="0" fontId="5" fillId="4" borderId="6" xfId="0" applyFont="1" applyFill="1" applyBorder="1" applyAlignment="1" applyProtection="1">
      <alignment horizontal="center" vertical="center" wrapText="1"/>
    </xf>
    <xf numFmtId="0" fontId="5" fillId="0" borderId="0" xfId="0" applyFont="1" applyFill="1" applyAlignment="1" applyProtection="1">
      <alignment vertical="center" wrapText="1"/>
    </xf>
    <xf numFmtId="164" fontId="4" fillId="0" borderId="0" xfId="1" applyFont="1" applyFill="1" applyAlignment="1" applyProtection="1">
      <alignment horizontal="left" vertical="center" wrapText="1"/>
    </xf>
    <xf numFmtId="164" fontId="4" fillId="0" borderId="0" xfId="1" applyFont="1" applyFill="1" applyAlignment="1" applyProtection="1">
      <alignment vertical="center" wrapText="1"/>
    </xf>
    <xf numFmtId="164" fontId="7" fillId="0" borderId="0" xfId="1" applyFont="1" applyFill="1" applyAlignment="1" applyProtection="1">
      <alignment vertical="center" wrapText="1"/>
    </xf>
    <xf numFmtId="0" fontId="4" fillId="0" borderId="2" xfId="0" applyFont="1" applyFill="1" applyBorder="1" applyAlignment="1" applyProtection="1">
      <alignment vertical="center" wrapText="1"/>
    </xf>
    <xf numFmtId="164" fontId="4" fillId="0" borderId="2" xfId="1" applyFont="1" applyFill="1" applyBorder="1" applyAlignment="1" applyProtection="1">
      <alignment horizontal="left" vertical="center" wrapText="1"/>
    </xf>
    <xf numFmtId="164" fontId="4" fillId="0" borderId="2" xfId="1" applyFont="1" applyFill="1" applyBorder="1" applyAlignment="1" applyProtection="1">
      <alignment vertical="center" wrapText="1"/>
    </xf>
    <xf numFmtId="164" fontId="5" fillId="0" borderId="0" xfId="1" applyFont="1" applyFill="1" applyAlignment="1" applyProtection="1">
      <alignment horizontal="left" vertical="center" wrapText="1"/>
    </xf>
    <xf numFmtId="164" fontId="4" fillId="0" borderId="0" xfId="1" applyFont="1" applyFill="1" applyBorder="1" applyAlignment="1" applyProtection="1">
      <alignment vertical="center" wrapText="1"/>
    </xf>
    <xf numFmtId="164" fontId="5" fillId="0" borderId="0" xfId="1" applyFont="1" applyFill="1" applyAlignment="1" applyProtection="1">
      <alignment vertical="center" wrapText="1"/>
    </xf>
    <xf numFmtId="164" fontId="7" fillId="0" borderId="2" xfId="1" applyFont="1" applyFill="1" applyBorder="1" applyAlignment="1" applyProtection="1">
      <alignment vertical="center" wrapText="1"/>
    </xf>
    <xf numFmtId="0" fontId="5" fillId="5" borderId="0" xfId="0" applyFont="1" applyFill="1" applyAlignment="1" applyProtection="1">
      <alignment vertical="center" wrapText="1"/>
    </xf>
    <xf numFmtId="164" fontId="5" fillId="5" borderId="0" xfId="1" applyFont="1" applyFill="1" applyAlignment="1" applyProtection="1">
      <alignment horizontal="left" vertical="center" wrapText="1"/>
    </xf>
    <xf numFmtId="164" fontId="4" fillId="0" borderId="2" xfId="0" applyNumberFormat="1" applyFont="1" applyBorder="1" applyAlignment="1" applyProtection="1">
      <alignment vertical="center" wrapText="1"/>
    </xf>
    <xf numFmtId="0" fontId="4" fillId="0" borderId="0" xfId="0" applyFont="1" applyFill="1" applyBorder="1" applyAlignment="1" applyProtection="1">
      <alignment vertical="center" wrapText="1"/>
    </xf>
    <xf numFmtId="0" fontId="5" fillId="0" borderId="4" xfId="0" applyFont="1" applyFill="1" applyBorder="1" applyAlignment="1" applyProtection="1">
      <alignment vertical="center" wrapText="1"/>
    </xf>
    <xf numFmtId="0" fontId="5" fillId="0" borderId="3" xfId="0" applyFont="1" applyFill="1" applyBorder="1" applyAlignment="1" applyProtection="1">
      <alignment vertical="center" wrapText="1"/>
    </xf>
    <xf numFmtId="0" fontId="4" fillId="0" borderId="5" xfId="0" applyFont="1" applyFill="1" applyBorder="1" applyAlignment="1" applyProtection="1">
      <alignment vertical="center" wrapText="1"/>
    </xf>
    <xf numFmtId="0" fontId="5" fillId="0" borderId="0" xfId="0" applyFont="1" applyFill="1" applyBorder="1" applyAlignment="1" applyProtection="1">
      <alignment vertical="center" wrapText="1"/>
    </xf>
    <xf numFmtId="164" fontId="5" fillId="0" borderId="0" xfId="0" applyNumberFormat="1" applyFont="1" applyFill="1" applyAlignment="1" applyProtection="1">
      <alignment vertical="center" wrapText="1"/>
    </xf>
    <xf numFmtId="0" fontId="5" fillId="8" borderId="7" xfId="0" applyFont="1" applyFill="1" applyBorder="1" applyAlignment="1" applyProtection="1">
      <alignment vertical="center" wrapText="1"/>
    </xf>
    <xf numFmtId="0" fontId="4" fillId="8" borderId="8" xfId="0" applyFont="1" applyFill="1" applyBorder="1" applyAlignment="1" applyProtection="1">
      <alignment vertical="center" wrapText="1"/>
    </xf>
    <xf numFmtId="164" fontId="5" fillId="8" borderId="8" xfId="1" applyFont="1" applyFill="1" applyBorder="1" applyAlignment="1" applyProtection="1">
      <alignment vertical="center" wrapText="1"/>
    </xf>
    <xf numFmtId="0" fontId="4" fillId="8" borderId="9" xfId="0" applyFont="1" applyFill="1" applyBorder="1" applyAlignment="1" applyProtection="1">
      <alignment vertical="center" wrapText="1"/>
    </xf>
    <xf numFmtId="0" fontId="5" fillId="0" borderId="7" xfId="0" applyFont="1" applyFill="1" applyBorder="1" applyAlignment="1" applyProtection="1">
      <alignment vertical="center" wrapText="1"/>
    </xf>
    <xf numFmtId="0" fontId="4" fillId="0" borderId="8" xfId="0" applyFont="1" applyFill="1" applyBorder="1" applyAlignment="1" applyProtection="1">
      <alignment vertical="center" wrapText="1"/>
    </xf>
    <xf numFmtId="164" fontId="5" fillId="0" borderId="8" xfId="1" applyFont="1" applyFill="1" applyBorder="1" applyAlignment="1" applyProtection="1">
      <alignment vertical="center" wrapText="1"/>
    </xf>
    <xf numFmtId="0" fontId="4" fillId="0" borderId="9" xfId="0" applyFont="1" applyFill="1" applyBorder="1" applyAlignment="1" applyProtection="1">
      <alignment vertical="center" wrapText="1"/>
    </xf>
    <xf numFmtId="0" fontId="5" fillId="0" borderId="10" xfId="0" applyFont="1" applyFill="1" applyBorder="1" applyAlignment="1" applyProtection="1">
      <alignment vertical="center" wrapText="1"/>
    </xf>
    <xf numFmtId="164" fontId="5" fillId="0" borderId="2" xfId="1" applyFont="1" applyFill="1" applyBorder="1" applyAlignment="1" applyProtection="1">
      <alignment vertical="center" wrapText="1"/>
    </xf>
    <xf numFmtId="0" fontId="4" fillId="0" borderId="11" xfId="0" applyFont="1" applyFill="1" applyBorder="1" applyAlignment="1" applyProtection="1">
      <alignment vertical="center" wrapText="1"/>
    </xf>
    <xf numFmtId="0" fontId="5" fillId="6" borderId="10" xfId="0" applyFont="1" applyFill="1" applyBorder="1" applyAlignment="1" applyProtection="1">
      <alignment vertical="center" wrapText="1"/>
    </xf>
    <xf numFmtId="0" fontId="5" fillId="6" borderId="2" xfId="0" applyFont="1" applyFill="1" applyBorder="1" applyAlignment="1" applyProtection="1">
      <alignment vertical="center" wrapText="1"/>
    </xf>
    <xf numFmtId="164" fontId="5" fillId="6" borderId="2" xfId="0" applyNumberFormat="1" applyFont="1" applyFill="1" applyBorder="1" applyAlignment="1" applyProtection="1">
      <alignment vertical="center" wrapText="1"/>
    </xf>
    <xf numFmtId="0" fontId="5" fillId="6" borderId="11" xfId="0" applyFont="1" applyFill="1" applyBorder="1" applyAlignment="1" applyProtection="1">
      <alignment vertical="center" wrapText="1"/>
    </xf>
    <xf numFmtId="0" fontId="4" fillId="0" borderId="0" xfId="0" applyFont="1" applyFill="1" applyAlignment="1" applyProtection="1">
      <alignment horizontal="center" vertical="center" wrapText="1"/>
      <protection locked="0"/>
    </xf>
    <xf numFmtId="164" fontId="5" fillId="0" borderId="3" xfId="1" applyNumberFormat="1" applyFont="1" applyFill="1" applyBorder="1" applyAlignment="1" applyProtection="1">
      <alignment horizontal="right" vertical="center" wrapText="1"/>
    </xf>
    <xf numFmtId="164" fontId="5" fillId="0" borderId="3" xfId="1" applyFont="1" applyFill="1" applyBorder="1" applyAlignment="1" applyProtection="1">
      <alignment vertical="center" wrapText="1"/>
    </xf>
    <xf numFmtId="0" fontId="8" fillId="0" borderId="0" xfId="0" applyFont="1"/>
    <xf numFmtId="164" fontId="0" fillId="0" borderId="0" xfId="1" applyFont="1"/>
    <xf numFmtId="164" fontId="0" fillId="0" borderId="0" xfId="0" applyNumberFormat="1"/>
    <xf numFmtId="0" fontId="8" fillId="0" borderId="0" xfId="0" applyFont="1" applyAlignment="1">
      <alignment horizontal="center"/>
    </xf>
    <xf numFmtId="164" fontId="5" fillId="0" borderId="3" xfId="1" applyFont="1" applyFill="1" applyBorder="1" applyAlignment="1" applyProtection="1">
      <alignment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vertical="center" wrapText="1"/>
    </xf>
    <xf numFmtId="164" fontId="5" fillId="0" borderId="0" xfId="1" applyFont="1" applyFill="1" applyAlignment="1" applyProtection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U62"/>
  <sheetViews>
    <sheetView tabSelected="1" zoomScaleNormal="90" zoomScalePageLayoutView="90" workbookViewId="0">
      <pane ySplit="4" topLeftCell="A21" activePane="bottomLeft" state="frozen"/>
      <selection pane="bottomLeft" activeCell="B31" sqref="B31"/>
    </sheetView>
  </sheetViews>
  <sheetFormatPr baseColWidth="10" defaultColWidth="8.83203125" defaultRowHeight="14" customHeight="1"/>
  <cols>
    <col min="1" max="1" width="25.6640625" style="2" customWidth="1"/>
    <col min="2" max="2" width="34.83203125" style="2" bestFit="1" customWidth="1"/>
    <col min="3" max="3" width="10.5" style="2" bestFit="1" customWidth="1"/>
    <col min="4" max="4" width="11.83203125" style="2" bestFit="1" customWidth="1"/>
    <col min="5" max="5" width="10.1640625" style="2" customWidth="1"/>
    <col min="6" max="7" width="8.83203125" style="2" bestFit="1"/>
    <col min="8" max="8" width="10.5" style="2" bestFit="1" customWidth="1"/>
    <col min="9" max="12" width="9.6640625" style="2" bestFit="1" customWidth="1"/>
    <col min="13" max="13" width="10.5" style="2" bestFit="1" customWidth="1"/>
    <col min="14" max="16" width="8.83203125" style="2" bestFit="1"/>
    <col min="17" max="17" width="11.6640625" style="2" bestFit="1" customWidth="1"/>
    <col min="18" max="18" width="10.6640625" style="2" bestFit="1" customWidth="1"/>
    <col min="19" max="19" width="4.1640625" style="2" customWidth="1"/>
    <col min="20" max="20" width="7" style="2" bestFit="1" customWidth="1"/>
    <col min="21" max="21" width="22.6640625" style="2" bestFit="1" customWidth="1"/>
    <col min="22" max="16384" width="8.83203125" style="2"/>
  </cols>
  <sheetData>
    <row r="1" spans="1:19" ht="30">
      <c r="A1" s="40" t="s">
        <v>102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</row>
    <row r="2" spans="1:19" ht="30">
      <c r="A2" s="42" t="s">
        <v>101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19" ht="14" customHeight="1">
      <c r="A3" s="41"/>
      <c r="B3" s="41"/>
      <c r="C3" s="41"/>
      <c r="D3" s="91" t="s">
        <v>193</v>
      </c>
      <c r="E3" s="91"/>
      <c r="F3" s="91"/>
      <c r="G3" s="91"/>
      <c r="H3" s="92"/>
      <c r="I3" s="91" t="s">
        <v>194</v>
      </c>
      <c r="J3" s="91"/>
      <c r="K3" s="91"/>
      <c r="L3" s="91"/>
      <c r="M3" s="92"/>
      <c r="N3" s="91" t="s">
        <v>197</v>
      </c>
      <c r="O3" s="91"/>
      <c r="P3" s="91"/>
      <c r="Q3" s="91"/>
      <c r="R3" s="92"/>
    </row>
    <row r="4" spans="1:19" ht="43" thickBot="1">
      <c r="A4" s="43" t="s">
        <v>122</v>
      </c>
      <c r="B4" s="43" t="s">
        <v>35</v>
      </c>
      <c r="C4" s="43" t="s">
        <v>204</v>
      </c>
      <c r="D4" s="44" t="s">
        <v>123</v>
      </c>
      <c r="E4" s="44" t="s">
        <v>53</v>
      </c>
      <c r="F4" s="44" t="s">
        <v>186</v>
      </c>
      <c r="G4" s="44" t="s">
        <v>187</v>
      </c>
      <c r="H4" s="44" t="s">
        <v>124</v>
      </c>
      <c r="I4" s="45" t="s">
        <v>188</v>
      </c>
      <c r="J4" s="45" t="s">
        <v>189</v>
      </c>
      <c r="K4" s="45" t="s">
        <v>190</v>
      </c>
      <c r="L4" s="45" t="s">
        <v>191</v>
      </c>
      <c r="M4" s="45" t="s">
        <v>125</v>
      </c>
      <c r="N4" s="46" t="s">
        <v>192</v>
      </c>
      <c r="O4" s="47" t="s">
        <v>195</v>
      </c>
      <c r="P4" s="47" t="s">
        <v>196</v>
      </c>
      <c r="Q4" s="47" t="s">
        <v>126</v>
      </c>
      <c r="R4" s="47" t="s">
        <v>127</v>
      </c>
    </row>
    <row r="5" spans="1:19" ht="14" customHeight="1">
      <c r="A5" s="48" t="s">
        <v>201</v>
      </c>
      <c r="B5" s="41" t="s">
        <v>36</v>
      </c>
      <c r="C5" s="49">
        <f>SUM(D5:R5)</f>
        <v>6000</v>
      </c>
      <c r="D5" s="50">
        <v>0</v>
      </c>
      <c r="E5" s="50">
        <v>0</v>
      </c>
      <c r="F5" s="50">
        <v>0</v>
      </c>
      <c r="G5" s="50">
        <v>0</v>
      </c>
      <c r="H5" s="50">
        <v>3000</v>
      </c>
      <c r="I5" s="50">
        <v>0</v>
      </c>
      <c r="J5" s="50">
        <v>0</v>
      </c>
      <c r="K5" s="50">
        <v>0</v>
      </c>
      <c r="L5" s="50">
        <v>0</v>
      </c>
      <c r="M5" s="50">
        <v>3000</v>
      </c>
      <c r="N5" s="51">
        <v>0</v>
      </c>
      <c r="O5" s="50">
        <v>0</v>
      </c>
      <c r="P5" s="50">
        <v>0</v>
      </c>
      <c r="Q5" s="50">
        <v>0</v>
      </c>
      <c r="R5" s="50">
        <v>0</v>
      </c>
    </row>
    <row r="6" spans="1:19" ht="14" customHeight="1" thickBot="1">
      <c r="A6" s="41"/>
      <c r="B6" s="52" t="s">
        <v>37</v>
      </c>
      <c r="C6" s="53">
        <f>SUM(D6:Q6)</f>
        <v>6500</v>
      </c>
      <c r="D6" s="54">
        <v>0</v>
      </c>
      <c r="E6" s="54">
        <v>0</v>
      </c>
      <c r="F6" s="54">
        <v>0</v>
      </c>
      <c r="G6" s="54">
        <v>0</v>
      </c>
      <c r="H6" s="54">
        <v>0</v>
      </c>
      <c r="I6" s="54">
        <v>0</v>
      </c>
      <c r="J6" s="54">
        <v>0</v>
      </c>
      <c r="K6" s="54">
        <v>0</v>
      </c>
      <c r="L6" s="54">
        <v>0</v>
      </c>
      <c r="M6" s="54">
        <v>6500</v>
      </c>
      <c r="N6" s="54">
        <v>0</v>
      </c>
      <c r="O6" s="54">
        <v>0</v>
      </c>
      <c r="P6" s="54">
        <v>0</v>
      </c>
      <c r="Q6" s="54">
        <v>0</v>
      </c>
      <c r="R6" s="54">
        <v>0</v>
      </c>
    </row>
    <row r="7" spans="1:19" ht="14" customHeight="1">
      <c r="A7" s="41"/>
      <c r="B7" s="48" t="s">
        <v>128</v>
      </c>
      <c r="C7" s="55">
        <f>SUM(C5:C6)</f>
        <v>12500</v>
      </c>
      <c r="D7" s="55">
        <f t="shared" ref="D7:Q7" si="0">SUM(D5:D6)</f>
        <v>0</v>
      </c>
      <c r="E7" s="55">
        <f t="shared" si="0"/>
        <v>0</v>
      </c>
      <c r="F7" s="55">
        <f t="shared" si="0"/>
        <v>0</v>
      </c>
      <c r="G7" s="55">
        <f t="shared" si="0"/>
        <v>0</v>
      </c>
      <c r="H7" s="55">
        <f>SUM(H5:H6)</f>
        <v>3000</v>
      </c>
      <c r="I7" s="55">
        <f t="shared" si="0"/>
        <v>0</v>
      </c>
      <c r="J7" s="55">
        <f t="shared" si="0"/>
        <v>0</v>
      </c>
      <c r="K7" s="55">
        <f t="shared" si="0"/>
        <v>0</v>
      </c>
      <c r="L7" s="55">
        <f t="shared" si="0"/>
        <v>0</v>
      </c>
      <c r="M7" s="55">
        <f>SUM(M5:M6)</f>
        <v>9500</v>
      </c>
      <c r="N7" s="55">
        <f t="shared" si="0"/>
        <v>0</v>
      </c>
      <c r="O7" s="55">
        <f t="shared" si="0"/>
        <v>0</v>
      </c>
      <c r="P7" s="55">
        <f t="shared" si="0"/>
        <v>0</v>
      </c>
      <c r="Q7" s="55">
        <f t="shared" si="0"/>
        <v>0</v>
      </c>
      <c r="R7" s="55">
        <f>SUM(R5:R6)</f>
        <v>0</v>
      </c>
    </row>
    <row r="8" spans="1:19" ht="14" customHeight="1">
      <c r="A8" s="41"/>
      <c r="B8" s="41"/>
      <c r="C8" s="55"/>
      <c r="D8" s="50"/>
      <c r="E8" s="50"/>
      <c r="F8" s="50"/>
      <c r="G8" s="50"/>
      <c r="H8" s="50"/>
      <c r="I8" s="50"/>
      <c r="J8" s="50"/>
      <c r="K8" s="50"/>
      <c r="L8" s="50"/>
      <c r="M8" s="50"/>
      <c r="N8" s="51"/>
      <c r="O8" s="50"/>
      <c r="P8" s="50"/>
      <c r="Q8" s="50"/>
      <c r="R8" s="50"/>
    </row>
    <row r="9" spans="1:19" ht="14" customHeight="1">
      <c r="A9" s="48" t="s">
        <v>202</v>
      </c>
      <c r="B9" s="41" t="s">
        <v>38</v>
      </c>
      <c r="C9" s="49">
        <f>SUM(D9:Q9)</f>
        <v>4000</v>
      </c>
      <c r="D9" s="50">
        <v>0</v>
      </c>
      <c r="E9" s="50">
        <v>0</v>
      </c>
      <c r="F9" s="50">
        <v>0</v>
      </c>
      <c r="G9" s="50">
        <v>0</v>
      </c>
      <c r="H9" s="50">
        <v>4000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6">
        <v>0</v>
      </c>
      <c r="S9" s="3"/>
    </row>
    <row r="10" spans="1:19" ht="14" customHeight="1" thickBot="1">
      <c r="A10" s="41"/>
      <c r="B10" s="52" t="s">
        <v>129</v>
      </c>
      <c r="C10" s="53">
        <f>SUM(D10:Q10)</f>
        <v>2500</v>
      </c>
      <c r="D10" s="54">
        <v>0</v>
      </c>
      <c r="E10" s="54">
        <v>0</v>
      </c>
      <c r="F10" s="54">
        <v>0</v>
      </c>
      <c r="G10" s="54">
        <v>0</v>
      </c>
      <c r="H10" s="54">
        <v>0</v>
      </c>
      <c r="I10" s="54">
        <v>0</v>
      </c>
      <c r="J10" s="54">
        <v>0</v>
      </c>
      <c r="K10" s="54">
        <v>0</v>
      </c>
      <c r="L10" s="54">
        <v>0</v>
      </c>
      <c r="M10" s="54">
        <v>2500</v>
      </c>
      <c r="N10" s="54">
        <v>0</v>
      </c>
      <c r="O10" s="54">
        <v>0</v>
      </c>
      <c r="P10" s="54">
        <v>0</v>
      </c>
      <c r="Q10" s="54">
        <v>0</v>
      </c>
      <c r="R10" s="54">
        <v>0</v>
      </c>
    </row>
    <row r="11" spans="1:19" ht="14" customHeight="1">
      <c r="A11" s="41"/>
      <c r="B11" s="48" t="s">
        <v>12</v>
      </c>
      <c r="C11" s="55">
        <f>SUM(C9:C10)</f>
        <v>6500</v>
      </c>
      <c r="D11" s="57">
        <f t="shared" ref="D11:Q11" si="1">SUM(D9:D10)</f>
        <v>0</v>
      </c>
      <c r="E11" s="57">
        <f t="shared" si="1"/>
        <v>0</v>
      </c>
      <c r="F11" s="57">
        <f t="shared" si="1"/>
        <v>0</v>
      </c>
      <c r="G11" s="57">
        <f t="shared" si="1"/>
        <v>0</v>
      </c>
      <c r="H11" s="55">
        <f>SUM(H9:H10)</f>
        <v>4000</v>
      </c>
      <c r="I11" s="57">
        <f t="shared" si="1"/>
        <v>0</v>
      </c>
      <c r="J11" s="57">
        <f t="shared" si="1"/>
        <v>0</v>
      </c>
      <c r="K11" s="57">
        <f t="shared" si="1"/>
        <v>0</v>
      </c>
      <c r="L11" s="57">
        <f t="shared" si="1"/>
        <v>0</v>
      </c>
      <c r="M11" s="55">
        <f>SUM(M9:M10)</f>
        <v>2500</v>
      </c>
      <c r="N11" s="57">
        <f t="shared" si="1"/>
        <v>0</v>
      </c>
      <c r="O11" s="57">
        <f t="shared" si="1"/>
        <v>0</v>
      </c>
      <c r="P11" s="57">
        <f t="shared" si="1"/>
        <v>0</v>
      </c>
      <c r="Q11" s="57">
        <f t="shared" si="1"/>
        <v>0</v>
      </c>
      <c r="R11" s="57">
        <f>SUM(R9:R10)</f>
        <v>0</v>
      </c>
    </row>
    <row r="12" spans="1:19" ht="14" customHeight="1">
      <c r="A12" s="41"/>
      <c r="B12" s="48"/>
      <c r="C12" s="5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1"/>
      <c r="O12" s="50"/>
      <c r="P12" s="50"/>
      <c r="Q12" s="50"/>
      <c r="R12" s="50"/>
    </row>
    <row r="13" spans="1:19" ht="14" customHeight="1">
      <c r="A13" s="48" t="s">
        <v>203</v>
      </c>
      <c r="B13" s="41" t="s">
        <v>137</v>
      </c>
      <c r="C13" s="49">
        <f t="shared" ref="C13:C43" si="2">SUM(D13:R13)</f>
        <v>900</v>
      </c>
      <c r="D13" s="50">
        <v>0</v>
      </c>
      <c r="E13" s="50">
        <v>0</v>
      </c>
      <c r="F13" s="50">
        <v>0</v>
      </c>
      <c r="G13" s="50">
        <v>0</v>
      </c>
      <c r="H13" s="50">
        <v>450</v>
      </c>
      <c r="I13" s="50">
        <v>0</v>
      </c>
      <c r="J13" s="50">
        <v>0</v>
      </c>
      <c r="K13" s="50">
        <v>0</v>
      </c>
      <c r="L13" s="50">
        <v>0</v>
      </c>
      <c r="M13" s="50">
        <v>450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</row>
    <row r="14" spans="1:19" ht="14" customHeight="1" thickBot="1">
      <c r="A14" s="41"/>
      <c r="B14" s="52" t="s">
        <v>138</v>
      </c>
      <c r="C14" s="53">
        <f t="shared" si="2"/>
        <v>1200</v>
      </c>
      <c r="D14" s="54">
        <v>0</v>
      </c>
      <c r="E14" s="54">
        <v>0</v>
      </c>
      <c r="F14" s="54">
        <v>0</v>
      </c>
      <c r="G14" s="54">
        <v>0</v>
      </c>
      <c r="H14" s="54">
        <v>0</v>
      </c>
      <c r="I14" s="54"/>
      <c r="J14" s="54"/>
      <c r="K14" s="54"/>
      <c r="L14" s="54"/>
      <c r="M14" s="54">
        <v>1200</v>
      </c>
      <c r="N14" s="58">
        <v>0</v>
      </c>
      <c r="O14" s="54">
        <v>0</v>
      </c>
      <c r="P14" s="54">
        <v>0</v>
      </c>
      <c r="Q14" s="54">
        <v>0</v>
      </c>
      <c r="R14" s="54">
        <v>0</v>
      </c>
    </row>
    <row r="15" spans="1:19" ht="14" customHeight="1">
      <c r="A15" s="41"/>
      <c r="B15" s="48" t="s">
        <v>139</v>
      </c>
      <c r="C15" s="55">
        <f>SUM(C13:C14)</f>
        <v>2100</v>
      </c>
      <c r="D15" s="57">
        <f t="shared" ref="D15:Q15" si="3">SUM(D13:D14)</f>
        <v>0</v>
      </c>
      <c r="E15" s="57">
        <f t="shared" si="3"/>
        <v>0</v>
      </c>
      <c r="F15" s="57">
        <f t="shared" si="3"/>
        <v>0</v>
      </c>
      <c r="G15" s="57">
        <f t="shared" si="3"/>
        <v>0</v>
      </c>
      <c r="H15" s="55">
        <f>SUM(H13:H14)</f>
        <v>450</v>
      </c>
      <c r="I15" s="57">
        <f t="shared" si="3"/>
        <v>0</v>
      </c>
      <c r="J15" s="57">
        <f t="shared" si="3"/>
        <v>0</v>
      </c>
      <c r="K15" s="57">
        <f t="shared" si="3"/>
        <v>0</v>
      </c>
      <c r="L15" s="57">
        <f t="shared" si="3"/>
        <v>0</v>
      </c>
      <c r="M15" s="55">
        <f>SUM(M13:M14)</f>
        <v>1650</v>
      </c>
      <c r="N15" s="57">
        <f t="shared" si="3"/>
        <v>0</v>
      </c>
      <c r="O15" s="57">
        <f t="shared" si="3"/>
        <v>0</v>
      </c>
      <c r="P15" s="57">
        <f t="shared" si="3"/>
        <v>0</v>
      </c>
      <c r="Q15" s="57">
        <f t="shared" si="3"/>
        <v>0</v>
      </c>
      <c r="R15" s="57">
        <f>SUM(R13:R14)</f>
        <v>0</v>
      </c>
    </row>
    <row r="16" spans="1:19" ht="14" customHeight="1">
      <c r="A16" s="41"/>
      <c r="B16" s="48"/>
      <c r="C16" s="55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1"/>
      <c r="O16" s="50"/>
      <c r="P16" s="50"/>
      <c r="Q16" s="50"/>
      <c r="R16" s="50"/>
    </row>
    <row r="17" spans="1:21" ht="14" customHeight="1">
      <c r="A17" s="48" t="s">
        <v>205</v>
      </c>
      <c r="B17" s="41" t="s">
        <v>140</v>
      </c>
      <c r="C17" s="49">
        <f t="shared" si="2"/>
        <v>700</v>
      </c>
      <c r="D17" s="50">
        <v>0</v>
      </c>
      <c r="E17" s="50">
        <v>0</v>
      </c>
      <c r="F17" s="50">
        <v>0</v>
      </c>
      <c r="G17" s="50">
        <v>0</v>
      </c>
      <c r="H17" s="50">
        <v>350</v>
      </c>
      <c r="I17" s="50">
        <v>0</v>
      </c>
      <c r="J17" s="50">
        <v>0</v>
      </c>
      <c r="K17" s="50">
        <v>0</v>
      </c>
      <c r="L17" s="50">
        <v>0</v>
      </c>
      <c r="M17" s="50">
        <v>350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</row>
    <row r="18" spans="1:21" ht="14" customHeight="1">
      <c r="A18" s="41"/>
      <c r="B18" s="41" t="s">
        <v>141</v>
      </c>
      <c r="C18" s="49">
        <f t="shared" si="2"/>
        <v>200</v>
      </c>
      <c r="D18" s="50">
        <v>0</v>
      </c>
      <c r="E18" s="50">
        <v>0</v>
      </c>
      <c r="F18" s="50">
        <v>0</v>
      </c>
      <c r="G18" s="50">
        <v>0</v>
      </c>
      <c r="H18" s="50">
        <v>100</v>
      </c>
      <c r="I18" s="50">
        <v>0</v>
      </c>
      <c r="J18" s="50">
        <v>0</v>
      </c>
      <c r="K18" s="50">
        <v>0</v>
      </c>
      <c r="L18" s="50">
        <v>0</v>
      </c>
      <c r="M18" s="50">
        <v>100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</row>
    <row r="19" spans="1:21" ht="14" customHeight="1" thickBot="1">
      <c r="A19" s="41"/>
      <c r="B19" s="52" t="s">
        <v>142</v>
      </c>
      <c r="C19" s="53">
        <f t="shared" si="2"/>
        <v>700</v>
      </c>
      <c r="D19" s="54">
        <v>0</v>
      </c>
      <c r="E19" s="54">
        <v>0</v>
      </c>
      <c r="F19" s="54">
        <v>0</v>
      </c>
      <c r="G19" s="54">
        <v>0</v>
      </c>
      <c r="H19" s="54">
        <v>0</v>
      </c>
      <c r="I19" s="54">
        <v>0</v>
      </c>
      <c r="J19" s="54">
        <v>0</v>
      </c>
      <c r="K19" s="54">
        <v>0</v>
      </c>
      <c r="L19" s="54">
        <v>0</v>
      </c>
      <c r="M19" s="54">
        <v>700</v>
      </c>
      <c r="N19" s="58">
        <v>0</v>
      </c>
      <c r="O19" s="54">
        <v>0</v>
      </c>
      <c r="P19" s="54">
        <v>0</v>
      </c>
      <c r="Q19" s="54">
        <v>0</v>
      </c>
      <c r="R19" s="54">
        <v>0</v>
      </c>
    </row>
    <row r="20" spans="1:21" ht="14" customHeight="1">
      <c r="A20" s="41"/>
      <c r="B20" s="48" t="s">
        <v>143</v>
      </c>
      <c r="C20" s="55">
        <f>SUM(C17:C19)</f>
        <v>1600</v>
      </c>
      <c r="D20" s="55">
        <f t="shared" ref="D20:R20" si="4">SUM(D17:D19)</f>
        <v>0</v>
      </c>
      <c r="E20" s="55">
        <f t="shared" si="4"/>
        <v>0</v>
      </c>
      <c r="F20" s="55">
        <f t="shared" si="4"/>
        <v>0</v>
      </c>
      <c r="G20" s="55">
        <f t="shared" si="4"/>
        <v>0</v>
      </c>
      <c r="H20" s="55">
        <f t="shared" si="4"/>
        <v>450</v>
      </c>
      <c r="I20" s="55">
        <f t="shared" si="4"/>
        <v>0</v>
      </c>
      <c r="J20" s="55">
        <f t="shared" si="4"/>
        <v>0</v>
      </c>
      <c r="K20" s="55">
        <f t="shared" si="4"/>
        <v>0</v>
      </c>
      <c r="L20" s="55">
        <f t="shared" si="4"/>
        <v>0</v>
      </c>
      <c r="M20" s="55">
        <f t="shared" si="4"/>
        <v>1150</v>
      </c>
      <c r="N20" s="55">
        <f t="shared" si="4"/>
        <v>0</v>
      </c>
      <c r="O20" s="55">
        <f t="shared" si="4"/>
        <v>0</v>
      </c>
      <c r="P20" s="55">
        <f t="shared" si="4"/>
        <v>0</v>
      </c>
      <c r="Q20" s="55">
        <f t="shared" si="4"/>
        <v>0</v>
      </c>
      <c r="R20" s="55">
        <f t="shared" si="4"/>
        <v>0</v>
      </c>
    </row>
    <row r="21" spans="1:21" ht="14" customHeight="1">
      <c r="A21" s="41"/>
      <c r="B21" s="48"/>
      <c r="C21" s="55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  <c r="O21" s="50"/>
      <c r="P21" s="50"/>
      <c r="Q21" s="50"/>
      <c r="R21" s="50"/>
    </row>
    <row r="22" spans="1:21" ht="14" customHeight="1" thickBot="1">
      <c r="A22" s="48" t="s">
        <v>206</v>
      </c>
      <c r="B22" s="52" t="s">
        <v>39</v>
      </c>
      <c r="C22" s="53">
        <v>50</v>
      </c>
      <c r="D22" s="54">
        <v>0</v>
      </c>
      <c r="E22" s="54">
        <v>0</v>
      </c>
      <c r="F22" s="54">
        <v>0</v>
      </c>
      <c r="G22" s="54">
        <v>0</v>
      </c>
      <c r="H22" s="54">
        <v>30</v>
      </c>
      <c r="I22" s="54">
        <v>0</v>
      </c>
      <c r="J22" s="54">
        <v>0</v>
      </c>
      <c r="K22" s="54">
        <v>0</v>
      </c>
      <c r="L22" s="54">
        <v>0</v>
      </c>
      <c r="M22" s="54">
        <v>30</v>
      </c>
      <c r="N22" s="58">
        <v>0</v>
      </c>
      <c r="O22" s="54">
        <v>0</v>
      </c>
      <c r="P22" s="54">
        <v>0</v>
      </c>
      <c r="Q22" s="54">
        <v>0</v>
      </c>
      <c r="R22" s="54">
        <v>0</v>
      </c>
    </row>
    <row r="23" spans="1:21" ht="14" customHeight="1">
      <c r="A23" s="48"/>
      <c r="B23" s="48" t="s">
        <v>144</v>
      </c>
      <c r="C23" s="55">
        <f>SUM(C22)</f>
        <v>50</v>
      </c>
      <c r="D23" s="57">
        <f t="shared" ref="D23:R23" si="5">SUM(D22)</f>
        <v>0</v>
      </c>
      <c r="E23" s="57">
        <f t="shared" si="5"/>
        <v>0</v>
      </c>
      <c r="F23" s="57">
        <f t="shared" si="5"/>
        <v>0</v>
      </c>
      <c r="G23" s="57">
        <f t="shared" si="5"/>
        <v>0</v>
      </c>
      <c r="H23" s="57">
        <f>SUM(H22)</f>
        <v>30</v>
      </c>
      <c r="I23" s="57">
        <f t="shared" si="5"/>
        <v>0</v>
      </c>
      <c r="J23" s="57">
        <f t="shared" si="5"/>
        <v>0</v>
      </c>
      <c r="K23" s="57">
        <f t="shared" si="5"/>
        <v>0</v>
      </c>
      <c r="L23" s="57">
        <f t="shared" si="5"/>
        <v>0</v>
      </c>
      <c r="M23" s="57">
        <f>SUM(M22)</f>
        <v>30</v>
      </c>
      <c r="N23" s="57">
        <f t="shared" si="5"/>
        <v>0</v>
      </c>
      <c r="O23" s="57">
        <f t="shared" si="5"/>
        <v>0</v>
      </c>
      <c r="P23" s="57">
        <f t="shared" si="5"/>
        <v>0</v>
      </c>
      <c r="Q23" s="57">
        <f t="shared" si="5"/>
        <v>0</v>
      </c>
      <c r="R23" s="57">
        <f t="shared" si="5"/>
        <v>0</v>
      </c>
    </row>
    <row r="24" spans="1:21" ht="14" customHeight="1">
      <c r="A24" s="48"/>
      <c r="B24" s="41"/>
      <c r="C24" s="55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1"/>
      <c r="O24" s="50"/>
      <c r="P24" s="50"/>
      <c r="Q24" s="50"/>
      <c r="R24" s="50"/>
    </row>
    <row r="25" spans="1:21" ht="14" customHeight="1">
      <c r="A25" s="59" t="s">
        <v>55</v>
      </c>
      <c r="B25" s="59" t="s">
        <v>134</v>
      </c>
      <c r="C25" s="60">
        <f>SUM(C23+C20+C15+C11+C7)</f>
        <v>22750</v>
      </c>
      <c r="D25" s="60">
        <f t="shared" ref="D25:R25" si="6">SUM(D23+D20+D15+D11+D7)</f>
        <v>0</v>
      </c>
      <c r="E25" s="60">
        <f t="shared" si="6"/>
        <v>0</v>
      </c>
      <c r="F25" s="60">
        <f t="shared" si="6"/>
        <v>0</v>
      </c>
      <c r="G25" s="60">
        <f t="shared" si="6"/>
        <v>0</v>
      </c>
      <c r="H25" s="60">
        <f t="shared" si="6"/>
        <v>7930</v>
      </c>
      <c r="I25" s="60">
        <f t="shared" si="6"/>
        <v>0</v>
      </c>
      <c r="J25" s="60">
        <f t="shared" si="6"/>
        <v>0</v>
      </c>
      <c r="K25" s="60">
        <f t="shared" si="6"/>
        <v>0</v>
      </c>
      <c r="L25" s="60">
        <f t="shared" si="6"/>
        <v>0</v>
      </c>
      <c r="M25" s="60">
        <f t="shared" si="6"/>
        <v>14830</v>
      </c>
      <c r="N25" s="60">
        <f t="shared" si="6"/>
        <v>0</v>
      </c>
      <c r="O25" s="60">
        <f t="shared" si="6"/>
        <v>0</v>
      </c>
      <c r="P25" s="60">
        <f t="shared" si="6"/>
        <v>0</v>
      </c>
      <c r="Q25" s="60">
        <f t="shared" si="6"/>
        <v>0</v>
      </c>
      <c r="R25" s="60">
        <f t="shared" si="6"/>
        <v>0</v>
      </c>
    </row>
    <row r="26" spans="1:21" ht="14" customHeight="1">
      <c r="A26" s="48"/>
      <c r="B26" s="48"/>
      <c r="C26" s="55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1"/>
      <c r="O26" s="50"/>
      <c r="P26" s="50"/>
      <c r="Q26" s="50"/>
      <c r="R26" s="41"/>
    </row>
    <row r="27" spans="1:21" ht="14" customHeight="1">
      <c r="A27" s="48" t="s">
        <v>50</v>
      </c>
      <c r="B27" s="41" t="s">
        <v>51</v>
      </c>
      <c r="C27" s="49">
        <f>SUM(D27:R27)</f>
        <v>1500</v>
      </c>
      <c r="D27" s="50">
        <v>125</v>
      </c>
      <c r="E27" s="50">
        <v>125</v>
      </c>
      <c r="F27" s="50">
        <v>125</v>
      </c>
      <c r="G27" s="50">
        <v>125</v>
      </c>
      <c r="H27" s="50">
        <v>0</v>
      </c>
      <c r="I27" s="50">
        <v>125</v>
      </c>
      <c r="J27" s="50">
        <v>125</v>
      </c>
      <c r="K27" s="50">
        <v>125</v>
      </c>
      <c r="L27" s="50">
        <v>125</v>
      </c>
      <c r="M27" s="50">
        <v>0</v>
      </c>
      <c r="N27" s="51">
        <v>125</v>
      </c>
      <c r="O27" s="50">
        <v>125</v>
      </c>
      <c r="P27" s="50">
        <v>125</v>
      </c>
      <c r="Q27" s="50">
        <v>125</v>
      </c>
      <c r="R27" s="50">
        <v>0</v>
      </c>
    </row>
    <row r="28" spans="1:21" ht="14" customHeight="1" thickBot="1">
      <c r="A28" s="41"/>
      <c r="B28" s="52" t="s">
        <v>54</v>
      </c>
      <c r="C28" s="53">
        <f>SUM(D28:R28)</f>
        <v>1125</v>
      </c>
      <c r="D28" s="54">
        <v>125</v>
      </c>
      <c r="E28" s="54">
        <v>125</v>
      </c>
      <c r="F28" s="54">
        <v>125</v>
      </c>
      <c r="G28" s="54">
        <v>125</v>
      </c>
      <c r="H28" s="54">
        <v>0</v>
      </c>
      <c r="I28" s="54">
        <v>125</v>
      </c>
      <c r="J28" s="54">
        <v>125</v>
      </c>
      <c r="K28" s="54">
        <v>125</v>
      </c>
      <c r="L28" s="54">
        <v>125</v>
      </c>
      <c r="M28" s="54">
        <v>0</v>
      </c>
      <c r="N28" s="54">
        <v>0</v>
      </c>
      <c r="O28" s="54">
        <v>0</v>
      </c>
      <c r="P28" s="54">
        <v>0</v>
      </c>
      <c r="Q28" s="54">
        <v>125</v>
      </c>
      <c r="R28" s="54">
        <v>0</v>
      </c>
    </row>
    <row r="29" spans="1:21" ht="14" customHeight="1">
      <c r="A29" s="41"/>
      <c r="B29" s="48" t="s">
        <v>135</v>
      </c>
      <c r="C29" s="55">
        <f>SUM(C27:C28)</f>
        <v>2625</v>
      </c>
      <c r="D29" s="55">
        <f t="shared" ref="D29:R29" si="7">SUM(D27:D28)</f>
        <v>250</v>
      </c>
      <c r="E29" s="55">
        <f t="shared" si="7"/>
        <v>250</v>
      </c>
      <c r="F29" s="55">
        <f t="shared" si="7"/>
        <v>250</v>
      </c>
      <c r="G29" s="55">
        <f t="shared" si="7"/>
        <v>250</v>
      </c>
      <c r="H29" s="55">
        <f t="shared" ref="H29" si="8">SUM(H27:H28)</f>
        <v>0</v>
      </c>
      <c r="I29" s="55">
        <f t="shared" si="7"/>
        <v>250</v>
      </c>
      <c r="J29" s="55">
        <f t="shared" si="7"/>
        <v>250</v>
      </c>
      <c r="K29" s="55">
        <f t="shared" si="7"/>
        <v>250</v>
      </c>
      <c r="L29" s="55">
        <f t="shared" si="7"/>
        <v>250</v>
      </c>
      <c r="M29" s="55">
        <f t="shared" ref="M29" si="9">SUM(M27:M28)</f>
        <v>0</v>
      </c>
      <c r="N29" s="55">
        <f t="shared" si="7"/>
        <v>125</v>
      </c>
      <c r="O29" s="55">
        <f t="shared" si="7"/>
        <v>125</v>
      </c>
      <c r="P29" s="55">
        <f t="shared" si="7"/>
        <v>125</v>
      </c>
      <c r="Q29" s="55">
        <f t="shared" si="7"/>
        <v>250</v>
      </c>
      <c r="R29" s="55">
        <f t="shared" si="7"/>
        <v>0</v>
      </c>
      <c r="U29" s="4"/>
    </row>
    <row r="30" spans="1:21" ht="14" customHeight="1">
      <c r="A30" s="41"/>
      <c r="B30" s="41"/>
      <c r="C30" s="55"/>
      <c r="D30" s="50"/>
      <c r="E30" s="50"/>
      <c r="F30" s="50"/>
      <c r="G30" s="50"/>
      <c r="H30" s="41"/>
      <c r="I30" s="50"/>
      <c r="J30" s="50"/>
      <c r="K30" s="50"/>
      <c r="L30" s="50"/>
      <c r="M30" s="41"/>
      <c r="N30" s="51"/>
      <c r="O30" s="50"/>
      <c r="P30" s="50"/>
      <c r="Q30" s="50"/>
      <c r="R30" s="41"/>
    </row>
    <row r="31" spans="1:21" ht="14" customHeight="1">
      <c r="A31" s="48" t="s">
        <v>136</v>
      </c>
      <c r="B31" s="41" t="s">
        <v>0</v>
      </c>
      <c r="C31" s="55">
        <f>SUM(D31:R31)</f>
        <v>55147.200000000004</v>
      </c>
      <c r="D31" s="57">
        <f>6893.4</f>
        <v>6893.4</v>
      </c>
      <c r="E31" s="57">
        <f>6893.4</f>
        <v>6893.4</v>
      </c>
      <c r="F31" s="57">
        <f t="shared" ref="F31:G31" si="10">6893.4</f>
        <v>6893.4</v>
      </c>
      <c r="G31" s="57">
        <f t="shared" si="10"/>
        <v>6893.4</v>
      </c>
      <c r="H31" s="57">
        <v>0</v>
      </c>
      <c r="I31" s="57">
        <f>6893.4</f>
        <v>6893.4</v>
      </c>
      <c r="J31" s="57">
        <f t="shared" ref="J31:L31" si="11">6893.4</f>
        <v>6893.4</v>
      </c>
      <c r="K31" s="57">
        <f t="shared" si="11"/>
        <v>6893.4</v>
      </c>
      <c r="L31" s="57">
        <f t="shared" si="11"/>
        <v>6893.4</v>
      </c>
      <c r="M31" s="57">
        <v>0</v>
      </c>
      <c r="N31" s="93" t="s">
        <v>133</v>
      </c>
      <c r="O31" s="93"/>
      <c r="P31" s="93"/>
      <c r="Q31" s="93"/>
      <c r="R31" s="57">
        <v>0</v>
      </c>
    </row>
    <row r="32" spans="1:21" ht="14" customHeight="1">
      <c r="A32" s="48"/>
      <c r="B32" s="41"/>
      <c r="C32" s="55"/>
      <c r="D32" s="50"/>
      <c r="E32" s="50"/>
      <c r="F32" s="50"/>
      <c r="G32" s="50"/>
      <c r="H32" s="41"/>
      <c r="I32" s="50"/>
      <c r="J32" s="50"/>
      <c r="K32" s="50"/>
      <c r="L32" s="50"/>
      <c r="M32" s="41"/>
      <c r="N32" s="51"/>
      <c r="O32" s="50"/>
      <c r="P32" s="50"/>
      <c r="Q32" s="50"/>
      <c r="R32" s="41"/>
    </row>
    <row r="33" spans="1:21" ht="14" customHeight="1">
      <c r="A33" s="48" t="s">
        <v>10</v>
      </c>
      <c r="B33" s="41" t="s">
        <v>1</v>
      </c>
      <c r="C33" s="49">
        <f>SUM(D33:R33)</f>
        <v>43387.5</v>
      </c>
      <c r="D33" s="50">
        <f>(T34+T35)*7.5*5*4</f>
        <v>6300</v>
      </c>
      <c r="E33" s="50">
        <f>(T34+T35)*7.5*5*4</f>
        <v>6300</v>
      </c>
      <c r="F33" s="50">
        <f>(T34+T35)*7.5*5*4</f>
        <v>6300</v>
      </c>
      <c r="G33" s="50">
        <f>(T34+T35)*7.5*5</f>
        <v>1575</v>
      </c>
      <c r="H33" s="50">
        <v>0</v>
      </c>
      <c r="I33" s="50">
        <f>(T34+T35+T36)*7.5*5*3</f>
        <v>5287.5</v>
      </c>
      <c r="J33" s="50">
        <f>(T34+T35+T36)*7.5*5*4</f>
        <v>7050</v>
      </c>
      <c r="K33" s="50">
        <f>(T34+T35+T36)*7.5*5*3</f>
        <v>5287.5</v>
      </c>
      <c r="L33" s="50">
        <f>(T34+T35+T36)*7.5*5*3</f>
        <v>5287.5</v>
      </c>
      <c r="M33" s="50">
        <v>0</v>
      </c>
      <c r="N33" s="56">
        <v>0</v>
      </c>
      <c r="O33" s="56">
        <v>0</v>
      </c>
      <c r="P33" s="56">
        <v>0</v>
      </c>
      <c r="Q33" s="56">
        <v>0</v>
      </c>
      <c r="R33" s="50">
        <v>0</v>
      </c>
      <c r="T33" s="5" t="s">
        <v>2</v>
      </c>
      <c r="U33" s="5" t="s">
        <v>3</v>
      </c>
    </row>
    <row r="34" spans="1:21" ht="14" customHeight="1" thickBot="1">
      <c r="A34" s="41"/>
      <c r="B34" s="52" t="s">
        <v>40</v>
      </c>
      <c r="C34" s="53">
        <f>SUM(D34:R34)</f>
        <v>4000</v>
      </c>
      <c r="D34" s="54">
        <f>T37*5*5*4</f>
        <v>600</v>
      </c>
      <c r="E34" s="54">
        <f>T37*5*5*4</f>
        <v>600</v>
      </c>
      <c r="F34" s="54">
        <f>T37*5*5*4</f>
        <v>600</v>
      </c>
      <c r="G34" s="54">
        <f>T37*5*5*4</f>
        <v>600</v>
      </c>
      <c r="H34" s="54">
        <v>0</v>
      </c>
      <c r="I34" s="61">
        <f>T38*5*5*4</f>
        <v>400</v>
      </c>
      <c r="J34" s="61">
        <f>T38*5*5*4</f>
        <v>400</v>
      </c>
      <c r="K34" s="54">
        <f>T38*5*5*4</f>
        <v>400</v>
      </c>
      <c r="L34" s="54">
        <f>T38*5*5*4</f>
        <v>400</v>
      </c>
      <c r="M34" s="54">
        <v>0</v>
      </c>
      <c r="N34" s="54">
        <v>0</v>
      </c>
      <c r="O34" s="54">
        <v>0</v>
      </c>
      <c r="P34" s="54">
        <v>0</v>
      </c>
      <c r="Q34" s="54">
        <v>0</v>
      </c>
      <c r="R34" s="54">
        <v>0</v>
      </c>
      <c r="T34" s="83">
        <v>30</v>
      </c>
      <c r="U34" s="2" t="s">
        <v>41</v>
      </c>
    </row>
    <row r="35" spans="1:21" ht="14" customHeight="1">
      <c r="A35" s="41"/>
      <c r="B35" s="48" t="s">
        <v>42</v>
      </c>
      <c r="C35" s="55">
        <f>SUM(C33:C34)</f>
        <v>47387.5</v>
      </c>
      <c r="D35" s="55">
        <f t="shared" ref="D35:Q35" si="12">SUM(D33:D34)</f>
        <v>6900</v>
      </c>
      <c r="E35" s="55">
        <f t="shared" si="12"/>
        <v>6900</v>
      </c>
      <c r="F35" s="55">
        <f t="shared" si="12"/>
        <v>6900</v>
      </c>
      <c r="G35" s="55">
        <f t="shared" si="12"/>
        <v>2175</v>
      </c>
      <c r="H35" s="55">
        <f t="shared" si="12"/>
        <v>0</v>
      </c>
      <c r="I35" s="55">
        <f t="shared" si="12"/>
        <v>5687.5</v>
      </c>
      <c r="J35" s="55">
        <f t="shared" si="12"/>
        <v>7450</v>
      </c>
      <c r="K35" s="55">
        <f t="shared" si="12"/>
        <v>5687.5</v>
      </c>
      <c r="L35" s="55">
        <f t="shared" si="12"/>
        <v>5687.5</v>
      </c>
      <c r="M35" s="55">
        <f t="shared" si="12"/>
        <v>0</v>
      </c>
      <c r="N35" s="55">
        <f t="shared" si="12"/>
        <v>0</v>
      </c>
      <c r="O35" s="55">
        <f t="shared" si="12"/>
        <v>0</v>
      </c>
      <c r="P35" s="55">
        <f t="shared" si="12"/>
        <v>0</v>
      </c>
      <c r="Q35" s="55">
        <f t="shared" si="12"/>
        <v>0</v>
      </c>
      <c r="R35" s="55">
        <f t="shared" ref="R35" si="13">SUM(R33:R34)</f>
        <v>0</v>
      </c>
      <c r="T35" s="83">
        <v>12</v>
      </c>
      <c r="U35" s="2" t="s">
        <v>43</v>
      </c>
    </row>
    <row r="36" spans="1:21" ht="14" customHeight="1">
      <c r="A36" s="48"/>
      <c r="B36" s="48"/>
      <c r="C36" s="55"/>
      <c r="D36" s="50"/>
      <c r="E36" s="50"/>
      <c r="F36" s="50"/>
      <c r="G36" s="50"/>
      <c r="H36" s="41"/>
      <c r="I36" s="50"/>
      <c r="J36" s="50"/>
      <c r="K36" s="50"/>
      <c r="L36" s="50"/>
      <c r="M36" s="41"/>
      <c r="N36" s="51"/>
      <c r="O36" s="50"/>
      <c r="P36" s="50"/>
      <c r="Q36" s="50"/>
      <c r="R36" s="41"/>
      <c r="T36" s="83">
        <v>5</v>
      </c>
      <c r="U36" s="2" t="s">
        <v>44</v>
      </c>
    </row>
    <row r="37" spans="1:21" ht="14" customHeight="1">
      <c r="A37" s="48" t="s">
        <v>45</v>
      </c>
      <c r="B37" s="41" t="s">
        <v>69</v>
      </c>
      <c r="C37" s="49">
        <f>SUM(D37:R37)</f>
        <v>1500</v>
      </c>
      <c r="D37" s="50">
        <v>125</v>
      </c>
      <c r="E37" s="50">
        <v>125</v>
      </c>
      <c r="F37" s="50">
        <v>125</v>
      </c>
      <c r="G37" s="50">
        <v>125</v>
      </c>
      <c r="H37" s="50">
        <v>0</v>
      </c>
      <c r="I37" s="50">
        <v>125</v>
      </c>
      <c r="J37" s="50">
        <v>125</v>
      </c>
      <c r="K37" s="50">
        <v>125</v>
      </c>
      <c r="L37" s="50">
        <v>125</v>
      </c>
      <c r="M37" s="50">
        <v>0</v>
      </c>
      <c r="N37" s="50">
        <v>125</v>
      </c>
      <c r="O37" s="50">
        <v>125</v>
      </c>
      <c r="P37" s="50">
        <v>125</v>
      </c>
      <c r="Q37" s="50">
        <v>125</v>
      </c>
      <c r="R37" s="50">
        <v>0</v>
      </c>
      <c r="T37" s="83">
        <v>6</v>
      </c>
      <c r="U37" s="2" t="s">
        <v>99</v>
      </c>
    </row>
    <row r="38" spans="1:21" ht="14" customHeight="1">
      <c r="A38" s="41"/>
      <c r="B38" s="41" t="s">
        <v>210</v>
      </c>
      <c r="C38" s="49">
        <f t="shared" si="2"/>
        <v>636</v>
      </c>
      <c r="D38" s="50">
        <v>53</v>
      </c>
      <c r="E38" s="50">
        <v>53</v>
      </c>
      <c r="F38" s="50">
        <v>53</v>
      </c>
      <c r="G38" s="50">
        <v>53</v>
      </c>
      <c r="H38" s="50">
        <v>0</v>
      </c>
      <c r="I38" s="50">
        <v>53</v>
      </c>
      <c r="J38" s="50">
        <v>53</v>
      </c>
      <c r="K38" s="50">
        <v>53</v>
      </c>
      <c r="L38" s="50">
        <v>53</v>
      </c>
      <c r="M38" s="50">
        <v>0</v>
      </c>
      <c r="N38" s="50">
        <v>53</v>
      </c>
      <c r="O38" s="50">
        <v>53</v>
      </c>
      <c r="P38" s="50">
        <v>53</v>
      </c>
      <c r="Q38" s="50">
        <v>53</v>
      </c>
      <c r="R38" s="50">
        <v>0</v>
      </c>
      <c r="T38" s="83">
        <v>4</v>
      </c>
      <c r="U38" s="2" t="s">
        <v>100</v>
      </c>
    </row>
    <row r="39" spans="1:21" ht="14" customHeight="1">
      <c r="A39" s="41"/>
      <c r="B39" s="41" t="s">
        <v>212</v>
      </c>
      <c r="C39" s="49">
        <f t="shared" si="2"/>
        <v>1860</v>
      </c>
      <c r="D39" s="50">
        <v>155</v>
      </c>
      <c r="E39" s="50">
        <v>155</v>
      </c>
      <c r="F39" s="50">
        <v>155</v>
      </c>
      <c r="G39" s="50">
        <v>155</v>
      </c>
      <c r="H39" s="50">
        <v>0</v>
      </c>
      <c r="I39" s="50">
        <v>155</v>
      </c>
      <c r="J39" s="50">
        <v>155</v>
      </c>
      <c r="K39" s="50">
        <v>155</v>
      </c>
      <c r="L39" s="50">
        <v>155</v>
      </c>
      <c r="M39" s="50">
        <v>0</v>
      </c>
      <c r="N39" s="50">
        <v>155</v>
      </c>
      <c r="O39" s="50">
        <v>155</v>
      </c>
      <c r="P39" s="50">
        <v>155</v>
      </c>
      <c r="Q39" s="50">
        <v>155</v>
      </c>
      <c r="R39" s="50">
        <v>0</v>
      </c>
      <c r="T39" s="83">
        <v>12</v>
      </c>
      <c r="U39" s="2" t="s">
        <v>211</v>
      </c>
    </row>
    <row r="40" spans="1:21" ht="14" customHeight="1">
      <c r="A40" s="41"/>
      <c r="B40" s="41" t="s">
        <v>213</v>
      </c>
      <c r="C40" s="49">
        <f t="shared" si="2"/>
        <v>120</v>
      </c>
      <c r="D40" s="50">
        <v>10</v>
      </c>
      <c r="E40" s="50">
        <v>10</v>
      </c>
      <c r="F40" s="50">
        <v>10</v>
      </c>
      <c r="G40" s="50">
        <v>10</v>
      </c>
      <c r="H40" s="50">
        <v>0</v>
      </c>
      <c r="I40" s="50">
        <v>10</v>
      </c>
      <c r="J40" s="50">
        <v>10</v>
      </c>
      <c r="K40" s="50">
        <v>10</v>
      </c>
      <c r="L40" s="50">
        <v>10</v>
      </c>
      <c r="M40" s="50">
        <v>0</v>
      </c>
      <c r="N40" s="50">
        <v>10</v>
      </c>
      <c r="O40" s="50">
        <v>10</v>
      </c>
      <c r="P40" s="50">
        <v>10</v>
      </c>
      <c r="Q40" s="50">
        <v>10</v>
      </c>
      <c r="R40" s="50">
        <v>0</v>
      </c>
    </row>
    <row r="41" spans="1:21" ht="14" customHeight="1">
      <c r="A41" s="41"/>
      <c r="B41" s="41" t="s">
        <v>200</v>
      </c>
      <c r="C41" s="49">
        <f>SUM(D41:R41)</f>
        <v>6600</v>
      </c>
      <c r="D41" s="50">
        <v>550</v>
      </c>
      <c r="E41" s="50">
        <v>550</v>
      </c>
      <c r="F41" s="50">
        <v>550</v>
      </c>
      <c r="G41" s="50">
        <v>550</v>
      </c>
      <c r="H41" s="50">
        <v>0</v>
      </c>
      <c r="I41" s="50">
        <v>550</v>
      </c>
      <c r="J41" s="50">
        <v>550</v>
      </c>
      <c r="K41" s="50">
        <v>550</v>
      </c>
      <c r="L41" s="50">
        <v>550</v>
      </c>
      <c r="M41" s="50">
        <v>0</v>
      </c>
      <c r="N41" s="50">
        <v>550</v>
      </c>
      <c r="O41" s="50">
        <v>550</v>
      </c>
      <c r="P41" s="50">
        <v>550</v>
      </c>
      <c r="Q41" s="50">
        <v>550</v>
      </c>
      <c r="R41" s="50">
        <v>0</v>
      </c>
    </row>
    <row r="42" spans="1:21" ht="14" customHeight="1">
      <c r="A42" s="41"/>
      <c r="B42" s="41" t="s">
        <v>199</v>
      </c>
      <c r="C42" s="49">
        <f t="shared" si="2"/>
        <v>2520</v>
      </c>
      <c r="D42" s="50">
        <v>210</v>
      </c>
      <c r="E42" s="50">
        <v>210</v>
      </c>
      <c r="F42" s="50">
        <v>210</v>
      </c>
      <c r="G42" s="50">
        <v>210</v>
      </c>
      <c r="H42" s="50">
        <v>0</v>
      </c>
      <c r="I42" s="50">
        <v>210</v>
      </c>
      <c r="J42" s="50">
        <v>210</v>
      </c>
      <c r="K42" s="50">
        <v>210</v>
      </c>
      <c r="L42" s="50">
        <v>210</v>
      </c>
      <c r="M42" s="50">
        <v>0</v>
      </c>
      <c r="N42" s="50">
        <v>210</v>
      </c>
      <c r="O42" s="50">
        <v>210</v>
      </c>
      <c r="P42" s="50">
        <v>210</v>
      </c>
      <c r="Q42" s="50">
        <v>210</v>
      </c>
      <c r="R42" s="50">
        <v>0</v>
      </c>
    </row>
    <row r="43" spans="1:21" ht="14" customHeight="1" thickBot="1">
      <c r="A43" s="41"/>
      <c r="B43" s="52" t="s">
        <v>198</v>
      </c>
      <c r="C43" s="53">
        <f t="shared" si="2"/>
        <v>1200</v>
      </c>
      <c r="D43" s="54">
        <v>100</v>
      </c>
      <c r="E43" s="54">
        <v>100</v>
      </c>
      <c r="F43" s="54">
        <v>100</v>
      </c>
      <c r="G43" s="54">
        <v>100</v>
      </c>
      <c r="H43" s="54">
        <v>0</v>
      </c>
      <c r="I43" s="54">
        <v>100</v>
      </c>
      <c r="J43" s="54">
        <v>100</v>
      </c>
      <c r="K43" s="54">
        <v>100</v>
      </c>
      <c r="L43" s="54">
        <v>100</v>
      </c>
      <c r="M43" s="54">
        <v>0</v>
      </c>
      <c r="N43" s="54">
        <v>100</v>
      </c>
      <c r="O43" s="54">
        <v>100</v>
      </c>
      <c r="P43" s="54">
        <v>100</v>
      </c>
      <c r="Q43" s="54">
        <v>100</v>
      </c>
      <c r="R43" s="54">
        <v>0</v>
      </c>
    </row>
    <row r="44" spans="1:21" ht="14" customHeight="1">
      <c r="A44" s="62"/>
      <c r="B44" s="48" t="s">
        <v>11</v>
      </c>
      <c r="C44" s="55">
        <f>SUM(C37:C43)</f>
        <v>14436</v>
      </c>
      <c r="D44" s="55">
        <f>SUM(D37:D43)</f>
        <v>1203</v>
      </c>
      <c r="E44" s="55">
        <f t="shared" ref="E44:R44" si="14">SUM(E37:E43)</f>
        <v>1203</v>
      </c>
      <c r="F44" s="55">
        <f t="shared" si="14"/>
        <v>1203</v>
      </c>
      <c r="G44" s="55">
        <f t="shared" si="14"/>
        <v>1203</v>
      </c>
      <c r="H44" s="55">
        <f t="shared" ref="H44" si="15">SUM(H37:H43)</f>
        <v>0</v>
      </c>
      <c r="I44" s="55">
        <f t="shared" si="14"/>
        <v>1203</v>
      </c>
      <c r="J44" s="55">
        <f t="shared" si="14"/>
        <v>1203</v>
      </c>
      <c r="K44" s="55">
        <f t="shared" si="14"/>
        <v>1203</v>
      </c>
      <c r="L44" s="55">
        <f t="shared" si="14"/>
        <v>1203</v>
      </c>
      <c r="M44" s="55">
        <f t="shared" ref="M44" si="16">SUM(M37:M43)</f>
        <v>0</v>
      </c>
      <c r="N44" s="55">
        <f t="shared" si="14"/>
        <v>1203</v>
      </c>
      <c r="O44" s="55">
        <f t="shared" si="14"/>
        <v>1203</v>
      </c>
      <c r="P44" s="55">
        <f t="shared" si="14"/>
        <v>1203</v>
      </c>
      <c r="Q44" s="55">
        <f t="shared" si="14"/>
        <v>1203</v>
      </c>
      <c r="R44" s="55">
        <f t="shared" si="14"/>
        <v>0</v>
      </c>
    </row>
    <row r="45" spans="1:21" ht="15" thickBot="1">
      <c r="A45" s="62"/>
      <c r="B45" s="48"/>
      <c r="C45" s="57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41"/>
    </row>
    <row r="46" spans="1:21" ht="14" customHeight="1" thickBot="1">
      <c r="A46" s="63" t="s">
        <v>4</v>
      </c>
      <c r="B46" s="64"/>
      <c r="C46" s="84">
        <f>C44+C35+C31+C29+C25</f>
        <v>142345.70000000001</v>
      </c>
      <c r="D46" s="90" t="s">
        <v>214</v>
      </c>
      <c r="E46" s="90"/>
      <c r="F46" s="90"/>
      <c r="G46" s="90"/>
      <c r="H46" s="85"/>
      <c r="I46" s="90"/>
      <c r="J46" s="90"/>
      <c r="K46" s="90"/>
      <c r="L46" s="90"/>
      <c r="M46" s="85"/>
      <c r="N46" s="90"/>
      <c r="O46" s="90"/>
      <c r="P46" s="90"/>
      <c r="Q46" s="90"/>
      <c r="R46" s="65"/>
    </row>
    <row r="47" spans="1:21" ht="14" customHeight="1">
      <c r="A47" s="41"/>
      <c r="B47" s="41"/>
      <c r="C47" s="50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</row>
    <row r="48" spans="1:21" ht="14" customHeight="1">
      <c r="A48" s="48" t="s">
        <v>13</v>
      </c>
      <c r="B48" s="41" t="s">
        <v>52</v>
      </c>
      <c r="C48" s="49">
        <f>SUM(D48:R48)</f>
        <v>3890</v>
      </c>
      <c r="D48" s="50">
        <v>0</v>
      </c>
      <c r="E48" s="50">
        <v>0</v>
      </c>
      <c r="F48" s="50">
        <v>0</v>
      </c>
      <c r="G48" s="50">
        <v>0</v>
      </c>
      <c r="H48" s="50">
        <v>2900</v>
      </c>
      <c r="I48" s="50">
        <v>0</v>
      </c>
      <c r="J48" s="50">
        <v>0</v>
      </c>
      <c r="K48" s="50">
        <v>0</v>
      </c>
      <c r="L48" s="50">
        <v>0</v>
      </c>
      <c r="M48" s="50">
        <v>990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</row>
    <row r="49" spans="1:18" ht="14" customHeight="1">
      <c r="A49" s="41"/>
      <c r="B49" s="41" t="s">
        <v>5</v>
      </c>
      <c r="C49" s="49">
        <f t="shared" ref="C49:C53" si="17">SUM(D49:R49)</f>
        <v>1500</v>
      </c>
      <c r="D49" s="50">
        <v>0</v>
      </c>
      <c r="E49" s="50">
        <v>0</v>
      </c>
      <c r="F49" s="50">
        <v>0</v>
      </c>
      <c r="G49" s="50">
        <v>0</v>
      </c>
      <c r="H49" s="49">
        <v>750</v>
      </c>
      <c r="I49" s="50">
        <v>0</v>
      </c>
      <c r="J49" s="50">
        <v>0</v>
      </c>
      <c r="K49" s="50">
        <v>0</v>
      </c>
      <c r="L49" s="50">
        <v>0</v>
      </c>
      <c r="M49" s="50">
        <v>750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</row>
    <row r="50" spans="1:18" ht="14" customHeight="1">
      <c r="A50" s="50"/>
      <c r="B50" s="41" t="s">
        <v>172</v>
      </c>
      <c r="C50" s="49">
        <f t="shared" si="17"/>
        <v>2400</v>
      </c>
      <c r="D50" s="50">
        <f>80*T34</f>
        <v>2400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</row>
    <row r="51" spans="1:18" ht="14" customHeight="1">
      <c r="A51" s="50"/>
      <c r="B51" s="41" t="s">
        <v>173</v>
      </c>
      <c r="C51" s="49">
        <f t="shared" si="17"/>
        <v>1335</v>
      </c>
      <c r="D51" s="50">
        <v>0</v>
      </c>
      <c r="E51" s="50">
        <v>0</v>
      </c>
      <c r="F51" s="50">
        <v>0</v>
      </c>
      <c r="G51" s="50">
        <f>(T35+T34)*15</f>
        <v>630</v>
      </c>
      <c r="H51" s="50">
        <v>0</v>
      </c>
      <c r="I51" s="50">
        <v>0</v>
      </c>
      <c r="J51" s="50">
        <v>0</v>
      </c>
      <c r="K51" s="50">
        <v>0</v>
      </c>
      <c r="L51" s="50">
        <f>(T34+T35+T36)*15</f>
        <v>705</v>
      </c>
      <c r="M51" s="50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</row>
    <row r="52" spans="1:18" ht="14" customHeight="1">
      <c r="A52" s="50"/>
      <c r="B52" s="41" t="s">
        <v>174</v>
      </c>
      <c r="C52" s="49">
        <f t="shared" si="17"/>
        <v>1020</v>
      </c>
      <c r="D52" s="50">
        <v>0</v>
      </c>
      <c r="E52" s="50">
        <f>T35*60</f>
        <v>720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f>T36*60</f>
        <v>300</v>
      </c>
      <c r="L52" s="50">
        <v>0</v>
      </c>
      <c r="M52" s="50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</row>
    <row r="53" spans="1:18" ht="14" customHeight="1" thickBot="1">
      <c r="A53" s="56"/>
      <c r="B53" s="52" t="s">
        <v>32</v>
      </c>
      <c r="C53" s="53">
        <f t="shared" si="17"/>
        <v>3400</v>
      </c>
      <c r="D53" s="54">
        <v>0</v>
      </c>
      <c r="E53" s="54">
        <f>T35*200</f>
        <v>2400</v>
      </c>
      <c r="F53" s="54">
        <v>0</v>
      </c>
      <c r="G53" s="54">
        <v>0</v>
      </c>
      <c r="H53" s="54">
        <v>0</v>
      </c>
      <c r="I53" s="54">
        <v>0</v>
      </c>
      <c r="J53" s="54">
        <v>0</v>
      </c>
      <c r="K53" s="54">
        <f>200*(T36)</f>
        <v>1000</v>
      </c>
      <c r="L53" s="54">
        <v>0</v>
      </c>
      <c r="M53" s="54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</row>
    <row r="54" spans="1:18" ht="14" customHeight="1">
      <c r="A54" s="66" t="s">
        <v>33</v>
      </c>
      <c r="B54" s="41"/>
      <c r="C54" s="67">
        <f>SUM(C48:C53)</f>
        <v>13545</v>
      </c>
      <c r="D54" s="67">
        <f t="shared" ref="D54:R54" si="18">SUM(D48:D53)</f>
        <v>2400</v>
      </c>
      <c r="E54" s="67">
        <f t="shared" si="18"/>
        <v>3120</v>
      </c>
      <c r="F54" s="67">
        <f t="shared" si="18"/>
        <v>0</v>
      </c>
      <c r="G54" s="67">
        <f t="shared" si="18"/>
        <v>630</v>
      </c>
      <c r="H54" s="67">
        <f t="shared" si="18"/>
        <v>3650</v>
      </c>
      <c r="I54" s="67">
        <f t="shared" si="18"/>
        <v>0</v>
      </c>
      <c r="J54" s="67">
        <f t="shared" si="18"/>
        <v>0</v>
      </c>
      <c r="K54" s="67">
        <f t="shared" si="18"/>
        <v>1300</v>
      </c>
      <c r="L54" s="67">
        <f t="shared" si="18"/>
        <v>705</v>
      </c>
      <c r="M54" s="67">
        <f t="shared" si="18"/>
        <v>1740</v>
      </c>
      <c r="N54" s="67">
        <f t="shared" si="18"/>
        <v>0</v>
      </c>
      <c r="O54" s="67">
        <f t="shared" si="18"/>
        <v>0</v>
      </c>
      <c r="P54" s="67">
        <f t="shared" si="18"/>
        <v>0</v>
      </c>
      <c r="Q54" s="67">
        <f t="shared" si="18"/>
        <v>0</v>
      </c>
      <c r="R54" s="67">
        <f t="shared" si="18"/>
        <v>0</v>
      </c>
    </row>
    <row r="55" spans="1:18" ht="14" customHeight="1" thickBo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</row>
    <row r="56" spans="1:18" ht="14" customHeight="1" thickBot="1">
      <c r="A56" s="68" t="s">
        <v>34</v>
      </c>
      <c r="B56" s="69"/>
      <c r="C56" s="70">
        <f>C54+C46</f>
        <v>155890.70000000001</v>
      </c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71"/>
    </row>
    <row r="57" spans="1:18" ht="14" customHeight="1">
      <c r="A57" s="72" t="s">
        <v>169</v>
      </c>
      <c r="B57" s="73"/>
      <c r="C57" s="74">
        <f>'FALL INFLOW'!C55</f>
        <v>84540</v>
      </c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5"/>
    </row>
    <row r="58" spans="1:18" ht="14" customHeight="1" thickBot="1">
      <c r="A58" s="76" t="s">
        <v>170</v>
      </c>
      <c r="B58" s="52"/>
      <c r="C58" s="77">
        <f>'SPRING INFLOW (UPDATED PRICING)'!C54</f>
        <v>84805</v>
      </c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78"/>
    </row>
    <row r="59" spans="1:18" ht="14" customHeight="1" thickBot="1">
      <c r="A59" s="79" t="s">
        <v>171</v>
      </c>
      <c r="B59" s="80"/>
      <c r="C59" s="81">
        <f>C58+C57-C56</f>
        <v>13454.299999999988</v>
      </c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2"/>
    </row>
    <row r="60" spans="1:18" ht="14" customHeight="1">
      <c r="K60" s="6"/>
    </row>
    <row r="62" spans="1:18" ht="14" customHeight="1">
      <c r="K62" s="6"/>
    </row>
  </sheetData>
  <sheetCalcPr fullCalcOnLoad="1"/>
  <mergeCells count="7">
    <mergeCell ref="D46:G46"/>
    <mergeCell ref="I46:L46"/>
    <mergeCell ref="N46:Q46"/>
    <mergeCell ref="D3:H3"/>
    <mergeCell ref="I3:M3"/>
    <mergeCell ref="N3:R3"/>
    <mergeCell ref="N31:Q31"/>
  </mergeCells>
  <phoneticPr fontId="2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O83"/>
  <sheetViews>
    <sheetView workbookViewId="0">
      <pane ySplit="4" topLeftCell="A5" activePane="bottomLeft" state="frozen"/>
      <selection pane="bottomLeft" activeCell="C38" sqref="C38"/>
    </sheetView>
  </sheetViews>
  <sheetFormatPr baseColWidth="10" defaultColWidth="4" defaultRowHeight="14"/>
  <cols>
    <col min="1" max="1" width="4" style="23" customWidth="1"/>
    <col min="2" max="2" width="16" style="7" bestFit="1" customWidth="1"/>
    <col min="3" max="3" width="13.5" style="7" bestFit="1" customWidth="1"/>
    <col min="4" max="4" width="13.1640625" style="7" bestFit="1" customWidth="1"/>
    <col min="5" max="5" width="12" style="7" bestFit="1" customWidth="1"/>
    <col min="6" max="6" width="10.1640625" style="7" bestFit="1" customWidth="1"/>
    <col min="7" max="7" width="9" style="8" bestFit="1" customWidth="1"/>
    <col min="8" max="8" width="12.5" style="7" bestFit="1" customWidth="1"/>
    <col min="9" max="9" width="13" style="7" bestFit="1" customWidth="1"/>
    <col min="10" max="10" width="10.5" style="9" bestFit="1" customWidth="1"/>
    <col min="11" max="11" width="9.83203125" style="9" bestFit="1" customWidth="1"/>
    <col min="12" max="12" width="13.5" style="10" bestFit="1" customWidth="1"/>
    <col min="13" max="14" width="13.1640625" style="11" bestFit="1" customWidth="1"/>
    <col min="15" max="15" width="15.33203125" style="7" bestFit="1" customWidth="1"/>
    <col min="16" max="16384" width="4" style="7"/>
  </cols>
  <sheetData>
    <row r="1" spans="1:15" ht="30">
      <c r="A1" s="1" t="s">
        <v>110</v>
      </c>
    </row>
    <row r="3" spans="1:15">
      <c r="A3" s="12" t="s">
        <v>97</v>
      </c>
      <c r="B3" s="13"/>
      <c r="C3" s="13"/>
      <c r="D3" s="13"/>
      <c r="E3" s="13"/>
      <c r="F3" s="13"/>
      <c r="G3" s="14"/>
      <c r="H3" s="13"/>
      <c r="I3" s="13"/>
      <c r="J3" s="15"/>
      <c r="K3" s="15"/>
      <c r="L3" s="16"/>
      <c r="M3" s="17"/>
      <c r="N3" s="17"/>
      <c r="O3" s="13"/>
    </row>
    <row r="4" spans="1:15" s="22" customFormat="1" ht="43" thickBot="1">
      <c r="A4" s="18" t="s">
        <v>20</v>
      </c>
      <c r="B4" s="18" t="s">
        <v>56</v>
      </c>
      <c r="C4" s="18" t="s">
        <v>21</v>
      </c>
      <c r="D4" s="18" t="s">
        <v>116</v>
      </c>
      <c r="E4" s="18" t="s">
        <v>117</v>
      </c>
      <c r="F4" s="18" t="s">
        <v>114</v>
      </c>
      <c r="G4" s="19" t="s">
        <v>118</v>
      </c>
      <c r="H4" s="18" t="s">
        <v>130</v>
      </c>
      <c r="I4" s="18" t="s">
        <v>103</v>
      </c>
      <c r="J4" s="20" t="s">
        <v>131</v>
      </c>
      <c r="K4" s="20" t="s">
        <v>132</v>
      </c>
      <c r="L4" s="20" t="s">
        <v>104</v>
      </c>
      <c r="M4" s="21" t="s">
        <v>105</v>
      </c>
      <c r="N4" s="21" t="s">
        <v>106</v>
      </c>
      <c r="O4" s="18" t="s">
        <v>107</v>
      </c>
    </row>
    <row r="5" spans="1:15">
      <c r="A5" s="23">
        <f>ROW()-4</f>
        <v>1</v>
      </c>
      <c r="B5" s="7" t="s">
        <v>62</v>
      </c>
      <c r="C5" s="11" t="s">
        <v>108</v>
      </c>
      <c r="D5" s="24">
        <f>IF(C5="IN", 3820, IF(C5="OUT", 1295, IF(C5="PRESIDENT", 2895, IF(C5="NEW", 1295))))</f>
        <v>3820</v>
      </c>
      <c r="E5" s="25" t="s">
        <v>162</v>
      </c>
      <c r="F5" s="24">
        <f>IF(E5="YES", 175, 0)</f>
        <v>175</v>
      </c>
      <c r="G5" s="26">
        <v>0</v>
      </c>
      <c r="H5" s="9">
        <f>25*12*G5</f>
        <v>0</v>
      </c>
      <c r="I5" s="27">
        <f>D5+F5+H5</f>
        <v>3995</v>
      </c>
      <c r="K5" s="28"/>
      <c r="L5" s="29"/>
      <c r="M5" s="29"/>
    </row>
    <row r="6" spans="1:15">
      <c r="A6" s="23">
        <f t="shared" ref="A6:A46" si="0">ROW()-4</f>
        <v>2</v>
      </c>
      <c r="B6" s="7" t="s">
        <v>61</v>
      </c>
      <c r="C6" s="11" t="s">
        <v>98</v>
      </c>
      <c r="D6" s="24">
        <f t="shared" ref="D6:D46" si="1">IF(C6="IN", 3820, IF(C6="OUT", 1295, IF(C6="PRESIDENT", 2895, IF(C6="NEW", 1295))))</f>
        <v>1295</v>
      </c>
      <c r="E6" s="25" t="s">
        <v>23</v>
      </c>
      <c r="F6" s="24">
        <f t="shared" ref="F6:F46" si="2">IF(E6="YES", 175, 0)</f>
        <v>0</v>
      </c>
      <c r="G6" s="26"/>
      <c r="H6" s="9">
        <f t="shared" ref="H6:H46" si="3">25*12*G6</f>
        <v>0</v>
      </c>
      <c r="I6" s="27">
        <f>D6+F6+H6</f>
        <v>1295</v>
      </c>
      <c r="K6" s="28"/>
      <c r="L6" s="29" t="s">
        <v>84</v>
      </c>
      <c r="M6" s="29" t="s">
        <v>84</v>
      </c>
      <c r="N6" s="30"/>
    </row>
    <row r="7" spans="1:15">
      <c r="A7" s="23">
        <f t="shared" si="0"/>
        <v>3</v>
      </c>
      <c r="B7" s="7" t="s">
        <v>86</v>
      </c>
      <c r="C7" s="11" t="s">
        <v>24</v>
      </c>
      <c r="D7" s="24">
        <f t="shared" si="1"/>
        <v>2895</v>
      </c>
      <c r="E7" s="25" t="s">
        <v>162</v>
      </c>
      <c r="F7" s="24">
        <f t="shared" si="2"/>
        <v>175</v>
      </c>
      <c r="G7" s="26"/>
      <c r="H7" s="9">
        <f t="shared" si="3"/>
        <v>0</v>
      </c>
      <c r="I7" s="27">
        <f t="shared" ref="I7:I46" si="4">D7+F7+H7</f>
        <v>3070</v>
      </c>
      <c r="K7" s="28"/>
      <c r="L7" s="29"/>
      <c r="M7" s="29"/>
    </row>
    <row r="8" spans="1:15">
      <c r="A8" s="23">
        <f t="shared" si="0"/>
        <v>4</v>
      </c>
      <c r="B8" s="7" t="s">
        <v>18</v>
      </c>
      <c r="C8" s="11" t="s">
        <v>145</v>
      </c>
      <c r="D8" s="24">
        <f t="shared" si="1"/>
        <v>1295</v>
      </c>
      <c r="E8" s="25" t="s">
        <v>23</v>
      </c>
      <c r="F8" s="24">
        <f t="shared" si="2"/>
        <v>0</v>
      </c>
      <c r="H8" s="9">
        <f t="shared" si="3"/>
        <v>0</v>
      </c>
      <c r="I8" s="27">
        <f t="shared" si="4"/>
        <v>1295</v>
      </c>
      <c r="K8" s="28"/>
      <c r="L8" s="29" t="s">
        <v>84</v>
      </c>
      <c r="M8" s="29" t="s">
        <v>84</v>
      </c>
    </row>
    <row r="9" spans="1:15">
      <c r="A9" s="23">
        <f t="shared" si="0"/>
        <v>5</v>
      </c>
      <c r="B9" s="7" t="s">
        <v>63</v>
      </c>
      <c r="C9" s="11" t="s">
        <v>146</v>
      </c>
      <c r="D9" s="24">
        <f t="shared" si="1"/>
        <v>3820</v>
      </c>
      <c r="E9" s="25" t="s">
        <v>162</v>
      </c>
      <c r="F9" s="24">
        <f t="shared" si="2"/>
        <v>175</v>
      </c>
      <c r="G9" s="26"/>
      <c r="H9" s="9">
        <f t="shared" si="3"/>
        <v>0</v>
      </c>
      <c r="I9" s="27">
        <f t="shared" si="4"/>
        <v>3995</v>
      </c>
      <c r="K9" s="28"/>
      <c r="L9" s="29"/>
      <c r="M9" s="29"/>
    </row>
    <row r="10" spans="1:15">
      <c r="A10" s="23">
        <f t="shared" si="0"/>
        <v>6</v>
      </c>
      <c r="B10" s="7" t="s">
        <v>88</v>
      </c>
      <c r="C10" s="11" t="s">
        <v>147</v>
      </c>
      <c r="D10" s="24">
        <f t="shared" si="1"/>
        <v>1295</v>
      </c>
      <c r="E10" s="25" t="s">
        <v>23</v>
      </c>
      <c r="F10" s="24">
        <f t="shared" si="2"/>
        <v>0</v>
      </c>
      <c r="H10" s="9">
        <f t="shared" si="3"/>
        <v>0</v>
      </c>
      <c r="I10" s="27">
        <f t="shared" si="4"/>
        <v>1295</v>
      </c>
      <c r="L10" s="29" t="s">
        <v>84</v>
      </c>
      <c r="M10" s="29" t="s">
        <v>84</v>
      </c>
    </row>
    <row r="11" spans="1:15">
      <c r="A11" s="23">
        <f t="shared" si="0"/>
        <v>7</v>
      </c>
      <c r="B11" s="7" t="s">
        <v>148</v>
      </c>
      <c r="C11" s="11" t="s">
        <v>152</v>
      </c>
      <c r="D11" s="24">
        <f t="shared" si="1"/>
        <v>1295</v>
      </c>
      <c r="E11" s="25" t="s">
        <v>23</v>
      </c>
      <c r="F11" s="24">
        <f t="shared" si="2"/>
        <v>0</v>
      </c>
      <c r="H11" s="9">
        <f t="shared" si="3"/>
        <v>0</v>
      </c>
      <c r="I11" s="27">
        <f t="shared" si="4"/>
        <v>1295</v>
      </c>
      <c r="L11" s="29" t="s">
        <v>84</v>
      </c>
      <c r="M11" s="29" t="s">
        <v>84</v>
      </c>
    </row>
    <row r="12" spans="1:15">
      <c r="A12" s="23">
        <f t="shared" si="0"/>
        <v>8</v>
      </c>
      <c r="B12" s="7" t="s">
        <v>65</v>
      </c>
      <c r="C12" s="11" t="s">
        <v>149</v>
      </c>
      <c r="D12" s="24">
        <f t="shared" si="1"/>
        <v>3820</v>
      </c>
      <c r="E12" s="25" t="s">
        <v>23</v>
      </c>
      <c r="F12" s="24">
        <f t="shared" si="2"/>
        <v>0</v>
      </c>
      <c r="G12" s="26">
        <v>0</v>
      </c>
      <c r="H12" s="9">
        <f t="shared" si="3"/>
        <v>0</v>
      </c>
      <c r="I12" s="27">
        <f t="shared" si="4"/>
        <v>3820</v>
      </c>
      <c r="K12" s="28"/>
      <c r="L12" s="29"/>
      <c r="M12" s="29"/>
    </row>
    <row r="13" spans="1:15">
      <c r="A13" s="23">
        <f t="shared" si="0"/>
        <v>9</v>
      </c>
      <c r="B13" s="7" t="s">
        <v>95</v>
      </c>
      <c r="C13" s="11" t="s">
        <v>150</v>
      </c>
      <c r="D13" s="24">
        <f t="shared" si="1"/>
        <v>1295</v>
      </c>
      <c r="E13" s="25" t="s">
        <v>162</v>
      </c>
      <c r="F13" s="24">
        <f t="shared" si="2"/>
        <v>175</v>
      </c>
      <c r="H13" s="9">
        <f t="shared" si="3"/>
        <v>0</v>
      </c>
      <c r="I13" s="27">
        <f t="shared" si="4"/>
        <v>1470</v>
      </c>
      <c r="K13" s="28"/>
      <c r="L13" s="29" t="s">
        <v>84</v>
      </c>
      <c r="M13" s="29" t="s">
        <v>84</v>
      </c>
    </row>
    <row r="14" spans="1:15">
      <c r="A14" s="23">
        <f t="shared" si="0"/>
        <v>10</v>
      </c>
      <c r="B14" s="7" t="s">
        <v>66</v>
      </c>
      <c r="C14" s="11" t="s">
        <v>151</v>
      </c>
      <c r="D14" s="24">
        <f t="shared" si="1"/>
        <v>2895</v>
      </c>
      <c r="E14" s="25" t="s">
        <v>162</v>
      </c>
      <c r="F14" s="24">
        <f t="shared" si="2"/>
        <v>175</v>
      </c>
      <c r="H14" s="9">
        <f t="shared" si="3"/>
        <v>0</v>
      </c>
      <c r="I14" s="27">
        <f t="shared" si="4"/>
        <v>3070</v>
      </c>
      <c r="K14" s="28"/>
      <c r="L14" s="29"/>
      <c r="M14" s="29"/>
    </row>
    <row r="15" spans="1:15">
      <c r="A15" s="23">
        <f t="shared" si="0"/>
        <v>11</v>
      </c>
      <c r="B15" s="7" t="s">
        <v>90</v>
      </c>
      <c r="C15" s="11" t="s">
        <v>145</v>
      </c>
      <c r="D15" s="24">
        <f t="shared" si="1"/>
        <v>1295</v>
      </c>
      <c r="E15" s="25" t="s">
        <v>162</v>
      </c>
      <c r="F15" s="24">
        <f t="shared" si="2"/>
        <v>175</v>
      </c>
      <c r="H15" s="9">
        <f t="shared" si="3"/>
        <v>0</v>
      </c>
      <c r="I15" s="27">
        <f t="shared" si="4"/>
        <v>1470</v>
      </c>
      <c r="K15" s="28"/>
      <c r="L15" s="29" t="s">
        <v>84</v>
      </c>
      <c r="M15" s="29" t="s">
        <v>84</v>
      </c>
    </row>
    <row r="16" spans="1:15">
      <c r="A16" s="23">
        <f t="shared" si="0"/>
        <v>12</v>
      </c>
      <c r="B16" s="7" t="s">
        <v>89</v>
      </c>
      <c r="C16" s="11" t="s">
        <v>152</v>
      </c>
      <c r="D16" s="24">
        <f t="shared" si="1"/>
        <v>1295</v>
      </c>
      <c r="E16" s="25" t="s">
        <v>23</v>
      </c>
      <c r="F16" s="24">
        <f t="shared" si="2"/>
        <v>0</v>
      </c>
      <c r="G16" s="8">
        <v>0</v>
      </c>
      <c r="H16" s="9">
        <f t="shared" si="3"/>
        <v>0</v>
      </c>
      <c r="I16" s="27">
        <f t="shared" si="4"/>
        <v>1295</v>
      </c>
      <c r="K16" s="28"/>
      <c r="L16" s="29" t="s">
        <v>84</v>
      </c>
      <c r="M16" s="29" t="s">
        <v>84</v>
      </c>
    </row>
    <row r="17" spans="1:13">
      <c r="A17" s="23">
        <f t="shared" si="0"/>
        <v>13</v>
      </c>
      <c r="B17" s="7" t="s">
        <v>87</v>
      </c>
      <c r="C17" s="11" t="s">
        <v>24</v>
      </c>
      <c r="D17" s="24">
        <f t="shared" si="1"/>
        <v>2895</v>
      </c>
      <c r="E17" s="25" t="s">
        <v>162</v>
      </c>
      <c r="F17" s="24">
        <f t="shared" si="2"/>
        <v>175</v>
      </c>
      <c r="G17" s="26"/>
      <c r="H17" s="9">
        <f t="shared" si="3"/>
        <v>0</v>
      </c>
      <c r="I17" s="27">
        <f t="shared" si="4"/>
        <v>3070</v>
      </c>
      <c r="K17" s="28"/>
      <c r="L17" s="29"/>
      <c r="M17" s="29"/>
    </row>
    <row r="18" spans="1:13">
      <c r="A18" s="23">
        <f t="shared" si="0"/>
        <v>14</v>
      </c>
      <c r="B18" s="7" t="s">
        <v>96</v>
      </c>
      <c r="C18" s="11" t="s">
        <v>145</v>
      </c>
      <c r="D18" s="24">
        <f t="shared" si="1"/>
        <v>1295</v>
      </c>
      <c r="E18" s="25" t="s">
        <v>23</v>
      </c>
      <c r="F18" s="24">
        <f t="shared" si="2"/>
        <v>0</v>
      </c>
      <c r="H18" s="9">
        <f t="shared" si="3"/>
        <v>0</v>
      </c>
      <c r="I18" s="27">
        <f t="shared" si="4"/>
        <v>1295</v>
      </c>
      <c r="K18" s="28"/>
      <c r="L18" s="29" t="s">
        <v>84</v>
      </c>
      <c r="M18" s="29" t="s">
        <v>84</v>
      </c>
    </row>
    <row r="19" spans="1:13">
      <c r="A19" s="23">
        <f t="shared" si="0"/>
        <v>15</v>
      </c>
      <c r="B19" s="7" t="s">
        <v>16</v>
      </c>
      <c r="C19" s="11" t="s">
        <v>152</v>
      </c>
      <c r="D19" s="24">
        <f t="shared" si="1"/>
        <v>1295</v>
      </c>
      <c r="E19" s="25" t="s">
        <v>23</v>
      </c>
      <c r="F19" s="24">
        <f t="shared" si="2"/>
        <v>0</v>
      </c>
      <c r="H19" s="9">
        <f t="shared" si="3"/>
        <v>0</v>
      </c>
      <c r="I19" s="27">
        <f t="shared" si="4"/>
        <v>1295</v>
      </c>
      <c r="K19" s="28"/>
      <c r="L19" s="29" t="s">
        <v>84</v>
      </c>
      <c r="M19" s="29" t="s">
        <v>84</v>
      </c>
    </row>
    <row r="20" spans="1:13">
      <c r="A20" s="23">
        <f t="shared" si="0"/>
        <v>16</v>
      </c>
      <c r="B20" s="7" t="s">
        <v>15</v>
      </c>
      <c r="C20" s="11" t="s">
        <v>149</v>
      </c>
      <c r="D20" s="24">
        <f t="shared" si="1"/>
        <v>3820</v>
      </c>
      <c r="E20" s="25" t="s">
        <v>162</v>
      </c>
      <c r="F20" s="24">
        <f t="shared" si="2"/>
        <v>175</v>
      </c>
      <c r="H20" s="9">
        <f t="shared" si="3"/>
        <v>0</v>
      </c>
      <c r="I20" s="27">
        <f t="shared" si="4"/>
        <v>3995</v>
      </c>
      <c r="K20" s="28"/>
      <c r="L20" s="29"/>
      <c r="M20" s="29"/>
    </row>
    <row r="21" spans="1:13">
      <c r="A21" s="23">
        <f t="shared" si="0"/>
        <v>17</v>
      </c>
      <c r="B21" s="7" t="s">
        <v>93</v>
      </c>
      <c r="C21" s="11" t="s">
        <v>145</v>
      </c>
      <c r="D21" s="24">
        <f t="shared" si="1"/>
        <v>1295</v>
      </c>
      <c r="E21" s="25" t="s">
        <v>23</v>
      </c>
      <c r="F21" s="24">
        <f t="shared" si="2"/>
        <v>0</v>
      </c>
      <c r="H21" s="9">
        <f t="shared" si="3"/>
        <v>0</v>
      </c>
      <c r="I21" s="27">
        <f t="shared" si="4"/>
        <v>1295</v>
      </c>
      <c r="K21" s="28"/>
      <c r="L21" s="29" t="s">
        <v>84</v>
      </c>
      <c r="M21" s="29" t="s">
        <v>84</v>
      </c>
    </row>
    <row r="22" spans="1:13">
      <c r="A22" s="23">
        <f t="shared" si="0"/>
        <v>18</v>
      </c>
      <c r="B22" s="7" t="s">
        <v>60</v>
      </c>
      <c r="C22" s="11" t="s">
        <v>153</v>
      </c>
      <c r="D22" s="24">
        <f t="shared" si="1"/>
        <v>3820</v>
      </c>
      <c r="E22" s="25" t="s">
        <v>162</v>
      </c>
      <c r="F22" s="24">
        <f t="shared" si="2"/>
        <v>175</v>
      </c>
      <c r="G22" s="26"/>
      <c r="H22" s="9">
        <f t="shared" si="3"/>
        <v>0</v>
      </c>
      <c r="I22" s="27">
        <f t="shared" si="4"/>
        <v>3995</v>
      </c>
      <c r="K22" s="28"/>
      <c r="L22" s="29"/>
      <c r="M22" s="29"/>
    </row>
    <row r="23" spans="1:13">
      <c r="A23" s="23">
        <f t="shared" si="0"/>
        <v>19</v>
      </c>
      <c r="B23" s="7" t="s">
        <v>64</v>
      </c>
      <c r="C23" s="11" t="s">
        <v>154</v>
      </c>
      <c r="D23" s="24">
        <f t="shared" si="1"/>
        <v>3820</v>
      </c>
      <c r="E23" s="25" t="s">
        <v>162</v>
      </c>
      <c r="F23" s="24">
        <f t="shared" si="2"/>
        <v>175</v>
      </c>
      <c r="H23" s="9">
        <f t="shared" si="3"/>
        <v>0</v>
      </c>
      <c r="I23" s="27">
        <f t="shared" si="4"/>
        <v>3995</v>
      </c>
      <c r="K23" s="28"/>
      <c r="L23" s="29"/>
      <c r="M23" s="29"/>
    </row>
    <row r="24" spans="1:13">
      <c r="A24" s="23">
        <f t="shared" si="0"/>
        <v>20</v>
      </c>
      <c r="B24" s="7" t="s">
        <v>91</v>
      </c>
      <c r="C24" s="11" t="s">
        <v>145</v>
      </c>
      <c r="D24" s="24">
        <f t="shared" si="1"/>
        <v>1295</v>
      </c>
      <c r="E24" s="25" t="s">
        <v>23</v>
      </c>
      <c r="F24" s="24">
        <f t="shared" si="2"/>
        <v>0</v>
      </c>
      <c r="H24" s="9">
        <f t="shared" si="3"/>
        <v>0</v>
      </c>
      <c r="I24" s="27">
        <f t="shared" si="4"/>
        <v>1295</v>
      </c>
      <c r="K24" s="28"/>
      <c r="L24" s="29" t="s">
        <v>84</v>
      </c>
      <c r="M24" s="29" t="s">
        <v>84</v>
      </c>
    </row>
    <row r="25" spans="1:13">
      <c r="A25" s="23">
        <f t="shared" si="0"/>
        <v>21</v>
      </c>
      <c r="B25" s="7" t="s">
        <v>94</v>
      </c>
      <c r="C25" s="11" t="s">
        <v>152</v>
      </c>
      <c r="D25" s="24">
        <f t="shared" si="1"/>
        <v>1295</v>
      </c>
      <c r="E25" s="25" t="s">
        <v>23</v>
      </c>
      <c r="F25" s="24">
        <f t="shared" si="2"/>
        <v>0</v>
      </c>
      <c r="H25" s="9">
        <f t="shared" si="3"/>
        <v>0</v>
      </c>
      <c r="I25" s="27">
        <f t="shared" si="4"/>
        <v>1295</v>
      </c>
      <c r="K25" s="28"/>
      <c r="L25" s="29" t="s">
        <v>84</v>
      </c>
      <c r="M25" s="29" t="s">
        <v>84</v>
      </c>
    </row>
    <row r="26" spans="1:13">
      <c r="A26" s="23">
        <f t="shared" si="0"/>
        <v>22</v>
      </c>
      <c r="B26" s="7" t="s">
        <v>17</v>
      </c>
      <c r="C26" s="11" t="s">
        <v>152</v>
      </c>
      <c r="D26" s="24">
        <f t="shared" si="1"/>
        <v>1295</v>
      </c>
      <c r="E26" s="25" t="s">
        <v>23</v>
      </c>
      <c r="F26" s="24">
        <f t="shared" si="2"/>
        <v>0</v>
      </c>
      <c r="H26" s="9">
        <f t="shared" si="3"/>
        <v>0</v>
      </c>
      <c r="I26" s="27">
        <f t="shared" si="4"/>
        <v>1295</v>
      </c>
      <c r="K26" s="28"/>
      <c r="L26" s="29" t="s">
        <v>84</v>
      </c>
      <c r="M26" s="29" t="s">
        <v>84</v>
      </c>
    </row>
    <row r="27" spans="1:13">
      <c r="A27" s="23">
        <f t="shared" si="0"/>
        <v>23</v>
      </c>
      <c r="B27" s="7" t="s">
        <v>59</v>
      </c>
      <c r="C27" s="11" t="s">
        <v>149</v>
      </c>
      <c r="D27" s="24">
        <f t="shared" si="1"/>
        <v>3820</v>
      </c>
      <c r="E27" s="25" t="s">
        <v>162</v>
      </c>
      <c r="F27" s="24">
        <f t="shared" si="2"/>
        <v>175</v>
      </c>
      <c r="G27" s="26"/>
      <c r="H27" s="9">
        <f t="shared" si="3"/>
        <v>0</v>
      </c>
      <c r="I27" s="27">
        <f t="shared" si="4"/>
        <v>3995</v>
      </c>
      <c r="K27" s="28"/>
      <c r="L27" s="29"/>
      <c r="M27" s="29"/>
    </row>
    <row r="28" spans="1:13">
      <c r="A28" s="23">
        <f t="shared" si="0"/>
        <v>24</v>
      </c>
      <c r="B28" s="7" t="s">
        <v>14</v>
      </c>
      <c r="C28" s="11" t="s">
        <v>145</v>
      </c>
      <c r="D28" s="24">
        <f t="shared" si="1"/>
        <v>1295</v>
      </c>
      <c r="E28" s="25" t="s">
        <v>23</v>
      </c>
      <c r="F28" s="24">
        <f t="shared" si="2"/>
        <v>0</v>
      </c>
      <c r="G28" s="26"/>
      <c r="H28" s="9">
        <f t="shared" si="3"/>
        <v>0</v>
      </c>
      <c r="I28" s="27">
        <f t="shared" si="4"/>
        <v>1295</v>
      </c>
      <c r="K28" s="28"/>
      <c r="L28" s="29" t="s">
        <v>84</v>
      </c>
      <c r="M28" s="29" t="s">
        <v>84</v>
      </c>
    </row>
    <row r="29" spans="1:13">
      <c r="A29" s="23">
        <f t="shared" si="0"/>
        <v>25</v>
      </c>
      <c r="B29" s="7" t="s">
        <v>19</v>
      </c>
      <c r="C29" s="11" t="s">
        <v>152</v>
      </c>
      <c r="D29" s="24">
        <f t="shared" si="1"/>
        <v>1295</v>
      </c>
      <c r="E29" s="25" t="s">
        <v>162</v>
      </c>
      <c r="F29" s="24">
        <f t="shared" si="2"/>
        <v>175</v>
      </c>
      <c r="H29" s="9">
        <f t="shared" si="3"/>
        <v>0</v>
      </c>
      <c r="I29" s="27">
        <f>D29+F29+H29</f>
        <v>1470</v>
      </c>
      <c r="K29" s="28"/>
      <c r="L29" s="29" t="s">
        <v>155</v>
      </c>
      <c r="M29" s="29" t="s">
        <v>155</v>
      </c>
    </row>
    <row r="30" spans="1:13">
      <c r="A30" s="23">
        <f t="shared" si="0"/>
        <v>26</v>
      </c>
      <c r="B30" s="7" t="s">
        <v>67</v>
      </c>
      <c r="C30" s="11" t="s">
        <v>154</v>
      </c>
      <c r="D30" s="24">
        <f t="shared" si="1"/>
        <v>3820</v>
      </c>
      <c r="E30" s="25" t="s">
        <v>162</v>
      </c>
      <c r="F30" s="24">
        <f t="shared" si="2"/>
        <v>175</v>
      </c>
      <c r="H30" s="9">
        <f t="shared" si="3"/>
        <v>0</v>
      </c>
      <c r="I30" s="27">
        <f t="shared" si="4"/>
        <v>3995</v>
      </c>
      <c r="K30" s="28"/>
      <c r="L30" s="29"/>
      <c r="M30" s="29"/>
    </row>
    <row r="31" spans="1:13">
      <c r="A31" s="23">
        <f t="shared" si="0"/>
        <v>27</v>
      </c>
      <c r="B31" s="7" t="s">
        <v>68</v>
      </c>
      <c r="C31" s="11" t="s">
        <v>154</v>
      </c>
      <c r="D31" s="24">
        <f t="shared" si="1"/>
        <v>3820</v>
      </c>
      <c r="E31" s="25" t="s">
        <v>162</v>
      </c>
      <c r="F31" s="24">
        <f t="shared" si="2"/>
        <v>175</v>
      </c>
      <c r="H31" s="9">
        <f t="shared" si="3"/>
        <v>0</v>
      </c>
      <c r="I31" s="27">
        <f t="shared" si="4"/>
        <v>3995</v>
      </c>
      <c r="K31" s="28"/>
      <c r="L31" s="29"/>
      <c r="M31" s="29"/>
    </row>
    <row r="32" spans="1:13">
      <c r="A32" s="23">
        <f t="shared" si="0"/>
        <v>28</v>
      </c>
      <c r="B32" s="7" t="s">
        <v>85</v>
      </c>
      <c r="C32" s="11" t="s">
        <v>145</v>
      </c>
      <c r="D32" s="24">
        <f t="shared" si="1"/>
        <v>1295</v>
      </c>
      <c r="E32" s="25" t="s">
        <v>23</v>
      </c>
      <c r="F32" s="24">
        <f t="shared" si="2"/>
        <v>0</v>
      </c>
      <c r="H32" s="9">
        <f t="shared" si="3"/>
        <v>0</v>
      </c>
      <c r="I32" s="27">
        <f t="shared" si="4"/>
        <v>1295</v>
      </c>
      <c r="K32" s="28"/>
      <c r="L32" s="29" t="s">
        <v>84</v>
      </c>
      <c r="M32" s="29" t="s">
        <v>84</v>
      </c>
    </row>
    <row r="33" spans="1:14">
      <c r="A33" s="23">
        <f t="shared" si="0"/>
        <v>29</v>
      </c>
      <c r="B33" s="7" t="s">
        <v>92</v>
      </c>
      <c r="C33" s="11" t="s">
        <v>152</v>
      </c>
      <c r="D33" s="24">
        <f t="shared" si="1"/>
        <v>1295</v>
      </c>
      <c r="E33" s="25" t="s">
        <v>23</v>
      </c>
      <c r="F33" s="24">
        <f t="shared" si="2"/>
        <v>0</v>
      </c>
      <c r="H33" s="9">
        <f t="shared" si="3"/>
        <v>0</v>
      </c>
      <c r="I33" s="27">
        <f t="shared" si="4"/>
        <v>1295</v>
      </c>
      <c r="K33" s="28"/>
      <c r="L33" s="29" t="s">
        <v>84</v>
      </c>
      <c r="M33" s="29" t="s">
        <v>84</v>
      </c>
    </row>
    <row r="34" spans="1:14">
      <c r="A34" s="23">
        <f t="shared" si="0"/>
        <v>30</v>
      </c>
      <c r="B34" s="7" t="s">
        <v>58</v>
      </c>
      <c r="C34" s="11" t="s">
        <v>152</v>
      </c>
      <c r="D34" s="24">
        <f t="shared" si="1"/>
        <v>1295</v>
      </c>
      <c r="E34" s="25" t="s">
        <v>23</v>
      </c>
      <c r="F34" s="24">
        <f t="shared" si="2"/>
        <v>0</v>
      </c>
      <c r="H34" s="9">
        <f t="shared" si="3"/>
        <v>0</v>
      </c>
      <c r="I34" s="27">
        <f t="shared" si="4"/>
        <v>1295</v>
      </c>
      <c r="K34" s="28"/>
      <c r="L34" s="29" t="s">
        <v>156</v>
      </c>
      <c r="M34" s="29" t="s">
        <v>156</v>
      </c>
      <c r="N34" s="29"/>
    </row>
    <row r="35" spans="1:14">
      <c r="A35" s="23">
        <f t="shared" si="0"/>
        <v>31</v>
      </c>
      <c r="B35" s="39" t="s">
        <v>157</v>
      </c>
      <c r="C35" s="11" t="s">
        <v>160</v>
      </c>
      <c r="D35" s="24">
        <f t="shared" si="1"/>
        <v>1295</v>
      </c>
      <c r="E35" s="10" t="s">
        <v>23</v>
      </c>
      <c r="F35" s="24">
        <f t="shared" si="2"/>
        <v>0</v>
      </c>
      <c r="H35" s="9">
        <f t="shared" si="3"/>
        <v>0</v>
      </c>
      <c r="I35" s="27">
        <f t="shared" si="4"/>
        <v>1295</v>
      </c>
      <c r="K35" s="28"/>
      <c r="L35" s="29" t="s">
        <v>156</v>
      </c>
      <c r="M35" s="29" t="s">
        <v>156</v>
      </c>
      <c r="N35" s="29"/>
    </row>
    <row r="36" spans="1:14">
      <c r="A36" s="23">
        <f t="shared" si="0"/>
        <v>32</v>
      </c>
      <c r="B36" s="39" t="s">
        <v>158</v>
      </c>
      <c r="C36" s="11" t="s">
        <v>160</v>
      </c>
      <c r="D36" s="24">
        <f t="shared" si="1"/>
        <v>1295</v>
      </c>
      <c r="E36" s="10" t="s">
        <v>109</v>
      </c>
      <c r="F36" s="24">
        <f t="shared" si="2"/>
        <v>175</v>
      </c>
      <c r="H36" s="9">
        <f t="shared" si="3"/>
        <v>0</v>
      </c>
      <c r="I36" s="27">
        <f t="shared" si="4"/>
        <v>1470</v>
      </c>
      <c r="K36" s="28"/>
      <c r="L36" s="29" t="s">
        <v>84</v>
      </c>
      <c r="M36" s="29" t="s">
        <v>84</v>
      </c>
      <c r="N36" s="29"/>
    </row>
    <row r="37" spans="1:14">
      <c r="A37" s="23">
        <f t="shared" si="0"/>
        <v>33</v>
      </c>
      <c r="B37" s="39" t="s">
        <v>163</v>
      </c>
      <c r="C37" s="11" t="s">
        <v>159</v>
      </c>
      <c r="D37" s="24">
        <f t="shared" si="1"/>
        <v>1295</v>
      </c>
      <c r="E37" s="10" t="s">
        <v>23</v>
      </c>
      <c r="F37" s="24">
        <f t="shared" si="2"/>
        <v>0</v>
      </c>
      <c r="H37" s="9">
        <f t="shared" si="3"/>
        <v>0</v>
      </c>
      <c r="I37" s="27">
        <f t="shared" si="4"/>
        <v>1295</v>
      </c>
      <c r="K37" s="28"/>
      <c r="L37" s="29" t="s">
        <v>156</v>
      </c>
      <c r="M37" s="29" t="s">
        <v>156</v>
      </c>
      <c r="N37" s="29"/>
    </row>
    <row r="38" spans="1:14">
      <c r="A38" s="23">
        <f t="shared" si="0"/>
        <v>34</v>
      </c>
      <c r="B38" s="39" t="s">
        <v>164</v>
      </c>
      <c r="C38" s="11" t="s">
        <v>160</v>
      </c>
      <c r="D38" s="24">
        <f t="shared" si="1"/>
        <v>1295</v>
      </c>
      <c r="E38" s="10" t="s">
        <v>23</v>
      </c>
      <c r="F38" s="24">
        <f t="shared" si="2"/>
        <v>0</v>
      </c>
      <c r="H38" s="9">
        <f t="shared" si="3"/>
        <v>0</v>
      </c>
      <c r="I38" s="27">
        <f t="shared" si="4"/>
        <v>1295</v>
      </c>
      <c r="K38" s="28"/>
      <c r="L38" s="29" t="s">
        <v>156</v>
      </c>
      <c r="M38" s="29" t="s">
        <v>156</v>
      </c>
      <c r="N38" s="29"/>
    </row>
    <row r="39" spans="1:14">
      <c r="A39" s="23">
        <f t="shared" si="0"/>
        <v>35</v>
      </c>
      <c r="B39" s="39" t="s">
        <v>165</v>
      </c>
      <c r="C39" s="11" t="s">
        <v>160</v>
      </c>
      <c r="D39" s="24">
        <f t="shared" si="1"/>
        <v>1295</v>
      </c>
      <c r="E39" s="10" t="s">
        <v>23</v>
      </c>
      <c r="F39" s="24">
        <f t="shared" si="2"/>
        <v>0</v>
      </c>
      <c r="H39" s="9">
        <f t="shared" si="3"/>
        <v>0</v>
      </c>
      <c r="I39" s="27">
        <f t="shared" si="4"/>
        <v>1295</v>
      </c>
      <c r="K39" s="28"/>
      <c r="L39" s="29" t="s">
        <v>84</v>
      </c>
      <c r="M39" s="29" t="s">
        <v>84</v>
      </c>
      <c r="N39" s="29"/>
    </row>
    <row r="40" spans="1:14">
      <c r="A40" s="23">
        <f t="shared" si="0"/>
        <v>36</v>
      </c>
      <c r="B40" s="39" t="s">
        <v>166</v>
      </c>
      <c r="C40" s="11" t="s">
        <v>160</v>
      </c>
      <c r="D40" s="24">
        <f t="shared" si="1"/>
        <v>1295</v>
      </c>
      <c r="E40" s="10" t="s">
        <v>23</v>
      </c>
      <c r="F40" s="24">
        <f t="shared" si="2"/>
        <v>0</v>
      </c>
      <c r="H40" s="9">
        <f t="shared" si="3"/>
        <v>0</v>
      </c>
      <c r="I40" s="27">
        <f t="shared" si="4"/>
        <v>1295</v>
      </c>
      <c r="K40" s="28"/>
      <c r="L40" s="29" t="s">
        <v>156</v>
      </c>
      <c r="M40" s="29" t="s">
        <v>156</v>
      </c>
      <c r="N40" s="29"/>
    </row>
    <row r="41" spans="1:14">
      <c r="A41" s="23">
        <f t="shared" si="0"/>
        <v>37</v>
      </c>
      <c r="B41" s="39" t="s">
        <v>167</v>
      </c>
      <c r="C41" s="11" t="s">
        <v>160</v>
      </c>
      <c r="D41" s="24">
        <f t="shared" si="1"/>
        <v>1295</v>
      </c>
      <c r="E41" s="10" t="s">
        <v>23</v>
      </c>
      <c r="F41" s="24">
        <f t="shared" si="2"/>
        <v>0</v>
      </c>
      <c r="H41" s="9">
        <f t="shared" si="3"/>
        <v>0</v>
      </c>
      <c r="I41" s="27">
        <f t="shared" si="4"/>
        <v>1295</v>
      </c>
      <c r="K41" s="28"/>
      <c r="L41" s="29" t="s">
        <v>84</v>
      </c>
      <c r="M41" s="29" t="s">
        <v>84</v>
      </c>
      <c r="N41" s="29"/>
    </row>
    <row r="42" spans="1:14">
      <c r="A42" s="23">
        <f t="shared" si="0"/>
        <v>38</v>
      </c>
      <c r="B42" s="39" t="s">
        <v>46</v>
      </c>
      <c r="C42" s="11" t="s">
        <v>160</v>
      </c>
      <c r="D42" s="24">
        <f t="shared" si="1"/>
        <v>1295</v>
      </c>
      <c r="E42" s="10" t="s">
        <v>23</v>
      </c>
      <c r="F42" s="24">
        <f t="shared" si="2"/>
        <v>0</v>
      </c>
      <c r="H42" s="9">
        <f t="shared" si="3"/>
        <v>0</v>
      </c>
      <c r="I42" s="27">
        <f t="shared" si="4"/>
        <v>1295</v>
      </c>
      <c r="K42" s="28"/>
      <c r="L42" s="29" t="s">
        <v>156</v>
      </c>
      <c r="M42" s="29" t="s">
        <v>156</v>
      </c>
    </row>
    <row r="43" spans="1:14">
      <c r="A43" s="23">
        <f t="shared" si="0"/>
        <v>39</v>
      </c>
      <c r="B43" s="39" t="s">
        <v>47</v>
      </c>
      <c r="C43" s="11" t="s">
        <v>160</v>
      </c>
      <c r="D43" s="24">
        <f t="shared" si="1"/>
        <v>1295</v>
      </c>
      <c r="E43" s="10" t="s">
        <v>23</v>
      </c>
      <c r="F43" s="24">
        <f t="shared" si="2"/>
        <v>0</v>
      </c>
      <c r="H43" s="9">
        <f t="shared" si="3"/>
        <v>0</v>
      </c>
      <c r="I43" s="27">
        <f t="shared" si="4"/>
        <v>1295</v>
      </c>
      <c r="K43" s="28"/>
      <c r="L43" s="29" t="s">
        <v>84</v>
      </c>
      <c r="M43" s="29" t="s">
        <v>84</v>
      </c>
      <c r="N43" s="29"/>
    </row>
    <row r="44" spans="1:14">
      <c r="A44" s="23">
        <f t="shared" si="0"/>
        <v>40</v>
      </c>
      <c r="B44" s="39" t="s">
        <v>161</v>
      </c>
      <c r="C44" s="11" t="s">
        <v>159</v>
      </c>
      <c r="D44" s="24">
        <f t="shared" si="1"/>
        <v>1295</v>
      </c>
      <c r="E44" s="10" t="s">
        <v>23</v>
      </c>
      <c r="F44" s="24">
        <f t="shared" si="2"/>
        <v>0</v>
      </c>
      <c r="H44" s="9">
        <f t="shared" si="3"/>
        <v>0</v>
      </c>
      <c r="I44" s="27">
        <f t="shared" si="4"/>
        <v>1295</v>
      </c>
      <c r="K44" s="28"/>
      <c r="L44" s="29" t="s">
        <v>156</v>
      </c>
      <c r="M44" s="29" t="s">
        <v>156</v>
      </c>
    </row>
    <row r="45" spans="1:14">
      <c r="A45" s="23">
        <f t="shared" si="0"/>
        <v>41</v>
      </c>
      <c r="B45" s="39" t="s">
        <v>48</v>
      </c>
      <c r="C45" s="11" t="s">
        <v>160</v>
      </c>
      <c r="D45" s="24">
        <f t="shared" si="1"/>
        <v>1295</v>
      </c>
      <c r="E45" s="10" t="s">
        <v>23</v>
      </c>
      <c r="F45" s="24">
        <f t="shared" si="2"/>
        <v>0</v>
      </c>
      <c r="H45" s="9">
        <f t="shared" si="3"/>
        <v>0</v>
      </c>
      <c r="I45" s="27">
        <f t="shared" si="4"/>
        <v>1295</v>
      </c>
      <c r="L45" s="29" t="s">
        <v>156</v>
      </c>
      <c r="M45" s="29" t="s">
        <v>156</v>
      </c>
    </row>
    <row r="46" spans="1:14">
      <c r="A46" s="23">
        <f t="shared" si="0"/>
        <v>42</v>
      </c>
      <c r="B46" s="39" t="s">
        <v>49</v>
      </c>
      <c r="C46" s="11" t="s">
        <v>160</v>
      </c>
      <c r="D46" s="24">
        <f t="shared" si="1"/>
        <v>1295</v>
      </c>
      <c r="E46" s="10" t="s">
        <v>23</v>
      </c>
      <c r="F46" s="24">
        <f t="shared" si="2"/>
        <v>0</v>
      </c>
      <c r="H46" s="9">
        <f t="shared" si="3"/>
        <v>0</v>
      </c>
      <c r="I46" s="27">
        <f t="shared" si="4"/>
        <v>1295</v>
      </c>
      <c r="L46" s="29" t="s">
        <v>84</v>
      </c>
      <c r="M46" s="29" t="s">
        <v>84</v>
      </c>
    </row>
    <row r="47" spans="1:14">
      <c r="L47" s="29"/>
    </row>
    <row r="48" spans="1:14">
      <c r="A48" s="12" t="s">
        <v>113</v>
      </c>
      <c r="B48" s="13"/>
      <c r="C48" s="13"/>
      <c r="D48" s="13"/>
      <c r="E48" s="13"/>
      <c r="F48" s="29"/>
      <c r="G48" s="11"/>
      <c r="H48" s="11"/>
      <c r="J48" s="7"/>
      <c r="K48" s="7"/>
      <c r="L48" s="7"/>
      <c r="M48" s="7"/>
      <c r="N48" s="7"/>
    </row>
    <row r="49" spans="1:14" ht="15" thickBot="1">
      <c r="A49" s="31"/>
      <c r="B49" s="31" t="s">
        <v>56</v>
      </c>
      <c r="C49" s="18" t="s">
        <v>114</v>
      </c>
      <c r="D49" s="31" t="s">
        <v>6</v>
      </c>
      <c r="E49" s="31" t="s">
        <v>7</v>
      </c>
      <c r="F49" s="29"/>
      <c r="G49" s="11"/>
      <c r="H49" s="11"/>
      <c r="J49" s="7"/>
      <c r="K49" s="7"/>
      <c r="L49" s="7"/>
      <c r="M49" s="7"/>
      <c r="N49" s="7"/>
    </row>
    <row r="50" spans="1:14">
      <c r="A50" s="23">
        <v>1</v>
      </c>
      <c r="B50" s="32"/>
      <c r="C50" s="27"/>
      <c r="D50" s="9"/>
      <c r="E50" s="9"/>
      <c r="F50" s="29"/>
      <c r="G50" s="11"/>
      <c r="H50" s="11"/>
      <c r="J50" s="7"/>
      <c r="K50" s="7"/>
      <c r="L50" s="7"/>
      <c r="M50" s="7"/>
      <c r="N50" s="7"/>
    </row>
    <row r="51" spans="1:14">
      <c r="A51" s="23">
        <v>2</v>
      </c>
      <c r="B51" s="32"/>
      <c r="C51" s="27"/>
      <c r="D51" s="9"/>
      <c r="E51" s="9"/>
      <c r="F51" s="29"/>
      <c r="G51" s="11"/>
      <c r="H51" s="11"/>
      <c r="J51" s="7"/>
      <c r="K51" s="7"/>
      <c r="L51" s="7"/>
      <c r="M51" s="7"/>
      <c r="N51" s="7"/>
    </row>
    <row r="52" spans="1:14">
      <c r="A52" s="23">
        <v>3</v>
      </c>
      <c r="B52" s="32"/>
      <c r="C52" s="27"/>
      <c r="D52" s="9"/>
      <c r="E52" s="9"/>
      <c r="F52" s="29"/>
      <c r="G52" s="11"/>
      <c r="H52" s="11"/>
      <c r="J52" s="7"/>
      <c r="K52" s="7"/>
      <c r="L52" s="7"/>
      <c r="M52" s="7"/>
      <c r="N52" s="7"/>
    </row>
    <row r="53" spans="1:14">
      <c r="B53" s="32"/>
      <c r="C53" s="27"/>
      <c r="D53" s="9"/>
      <c r="E53" s="9"/>
      <c r="F53" s="10"/>
      <c r="G53" s="11"/>
      <c r="H53" s="11"/>
      <c r="J53" s="7"/>
      <c r="K53" s="7"/>
      <c r="L53" s="7"/>
      <c r="M53" s="7"/>
      <c r="N53" s="7"/>
    </row>
    <row r="54" spans="1:14" ht="15" thickBot="1">
      <c r="B54" s="33" t="s">
        <v>112</v>
      </c>
      <c r="C54" s="34"/>
      <c r="D54" s="35"/>
      <c r="E54" s="35"/>
      <c r="F54" s="10"/>
      <c r="G54" s="11"/>
      <c r="H54" s="11"/>
      <c r="J54" s="7"/>
      <c r="K54" s="7"/>
      <c r="L54" s="7"/>
      <c r="M54" s="7"/>
      <c r="N54" s="7"/>
    </row>
    <row r="55" spans="1:14">
      <c r="B55" s="36" t="s">
        <v>8</v>
      </c>
      <c r="C55" s="27">
        <f>SUM(I5:I46)+SUM(C50:C53)</f>
        <v>84540</v>
      </c>
      <c r="D55" s="35"/>
      <c r="E55" s="35"/>
      <c r="F55" s="10"/>
      <c r="G55" s="11"/>
      <c r="H55" s="11"/>
      <c r="J55" s="7"/>
      <c r="K55" s="7"/>
      <c r="L55" s="7"/>
      <c r="M55" s="7"/>
      <c r="N55" s="7"/>
    </row>
    <row r="56" spans="1:14">
      <c r="B56" s="36" t="s">
        <v>115</v>
      </c>
      <c r="C56" s="27">
        <f>SUM(J5:J46)+SUM(D50:D53)</f>
        <v>0</v>
      </c>
      <c r="F56" s="10"/>
      <c r="G56" s="11"/>
      <c r="H56" s="11"/>
      <c r="J56" s="7"/>
      <c r="K56" s="7"/>
      <c r="L56" s="7"/>
      <c r="M56" s="7"/>
      <c r="N56" s="7"/>
    </row>
    <row r="57" spans="1:14">
      <c r="B57" s="36"/>
      <c r="C57" s="27"/>
      <c r="F57" s="10"/>
      <c r="G57" s="11"/>
      <c r="H57" s="11"/>
      <c r="J57" s="7"/>
      <c r="K57" s="7"/>
      <c r="L57" s="7"/>
      <c r="M57" s="7"/>
      <c r="N57" s="7"/>
    </row>
    <row r="58" spans="1:14">
      <c r="F58" s="10"/>
      <c r="G58" s="11"/>
      <c r="H58" s="11"/>
      <c r="J58" s="7"/>
      <c r="K58" s="7"/>
      <c r="L58" s="7"/>
      <c r="M58" s="7"/>
      <c r="N58" s="7"/>
    </row>
    <row r="59" spans="1:14">
      <c r="F59" s="10"/>
      <c r="G59" s="11"/>
      <c r="H59" s="11"/>
      <c r="J59" s="7"/>
      <c r="K59" s="7"/>
      <c r="L59" s="7"/>
      <c r="M59" s="7"/>
      <c r="N59" s="7"/>
    </row>
    <row r="60" spans="1:14">
      <c r="I60" s="9"/>
    </row>
    <row r="61" spans="1:14">
      <c r="H61" s="37"/>
      <c r="I61" s="27"/>
    </row>
    <row r="62" spans="1:14">
      <c r="H62" s="27"/>
    </row>
    <row r="81" spans="9:9">
      <c r="I81" s="38"/>
    </row>
    <row r="83" spans="9:9">
      <c r="I83" s="38"/>
    </row>
  </sheetData>
  <sheetCalcPr fullCalcOnLoad="1"/>
  <sortState ref="A2:N32">
    <sortCondition ref="A3:A32"/>
  </sortState>
  <phoneticPr fontId="2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O82"/>
  <sheetViews>
    <sheetView topLeftCell="A5" workbookViewId="0">
      <selection activeCell="E13" sqref="E13"/>
    </sheetView>
  </sheetViews>
  <sheetFormatPr baseColWidth="10" defaultColWidth="8.83203125" defaultRowHeight="14"/>
  <cols>
    <col min="1" max="1" width="4" style="23" customWidth="1"/>
    <col min="2" max="2" width="15.1640625" style="7" bestFit="1" customWidth="1"/>
    <col min="3" max="3" width="12.5" style="7" bestFit="1" customWidth="1"/>
    <col min="4" max="4" width="13.1640625" style="7" bestFit="1" customWidth="1"/>
    <col min="5" max="5" width="8" style="7" bestFit="1" customWidth="1"/>
    <col min="6" max="6" width="11.1640625" style="7" customWidth="1"/>
    <col min="7" max="7" width="9" style="8" bestFit="1" customWidth="1"/>
    <col min="8" max="8" width="13.6640625" style="7" customWidth="1"/>
    <col min="9" max="9" width="9.1640625" style="7" bestFit="1" customWidth="1"/>
    <col min="10" max="10" width="10.33203125" style="9" customWidth="1"/>
    <col min="11" max="11" width="9.83203125" style="9" bestFit="1" customWidth="1"/>
    <col min="12" max="12" width="13.5" style="10" bestFit="1" customWidth="1"/>
    <col min="13" max="14" width="13.1640625" style="11" bestFit="1" customWidth="1"/>
    <col min="15" max="15" width="49.1640625" style="7" customWidth="1"/>
    <col min="16" max="16384" width="8.83203125" style="7"/>
  </cols>
  <sheetData>
    <row r="1" spans="1:15" ht="30">
      <c r="A1" s="1" t="s">
        <v>111</v>
      </c>
    </row>
    <row r="3" spans="1:15">
      <c r="A3" s="12" t="s">
        <v>215</v>
      </c>
      <c r="B3" s="13"/>
      <c r="C3" s="13"/>
      <c r="D3" s="13"/>
      <c r="E3" s="13"/>
      <c r="F3" s="13"/>
      <c r="G3" s="14"/>
      <c r="H3" s="13"/>
      <c r="I3" s="13"/>
      <c r="J3" s="15"/>
      <c r="K3" s="15"/>
      <c r="L3" s="16"/>
      <c r="M3" s="17"/>
      <c r="N3" s="17"/>
      <c r="O3" s="13"/>
    </row>
    <row r="4" spans="1:15" s="22" customFormat="1" ht="43" thickBot="1">
      <c r="A4" s="18" t="s">
        <v>20</v>
      </c>
      <c r="B4" s="18" t="s">
        <v>56</v>
      </c>
      <c r="C4" s="18" t="s">
        <v>21</v>
      </c>
      <c r="D4" s="18" t="s">
        <v>116</v>
      </c>
      <c r="E4" s="18" t="s">
        <v>83</v>
      </c>
      <c r="F4" s="18" t="s">
        <v>216</v>
      </c>
      <c r="G4" s="19" t="s">
        <v>70</v>
      </c>
      <c r="H4" s="18" t="s">
        <v>175</v>
      </c>
      <c r="I4" s="18" t="s">
        <v>57</v>
      </c>
      <c r="J4" s="20" t="s">
        <v>72</v>
      </c>
      <c r="K4" s="20" t="s">
        <v>73</v>
      </c>
      <c r="L4" s="20" t="s">
        <v>74</v>
      </c>
      <c r="M4" s="21" t="s">
        <v>75</v>
      </c>
      <c r="N4" s="21" t="s">
        <v>76</v>
      </c>
      <c r="O4" s="18" t="s">
        <v>22</v>
      </c>
    </row>
    <row r="5" spans="1:15">
      <c r="A5" s="23">
        <f>ROW()-4</f>
        <v>1</v>
      </c>
      <c r="B5" s="7" t="s">
        <v>61</v>
      </c>
      <c r="C5" s="11" t="s">
        <v>98</v>
      </c>
      <c r="D5" s="24">
        <f>IF(C5="IN", 3920, IF(C5="OUT", 1395, IF(C5="PRESIDENT", 2995, IF(C5="NEW", 1395, IF(C5="SA", 0)))))</f>
        <v>1395</v>
      </c>
      <c r="E5" s="25" t="s">
        <v>28</v>
      </c>
      <c r="F5" s="24">
        <f>IF(E5="IN",225,IF(E5="OUT",300,IF(E5="DAY",100,0)))</f>
        <v>100</v>
      </c>
      <c r="G5" s="26"/>
      <c r="H5" s="9">
        <f>25*12*G5</f>
        <v>0</v>
      </c>
      <c r="I5" s="27">
        <f t="shared" ref="I5:I45" si="0">D5+F5+H5</f>
        <v>1495</v>
      </c>
      <c r="K5" s="28"/>
      <c r="L5" s="29" t="s">
        <v>84</v>
      </c>
      <c r="M5" s="29" t="s">
        <v>84</v>
      </c>
      <c r="N5" s="30"/>
    </row>
    <row r="6" spans="1:15">
      <c r="A6" s="23">
        <f t="shared" ref="A6:A45" si="1">ROW()-4</f>
        <v>2</v>
      </c>
      <c r="B6" s="7" t="s">
        <v>86</v>
      </c>
      <c r="C6" s="11" t="s">
        <v>77</v>
      </c>
      <c r="D6" s="24">
        <f t="shared" ref="D6:D45" si="2">IF(C6="IN", 3920, IF(C6="OUT", 1395, IF(C6="PRESIDENT", 2995, IF(C6="NEW", 1395, IF(C6="SA", 0)))))</f>
        <v>2995</v>
      </c>
      <c r="E6" s="25" t="s">
        <v>25</v>
      </c>
      <c r="F6" s="24">
        <f t="shared" ref="F6:F45" si="3">IF(E6="IN",225,IF(E6="OUT",300,IF(E6="DAY",100,0)))</f>
        <v>225</v>
      </c>
      <c r="G6" s="26"/>
      <c r="H6" s="9">
        <f t="shared" ref="H6:H45" si="4">25*12*G6</f>
        <v>0</v>
      </c>
      <c r="I6" s="27">
        <f t="shared" si="0"/>
        <v>3220</v>
      </c>
      <c r="K6" s="28"/>
      <c r="L6" s="29"/>
      <c r="M6" s="29"/>
    </row>
    <row r="7" spans="1:15">
      <c r="A7" s="23">
        <f t="shared" si="1"/>
        <v>3</v>
      </c>
      <c r="B7" s="7" t="s">
        <v>18</v>
      </c>
      <c r="C7" s="11" t="s">
        <v>145</v>
      </c>
      <c r="D7" s="24">
        <f t="shared" si="2"/>
        <v>1395</v>
      </c>
      <c r="E7" s="25" t="s">
        <v>78</v>
      </c>
      <c r="F7" s="24">
        <f t="shared" si="3"/>
        <v>0</v>
      </c>
      <c r="H7" s="9">
        <f t="shared" si="4"/>
        <v>0</v>
      </c>
      <c r="I7" s="27">
        <f t="shared" si="0"/>
        <v>1395</v>
      </c>
      <c r="K7" s="28"/>
      <c r="L7" s="29" t="s">
        <v>84</v>
      </c>
      <c r="M7" s="29" t="s">
        <v>84</v>
      </c>
    </row>
    <row r="8" spans="1:15">
      <c r="A8" s="23">
        <f t="shared" si="1"/>
        <v>4</v>
      </c>
      <c r="B8" s="7" t="s">
        <v>63</v>
      </c>
      <c r="C8" s="11" t="s">
        <v>146</v>
      </c>
      <c r="D8" s="24">
        <f t="shared" si="2"/>
        <v>3920</v>
      </c>
      <c r="E8" s="25" t="s">
        <v>25</v>
      </c>
      <c r="F8" s="24">
        <f t="shared" si="3"/>
        <v>225</v>
      </c>
      <c r="G8" s="26"/>
      <c r="H8" s="9">
        <f t="shared" si="4"/>
        <v>0</v>
      </c>
      <c r="I8" s="27">
        <f t="shared" si="0"/>
        <v>4145</v>
      </c>
      <c r="K8" s="28"/>
      <c r="L8" s="29"/>
      <c r="M8" s="29"/>
    </row>
    <row r="9" spans="1:15">
      <c r="A9" s="23">
        <f t="shared" si="1"/>
        <v>5</v>
      </c>
      <c r="B9" s="7" t="s">
        <v>88</v>
      </c>
      <c r="C9" s="11" t="s">
        <v>147</v>
      </c>
      <c r="D9" s="24">
        <f t="shared" si="2"/>
        <v>1395</v>
      </c>
      <c r="E9" s="25" t="s">
        <v>28</v>
      </c>
      <c r="F9" s="24">
        <f t="shared" si="3"/>
        <v>100</v>
      </c>
      <c r="H9" s="9">
        <f t="shared" si="4"/>
        <v>0</v>
      </c>
      <c r="I9" s="27">
        <f t="shared" si="0"/>
        <v>1495</v>
      </c>
      <c r="L9" s="29" t="s">
        <v>84</v>
      </c>
      <c r="M9" s="29" t="s">
        <v>84</v>
      </c>
    </row>
    <row r="10" spans="1:15">
      <c r="A10" s="23">
        <f t="shared" si="1"/>
        <v>6</v>
      </c>
      <c r="B10" s="7" t="s">
        <v>148</v>
      </c>
      <c r="C10" s="11" t="s">
        <v>147</v>
      </c>
      <c r="D10" s="24">
        <f t="shared" si="2"/>
        <v>1395</v>
      </c>
      <c r="E10" s="25" t="s">
        <v>79</v>
      </c>
      <c r="F10" s="24">
        <f t="shared" si="3"/>
        <v>0</v>
      </c>
      <c r="H10" s="9">
        <f t="shared" si="4"/>
        <v>0</v>
      </c>
      <c r="I10" s="27">
        <f t="shared" si="0"/>
        <v>1395</v>
      </c>
      <c r="L10" s="29" t="s">
        <v>84</v>
      </c>
      <c r="M10" s="29" t="s">
        <v>84</v>
      </c>
    </row>
    <row r="11" spans="1:15">
      <c r="A11" s="23">
        <f t="shared" si="1"/>
        <v>7</v>
      </c>
      <c r="B11" s="7" t="s">
        <v>65</v>
      </c>
      <c r="C11" s="11" t="s">
        <v>149</v>
      </c>
      <c r="D11" s="24">
        <f t="shared" si="2"/>
        <v>3920</v>
      </c>
      <c r="E11" s="25" t="s">
        <v>79</v>
      </c>
      <c r="F11" s="24">
        <f t="shared" si="3"/>
        <v>0</v>
      </c>
      <c r="G11" s="26"/>
      <c r="H11" s="9">
        <f t="shared" si="4"/>
        <v>0</v>
      </c>
      <c r="I11" s="27">
        <f t="shared" si="0"/>
        <v>3920</v>
      </c>
      <c r="K11" s="28"/>
      <c r="L11" s="29"/>
      <c r="M11" s="29"/>
    </row>
    <row r="12" spans="1:15">
      <c r="A12" s="23">
        <f t="shared" si="1"/>
        <v>8</v>
      </c>
      <c r="B12" s="7" t="s">
        <v>95</v>
      </c>
      <c r="C12" s="11" t="s">
        <v>207</v>
      </c>
      <c r="D12" s="24">
        <f t="shared" si="2"/>
        <v>0</v>
      </c>
      <c r="E12" s="25" t="s">
        <v>209</v>
      </c>
      <c r="F12" s="24">
        <f>IF(E12="IN",225,IF(E12="OUT",300,IF(E12="DAY",100,0)))</f>
        <v>0</v>
      </c>
      <c r="H12" s="9">
        <f t="shared" si="4"/>
        <v>0</v>
      </c>
      <c r="I12" s="27">
        <f t="shared" si="0"/>
        <v>0</v>
      </c>
      <c r="K12" s="28"/>
      <c r="L12" s="29" t="s">
        <v>84</v>
      </c>
      <c r="M12" s="29" t="s">
        <v>84</v>
      </c>
    </row>
    <row r="13" spans="1:15">
      <c r="A13" s="23">
        <f t="shared" si="1"/>
        <v>9</v>
      </c>
      <c r="B13" s="7" t="s">
        <v>66</v>
      </c>
      <c r="C13" s="11" t="s">
        <v>151</v>
      </c>
      <c r="D13" s="24">
        <f t="shared" si="2"/>
        <v>2995</v>
      </c>
      <c r="E13" s="25" t="s">
        <v>25</v>
      </c>
      <c r="F13" s="24">
        <f t="shared" si="3"/>
        <v>225</v>
      </c>
      <c r="H13" s="9">
        <f t="shared" si="4"/>
        <v>0</v>
      </c>
      <c r="I13" s="27">
        <f t="shared" si="0"/>
        <v>3220</v>
      </c>
      <c r="K13" s="28"/>
      <c r="L13" s="29"/>
      <c r="M13" s="29"/>
    </row>
    <row r="14" spans="1:15">
      <c r="A14" s="23">
        <f t="shared" si="1"/>
        <v>10</v>
      </c>
      <c r="B14" s="7" t="s">
        <v>90</v>
      </c>
      <c r="C14" s="11" t="s">
        <v>145</v>
      </c>
      <c r="D14" s="24">
        <f t="shared" si="2"/>
        <v>1395</v>
      </c>
      <c r="E14" s="25" t="s">
        <v>26</v>
      </c>
      <c r="F14" s="24">
        <f t="shared" si="3"/>
        <v>300</v>
      </c>
      <c r="H14" s="9">
        <f t="shared" si="4"/>
        <v>0</v>
      </c>
      <c r="I14" s="27">
        <f t="shared" si="0"/>
        <v>1695</v>
      </c>
      <c r="K14" s="28"/>
      <c r="L14" s="29" t="s">
        <v>84</v>
      </c>
      <c r="M14" s="29" t="s">
        <v>84</v>
      </c>
    </row>
    <row r="15" spans="1:15">
      <c r="A15" s="23">
        <f t="shared" si="1"/>
        <v>11</v>
      </c>
      <c r="B15" s="7" t="s">
        <v>89</v>
      </c>
      <c r="C15" s="11" t="s">
        <v>152</v>
      </c>
      <c r="D15" s="24">
        <f t="shared" si="2"/>
        <v>1395</v>
      </c>
      <c r="E15" s="25" t="s">
        <v>79</v>
      </c>
      <c r="F15" s="24">
        <f t="shared" si="3"/>
        <v>0</v>
      </c>
      <c r="H15" s="9">
        <f t="shared" si="4"/>
        <v>0</v>
      </c>
      <c r="I15" s="27">
        <f t="shared" si="0"/>
        <v>1395</v>
      </c>
      <c r="K15" s="28"/>
      <c r="L15" s="29" t="s">
        <v>84</v>
      </c>
      <c r="M15" s="29" t="s">
        <v>84</v>
      </c>
    </row>
    <row r="16" spans="1:15">
      <c r="A16" s="23">
        <f t="shared" si="1"/>
        <v>12</v>
      </c>
      <c r="B16" s="7" t="s">
        <v>87</v>
      </c>
      <c r="C16" s="11" t="s">
        <v>24</v>
      </c>
      <c r="D16" s="24">
        <f t="shared" si="2"/>
        <v>2995</v>
      </c>
      <c r="E16" s="25" t="s">
        <v>25</v>
      </c>
      <c r="F16" s="24">
        <f t="shared" si="3"/>
        <v>225</v>
      </c>
      <c r="G16" s="26"/>
      <c r="H16" s="9">
        <f t="shared" si="4"/>
        <v>0</v>
      </c>
      <c r="I16" s="27">
        <f t="shared" si="0"/>
        <v>3220</v>
      </c>
      <c r="K16" s="28"/>
      <c r="L16" s="29"/>
      <c r="M16" s="29"/>
    </row>
    <row r="17" spans="1:13">
      <c r="A17" s="23">
        <f t="shared" si="1"/>
        <v>13</v>
      </c>
      <c r="B17" s="7" t="s">
        <v>96</v>
      </c>
      <c r="C17" s="11" t="s">
        <v>145</v>
      </c>
      <c r="D17" s="24">
        <f t="shared" si="2"/>
        <v>1395</v>
      </c>
      <c r="E17" s="25" t="s">
        <v>28</v>
      </c>
      <c r="F17" s="24">
        <f t="shared" si="3"/>
        <v>100</v>
      </c>
      <c r="H17" s="9">
        <f t="shared" si="4"/>
        <v>0</v>
      </c>
      <c r="I17" s="27">
        <f t="shared" si="0"/>
        <v>1495</v>
      </c>
      <c r="K17" s="28"/>
      <c r="L17" s="29" t="s">
        <v>84</v>
      </c>
      <c r="M17" s="29" t="s">
        <v>84</v>
      </c>
    </row>
    <row r="18" spans="1:13">
      <c r="A18" s="23">
        <f t="shared" si="1"/>
        <v>14</v>
      </c>
      <c r="B18" s="7" t="s">
        <v>16</v>
      </c>
      <c r="C18" s="11" t="s">
        <v>152</v>
      </c>
      <c r="D18" s="24">
        <f t="shared" si="2"/>
        <v>1395</v>
      </c>
      <c r="E18" s="25" t="s">
        <v>30</v>
      </c>
      <c r="F18" s="24">
        <f t="shared" si="3"/>
        <v>300</v>
      </c>
      <c r="H18" s="9">
        <f t="shared" si="4"/>
        <v>0</v>
      </c>
      <c r="I18" s="27">
        <f t="shared" si="0"/>
        <v>1695</v>
      </c>
      <c r="K18" s="28"/>
      <c r="L18" s="29" t="s">
        <v>84</v>
      </c>
      <c r="M18" s="29" t="s">
        <v>84</v>
      </c>
    </row>
    <row r="19" spans="1:13">
      <c r="A19" s="23">
        <f t="shared" si="1"/>
        <v>15</v>
      </c>
      <c r="B19" s="7" t="s">
        <v>15</v>
      </c>
      <c r="C19" s="11" t="s">
        <v>149</v>
      </c>
      <c r="D19" s="24">
        <f t="shared" si="2"/>
        <v>3920</v>
      </c>
      <c r="E19" s="25" t="s">
        <v>25</v>
      </c>
      <c r="F19" s="24">
        <f t="shared" si="3"/>
        <v>225</v>
      </c>
      <c r="H19" s="9">
        <f t="shared" si="4"/>
        <v>0</v>
      </c>
      <c r="I19" s="27">
        <f t="shared" si="0"/>
        <v>4145</v>
      </c>
      <c r="K19" s="28"/>
      <c r="L19" s="29"/>
      <c r="M19" s="29"/>
    </row>
    <row r="20" spans="1:13">
      <c r="A20" s="23">
        <f t="shared" si="1"/>
        <v>16</v>
      </c>
      <c r="B20" s="7" t="s">
        <v>93</v>
      </c>
      <c r="C20" s="11" t="s">
        <v>145</v>
      </c>
      <c r="D20" s="24">
        <f t="shared" si="2"/>
        <v>1395</v>
      </c>
      <c r="E20" s="25" t="s">
        <v>80</v>
      </c>
      <c r="F20" s="24">
        <f t="shared" si="3"/>
        <v>0</v>
      </c>
      <c r="H20" s="9">
        <f t="shared" si="4"/>
        <v>0</v>
      </c>
      <c r="I20" s="27">
        <f>D20+F20+H20</f>
        <v>1395</v>
      </c>
      <c r="K20" s="28"/>
      <c r="L20" s="29" t="s">
        <v>84</v>
      </c>
      <c r="M20" s="29" t="s">
        <v>84</v>
      </c>
    </row>
    <row r="21" spans="1:13">
      <c r="A21" s="23">
        <f t="shared" si="1"/>
        <v>17</v>
      </c>
      <c r="B21" s="7" t="s">
        <v>60</v>
      </c>
      <c r="C21" s="11" t="s">
        <v>153</v>
      </c>
      <c r="D21" s="24">
        <f t="shared" si="2"/>
        <v>3920</v>
      </c>
      <c r="E21" s="25" t="s">
        <v>25</v>
      </c>
      <c r="F21" s="24">
        <f t="shared" si="3"/>
        <v>225</v>
      </c>
      <c r="G21" s="26"/>
      <c r="H21" s="9">
        <f t="shared" si="4"/>
        <v>0</v>
      </c>
      <c r="I21" s="27">
        <f t="shared" si="0"/>
        <v>4145</v>
      </c>
      <c r="K21" s="28"/>
      <c r="L21" s="29"/>
      <c r="M21" s="29"/>
    </row>
    <row r="22" spans="1:13">
      <c r="A22" s="23">
        <f t="shared" si="1"/>
        <v>18</v>
      </c>
      <c r="B22" s="7" t="s">
        <v>64</v>
      </c>
      <c r="C22" s="11" t="s">
        <v>154</v>
      </c>
      <c r="D22" s="24">
        <f t="shared" si="2"/>
        <v>3920</v>
      </c>
      <c r="E22" s="25" t="s">
        <v>25</v>
      </c>
      <c r="F22" s="24">
        <f t="shared" si="3"/>
        <v>225</v>
      </c>
      <c r="H22" s="9">
        <f t="shared" si="4"/>
        <v>0</v>
      </c>
      <c r="I22" s="27">
        <f t="shared" si="0"/>
        <v>4145</v>
      </c>
      <c r="K22" s="28"/>
      <c r="L22" s="29"/>
      <c r="M22" s="29"/>
    </row>
    <row r="23" spans="1:13">
      <c r="A23" s="23">
        <f t="shared" si="1"/>
        <v>19</v>
      </c>
      <c r="B23" s="7" t="s">
        <v>91</v>
      </c>
      <c r="C23" s="11" t="s">
        <v>145</v>
      </c>
      <c r="D23" s="24">
        <f t="shared" si="2"/>
        <v>1395</v>
      </c>
      <c r="E23" s="25" t="s">
        <v>30</v>
      </c>
      <c r="F23" s="24">
        <f t="shared" si="3"/>
        <v>300</v>
      </c>
      <c r="H23" s="9">
        <f t="shared" si="4"/>
        <v>0</v>
      </c>
      <c r="I23" s="27">
        <f t="shared" si="0"/>
        <v>1695</v>
      </c>
      <c r="K23" s="28"/>
      <c r="L23" s="29" t="s">
        <v>84</v>
      </c>
      <c r="M23" s="29" t="s">
        <v>84</v>
      </c>
    </row>
    <row r="24" spans="1:13">
      <c r="A24" s="23">
        <f t="shared" si="1"/>
        <v>20</v>
      </c>
      <c r="B24" s="7" t="s">
        <v>94</v>
      </c>
      <c r="C24" s="11" t="s">
        <v>152</v>
      </c>
      <c r="D24" s="24">
        <f t="shared" si="2"/>
        <v>1395</v>
      </c>
      <c r="E24" s="25" t="s">
        <v>29</v>
      </c>
      <c r="F24" s="24">
        <f t="shared" si="3"/>
        <v>100</v>
      </c>
      <c r="H24" s="9">
        <f t="shared" si="4"/>
        <v>0</v>
      </c>
      <c r="I24" s="27">
        <f t="shared" si="0"/>
        <v>1495</v>
      </c>
      <c r="K24" s="28"/>
      <c r="L24" s="29" t="s">
        <v>84</v>
      </c>
      <c r="M24" s="29" t="s">
        <v>84</v>
      </c>
    </row>
    <row r="25" spans="1:13">
      <c r="A25" s="23">
        <f t="shared" si="1"/>
        <v>21</v>
      </c>
      <c r="B25" s="7" t="s">
        <v>17</v>
      </c>
      <c r="C25" s="11" t="s">
        <v>152</v>
      </c>
      <c r="D25" s="24">
        <f t="shared" si="2"/>
        <v>1395</v>
      </c>
      <c r="E25" s="25" t="s">
        <v>80</v>
      </c>
      <c r="F25" s="24">
        <f t="shared" si="3"/>
        <v>0</v>
      </c>
      <c r="H25" s="9">
        <f t="shared" si="4"/>
        <v>0</v>
      </c>
      <c r="I25" s="27">
        <f t="shared" si="0"/>
        <v>1395</v>
      </c>
      <c r="K25" s="28"/>
      <c r="L25" s="29" t="s">
        <v>84</v>
      </c>
      <c r="M25" s="29" t="s">
        <v>84</v>
      </c>
    </row>
    <row r="26" spans="1:13">
      <c r="A26" s="23">
        <f t="shared" si="1"/>
        <v>22</v>
      </c>
      <c r="B26" s="7" t="s">
        <v>59</v>
      </c>
      <c r="C26" s="11" t="s">
        <v>149</v>
      </c>
      <c r="D26" s="24">
        <f t="shared" si="2"/>
        <v>3920</v>
      </c>
      <c r="E26" s="25" t="s">
        <v>25</v>
      </c>
      <c r="F26" s="24">
        <f t="shared" si="3"/>
        <v>225</v>
      </c>
      <c r="G26" s="26"/>
      <c r="H26" s="9">
        <f t="shared" si="4"/>
        <v>0</v>
      </c>
      <c r="I26" s="27">
        <f t="shared" si="0"/>
        <v>4145</v>
      </c>
      <c r="K26" s="28"/>
      <c r="L26" s="29"/>
      <c r="M26" s="29"/>
    </row>
    <row r="27" spans="1:13">
      <c r="A27" s="23">
        <f t="shared" si="1"/>
        <v>23</v>
      </c>
      <c r="B27" s="7" t="s">
        <v>14</v>
      </c>
      <c r="C27" s="11" t="s">
        <v>145</v>
      </c>
      <c r="D27" s="24">
        <f t="shared" si="2"/>
        <v>1395</v>
      </c>
      <c r="E27" s="25" t="s">
        <v>28</v>
      </c>
      <c r="F27" s="24">
        <f t="shared" si="3"/>
        <v>100</v>
      </c>
      <c r="G27" s="26"/>
      <c r="H27" s="9">
        <f t="shared" si="4"/>
        <v>0</v>
      </c>
      <c r="I27" s="27">
        <f t="shared" si="0"/>
        <v>1495</v>
      </c>
      <c r="K27" s="28"/>
      <c r="L27" s="29" t="s">
        <v>84</v>
      </c>
      <c r="M27" s="29" t="s">
        <v>84</v>
      </c>
    </row>
    <row r="28" spans="1:13">
      <c r="A28" s="23">
        <f t="shared" si="1"/>
        <v>24</v>
      </c>
      <c r="B28" s="7" t="s">
        <v>19</v>
      </c>
      <c r="C28" s="11" t="s">
        <v>152</v>
      </c>
      <c r="D28" s="24">
        <f t="shared" si="2"/>
        <v>1395</v>
      </c>
      <c r="E28" s="25" t="s">
        <v>26</v>
      </c>
      <c r="F28" s="24">
        <f t="shared" si="3"/>
        <v>300</v>
      </c>
      <c r="H28" s="9">
        <f t="shared" si="4"/>
        <v>0</v>
      </c>
      <c r="I28" s="27">
        <f t="shared" si="0"/>
        <v>1695</v>
      </c>
      <c r="K28" s="28"/>
      <c r="L28" s="29" t="s">
        <v>155</v>
      </c>
      <c r="M28" s="29" t="s">
        <v>155</v>
      </c>
    </row>
    <row r="29" spans="1:13">
      <c r="A29" s="23">
        <f t="shared" si="1"/>
        <v>25</v>
      </c>
      <c r="B29" s="7" t="s">
        <v>67</v>
      </c>
      <c r="C29" s="11" t="s">
        <v>154</v>
      </c>
      <c r="D29" s="24">
        <f t="shared" si="2"/>
        <v>3920</v>
      </c>
      <c r="E29" s="25" t="s">
        <v>25</v>
      </c>
      <c r="F29" s="24">
        <f t="shared" si="3"/>
        <v>225</v>
      </c>
      <c r="H29" s="9">
        <f t="shared" si="4"/>
        <v>0</v>
      </c>
      <c r="I29" s="27">
        <f t="shared" si="0"/>
        <v>4145</v>
      </c>
      <c r="K29" s="28"/>
      <c r="L29" s="29"/>
      <c r="M29" s="29"/>
    </row>
    <row r="30" spans="1:13">
      <c r="A30" s="23">
        <f t="shared" si="1"/>
        <v>26</v>
      </c>
      <c r="B30" s="7" t="s">
        <v>68</v>
      </c>
      <c r="C30" s="11" t="s">
        <v>154</v>
      </c>
      <c r="D30" s="24">
        <f t="shared" si="2"/>
        <v>3920</v>
      </c>
      <c r="E30" s="25" t="s">
        <v>25</v>
      </c>
      <c r="F30" s="24">
        <f t="shared" si="3"/>
        <v>225</v>
      </c>
      <c r="H30" s="9">
        <f t="shared" si="4"/>
        <v>0</v>
      </c>
      <c r="I30" s="27">
        <f t="shared" si="0"/>
        <v>4145</v>
      </c>
      <c r="K30" s="28"/>
      <c r="L30" s="29"/>
      <c r="M30" s="29"/>
    </row>
    <row r="31" spans="1:13">
      <c r="A31" s="23">
        <f t="shared" si="1"/>
        <v>27</v>
      </c>
      <c r="B31" s="7" t="s">
        <v>85</v>
      </c>
      <c r="C31" s="11" t="s">
        <v>145</v>
      </c>
      <c r="D31" s="24">
        <f t="shared" si="2"/>
        <v>1395</v>
      </c>
      <c r="E31" s="25" t="s">
        <v>80</v>
      </c>
      <c r="F31" s="24">
        <f t="shared" si="3"/>
        <v>0</v>
      </c>
      <c r="H31" s="9">
        <f t="shared" si="4"/>
        <v>0</v>
      </c>
      <c r="I31" s="27">
        <f t="shared" si="0"/>
        <v>1395</v>
      </c>
      <c r="K31" s="28"/>
      <c r="L31" s="29" t="s">
        <v>84</v>
      </c>
      <c r="M31" s="29" t="s">
        <v>84</v>
      </c>
    </row>
    <row r="32" spans="1:13">
      <c r="A32" s="23">
        <f t="shared" si="1"/>
        <v>28</v>
      </c>
      <c r="B32" s="7" t="s">
        <v>92</v>
      </c>
      <c r="C32" s="11" t="s">
        <v>152</v>
      </c>
      <c r="D32" s="24">
        <f t="shared" si="2"/>
        <v>1395</v>
      </c>
      <c r="E32" s="25" t="s">
        <v>30</v>
      </c>
      <c r="F32" s="24">
        <f t="shared" si="3"/>
        <v>300</v>
      </c>
      <c r="H32" s="9">
        <f t="shared" si="4"/>
        <v>0</v>
      </c>
      <c r="I32" s="27">
        <f>D32+F32+H32</f>
        <v>1695</v>
      </c>
      <c r="K32" s="28"/>
      <c r="L32" s="29" t="s">
        <v>84</v>
      </c>
      <c r="M32" s="29" t="s">
        <v>84</v>
      </c>
    </row>
    <row r="33" spans="1:14">
      <c r="A33" s="23">
        <f t="shared" si="1"/>
        <v>29</v>
      </c>
      <c r="B33" s="7" t="s">
        <v>58</v>
      </c>
      <c r="C33" s="11" t="s">
        <v>152</v>
      </c>
      <c r="D33" s="24">
        <f t="shared" si="2"/>
        <v>1395</v>
      </c>
      <c r="E33" s="25" t="s">
        <v>30</v>
      </c>
      <c r="F33" s="24">
        <f t="shared" si="3"/>
        <v>300</v>
      </c>
      <c r="H33" s="9">
        <f t="shared" si="4"/>
        <v>0</v>
      </c>
      <c r="I33" s="27">
        <f t="shared" si="0"/>
        <v>1695</v>
      </c>
      <c r="K33" s="28"/>
      <c r="L33" s="29" t="s">
        <v>156</v>
      </c>
      <c r="M33" s="29" t="s">
        <v>156</v>
      </c>
      <c r="N33" s="29"/>
    </row>
    <row r="34" spans="1:14">
      <c r="A34" s="23">
        <f t="shared" si="1"/>
        <v>30</v>
      </c>
      <c r="B34" s="39" t="s">
        <v>157</v>
      </c>
      <c r="C34" s="11" t="s">
        <v>160</v>
      </c>
      <c r="D34" s="24">
        <f t="shared" si="2"/>
        <v>1395</v>
      </c>
      <c r="E34" s="10" t="s">
        <v>80</v>
      </c>
      <c r="F34" s="24">
        <f t="shared" si="3"/>
        <v>0</v>
      </c>
      <c r="H34" s="9">
        <f t="shared" si="4"/>
        <v>0</v>
      </c>
      <c r="I34" s="27">
        <f t="shared" si="0"/>
        <v>1395</v>
      </c>
      <c r="K34" s="28"/>
      <c r="L34" s="29" t="s">
        <v>156</v>
      </c>
      <c r="M34" s="29" t="s">
        <v>156</v>
      </c>
      <c r="N34" s="29"/>
    </row>
    <row r="35" spans="1:14">
      <c r="A35" s="23">
        <f t="shared" si="1"/>
        <v>31</v>
      </c>
      <c r="B35" s="39" t="s">
        <v>158</v>
      </c>
      <c r="C35" s="11" t="s">
        <v>160</v>
      </c>
      <c r="D35" s="24">
        <f t="shared" si="2"/>
        <v>1395</v>
      </c>
      <c r="E35" s="10" t="s">
        <v>27</v>
      </c>
      <c r="F35" s="24">
        <f t="shared" si="3"/>
        <v>300</v>
      </c>
      <c r="H35" s="9">
        <f t="shared" si="4"/>
        <v>0</v>
      </c>
      <c r="I35" s="27">
        <f t="shared" si="0"/>
        <v>1695</v>
      </c>
      <c r="K35" s="28"/>
      <c r="L35" s="29" t="s">
        <v>84</v>
      </c>
      <c r="M35" s="29" t="s">
        <v>84</v>
      </c>
      <c r="N35" s="29"/>
    </row>
    <row r="36" spans="1:14">
      <c r="A36" s="23">
        <f t="shared" si="1"/>
        <v>32</v>
      </c>
      <c r="B36" s="39" t="s">
        <v>163</v>
      </c>
      <c r="C36" s="11" t="s">
        <v>159</v>
      </c>
      <c r="D36" s="24">
        <f t="shared" si="2"/>
        <v>1395</v>
      </c>
      <c r="E36" s="10" t="s">
        <v>81</v>
      </c>
      <c r="F36" s="24">
        <f t="shared" si="3"/>
        <v>0</v>
      </c>
      <c r="H36" s="9">
        <f t="shared" si="4"/>
        <v>0</v>
      </c>
      <c r="I36" s="27">
        <f t="shared" si="0"/>
        <v>1395</v>
      </c>
      <c r="K36" s="28"/>
      <c r="L36" s="29" t="s">
        <v>156</v>
      </c>
      <c r="M36" s="29" t="s">
        <v>156</v>
      </c>
      <c r="N36" s="29"/>
    </row>
    <row r="37" spans="1:14">
      <c r="A37" s="23">
        <f t="shared" si="1"/>
        <v>33</v>
      </c>
      <c r="B37" s="39" t="s">
        <v>164</v>
      </c>
      <c r="C37" s="11" t="s">
        <v>160</v>
      </c>
      <c r="D37" s="24">
        <f t="shared" si="2"/>
        <v>1395</v>
      </c>
      <c r="E37" s="10" t="s">
        <v>81</v>
      </c>
      <c r="F37" s="24">
        <f t="shared" si="3"/>
        <v>0</v>
      </c>
      <c r="H37" s="9">
        <f t="shared" si="4"/>
        <v>0</v>
      </c>
      <c r="I37" s="27">
        <f t="shared" si="0"/>
        <v>1395</v>
      </c>
      <c r="K37" s="28"/>
      <c r="L37" s="29" t="s">
        <v>156</v>
      </c>
      <c r="M37" s="29" t="s">
        <v>156</v>
      </c>
      <c r="N37" s="29"/>
    </row>
    <row r="38" spans="1:14">
      <c r="A38" s="23">
        <f t="shared" si="1"/>
        <v>34</v>
      </c>
      <c r="B38" s="39" t="s">
        <v>165</v>
      </c>
      <c r="C38" s="11" t="s">
        <v>160</v>
      </c>
      <c r="D38" s="24">
        <f t="shared" si="2"/>
        <v>1395</v>
      </c>
      <c r="E38" s="10" t="s">
        <v>81</v>
      </c>
      <c r="F38" s="24">
        <f t="shared" si="3"/>
        <v>0</v>
      </c>
      <c r="H38" s="9">
        <f t="shared" si="4"/>
        <v>0</v>
      </c>
      <c r="I38" s="27">
        <f t="shared" si="0"/>
        <v>1395</v>
      </c>
      <c r="K38" s="28"/>
      <c r="L38" s="29" t="s">
        <v>84</v>
      </c>
      <c r="M38" s="29" t="s">
        <v>84</v>
      </c>
      <c r="N38" s="29"/>
    </row>
    <row r="39" spans="1:14">
      <c r="A39" s="23">
        <f t="shared" si="1"/>
        <v>35</v>
      </c>
      <c r="B39" s="39" t="s">
        <v>166</v>
      </c>
      <c r="C39" s="11" t="s">
        <v>160</v>
      </c>
      <c r="D39" s="24">
        <f t="shared" si="2"/>
        <v>1395</v>
      </c>
      <c r="E39" s="10" t="s">
        <v>82</v>
      </c>
      <c r="F39" s="24">
        <f t="shared" si="3"/>
        <v>0</v>
      </c>
      <c r="H39" s="9">
        <f t="shared" si="4"/>
        <v>0</v>
      </c>
      <c r="I39" s="27">
        <f t="shared" si="0"/>
        <v>1395</v>
      </c>
      <c r="K39" s="28"/>
      <c r="L39" s="29" t="s">
        <v>156</v>
      </c>
      <c r="M39" s="29" t="s">
        <v>156</v>
      </c>
      <c r="N39" s="29"/>
    </row>
    <row r="40" spans="1:14">
      <c r="A40" s="23">
        <f t="shared" si="1"/>
        <v>36</v>
      </c>
      <c r="B40" s="39" t="s">
        <v>167</v>
      </c>
      <c r="C40" s="11" t="s">
        <v>208</v>
      </c>
      <c r="D40" s="24">
        <f t="shared" si="2"/>
        <v>0</v>
      </c>
      <c r="E40" s="10" t="s">
        <v>82</v>
      </c>
      <c r="F40" s="24">
        <f t="shared" si="3"/>
        <v>0</v>
      </c>
      <c r="H40" s="9">
        <f t="shared" si="4"/>
        <v>0</v>
      </c>
      <c r="I40" s="27">
        <f t="shared" si="0"/>
        <v>0</v>
      </c>
      <c r="K40" s="28"/>
      <c r="L40" s="29" t="s">
        <v>84</v>
      </c>
      <c r="M40" s="29" t="s">
        <v>84</v>
      </c>
      <c r="N40" s="29"/>
    </row>
    <row r="41" spans="1:14">
      <c r="A41" s="23">
        <f t="shared" si="1"/>
        <v>37</v>
      </c>
      <c r="B41" s="39" t="s">
        <v>46</v>
      </c>
      <c r="C41" s="11" t="s">
        <v>160</v>
      </c>
      <c r="D41" s="24">
        <f t="shared" si="2"/>
        <v>1395</v>
      </c>
      <c r="E41" s="10" t="s">
        <v>82</v>
      </c>
      <c r="F41" s="24">
        <f t="shared" si="3"/>
        <v>0</v>
      </c>
      <c r="H41" s="9">
        <f t="shared" si="4"/>
        <v>0</v>
      </c>
      <c r="I41" s="27">
        <f t="shared" si="0"/>
        <v>1395</v>
      </c>
      <c r="K41" s="28"/>
      <c r="L41" s="29" t="s">
        <v>156</v>
      </c>
      <c r="M41" s="29" t="s">
        <v>156</v>
      </c>
    </row>
    <row r="42" spans="1:14">
      <c r="A42" s="23">
        <f t="shared" si="1"/>
        <v>38</v>
      </c>
      <c r="B42" s="39" t="s">
        <v>47</v>
      </c>
      <c r="C42" s="11" t="s">
        <v>160</v>
      </c>
      <c r="D42" s="24">
        <f t="shared" si="2"/>
        <v>1395</v>
      </c>
      <c r="E42" s="10" t="s">
        <v>82</v>
      </c>
      <c r="F42" s="24">
        <f t="shared" si="3"/>
        <v>0</v>
      </c>
      <c r="H42" s="9">
        <f t="shared" si="4"/>
        <v>0</v>
      </c>
      <c r="I42" s="27">
        <f t="shared" si="0"/>
        <v>1395</v>
      </c>
      <c r="K42" s="28"/>
      <c r="L42" s="29" t="s">
        <v>84</v>
      </c>
      <c r="M42" s="29" t="s">
        <v>84</v>
      </c>
      <c r="N42" s="29"/>
    </row>
    <row r="43" spans="1:14">
      <c r="A43" s="23">
        <f t="shared" si="1"/>
        <v>39</v>
      </c>
      <c r="B43" s="39" t="s">
        <v>161</v>
      </c>
      <c r="C43" s="11" t="s">
        <v>159</v>
      </c>
      <c r="D43" s="24">
        <f t="shared" si="2"/>
        <v>1395</v>
      </c>
      <c r="E43" s="10" t="s">
        <v>80</v>
      </c>
      <c r="F43" s="24">
        <f t="shared" si="3"/>
        <v>0</v>
      </c>
      <c r="H43" s="9">
        <f t="shared" si="4"/>
        <v>0</v>
      </c>
      <c r="I43" s="27">
        <f t="shared" si="0"/>
        <v>1395</v>
      </c>
      <c r="K43" s="28"/>
      <c r="L43" s="29" t="s">
        <v>156</v>
      </c>
      <c r="M43" s="29" t="s">
        <v>156</v>
      </c>
    </row>
    <row r="44" spans="1:14">
      <c r="A44" s="23">
        <f t="shared" si="1"/>
        <v>40</v>
      </c>
      <c r="B44" s="39" t="s">
        <v>48</v>
      </c>
      <c r="C44" s="11" t="s">
        <v>160</v>
      </c>
      <c r="D44" s="24">
        <f t="shared" si="2"/>
        <v>1395</v>
      </c>
      <c r="E44" s="10" t="s">
        <v>80</v>
      </c>
      <c r="F44" s="24">
        <f t="shared" si="3"/>
        <v>0</v>
      </c>
      <c r="H44" s="9">
        <f t="shared" si="4"/>
        <v>0</v>
      </c>
      <c r="I44" s="27">
        <f t="shared" si="0"/>
        <v>1395</v>
      </c>
      <c r="L44" s="29" t="s">
        <v>156</v>
      </c>
      <c r="M44" s="29" t="s">
        <v>156</v>
      </c>
    </row>
    <row r="45" spans="1:14">
      <c r="A45" s="23">
        <f t="shared" si="1"/>
        <v>41</v>
      </c>
      <c r="B45" s="39" t="s">
        <v>49</v>
      </c>
      <c r="C45" s="11" t="s">
        <v>160</v>
      </c>
      <c r="D45" s="24">
        <f t="shared" si="2"/>
        <v>1395</v>
      </c>
      <c r="E45" s="10" t="s">
        <v>80</v>
      </c>
      <c r="F45" s="24">
        <f t="shared" si="3"/>
        <v>0</v>
      </c>
      <c r="H45" s="9">
        <f t="shared" si="4"/>
        <v>0</v>
      </c>
      <c r="I45" s="27">
        <f t="shared" si="0"/>
        <v>1395</v>
      </c>
      <c r="L45" s="29" t="s">
        <v>84</v>
      </c>
      <c r="M45" s="29" t="s">
        <v>84</v>
      </c>
    </row>
    <row r="46" spans="1:14">
      <c r="L46" s="29"/>
    </row>
    <row r="47" spans="1:14">
      <c r="A47" s="12" t="s">
        <v>113</v>
      </c>
      <c r="B47" s="13"/>
      <c r="C47" s="13"/>
      <c r="D47" s="13"/>
      <c r="F47" s="29"/>
      <c r="G47" s="11"/>
      <c r="H47" s="11"/>
      <c r="J47" s="7"/>
      <c r="K47" s="7"/>
      <c r="L47" s="7"/>
      <c r="M47" s="7"/>
      <c r="N47" s="7"/>
    </row>
    <row r="48" spans="1:14" ht="15" thickBot="1">
      <c r="A48" s="31"/>
      <c r="B48" s="31" t="s">
        <v>56</v>
      </c>
      <c r="C48" s="18" t="s">
        <v>114</v>
      </c>
      <c r="D48" s="31" t="s">
        <v>7</v>
      </c>
      <c r="F48" s="29"/>
      <c r="G48" s="11"/>
      <c r="H48" s="11"/>
      <c r="J48" s="7"/>
      <c r="K48" s="7"/>
      <c r="L48" s="7"/>
      <c r="M48" s="7"/>
      <c r="N48" s="7"/>
    </row>
    <row r="49" spans="1:14">
      <c r="A49" s="23">
        <v>1</v>
      </c>
      <c r="B49" s="32"/>
      <c r="C49" s="27">
        <v>550</v>
      </c>
      <c r="D49" s="9"/>
      <c r="E49" s="9"/>
      <c r="F49" s="29"/>
      <c r="G49" s="11"/>
      <c r="H49" s="11"/>
      <c r="J49" s="7"/>
      <c r="K49" s="7"/>
      <c r="L49" s="7"/>
      <c r="M49" s="7"/>
      <c r="N49" s="7"/>
    </row>
    <row r="50" spans="1:14">
      <c r="A50" s="23">
        <v>2</v>
      </c>
      <c r="B50" s="32"/>
      <c r="C50" s="27"/>
      <c r="D50" s="9"/>
      <c r="E50" s="9"/>
      <c r="F50" s="29"/>
      <c r="G50" s="11"/>
      <c r="H50" s="11"/>
      <c r="J50" s="7"/>
      <c r="K50" s="7"/>
      <c r="L50" s="7"/>
      <c r="M50" s="7"/>
      <c r="N50" s="7"/>
    </row>
    <row r="51" spans="1:14">
      <c r="A51" s="23">
        <v>3</v>
      </c>
      <c r="B51" s="32"/>
      <c r="C51" s="27"/>
      <c r="D51" s="9"/>
      <c r="E51" s="9"/>
      <c r="F51" s="29"/>
      <c r="G51" s="11"/>
      <c r="H51" s="11"/>
      <c r="J51" s="7"/>
      <c r="K51" s="7"/>
      <c r="L51" s="7"/>
      <c r="M51" s="7"/>
      <c r="N51" s="7"/>
    </row>
    <row r="52" spans="1:14">
      <c r="B52" s="32"/>
      <c r="C52" s="27"/>
      <c r="D52" s="9"/>
      <c r="E52" s="9"/>
      <c r="F52" s="10"/>
      <c r="G52" s="11"/>
      <c r="H52" s="11"/>
      <c r="J52" s="7"/>
      <c r="K52" s="7"/>
      <c r="L52" s="7"/>
      <c r="M52" s="7"/>
      <c r="N52" s="7"/>
    </row>
    <row r="53" spans="1:14" ht="15" thickBot="1">
      <c r="B53" s="33" t="s">
        <v>168</v>
      </c>
      <c r="C53" s="34"/>
      <c r="D53" s="35"/>
      <c r="E53" s="35"/>
      <c r="F53" s="10"/>
      <c r="G53" s="11"/>
      <c r="H53" s="11"/>
      <c r="J53" s="7"/>
      <c r="K53" s="7"/>
      <c r="L53" s="7"/>
      <c r="M53" s="7"/>
      <c r="N53" s="7"/>
    </row>
    <row r="54" spans="1:14">
      <c r="B54" s="36" t="s">
        <v>8</v>
      </c>
      <c r="C54" s="27">
        <f>SUM(I5:I45)+SUM(C49:C52)</f>
        <v>84805</v>
      </c>
      <c r="D54" s="35"/>
      <c r="E54" s="35"/>
      <c r="F54" s="10"/>
      <c r="G54" s="11"/>
      <c r="H54" s="11"/>
      <c r="J54" s="7"/>
      <c r="K54" s="7"/>
      <c r="L54" s="7"/>
      <c r="M54" s="7"/>
      <c r="N54" s="7"/>
    </row>
    <row r="55" spans="1:14">
      <c r="B55" s="36" t="s">
        <v>9</v>
      </c>
      <c r="C55" s="27">
        <f>SUM(J5:J45)+SUM(D49:D52)</f>
        <v>0</v>
      </c>
      <c r="F55" s="10"/>
      <c r="G55" s="11"/>
      <c r="H55" s="11"/>
      <c r="J55" s="7"/>
      <c r="K55" s="7"/>
      <c r="L55" s="7"/>
      <c r="M55" s="7"/>
      <c r="N55" s="7"/>
    </row>
    <row r="56" spans="1:14">
      <c r="B56" s="36"/>
      <c r="C56" s="27"/>
      <c r="F56" s="10"/>
      <c r="G56" s="11"/>
      <c r="H56" s="11"/>
      <c r="J56" s="7"/>
      <c r="K56" s="7"/>
      <c r="L56" s="7"/>
      <c r="M56" s="7"/>
      <c r="N56" s="7"/>
    </row>
    <row r="57" spans="1:14">
      <c r="F57" s="10"/>
      <c r="G57" s="11"/>
      <c r="H57" s="11"/>
      <c r="J57" s="7"/>
      <c r="K57" s="7"/>
      <c r="L57" s="7"/>
      <c r="M57" s="7"/>
      <c r="N57" s="7"/>
    </row>
    <row r="58" spans="1:14">
      <c r="F58" s="10"/>
      <c r="G58" s="11"/>
      <c r="H58" s="11"/>
      <c r="J58" s="7"/>
      <c r="K58" s="7"/>
      <c r="L58" s="7"/>
      <c r="M58" s="7"/>
      <c r="N58" s="7"/>
    </row>
    <row r="59" spans="1:14">
      <c r="I59" s="9"/>
    </row>
    <row r="60" spans="1:14">
      <c r="H60" s="37"/>
      <c r="I60" s="27"/>
    </row>
    <row r="61" spans="1:14">
      <c r="H61" s="27"/>
    </row>
    <row r="80" spans="9:9">
      <c r="I80" s="38"/>
    </row>
    <row r="82" spans="9:9">
      <c r="I82" s="38"/>
    </row>
  </sheetData>
  <sheetCalcPr fullCalcOnLoad="1"/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O82"/>
  <sheetViews>
    <sheetView topLeftCell="A9" workbookViewId="0">
      <selection activeCell="O19" sqref="O19"/>
    </sheetView>
  </sheetViews>
  <sheetFormatPr baseColWidth="10" defaultColWidth="8.83203125" defaultRowHeight="14"/>
  <cols>
    <col min="1" max="1" width="4" style="23" customWidth="1"/>
    <col min="2" max="2" width="15.1640625" style="7" customWidth="1"/>
    <col min="3" max="3" width="12.5" style="7" customWidth="1"/>
    <col min="4" max="4" width="13.1640625" style="7" customWidth="1"/>
    <col min="5" max="5" width="8" style="7" customWidth="1"/>
    <col min="6" max="6" width="11.1640625" style="7" customWidth="1"/>
    <col min="7" max="7" width="9" style="8" customWidth="1"/>
    <col min="8" max="8" width="13.6640625" style="7" customWidth="1"/>
    <col min="9" max="9" width="14.1640625" style="7" customWidth="1"/>
    <col min="10" max="10" width="10.33203125" style="9" customWidth="1"/>
    <col min="11" max="11" width="9.83203125" style="9" customWidth="1"/>
    <col min="12" max="12" width="13.5" style="10" customWidth="1"/>
    <col min="13" max="14" width="13.1640625" style="11" customWidth="1"/>
    <col min="15" max="15" width="49.1640625" style="7" customWidth="1"/>
    <col min="16" max="16384" width="8.83203125" style="7"/>
  </cols>
  <sheetData>
    <row r="1" spans="1:15" ht="30">
      <c r="A1" s="1" t="s">
        <v>31</v>
      </c>
    </row>
    <row r="3" spans="1:15">
      <c r="A3" s="12" t="s">
        <v>215</v>
      </c>
      <c r="B3" s="13"/>
      <c r="C3" s="13"/>
      <c r="D3" s="13"/>
      <c r="E3" s="13"/>
      <c r="F3" s="13"/>
      <c r="G3" s="14"/>
      <c r="H3" s="13"/>
      <c r="I3" s="13"/>
      <c r="J3" s="15"/>
      <c r="K3" s="15"/>
      <c r="L3" s="16"/>
      <c r="M3" s="17"/>
      <c r="N3" s="17"/>
      <c r="O3" s="13"/>
    </row>
    <row r="4" spans="1:15" s="22" customFormat="1" ht="43" thickBot="1">
      <c r="A4" s="18" t="s">
        <v>20</v>
      </c>
      <c r="B4" s="18" t="s">
        <v>56</v>
      </c>
      <c r="C4" s="18" t="s">
        <v>21</v>
      </c>
      <c r="D4" s="18" t="s">
        <v>116</v>
      </c>
      <c r="E4" s="18" t="s">
        <v>83</v>
      </c>
      <c r="F4" s="18" t="s">
        <v>216</v>
      </c>
      <c r="G4" s="19" t="s">
        <v>70</v>
      </c>
      <c r="H4" s="18" t="s">
        <v>71</v>
      </c>
      <c r="I4" s="18" t="s">
        <v>57</v>
      </c>
      <c r="J4" s="20" t="s">
        <v>72</v>
      </c>
      <c r="K4" s="20" t="s">
        <v>73</v>
      </c>
      <c r="L4" s="20" t="s">
        <v>74</v>
      </c>
      <c r="M4" s="21" t="s">
        <v>75</v>
      </c>
      <c r="N4" s="21" t="s">
        <v>76</v>
      </c>
      <c r="O4" s="18" t="s">
        <v>22</v>
      </c>
    </row>
    <row r="5" spans="1:15">
      <c r="A5" s="23">
        <f>ROW()-4</f>
        <v>1</v>
      </c>
      <c r="B5" s="7" t="s">
        <v>61</v>
      </c>
      <c r="C5" s="11" t="s">
        <v>98</v>
      </c>
      <c r="D5" s="24">
        <f>IF(C5="IN", 3820, IF(C5="OUT", 1295, IF(C5="PRESIDENT", 2895, IF(C5="NEW", 1295))))</f>
        <v>1295</v>
      </c>
      <c r="E5" s="25" t="s">
        <v>28</v>
      </c>
      <c r="F5" s="24">
        <f>IF(E5="IN",225,IF(E5="OUT",300,IF(E5="DAY",100,0)))</f>
        <v>100</v>
      </c>
      <c r="G5" s="26"/>
      <c r="H5" s="9">
        <f t="shared" ref="H5:H45" si="0">25*12*G5</f>
        <v>0</v>
      </c>
      <c r="I5" s="27">
        <f t="shared" ref="I5:I45" si="1">D5+F5+H5</f>
        <v>1395</v>
      </c>
      <c r="K5" s="28"/>
      <c r="L5" s="29" t="s">
        <v>84</v>
      </c>
      <c r="M5" s="29" t="s">
        <v>84</v>
      </c>
      <c r="N5" s="30"/>
    </row>
    <row r="6" spans="1:15">
      <c r="A6" s="23">
        <f t="shared" ref="A6:A45" si="2">ROW()-4</f>
        <v>2</v>
      </c>
      <c r="B6" s="7" t="s">
        <v>86</v>
      </c>
      <c r="C6" s="11" t="s">
        <v>77</v>
      </c>
      <c r="D6" s="24">
        <f t="shared" ref="D6:D45" si="3">IF(C6="IN", 3820, IF(C6="OUT", 1295, IF(C6="PRESIDENT", 2895, IF(C6="NEW", 1295))))</f>
        <v>2895</v>
      </c>
      <c r="E6" s="25" t="s">
        <v>25</v>
      </c>
      <c r="F6" s="24">
        <f t="shared" ref="F6:F45" si="4">IF(E6="IN",225,IF(E6="OUT",300,IF(E6="DAY",100,0)))</f>
        <v>225</v>
      </c>
      <c r="G6" s="26"/>
      <c r="H6" s="9">
        <f t="shared" si="0"/>
        <v>0</v>
      </c>
      <c r="I6" s="27">
        <f t="shared" si="1"/>
        <v>3120</v>
      </c>
      <c r="K6" s="28"/>
      <c r="L6" s="29"/>
      <c r="M6" s="29"/>
    </row>
    <row r="7" spans="1:15">
      <c r="A7" s="23">
        <f t="shared" si="2"/>
        <v>3</v>
      </c>
      <c r="B7" s="7" t="s">
        <v>18</v>
      </c>
      <c r="C7" s="11" t="s">
        <v>145</v>
      </c>
      <c r="D7" s="24">
        <f t="shared" si="3"/>
        <v>1295</v>
      </c>
      <c r="E7" s="25" t="s">
        <v>78</v>
      </c>
      <c r="F7" s="24">
        <f t="shared" si="4"/>
        <v>0</v>
      </c>
      <c r="H7" s="9">
        <f t="shared" si="0"/>
        <v>0</v>
      </c>
      <c r="I7" s="27">
        <f t="shared" si="1"/>
        <v>1295</v>
      </c>
      <c r="K7" s="28"/>
      <c r="L7" s="29" t="s">
        <v>84</v>
      </c>
      <c r="M7" s="29" t="s">
        <v>84</v>
      </c>
    </row>
    <row r="8" spans="1:15">
      <c r="A8" s="23">
        <f t="shared" si="2"/>
        <v>4</v>
      </c>
      <c r="B8" s="7" t="s">
        <v>63</v>
      </c>
      <c r="C8" s="11" t="s">
        <v>146</v>
      </c>
      <c r="D8" s="24">
        <f t="shared" si="3"/>
        <v>3820</v>
      </c>
      <c r="E8" s="25" t="s">
        <v>25</v>
      </c>
      <c r="F8" s="24">
        <f t="shared" si="4"/>
        <v>225</v>
      </c>
      <c r="G8" s="26"/>
      <c r="H8" s="9">
        <f t="shared" si="0"/>
        <v>0</v>
      </c>
      <c r="I8" s="27">
        <f t="shared" si="1"/>
        <v>4045</v>
      </c>
      <c r="K8" s="28"/>
      <c r="L8" s="29"/>
      <c r="M8" s="29"/>
    </row>
    <row r="9" spans="1:15">
      <c r="A9" s="23">
        <f t="shared" si="2"/>
        <v>5</v>
      </c>
      <c r="B9" s="7" t="s">
        <v>88</v>
      </c>
      <c r="C9" s="11" t="s">
        <v>147</v>
      </c>
      <c r="D9" s="24">
        <f t="shared" si="3"/>
        <v>1295</v>
      </c>
      <c r="E9" s="25" t="s">
        <v>28</v>
      </c>
      <c r="F9" s="24">
        <f t="shared" si="4"/>
        <v>100</v>
      </c>
      <c r="H9" s="9">
        <f t="shared" si="0"/>
        <v>0</v>
      </c>
      <c r="I9" s="27">
        <f t="shared" si="1"/>
        <v>1395</v>
      </c>
      <c r="L9" s="29" t="s">
        <v>84</v>
      </c>
      <c r="M9" s="29" t="s">
        <v>84</v>
      </c>
    </row>
    <row r="10" spans="1:15">
      <c r="A10" s="23">
        <f t="shared" si="2"/>
        <v>6</v>
      </c>
      <c r="B10" s="7" t="s">
        <v>148</v>
      </c>
      <c r="C10" s="11" t="s">
        <v>147</v>
      </c>
      <c r="D10" s="24">
        <f t="shared" si="3"/>
        <v>1295</v>
      </c>
      <c r="E10" s="25" t="s">
        <v>79</v>
      </c>
      <c r="F10" s="24">
        <f t="shared" si="4"/>
        <v>0</v>
      </c>
      <c r="H10" s="9">
        <f t="shared" si="0"/>
        <v>0</v>
      </c>
      <c r="I10" s="27">
        <f t="shared" si="1"/>
        <v>1295</v>
      </c>
      <c r="L10" s="29" t="s">
        <v>84</v>
      </c>
      <c r="M10" s="29" t="s">
        <v>84</v>
      </c>
    </row>
    <row r="11" spans="1:15">
      <c r="A11" s="23">
        <f t="shared" si="2"/>
        <v>7</v>
      </c>
      <c r="B11" s="7" t="s">
        <v>65</v>
      </c>
      <c r="C11" s="11" t="s">
        <v>149</v>
      </c>
      <c r="D11" s="24">
        <f t="shared" si="3"/>
        <v>3820</v>
      </c>
      <c r="E11" s="25" t="s">
        <v>79</v>
      </c>
      <c r="F11" s="24">
        <f t="shared" si="4"/>
        <v>0</v>
      </c>
      <c r="G11" s="26">
        <v>0</v>
      </c>
      <c r="H11" s="9">
        <f t="shared" si="0"/>
        <v>0</v>
      </c>
      <c r="I11" s="27">
        <f t="shared" si="1"/>
        <v>3820</v>
      </c>
      <c r="K11" s="28"/>
      <c r="L11" s="29"/>
      <c r="M11" s="29"/>
    </row>
    <row r="12" spans="1:15">
      <c r="A12" s="23">
        <f t="shared" si="2"/>
        <v>8</v>
      </c>
      <c r="B12" s="7" t="s">
        <v>95</v>
      </c>
      <c r="C12" s="11" t="s">
        <v>150</v>
      </c>
      <c r="D12" s="24">
        <f t="shared" si="3"/>
        <v>1295</v>
      </c>
      <c r="E12" s="25" t="s">
        <v>26</v>
      </c>
      <c r="F12" s="24">
        <f t="shared" si="4"/>
        <v>300</v>
      </c>
      <c r="H12" s="9">
        <f t="shared" si="0"/>
        <v>0</v>
      </c>
      <c r="I12" s="27">
        <f t="shared" si="1"/>
        <v>1595</v>
      </c>
      <c r="K12" s="28"/>
      <c r="L12" s="29" t="s">
        <v>84</v>
      </c>
      <c r="M12" s="29" t="s">
        <v>84</v>
      </c>
    </row>
    <row r="13" spans="1:15">
      <c r="A13" s="23">
        <f t="shared" si="2"/>
        <v>9</v>
      </c>
      <c r="B13" s="7" t="s">
        <v>66</v>
      </c>
      <c r="C13" s="11" t="s">
        <v>151</v>
      </c>
      <c r="D13" s="24">
        <f t="shared" si="3"/>
        <v>2895</v>
      </c>
      <c r="E13" s="25" t="s">
        <v>25</v>
      </c>
      <c r="F13" s="24">
        <f t="shared" si="4"/>
        <v>225</v>
      </c>
      <c r="H13" s="9">
        <f t="shared" si="0"/>
        <v>0</v>
      </c>
      <c r="I13" s="27">
        <f t="shared" si="1"/>
        <v>3120</v>
      </c>
      <c r="K13" s="28"/>
      <c r="L13" s="29"/>
      <c r="M13" s="29"/>
    </row>
    <row r="14" spans="1:15">
      <c r="A14" s="23">
        <f t="shared" si="2"/>
        <v>10</v>
      </c>
      <c r="B14" s="7" t="s">
        <v>90</v>
      </c>
      <c r="C14" s="11" t="s">
        <v>145</v>
      </c>
      <c r="D14" s="24">
        <f t="shared" si="3"/>
        <v>1295</v>
      </c>
      <c r="E14" s="25" t="s">
        <v>26</v>
      </c>
      <c r="F14" s="24">
        <f t="shared" si="4"/>
        <v>300</v>
      </c>
      <c r="H14" s="9">
        <f t="shared" si="0"/>
        <v>0</v>
      </c>
      <c r="I14" s="27">
        <f t="shared" si="1"/>
        <v>1595</v>
      </c>
      <c r="K14" s="28"/>
      <c r="L14" s="29" t="s">
        <v>84</v>
      </c>
      <c r="M14" s="29" t="s">
        <v>84</v>
      </c>
    </row>
    <row r="15" spans="1:15">
      <c r="A15" s="23">
        <f t="shared" si="2"/>
        <v>11</v>
      </c>
      <c r="B15" s="7" t="s">
        <v>89</v>
      </c>
      <c r="C15" s="11" t="s">
        <v>152</v>
      </c>
      <c r="D15" s="24">
        <f t="shared" si="3"/>
        <v>1295</v>
      </c>
      <c r="E15" s="25" t="s">
        <v>79</v>
      </c>
      <c r="F15" s="24">
        <f t="shared" si="4"/>
        <v>0</v>
      </c>
      <c r="G15" s="8">
        <v>0</v>
      </c>
      <c r="H15" s="9">
        <f t="shared" si="0"/>
        <v>0</v>
      </c>
      <c r="I15" s="27">
        <f t="shared" si="1"/>
        <v>1295</v>
      </c>
      <c r="K15" s="28"/>
      <c r="L15" s="29" t="s">
        <v>84</v>
      </c>
      <c r="M15" s="29" t="s">
        <v>84</v>
      </c>
    </row>
    <row r="16" spans="1:15">
      <c r="A16" s="23">
        <f t="shared" si="2"/>
        <v>12</v>
      </c>
      <c r="B16" s="7" t="s">
        <v>87</v>
      </c>
      <c r="C16" s="11" t="s">
        <v>24</v>
      </c>
      <c r="D16" s="24">
        <f t="shared" si="3"/>
        <v>2895</v>
      </c>
      <c r="E16" s="25" t="s">
        <v>25</v>
      </c>
      <c r="F16" s="24">
        <f t="shared" si="4"/>
        <v>225</v>
      </c>
      <c r="G16" s="26"/>
      <c r="H16" s="9">
        <f t="shared" si="0"/>
        <v>0</v>
      </c>
      <c r="I16" s="27">
        <f t="shared" si="1"/>
        <v>3120</v>
      </c>
      <c r="K16" s="28"/>
      <c r="L16" s="29"/>
      <c r="M16" s="29"/>
    </row>
    <row r="17" spans="1:13">
      <c r="A17" s="23">
        <f t="shared" si="2"/>
        <v>13</v>
      </c>
      <c r="B17" s="7" t="s">
        <v>96</v>
      </c>
      <c r="C17" s="11" t="s">
        <v>145</v>
      </c>
      <c r="D17" s="24">
        <f t="shared" si="3"/>
        <v>1295</v>
      </c>
      <c r="E17" s="25" t="s">
        <v>28</v>
      </c>
      <c r="F17" s="24">
        <f t="shared" si="4"/>
        <v>100</v>
      </c>
      <c r="H17" s="9">
        <f t="shared" si="0"/>
        <v>0</v>
      </c>
      <c r="I17" s="27">
        <f t="shared" si="1"/>
        <v>1395</v>
      </c>
      <c r="K17" s="28"/>
      <c r="L17" s="29" t="s">
        <v>84</v>
      </c>
      <c r="M17" s="29" t="s">
        <v>84</v>
      </c>
    </row>
    <row r="18" spans="1:13">
      <c r="A18" s="23">
        <f t="shared" si="2"/>
        <v>14</v>
      </c>
      <c r="B18" s="7" t="s">
        <v>16</v>
      </c>
      <c r="C18" s="11" t="s">
        <v>152</v>
      </c>
      <c r="D18" s="24">
        <f t="shared" si="3"/>
        <v>1295</v>
      </c>
      <c r="E18" s="25" t="s">
        <v>30</v>
      </c>
      <c r="F18" s="24">
        <f t="shared" si="4"/>
        <v>300</v>
      </c>
      <c r="H18" s="9">
        <f t="shared" si="0"/>
        <v>0</v>
      </c>
      <c r="I18" s="27">
        <f t="shared" si="1"/>
        <v>1595</v>
      </c>
      <c r="K18" s="28"/>
      <c r="L18" s="29" t="s">
        <v>84</v>
      </c>
      <c r="M18" s="29" t="s">
        <v>84</v>
      </c>
    </row>
    <row r="19" spans="1:13">
      <c r="A19" s="23">
        <f t="shared" si="2"/>
        <v>15</v>
      </c>
      <c r="B19" s="7" t="s">
        <v>15</v>
      </c>
      <c r="C19" s="11" t="s">
        <v>149</v>
      </c>
      <c r="D19" s="24">
        <f t="shared" si="3"/>
        <v>3820</v>
      </c>
      <c r="E19" s="25" t="s">
        <v>25</v>
      </c>
      <c r="F19" s="24">
        <f t="shared" si="4"/>
        <v>225</v>
      </c>
      <c r="H19" s="9">
        <f t="shared" si="0"/>
        <v>0</v>
      </c>
      <c r="I19" s="27">
        <f t="shared" si="1"/>
        <v>4045</v>
      </c>
      <c r="K19" s="28"/>
      <c r="L19" s="29"/>
      <c r="M19" s="29"/>
    </row>
    <row r="20" spans="1:13">
      <c r="A20" s="23">
        <f t="shared" si="2"/>
        <v>16</v>
      </c>
      <c r="B20" s="7" t="s">
        <v>93</v>
      </c>
      <c r="C20" s="11" t="s">
        <v>145</v>
      </c>
      <c r="D20" s="24">
        <f t="shared" si="3"/>
        <v>1295</v>
      </c>
      <c r="E20" s="25" t="s">
        <v>80</v>
      </c>
      <c r="F20" s="24">
        <f t="shared" si="4"/>
        <v>0</v>
      </c>
      <c r="H20" s="9">
        <f t="shared" si="0"/>
        <v>0</v>
      </c>
      <c r="I20" s="27">
        <f t="shared" si="1"/>
        <v>1295</v>
      </c>
      <c r="K20" s="28"/>
      <c r="L20" s="29" t="s">
        <v>84</v>
      </c>
      <c r="M20" s="29" t="s">
        <v>84</v>
      </c>
    </row>
    <row r="21" spans="1:13">
      <c r="A21" s="23">
        <f t="shared" si="2"/>
        <v>17</v>
      </c>
      <c r="B21" s="7" t="s">
        <v>60</v>
      </c>
      <c r="C21" s="11" t="s">
        <v>153</v>
      </c>
      <c r="D21" s="24">
        <f t="shared" si="3"/>
        <v>3820</v>
      </c>
      <c r="E21" s="25" t="s">
        <v>25</v>
      </c>
      <c r="F21" s="24">
        <f t="shared" si="4"/>
        <v>225</v>
      </c>
      <c r="G21" s="26"/>
      <c r="H21" s="9">
        <f t="shared" si="0"/>
        <v>0</v>
      </c>
      <c r="I21" s="27">
        <f t="shared" si="1"/>
        <v>4045</v>
      </c>
      <c r="K21" s="28"/>
      <c r="L21" s="29"/>
      <c r="M21" s="29"/>
    </row>
    <row r="22" spans="1:13">
      <c r="A22" s="23">
        <f t="shared" si="2"/>
        <v>18</v>
      </c>
      <c r="B22" s="7" t="s">
        <v>64</v>
      </c>
      <c r="C22" s="11" t="s">
        <v>154</v>
      </c>
      <c r="D22" s="24">
        <f t="shared" si="3"/>
        <v>3820</v>
      </c>
      <c r="E22" s="25" t="s">
        <v>25</v>
      </c>
      <c r="F22" s="24">
        <f t="shared" si="4"/>
        <v>225</v>
      </c>
      <c r="H22" s="9">
        <f t="shared" si="0"/>
        <v>0</v>
      </c>
      <c r="I22" s="27">
        <f t="shared" si="1"/>
        <v>4045</v>
      </c>
      <c r="K22" s="28"/>
      <c r="L22" s="29"/>
      <c r="M22" s="29"/>
    </row>
    <row r="23" spans="1:13">
      <c r="A23" s="23">
        <f t="shared" si="2"/>
        <v>19</v>
      </c>
      <c r="B23" s="7" t="s">
        <v>91</v>
      </c>
      <c r="C23" s="11" t="s">
        <v>145</v>
      </c>
      <c r="D23" s="24">
        <f t="shared" si="3"/>
        <v>1295</v>
      </c>
      <c r="E23" s="25" t="s">
        <v>30</v>
      </c>
      <c r="F23" s="24">
        <f t="shared" si="4"/>
        <v>300</v>
      </c>
      <c r="H23" s="9">
        <f t="shared" si="0"/>
        <v>0</v>
      </c>
      <c r="I23" s="27">
        <f t="shared" si="1"/>
        <v>1595</v>
      </c>
      <c r="K23" s="28"/>
      <c r="L23" s="29" t="s">
        <v>84</v>
      </c>
      <c r="M23" s="29" t="s">
        <v>84</v>
      </c>
    </row>
    <row r="24" spans="1:13">
      <c r="A24" s="23">
        <f t="shared" si="2"/>
        <v>20</v>
      </c>
      <c r="B24" s="7" t="s">
        <v>94</v>
      </c>
      <c r="C24" s="11" t="s">
        <v>152</v>
      </c>
      <c r="D24" s="24">
        <f t="shared" si="3"/>
        <v>1295</v>
      </c>
      <c r="E24" s="25" t="s">
        <v>29</v>
      </c>
      <c r="F24" s="24">
        <f t="shared" si="4"/>
        <v>100</v>
      </c>
      <c r="H24" s="9">
        <f t="shared" si="0"/>
        <v>0</v>
      </c>
      <c r="I24" s="27">
        <f t="shared" si="1"/>
        <v>1395</v>
      </c>
      <c r="K24" s="28"/>
      <c r="L24" s="29" t="s">
        <v>84</v>
      </c>
      <c r="M24" s="29" t="s">
        <v>84</v>
      </c>
    </row>
    <row r="25" spans="1:13">
      <c r="A25" s="23">
        <f t="shared" si="2"/>
        <v>21</v>
      </c>
      <c r="B25" s="7" t="s">
        <v>17</v>
      </c>
      <c r="C25" s="11" t="s">
        <v>152</v>
      </c>
      <c r="D25" s="24">
        <f t="shared" si="3"/>
        <v>1295</v>
      </c>
      <c r="E25" s="25" t="s">
        <v>80</v>
      </c>
      <c r="F25" s="24">
        <f t="shared" si="4"/>
        <v>0</v>
      </c>
      <c r="H25" s="9">
        <f t="shared" si="0"/>
        <v>0</v>
      </c>
      <c r="I25" s="27">
        <f t="shared" si="1"/>
        <v>1295</v>
      </c>
      <c r="K25" s="28"/>
      <c r="L25" s="29" t="s">
        <v>84</v>
      </c>
      <c r="M25" s="29" t="s">
        <v>84</v>
      </c>
    </row>
    <row r="26" spans="1:13">
      <c r="A26" s="23">
        <f t="shared" si="2"/>
        <v>22</v>
      </c>
      <c r="B26" s="7" t="s">
        <v>59</v>
      </c>
      <c r="C26" s="11" t="s">
        <v>149</v>
      </c>
      <c r="D26" s="24">
        <f t="shared" si="3"/>
        <v>3820</v>
      </c>
      <c r="E26" s="25" t="s">
        <v>25</v>
      </c>
      <c r="F26" s="24">
        <f t="shared" si="4"/>
        <v>225</v>
      </c>
      <c r="G26" s="26"/>
      <c r="H26" s="9">
        <f t="shared" si="0"/>
        <v>0</v>
      </c>
      <c r="I26" s="27">
        <f t="shared" si="1"/>
        <v>4045</v>
      </c>
      <c r="K26" s="28"/>
      <c r="L26" s="29"/>
      <c r="M26" s="29"/>
    </row>
    <row r="27" spans="1:13">
      <c r="A27" s="23">
        <f t="shared" si="2"/>
        <v>23</v>
      </c>
      <c r="B27" s="7" t="s">
        <v>14</v>
      </c>
      <c r="C27" s="11" t="s">
        <v>145</v>
      </c>
      <c r="D27" s="24">
        <f t="shared" si="3"/>
        <v>1295</v>
      </c>
      <c r="E27" s="25" t="s">
        <v>28</v>
      </c>
      <c r="F27" s="24">
        <f t="shared" si="4"/>
        <v>100</v>
      </c>
      <c r="G27" s="26"/>
      <c r="H27" s="9">
        <f t="shared" si="0"/>
        <v>0</v>
      </c>
      <c r="I27" s="27">
        <f t="shared" si="1"/>
        <v>1395</v>
      </c>
      <c r="K27" s="28"/>
      <c r="L27" s="29" t="s">
        <v>84</v>
      </c>
      <c r="M27" s="29" t="s">
        <v>84</v>
      </c>
    </row>
    <row r="28" spans="1:13">
      <c r="A28" s="23">
        <f t="shared" si="2"/>
        <v>24</v>
      </c>
      <c r="B28" s="7" t="s">
        <v>19</v>
      </c>
      <c r="C28" s="11" t="s">
        <v>152</v>
      </c>
      <c r="D28" s="24">
        <f t="shared" si="3"/>
        <v>1295</v>
      </c>
      <c r="E28" s="25" t="s">
        <v>26</v>
      </c>
      <c r="F28" s="24">
        <f t="shared" si="4"/>
        <v>300</v>
      </c>
      <c r="H28" s="9">
        <f t="shared" si="0"/>
        <v>0</v>
      </c>
      <c r="I28" s="27">
        <f t="shared" si="1"/>
        <v>1595</v>
      </c>
      <c r="K28" s="28"/>
      <c r="L28" s="29" t="s">
        <v>155</v>
      </c>
      <c r="M28" s="29" t="s">
        <v>155</v>
      </c>
    </row>
    <row r="29" spans="1:13">
      <c r="A29" s="23">
        <f t="shared" si="2"/>
        <v>25</v>
      </c>
      <c r="B29" s="7" t="s">
        <v>67</v>
      </c>
      <c r="C29" s="11" t="s">
        <v>154</v>
      </c>
      <c r="D29" s="24">
        <f t="shared" si="3"/>
        <v>3820</v>
      </c>
      <c r="E29" s="25" t="s">
        <v>25</v>
      </c>
      <c r="F29" s="24">
        <f t="shared" si="4"/>
        <v>225</v>
      </c>
      <c r="H29" s="9">
        <f t="shared" si="0"/>
        <v>0</v>
      </c>
      <c r="I29" s="27">
        <f t="shared" si="1"/>
        <v>4045</v>
      </c>
      <c r="K29" s="28"/>
      <c r="L29" s="29"/>
      <c r="M29" s="29"/>
    </row>
    <row r="30" spans="1:13">
      <c r="A30" s="23">
        <f t="shared" si="2"/>
        <v>26</v>
      </c>
      <c r="B30" s="7" t="s">
        <v>68</v>
      </c>
      <c r="C30" s="11" t="s">
        <v>154</v>
      </c>
      <c r="D30" s="24">
        <f t="shared" si="3"/>
        <v>3820</v>
      </c>
      <c r="E30" s="25" t="s">
        <v>25</v>
      </c>
      <c r="F30" s="24">
        <f t="shared" si="4"/>
        <v>225</v>
      </c>
      <c r="H30" s="9">
        <f t="shared" si="0"/>
        <v>0</v>
      </c>
      <c r="I30" s="27">
        <f t="shared" si="1"/>
        <v>4045</v>
      </c>
      <c r="K30" s="28"/>
      <c r="L30" s="29"/>
      <c r="M30" s="29"/>
    </row>
    <row r="31" spans="1:13">
      <c r="A31" s="23">
        <f t="shared" si="2"/>
        <v>27</v>
      </c>
      <c r="B31" s="7" t="s">
        <v>85</v>
      </c>
      <c r="C31" s="11" t="s">
        <v>145</v>
      </c>
      <c r="D31" s="24">
        <f t="shared" si="3"/>
        <v>1295</v>
      </c>
      <c r="E31" s="25" t="s">
        <v>80</v>
      </c>
      <c r="F31" s="24">
        <f t="shared" si="4"/>
        <v>0</v>
      </c>
      <c r="H31" s="9">
        <f t="shared" si="0"/>
        <v>0</v>
      </c>
      <c r="I31" s="27">
        <f t="shared" si="1"/>
        <v>1295</v>
      </c>
      <c r="K31" s="28"/>
      <c r="L31" s="29" t="s">
        <v>84</v>
      </c>
      <c r="M31" s="29" t="s">
        <v>84</v>
      </c>
    </row>
    <row r="32" spans="1:13">
      <c r="A32" s="23">
        <f t="shared" si="2"/>
        <v>28</v>
      </c>
      <c r="B32" s="7" t="s">
        <v>92</v>
      </c>
      <c r="C32" s="11" t="s">
        <v>152</v>
      </c>
      <c r="D32" s="24">
        <f t="shared" si="3"/>
        <v>1295</v>
      </c>
      <c r="E32" s="25" t="s">
        <v>30</v>
      </c>
      <c r="F32" s="24">
        <f t="shared" si="4"/>
        <v>300</v>
      </c>
      <c r="H32" s="9">
        <f t="shared" si="0"/>
        <v>0</v>
      </c>
      <c r="I32" s="27">
        <f t="shared" si="1"/>
        <v>1595</v>
      </c>
      <c r="K32" s="28"/>
      <c r="L32" s="29" t="s">
        <v>84</v>
      </c>
      <c r="M32" s="29" t="s">
        <v>84</v>
      </c>
    </row>
    <row r="33" spans="1:14">
      <c r="A33" s="23">
        <f t="shared" si="2"/>
        <v>29</v>
      </c>
      <c r="B33" s="7" t="s">
        <v>58</v>
      </c>
      <c r="C33" s="11" t="s">
        <v>152</v>
      </c>
      <c r="D33" s="24">
        <f t="shared" si="3"/>
        <v>1295</v>
      </c>
      <c r="E33" s="25" t="s">
        <v>30</v>
      </c>
      <c r="F33" s="24">
        <f t="shared" si="4"/>
        <v>300</v>
      </c>
      <c r="H33" s="9">
        <f t="shared" si="0"/>
        <v>0</v>
      </c>
      <c r="I33" s="27">
        <f t="shared" si="1"/>
        <v>1595</v>
      </c>
      <c r="K33" s="28"/>
      <c r="L33" s="29" t="s">
        <v>156</v>
      </c>
      <c r="M33" s="29" t="s">
        <v>156</v>
      </c>
      <c r="N33" s="29"/>
    </row>
    <row r="34" spans="1:14">
      <c r="A34" s="23">
        <f t="shared" si="2"/>
        <v>30</v>
      </c>
      <c r="B34" s="39" t="s">
        <v>157</v>
      </c>
      <c r="C34" s="11" t="s">
        <v>160</v>
      </c>
      <c r="D34" s="24">
        <f t="shared" si="3"/>
        <v>1295</v>
      </c>
      <c r="E34" s="10" t="s">
        <v>80</v>
      </c>
      <c r="F34" s="24">
        <f t="shared" si="4"/>
        <v>0</v>
      </c>
      <c r="H34" s="9">
        <f t="shared" si="0"/>
        <v>0</v>
      </c>
      <c r="I34" s="27">
        <f t="shared" si="1"/>
        <v>1295</v>
      </c>
      <c r="K34" s="28"/>
      <c r="L34" s="29" t="s">
        <v>156</v>
      </c>
      <c r="M34" s="29" t="s">
        <v>156</v>
      </c>
      <c r="N34" s="29"/>
    </row>
    <row r="35" spans="1:14">
      <c r="A35" s="23">
        <f t="shared" si="2"/>
        <v>31</v>
      </c>
      <c r="B35" s="39" t="s">
        <v>158</v>
      </c>
      <c r="C35" s="11" t="s">
        <v>160</v>
      </c>
      <c r="D35" s="24">
        <f t="shared" si="3"/>
        <v>1295</v>
      </c>
      <c r="E35" s="10" t="s">
        <v>27</v>
      </c>
      <c r="F35" s="24">
        <f t="shared" si="4"/>
        <v>300</v>
      </c>
      <c r="H35" s="9">
        <f t="shared" si="0"/>
        <v>0</v>
      </c>
      <c r="I35" s="27">
        <f t="shared" si="1"/>
        <v>1595</v>
      </c>
      <c r="K35" s="28"/>
      <c r="L35" s="29" t="s">
        <v>84</v>
      </c>
      <c r="M35" s="29" t="s">
        <v>84</v>
      </c>
      <c r="N35" s="29"/>
    </row>
    <row r="36" spans="1:14">
      <c r="A36" s="23">
        <f t="shared" si="2"/>
        <v>32</v>
      </c>
      <c r="B36" s="39" t="s">
        <v>163</v>
      </c>
      <c r="C36" s="11" t="s">
        <v>159</v>
      </c>
      <c r="D36" s="24">
        <f t="shared" si="3"/>
        <v>1295</v>
      </c>
      <c r="E36" s="10" t="s">
        <v>81</v>
      </c>
      <c r="F36" s="24">
        <f t="shared" si="4"/>
        <v>0</v>
      </c>
      <c r="H36" s="9">
        <f t="shared" si="0"/>
        <v>0</v>
      </c>
      <c r="I36" s="27">
        <f t="shared" si="1"/>
        <v>1295</v>
      </c>
      <c r="K36" s="28"/>
      <c r="L36" s="29" t="s">
        <v>156</v>
      </c>
      <c r="M36" s="29" t="s">
        <v>156</v>
      </c>
      <c r="N36" s="29"/>
    </row>
    <row r="37" spans="1:14">
      <c r="A37" s="23">
        <f t="shared" si="2"/>
        <v>33</v>
      </c>
      <c r="B37" s="39" t="s">
        <v>164</v>
      </c>
      <c r="C37" s="11" t="s">
        <v>160</v>
      </c>
      <c r="D37" s="24">
        <f t="shared" si="3"/>
        <v>1295</v>
      </c>
      <c r="E37" s="10" t="s">
        <v>81</v>
      </c>
      <c r="F37" s="24">
        <f t="shared" si="4"/>
        <v>0</v>
      </c>
      <c r="H37" s="9">
        <f t="shared" si="0"/>
        <v>0</v>
      </c>
      <c r="I37" s="27">
        <f t="shared" si="1"/>
        <v>1295</v>
      </c>
      <c r="K37" s="28"/>
      <c r="L37" s="29" t="s">
        <v>156</v>
      </c>
      <c r="M37" s="29" t="s">
        <v>156</v>
      </c>
      <c r="N37" s="29"/>
    </row>
    <row r="38" spans="1:14">
      <c r="A38" s="23">
        <f t="shared" si="2"/>
        <v>34</v>
      </c>
      <c r="B38" s="39" t="s">
        <v>165</v>
      </c>
      <c r="C38" s="11" t="s">
        <v>160</v>
      </c>
      <c r="D38" s="24">
        <f t="shared" si="3"/>
        <v>1295</v>
      </c>
      <c r="E38" s="10" t="s">
        <v>81</v>
      </c>
      <c r="F38" s="24">
        <f t="shared" si="4"/>
        <v>0</v>
      </c>
      <c r="H38" s="9">
        <f t="shared" si="0"/>
        <v>0</v>
      </c>
      <c r="I38" s="27">
        <f t="shared" si="1"/>
        <v>1295</v>
      </c>
      <c r="K38" s="28"/>
      <c r="L38" s="29" t="s">
        <v>84</v>
      </c>
      <c r="M38" s="29" t="s">
        <v>84</v>
      </c>
      <c r="N38" s="29"/>
    </row>
    <row r="39" spans="1:14">
      <c r="A39" s="23">
        <f t="shared" si="2"/>
        <v>35</v>
      </c>
      <c r="B39" s="39" t="s">
        <v>166</v>
      </c>
      <c r="C39" s="11" t="s">
        <v>160</v>
      </c>
      <c r="D39" s="24">
        <f t="shared" si="3"/>
        <v>1295</v>
      </c>
      <c r="E39" s="10" t="s">
        <v>82</v>
      </c>
      <c r="F39" s="24">
        <f t="shared" si="4"/>
        <v>0</v>
      </c>
      <c r="H39" s="9">
        <f t="shared" si="0"/>
        <v>0</v>
      </c>
      <c r="I39" s="27">
        <f t="shared" si="1"/>
        <v>1295</v>
      </c>
      <c r="K39" s="28"/>
      <c r="L39" s="29" t="s">
        <v>156</v>
      </c>
      <c r="M39" s="29" t="s">
        <v>156</v>
      </c>
      <c r="N39" s="29"/>
    </row>
    <row r="40" spans="1:14">
      <c r="A40" s="23">
        <f t="shared" si="2"/>
        <v>36</v>
      </c>
      <c r="B40" s="39" t="s">
        <v>167</v>
      </c>
      <c r="C40" s="11" t="s">
        <v>160</v>
      </c>
      <c r="D40" s="24">
        <f t="shared" si="3"/>
        <v>1295</v>
      </c>
      <c r="E40" s="10" t="s">
        <v>82</v>
      </c>
      <c r="F40" s="24">
        <f t="shared" si="4"/>
        <v>0</v>
      </c>
      <c r="H40" s="9">
        <f t="shared" si="0"/>
        <v>0</v>
      </c>
      <c r="I40" s="27">
        <f t="shared" si="1"/>
        <v>1295</v>
      </c>
      <c r="K40" s="28"/>
      <c r="L40" s="29" t="s">
        <v>84</v>
      </c>
      <c r="M40" s="29" t="s">
        <v>84</v>
      </c>
      <c r="N40" s="29"/>
    </row>
    <row r="41" spans="1:14">
      <c r="A41" s="23">
        <f t="shared" si="2"/>
        <v>37</v>
      </c>
      <c r="B41" s="39" t="s">
        <v>46</v>
      </c>
      <c r="C41" s="11" t="s">
        <v>160</v>
      </c>
      <c r="D41" s="24">
        <f t="shared" si="3"/>
        <v>1295</v>
      </c>
      <c r="E41" s="10" t="s">
        <v>82</v>
      </c>
      <c r="F41" s="24">
        <f t="shared" si="4"/>
        <v>0</v>
      </c>
      <c r="H41" s="9">
        <f t="shared" si="0"/>
        <v>0</v>
      </c>
      <c r="I41" s="27">
        <f t="shared" si="1"/>
        <v>1295</v>
      </c>
      <c r="K41" s="28"/>
      <c r="L41" s="29" t="s">
        <v>156</v>
      </c>
      <c r="M41" s="29" t="s">
        <v>156</v>
      </c>
    </row>
    <row r="42" spans="1:14">
      <c r="A42" s="23">
        <f t="shared" si="2"/>
        <v>38</v>
      </c>
      <c r="B42" s="39" t="s">
        <v>47</v>
      </c>
      <c r="C42" s="11" t="s">
        <v>160</v>
      </c>
      <c r="D42" s="24">
        <f t="shared" si="3"/>
        <v>1295</v>
      </c>
      <c r="E42" s="10" t="s">
        <v>82</v>
      </c>
      <c r="F42" s="24">
        <f t="shared" si="4"/>
        <v>0</v>
      </c>
      <c r="H42" s="9">
        <f t="shared" si="0"/>
        <v>0</v>
      </c>
      <c r="I42" s="27">
        <f t="shared" si="1"/>
        <v>1295</v>
      </c>
      <c r="K42" s="28"/>
      <c r="L42" s="29" t="s">
        <v>84</v>
      </c>
      <c r="M42" s="29" t="s">
        <v>84</v>
      </c>
      <c r="N42" s="29"/>
    </row>
    <row r="43" spans="1:14">
      <c r="A43" s="23">
        <f t="shared" si="2"/>
        <v>39</v>
      </c>
      <c r="B43" s="39" t="s">
        <v>161</v>
      </c>
      <c r="C43" s="11" t="s">
        <v>159</v>
      </c>
      <c r="D43" s="24">
        <f t="shared" si="3"/>
        <v>1295</v>
      </c>
      <c r="E43" s="10" t="s">
        <v>80</v>
      </c>
      <c r="F43" s="24">
        <f t="shared" si="4"/>
        <v>0</v>
      </c>
      <c r="H43" s="9">
        <f t="shared" si="0"/>
        <v>0</v>
      </c>
      <c r="I43" s="27">
        <f t="shared" si="1"/>
        <v>1295</v>
      </c>
      <c r="K43" s="28"/>
      <c r="L43" s="29" t="s">
        <v>156</v>
      </c>
      <c r="M43" s="29" t="s">
        <v>156</v>
      </c>
    </row>
    <row r="44" spans="1:14">
      <c r="A44" s="23">
        <f t="shared" si="2"/>
        <v>40</v>
      </c>
      <c r="B44" s="39" t="s">
        <v>48</v>
      </c>
      <c r="C44" s="11" t="s">
        <v>160</v>
      </c>
      <c r="D44" s="24">
        <f t="shared" si="3"/>
        <v>1295</v>
      </c>
      <c r="E44" s="10" t="s">
        <v>80</v>
      </c>
      <c r="F44" s="24">
        <f t="shared" si="4"/>
        <v>0</v>
      </c>
      <c r="H44" s="9">
        <f t="shared" si="0"/>
        <v>0</v>
      </c>
      <c r="I44" s="27">
        <f t="shared" si="1"/>
        <v>1295</v>
      </c>
      <c r="L44" s="29" t="s">
        <v>156</v>
      </c>
      <c r="M44" s="29" t="s">
        <v>156</v>
      </c>
    </row>
    <row r="45" spans="1:14">
      <c r="A45" s="23">
        <f t="shared" si="2"/>
        <v>41</v>
      </c>
      <c r="B45" s="39" t="s">
        <v>49</v>
      </c>
      <c r="C45" s="11" t="s">
        <v>160</v>
      </c>
      <c r="D45" s="24">
        <f t="shared" si="3"/>
        <v>1295</v>
      </c>
      <c r="E45" s="10" t="s">
        <v>80</v>
      </c>
      <c r="F45" s="24">
        <f t="shared" si="4"/>
        <v>0</v>
      </c>
      <c r="H45" s="9">
        <f t="shared" si="0"/>
        <v>0</v>
      </c>
      <c r="I45" s="27">
        <f t="shared" si="1"/>
        <v>1295</v>
      </c>
      <c r="L45" s="29" t="s">
        <v>84</v>
      </c>
      <c r="M45" s="29" t="s">
        <v>84</v>
      </c>
    </row>
    <row r="46" spans="1:14">
      <c r="L46" s="29"/>
    </row>
    <row r="47" spans="1:14">
      <c r="A47" s="12" t="s">
        <v>113</v>
      </c>
      <c r="B47" s="13"/>
      <c r="C47" s="13"/>
      <c r="D47" s="13"/>
      <c r="F47" s="29"/>
      <c r="G47" s="11"/>
      <c r="H47" s="11"/>
      <c r="J47" s="7"/>
      <c r="K47" s="7"/>
      <c r="L47" s="7"/>
      <c r="M47" s="7"/>
      <c r="N47" s="7"/>
    </row>
    <row r="48" spans="1:14" ht="15" thickBot="1">
      <c r="A48" s="31"/>
      <c r="B48" s="31" t="s">
        <v>56</v>
      </c>
      <c r="C48" s="18" t="s">
        <v>114</v>
      </c>
      <c r="D48" s="31" t="s">
        <v>7</v>
      </c>
      <c r="F48" s="29"/>
      <c r="G48" s="11"/>
      <c r="H48" s="11"/>
      <c r="J48" s="7"/>
      <c r="K48" s="7"/>
      <c r="L48" s="7"/>
      <c r="M48" s="7"/>
      <c r="N48" s="7"/>
    </row>
    <row r="49" spans="1:14">
      <c r="A49" s="23">
        <v>1</v>
      </c>
      <c r="B49" s="32"/>
      <c r="C49" s="27">
        <v>550</v>
      </c>
      <c r="D49" s="9"/>
      <c r="E49" s="9"/>
      <c r="F49" s="29"/>
      <c r="G49" s="11"/>
      <c r="H49" s="11"/>
      <c r="J49" s="7"/>
      <c r="K49" s="7"/>
      <c r="L49" s="7"/>
      <c r="M49" s="7"/>
      <c r="N49" s="7"/>
    </row>
    <row r="50" spans="1:14">
      <c r="A50" s="23">
        <v>2</v>
      </c>
      <c r="B50" s="32"/>
      <c r="C50" s="27"/>
      <c r="D50" s="9"/>
      <c r="E50" s="9"/>
      <c r="F50" s="29"/>
      <c r="G50" s="11"/>
      <c r="H50" s="11"/>
      <c r="J50" s="7"/>
      <c r="K50" s="7"/>
      <c r="L50" s="7"/>
      <c r="M50" s="7"/>
      <c r="N50" s="7"/>
    </row>
    <row r="51" spans="1:14">
      <c r="A51" s="23">
        <v>3</v>
      </c>
      <c r="B51" s="32"/>
      <c r="C51" s="27"/>
      <c r="D51" s="9"/>
      <c r="E51" s="9"/>
      <c r="F51" s="29"/>
      <c r="G51" s="11"/>
      <c r="H51" s="11"/>
      <c r="J51" s="7"/>
      <c r="K51" s="7"/>
      <c r="L51" s="7"/>
      <c r="M51" s="7"/>
      <c r="N51" s="7"/>
    </row>
    <row r="52" spans="1:14">
      <c r="B52" s="32"/>
      <c r="C52" s="27"/>
      <c r="D52" s="9"/>
      <c r="E52" s="9"/>
      <c r="F52" s="10"/>
      <c r="G52" s="11"/>
      <c r="H52" s="11"/>
      <c r="J52" s="7"/>
      <c r="K52" s="7"/>
      <c r="L52" s="7"/>
      <c r="M52" s="7"/>
      <c r="N52" s="7"/>
    </row>
    <row r="53" spans="1:14" ht="15" thickBot="1">
      <c r="B53" s="33" t="s">
        <v>168</v>
      </c>
      <c r="C53" s="34"/>
      <c r="D53" s="35"/>
      <c r="E53" s="35"/>
      <c r="F53" s="10"/>
      <c r="G53" s="11"/>
      <c r="H53" s="11"/>
      <c r="J53" s="7"/>
      <c r="K53" s="7"/>
      <c r="L53" s="7"/>
      <c r="M53" s="7"/>
      <c r="N53" s="7"/>
    </row>
    <row r="54" spans="1:14">
      <c r="B54" s="36" t="s">
        <v>8</v>
      </c>
      <c r="C54" s="27">
        <f>SUM(I5:I45)+SUM(C49:C52)</f>
        <v>83795</v>
      </c>
      <c r="D54" s="35"/>
      <c r="E54" s="35"/>
      <c r="F54" s="10"/>
      <c r="G54" s="11"/>
      <c r="H54" s="11"/>
      <c r="J54" s="7"/>
      <c r="K54" s="7"/>
      <c r="L54" s="7"/>
      <c r="M54" s="7"/>
      <c r="N54" s="7"/>
    </row>
    <row r="55" spans="1:14">
      <c r="B55" s="36" t="s">
        <v>9</v>
      </c>
      <c r="C55" s="27">
        <f>SUM(J5:J45)+SUM(D49:D52)</f>
        <v>0</v>
      </c>
      <c r="F55" s="10"/>
      <c r="G55" s="11"/>
      <c r="H55" s="11"/>
      <c r="J55" s="7"/>
      <c r="K55" s="7"/>
      <c r="L55" s="7"/>
      <c r="M55" s="7"/>
      <c r="N55" s="7"/>
    </row>
    <row r="56" spans="1:14">
      <c r="B56" s="36"/>
      <c r="C56" s="27"/>
      <c r="F56" s="10"/>
      <c r="G56" s="11"/>
      <c r="H56" s="11"/>
      <c r="J56" s="7"/>
      <c r="K56" s="7"/>
      <c r="L56" s="7"/>
      <c r="M56" s="7"/>
      <c r="N56" s="7"/>
    </row>
    <row r="57" spans="1:14">
      <c r="F57" s="10"/>
      <c r="G57" s="11"/>
      <c r="H57" s="11"/>
      <c r="J57" s="7"/>
      <c r="K57" s="7"/>
      <c r="L57" s="7"/>
      <c r="M57" s="7"/>
      <c r="N57" s="7"/>
    </row>
    <row r="58" spans="1:14">
      <c r="F58" s="10"/>
      <c r="G58" s="11"/>
      <c r="H58" s="11"/>
      <c r="J58" s="7"/>
      <c r="K58" s="7"/>
      <c r="L58" s="7"/>
      <c r="M58" s="7"/>
      <c r="N58" s="7"/>
    </row>
    <row r="59" spans="1:14">
      <c r="I59" s="9"/>
    </row>
    <row r="60" spans="1:14">
      <c r="H60" s="37"/>
      <c r="I60" s="27"/>
    </row>
    <row r="61" spans="1:14">
      <c r="H61" s="27"/>
    </row>
    <row r="80" spans="9:9">
      <c r="I80" s="38"/>
    </row>
    <row r="82" spans="9:9">
      <c r="I82" s="38"/>
    </row>
  </sheetData>
  <sheetCalcPr fullCalcOnLoad="1"/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C14"/>
  <sheetViews>
    <sheetView view="pageLayout" workbookViewId="0">
      <selection activeCell="A15" sqref="A15"/>
    </sheetView>
  </sheetViews>
  <sheetFormatPr baseColWidth="10" defaultRowHeight="14"/>
  <cols>
    <col min="1" max="1" width="23.1640625" bestFit="1" customWidth="1"/>
  </cols>
  <sheetData>
    <row r="1" spans="1:3">
      <c r="A1" s="86" t="s">
        <v>179</v>
      </c>
      <c r="B1" s="89" t="s">
        <v>120</v>
      </c>
      <c r="C1" s="89" t="s">
        <v>121</v>
      </c>
    </row>
    <row r="2" spans="1:3">
      <c r="A2" t="s">
        <v>177</v>
      </c>
      <c r="B2" s="87">
        <v>3920</v>
      </c>
      <c r="C2" s="88">
        <v>100</v>
      </c>
    </row>
    <row r="3" spans="1:3">
      <c r="A3" t="s">
        <v>178</v>
      </c>
      <c r="B3" s="87">
        <v>2995</v>
      </c>
      <c r="C3" s="88">
        <v>100</v>
      </c>
    </row>
    <row r="4" spans="1:3">
      <c r="A4" t="s">
        <v>176</v>
      </c>
      <c r="B4" s="87">
        <v>1395</v>
      </c>
      <c r="C4" s="88">
        <v>100</v>
      </c>
    </row>
    <row r="5" spans="1:3">
      <c r="A5" t="s">
        <v>184</v>
      </c>
      <c r="B5" s="87">
        <f>1395+250</f>
        <v>1645</v>
      </c>
      <c r="C5" s="88">
        <v>350</v>
      </c>
    </row>
    <row r="6" spans="1:3">
      <c r="B6" s="87"/>
      <c r="C6" s="88"/>
    </row>
    <row r="7" spans="1:3">
      <c r="A7" s="86" t="s">
        <v>181</v>
      </c>
      <c r="B7" s="87"/>
      <c r="C7" s="88"/>
    </row>
    <row r="8" spans="1:3">
      <c r="A8" t="s">
        <v>177</v>
      </c>
      <c r="B8" s="87">
        <v>225</v>
      </c>
      <c r="C8" s="88">
        <v>50</v>
      </c>
    </row>
    <row r="9" spans="1:3">
      <c r="A9" t="s">
        <v>180</v>
      </c>
      <c r="B9" s="87">
        <v>300</v>
      </c>
      <c r="C9" s="88">
        <v>50</v>
      </c>
    </row>
    <row r="10" spans="1:3">
      <c r="A10" t="s">
        <v>183</v>
      </c>
      <c r="B10" s="87">
        <v>100</v>
      </c>
      <c r="C10" s="88">
        <v>50</v>
      </c>
    </row>
    <row r="11" spans="1:3">
      <c r="B11" s="87"/>
    </row>
    <row r="12" spans="1:3">
      <c r="A12" s="86" t="s">
        <v>182</v>
      </c>
      <c r="B12" s="87"/>
    </row>
    <row r="13" spans="1:3">
      <c r="A13" t="s">
        <v>185</v>
      </c>
      <c r="B13" s="87">
        <v>250</v>
      </c>
    </row>
    <row r="14" spans="1:3">
      <c r="A14" t="s">
        <v>119</v>
      </c>
      <c r="B14" s="87">
        <v>1395</v>
      </c>
    </row>
  </sheetData>
  <sheetCalcPr fullCalcOnLoad="1"/>
  <phoneticPr fontId="2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 OUTFLOW (BOTH SEMESTERS)</vt:lpstr>
      <vt:lpstr>FALL INFLOW</vt:lpstr>
      <vt:lpstr>SPRING INFLOW (UPDATED PRICING)</vt:lpstr>
      <vt:lpstr>FALL INFLOW (UPDATED PRICING)</vt:lpstr>
      <vt:lpstr>Sheet1</vt:lpstr>
    </vt:vector>
  </TitlesOfParts>
  <Company>The University of North Carolina at Chapel Hill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</dc:creator>
  <cp:lastModifiedBy>Caleb Ollech</cp:lastModifiedBy>
  <dcterms:created xsi:type="dcterms:W3CDTF">2010-12-21T01:24:20Z</dcterms:created>
  <dcterms:modified xsi:type="dcterms:W3CDTF">2011-11-08T20:17:03Z</dcterms:modified>
</cp:coreProperties>
</file>