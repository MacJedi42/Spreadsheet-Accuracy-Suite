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-120" windowWidth="17400" windowHeight="6975"/>
  </bookViews>
  <sheets>
    <sheet name="Base SOW - Cost Table" sheetId="1" r:id="rId1"/>
  </sheets>
  <definedNames>
    <definedName name="_xlnm.Print_Area" localSheetId="0">'Base SOW - Cost Table'!$A$1:$M$57</definedName>
  </definedNames>
  <calcPr calcId="125725"/>
</workbook>
</file>

<file path=xl/calcChain.xml><?xml version="1.0" encoding="utf-8"?>
<calcChain xmlns="http://schemas.openxmlformats.org/spreadsheetml/2006/main">
  <c r="M31" i="1"/>
  <c r="M30"/>
  <c r="M29"/>
  <c r="M28"/>
  <c r="M27"/>
  <c r="M26"/>
  <c r="M25"/>
  <c r="M24"/>
  <c r="M23"/>
  <c r="M22"/>
  <c r="M21"/>
  <c r="M20"/>
  <c r="M19"/>
  <c r="M17"/>
  <c r="M16"/>
  <c r="M15"/>
  <c r="M14"/>
  <c r="M12"/>
  <c r="K32"/>
  <c r="K33" s="1"/>
  <c r="J32"/>
  <c r="J33" s="1"/>
  <c r="H32"/>
  <c r="C32"/>
  <c r="C33" s="1"/>
  <c r="G32" l="1"/>
  <c r="G33" s="1"/>
  <c r="D32"/>
  <c r="D33" s="1"/>
  <c r="F32"/>
  <c r="E32"/>
  <c r="L32"/>
  <c r="L33" s="1"/>
  <c r="I32"/>
  <c r="I33" s="1"/>
  <c r="E33" l="1"/>
  <c r="M33" s="1"/>
</calcChain>
</file>

<file path=xl/sharedStrings.xml><?xml version="1.0" encoding="utf-8"?>
<sst xmlns="http://schemas.openxmlformats.org/spreadsheetml/2006/main" count="75" uniqueCount="65">
  <si>
    <t>COST COMPONENT</t>
  </si>
  <si>
    <t>Anticipated # of Milestone Payments</t>
  </si>
  <si>
    <t>Labor</t>
  </si>
  <si>
    <t>Bidders shall enter costs for each labor/ODC/Sub category based on the proposed payment for achieving each milestone.  The total cost for completion of each Task will be the "Subtotal" multiplied by the "Anticipated # of Milestone Payments"</t>
  </si>
  <si>
    <r>
      <t>Other Direct Costs</t>
    </r>
    <r>
      <rPr>
        <b/>
        <vertAlign val="superscript"/>
        <sz val="12"/>
        <rFont val="Arial"/>
        <family val="2"/>
      </rPr>
      <t>1</t>
    </r>
  </si>
  <si>
    <r>
      <t xml:space="preserve">ODC </t>
    </r>
    <r>
      <rPr>
        <sz val="12"/>
        <rFont val="Arial"/>
      </rPr>
      <t>≥</t>
    </r>
    <r>
      <rPr>
        <sz val="12"/>
        <rFont val="Arial"/>
        <family val="2"/>
      </rPr>
      <t xml:space="preserve">$5,000 (Specify) </t>
    </r>
  </si>
  <si>
    <t>Other ODCs</t>
  </si>
  <si>
    <r>
      <t>Subcontracted Costs</t>
    </r>
    <r>
      <rPr>
        <b/>
        <vertAlign val="superscript"/>
        <sz val="12"/>
        <rFont val="Arial"/>
        <family val="2"/>
      </rPr>
      <t>2</t>
    </r>
  </si>
  <si>
    <t>Analytical Laboratory - Soil</t>
  </si>
  <si>
    <t>Analytical Laboratory - Vapor</t>
  </si>
  <si>
    <t>Other Analytical</t>
  </si>
  <si>
    <t>Geoprobe / Driller</t>
  </si>
  <si>
    <t>Waste Disposal</t>
  </si>
  <si>
    <t>Other (specify)</t>
  </si>
  <si>
    <t>Per Milestone Subtotal</t>
  </si>
  <si>
    <t>Schedule of Unit Labor Rates</t>
  </si>
  <si>
    <t>HOURLY RATE</t>
  </si>
  <si>
    <t>Sr. Project Engineer, P.E.</t>
  </si>
  <si>
    <t>Project Geologist/ Engineer</t>
  </si>
  <si>
    <t>Associate Project Geologist/ Engineer</t>
  </si>
  <si>
    <t>Staff Geologist/ Engineer</t>
  </si>
  <si>
    <t>Sr. Field Technician</t>
  </si>
  <si>
    <t>Field Technician</t>
  </si>
  <si>
    <t>Word Processor</t>
  </si>
  <si>
    <t>Draftsman</t>
  </si>
  <si>
    <t>Project Coordinator</t>
  </si>
  <si>
    <t>Junior Professional</t>
  </si>
  <si>
    <t>Subcontractor / Vendor Mark-up (%)</t>
  </si>
  <si>
    <t xml:space="preserve">1 - Individual other direct cost line items totaling $5,000 or more must be specified (use separate sheet, if necessary).    </t>
  </si>
  <si>
    <t>2 - Details related to subcontracted costs are requested by the Solicitor to assist in the evaluation of the costs associated with the performance of this work.</t>
  </si>
  <si>
    <t>Equipment Rental</t>
  </si>
  <si>
    <t>E</t>
  </si>
  <si>
    <t>Professional Surveyor</t>
  </si>
  <si>
    <t>Analytical Laboratory - Water</t>
  </si>
  <si>
    <t>F</t>
  </si>
  <si>
    <r>
      <rPr>
        <b/>
        <sz val="14"/>
        <color rgb="FF0070C0"/>
        <rFont val="Arial"/>
        <family val="2"/>
      </rPr>
      <t>[Insert Bidder Company Name Here]</t>
    </r>
    <r>
      <rPr>
        <b/>
        <sz val="14"/>
        <rFont val="Arial"/>
        <family val="2"/>
      </rPr>
      <t xml:space="preserve"> </t>
    </r>
  </si>
  <si>
    <t>G</t>
  </si>
  <si>
    <t>Base                           SOW Subtotal</t>
  </si>
  <si>
    <t>A</t>
  </si>
  <si>
    <t>3 - Bidders shall only enter data into Bid Form areas (Excel file cells) that are shaded in blue.</t>
  </si>
  <si>
    <t>Bid Cost Spreadsheet</t>
  </si>
  <si>
    <t>Falcon Oil Co., Inc. / Turkey Hill Mini Mart #276, PAUSTIF Claim #2003-0223(S)</t>
  </si>
  <si>
    <t>Competitive Bid Solicitation for Fixed-Price Defined SOW, Additional Site Characterization Activities &amp; Reporting</t>
  </si>
  <si>
    <t>Additional Soil Characterization / Delineation</t>
  </si>
  <si>
    <t>Associated Milestone</t>
  </si>
  <si>
    <t>Installation of Monitoring Wells</t>
  </si>
  <si>
    <t>B</t>
  </si>
  <si>
    <t>C1</t>
  </si>
  <si>
    <t>C2</t>
  </si>
  <si>
    <t>D1</t>
  </si>
  <si>
    <t>D2</t>
  </si>
  <si>
    <t>Soil Vapor Study</t>
  </si>
  <si>
    <t>Conceptual Site Model</t>
  </si>
  <si>
    <t>Prepare a Draft &amp; Final Combined SCR / RAP</t>
  </si>
  <si>
    <t>Groundwater Monitoring &amp; Sampling                         (Shallow/                   Overburden Groundwater)</t>
  </si>
  <si>
    <t>Groundwater Monitoring &amp; Sampling                       (Bedrock Groundwater)</t>
  </si>
  <si>
    <t>Contaminant F&amp;T Modeling                          (Shallow/                     Overburden Groundwater)</t>
  </si>
  <si>
    <t>Contaminant F&amp;T Modeling                        (Bedrock Groundwater)</t>
  </si>
  <si>
    <t>Risk                            Assessment</t>
  </si>
  <si>
    <t>H</t>
  </si>
  <si>
    <t>Milestone Total</t>
  </si>
  <si>
    <t>Potential Supplemental Work</t>
  </si>
  <si>
    <t>Additional Cost per Unit</t>
  </si>
  <si>
    <t>Advancement / installation of Additional Monitoring Well Footage, price per foot (inclusive of drilling/borehole advancement, logging/oversight, screening with PID, well materials &amp; installation)</t>
  </si>
  <si>
    <t>Additional Soil Sample Analysis, cost per sample (inclusive of soil sample collection &amp; analysis)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</si>
</sst>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5">
    <font>
      <sz val="10"/>
      <name val="Arial"/>
    </font>
    <font>
      <b/>
      <sz val="14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vertAlign val="superscript"/>
      <sz val="12"/>
      <name val="Arial"/>
      <family val="2"/>
    </font>
    <font>
      <sz val="12"/>
      <name val="Arial"/>
    </font>
    <font>
      <b/>
      <sz val="14"/>
      <color indexed="12"/>
      <name val="Arial"/>
      <family val="2"/>
    </font>
    <font>
      <sz val="8"/>
      <name val="Arial"/>
    </font>
    <font>
      <b/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4"/>
      <color rgb="FF0070C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ECFF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164" fontId="3" fillId="2" borderId="1" xfId="0" applyNumberFormat="1" applyFont="1" applyFill="1" applyBorder="1" applyAlignment="1" applyProtection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0" xfId="0" applyFont="1"/>
    <xf numFmtId="164" fontId="2" fillId="2" borderId="1" xfId="0" applyNumberFormat="1" applyFont="1" applyFill="1" applyBorder="1" applyAlignment="1" applyProtection="1">
      <alignment horizontal="center"/>
    </xf>
    <xf numFmtId="164" fontId="3" fillId="2" borderId="4" xfId="0" applyNumberFormat="1" applyFont="1" applyFill="1" applyBorder="1" applyAlignment="1" applyProtection="1">
      <alignment horizontal="center"/>
    </xf>
    <xf numFmtId="164" fontId="3" fillId="0" borderId="3" xfId="0" applyNumberFormat="1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0" fontId="3" fillId="0" borderId="0" xfId="0" applyFont="1"/>
    <xf numFmtId="0" fontId="2" fillId="0" borderId="0" xfId="0" applyFont="1" applyProtection="1">
      <protection locked="0"/>
    </xf>
    <xf numFmtId="0" fontId="2" fillId="0" borderId="0" xfId="0" applyFont="1" applyBorder="1"/>
    <xf numFmtId="0" fontId="2" fillId="0" borderId="0" xfId="0" applyFont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3" fillId="0" borderId="9" xfId="0" applyFont="1" applyBorder="1" applyProtection="1"/>
    <xf numFmtId="0" fontId="3" fillId="0" borderId="2" xfId="0" applyFont="1" applyBorder="1" applyProtection="1"/>
    <xf numFmtId="0" fontId="4" fillId="0" borderId="2" xfId="0" applyFont="1" applyBorder="1" applyAlignment="1" applyProtection="1">
      <alignment horizontal="left"/>
    </xf>
    <xf numFmtId="0" fontId="4" fillId="0" borderId="2" xfId="0" applyFont="1" applyBorder="1" applyProtection="1"/>
    <xf numFmtId="0" fontId="2" fillId="0" borderId="6" xfId="0" applyFont="1" applyBorder="1" applyAlignment="1" applyProtection="1">
      <alignment vertical="top"/>
    </xf>
    <xf numFmtId="0" fontId="2" fillId="0" borderId="10" xfId="0" applyFont="1" applyBorder="1" applyAlignment="1" applyProtection="1">
      <alignment vertical="top"/>
    </xf>
    <xf numFmtId="0" fontId="2" fillId="0" borderId="0" xfId="0" applyFont="1" applyAlignment="1" applyProtection="1">
      <alignment vertical="top"/>
    </xf>
    <xf numFmtId="0" fontId="2" fillId="0" borderId="16" xfId="0" applyFont="1" applyBorder="1" applyAlignment="1" applyProtection="1">
      <alignment vertical="top"/>
    </xf>
    <xf numFmtId="0" fontId="3" fillId="4" borderId="18" xfId="0" applyFont="1" applyFill="1" applyBorder="1" applyAlignment="1" applyProtection="1">
      <alignment horizontal="center" vertical="center" wrapText="1"/>
    </xf>
    <xf numFmtId="0" fontId="3" fillId="4" borderId="12" xfId="0" applyFont="1" applyFill="1" applyBorder="1" applyAlignment="1" applyProtection="1">
      <alignment horizontal="center" vertical="center" wrapText="1"/>
    </xf>
    <xf numFmtId="0" fontId="12" fillId="0" borderId="0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center" wrapText="1"/>
    </xf>
    <xf numFmtId="0" fontId="11" fillId="0" borderId="0" xfId="0" applyFont="1" applyFill="1" applyBorder="1" applyAlignment="1" applyProtection="1">
      <alignment horizontal="center" vertical="center" wrapText="1"/>
    </xf>
    <xf numFmtId="164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Protection="1"/>
    <xf numFmtId="0" fontId="2" fillId="0" borderId="0" xfId="0" applyFont="1" applyBorder="1" applyProtection="1"/>
    <xf numFmtId="0" fontId="2" fillId="0" borderId="0" xfId="0" applyFont="1" applyFill="1" applyBorder="1" applyAlignment="1" applyProtection="1">
      <alignment vertical="top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0" fillId="0" borderId="0" xfId="0" applyFill="1" applyBorder="1" applyAlignment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vertical="top"/>
    </xf>
    <xf numFmtId="164" fontId="2" fillId="0" borderId="0" xfId="0" applyNumberFormat="1" applyFont="1" applyFill="1" applyBorder="1" applyAlignment="1" applyProtection="1">
      <alignment horizontal="center" vertical="top"/>
      <protection locked="0"/>
    </xf>
    <xf numFmtId="0" fontId="3" fillId="0" borderId="0" xfId="0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64" fontId="2" fillId="6" borderId="1" xfId="0" applyNumberFormat="1" applyFont="1" applyFill="1" applyBorder="1" applyAlignment="1" applyProtection="1">
      <alignment horizontal="center"/>
      <protection locked="0"/>
    </xf>
    <xf numFmtId="0" fontId="4" fillId="6" borderId="2" xfId="0" applyFont="1" applyFill="1" applyBorder="1" applyAlignment="1" applyProtection="1">
      <alignment horizontal="left"/>
      <protection locked="0"/>
    </xf>
    <xf numFmtId="0" fontId="4" fillId="6" borderId="2" xfId="0" applyFont="1" applyFill="1" applyBorder="1" applyProtection="1">
      <protection locked="0"/>
    </xf>
    <xf numFmtId="0" fontId="4" fillId="6" borderId="3" xfId="0" applyFont="1" applyFill="1" applyBorder="1" applyAlignment="1" applyProtection="1">
      <alignment horizontal="left"/>
      <protection locked="0"/>
    </xf>
    <xf numFmtId="164" fontId="2" fillId="6" borderId="14" xfId="0" applyNumberFormat="1" applyFont="1" applyFill="1" applyBorder="1" applyAlignment="1" applyProtection="1">
      <alignment horizontal="center"/>
      <protection locked="0"/>
    </xf>
    <xf numFmtId="164" fontId="2" fillId="6" borderId="8" xfId="0" applyNumberFormat="1" applyFont="1" applyFill="1" applyBorder="1" applyAlignment="1" applyProtection="1">
      <alignment horizontal="center"/>
      <protection locked="0"/>
    </xf>
    <xf numFmtId="164" fontId="2" fillId="6" borderId="13" xfId="0" applyNumberFormat="1" applyFont="1" applyFill="1" applyBorder="1" applyAlignment="1" applyProtection="1">
      <alignment horizontal="center"/>
      <protection locked="0"/>
    </xf>
    <xf numFmtId="164" fontId="2" fillId="6" borderId="11" xfId="0" applyNumberFormat="1" applyFont="1" applyFill="1" applyBorder="1" applyAlignment="1" applyProtection="1">
      <alignment horizontal="center"/>
      <protection locked="0"/>
    </xf>
    <xf numFmtId="10" fontId="2" fillId="6" borderId="12" xfId="0" applyNumberFormat="1" applyFont="1" applyFill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left" vertical="top"/>
    </xf>
    <xf numFmtId="0" fontId="14" fillId="0" borderId="0" xfId="0" applyFont="1" applyAlignment="1" applyProtection="1">
      <alignment vertical="top"/>
    </xf>
    <xf numFmtId="0" fontId="1" fillId="0" borderId="0" xfId="0" applyFont="1" applyBorder="1" applyAlignment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2" fillId="6" borderId="6" xfId="0" applyFont="1" applyFill="1" applyBorder="1" applyAlignment="1" applyProtection="1">
      <alignment vertical="top"/>
      <protection locked="0"/>
    </xf>
    <xf numFmtId="0" fontId="2" fillId="6" borderId="15" xfId="0" applyFont="1" applyFill="1" applyBorder="1" applyAlignment="1" applyProtection="1">
      <alignment vertical="top"/>
      <protection locked="0"/>
    </xf>
    <xf numFmtId="0" fontId="2" fillId="6" borderId="7" xfId="0" applyFont="1" applyFill="1" applyBorder="1" applyAlignment="1" applyProtection="1">
      <alignment vertical="top"/>
      <protection locked="0"/>
    </xf>
    <xf numFmtId="0" fontId="2" fillId="6" borderId="0" xfId="0" applyFont="1" applyFill="1" applyBorder="1" applyAlignment="1" applyProtection="1">
      <alignment vertical="top"/>
    </xf>
    <xf numFmtId="0" fontId="3" fillId="0" borderId="0" xfId="0" applyFont="1" applyProtection="1"/>
    <xf numFmtId="164" fontId="4" fillId="0" borderId="0" xfId="0" applyNumberFormat="1" applyFont="1" applyAlignment="1" applyProtection="1">
      <alignment horizontal="center"/>
    </xf>
    <xf numFmtId="164" fontId="1" fillId="0" borderId="0" xfId="0" applyNumberFormat="1" applyFont="1" applyBorder="1" applyAlignment="1" applyProtection="1">
      <alignment horizontal="center"/>
    </xf>
    <xf numFmtId="164" fontId="2" fillId="0" borderId="0" xfId="0" applyNumberFormat="1" applyFont="1" applyFill="1" applyBorder="1" applyAlignment="1" applyProtection="1">
      <alignment horizontal="center"/>
    </xf>
    <xf numFmtId="0" fontId="11" fillId="0" borderId="0" xfId="0" applyFont="1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vertical="top"/>
    </xf>
    <xf numFmtId="10" fontId="2" fillId="0" borderId="0" xfId="0" applyNumberFormat="1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10" fillId="6" borderId="0" xfId="0" applyFont="1" applyFill="1" applyAlignment="1" applyProtection="1">
      <alignment vertical="top"/>
    </xf>
    <xf numFmtId="0" fontId="11" fillId="6" borderId="0" xfId="0" applyFont="1" applyFill="1" applyBorder="1" applyProtection="1"/>
    <xf numFmtId="0" fontId="3" fillId="0" borderId="0" xfId="0" applyFont="1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</xf>
    <xf numFmtId="0" fontId="3" fillId="4" borderId="4" xfId="0" applyFont="1" applyFill="1" applyBorder="1" applyAlignment="1" applyProtection="1">
      <alignment horizontal="center" vertical="center" wrapText="1"/>
    </xf>
    <xf numFmtId="164" fontId="3" fillId="0" borderId="10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5" borderId="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6" borderId="0" xfId="0" applyFont="1" applyFill="1" applyBorder="1" applyAlignment="1" applyProtection="1">
      <alignment horizontal="center" vertical="center" wrapText="1"/>
      <protection locked="0"/>
    </xf>
    <xf numFmtId="0" fontId="1" fillId="4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 applyProtection="1">
      <alignment horizontal="center" textRotation="90" wrapText="1"/>
    </xf>
    <xf numFmtId="0" fontId="5" fillId="4" borderId="2" xfId="0" applyFont="1" applyFill="1" applyBorder="1" applyAlignment="1" applyProtection="1">
      <alignment horizontal="center" textRotation="90" wrapText="1"/>
    </xf>
    <xf numFmtId="0" fontId="5" fillId="4" borderId="3" xfId="0" applyFont="1" applyFill="1" applyBorder="1" applyAlignment="1" applyProtection="1">
      <alignment horizontal="center" textRotation="90" wrapText="1"/>
    </xf>
    <xf numFmtId="164" fontId="2" fillId="6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19" xfId="0" applyFont="1" applyBorder="1" applyAlignment="1" applyProtection="1">
      <alignment vertical="top" wrapText="1"/>
    </xf>
    <xf numFmtId="0" fontId="0" fillId="0" borderId="0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0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21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ECFF"/>
      <color rgb="FF66FFFF"/>
      <color rgb="FFFFFF66"/>
      <color rgb="FFCCFFFF"/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60"/>
  <sheetViews>
    <sheetView tabSelected="1" zoomScale="75" workbookViewId="0">
      <selection activeCell="A5" sqref="A5:M5"/>
    </sheetView>
  </sheetViews>
  <sheetFormatPr defaultColWidth="8.7109375" defaultRowHeight="12"/>
  <cols>
    <col min="1" max="1" width="37.140625" style="1" customWidth="1"/>
    <col min="2" max="2" width="20.7109375" style="1" customWidth="1"/>
    <col min="3" max="12" width="21.7109375" style="1" customWidth="1"/>
    <col min="13" max="13" width="22.140625" style="1" customWidth="1"/>
    <col min="14" max="16384" width="8.7109375" style="1"/>
  </cols>
  <sheetData>
    <row r="1" spans="1:13" ht="18" customHeight="1">
      <c r="A1" s="80" t="s">
        <v>40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1:13" ht="18" customHeight="1">
      <c r="A2" s="80" t="s">
        <v>41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</row>
    <row r="3" spans="1:13" ht="18" customHeight="1">
      <c r="A3" s="80" t="s">
        <v>42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</row>
    <row r="4" spans="1:13" ht="18" customHeight="1">
      <c r="A4" s="40"/>
      <c r="B4" s="40"/>
      <c r="C4" s="40"/>
      <c r="D4" s="40"/>
      <c r="E4" s="40"/>
      <c r="F4" s="40"/>
      <c r="G4" s="40"/>
      <c r="H4" s="52"/>
      <c r="I4" s="40"/>
      <c r="J4" s="52"/>
      <c r="K4" s="52"/>
      <c r="L4" s="40"/>
      <c r="M4" s="40"/>
    </row>
    <row r="5" spans="1:13" ht="18" customHeight="1">
      <c r="A5" s="83" t="s">
        <v>35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</row>
    <row r="6" spans="1:13" ht="18" customHeight="1" thickBot="1">
      <c r="A6" s="40"/>
      <c r="B6" s="40"/>
      <c r="C6" s="40"/>
      <c r="D6" s="40"/>
      <c r="E6" s="40"/>
      <c r="F6" s="40"/>
      <c r="G6" s="40"/>
      <c r="H6" s="52"/>
      <c r="I6" s="40"/>
      <c r="J6" s="52"/>
      <c r="K6" s="52"/>
      <c r="L6" s="40"/>
      <c r="M6" s="40"/>
    </row>
    <row r="7" spans="1:13" ht="18" customHeight="1">
      <c r="A7" s="84" t="s">
        <v>0</v>
      </c>
      <c r="B7" s="85"/>
      <c r="C7" s="77" t="s">
        <v>43</v>
      </c>
      <c r="D7" s="74" t="s">
        <v>45</v>
      </c>
      <c r="E7" s="77" t="s">
        <v>54</v>
      </c>
      <c r="F7" s="77" t="s">
        <v>55</v>
      </c>
      <c r="G7" s="77" t="s">
        <v>56</v>
      </c>
      <c r="H7" s="77" t="s">
        <v>57</v>
      </c>
      <c r="I7" s="77" t="s">
        <v>51</v>
      </c>
      <c r="J7" s="77" t="s">
        <v>58</v>
      </c>
      <c r="K7" s="77" t="s">
        <v>52</v>
      </c>
      <c r="L7" s="77" t="s">
        <v>53</v>
      </c>
      <c r="M7" s="77" t="s">
        <v>37</v>
      </c>
    </row>
    <row r="8" spans="1:13" s="2" customFormat="1" ht="55.5" customHeight="1">
      <c r="A8" s="86"/>
      <c r="B8" s="86"/>
      <c r="C8" s="75"/>
      <c r="D8" s="75"/>
      <c r="E8" s="78"/>
      <c r="F8" s="78"/>
      <c r="G8" s="78"/>
      <c r="H8" s="78"/>
      <c r="I8" s="78"/>
      <c r="J8" s="78"/>
      <c r="K8" s="78"/>
      <c r="L8" s="78"/>
      <c r="M8" s="78"/>
    </row>
    <row r="9" spans="1:13" s="2" customFormat="1" ht="87.75" customHeight="1" thickBot="1">
      <c r="A9" s="87"/>
      <c r="B9" s="87"/>
      <c r="C9" s="76"/>
      <c r="D9" s="76"/>
      <c r="E9" s="79"/>
      <c r="F9" s="79"/>
      <c r="G9" s="79"/>
      <c r="H9" s="79"/>
      <c r="I9" s="79"/>
      <c r="J9" s="79"/>
      <c r="K9" s="79"/>
      <c r="L9" s="79"/>
      <c r="M9" s="79"/>
    </row>
    <row r="10" spans="1:13" s="2" customFormat="1" ht="16.5" thickBot="1">
      <c r="A10" s="90" t="s">
        <v>44</v>
      </c>
      <c r="B10" s="91"/>
      <c r="C10" s="15" t="s">
        <v>38</v>
      </c>
      <c r="D10" s="15" t="s">
        <v>46</v>
      </c>
      <c r="E10" s="15" t="s">
        <v>47</v>
      </c>
      <c r="F10" s="15" t="s">
        <v>48</v>
      </c>
      <c r="G10" s="15" t="s">
        <v>49</v>
      </c>
      <c r="H10" s="15" t="s">
        <v>50</v>
      </c>
      <c r="I10" s="15" t="s">
        <v>31</v>
      </c>
      <c r="J10" s="15" t="s">
        <v>34</v>
      </c>
      <c r="K10" s="15" t="s">
        <v>36</v>
      </c>
      <c r="L10" s="15" t="s">
        <v>59</v>
      </c>
      <c r="M10" s="3">
        <v>0</v>
      </c>
    </row>
    <row r="11" spans="1:13" s="2" customFormat="1" ht="16.5" thickBot="1">
      <c r="A11" s="90" t="s">
        <v>1</v>
      </c>
      <c r="B11" s="91"/>
      <c r="C11" s="15">
        <v>1</v>
      </c>
      <c r="D11" s="66">
        <v>1</v>
      </c>
      <c r="E11" s="53">
        <v>1</v>
      </c>
      <c r="F11" s="53">
        <v>1</v>
      </c>
      <c r="G11" s="53">
        <v>1</v>
      </c>
      <c r="H11" s="53">
        <v>1</v>
      </c>
      <c r="I11" s="53">
        <v>2</v>
      </c>
      <c r="J11" s="53">
        <v>1</v>
      </c>
      <c r="K11" s="53">
        <v>1</v>
      </c>
      <c r="L11" s="53">
        <v>1</v>
      </c>
      <c r="M11" s="3">
        <v>0</v>
      </c>
    </row>
    <row r="12" spans="1:13" s="5" customFormat="1" ht="16.5" thickBot="1">
      <c r="A12" s="16" t="s">
        <v>2</v>
      </c>
      <c r="B12" s="92" t="s">
        <v>3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">
        <f>+C12+D12+E12+F12+G12+H12+I12*I$11+J12+K12+L12</f>
        <v>0</v>
      </c>
    </row>
    <row r="13" spans="1:13" s="5" customFormat="1" ht="19.5" thickBot="1">
      <c r="A13" s="17" t="s">
        <v>4</v>
      </c>
      <c r="B13" s="93"/>
      <c r="C13" s="6"/>
      <c r="D13" s="6"/>
      <c r="E13" s="6"/>
      <c r="F13" s="6"/>
      <c r="G13" s="6"/>
      <c r="H13" s="6"/>
      <c r="I13" s="6"/>
      <c r="J13" s="6"/>
      <c r="K13" s="6"/>
      <c r="L13" s="6"/>
      <c r="M13" s="3">
        <v>0</v>
      </c>
    </row>
    <row r="14" spans="1:13" s="5" customFormat="1" ht="16.5" thickBot="1">
      <c r="A14" s="42" t="s">
        <v>5</v>
      </c>
      <c r="B14" s="93"/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">
        <f t="shared" ref="M14:M31" si="0">+C14+D14+E14+F14+G14+H14+I14*I$11+J14+K14+L14</f>
        <v>0</v>
      </c>
    </row>
    <row r="15" spans="1:13" s="5" customFormat="1" ht="16.5" thickBot="1">
      <c r="A15" s="42" t="s">
        <v>5</v>
      </c>
      <c r="B15" s="93"/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">
        <f t="shared" si="0"/>
        <v>0</v>
      </c>
    </row>
    <row r="16" spans="1:13" s="5" customFormat="1" ht="16.5" thickBot="1">
      <c r="A16" s="42" t="s">
        <v>5</v>
      </c>
      <c r="B16" s="93"/>
      <c r="C16" s="41">
        <v>0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41">
        <v>0</v>
      </c>
      <c r="K16" s="41">
        <v>0</v>
      </c>
      <c r="L16" s="41">
        <v>0</v>
      </c>
      <c r="M16" s="4">
        <f t="shared" si="0"/>
        <v>0</v>
      </c>
    </row>
    <row r="17" spans="1:13" s="5" customFormat="1" ht="16.5" thickBot="1">
      <c r="A17" s="43" t="s">
        <v>6</v>
      </c>
      <c r="B17" s="93"/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">
        <f t="shared" si="0"/>
        <v>0</v>
      </c>
    </row>
    <row r="18" spans="1:13" s="5" customFormat="1" ht="19.5" thickBot="1">
      <c r="A18" s="17" t="s">
        <v>7</v>
      </c>
      <c r="B18" s="93"/>
      <c r="C18" s="6"/>
      <c r="D18" s="6"/>
      <c r="E18" s="6"/>
      <c r="F18" s="6"/>
      <c r="G18" s="6"/>
      <c r="H18" s="6"/>
      <c r="I18" s="6"/>
      <c r="J18" s="6"/>
      <c r="K18" s="6"/>
      <c r="L18" s="6"/>
      <c r="M18" s="3">
        <v>0</v>
      </c>
    </row>
    <row r="19" spans="1:13" s="5" customFormat="1" ht="16.5" thickBot="1">
      <c r="A19" s="18" t="s">
        <v>33</v>
      </c>
      <c r="B19" s="93"/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">
        <f t="shared" si="0"/>
        <v>0</v>
      </c>
    </row>
    <row r="20" spans="1:13" s="5" customFormat="1" ht="16.5" customHeight="1" thickBot="1">
      <c r="A20" s="19" t="s">
        <v>8</v>
      </c>
      <c r="B20" s="93"/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">
        <f t="shared" si="0"/>
        <v>0</v>
      </c>
    </row>
    <row r="21" spans="1:13" s="5" customFormat="1" ht="16.5" customHeight="1" thickBot="1">
      <c r="A21" s="19" t="s">
        <v>9</v>
      </c>
      <c r="B21" s="93"/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">
        <f t="shared" si="0"/>
        <v>0</v>
      </c>
    </row>
    <row r="22" spans="1:13" s="5" customFormat="1" ht="16.5" customHeight="1" thickBot="1">
      <c r="A22" s="43" t="s">
        <v>10</v>
      </c>
      <c r="B22" s="93"/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">
        <f t="shared" si="0"/>
        <v>0</v>
      </c>
    </row>
    <row r="23" spans="1:13" s="5" customFormat="1" ht="16.5" customHeight="1" thickBot="1">
      <c r="A23" s="19" t="s">
        <v>30</v>
      </c>
      <c r="B23" s="93"/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  <c r="K23" s="41">
        <v>0</v>
      </c>
      <c r="L23" s="41">
        <v>0</v>
      </c>
      <c r="M23" s="4">
        <f t="shared" si="0"/>
        <v>0</v>
      </c>
    </row>
    <row r="24" spans="1:13" s="5" customFormat="1" ht="16.5" customHeight="1" thickBot="1">
      <c r="A24" s="18" t="s">
        <v>11</v>
      </c>
      <c r="B24" s="93"/>
      <c r="C24" s="41">
        <v>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">
        <f t="shared" si="0"/>
        <v>0</v>
      </c>
    </row>
    <row r="25" spans="1:13" s="5" customFormat="1" ht="16.5" customHeight="1" thickBot="1">
      <c r="A25" s="18" t="s">
        <v>12</v>
      </c>
      <c r="B25" s="93"/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  <c r="K25" s="41">
        <v>0</v>
      </c>
      <c r="L25" s="41">
        <v>0</v>
      </c>
      <c r="M25" s="4">
        <f t="shared" si="0"/>
        <v>0</v>
      </c>
    </row>
    <row r="26" spans="1:13" s="5" customFormat="1" ht="16.5" customHeight="1" thickBot="1">
      <c r="A26" s="18" t="s">
        <v>32</v>
      </c>
      <c r="B26" s="93"/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">
        <f t="shared" si="0"/>
        <v>0</v>
      </c>
    </row>
    <row r="27" spans="1:13" s="5" customFormat="1" ht="16.5" customHeight="1" thickBot="1">
      <c r="A27" s="42" t="s">
        <v>13</v>
      </c>
      <c r="B27" s="93"/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">
        <f t="shared" si="0"/>
        <v>0</v>
      </c>
    </row>
    <row r="28" spans="1:13" s="5" customFormat="1" ht="16.5" customHeight="1" thickBot="1">
      <c r="A28" s="42" t="s">
        <v>13</v>
      </c>
      <c r="B28" s="93"/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">
        <f t="shared" si="0"/>
        <v>0</v>
      </c>
    </row>
    <row r="29" spans="1:13" s="5" customFormat="1" ht="16.5" customHeight="1" thickBot="1">
      <c r="A29" s="42" t="s">
        <v>13</v>
      </c>
      <c r="B29" s="93"/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">
        <f t="shared" si="0"/>
        <v>0</v>
      </c>
    </row>
    <row r="30" spans="1:13" s="5" customFormat="1" ht="16.5" customHeight="1" thickBot="1">
      <c r="A30" s="42" t="s">
        <v>13</v>
      </c>
      <c r="B30" s="93"/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">
        <f t="shared" si="0"/>
        <v>0</v>
      </c>
    </row>
    <row r="31" spans="1:13" s="5" customFormat="1" ht="16.5" customHeight="1" thickBot="1">
      <c r="A31" s="44" t="s">
        <v>13</v>
      </c>
      <c r="B31" s="94"/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">
        <f t="shared" si="0"/>
        <v>0</v>
      </c>
    </row>
    <row r="32" spans="1:13" s="5" customFormat="1" ht="18.75" thickBot="1">
      <c r="A32" s="88" t="s">
        <v>14</v>
      </c>
      <c r="B32" s="89"/>
      <c r="C32" s="4">
        <f t="shared" ref="C32" si="1">SUM(C12:C31)</f>
        <v>0</v>
      </c>
      <c r="D32" s="4">
        <f>SUM(D12:D31)</f>
        <v>0</v>
      </c>
      <c r="E32" s="4">
        <f>SUM(E12:E31)</f>
        <v>0</v>
      </c>
      <c r="F32" s="4">
        <f>SUM(F12:F31)</f>
        <v>0</v>
      </c>
      <c r="G32" s="4">
        <f>SUM(G12:G31)</f>
        <v>0</v>
      </c>
      <c r="H32" s="4">
        <f>SUM(H12:H31)</f>
        <v>0</v>
      </c>
      <c r="I32" s="4">
        <f t="shared" ref="I32:L32" si="2">SUM(I12:I31)</f>
        <v>0</v>
      </c>
      <c r="J32" s="4">
        <f t="shared" ref="J32:K32" si="3">SUM(J12:J31)</f>
        <v>0</v>
      </c>
      <c r="K32" s="4">
        <f t="shared" si="3"/>
        <v>0</v>
      </c>
      <c r="L32" s="4">
        <f t="shared" si="2"/>
        <v>0</v>
      </c>
      <c r="M32" s="7">
        <v>0</v>
      </c>
    </row>
    <row r="33" spans="1:15" s="5" customFormat="1" ht="18.75" thickBot="1">
      <c r="A33" s="81" t="s">
        <v>60</v>
      </c>
      <c r="B33" s="82"/>
      <c r="C33" s="4">
        <f>C32</f>
        <v>0</v>
      </c>
      <c r="D33" s="4">
        <f>D32</f>
        <v>0</v>
      </c>
      <c r="E33" s="72">
        <f>E32+F32</f>
        <v>0</v>
      </c>
      <c r="F33" s="73"/>
      <c r="G33" s="72">
        <f>G32+H32</f>
        <v>0</v>
      </c>
      <c r="H33" s="73"/>
      <c r="I33" s="8">
        <f>I32*I11</f>
        <v>0</v>
      </c>
      <c r="J33" s="8">
        <f>J32</f>
        <v>0</v>
      </c>
      <c r="K33" s="8">
        <f>K32</f>
        <v>0</v>
      </c>
      <c r="L33" s="8">
        <f t="shared" ref="L33" si="4">L32</f>
        <v>0</v>
      </c>
      <c r="M33" s="9">
        <f>SUM(C33:L33)</f>
        <v>0</v>
      </c>
    </row>
    <row r="34" spans="1:15" s="5" customFormat="1" ht="18.75" thickBot="1">
      <c r="A34" s="10"/>
      <c r="B34" s="10"/>
      <c r="C34" s="58"/>
      <c r="D34" s="58"/>
      <c r="E34" s="59"/>
      <c r="F34" s="59"/>
      <c r="G34" s="59"/>
      <c r="H34" s="59"/>
      <c r="I34" s="59"/>
      <c r="J34" s="59"/>
      <c r="K34" s="59"/>
      <c r="L34" s="59"/>
      <c r="M34" s="60"/>
    </row>
    <row r="35" spans="1:15" s="11" customFormat="1" ht="60" customHeight="1" thickBot="1">
      <c r="A35" s="24" t="s">
        <v>15</v>
      </c>
      <c r="B35" s="25" t="s">
        <v>16</v>
      </c>
      <c r="C35" s="39"/>
      <c r="D35" s="69"/>
      <c r="E35" s="70"/>
      <c r="F35" s="97" t="s">
        <v>61</v>
      </c>
      <c r="G35" s="98"/>
      <c r="H35" s="99"/>
      <c r="I35" s="71" t="s">
        <v>62</v>
      </c>
      <c r="J35" s="30"/>
      <c r="K35" s="30"/>
      <c r="L35" s="30"/>
      <c r="M35" s="30"/>
    </row>
    <row r="36" spans="1:15" s="13" customFormat="1" ht="14.1" customHeight="1">
      <c r="A36" s="23" t="s">
        <v>17</v>
      </c>
      <c r="B36" s="45">
        <v>0</v>
      </c>
      <c r="C36" s="61"/>
      <c r="D36" s="37"/>
      <c r="E36" s="37"/>
      <c r="F36" s="100" t="s">
        <v>64</v>
      </c>
      <c r="G36" s="101"/>
      <c r="H36" s="102"/>
      <c r="I36" s="95">
        <v>0</v>
      </c>
      <c r="J36" s="22"/>
      <c r="K36" s="22"/>
      <c r="L36" s="22"/>
      <c r="M36" s="22"/>
    </row>
    <row r="37" spans="1:15" s="13" customFormat="1" ht="14.1" customHeight="1">
      <c r="A37" s="20" t="s">
        <v>18</v>
      </c>
      <c r="B37" s="46">
        <v>0</v>
      </c>
      <c r="C37" s="61"/>
      <c r="D37" s="37"/>
      <c r="E37" s="37"/>
      <c r="F37" s="103"/>
      <c r="G37" s="104"/>
      <c r="H37" s="105"/>
      <c r="I37" s="96"/>
      <c r="J37" s="22"/>
      <c r="K37" s="22"/>
      <c r="L37" s="22"/>
      <c r="M37" s="22"/>
    </row>
    <row r="38" spans="1:15" s="13" customFormat="1" ht="14.1" customHeight="1">
      <c r="A38" s="20" t="s">
        <v>19</v>
      </c>
      <c r="B38" s="46">
        <v>0</v>
      </c>
      <c r="C38" s="61"/>
      <c r="D38" s="37"/>
      <c r="E38" s="37"/>
      <c r="F38" s="100" t="s">
        <v>63</v>
      </c>
      <c r="G38" s="106"/>
      <c r="H38" s="107"/>
      <c r="I38" s="95">
        <v>0</v>
      </c>
      <c r="J38" s="22"/>
      <c r="K38" s="22"/>
      <c r="L38" s="22"/>
      <c r="M38" s="22"/>
    </row>
    <row r="39" spans="1:15" s="13" customFormat="1" ht="14.1" customHeight="1">
      <c r="A39" s="20" t="s">
        <v>20</v>
      </c>
      <c r="B39" s="46">
        <v>0</v>
      </c>
      <c r="C39" s="61"/>
      <c r="D39" s="37"/>
      <c r="E39" s="37"/>
      <c r="F39" s="108"/>
      <c r="G39" s="106"/>
      <c r="H39" s="107"/>
      <c r="I39" s="96"/>
      <c r="J39" s="22"/>
      <c r="K39" s="22"/>
      <c r="L39" s="22"/>
      <c r="M39" s="22"/>
    </row>
    <row r="40" spans="1:15" s="13" customFormat="1" ht="14.1" customHeight="1" thickBot="1">
      <c r="A40" s="20" t="s">
        <v>21</v>
      </c>
      <c r="B40" s="46">
        <v>0</v>
      </c>
      <c r="C40" s="61"/>
      <c r="D40" s="37"/>
      <c r="E40" s="37"/>
      <c r="F40" s="109"/>
      <c r="G40" s="110"/>
      <c r="H40" s="111"/>
      <c r="I40" s="112"/>
      <c r="J40" s="22"/>
      <c r="K40" s="22"/>
      <c r="L40" s="22"/>
      <c r="M40" s="22"/>
    </row>
    <row r="41" spans="1:15" s="13" customFormat="1" ht="14.1" customHeight="1">
      <c r="A41" s="20" t="s">
        <v>22</v>
      </c>
      <c r="B41" s="46">
        <v>0</v>
      </c>
      <c r="C41" s="61"/>
      <c r="D41" s="37"/>
      <c r="E41" s="37"/>
      <c r="F41" s="26"/>
      <c r="G41" s="37"/>
      <c r="H41" s="32"/>
      <c r="I41" s="29"/>
      <c r="J41" s="22"/>
      <c r="K41" s="22"/>
      <c r="L41" s="22"/>
      <c r="M41" s="22"/>
    </row>
    <row r="42" spans="1:15" s="13" customFormat="1" ht="14.1" customHeight="1">
      <c r="A42" s="20" t="s">
        <v>23</v>
      </c>
      <c r="B42" s="46">
        <v>0</v>
      </c>
      <c r="C42" s="61"/>
      <c r="D42" s="37"/>
      <c r="E42" s="37"/>
      <c r="F42" s="26"/>
      <c r="G42" s="37"/>
      <c r="H42" s="32"/>
      <c r="I42" s="29"/>
      <c r="J42" s="22"/>
      <c r="K42" s="22"/>
      <c r="L42" s="22"/>
      <c r="M42" s="22"/>
    </row>
    <row r="43" spans="1:15" s="13" customFormat="1" ht="14.1" customHeight="1">
      <c r="A43" s="20" t="s">
        <v>24</v>
      </c>
      <c r="B43" s="46">
        <v>0</v>
      </c>
      <c r="C43" s="61"/>
      <c r="D43" s="37"/>
      <c r="E43" s="37"/>
      <c r="F43" s="26"/>
      <c r="G43" s="37"/>
      <c r="H43" s="32"/>
      <c r="I43" s="29"/>
      <c r="J43" s="22"/>
      <c r="K43" s="22"/>
      <c r="L43" s="22"/>
      <c r="M43" s="22"/>
    </row>
    <row r="44" spans="1:15" s="13" customFormat="1" ht="14.1" customHeight="1">
      <c r="A44" s="20" t="s">
        <v>25</v>
      </c>
      <c r="B44" s="46">
        <v>0</v>
      </c>
      <c r="C44" s="61"/>
      <c r="D44" s="37"/>
      <c r="E44" s="37"/>
      <c r="F44" s="26"/>
      <c r="G44" s="37"/>
      <c r="H44" s="32"/>
      <c r="I44" s="29"/>
      <c r="J44" s="22"/>
      <c r="K44" s="22"/>
      <c r="L44" s="22"/>
      <c r="M44" s="22"/>
    </row>
    <row r="45" spans="1:15" s="13" customFormat="1" ht="14.1" customHeight="1">
      <c r="A45" s="20" t="s">
        <v>26</v>
      </c>
      <c r="B45" s="46">
        <v>0</v>
      </c>
      <c r="C45" s="61"/>
      <c r="D45" s="37"/>
      <c r="E45" s="37"/>
      <c r="F45" s="26"/>
      <c r="G45" s="37"/>
      <c r="H45" s="32"/>
      <c r="I45" s="29"/>
      <c r="J45" s="22"/>
      <c r="K45" s="22"/>
      <c r="L45" s="22"/>
      <c r="M45" s="22"/>
    </row>
    <row r="46" spans="1:15" s="13" customFormat="1" ht="14.1" customHeight="1">
      <c r="A46" s="54" t="s">
        <v>13</v>
      </c>
      <c r="B46" s="46">
        <v>0</v>
      </c>
      <c r="C46" s="61"/>
      <c r="D46" s="37"/>
      <c r="E46" s="37"/>
      <c r="F46" s="26"/>
      <c r="G46" s="32"/>
      <c r="H46" s="32"/>
      <c r="I46" s="29"/>
      <c r="J46" s="22"/>
      <c r="K46" s="22"/>
      <c r="L46" s="22"/>
      <c r="M46" s="22"/>
    </row>
    <row r="47" spans="1:15" s="13" customFormat="1" ht="14.1" customHeight="1">
      <c r="A47" s="55" t="s">
        <v>13</v>
      </c>
      <c r="B47" s="47">
        <v>0</v>
      </c>
      <c r="C47" s="61"/>
      <c r="D47" s="61"/>
      <c r="E47" s="37"/>
      <c r="F47" s="37"/>
      <c r="G47" s="32"/>
      <c r="H47" s="32"/>
      <c r="I47" s="29"/>
      <c r="J47" s="62"/>
      <c r="K47" s="62"/>
      <c r="L47" s="26"/>
      <c r="M47" s="61"/>
    </row>
    <row r="48" spans="1:15" s="13" customFormat="1" ht="14.1" customHeight="1">
      <c r="A48" s="55" t="s">
        <v>13</v>
      </c>
      <c r="B48" s="47">
        <v>0</v>
      </c>
      <c r="C48" s="61"/>
      <c r="D48" s="61"/>
      <c r="E48" s="39"/>
      <c r="F48" s="63"/>
      <c r="G48" s="32"/>
      <c r="H48" s="32"/>
      <c r="I48" s="29"/>
      <c r="J48" s="63"/>
      <c r="K48" s="63"/>
      <c r="L48" s="63"/>
      <c r="M48" s="63"/>
      <c r="N48" s="35"/>
      <c r="O48" s="36"/>
    </row>
    <row r="49" spans="1:15" s="13" customFormat="1" ht="14.1" customHeight="1" thickBot="1">
      <c r="A49" s="56" t="s">
        <v>13</v>
      </c>
      <c r="B49" s="48">
        <v>0</v>
      </c>
      <c r="C49" s="61"/>
      <c r="D49" s="61"/>
      <c r="E49" s="37"/>
      <c r="F49" s="37"/>
      <c r="G49" s="32"/>
      <c r="H49" s="32"/>
      <c r="I49" s="29"/>
      <c r="J49" s="37"/>
      <c r="K49" s="37"/>
      <c r="L49" s="37"/>
      <c r="M49" s="39"/>
      <c r="N49" s="27"/>
      <c r="O49" s="38"/>
    </row>
    <row r="50" spans="1:15" s="13" customFormat="1" ht="14.1" customHeight="1">
      <c r="A50" s="22"/>
      <c r="B50" s="22"/>
      <c r="C50" s="64"/>
      <c r="D50" s="64"/>
      <c r="E50" s="37"/>
      <c r="F50" s="37"/>
      <c r="G50" s="37"/>
      <c r="H50" s="37"/>
      <c r="I50" s="37"/>
      <c r="J50" s="37"/>
      <c r="K50" s="37"/>
      <c r="L50" s="37"/>
      <c r="M50" s="39"/>
      <c r="N50" s="27"/>
      <c r="O50" s="38"/>
    </row>
    <row r="51" spans="1:15" s="13" customFormat="1" ht="14.1" customHeight="1" thickBot="1">
      <c r="A51" s="22"/>
      <c r="B51" s="22"/>
      <c r="C51" s="64"/>
      <c r="D51" s="64"/>
      <c r="E51" s="37"/>
      <c r="F51" s="37"/>
      <c r="G51" s="37"/>
      <c r="H51" s="37"/>
      <c r="I51" s="37"/>
      <c r="J51" s="37"/>
      <c r="K51" s="37"/>
      <c r="L51" s="37"/>
      <c r="M51" s="28"/>
      <c r="N51" s="26"/>
      <c r="O51" s="29"/>
    </row>
    <row r="52" spans="1:15" s="13" customFormat="1" ht="14.1" customHeight="1" thickBot="1">
      <c r="A52" s="21" t="s">
        <v>27</v>
      </c>
      <c r="B52" s="49">
        <v>0</v>
      </c>
      <c r="C52" s="65"/>
      <c r="D52" s="65"/>
      <c r="E52" s="37"/>
      <c r="F52" s="37"/>
      <c r="G52" s="37"/>
      <c r="H52" s="37"/>
      <c r="I52" s="37"/>
      <c r="J52" s="37"/>
      <c r="K52" s="37"/>
      <c r="L52" s="37"/>
      <c r="M52" s="28"/>
      <c r="N52" s="26"/>
      <c r="O52" s="29"/>
    </row>
    <row r="53" spans="1:15" s="13" customFormat="1" ht="12" customHeight="1">
      <c r="A53" s="22"/>
      <c r="B53" s="22"/>
      <c r="C53" s="22"/>
      <c r="D53" s="22"/>
      <c r="E53" s="37"/>
      <c r="F53" s="37"/>
      <c r="G53" s="37"/>
      <c r="H53" s="37"/>
      <c r="I53" s="37"/>
      <c r="J53" s="37"/>
      <c r="K53" s="37"/>
      <c r="L53" s="37"/>
      <c r="M53" s="28"/>
      <c r="N53" s="26"/>
      <c r="O53" s="29"/>
    </row>
    <row r="54" spans="1:15" ht="12.75" customHeight="1">
      <c r="A54" s="30"/>
      <c r="B54" s="30"/>
      <c r="C54" s="30"/>
      <c r="D54" s="30"/>
      <c r="E54" s="37"/>
      <c r="F54" s="37"/>
      <c r="G54" s="37"/>
      <c r="H54" s="37"/>
      <c r="I54" s="37"/>
      <c r="J54" s="37"/>
      <c r="K54" s="37"/>
      <c r="L54" s="37"/>
      <c r="M54" s="28"/>
      <c r="N54" s="34"/>
      <c r="O54" s="29"/>
    </row>
    <row r="55" spans="1:15" ht="15" customHeight="1">
      <c r="A55" s="50" t="s">
        <v>28</v>
      </c>
      <c r="B55" s="30"/>
      <c r="C55" s="30"/>
      <c r="D55" s="30"/>
      <c r="E55" s="37"/>
      <c r="F55" s="37"/>
      <c r="G55" s="32"/>
      <c r="H55" s="32"/>
      <c r="I55" s="32"/>
      <c r="J55" s="32"/>
      <c r="K55" s="32"/>
      <c r="L55" s="32"/>
      <c r="M55" s="33"/>
      <c r="N55" s="34"/>
      <c r="O55" s="29"/>
    </row>
    <row r="56" spans="1:15" ht="15" customHeight="1">
      <c r="A56" s="51" t="s">
        <v>29</v>
      </c>
      <c r="B56" s="31"/>
      <c r="C56" s="31"/>
      <c r="D56" s="31"/>
      <c r="E56" s="37"/>
      <c r="F56" s="37"/>
      <c r="G56" s="32"/>
      <c r="H56" s="32"/>
      <c r="I56" s="32"/>
      <c r="J56" s="32"/>
      <c r="K56" s="32"/>
      <c r="L56" s="32"/>
      <c r="M56" s="33"/>
      <c r="N56" s="34"/>
      <c r="O56" s="29"/>
    </row>
    <row r="57" spans="1:15" ht="15" customHeight="1">
      <c r="A57" s="67" t="s">
        <v>39</v>
      </c>
      <c r="B57" s="68"/>
      <c r="C57" s="68"/>
      <c r="D57" s="68"/>
      <c r="E57" s="57"/>
      <c r="F57" s="37"/>
      <c r="G57" s="32"/>
      <c r="H57" s="32"/>
      <c r="I57" s="32"/>
      <c r="J57" s="32"/>
      <c r="K57" s="32"/>
      <c r="L57" s="32"/>
      <c r="M57" s="33"/>
      <c r="N57" s="34"/>
      <c r="O57" s="29"/>
    </row>
    <row r="58" spans="1:15" ht="12.75">
      <c r="B58" s="12"/>
      <c r="C58" s="12"/>
      <c r="D58" s="12"/>
      <c r="E58" s="14"/>
      <c r="F58" s="14"/>
      <c r="G58" s="14"/>
      <c r="H58" s="14"/>
    </row>
    <row r="59" spans="1:15" ht="12" customHeight="1">
      <c r="E59" s="14"/>
      <c r="F59" s="14"/>
      <c r="G59" s="14"/>
      <c r="H59" s="14"/>
    </row>
    <row r="60" spans="1:15" ht="12.75">
      <c r="E60" s="14"/>
      <c r="F60" s="14"/>
      <c r="G60" s="14"/>
      <c r="H60" s="14"/>
    </row>
  </sheetData>
  <sheetProtection password="ADC4" sheet="1" objects="1" scenarios="1" selectLockedCells="1"/>
  <mergeCells count="28">
    <mergeCell ref="I36:I37"/>
    <mergeCell ref="F35:H35"/>
    <mergeCell ref="F36:H37"/>
    <mergeCell ref="F38:H40"/>
    <mergeCell ref="I38:I40"/>
    <mergeCell ref="A33:B33"/>
    <mergeCell ref="A5:M5"/>
    <mergeCell ref="I7:I9"/>
    <mergeCell ref="L7:L9"/>
    <mergeCell ref="M7:M9"/>
    <mergeCell ref="E7:E9"/>
    <mergeCell ref="F7:F9"/>
    <mergeCell ref="A7:B9"/>
    <mergeCell ref="A32:B32"/>
    <mergeCell ref="A11:B11"/>
    <mergeCell ref="B12:B31"/>
    <mergeCell ref="A10:B10"/>
    <mergeCell ref="C7:C9"/>
    <mergeCell ref="J7:J9"/>
    <mergeCell ref="K7:K9"/>
    <mergeCell ref="A3:M3"/>
    <mergeCell ref="A1:M1"/>
    <mergeCell ref="A2:M2"/>
    <mergeCell ref="E33:F33"/>
    <mergeCell ref="G33:H33"/>
    <mergeCell ref="D7:D9"/>
    <mergeCell ref="G7:G9"/>
    <mergeCell ref="H7:H9"/>
  </mergeCells>
  <phoneticPr fontId="9" type="noConversion"/>
  <printOptions horizontalCentered="1"/>
  <pageMargins left="0.28000000000000003" right="0.25" top="0.71" bottom="0.66" header="0.27" footer="0.26"/>
  <pageSetup scale="47" orientation="landscape" horizontalDpi="1200" verticalDpi="1200" r:id="rId1"/>
  <headerFooter alignWithMargins="0">
    <oddFooter>&amp;RRFB Bid Quotation Form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Base SOW - Cost Table</vt:lpstr>
      <vt:lpstr>'Base SOW - Cost Table'!Print_Area</vt:lpstr>
    </vt:vector>
  </TitlesOfParts>
  <Company>Excalibur Group,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Ozog, Jr.</dc:creator>
  <cp:lastModifiedBy>Amy Steiner</cp:lastModifiedBy>
  <cp:lastPrinted>2013-02-07T19:29:55Z</cp:lastPrinted>
  <dcterms:created xsi:type="dcterms:W3CDTF">2009-03-12T14:50:14Z</dcterms:created>
  <dcterms:modified xsi:type="dcterms:W3CDTF">2013-04-08T17:04:35Z</dcterms:modified>
</cp:coreProperties>
</file>