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23256" windowHeight="10548"/>
  </bookViews>
  <sheets>
    <sheet name="Budget" sheetId="1" r:id="rId1"/>
    <sheet name="Cash (FY ending Aug 31)" sheetId="7" r:id="rId2"/>
    <sheet name="Cash (FY ending Jun 30)" sheetId="8" r:id="rId3"/>
  </sheets>
  <definedNames>
    <definedName name="_xlnm.Print_Area" localSheetId="0">Budget!$A$1:$K$52</definedName>
    <definedName name="_xlnm.Print_Area" localSheetId="1">'Cash (FY ending Aug 31)'!$A$1:$AF$49</definedName>
    <definedName name="_xlnm.Print_Area" localSheetId="2">'Cash (FY ending Jun 30)'!$A$1:$AF$49</definedName>
  </definedNames>
  <calcPr calcId="125725"/>
</workbook>
</file>

<file path=xl/calcChain.xml><?xml version="1.0" encoding="utf-8"?>
<calcChain xmlns="http://schemas.openxmlformats.org/spreadsheetml/2006/main">
  <c r="G41" i="7"/>
  <c r="E41"/>
  <c r="C41"/>
  <c r="AC41"/>
  <c r="AA41"/>
  <c r="AE41" s="1"/>
  <c r="Y41"/>
  <c r="W41"/>
  <c r="U41"/>
  <c r="S41"/>
  <c r="Q41"/>
  <c r="O41"/>
  <c r="M41"/>
  <c r="K41"/>
  <c r="I41"/>
  <c r="AC41" i="8"/>
  <c r="AA41"/>
  <c r="AE41" s="1"/>
  <c r="Y41"/>
  <c r="W41"/>
  <c r="U41"/>
  <c r="S41"/>
  <c r="Q41"/>
  <c r="O41"/>
  <c r="M41"/>
  <c r="K41"/>
  <c r="I41"/>
  <c r="G41"/>
  <c r="E41"/>
  <c r="C41"/>
  <c r="AC47"/>
  <c r="C47"/>
  <c r="AA46"/>
  <c r="AE46" s="1"/>
  <c r="AA45"/>
  <c r="AE45" s="1"/>
  <c r="AA44"/>
  <c r="AA47" s="1"/>
  <c r="AE47" s="1"/>
  <c r="E44"/>
  <c r="E47" s="1"/>
  <c r="G44" s="1"/>
  <c r="G47" s="1"/>
  <c r="I44" s="1"/>
  <c r="I47" s="1"/>
  <c r="K44" s="1"/>
  <c r="K47" s="1"/>
  <c r="M44" s="1"/>
  <c r="M47" s="1"/>
  <c r="O44" s="1"/>
  <c r="O47" s="1"/>
  <c r="Q44" s="1"/>
  <c r="Q47" s="1"/>
  <c r="S44" s="1"/>
  <c r="S47" s="1"/>
  <c r="U44" s="1"/>
  <c r="U47" s="1"/>
  <c r="W44" s="1"/>
  <c r="W47" s="1"/>
  <c r="Y44" s="1"/>
  <c r="Y47" s="1"/>
  <c r="AA40"/>
  <c r="AE40" s="1"/>
  <c r="AA39"/>
  <c r="AE39" s="1"/>
  <c r="AA38"/>
  <c r="AE30"/>
  <c r="AA30"/>
  <c r="AE29"/>
  <c r="AA29"/>
  <c r="AA28"/>
  <c r="AE28" s="1"/>
  <c r="AC26"/>
  <c r="AC31" s="1"/>
  <c r="Y26"/>
  <c r="Y31" s="1"/>
  <c r="W26"/>
  <c r="W31" s="1"/>
  <c r="U26"/>
  <c r="U31" s="1"/>
  <c r="S26"/>
  <c r="S31" s="1"/>
  <c r="Q26"/>
  <c r="Q31" s="1"/>
  <c r="O26"/>
  <c r="O31" s="1"/>
  <c r="M26"/>
  <c r="M31" s="1"/>
  <c r="K26"/>
  <c r="K31" s="1"/>
  <c r="I26"/>
  <c r="I31" s="1"/>
  <c r="G26"/>
  <c r="G31" s="1"/>
  <c r="E26"/>
  <c r="E31" s="1"/>
  <c r="C26"/>
  <c r="AA26" s="1"/>
  <c r="AA25"/>
  <c r="AE25" s="1"/>
  <c r="AA24"/>
  <c r="AE24" s="1"/>
  <c r="AA23"/>
  <c r="AE23" s="1"/>
  <c r="AA22"/>
  <c r="AE22" s="1"/>
  <c r="AC19"/>
  <c r="Y19"/>
  <c r="Y33" s="1"/>
  <c r="W19"/>
  <c r="U19"/>
  <c r="U33" s="1"/>
  <c r="S19"/>
  <c r="Q19"/>
  <c r="Q33" s="1"/>
  <c r="O19"/>
  <c r="M19"/>
  <c r="M33" s="1"/>
  <c r="K19"/>
  <c r="I19"/>
  <c r="I33" s="1"/>
  <c r="G19"/>
  <c r="E19"/>
  <c r="E33" s="1"/>
  <c r="C19"/>
  <c r="AA18"/>
  <c r="AE18" s="1"/>
  <c r="AA17"/>
  <c r="AE17" s="1"/>
  <c r="AA16"/>
  <c r="AE16" s="1"/>
  <c r="AA15"/>
  <c r="AE15" s="1"/>
  <c r="AA14"/>
  <c r="AE14" s="1"/>
  <c r="AA13"/>
  <c r="AE13" s="1"/>
  <c r="AA12"/>
  <c r="AE12" s="1"/>
  <c r="AA11"/>
  <c r="AE11" s="1"/>
  <c r="AE8"/>
  <c r="H49" i="1"/>
  <c r="D49"/>
  <c r="H52"/>
  <c r="D52"/>
  <c r="H51"/>
  <c r="D51"/>
  <c r="K47"/>
  <c r="J47"/>
  <c r="G47"/>
  <c r="F47"/>
  <c r="C47"/>
  <c r="B47"/>
  <c r="H46"/>
  <c r="D46"/>
  <c r="H45"/>
  <c r="D45"/>
  <c r="H44"/>
  <c r="H47" s="1"/>
  <c r="D44"/>
  <c r="D47" s="1"/>
  <c r="K41"/>
  <c r="J41"/>
  <c r="G41"/>
  <c r="F41"/>
  <c r="C41"/>
  <c r="B41"/>
  <c r="H40"/>
  <c r="D40"/>
  <c r="H39"/>
  <c r="D39"/>
  <c r="H38"/>
  <c r="H41" s="1"/>
  <c r="D38"/>
  <c r="D41" s="1"/>
  <c r="K33"/>
  <c r="J33"/>
  <c r="G33"/>
  <c r="F33"/>
  <c r="C33"/>
  <c r="B33"/>
  <c r="H32"/>
  <c r="D32"/>
  <c r="H31"/>
  <c r="D31"/>
  <c r="H30"/>
  <c r="D30"/>
  <c r="H29"/>
  <c r="D29"/>
  <c r="H28"/>
  <c r="D28"/>
  <c r="H27"/>
  <c r="D27"/>
  <c r="H26"/>
  <c r="D26"/>
  <c r="H25"/>
  <c r="D25"/>
  <c r="H24"/>
  <c r="D24"/>
  <c r="H23"/>
  <c r="D23"/>
  <c r="H22"/>
  <c r="D22"/>
  <c r="H21"/>
  <c r="D21"/>
  <c r="H20"/>
  <c r="D20"/>
  <c r="H19"/>
  <c r="H33" s="1"/>
  <c r="D19"/>
  <c r="D33" s="1"/>
  <c r="K16"/>
  <c r="K35" s="1"/>
  <c r="K49" s="1"/>
  <c r="J16"/>
  <c r="J35" s="1"/>
  <c r="J49" s="1"/>
  <c r="G16"/>
  <c r="G35" s="1"/>
  <c r="G49" s="1"/>
  <c r="F16"/>
  <c r="F35" s="1"/>
  <c r="F49" s="1"/>
  <c r="C16"/>
  <c r="C35" s="1"/>
  <c r="C49" s="1"/>
  <c r="B16"/>
  <c r="B35" s="1"/>
  <c r="B49" s="1"/>
  <c r="H15"/>
  <c r="D15"/>
  <c r="H14"/>
  <c r="D14"/>
  <c r="H13"/>
  <c r="D13"/>
  <c r="H12"/>
  <c r="D12"/>
  <c r="H11"/>
  <c r="D11"/>
  <c r="H10"/>
  <c r="D10"/>
  <c r="H9"/>
  <c r="D9"/>
  <c r="H8"/>
  <c r="H16" s="1"/>
  <c r="H35" s="1"/>
  <c r="D8"/>
  <c r="D16" s="1"/>
  <c r="D35" s="1"/>
  <c r="AE19" i="8" l="1"/>
  <c r="G33"/>
  <c r="K33"/>
  <c r="O33"/>
  <c r="S33"/>
  <c r="W33"/>
  <c r="AC35"/>
  <c r="AC49" s="1"/>
  <c r="AE26"/>
  <c r="AE31" s="1"/>
  <c r="AA31"/>
  <c r="AA19"/>
  <c r="C31"/>
  <c r="C33" s="1"/>
  <c r="AE38"/>
  <c r="AE44"/>
  <c r="AA33" l="1"/>
  <c r="C35"/>
  <c r="C49" l="1"/>
  <c r="E8"/>
  <c r="E35" s="1"/>
  <c r="E49" l="1"/>
  <c r="G8"/>
  <c r="G35" s="1"/>
  <c r="G49" l="1"/>
  <c r="I8"/>
  <c r="I35" s="1"/>
  <c r="I49" l="1"/>
  <c r="K8"/>
  <c r="K35" s="1"/>
  <c r="K49" l="1"/>
  <c r="M8"/>
  <c r="M35" s="1"/>
  <c r="M49" l="1"/>
  <c r="O8"/>
  <c r="O35" s="1"/>
  <c r="O49" l="1"/>
  <c r="Q8"/>
  <c r="Q35" s="1"/>
  <c r="Q49" l="1"/>
  <c r="S8"/>
  <c r="S35" s="1"/>
  <c r="S49" l="1"/>
  <c r="U8"/>
  <c r="U35" s="1"/>
  <c r="U49" l="1"/>
  <c r="W8"/>
  <c r="W35" s="1"/>
  <c r="W49" l="1"/>
  <c r="Y8"/>
  <c r="Y35" s="1"/>
  <c r="Y49" l="1"/>
  <c r="AA35"/>
  <c r="AA49" l="1"/>
  <c r="AE35"/>
  <c r="AE49" s="1"/>
  <c r="AA46" i="7" l="1"/>
  <c r="AA45"/>
  <c r="AE45" s="1"/>
  <c r="AA40"/>
  <c r="AA39"/>
  <c r="AA38"/>
  <c r="AA33"/>
  <c r="AA30"/>
  <c r="AA29"/>
  <c r="AA28"/>
  <c r="AA26"/>
  <c r="AA25"/>
  <c r="AA24"/>
  <c r="AA23"/>
  <c r="AA22"/>
  <c r="AA12"/>
  <c r="AA13"/>
  <c r="AA14"/>
  <c r="AA15"/>
  <c r="AA16"/>
  <c r="AA17"/>
  <c r="AA18"/>
  <c r="AA11"/>
  <c r="AE8"/>
  <c r="AE11"/>
  <c r="AE12"/>
  <c r="AE13"/>
  <c r="AE14"/>
  <c r="AE15"/>
  <c r="AE17"/>
  <c r="AE18"/>
  <c r="C19"/>
  <c r="E19"/>
  <c r="G19"/>
  <c r="I19"/>
  <c r="K19"/>
  <c r="M19"/>
  <c r="O19"/>
  <c r="Q19"/>
  <c r="S19"/>
  <c r="U19"/>
  <c r="W19"/>
  <c r="Y19"/>
  <c r="AC19"/>
  <c r="AE22"/>
  <c r="AE23"/>
  <c r="AE24"/>
  <c r="AE25"/>
  <c r="C26"/>
  <c r="E26"/>
  <c r="G26"/>
  <c r="I26"/>
  <c r="K26"/>
  <c r="M26"/>
  <c r="O26"/>
  <c r="Q26"/>
  <c r="S26"/>
  <c r="U26"/>
  <c r="W26"/>
  <c r="Y26"/>
  <c r="AC26"/>
  <c r="AE28"/>
  <c r="AE29"/>
  <c r="AE30"/>
  <c r="C31"/>
  <c r="E31"/>
  <c r="G31"/>
  <c r="I31"/>
  <c r="K31"/>
  <c r="M31"/>
  <c r="O31"/>
  <c r="Q31"/>
  <c r="S31"/>
  <c r="U31"/>
  <c r="W31"/>
  <c r="Y31"/>
  <c r="AC31"/>
  <c r="C33"/>
  <c r="E33"/>
  <c r="G33"/>
  <c r="I33"/>
  <c r="K33"/>
  <c r="M33"/>
  <c r="O33"/>
  <c r="Q33"/>
  <c r="S33"/>
  <c r="U33"/>
  <c r="W33"/>
  <c r="Y33"/>
  <c r="C35"/>
  <c r="E8" s="1"/>
  <c r="E35" s="1"/>
  <c r="AC35"/>
  <c r="AE38"/>
  <c r="AE39"/>
  <c r="AE40"/>
  <c r="AA44"/>
  <c r="AE44" s="1"/>
  <c r="AE46"/>
  <c r="C47"/>
  <c r="E44" s="1"/>
  <c r="E47" s="1"/>
  <c r="G44" s="1"/>
  <c r="G47" s="1"/>
  <c r="I44" s="1"/>
  <c r="I47" s="1"/>
  <c r="K44" s="1"/>
  <c r="K47" s="1"/>
  <c r="M44" s="1"/>
  <c r="M47" s="1"/>
  <c r="O44" s="1"/>
  <c r="O47" s="1"/>
  <c r="Q47"/>
  <c r="S44" s="1"/>
  <c r="S47" s="1"/>
  <c r="U44" s="1"/>
  <c r="U47" s="1"/>
  <c r="W47"/>
  <c r="Y47"/>
  <c r="AC47"/>
  <c r="C49"/>
  <c r="AC49"/>
  <c r="AA47" l="1"/>
  <c r="AE47" s="1"/>
  <c r="AE26"/>
  <c r="AE31" s="1"/>
  <c r="AA31"/>
  <c r="E49"/>
  <c r="G8"/>
  <c r="G35" s="1"/>
  <c r="AA19"/>
  <c r="AE16"/>
  <c r="AE19" s="1"/>
  <c r="I8" l="1"/>
  <c r="I35" s="1"/>
  <c r="G49"/>
  <c r="I49" l="1"/>
  <c r="K8"/>
  <c r="K35" s="1"/>
  <c r="M8" l="1"/>
  <c r="M35" s="1"/>
  <c r="K49"/>
  <c r="M49" l="1"/>
  <c r="O8"/>
  <c r="O35" s="1"/>
  <c r="Q8" l="1"/>
  <c r="Q35" s="1"/>
  <c r="O49"/>
  <c r="Q49" l="1"/>
  <c r="S8"/>
  <c r="S35" s="1"/>
  <c r="U8" l="1"/>
  <c r="U35" s="1"/>
  <c r="S49"/>
  <c r="U49" l="1"/>
  <c r="W8"/>
  <c r="W35" s="1"/>
  <c r="Y8" l="1"/>
  <c r="Y35" s="1"/>
  <c r="W49"/>
  <c r="AA35" l="1"/>
  <c r="Y49"/>
  <c r="AE35" l="1"/>
  <c r="AE49" s="1"/>
  <c r="AA49"/>
</calcChain>
</file>

<file path=xl/sharedStrings.xml><?xml version="1.0" encoding="utf-8"?>
<sst xmlns="http://schemas.openxmlformats.org/spreadsheetml/2006/main" count="1076" uniqueCount="105">
  <si>
    <t>Other Local Revenue</t>
  </si>
  <si>
    <t>Federal Indirect</t>
  </si>
  <si>
    <t>Total Revenues</t>
  </si>
  <si>
    <t>TRS Deposit</t>
  </si>
  <si>
    <t>IRS Deposit</t>
  </si>
  <si>
    <t>Instructional Leadership (F 21)</t>
  </si>
  <si>
    <t>School Leadership (F 23)</t>
  </si>
  <si>
    <t>Extracurricular Activities (F 36)</t>
  </si>
  <si>
    <t>Food Services (F 35)</t>
  </si>
  <si>
    <t>General Administration (F 41)</t>
  </si>
  <si>
    <t>Security and Monitoring Services (F 52)</t>
  </si>
  <si>
    <t>Data Processing Services (F 53)</t>
  </si>
  <si>
    <t>Community Services (F 61)</t>
  </si>
  <si>
    <t>Debt Service (F 71)</t>
  </si>
  <si>
    <t>Facilities Acquisition and Construction (F 81)</t>
  </si>
  <si>
    <t>Total Expenditures</t>
  </si>
  <si>
    <t>Other transfers in</t>
  </si>
  <si>
    <t>Total Other Sources of Funds</t>
  </si>
  <si>
    <t>Total Other Uses of Funds</t>
  </si>
  <si>
    <t>Excess (Deficiency) of Revenues Over (Under) Expenditures</t>
  </si>
  <si>
    <t>Beginning Fund Balance (July 1 or September 1)</t>
  </si>
  <si>
    <t>Ending Fund Balance (June 30 or August 31)</t>
  </si>
  <si>
    <t>Original Budget</t>
  </si>
  <si>
    <t>Actual</t>
  </si>
  <si>
    <t>Difference</t>
  </si>
  <si>
    <t>Projected Final Budget</t>
  </si>
  <si>
    <t>Projected Budget</t>
  </si>
  <si>
    <t>Long-term debt proceeds</t>
  </si>
  <si>
    <t>Federal Revenue</t>
  </si>
  <si>
    <t>[Insert description]</t>
  </si>
  <si>
    <t>Cash Flow Projection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</si>
  <si>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</si>
  <si>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</si>
  <si>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</si>
  <si>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</si>
  <si>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</si>
  <si>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</si>
  <si>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</si>
  <si>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</si>
  <si>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</si>
  <si>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</si>
  <si>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</si>
  <si>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</si>
  <si>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Beginning Cash Balance in Bank</t>
  </si>
  <si>
    <t>$</t>
  </si>
  <si>
    <t>N/A</t>
  </si>
  <si>
    <t>Other State Revenue</t>
  </si>
  <si>
    <t xml:space="preserve">   Total Revenue</t>
  </si>
  <si>
    <t>Payroll Net Checks</t>
  </si>
  <si>
    <t>Deduction Checks</t>
  </si>
  <si>
    <t xml:space="preserve">   Total Payroll</t>
  </si>
  <si>
    <t>Cash to TEA</t>
  </si>
  <si>
    <t>Plant Maintenance</t>
  </si>
  <si>
    <t>Expenditures other than payroll and plant maintenance</t>
  </si>
  <si>
    <t>Net Change in Cash</t>
  </si>
  <si>
    <t>Ending Cash Balance in bank</t>
  </si>
  <si>
    <t>Interest Income</t>
  </si>
  <si>
    <t>Investments</t>
  </si>
  <si>
    <t xml:space="preserve">   Ending Balance</t>
  </si>
  <si>
    <t xml:space="preserve">   Total Expenditures</t>
  </si>
  <si>
    <t>Transfers (to) Texpool</t>
  </si>
  <si>
    <t>Transfer to WC</t>
  </si>
  <si>
    <t>Cash Transferred to Debt Service</t>
  </si>
  <si>
    <t>Actual [insert fiscal year]</t>
  </si>
  <si>
    <t>Projected [insert fiscal year]</t>
  </si>
  <si>
    <t>Revenues, Expenditures, and Changes in Fund Balance (Actual and Projected)</t>
  </si>
  <si>
    <t>[Insert Name] Independent School District #[Insert county-district number]</t>
  </si>
  <si>
    <t>Revenues</t>
  </si>
  <si>
    <t>Expenditures</t>
  </si>
  <si>
    <t>Other Sources of Funds (7900)</t>
  </si>
  <si>
    <t>Other Uses of Funds (8900: please list)</t>
  </si>
  <si>
    <t>Penalties and Interest</t>
  </si>
  <si>
    <t>Tax Collections (Current)</t>
  </si>
  <si>
    <t>Tax Collections (Delinquent)</t>
  </si>
  <si>
    <t>State Revenue (Foundation School Funds)</t>
  </si>
  <si>
    <t>State Revenue (Available School Fund)</t>
  </si>
  <si>
    <t>State Revenue (Other)</t>
  </si>
  <si>
    <t>Instructional (F 11, 12, 13)</t>
  </si>
  <si>
    <t>Facilities Maintenance and Operations (F 51)</t>
  </si>
  <si>
    <t>Short-term loan proceeds</t>
  </si>
  <si>
    <t>Net Change in Fund Balance</t>
  </si>
  <si>
    <t>Fiscal Year [Insert fiscal year]</t>
  </si>
  <si>
    <t>Receipts</t>
  </si>
  <si>
    <t>Disbursements</t>
  </si>
  <si>
    <t>State Revenue (Foundation)</t>
  </si>
  <si>
    <t>CDs</t>
  </si>
  <si>
    <t xml:space="preserve">   Total Other Uses/Transfers</t>
  </si>
  <si>
    <t>Total Cash and Investments Available</t>
  </si>
  <si>
    <t>General Fund</t>
  </si>
  <si>
    <t>Ending Cash Balance in Bank</t>
  </si>
  <si>
    <t>Other Uses/Transfers</t>
  </si>
  <si>
    <t>Totals</t>
  </si>
  <si>
    <t>Budget</t>
  </si>
  <si>
    <t>Original</t>
  </si>
  <si>
    <t>Explanation</t>
  </si>
  <si>
    <t>FY 2012</t>
  </si>
  <si>
    <t>FY 2013</t>
  </si>
  <si>
    <t>FY 2014</t>
  </si>
  <si>
    <t>FY 2015</t>
  </si>
  <si>
    <t>Fiscal year [Insert fiscal year]</t>
  </si>
  <si>
    <t>Guidance, Social Work, and Health Services (F 31, 32, 33, 34)</t>
  </si>
  <si>
    <t>Intergovernmental Charges (F 91, 92, 93, 95, 97, 99)</t>
  </si>
  <si>
    <t>For ISDs with fiscal year ending June 30</t>
  </si>
  <si>
    <t>For ISDs with fiscal year ending August 31</t>
  </si>
  <si>
    <t>Attachment C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</si>
</sst>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i/>
      <sz val="10"/>
      <color indexed="12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b/>
      <sz val="14"/>
      <color rgb="FF0000FF"/>
      <name val="Calibri"/>
      <family val="2"/>
      <scheme val="minor"/>
    </font>
    <font>
      <sz val="10"/>
      <color rgb="FF0000FF"/>
      <name val="Arial"/>
      <family val="2"/>
    </font>
    <font>
      <b/>
      <sz val="18"/>
      <color rgb="FF0000FF"/>
      <name val="Arial"/>
      <family val="2"/>
    </font>
    <font>
      <b/>
      <sz val="10"/>
      <color rgb="FF0000FF"/>
      <name val="Arial"/>
      <family val="2"/>
    </font>
    <font>
      <b/>
      <sz val="6"/>
      <color rgb="FF0000FF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0" fontId="8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NumberFormat="1" applyFont="1" applyFill="1" applyBorder="1" applyAlignment="1" applyProtection="1"/>
    <xf numFmtId="0" fontId="0" fillId="0" borderId="1" xfId="0" applyFill="1" applyBorder="1"/>
    <xf numFmtId="0" fontId="2" fillId="0" borderId="1" xfId="0" applyNumberFormat="1" applyFont="1" applyFill="1" applyBorder="1" applyAlignment="1" applyProtection="1"/>
    <xf numFmtId="0" fontId="1" fillId="0" borderId="0" xfId="0" applyFont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>
      <alignment horizontal="center" wrapText="1"/>
    </xf>
    <xf numFmtId="0" fontId="0" fillId="0" borderId="1" xfId="0" applyBorder="1"/>
    <xf numFmtId="0" fontId="1" fillId="0" borderId="3" xfId="0" applyFont="1" applyFill="1" applyBorder="1" applyAlignment="1">
      <alignment horizontal="center"/>
    </xf>
    <xf numFmtId="0" fontId="7" fillId="0" borderId="8" xfId="1" applyFont="1" applyBorder="1"/>
    <xf numFmtId="0" fontId="7" fillId="0" borderId="9" xfId="1" applyFont="1" applyBorder="1"/>
    <xf numFmtId="0" fontId="7" fillId="0" borderId="0" xfId="1" applyFont="1" applyBorder="1"/>
    <xf numFmtId="0" fontId="7" fillId="0" borderId="2" xfId="1" applyFont="1" applyBorder="1"/>
    <xf numFmtId="0" fontId="0" fillId="0" borderId="0" xfId="0" applyBorder="1"/>
    <xf numFmtId="0" fontId="1" fillId="0" borderId="10" xfId="0" applyFont="1" applyFill="1" applyBorder="1" applyAlignment="1">
      <alignment horizontal="center" wrapText="1"/>
    </xf>
    <xf numFmtId="0" fontId="7" fillId="0" borderId="1" xfId="1" applyFont="1" applyBorder="1"/>
    <xf numFmtId="0" fontId="0" fillId="0" borderId="1" xfId="0" applyFill="1" applyBorder="1" applyAlignment="1">
      <alignment horizontal="left"/>
    </xf>
    <xf numFmtId="0" fontId="0" fillId="2" borderId="0" xfId="0" applyFill="1" applyBorder="1"/>
    <xf numFmtId="0" fontId="10" fillId="0" borderId="1" xfId="1" applyFont="1" applyBorder="1" applyAlignment="1">
      <alignment horizontal="left"/>
    </xf>
    <xf numFmtId="0" fontId="0" fillId="0" borderId="8" xfId="0" applyBorder="1"/>
    <xf numFmtId="0" fontId="5" fillId="0" borderId="12" xfId="1" applyFont="1" applyBorder="1" applyAlignment="1">
      <alignment horizontal="center"/>
    </xf>
    <xf numFmtId="38" fontId="6" fillId="0" borderId="0" xfId="2" applyNumberFormat="1" applyFont="1" applyBorder="1" applyProtection="1"/>
    <xf numFmtId="0" fontId="16" fillId="0" borderId="1" xfId="0" applyFont="1" applyFill="1" applyBorder="1" applyAlignment="1">
      <alignment horizontal="left" indent="2"/>
    </xf>
    <xf numFmtId="0" fontId="17" fillId="0" borderId="7" xfId="1" applyFont="1" applyBorder="1" applyAlignment="1">
      <alignment horizontal="left"/>
    </xf>
    <xf numFmtId="0" fontId="5" fillId="0" borderId="7" xfId="1" applyFont="1" applyBorder="1" applyAlignment="1">
      <alignment horizontal="center"/>
    </xf>
    <xf numFmtId="49" fontId="2" fillId="2" borderId="0" xfId="0" applyNumberFormat="1" applyFont="1" applyFill="1" applyBorder="1" applyAlignment="1" applyProtection="1">
      <alignment wrapText="1"/>
    </xf>
    <xf numFmtId="164" fontId="2" fillId="0" borderId="11" xfId="3" applyNumberFormat="1" applyFont="1" applyFill="1" applyBorder="1" applyAlignment="1" applyProtection="1"/>
    <xf numFmtId="165" fontId="0" fillId="0" borderId="1" xfId="4" applyNumberFormat="1" applyFont="1" applyFill="1" applyBorder="1"/>
    <xf numFmtId="165" fontId="0" fillId="0" borderId="0" xfId="4" applyNumberFormat="1" applyFont="1" applyFill="1" applyBorder="1"/>
    <xf numFmtId="49" fontId="2" fillId="2" borderId="0" xfId="4" applyNumberFormat="1" applyFont="1" applyFill="1" applyBorder="1" applyAlignment="1" applyProtection="1">
      <alignment wrapText="1"/>
    </xf>
    <xf numFmtId="165" fontId="0" fillId="0" borderId="11" xfId="4" applyNumberFormat="1" applyFont="1" applyFill="1" applyBorder="1"/>
    <xf numFmtId="165" fontId="0" fillId="0" borderId="0" xfId="4" applyNumberFormat="1" applyFont="1" applyBorder="1"/>
    <xf numFmtId="165" fontId="2" fillId="0" borderId="11" xfId="4" applyNumberFormat="1" applyFont="1" applyFill="1" applyBorder="1" applyAlignment="1" applyProtection="1"/>
    <xf numFmtId="165" fontId="0" fillId="0" borderId="4" xfId="4" applyNumberFormat="1" applyFont="1" applyFill="1" applyBorder="1"/>
    <xf numFmtId="165" fontId="0" fillId="0" borderId="3" xfId="4" applyNumberFormat="1" applyFont="1" applyFill="1" applyBorder="1"/>
    <xf numFmtId="49" fontId="2" fillId="2" borderId="3" xfId="0" applyNumberFormat="1" applyFont="1" applyFill="1" applyBorder="1" applyAlignment="1" applyProtection="1">
      <alignment wrapText="1"/>
    </xf>
    <xf numFmtId="165" fontId="0" fillId="0" borderId="10" xfId="4" applyNumberFormat="1" applyFont="1" applyFill="1" applyBorder="1"/>
    <xf numFmtId="49" fontId="2" fillId="2" borderId="0" xfId="3" applyNumberFormat="1" applyFont="1" applyFill="1" applyBorder="1" applyAlignment="1" applyProtection="1">
      <alignment wrapText="1"/>
    </xf>
    <xf numFmtId="165" fontId="0" fillId="0" borderId="12" xfId="4" applyNumberFormat="1" applyFont="1" applyFill="1" applyBorder="1"/>
    <xf numFmtId="49" fontId="0" fillId="2" borderId="0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165" fontId="1" fillId="0" borderId="1" xfId="4" applyNumberFormat="1" applyFont="1" applyFill="1" applyBorder="1"/>
    <xf numFmtId="165" fontId="1" fillId="0" borderId="0" xfId="4" applyNumberFormat="1" applyFont="1" applyBorder="1"/>
    <xf numFmtId="49" fontId="1" fillId="2" borderId="0" xfId="0" applyNumberFormat="1" applyFont="1" applyFill="1" applyBorder="1" applyAlignment="1">
      <alignment wrapText="1"/>
    </xf>
    <xf numFmtId="165" fontId="1" fillId="0" borderId="0" xfId="4" applyNumberFormat="1" applyFont="1" applyFill="1" applyBorder="1"/>
    <xf numFmtId="165" fontId="1" fillId="0" borderId="11" xfId="4" applyNumberFormat="1" applyFont="1" applyFill="1" applyBorder="1"/>
    <xf numFmtId="165" fontId="0" fillId="0" borderId="3" xfId="4" applyNumberFormat="1" applyFont="1" applyBorder="1"/>
    <xf numFmtId="49" fontId="0" fillId="2" borderId="0" xfId="4" applyNumberFormat="1" applyFont="1" applyFill="1" applyBorder="1" applyAlignment="1">
      <alignment wrapText="1"/>
    </xf>
    <xf numFmtId="49" fontId="0" fillId="2" borderId="3" xfId="4" applyNumberFormat="1" applyFont="1" applyFill="1" applyBorder="1" applyAlignment="1">
      <alignment wrapText="1"/>
    </xf>
    <xf numFmtId="0" fontId="7" fillId="0" borderId="4" xfId="1" applyFont="1" applyBorder="1"/>
    <xf numFmtId="165" fontId="2" fillId="2" borderId="0" xfId="4" applyNumberFormat="1" applyFont="1" applyFill="1" applyBorder="1" applyAlignment="1" applyProtection="1"/>
    <xf numFmtId="165" fontId="2" fillId="2" borderId="3" xfId="4" applyNumberFormat="1" applyFont="1" applyFill="1" applyBorder="1" applyAlignment="1" applyProtection="1"/>
    <xf numFmtId="165" fontId="0" fillId="2" borderId="0" xfId="4" applyNumberFormat="1" applyFont="1" applyFill="1" applyBorder="1"/>
    <xf numFmtId="0" fontId="18" fillId="0" borderId="0" xfId="2" applyFont="1" applyProtection="1"/>
    <xf numFmtId="0" fontId="8" fillId="0" borderId="0" xfId="2" applyProtection="1"/>
    <xf numFmtId="0" fontId="11" fillId="0" borderId="7" xfId="0" applyFont="1" applyFill="1" applyBorder="1" applyAlignment="1" applyProtection="1"/>
    <xf numFmtId="0" fontId="12" fillId="0" borderId="8" xfId="2" applyFont="1" applyFill="1" applyBorder="1" applyAlignment="1" applyProtection="1">
      <alignment horizontal="right"/>
    </xf>
    <xf numFmtId="0" fontId="12" fillId="0" borderId="8" xfId="2" applyFont="1" applyFill="1" applyBorder="1" applyProtection="1"/>
    <xf numFmtId="0" fontId="14" fillId="0" borderId="8" xfId="2" applyFont="1" applyFill="1" applyBorder="1" applyAlignment="1" applyProtection="1">
      <alignment horizontal="center"/>
    </xf>
    <xf numFmtId="14" fontId="14" fillId="0" borderId="8" xfId="2" applyNumberFormat="1" applyFont="1" applyFill="1" applyBorder="1" applyAlignment="1" applyProtection="1">
      <alignment horizontal="center"/>
    </xf>
    <xf numFmtId="0" fontId="12" fillId="0" borderId="9" xfId="2" applyFont="1" applyFill="1" applyBorder="1" applyProtection="1"/>
    <xf numFmtId="0" fontId="12" fillId="0" borderId="0" xfId="2" applyFont="1" applyFill="1" applyProtection="1"/>
    <xf numFmtId="0" fontId="11" fillId="0" borderId="1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1" applyFont="1" applyFill="1" applyBorder="1" applyProtection="1"/>
    <xf numFmtId="0" fontId="12" fillId="0" borderId="0" xfId="1" applyFont="1" applyFill="1" applyBorder="1" applyAlignment="1" applyProtection="1">
      <alignment horizontal="right"/>
    </xf>
    <xf numFmtId="14" fontId="14" fillId="0" borderId="0" xfId="1" applyNumberFormat="1" applyFont="1" applyFill="1" applyBorder="1" applyAlignment="1" applyProtection="1">
      <alignment horizontal="center"/>
    </xf>
    <xf numFmtId="0" fontId="12" fillId="0" borderId="2" xfId="2" applyFont="1" applyFill="1" applyBorder="1" applyProtection="1"/>
    <xf numFmtId="0" fontId="12" fillId="0" borderId="0" xfId="1" applyFont="1" applyFill="1" applyProtection="1"/>
    <xf numFmtId="0" fontId="4" fillId="0" borderId="0" xfId="1" applyProtection="1"/>
    <xf numFmtId="0" fontId="13" fillId="0" borderId="13" xfId="2" applyFont="1" applyFill="1" applyBorder="1" applyAlignment="1" applyProtection="1">
      <alignment horizontal="left"/>
    </xf>
    <xf numFmtId="0" fontId="12" fillId="0" borderId="0" xfId="2" applyFont="1" applyFill="1" applyBorder="1" applyAlignment="1" applyProtection="1">
      <alignment horizontal="right"/>
    </xf>
    <xf numFmtId="0" fontId="12" fillId="0" borderId="0" xfId="2" applyFont="1" applyFill="1" applyBorder="1" applyProtection="1"/>
    <xf numFmtId="0" fontId="15" fillId="0" borderId="0" xfId="2" applyFont="1" applyFill="1" applyBorder="1" applyAlignment="1" applyProtection="1">
      <alignment horizontal="center" wrapText="1"/>
    </xf>
    <xf numFmtId="0" fontId="12" fillId="0" borderId="1" xfId="2" applyFont="1" applyFill="1" applyBorder="1" applyProtection="1"/>
    <xf numFmtId="0" fontId="14" fillId="0" borderId="1" xfId="1" applyFont="1" applyFill="1" applyBorder="1" applyAlignment="1" applyProtection="1"/>
    <xf numFmtId="0" fontId="14" fillId="0" borderId="0" xfId="1" applyFont="1" applyFill="1" applyBorder="1" applyAlignment="1" applyProtection="1"/>
    <xf numFmtId="0" fontId="14" fillId="0" borderId="0" xfId="2" applyFont="1" applyFill="1" applyBorder="1" applyAlignment="1" applyProtection="1">
      <alignment horizontal="center"/>
    </xf>
    <xf numFmtId="0" fontId="14" fillId="0" borderId="0" xfId="2" applyFont="1" applyFill="1" applyBorder="1" applyAlignment="1" applyProtection="1">
      <alignment horizontal="right"/>
    </xf>
    <xf numFmtId="0" fontId="14" fillId="0" borderId="1" xfId="2" applyFont="1" applyFill="1" applyBorder="1" applyAlignment="1" applyProtection="1">
      <alignment horizontal="right"/>
    </xf>
    <xf numFmtId="0" fontId="14" fillId="0" borderId="0" xfId="2" applyFont="1" applyFill="1" applyBorder="1" applyProtection="1"/>
    <xf numFmtId="0" fontId="14" fillId="0" borderId="2" xfId="2" applyFont="1" applyFill="1" applyBorder="1" applyAlignment="1" applyProtection="1">
      <alignment horizontal="center"/>
    </xf>
    <xf numFmtId="0" fontId="7" fillId="0" borderId="1" xfId="2" applyFont="1" applyBorder="1" applyProtection="1"/>
    <xf numFmtId="0" fontId="6" fillId="0" borderId="0" xfId="2" applyFont="1" applyBorder="1" applyAlignment="1" applyProtection="1">
      <alignment horizontal="right"/>
    </xf>
    <xf numFmtId="38" fontId="6" fillId="0" borderId="0" xfId="2" applyNumberFormat="1" applyFont="1" applyBorder="1" applyAlignment="1" applyProtection="1">
      <alignment horizontal="right"/>
    </xf>
    <xf numFmtId="38" fontId="6" fillId="0" borderId="1" xfId="2" applyNumberFormat="1" applyFont="1" applyBorder="1" applyAlignment="1" applyProtection="1">
      <alignment horizontal="right"/>
    </xf>
    <xf numFmtId="38" fontId="6" fillId="0" borderId="0" xfId="2" applyNumberFormat="1" applyFont="1" applyBorder="1" applyAlignment="1" applyProtection="1">
      <alignment horizontal="center"/>
    </xf>
    <xf numFmtId="38" fontId="6" fillId="2" borderId="0" xfId="2" applyNumberFormat="1" applyFont="1" applyFill="1" applyBorder="1" applyAlignment="1" applyProtection="1">
      <alignment horizontal="center"/>
    </xf>
    <xf numFmtId="0" fontId="4" fillId="2" borderId="2" xfId="2" applyFont="1" applyFill="1" applyBorder="1" applyProtection="1"/>
    <xf numFmtId="0" fontId="8" fillId="0" borderId="1" xfId="2" applyBorder="1" applyProtection="1"/>
    <xf numFmtId="0" fontId="4" fillId="0" borderId="0" xfId="2" applyFont="1" applyBorder="1" applyAlignment="1" applyProtection="1">
      <alignment horizontal="right"/>
    </xf>
    <xf numFmtId="38" fontId="4" fillId="0" borderId="0" xfId="2" applyNumberFormat="1" applyFont="1" applyBorder="1" applyProtection="1"/>
    <xf numFmtId="38" fontId="4" fillId="0" borderId="0" xfId="2" applyNumberFormat="1" applyFont="1" applyBorder="1" applyAlignment="1" applyProtection="1">
      <alignment horizontal="right"/>
    </xf>
    <xf numFmtId="38" fontId="4" fillId="0" borderId="1" xfId="2" applyNumberFormat="1" applyFont="1" applyBorder="1" applyAlignment="1" applyProtection="1">
      <alignment horizontal="right"/>
    </xf>
    <xf numFmtId="38" fontId="4" fillId="2" borderId="0" xfId="2" applyNumberFormat="1" applyFont="1" applyFill="1" applyBorder="1" applyProtection="1"/>
    <xf numFmtId="0" fontId="5" fillId="0" borderId="1" xfId="2" applyFont="1" applyBorder="1" applyAlignment="1" applyProtection="1">
      <alignment horizontal="center"/>
    </xf>
    <xf numFmtId="0" fontId="6" fillId="0" borderId="1" xfId="2" applyFont="1" applyBorder="1" applyProtection="1"/>
    <xf numFmtId="38" fontId="4" fillId="0" borderId="0" xfId="1" applyNumberFormat="1" applyBorder="1" applyProtection="1"/>
    <xf numFmtId="0" fontId="4" fillId="0" borderId="3" xfId="2" applyFont="1" applyBorder="1" applyAlignment="1" applyProtection="1">
      <alignment horizontal="right"/>
    </xf>
    <xf numFmtId="38" fontId="4" fillId="0" borderId="3" xfId="2" applyNumberFormat="1" applyFont="1" applyBorder="1" applyProtection="1"/>
    <xf numFmtId="38" fontId="4" fillId="0" borderId="3" xfId="2" applyNumberFormat="1" applyFont="1" applyBorder="1" applyAlignment="1" applyProtection="1">
      <alignment horizontal="right"/>
    </xf>
    <xf numFmtId="38" fontId="4" fillId="0" borderId="4" xfId="2" applyNumberFormat="1" applyFont="1" applyBorder="1" applyAlignment="1" applyProtection="1">
      <alignment horizontal="right"/>
    </xf>
    <xf numFmtId="38" fontId="4" fillId="0" borderId="3" xfId="1" applyNumberFormat="1" applyBorder="1" applyProtection="1"/>
    <xf numFmtId="38" fontId="4" fillId="2" borderId="3" xfId="2" applyNumberFormat="1" applyFont="1" applyFill="1" applyBorder="1" applyProtection="1"/>
    <xf numFmtId="0" fontId="5" fillId="0" borderId="1" xfId="2" applyFont="1" applyBorder="1" applyProtection="1"/>
    <xf numFmtId="38" fontId="6" fillId="2" borderId="0" xfId="2" applyNumberFormat="1" applyFont="1" applyFill="1" applyBorder="1" applyProtection="1"/>
    <xf numFmtId="38" fontId="6" fillId="0" borderId="0" xfId="1" applyNumberFormat="1" applyFont="1" applyBorder="1" applyProtection="1"/>
    <xf numFmtId="0" fontId="6" fillId="0" borderId="1" xfId="2" applyFont="1" applyBorder="1" applyAlignment="1" applyProtection="1">
      <alignment wrapText="1"/>
    </xf>
    <xf numFmtId="38" fontId="6" fillId="0" borderId="3" xfId="2" applyNumberFormat="1" applyFont="1" applyBorder="1" applyAlignment="1" applyProtection="1">
      <alignment horizontal="center"/>
    </xf>
    <xf numFmtId="38" fontId="6" fillId="2" borderId="3" xfId="2" applyNumberFormat="1" applyFont="1" applyFill="1" applyBorder="1" applyAlignment="1" applyProtection="1">
      <alignment horizontal="center"/>
    </xf>
    <xf numFmtId="38" fontId="6" fillId="0" borderId="6" xfId="2" applyNumberFormat="1" applyFont="1" applyBorder="1" applyProtection="1"/>
    <xf numFmtId="38" fontId="6" fillId="0" borderId="6" xfId="2" applyNumberFormat="1" applyFont="1" applyBorder="1" applyAlignment="1" applyProtection="1">
      <alignment horizontal="right"/>
    </xf>
    <xf numFmtId="0" fontId="9" fillId="0" borderId="4" xfId="2" applyFont="1" applyBorder="1" applyProtection="1"/>
    <xf numFmtId="0" fontId="6" fillId="0" borderId="3" xfId="2" applyFont="1" applyBorder="1" applyAlignment="1" applyProtection="1">
      <alignment horizontal="right"/>
    </xf>
    <xf numFmtId="38" fontId="6" fillId="0" borderId="3" xfId="2" applyNumberFormat="1" applyFont="1" applyBorder="1" applyProtection="1"/>
    <xf numFmtId="38" fontId="6" fillId="0" borderId="3" xfId="2" applyNumberFormat="1" applyFont="1" applyBorder="1" applyAlignment="1" applyProtection="1">
      <alignment horizontal="right"/>
    </xf>
    <xf numFmtId="38" fontId="6" fillId="0" borderId="4" xfId="2" applyNumberFormat="1" applyFont="1" applyBorder="1" applyAlignment="1" applyProtection="1">
      <alignment horizontal="right"/>
    </xf>
    <xf numFmtId="38" fontId="6" fillId="2" borderId="3" xfId="2" applyNumberFormat="1" applyFont="1" applyFill="1" applyBorder="1" applyProtection="1"/>
    <xf numFmtId="0" fontId="4" fillId="2" borderId="5" xfId="2" applyFont="1" applyFill="1" applyBorder="1" applyProtection="1"/>
    <xf numFmtId="0" fontId="8" fillId="0" borderId="0" xfId="2" applyAlignment="1" applyProtection="1">
      <alignment horizontal="right"/>
    </xf>
    <xf numFmtId="38" fontId="8" fillId="0" borderId="0" xfId="2" applyNumberFormat="1" applyProtection="1"/>
    <xf numFmtId="38" fontId="8" fillId="0" borderId="0" xfId="2" applyNumberFormat="1" applyAlignment="1" applyProtection="1">
      <alignment horizontal="right"/>
    </xf>
    <xf numFmtId="3" fontId="8" fillId="0" borderId="0" xfId="2" applyNumberFormat="1" applyProtection="1"/>
    <xf numFmtId="0" fontId="8" fillId="2" borderId="2" xfId="2" applyFill="1" applyBorder="1" applyProtection="1"/>
    <xf numFmtId="0" fontId="8" fillId="0" borderId="0" xfId="2" applyBorder="1" applyAlignment="1" applyProtection="1">
      <alignment horizontal="right"/>
    </xf>
    <xf numFmtId="38" fontId="8" fillId="0" borderId="0" xfId="2" applyNumberFormat="1" applyBorder="1" applyProtection="1"/>
    <xf numFmtId="38" fontId="8" fillId="0" borderId="0" xfId="2" applyNumberFormat="1" applyBorder="1" applyAlignment="1" applyProtection="1">
      <alignment horizontal="right"/>
    </xf>
    <xf numFmtId="38" fontId="8" fillId="0" borderId="1" xfId="2" applyNumberFormat="1" applyBorder="1" applyAlignment="1" applyProtection="1">
      <alignment horizontal="right"/>
    </xf>
    <xf numFmtId="38" fontId="8" fillId="2" borderId="0" xfId="2" applyNumberFormat="1" applyFill="1" applyBorder="1" applyProtection="1"/>
    <xf numFmtId="0" fontId="8" fillId="0" borderId="3" xfId="2" applyBorder="1" applyAlignment="1" applyProtection="1">
      <alignment horizontal="right"/>
    </xf>
    <xf numFmtId="38" fontId="8" fillId="0" borderId="3" xfId="2" applyNumberFormat="1" applyBorder="1" applyProtection="1"/>
    <xf numFmtId="38" fontId="8" fillId="0" borderId="3" xfId="2" applyNumberFormat="1" applyBorder="1" applyAlignment="1" applyProtection="1">
      <alignment horizontal="right"/>
    </xf>
    <xf numFmtId="38" fontId="8" fillId="0" borderId="4" xfId="2" applyNumberFormat="1" applyBorder="1" applyAlignment="1" applyProtection="1">
      <alignment horizontal="right"/>
    </xf>
    <xf numFmtId="38" fontId="8" fillId="2" borderId="3" xfId="2" applyNumberFormat="1" applyFill="1" applyBorder="1" applyProtection="1"/>
    <xf numFmtId="0" fontId="8" fillId="2" borderId="5" xfId="2" applyFill="1" applyBorder="1" applyProtection="1"/>
    <xf numFmtId="0" fontId="0" fillId="0" borderId="0" xfId="0" applyProtection="1"/>
    <xf numFmtId="38" fontId="6" fillId="2" borderId="0" xfId="2" applyNumberFormat="1" applyFont="1" applyFill="1" applyBorder="1" applyAlignment="1" applyProtection="1">
      <alignment horizontal="right"/>
    </xf>
    <xf numFmtId="38" fontId="6" fillId="2" borderId="6" xfId="2" applyNumberFormat="1" applyFont="1" applyFill="1" applyBorder="1" applyAlignment="1" applyProtection="1">
      <alignment horizontal="right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</xf>
    <xf numFmtId="0" fontId="14" fillId="0" borderId="2" xfId="1" applyFont="1" applyFill="1" applyBorder="1" applyAlignment="1" applyProtection="1">
      <alignment horizontal="center"/>
    </xf>
    <xf numFmtId="0" fontId="13" fillId="0" borderId="14" xfId="2" applyFont="1" applyFill="1" applyBorder="1" applyAlignment="1" applyProtection="1">
      <alignment horizontal="center"/>
    </xf>
    <xf numFmtId="0" fontId="13" fillId="0" borderId="0" xfId="2" applyFont="1" applyFill="1" applyBorder="1" applyAlignment="1" applyProtection="1">
      <alignment horizontal="center"/>
    </xf>
    <xf numFmtId="0" fontId="13" fillId="0" borderId="2" xfId="2" applyFont="1" applyFill="1" applyBorder="1" applyAlignment="1" applyProtection="1">
      <alignment horizontal="center"/>
    </xf>
  </cellXfs>
  <cellStyles count="5">
    <cellStyle name="Comma" xfId="3" builtinId="3"/>
    <cellStyle name="Currency" xfId="4" builtinId="4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0000FF"/>
      <color rgb="FFCCEC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zoomScale="60" zoomScaleNormal="60" workbookViewId="0"/>
  </sheetViews>
  <sheetFormatPr defaultRowHeight="14.4"/>
  <cols>
    <col min="1" max="1" width="51.5546875" customWidth="1"/>
    <col min="2" max="4" width="10.6640625" customWidth="1"/>
    <col min="5" max="5" width="30.6640625" customWidth="1"/>
    <col min="6" max="8" width="10.6640625" customWidth="1"/>
    <col min="9" max="9" width="30.6640625" customWidth="1"/>
    <col min="10" max="11" width="10.6640625" customWidth="1"/>
  </cols>
  <sheetData>
    <row r="1" spans="1:11" ht="17.399999999999999">
      <c r="A1" s="25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7.399999999999999">
      <c r="A2" s="20" t="s">
        <v>66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7.399999999999999">
      <c r="A3" s="20" t="s">
        <v>65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7.399999999999999">
      <c r="A4" s="20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>
      <c r="A5" s="9"/>
      <c r="B5" s="140" t="s">
        <v>95</v>
      </c>
      <c r="C5" s="141"/>
      <c r="D5" s="141"/>
      <c r="E5" s="21"/>
      <c r="F5" s="140" t="s">
        <v>96</v>
      </c>
      <c r="G5" s="141"/>
      <c r="H5" s="26"/>
      <c r="I5" s="21"/>
      <c r="J5" s="26" t="s">
        <v>97</v>
      </c>
      <c r="K5" s="22" t="s">
        <v>98</v>
      </c>
    </row>
    <row r="6" spans="1:11" ht="43.2">
      <c r="A6" s="3"/>
      <c r="B6" s="6" t="s">
        <v>22</v>
      </c>
      <c r="C6" s="5" t="s">
        <v>23</v>
      </c>
      <c r="D6" s="10" t="s">
        <v>24</v>
      </c>
      <c r="E6" s="10" t="s">
        <v>94</v>
      </c>
      <c r="F6" s="6" t="s">
        <v>22</v>
      </c>
      <c r="G6" s="8" t="s">
        <v>25</v>
      </c>
      <c r="H6" s="5" t="s">
        <v>24</v>
      </c>
      <c r="I6" s="10" t="s">
        <v>94</v>
      </c>
      <c r="J6" s="6" t="s">
        <v>26</v>
      </c>
      <c r="K6" s="16" t="s">
        <v>26</v>
      </c>
    </row>
    <row r="7" spans="1:11">
      <c r="A7" s="17" t="s">
        <v>67</v>
      </c>
      <c r="B7" s="2"/>
      <c r="C7" s="15"/>
      <c r="D7" s="7"/>
      <c r="E7" s="27"/>
      <c r="F7" s="3"/>
      <c r="G7" s="1"/>
      <c r="H7" s="19"/>
      <c r="I7" s="27"/>
      <c r="J7" s="28"/>
      <c r="K7" s="28"/>
    </row>
    <row r="8" spans="1:11">
      <c r="A8" s="3" t="s">
        <v>72</v>
      </c>
      <c r="B8" s="29"/>
      <c r="C8" s="30"/>
      <c r="D8" s="52">
        <f>+B8-C8</f>
        <v>0</v>
      </c>
      <c r="E8" s="31"/>
      <c r="F8" s="29"/>
      <c r="G8" s="30"/>
      <c r="H8" s="52">
        <f>+F8-G8</f>
        <v>0</v>
      </c>
      <c r="I8" s="31"/>
      <c r="J8" s="32"/>
      <c r="K8" s="32"/>
    </row>
    <row r="9" spans="1:11">
      <c r="A9" s="3" t="s">
        <v>73</v>
      </c>
      <c r="B9" s="29"/>
      <c r="C9" s="33"/>
      <c r="D9" s="52">
        <f t="shared" ref="D9:D15" si="0">+B9-C9</f>
        <v>0</v>
      </c>
      <c r="E9" s="27"/>
      <c r="F9" s="29"/>
      <c r="G9" s="33"/>
      <c r="H9" s="52">
        <f>+F9-G9</f>
        <v>0</v>
      </c>
      <c r="I9" s="27"/>
      <c r="J9" s="34"/>
      <c r="K9" s="34"/>
    </row>
    <row r="10" spans="1:11">
      <c r="A10" s="2" t="s">
        <v>71</v>
      </c>
      <c r="B10" s="29"/>
      <c r="C10" s="33"/>
      <c r="D10" s="52">
        <f t="shared" si="0"/>
        <v>0</v>
      </c>
      <c r="E10" s="27"/>
      <c r="F10" s="29"/>
      <c r="G10" s="33"/>
      <c r="H10" s="52">
        <f t="shared" ref="H10:H15" si="1">+F9-G9</f>
        <v>0</v>
      </c>
      <c r="I10" s="27"/>
      <c r="J10" s="34"/>
      <c r="K10" s="34"/>
    </row>
    <row r="11" spans="1:11">
      <c r="A11" s="2" t="s">
        <v>0</v>
      </c>
      <c r="B11" s="29"/>
      <c r="C11" s="33"/>
      <c r="D11" s="52">
        <f t="shared" si="0"/>
        <v>0</v>
      </c>
      <c r="E11" s="27"/>
      <c r="F11" s="29"/>
      <c r="G11" s="33"/>
      <c r="H11" s="52">
        <f t="shared" si="1"/>
        <v>0</v>
      </c>
      <c r="I11" s="27"/>
      <c r="J11" s="34"/>
      <c r="K11" s="34"/>
    </row>
    <row r="12" spans="1:11">
      <c r="A12" s="2" t="s">
        <v>74</v>
      </c>
      <c r="B12" s="29"/>
      <c r="C12" s="30"/>
      <c r="D12" s="52">
        <f t="shared" si="0"/>
        <v>0</v>
      </c>
      <c r="E12" s="27"/>
      <c r="F12" s="29"/>
      <c r="G12" s="30"/>
      <c r="H12" s="52">
        <f t="shared" si="1"/>
        <v>0</v>
      </c>
      <c r="I12" s="27"/>
      <c r="J12" s="32"/>
      <c r="K12" s="32"/>
    </row>
    <row r="13" spans="1:11">
      <c r="A13" s="2" t="s">
        <v>75</v>
      </c>
      <c r="B13" s="29"/>
      <c r="C13" s="30"/>
      <c r="D13" s="52">
        <f t="shared" si="0"/>
        <v>0</v>
      </c>
      <c r="E13" s="27"/>
      <c r="F13" s="29"/>
      <c r="G13" s="30"/>
      <c r="H13" s="52">
        <f t="shared" si="1"/>
        <v>0</v>
      </c>
      <c r="I13" s="27"/>
      <c r="J13" s="32"/>
      <c r="K13" s="32"/>
    </row>
    <row r="14" spans="1:11">
      <c r="A14" s="2" t="s">
        <v>76</v>
      </c>
      <c r="B14" s="29"/>
      <c r="C14" s="30"/>
      <c r="D14" s="52">
        <f t="shared" si="0"/>
        <v>0</v>
      </c>
      <c r="E14" s="27"/>
      <c r="F14" s="29"/>
      <c r="G14" s="30"/>
      <c r="H14" s="52">
        <f t="shared" si="1"/>
        <v>0</v>
      </c>
      <c r="I14" s="27"/>
      <c r="J14" s="32"/>
      <c r="K14" s="32"/>
    </row>
    <row r="15" spans="1:11">
      <c r="A15" s="2" t="s">
        <v>28</v>
      </c>
      <c r="B15" s="35"/>
      <c r="C15" s="36"/>
      <c r="D15" s="53">
        <f t="shared" si="0"/>
        <v>0</v>
      </c>
      <c r="E15" s="37"/>
      <c r="F15" s="35"/>
      <c r="G15" s="36"/>
      <c r="H15" s="53">
        <f t="shared" si="1"/>
        <v>0</v>
      </c>
      <c r="I15" s="37"/>
      <c r="J15" s="38"/>
      <c r="K15" s="38"/>
    </row>
    <row r="16" spans="1:11">
      <c r="A16" s="24" t="s">
        <v>2</v>
      </c>
      <c r="B16" s="29">
        <f>SUM(B8:B15)</f>
        <v>0</v>
      </c>
      <c r="C16" s="30">
        <f>SUM(C7:C15)</f>
        <v>0</v>
      </c>
      <c r="D16" s="54">
        <f>SUM(D7:D15)</f>
        <v>0</v>
      </c>
      <c r="E16" s="39"/>
      <c r="F16" s="29">
        <f>SUM(F8:F15)</f>
        <v>0</v>
      </c>
      <c r="G16" s="30">
        <f>SUM(G7:G15)</f>
        <v>0</v>
      </c>
      <c r="H16" s="54">
        <f>SUM(H7:H15)</f>
        <v>0</v>
      </c>
      <c r="I16" s="39"/>
      <c r="J16" s="32">
        <f>SUM(J8:J15)</f>
        <v>0</v>
      </c>
      <c r="K16" s="40">
        <f>SUM(K8:K15)</f>
        <v>0</v>
      </c>
    </row>
    <row r="17" spans="1:11">
      <c r="A17" s="17"/>
      <c r="B17" s="29"/>
      <c r="C17" s="30"/>
      <c r="D17" s="52"/>
      <c r="E17" s="27"/>
      <c r="F17" s="29"/>
      <c r="G17" s="30"/>
      <c r="H17" s="54"/>
      <c r="I17" s="27"/>
      <c r="J17" s="32"/>
      <c r="K17" s="32"/>
    </row>
    <row r="18" spans="1:11">
      <c r="A18" s="17" t="s">
        <v>68</v>
      </c>
      <c r="B18" s="29"/>
      <c r="C18" s="30"/>
      <c r="D18" s="52"/>
      <c r="E18" s="27"/>
      <c r="F18" s="29"/>
      <c r="G18" s="30"/>
      <c r="H18" s="54"/>
      <c r="I18" s="27"/>
      <c r="J18" s="32"/>
      <c r="K18" s="32"/>
    </row>
    <row r="19" spans="1:11">
      <c r="A19" s="18" t="s">
        <v>77</v>
      </c>
      <c r="B19" s="29"/>
      <c r="C19" s="30"/>
      <c r="D19" s="52">
        <f t="shared" ref="D19:D32" si="2">+B19-C19</f>
        <v>0</v>
      </c>
      <c r="E19" s="39"/>
      <c r="F19" s="29"/>
      <c r="G19" s="30"/>
      <c r="H19" s="52">
        <f t="shared" ref="H19:H32" si="3">+F19-G19</f>
        <v>0</v>
      </c>
      <c r="I19" s="39"/>
      <c r="J19" s="32"/>
      <c r="K19" s="32"/>
    </row>
    <row r="20" spans="1:11">
      <c r="A20" s="18" t="s">
        <v>5</v>
      </c>
      <c r="B20" s="29"/>
      <c r="C20" s="30"/>
      <c r="D20" s="52">
        <f t="shared" si="2"/>
        <v>0</v>
      </c>
      <c r="E20" s="27"/>
      <c r="F20" s="29"/>
      <c r="G20" s="30"/>
      <c r="H20" s="52">
        <f t="shared" si="3"/>
        <v>0</v>
      </c>
      <c r="I20" s="27"/>
      <c r="J20" s="32"/>
      <c r="K20" s="32"/>
    </row>
    <row r="21" spans="1:11">
      <c r="A21" s="2" t="s">
        <v>6</v>
      </c>
      <c r="B21" s="29"/>
      <c r="C21" s="30"/>
      <c r="D21" s="52">
        <f t="shared" si="2"/>
        <v>0</v>
      </c>
      <c r="E21" s="27"/>
      <c r="F21" s="29"/>
      <c r="G21" s="30"/>
      <c r="H21" s="52">
        <f t="shared" si="3"/>
        <v>0</v>
      </c>
      <c r="I21" s="27"/>
      <c r="J21" s="32"/>
      <c r="K21" s="32"/>
    </row>
    <row r="22" spans="1:11">
      <c r="A22" s="18" t="s">
        <v>100</v>
      </c>
      <c r="B22" s="29"/>
      <c r="C22" s="30"/>
      <c r="D22" s="52">
        <f t="shared" si="2"/>
        <v>0</v>
      </c>
      <c r="E22" s="27"/>
      <c r="F22" s="29"/>
      <c r="G22" s="30"/>
      <c r="H22" s="52">
        <f t="shared" si="3"/>
        <v>0</v>
      </c>
      <c r="I22" s="27"/>
      <c r="J22" s="32"/>
      <c r="K22" s="32"/>
    </row>
    <row r="23" spans="1:11">
      <c r="A23" s="18" t="s">
        <v>8</v>
      </c>
      <c r="B23" s="29"/>
      <c r="C23" s="30"/>
      <c r="D23" s="52">
        <f t="shared" si="2"/>
        <v>0</v>
      </c>
      <c r="E23" s="27"/>
      <c r="F23" s="29"/>
      <c r="G23" s="30"/>
      <c r="H23" s="52">
        <f t="shared" si="3"/>
        <v>0</v>
      </c>
      <c r="I23" s="27"/>
      <c r="J23" s="32"/>
      <c r="K23" s="32"/>
    </row>
    <row r="24" spans="1:11">
      <c r="A24" s="18" t="s">
        <v>7</v>
      </c>
      <c r="B24" s="29"/>
      <c r="C24" s="30"/>
      <c r="D24" s="52">
        <f t="shared" si="2"/>
        <v>0</v>
      </c>
      <c r="E24" s="27"/>
      <c r="F24" s="29"/>
      <c r="G24" s="30"/>
      <c r="H24" s="52">
        <f t="shared" si="3"/>
        <v>0</v>
      </c>
      <c r="I24" s="27"/>
      <c r="J24" s="32"/>
      <c r="K24" s="32"/>
    </row>
    <row r="25" spans="1:11">
      <c r="A25" s="18" t="s">
        <v>9</v>
      </c>
      <c r="B25" s="29"/>
      <c r="C25" s="30"/>
      <c r="D25" s="52">
        <f t="shared" si="2"/>
        <v>0</v>
      </c>
      <c r="E25" s="27"/>
      <c r="F25" s="29"/>
      <c r="G25" s="30"/>
      <c r="H25" s="52">
        <f t="shared" si="3"/>
        <v>0</v>
      </c>
      <c r="I25" s="27"/>
      <c r="J25" s="32"/>
      <c r="K25" s="32"/>
    </row>
    <row r="26" spans="1:11">
      <c r="A26" s="18" t="s">
        <v>78</v>
      </c>
      <c r="B26" s="29"/>
      <c r="C26" s="33"/>
      <c r="D26" s="52">
        <f t="shared" si="2"/>
        <v>0</v>
      </c>
      <c r="E26" s="41"/>
      <c r="F26" s="29"/>
      <c r="G26" s="33"/>
      <c r="H26" s="52">
        <f t="shared" si="3"/>
        <v>0</v>
      </c>
      <c r="I26" s="41"/>
      <c r="J26" s="32"/>
      <c r="K26" s="32"/>
    </row>
    <row r="27" spans="1:11">
      <c r="A27" s="18" t="s">
        <v>10</v>
      </c>
      <c r="B27" s="29"/>
      <c r="C27" s="33"/>
      <c r="D27" s="52">
        <f t="shared" si="2"/>
        <v>0</v>
      </c>
      <c r="E27" s="41"/>
      <c r="F27" s="29"/>
      <c r="G27" s="33"/>
      <c r="H27" s="52">
        <f t="shared" si="3"/>
        <v>0</v>
      </c>
      <c r="I27" s="41"/>
      <c r="J27" s="32"/>
      <c r="K27" s="32"/>
    </row>
    <row r="28" spans="1:11">
      <c r="A28" s="18" t="s">
        <v>11</v>
      </c>
      <c r="B28" s="29"/>
      <c r="C28" s="33"/>
      <c r="D28" s="52">
        <f t="shared" si="2"/>
        <v>0</v>
      </c>
      <c r="E28" s="41"/>
      <c r="F28" s="29"/>
      <c r="G28" s="33"/>
      <c r="H28" s="52">
        <f t="shared" si="3"/>
        <v>0</v>
      </c>
      <c r="I28" s="41"/>
      <c r="J28" s="32"/>
      <c r="K28" s="32"/>
    </row>
    <row r="29" spans="1:11">
      <c r="A29" s="18" t="s">
        <v>12</v>
      </c>
      <c r="B29" s="29"/>
      <c r="C29" s="33"/>
      <c r="D29" s="52">
        <f t="shared" si="2"/>
        <v>0</v>
      </c>
      <c r="E29" s="41"/>
      <c r="F29" s="29"/>
      <c r="G29" s="33"/>
      <c r="H29" s="52">
        <f t="shared" si="3"/>
        <v>0</v>
      </c>
      <c r="I29" s="41"/>
      <c r="J29" s="32"/>
      <c r="K29" s="32"/>
    </row>
    <row r="30" spans="1:11">
      <c r="A30" s="18" t="s">
        <v>13</v>
      </c>
      <c r="B30" s="29"/>
      <c r="C30" s="33"/>
      <c r="D30" s="52">
        <f t="shared" si="2"/>
        <v>0</v>
      </c>
      <c r="E30" s="41"/>
      <c r="F30" s="29"/>
      <c r="G30" s="33"/>
      <c r="H30" s="52">
        <f t="shared" si="3"/>
        <v>0</v>
      </c>
      <c r="I30" s="41"/>
      <c r="J30" s="32"/>
      <c r="K30" s="32"/>
    </row>
    <row r="31" spans="1:11">
      <c r="A31" s="18" t="s">
        <v>14</v>
      </c>
      <c r="B31" s="29"/>
      <c r="C31" s="33"/>
      <c r="D31" s="52">
        <f t="shared" si="2"/>
        <v>0</v>
      </c>
      <c r="E31" s="41"/>
      <c r="F31" s="29"/>
      <c r="G31" s="33"/>
      <c r="H31" s="52">
        <f t="shared" si="3"/>
        <v>0</v>
      </c>
      <c r="I31" s="41"/>
      <c r="J31" s="32"/>
      <c r="K31" s="32"/>
    </row>
    <row r="32" spans="1:11">
      <c r="A32" s="18" t="s">
        <v>101</v>
      </c>
      <c r="B32" s="35"/>
      <c r="C32" s="36"/>
      <c r="D32" s="53">
        <f t="shared" si="2"/>
        <v>0</v>
      </c>
      <c r="E32" s="42"/>
      <c r="F32" s="35"/>
      <c r="G32" s="36"/>
      <c r="H32" s="53">
        <f t="shared" si="3"/>
        <v>0</v>
      </c>
      <c r="I32" s="42"/>
      <c r="J32" s="38"/>
      <c r="K32" s="38"/>
    </row>
    <row r="33" spans="1:11">
      <c r="A33" s="24" t="s">
        <v>15</v>
      </c>
      <c r="B33" s="29">
        <f>SUM(B19:B32)</f>
        <v>0</v>
      </c>
      <c r="C33" s="30">
        <f t="shared" ref="C33:D33" si="4">SUM(C19:C32)</f>
        <v>0</v>
      </c>
      <c r="D33" s="54">
        <f t="shared" si="4"/>
        <v>0</v>
      </c>
      <c r="E33" s="41"/>
      <c r="F33" s="29">
        <f>SUM(F19:F32)</f>
        <v>0</v>
      </c>
      <c r="G33" s="30">
        <f t="shared" ref="G33:H33" si="5">SUM(G19:G32)</f>
        <v>0</v>
      </c>
      <c r="H33" s="54">
        <f t="shared" si="5"/>
        <v>0</v>
      </c>
      <c r="I33" s="41"/>
      <c r="J33" s="32">
        <f>SUM(J19:J32)</f>
        <v>0</v>
      </c>
      <c r="K33" s="32">
        <f>SUM(K19:K32)</f>
        <v>0</v>
      </c>
    </row>
    <row r="34" spans="1:11" s="4" customFormat="1">
      <c r="A34" s="17"/>
      <c r="B34" s="29"/>
      <c r="C34" s="33"/>
      <c r="D34" s="54"/>
      <c r="E34" s="41"/>
      <c r="F34" s="29"/>
      <c r="G34" s="30"/>
      <c r="H34" s="54"/>
      <c r="I34" s="41"/>
      <c r="J34" s="32"/>
      <c r="K34" s="32"/>
    </row>
    <row r="35" spans="1:11">
      <c r="A35" s="18" t="s">
        <v>19</v>
      </c>
      <c r="B35" s="29">
        <f>+B16-B33</f>
        <v>0</v>
      </c>
      <c r="C35" s="30">
        <f t="shared" ref="C35:D35" si="6">+C16-C33</f>
        <v>0</v>
      </c>
      <c r="D35" s="52">
        <f t="shared" si="6"/>
        <v>0</v>
      </c>
      <c r="E35" s="41"/>
      <c r="F35" s="29">
        <f>+F16-F33</f>
        <v>0</v>
      </c>
      <c r="G35" s="30">
        <f t="shared" ref="G35:H35" si="7">+G16-G33</f>
        <v>0</v>
      </c>
      <c r="H35" s="52">
        <f t="shared" si="7"/>
        <v>0</v>
      </c>
      <c r="I35" s="41"/>
      <c r="J35" s="32">
        <f>+J16-J33</f>
        <v>0</v>
      </c>
      <c r="K35" s="32">
        <f>+K16-K33</f>
        <v>0</v>
      </c>
    </row>
    <row r="36" spans="1:11">
      <c r="A36" s="18"/>
      <c r="B36" s="29"/>
      <c r="C36" s="33"/>
      <c r="D36" s="54"/>
      <c r="E36" s="41"/>
      <c r="F36" s="29"/>
      <c r="G36" s="30"/>
      <c r="H36" s="54"/>
      <c r="I36" s="41"/>
      <c r="J36" s="32"/>
      <c r="K36" s="32"/>
    </row>
    <row r="37" spans="1:11">
      <c r="A37" s="17" t="s">
        <v>69</v>
      </c>
      <c r="B37" s="29"/>
      <c r="C37" s="33"/>
      <c r="D37" s="54"/>
      <c r="E37" s="41"/>
      <c r="F37" s="29"/>
      <c r="G37" s="30"/>
      <c r="H37" s="54"/>
      <c r="I37" s="41"/>
      <c r="J37" s="32"/>
      <c r="K37" s="32"/>
    </row>
    <row r="38" spans="1:11">
      <c r="A38" s="9" t="s">
        <v>27</v>
      </c>
      <c r="B38" s="43"/>
      <c r="C38" s="44"/>
      <c r="D38" s="52">
        <f t="shared" ref="D38:D40" si="8">+B38-C38</f>
        <v>0</v>
      </c>
      <c r="E38" s="45"/>
      <c r="F38" s="43"/>
      <c r="G38" s="46"/>
      <c r="H38" s="52">
        <f t="shared" ref="H38:H40" si="9">+F38-G38</f>
        <v>0</v>
      </c>
      <c r="I38" s="45"/>
      <c r="J38" s="47"/>
      <c r="K38" s="47"/>
    </row>
    <row r="39" spans="1:11">
      <c r="A39" s="9" t="s">
        <v>79</v>
      </c>
      <c r="B39" s="29"/>
      <c r="C39" s="33"/>
      <c r="D39" s="52">
        <f t="shared" si="8"/>
        <v>0</v>
      </c>
      <c r="E39" s="41"/>
      <c r="F39" s="29"/>
      <c r="G39" s="30"/>
      <c r="H39" s="52">
        <f t="shared" si="9"/>
        <v>0</v>
      </c>
      <c r="I39" s="41"/>
      <c r="J39" s="32"/>
      <c r="K39" s="32"/>
    </row>
    <row r="40" spans="1:11">
      <c r="A40" s="9" t="s">
        <v>16</v>
      </c>
      <c r="B40" s="35"/>
      <c r="C40" s="48"/>
      <c r="D40" s="53">
        <f t="shared" si="8"/>
        <v>0</v>
      </c>
      <c r="E40" s="42"/>
      <c r="F40" s="35"/>
      <c r="G40" s="36"/>
      <c r="H40" s="53">
        <f t="shared" si="9"/>
        <v>0</v>
      </c>
      <c r="I40" s="42"/>
      <c r="J40" s="38"/>
      <c r="K40" s="38"/>
    </row>
    <row r="41" spans="1:11">
      <c r="A41" s="24" t="s">
        <v>17</v>
      </c>
      <c r="B41" s="29">
        <f>SUM(B38:B40)</f>
        <v>0</v>
      </c>
      <c r="C41" s="30">
        <f t="shared" ref="C41:D41" si="10">SUM(C38:C40)</f>
        <v>0</v>
      </c>
      <c r="D41" s="54">
        <f t="shared" si="10"/>
        <v>0</v>
      </c>
      <c r="E41" s="41"/>
      <c r="F41" s="29">
        <f>SUM(F38:F40)</f>
        <v>0</v>
      </c>
      <c r="G41" s="30">
        <f t="shared" ref="G41:H41" si="11">SUM(G38:G40)</f>
        <v>0</v>
      </c>
      <c r="H41" s="54">
        <f t="shared" si="11"/>
        <v>0</v>
      </c>
      <c r="I41" s="41"/>
      <c r="J41" s="32">
        <f>SUM(J38:J40)</f>
        <v>0</v>
      </c>
      <c r="K41" s="40">
        <f>SUM(K38:K40)</f>
        <v>0</v>
      </c>
    </row>
    <row r="42" spans="1:11">
      <c r="A42" s="18"/>
      <c r="B42" s="29"/>
      <c r="C42" s="33"/>
      <c r="D42" s="54"/>
      <c r="E42" s="41"/>
      <c r="F42" s="29"/>
      <c r="G42" s="30"/>
      <c r="H42" s="54"/>
      <c r="I42" s="41"/>
      <c r="J42" s="32"/>
      <c r="K42" s="32"/>
    </row>
    <row r="43" spans="1:11">
      <c r="A43" s="17" t="s">
        <v>70</v>
      </c>
      <c r="B43" s="29"/>
      <c r="C43" s="33"/>
      <c r="D43" s="54"/>
      <c r="E43" s="41"/>
      <c r="F43" s="29"/>
      <c r="G43" s="30"/>
      <c r="H43" s="54"/>
      <c r="I43" s="41"/>
      <c r="J43" s="32"/>
      <c r="K43" s="32"/>
    </row>
    <row r="44" spans="1:11">
      <c r="A44" s="9" t="s">
        <v>29</v>
      </c>
      <c r="B44" s="29"/>
      <c r="C44" s="33"/>
      <c r="D44" s="52">
        <f t="shared" ref="D44:D46" si="12">+B44-C44</f>
        <v>0</v>
      </c>
      <c r="E44" s="41"/>
      <c r="F44" s="29"/>
      <c r="G44" s="30"/>
      <c r="H44" s="52">
        <f t="shared" ref="H44:H46" si="13">+F44-G44</f>
        <v>0</v>
      </c>
      <c r="I44" s="41"/>
      <c r="J44" s="32"/>
      <c r="K44" s="32"/>
    </row>
    <row r="45" spans="1:11">
      <c r="A45" s="9" t="s">
        <v>29</v>
      </c>
      <c r="B45" s="29"/>
      <c r="C45" s="33"/>
      <c r="D45" s="52">
        <f t="shared" si="12"/>
        <v>0</v>
      </c>
      <c r="E45" s="41"/>
      <c r="F45" s="29"/>
      <c r="G45" s="30"/>
      <c r="H45" s="52">
        <f t="shared" si="13"/>
        <v>0</v>
      </c>
      <c r="I45" s="41"/>
      <c r="J45" s="32"/>
      <c r="K45" s="32"/>
    </row>
    <row r="46" spans="1:11">
      <c r="A46" s="9" t="s">
        <v>29</v>
      </c>
      <c r="B46" s="35"/>
      <c r="C46" s="48"/>
      <c r="D46" s="53">
        <f t="shared" si="12"/>
        <v>0</v>
      </c>
      <c r="E46" s="42"/>
      <c r="F46" s="35"/>
      <c r="G46" s="36"/>
      <c r="H46" s="53">
        <f t="shared" si="13"/>
        <v>0</v>
      </c>
      <c r="I46" s="42"/>
      <c r="J46" s="38"/>
      <c r="K46" s="38"/>
    </row>
    <row r="47" spans="1:11">
      <c r="A47" s="24" t="s">
        <v>18</v>
      </c>
      <c r="B47" s="29">
        <f>SUM(B44:B46)</f>
        <v>0</v>
      </c>
      <c r="C47" s="30">
        <f t="shared" ref="C47:D47" si="14">SUM(C44:C46)</f>
        <v>0</v>
      </c>
      <c r="D47" s="54">
        <f t="shared" si="14"/>
        <v>0</v>
      </c>
      <c r="E47" s="41"/>
      <c r="F47" s="29">
        <f>SUM(F44:F46)</f>
        <v>0</v>
      </c>
      <c r="G47" s="30">
        <f t="shared" ref="G47:H47" si="15">SUM(G44:G46)</f>
        <v>0</v>
      </c>
      <c r="H47" s="54">
        <f t="shared" si="15"/>
        <v>0</v>
      </c>
      <c r="I47" s="41"/>
      <c r="J47" s="32">
        <f>SUM(J44:J46)</f>
        <v>0</v>
      </c>
      <c r="K47" s="40">
        <f>SUM(K44:K46)</f>
        <v>0</v>
      </c>
    </row>
    <row r="48" spans="1:11">
      <c r="A48" s="17"/>
      <c r="B48" s="29"/>
      <c r="C48" s="33"/>
      <c r="D48" s="54"/>
      <c r="E48" s="41"/>
      <c r="F48" s="29"/>
      <c r="G48" s="30"/>
      <c r="H48" s="54"/>
      <c r="I48" s="41"/>
      <c r="J48" s="32"/>
      <c r="K48" s="32"/>
    </row>
    <row r="49" spans="1:11">
      <c r="A49" s="17" t="s">
        <v>80</v>
      </c>
      <c r="B49" s="29">
        <f>+B35+B41-B47</f>
        <v>0</v>
      </c>
      <c r="C49" s="30">
        <f t="shared" ref="C49" si="16">+C35+C41-C47</f>
        <v>0</v>
      </c>
      <c r="D49" s="52">
        <f t="shared" ref="D49" si="17">+B49-C49</f>
        <v>0</v>
      </c>
      <c r="E49" s="41"/>
      <c r="F49" s="29">
        <f>+F35+F41-F47</f>
        <v>0</v>
      </c>
      <c r="G49" s="30">
        <f t="shared" ref="G49:K49" si="18">+G35+G41-G47</f>
        <v>0</v>
      </c>
      <c r="H49" s="52">
        <f t="shared" ref="H49" si="19">+F49-G49</f>
        <v>0</v>
      </c>
      <c r="I49" s="41"/>
      <c r="J49" s="32">
        <f t="shared" si="18"/>
        <v>0</v>
      </c>
      <c r="K49" s="32">
        <f t="shared" si="18"/>
        <v>0</v>
      </c>
    </row>
    <row r="50" spans="1:11">
      <c r="A50" s="17"/>
      <c r="B50" s="29"/>
      <c r="C50" s="33"/>
      <c r="D50" s="54"/>
      <c r="E50" s="41"/>
      <c r="F50" s="29"/>
      <c r="G50" s="30"/>
      <c r="H50" s="54"/>
      <c r="I50" s="41"/>
      <c r="J50" s="32"/>
      <c r="K50" s="32"/>
    </row>
    <row r="51" spans="1:11">
      <c r="A51" s="17" t="s">
        <v>20</v>
      </c>
      <c r="B51" s="29"/>
      <c r="C51" s="33"/>
      <c r="D51" s="52">
        <f t="shared" ref="D51:D52" si="20">+B51-C51</f>
        <v>0</v>
      </c>
      <c r="E51" s="49"/>
      <c r="F51" s="29"/>
      <c r="G51" s="30"/>
      <c r="H51" s="52">
        <f t="shared" ref="H51:H52" si="21">+F51-G51</f>
        <v>0</v>
      </c>
      <c r="I51" s="49"/>
      <c r="J51" s="32"/>
      <c r="K51" s="32"/>
    </row>
    <row r="52" spans="1:11">
      <c r="A52" s="51" t="s">
        <v>21</v>
      </c>
      <c r="B52" s="35"/>
      <c r="C52" s="48"/>
      <c r="D52" s="53">
        <f t="shared" si="20"/>
        <v>0</v>
      </c>
      <c r="E52" s="50"/>
      <c r="F52" s="35"/>
      <c r="G52" s="36"/>
      <c r="H52" s="53">
        <f t="shared" si="21"/>
        <v>0</v>
      </c>
      <c r="I52" s="50"/>
      <c r="J52" s="38"/>
      <c r="K52" s="38"/>
    </row>
  </sheetData>
  <mergeCells count="2">
    <mergeCell ref="B5:D5"/>
    <mergeCell ref="F5:G5"/>
  </mergeCells>
  <printOptions horizontalCentered="1" verticalCentered="1" gridLines="1"/>
  <pageMargins left="0.2" right="0.2" top="0.75" bottom="0.5" header="0.3" footer="0.3"/>
  <pageSetup scale="65" orientation="landscape" r:id="rId1"/>
  <headerFooter>
    <oddHeader>&amp;CBudget (ISD)</oddHeader>
    <oddFooter xml:space="preserve">&amp;C&amp;P&amp;R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Y50"/>
  <sheetViews>
    <sheetView zoomScale="50" zoomScaleNormal="50" workbookViewId="0">
      <pane xSplit="2" ySplit="7" topLeftCell="C8" activePane="bottomRight" state="frozen"/>
      <selection activeCell="B40" sqref="B40"/>
      <selection pane="topRight" activeCell="B40" sqref="B40"/>
      <selection pane="bottomLeft" activeCell="B40" sqref="B40"/>
      <selection pane="bottomRight" sqref="A1:AF49"/>
    </sheetView>
  </sheetViews>
  <sheetFormatPr defaultColWidth="9.109375" defaultRowHeight="13.2"/>
  <cols>
    <col min="1" max="1" width="39.6640625" style="56" customWidth="1"/>
    <col min="2" max="2" width="2.5546875" style="121" customWidth="1"/>
    <col min="3" max="3" width="11.6640625" style="56" customWidth="1"/>
    <col min="4" max="4" width="2.5546875" style="121" customWidth="1"/>
    <col min="5" max="5" width="11.6640625" style="56" customWidth="1"/>
    <col min="6" max="6" width="2.5546875" style="121" customWidth="1"/>
    <col min="7" max="7" width="11.6640625" style="56" customWidth="1"/>
    <col min="8" max="8" width="2.5546875" style="121" customWidth="1"/>
    <col min="9" max="9" width="11.6640625" style="56" customWidth="1"/>
    <col min="10" max="10" width="2.5546875" style="121" customWidth="1"/>
    <col min="11" max="11" width="11.6640625" style="56" customWidth="1"/>
    <col min="12" max="12" width="2.5546875" style="121" customWidth="1"/>
    <col min="13" max="13" width="11.6640625" style="56" customWidth="1"/>
    <col min="14" max="14" width="2.5546875" style="121" customWidth="1"/>
    <col min="15" max="15" width="11.6640625" style="56" customWidth="1"/>
    <col min="16" max="16" width="2.5546875" style="121" customWidth="1"/>
    <col min="17" max="17" width="11.6640625" style="56" customWidth="1"/>
    <col min="18" max="18" width="2.5546875" style="121" customWidth="1"/>
    <col min="19" max="19" width="11.6640625" style="56" customWidth="1"/>
    <col min="20" max="20" width="2.5546875" style="121" customWidth="1"/>
    <col min="21" max="21" width="11.6640625" style="56" customWidth="1"/>
    <col min="22" max="22" width="2.5546875" style="121" customWidth="1"/>
    <col min="23" max="23" width="11.6640625" style="56" customWidth="1"/>
    <col min="24" max="24" width="2.5546875" style="121" customWidth="1"/>
    <col min="25" max="25" width="11.6640625" style="56" customWidth="1"/>
    <col min="26" max="26" width="2.6640625" style="121" customWidth="1"/>
    <col min="27" max="27" width="13.5546875" style="56" customWidth="1"/>
    <col min="28" max="28" width="2.5546875" style="121" customWidth="1"/>
    <col min="29" max="29" width="13.6640625" style="56" customWidth="1"/>
    <col min="30" max="30" width="2.5546875" style="56" customWidth="1"/>
    <col min="31" max="31" width="13.44140625" style="56" customWidth="1"/>
    <col min="32" max="32" width="33.6640625" style="56" customWidth="1"/>
    <col min="33" max="16384" width="9.109375" style="56"/>
  </cols>
  <sheetData>
    <row r="1" spans="1:51" ht="13.8">
      <c r="A1" s="55" t="s">
        <v>103</v>
      </c>
    </row>
    <row r="2" spans="1:51" ht="18">
      <c r="A2" s="57" t="s">
        <v>66</v>
      </c>
      <c r="B2" s="58"/>
      <c r="C2" s="59"/>
      <c r="D2" s="58"/>
      <c r="E2" s="60"/>
      <c r="F2" s="58"/>
      <c r="G2" s="59"/>
      <c r="H2" s="58"/>
      <c r="I2" s="59"/>
      <c r="J2" s="58"/>
      <c r="K2" s="59"/>
      <c r="L2" s="58"/>
      <c r="M2" s="59"/>
      <c r="N2" s="58"/>
      <c r="O2" s="59"/>
      <c r="P2" s="58"/>
      <c r="Q2" s="59"/>
      <c r="R2" s="58"/>
      <c r="S2" s="59"/>
      <c r="T2" s="58"/>
      <c r="U2" s="59"/>
      <c r="V2" s="58"/>
      <c r="W2" s="59"/>
      <c r="X2" s="58"/>
      <c r="Y2" s="59"/>
      <c r="Z2" s="58"/>
      <c r="AA2" s="61"/>
      <c r="AB2" s="58"/>
      <c r="AC2" s="59"/>
      <c r="AD2" s="59"/>
      <c r="AE2" s="59"/>
      <c r="AF2" s="62"/>
      <c r="AG2" s="63"/>
    </row>
    <row r="3" spans="1:51" s="71" customFormat="1" ht="18">
      <c r="A3" s="64" t="s">
        <v>99</v>
      </c>
      <c r="B3" s="65"/>
      <c r="C3" s="65"/>
      <c r="D3" s="65"/>
      <c r="E3" s="65"/>
      <c r="F3" s="65"/>
      <c r="G3" s="65"/>
      <c r="H3" s="65"/>
      <c r="I3" s="66"/>
      <c r="J3" s="65"/>
      <c r="K3" s="66"/>
      <c r="L3" s="67"/>
      <c r="M3" s="66"/>
      <c r="N3" s="67"/>
      <c r="O3" s="66"/>
      <c r="P3" s="67"/>
      <c r="Q3" s="66"/>
      <c r="R3" s="67"/>
      <c r="S3" s="66"/>
      <c r="T3" s="67"/>
      <c r="U3" s="66"/>
      <c r="V3" s="67"/>
      <c r="W3" s="66"/>
      <c r="X3" s="67"/>
      <c r="Y3" s="66"/>
      <c r="Z3" s="67"/>
      <c r="AA3" s="68"/>
      <c r="AB3" s="67"/>
      <c r="AC3" s="66"/>
      <c r="AD3" s="66"/>
      <c r="AE3" s="66"/>
      <c r="AF3" s="69"/>
      <c r="AG3" s="70"/>
    </row>
    <row r="4" spans="1:51" ht="24" customHeight="1" thickBot="1">
      <c r="A4" s="144" t="s">
        <v>30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6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</row>
    <row r="5" spans="1:51" ht="24" customHeight="1" thickBot="1">
      <c r="A5" s="72" t="s">
        <v>88</v>
      </c>
      <c r="B5" s="73"/>
      <c r="C5" s="74"/>
      <c r="D5" s="73"/>
      <c r="E5" s="74"/>
      <c r="F5" s="73"/>
      <c r="G5" s="74"/>
      <c r="H5" s="73"/>
      <c r="I5" s="74"/>
      <c r="J5" s="73"/>
      <c r="K5" s="74"/>
      <c r="L5" s="73"/>
      <c r="M5" s="74"/>
      <c r="N5" s="73"/>
      <c r="O5" s="74"/>
      <c r="P5" s="73"/>
      <c r="Q5" s="74"/>
      <c r="R5" s="73"/>
      <c r="S5" s="74"/>
      <c r="T5" s="73"/>
      <c r="U5" s="74"/>
      <c r="V5" s="73"/>
      <c r="W5" s="74"/>
      <c r="X5" s="73"/>
      <c r="Y5" s="74"/>
      <c r="Z5" s="73"/>
      <c r="AA5" s="74"/>
      <c r="AB5" s="73"/>
      <c r="AC5" s="74"/>
      <c r="AD5" s="74"/>
      <c r="AE5" s="75"/>
      <c r="AF5" s="69"/>
      <c r="AG5" s="63"/>
    </row>
    <row r="6" spans="1:51">
      <c r="A6" s="76"/>
      <c r="B6" s="73"/>
      <c r="C6" s="142" t="s">
        <v>63</v>
      </c>
      <c r="D6" s="142"/>
      <c r="E6" s="142"/>
      <c r="F6" s="142"/>
      <c r="G6" s="143"/>
      <c r="H6" s="77"/>
      <c r="I6" s="142" t="s">
        <v>64</v>
      </c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80"/>
      <c r="AA6" s="82"/>
      <c r="AB6" s="80"/>
      <c r="AC6" s="79" t="s">
        <v>93</v>
      </c>
      <c r="AD6" s="74"/>
      <c r="AE6" s="74"/>
      <c r="AF6" s="69"/>
      <c r="AG6" s="63"/>
    </row>
    <row r="7" spans="1:51">
      <c r="A7" s="76"/>
      <c r="B7" s="73"/>
      <c r="C7" s="79" t="s">
        <v>31</v>
      </c>
      <c r="D7" s="80"/>
      <c r="E7" s="79" t="s">
        <v>32</v>
      </c>
      <c r="F7" s="80"/>
      <c r="G7" s="79" t="s">
        <v>33</v>
      </c>
      <c r="H7" s="81"/>
      <c r="I7" s="79" t="s">
        <v>34</v>
      </c>
      <c r="J7" s="80"/>
      <c r="K7" s="79" t="s">
        <v>35</v>
      </c>
      <c r="L7" s="80"/>
      <c r="M7" s="79" t="s">
        <v>36</v>
      </c>
      <c r="N7" s="80"/>
      <c r="O7" s="79" t="s">
        <v>37</v>
      </c>
      <c r="P7" s="80"/>
      <c r="Q7" s="79" t="s">
        <v>38</v>
      </c>
      <c r="R7" s="80"/>
      <c r="S7" s="79" t="s">
        <v>39</v>
      </c>
      <c r="T7" s="80"/>
      <c r="U7" s="79" t="s">
        <v>40</v>
      </c>
      <c r="V7" s="80"/>
      <c r="W7" s="79" t="s">
        <v>41</v>
      </c>
      <c r="X7" s="80"/>
      <c r="Y7" s="79" t="s">
        <v>42</v>
      </c>
      <c r="Z7" s="80"/>
      <c r="AA7" s="79" t="s">
        <v>91</v>
      </c>
      <c r="AB7" s="80"/>
      <c r="AC7" s="79" t="s">
        <v>92</v>
      </c>
      <c r="AD7" s="82"/>
      <c r="AE7" s="79" t="s">
        <v>24</v>
      </c>
      <c r="AF7" s="83" t="s">
        <v>94</v>
      </c>
      <c r="AG7" s="63"/>
    </row>
    <row r="8" spans="1:51">
      <c r="A8" s="84" t="s">
        <v>43</v>
      </c>
      <c r="B8" s="85" t="s">
        <v>44</v>
      </c>
      <c r="C8" s="23">
        <v>0</v>
      </c>
      <c r="D8" s="86" t="s">
        <v>44</v>
      </c>
      <c r="E8" s="23">
        <f>+C35</f>
        <v>0</v>
      </c>
      <c r="F8" s="86" t="s">
        <v>44</v>
      </c>
      <c r="G8" s="23">
        <f>+E35</f>
        <v>0</v>
      </c>
      <c r="H8" s="87" t="s">
        <v>44</v>
      </c>
      <c r="I8" s="23">
        <f>+G35</f>
        <v>0</v>
      </c>
      <c r="J8" s="86" t="s">
        <v>44</v>
      </c>
      <c r="K8" s="23">
        <f>+I35</f>
        <v>0</v>
      </c>
      <c r="L8" s="86" t="s">
        <v>44</v>
      </c>
      <c r="M8" s="23">
        <f>+K35</f>
        <v>0</v>
      </c>
      <c r="N8" s="86" t="s">
        <v>44</v>
      </c>
      <c r="O8" s="23">
        <f>+M35</f>
        <v>0</v>
      </c>
      <c r="P8" s="86" t="s">
        <v>44</v>
      </c>
      <c r="Q8" s="23">
        <f>+O35</f>
        <v>0</v>
      </c>
      <c r="R8" s="86" t="s">
        <v>44</v>
      </c>
      <c r="S8" s="23">
        <f>+Q35</f>
        <v>0</v>
      </c>
      <c r="T8" s="86" t="s">
        <v>44</v>
      </c>
      <c r="U8" s="23">
        <f>+S35</f>
        <v>0</v>
      </c>
      <c r="V8" s="86" t="s">
        <v>44</v>
      </c>
      <c r="W8" s="23">
        <f>+U35</f>
        <v>0</v>
      </c>
      <c r="X8" s="86" t="s">
        <v>44</v>
      </c>
      <c r="Y8" s="23">
        <f>+W35</f>
        <v>0</v>
      </c>
      <c r="Z8" s="86" t="s">
        <v>44</v>
      </c>
      <c r="AA8" s="88" t="s">
        <v>45</v>
      </c>
      <c r="AB8" s="86" t="s">
        <v>44</v>
      </c>
      <c r="AC8" s="86">
        <v>0</v>
      </c>
      <c r="AD8" s="23" t="s">
        <v>44</v>
      </c>
      <c r="AE8" s="138">
        <f>AC8-C8</f>
        <v>0</v>
      </c>
      <c r="AF8" s="125"/>
    </row>
    <row r="9" spans="1:51">
      <c r="A9" s="91"/>
      <c r="B9" s="126"/>
      <c r="C9" s="127"/>
      <c r="D9" s="128"/>
      <c r="E9" s="127"/>
      <c r="F9" s="128"/>
      <c r="G9" s="127"/>
      <c r="H9" s="129"/>
      <c r="I9" s="127"/>
      <c r="J9" s="128"/>
      <c r="K9" s="127"/>
      <c r="L9" s="128"/>
      <c r="M9" s="127"/>
      <c r="N9" s="128"/>
      <c r="O9" s="127"/>
      <c r="P9" s="128"/>
      <c r="Q9" s="127"/>
      <c r="R9" s="128"/>
      <c r="S9" s="127"/>
      <c r="T9" s="128"/>
      <c r="U9" s="127"/>
      <c r="V9" s="128"/>
      <c r="W9" s="127"/>
      <c r="X9" s="128"/>
      <c r="Y9" s="127"/>
      <c r="Z9" s="128"/>
      <c r="AA9" s="127"/>
      <c r="AB9" s="128"/>
      <c r="AC9" s="127"/>
      <c r="AD9" s="127"/>
      <c r="AE9" s="130"/>
      <c r="AF9" s="125"/>
    </row>
    <row r="10" spans="1:51">
      <c r="A10" s="97" t="s">
        <v>82</v>
      </c>
      <c r="B10" s="85"/>
      <c r="C10" s="127"/>
      <c r="D10" s="86"/>
      <c r="E10" s="127"/>
      <c r="F10" s="86"/>
      <c r="G10" s="127"/>
      <c r="H10" s="87"/>
      <c r="I10" s="127"/>
      <c r="J10" s="86"/>
      <c r="K10" s="127"/>
      <c r="L10" s="86"/>
      <c r="M10" s="127"/>
      <c r="N10" s="86"/>
      <c r="O10" s="127"/>
      <c r="P10" s="86"/>
      <c r="Q10" s="127"/>
      <c r="R10" s="86"/>
      <c r="S10" s="127"/>
      <c r="T10" s="86"/>
      <c r="U10" s="127"/>
      <c r="V10" s="86"/>
      <c r="W10" s="127"/>
      <c r="X10" s="86"/>
      <c r="Y10" s="127"/>
      <c r="Z10" s="86"/>
      <c r="AA10" s="127"/>
      <c r="AB10" s="86"/>
      <c r="AC10" s="127"/>
      <c r="AD10" s="127"/>
      <c r="AE10" s="130"/>
      <c r="AF10" s="125"/>
    </row>
    <row r="11" spans="1:51">
      <c r="A11" s="98" t="s">
        <v>72</v>
      </c>
      <c r="B11" s="126" t="s">
        <v>44</v>
      </c>
      <c r="C11" s="127">
        <v>0</v>
      </c>
      <c r="D11" s="128" t="s">
        <v>44</v>
      </c>
      <c r="E11" s="127">
        <v>0</v>
      </c>
      <c r="F11" s="128" t="s">
        <v>44</v>
      </c>
      <c r="G11" s="127">
        <v>0</v>
      </c>
      <c r="H11" s="129" t="s">
        <v>44</v>
      </c>
      <c r="I11" s="127">
        <v>0</v>
      </c>
      <c r="J11" s="128" t="s">
        <v>44</v>
      </c>
      <c r="K11" s="127">
        <v>0</v>
      </c>
      <c r="L11" s="128" t="s">
        <v>44</v>
      </c>
      <c r="M11" s="127">
        <v>0</v>
      </c>
      <c r="N11" s="128" t="s">
        <v>44</v>
      </c>
      <c r="O11" s="127">
        <v>0</v>
      </c>
      <c r="P11" s="128" t="s">
        <v>44</v>
      </c>
      <c r="Q11" s="127">
        <v>0</v>
      </c>
      <c r="R11" s="128" t="s">
        <v>44</v>
      </c>
      <c r="S11" s="127">
        <v>0</v>
      </c>
      <c r="T11" s="128" t="s">
        <v>44</v>
      </c>
      <c r="U11" s="127">
        <v>0</v>
      </c>
      <c r="V11" s="128" t="s">
        <v>44</v>
      </c>
      <c r="W11" s="127">
        <v>0</v>
      </c>
      <c r="X11" s="128" t="s">
        <v>44</v>
      </c>
      <c r="Y11" s="127">
        <v>0</v>
      </c>
      <c r="Z11" s="128" t="s">
        <v>44</v>
      </c>
      <c r="AA11" s="99">
        <f>SUM(C11:Z11)</f>
        <v>0</v>
      </c>
      <c r="AB11" s="128" t="s">
        <v>44</v>
      </c>
      <c r="AC11" s="127">
        <v>0</v>
      </c>
      <c r="AD11" s="128" t="s">
        <v>44</v>
      </c>
      <c r="AE11" s="130">
        <f t="shared" ref="AE11:AE18" si="0">AA11-AC11</f>
        <v>0</v>
      </c>
      <c r="AF11" s="125"/>
    </row>
    <row r="12" spans="1:51">
      <c r="A12" s="98" t="s">
        <v>73</v>
      </c>
      <c r="B12" s="126" t="s">
        <v>44</v>
      </c>
      <c r="C12" s="127">
        <v>0</v>
      </c>
      <c r="D12" s="128" t="s">
        <v>44</v>
      </c>
      <c r="E12" s="127">
        <v>0</v>
      </c>
      <c r="F12" s="128" t="s">
        <v>44</v>
      </c>
      <c r="G12" s="127">
        <v>0</v>
      </c>
      <c r="H12" s="129" t="s">
        <v>44</v>
      </c>
      <c r="I12" s="127">
        <v>0</v>
      </c>
      <c r="J12" s="128" t="s">
        <v>44</v>
      </c>
      <c r="K12" s="127">
        <v>0</v>
      </c>
      <c r="L12" s="128" t="s">
        <v>44</v>
      </c>
      <c r="M12" s="127">
        <v>0</v>
      </c>
      <c r="N12" s="128" t="s">
        <v>44</v>
      </c>
      <c r="O12" s="127">
        <v>0</v>
      </c>
      <c r="P12" s="128" t="s">
        <v>44</v>
      </c>
      <c r="Q12" s="127">
        <v>0</v>
      </c>
      <c r="R12" s="128" t="s">
        <v>44</v>
      </c>
      <c r="S12" s="127">
        <v>0</v>
      </c>
      <c r="T12" s="128" t="s">
        <v>44</v>
      </c>
      <c r="U12" s="127">
        <v>0</v>
      </c>
      <c r="V12" s="128" t="s">
        <v>44</v>
      </c>
      <c r="W12" s="127">
        <v>0</v>
      </c>
      <c r="X12" s="128" t="s">
        <v>44</v>
      </c>
      <c r="Y12" s="127">
        <v>0</v>
      </c>
      <c r="Z12" s="128" t="s">
        <v>44</v>
      </c>
      <c r="AA12" s="99">
        <f t="shared" ref="AA12:AA18" si="1">SUM(C12:Z12)</f>
        <v>0</v>
      </c>
      <c r="AB12" s="128" t="s">
        <v>44</v>
      </c>
      <c r="AC12" s="127">
        <v>0</v>
      </c>
      <c r="AD12" s="128" t="s">
        <v>44</v>
      </c>
      <c r="AE12" s="130">
        <f t="shared" si="0"/>
        <v>0</v>
      </c>
      <c r="AF12" s="125"/>
    </row>
    <row r="13" spans="1:51">
      <c r="A13" s="98" t="s">
        <v>71</v>
      </c>
      <c r="B13" s="126" t="s">
        <v>44</v>
      </c>
      <c r="C13" s="127">
        <v>0</v>
      </c>
      <c r="D13" s="128" t="s">
        <v>44</v>
      </c>
      <c r="E13" s="127">
        <v>0</v>
      </c>
      <c r="F13" s="128" t="s">
        <v>44</v>
      </c>
      <c r="G13" s="127">
        <v>0</v>
      </c>
      <c r="H13" s="129" t="s">
        <v>44</v>
      </c>
      <c r="I13" s="127">
        <v>0</v>
      </c>
      <c r="J13" s="128" t="s">
        <v>44</v>
      </c>
      <c r="K13" s="127">
        <v>0</v>
      </c>
      <c r="L13" s="128" t="s">
        <v>44</v>
      </c>
      <c r="M13" s="127">
        <v>0</v>
      </c>
      <c r="N13" s="128" t="s">
        <v>44</v>
      </c>
      <c r="O13" s="127">
        <v>0</v>
      </c>
      <c r="P13" s="128" t="s">
        <v>44</v>
      </c>
      <c r="Q13" s="127">
        <v>0</v>
      </c>
      <c r="R13" s="128" t="s">
        <v>44</v>
      </c>
      <c r="S13" s="127">
        <v>0</v>
      </c>
      <c r="T13" s="128" t="s">
        <v>44</v>
      </c>
      <c r="U13" s="127">
        <v>0</v>
      </c>
      <c r="V13" s="128" t="s">
        <v>44</v>
      </c>
      <c r="W13" s="127">
        <v>0</v>
      </c>
      <c r="X13" s="128" t="s">
        <v>44</v>
      </c>
      <c r="Y13" s="127">
        <v>0</v>
      </c>
      <c r="Z13" s="128" t="s">
        <v>44</v>
      </c>
      <c r="AA13" s="99">
        <f t="shared" si="1"/>
        <v>0</v>
      </c>
      <c r="AB13" s="128" t="s">
        <v>44</v>
      </c>
      <c r="AC13" s="127">
        <v>0</v>
      </c>
      <c r="AD13" s="128" t="s">
        <v>44</v>
      </c>
      <c r="AE13" s="130">
        <f t="shared" si="0"/>
        <v>0</v>
      </c>
      <c r="AF13" s="125"/>
    </row>
    <row r="14" spans="1:51">
      <c r="A14" s="98" t="s">
        <v>0</v>
      </c>
      <c r="B14" s="126" t="s">
        <v>44</v>
      </c>
      <c r="C14" s="127">
        <v>0</v>
      </c>
      <c r="D14" s="128" t="s">
        <v>44</v>
      </c>
      <c r="E14" s="127">
        <v>0</v>
      </c>
      <c r="F14" s="128" t="s">
        <v>44</v>
      </c>
      <c r="G14" s="127">
        <v>0</v>
      </c>
      <c r="H14" s="129" t="s">
        <v>44</v>
      </c>
      <c r="I14" s="127">
        <v>0</v>
      </c>
      <c r="J14" s="128" t="s">
        <v>44</v>
      </c>
      <c r="K14" s="127">
        <v>0</v>
      </c>
      <c r="L14" s="128" t="s">
        <v>44</v>
      </c>
      <c r="M14" s="127">
        <v>0</v>
      </c>
      <c r="N14" s="128" t="s">
        <v>44</v>
      </c>
      <c r="O14" s="127">
        <v>0</v>
      </c>
      <c r="P14" s="128" t="s">
        <v>44</v>
      </c>
      <c r="Q14" s="127">
        <v>0</v>
      </c>
      <c r="R14" s="128" t="s">
        <v>44</v>
      </c>
      <c r="S14" s="127">
        <v>0</v>
      </c>
      <c r="T14" s="128" t="s">
        <v>44</v>
      </c>
      <c r="U14" s="127">
        <v>0</v>
      </c>
      <c r="V14" s="128" t="s">
        <v>44</v>
      </c>
      <c r="W14" s="127">
        <v>0</v>
      </c>
      <c r="X14" s="128" t="s">
        <v>44</v>
      </c>
      <c r="Y14" s="127">
        <v>0</v>
      </c>
      <c r="Z14" s="128" t="s">
        <v>44</v>
      </c>
      <c r="AA14" s="99">
        <f t="shared" si="1"/>
        <v>0</v>
      </c>
      <c r="AB14" s="128" t="s">
        <v>44</v>
      </c>
      <c r="AC14" s="127">
        <v>0</v>
      </c>
      <c r="AD14" s="128" t="s">
        <v>44</v>
      </c>
      <c r="AE14" s="130">
        <f t="shared" si="0"/>
        <v>0</v>
      </c>
      <c r="AF14" s="125"/>
    </row>
    <row r="15" spans="1:51">
      <c r="A15" s="98" t="s">
        <v>75</v>
      </c>
      <c r="B15" s="126" t="s">
        <v>44</v>
      </c>
      <c r="C15" s="127">
        <v>0</v>
      </c>
      <c r="D15" s="128" t="s">
        <v>44</v>
      </c>
      <c r="E15" s="127">
        <v>0</v>
      </c>
      <c r="F15" s="128" t="s">
        <v>44</v>
      </c>
      <c r="G15" s="127">
        <v>0</v>
      </c>
      <c r="H15" s="129" t="s">
        <v>44</v>
      </c>
      <c r="I15" s="127">
        <v>0</v>
      </c>
      <c r="J15" s="128" t="s">
        <v>44</v>
      </c>
      <c r="K15" s="127">
        <v>0</v>
      </c>
      <c r="L15" s="128" t="s">
        <v>44</v>
      </c>
      <c r="M15" s="127">
        <v>0</v>
      </c>
      <c r="N15" s="128" t="s">
        <v>44</v>
      </c>
      <c r="O15" s="127">
        <v>0</v>
      </c>
      <c r="P15" s="128" t="s">
        <v>44</v>
      </c>
      <c r="Q15" s="127">
        <v>0</v>
      </c>
      <c r="R15" s="128" t="s">
        <v>44</v>
      </c>
      <c r="S15" s="127">
        <v>0</v>
      </c>
      <c r="T15" s="128" t="s">
        <v>44</v>
      </c>
      <c r="U15" s="127">
        <v>0</v>
      </c>
      <c r="V15" s="128" t="s">
        <v>44</v>
      </c>
      <c r="W15" s="127">
        <v>0</v>
      </c>
      <c r="X15" s="128" t="s">
        <v>44</v>
      </c>
      <c r="Y15" s="127">
        <v>0</v>
      </c>
      <c r="Z15" s="128" t="s">
        <v>44</v>
      </c>
      <c r="AA15" s="99">
        <f t="shared" si="1"/>
        <v>0</v>
      </c>
      <c r="AB15" s="128" t="s">
        <v>44</v>
      </c>
      <c r="AC15" s="127">
        <v>0</v>
      </c>
      <c r="AD15" s="128" t="s">
        <v>44</v>
      </c>
      <c r="AE15" s="130">
        <f t="shared" si="0"/>
        <v>0</v>
      </c>
      <c r="AF15" s="125"/>
    </row>
    <row r="16" spans="1:51">
      <c r="A16" s="98" t="s">
        <v>84</v>
      </c>
      <c r="B16" s="126" t="s">
        <v>44</v>
      </c>
      <c r="C16" s="127">
        <v>0</v>
      </c>
      <c r="D16" s="128" t="s">
        <v>44</v>
      </c>
      <c r="E16" s="127">
        <v>0</v>
      </c>
      <c r="F16" s="128" t="s">
        <v>44</v>
      </c>
      <c r="G16" s="127">
        <v>0</v>
      </c>
      <c r="H16" s="129" t="s">
        <v>44</v>
      </c>
      <c r="I16" s="127">
        <v>0</v>
      </c>
      <c r="J16" s="128" t="s">
        <v>44</v>
      </c>
      <c r="K16" s="127">
        <v>0</v>
      </c>
      <c r="L16" s="128" t="s">
        <v>44</v>
      </c>
      <c r="M16" s="127">
        <v>0</v>
      </c>
      <c r="N16" s="128" t="s">
        <v>44</v>
      </c>
      <c r="O16" s="127">
        <v>0</v>
      </c>
      <c r="P16" s="128" t="s">
        <v>44</v>
      </c>
      <c r="Q16" s="127">
        <v>0</v>
      </c>
      <c r="R16" s="128" t="s">
        <v>44</v>
      </c>
      <c r="S16" s="127">
        <v>0</v>
      </c>
      <c r="T16" s="128" t="s">
        <v>44</v>
      </c>
      <c r="U16" s="127">
        <v>0</v>
      </c>
      <c r="V16" s="128" t="s">
        <v>44</v>
      </c>
      <c r="W16" s="127">
        <v>0</v>
      </c>
      <c r="X16" s="128" t="s">
        <v>44</v>
      </c>
      <c r="Y16" s="127">
        <v>0</v>
      </c>
      <c r="Z16" s="128" t="s">
        <v>44</v>
      </c>
      <c r="AA16" s="99">
        <f t="shared" si="1"/>
        <v>0</v>
      </c>
      <c r="AB16" s="128" t="s">
        <v>44</v>
      </c>
      <c r="AC16" s="127">
        <v>0</v>
      </c>
      <c r="AD16" s="128" t="s">
        <v>44</v>
      </c>
      <c r="AE16" s="130">
        <f t="shared" si="0"/>
        <v>0</v>
      </c>
      <c r="AF16" s="125"/>
    </row>
    <row r="17" spans="1:32">
      <c r="A17" s="98" t="s">
        <v>46</v>
      </c>
      <c r="B17" s="126" t="s">
        <v>44</v>
      </c>
      <c r="C17" s="127">
        <v>0</v>
      </c>
      <c r="D17" s="128" t="s">
        <v>44</v>
      </c>
      <c r="E17" s="127">
        <v>0</v>
      </c>
      <c r="F17" s="128" t="s">
        <v>44</v>
      </c>
      <c r="G17" s="127">
        <v>0</v>
      </c>
      <c r="H17" s="129" t="s">
        <v>44</v>
      </c>
      <c r="I17" s="127">
        <v>0</v>
      </c>
      <c r="J17" s="128" t="s">
        <v>44</v>
      </c>
      <c r="K17" s="127">
        <v>0</v>
      </c>
      <c r="L17" s="128" t="s">
        <v>44</v>
      </c>
      <c r="M17" s="127">
        <v>0</v>
      </c>
      <c r="N17" s="128" t="s">
        <v>44</v>
      </c>
      <c r="O17" s="127">
        <v>0</v>
      </c>
      <c r="P17" s="128" t="s">
        <v>44</v>
      </c>
      <c r="Q17" s="127">
        <v>0</v>
      </c>
      <c r="R17" s="128" t="s">
        <v>44</v>
      </c>
      <c r="S17" s="127">
        <v>0</v>
      </c>
      <c r="T17" s="128" t="s">
        <v>44</v>
      </c>
      <c r="U17" s="127">
        <v>0</v>
      </c>
      <c r="V17" s="128" t="s">
        <v>44</v>
      </c>
      <c r="W17" s="127">
        <v>0</v>
      </c>
      <c r="X17" s="128" t="s">
        <v>44</v>
      </c>
      <c r="Y17" s="127">
        <v>0</v>
      </c>
      <c r="Z17" s="128" t="s">
        <v>44</v>
      </c>
      <c r="AA17" s="99">
        <f t="shared" si="1"/>
        <v>0</v>
      </c>
      <c r="AB17" s="128" t="s">
        <v>44</v>
      </c>
      <c r="AC17" s="127">
        <v>0</v>
      </c>
      <c r="AD17" s="128" t="s">
        <v>44</v>
      </c>
      <c r="AE17" s="130">
        <f t="shared" si="0"/>
        <v>0</v>
      </c>
      <c r="AF17" s="125"/>
    </row>
    <row r="18" spans="1:32">
      <c r="A18" s="98" t="s">
        <v>1</v>
      </c>
      <c r="B18" s="131" t="s">
        <v>44</v>
      </c>
      <c r="C18" s="132">
        <v>0</v>
      </c>
      <c r="D18" s="133" t="s">
        <v>44</v>
      </c>
      <c r="E18" s="132">
        <v>0</v>
      </c>
      <c r="F18" s="133" t="s">
        <v>44</v>
      </c>
      <c r="G18" s="132">
        <v>0</v>
      </c>
      <c r="H18" s="134" t="s">
        <v>44</v>
      </c>
      <c r="I18" s="132">
        <v>0</v>
      </c>
      <c r="J18" s="133" t="s">
        <v>44</v>
      </c>
      <c r="K18" s="132">
        <v>0</v>
      </c>
      <c r="L18" s="133" t="s">
        <v>44</v>
      </c>
      <c r="M18" s="132">
        <v>0</v>
      </c>
      <c r="N18" s="133" t="s">
        <v>44</v>
      </c>
      <c r="O18" s="132">
        <v>0</v>
      </c>
      <c r="P18" s="133" t="s">
        <v>44</v>
      </c>
      <c r="Q18" s="132">
        <v>0</v>
      </c>
      <c r="R18" s="133" t="s">
        <v>44</v>
      </c>
      <c r="S18" s="132">
        <v>0</v>
      </c>
      <c r="T18" s="133" t="s">
        <v>44</v>
      </c>
      <c r="U18" s="132">
        <v>0</v>
      </c>
      <c r="V18" s="133" t="s">
        <v>44</v>
      </c>
      <c r="W18" s="132">
        <v>0</v>
      </c>
      <c r="X18" s="133" t="s">
        <v>44</v>
      </c>
      <c r="Y18" s="132">
        <v>0</v>
      </c>
      <c r="Z18" s="133" t="s">
        <v>44</v>
      </c>
      <c r="AA18" s="104">
        <f t="shared" si="1"/>
        <v>0</v>
      </c>
      <c r="AB18" s="133" t="s">
        <v>44</v>
      </c>
      <c r="AC18" s="132">
        <v>0</v>
      </c>
      <c r="AD18" s="133" t="s">
        <v>44</v>
      </c>
      <c r="AE18" s="135">
        <f t="shared" si="0"/>
        <v>0</v>
      </c>
      <c r="AF18" s="125"/>
    </row>
    <row r="19" spans="1:32">
      <c r="A19" s="106" t="s">
        <v>47</v>
      </c>
      <c r="B19" s="85" t="s">
        <v>44</v>
      </c>
      <c r="C19" s="23">
        <f>SUM(C11:C18)</f>
        <v>0</v>
      </c>
      <c r="D19" s="86" t="s">
        <v>44</v>
      </c>
      <c r="E19" s="23">
        <f>SUM(E11:E18)</f>
        <v>0</v>
      </c>
      <c r="F19" s="86" t="s">
        <v>44</v>
      </c>
      <c r="G19" s="23">
        <f>SUM(G11:G18)</f>
        <v>0</v>
      </c>
      <c r="H19" s="87" t="s">
        <v>44</v>
      </c>
      <c r="I19" s="23">
        <f>SUM(I11:I18)</f>
        <v>0</v>
      </c>
      <c r="J19" s="86" t="s">
        <v>44</v>
      </c>
      <c r="K19" s="23">
        <f>SUM(K11:K18)</f>
        <v>0</v>
      </c>
      <c r="L19" s="86" t="s">
        <v>44</v>
      </c>
      <c r="M19" s="23">
        <f>SUM(M11:M18)</f>
        <v>0</v>
      </c>
      <c r="N19" s="86" t="s">
        <v>44</v>
      </c>
      <c r="O19" s="23">
        <f>SUM(O11:O18)</f>
        <v>0</v>
      </c>
      <c r="P19" s="86" t="s">
        <v>44</v>
      </c>
      <c r="Q19" s="23">
        <f>SUM(Q11:Q18)</f>
        <v>0</v>
      </c>
      <c r="R19" s="86" t="s">
        <v>44</v>
      </c>
      <c r="S19" s="23">
        <f>SUM(S11:S18)</f>
        <v>0</v>
      </c>
      <c r="T19" s="86" t="s">
        <v>44</v>
      </c>
      <c r="U19" s="23">
        <f>SUM(U11:U18)</f>
        <v>0</v>
      </c>
      <c r="V19" s="86" t="s">
        <v>44</v>
      </c>
      <c r="W19" s="23">
        <f>SUM(W11:W18)</f>
        <v>0</v>
      </c>
      <c r="X19" s="86" t="s">
        <v>44</v>
      </c>
      <c r="Y19" s="23">
        <f>SUM(Y11:Y18)</f>
        <v>0</v>
      </c>
      <c r="Z19" s="86" t="s">
        <v>44</v>
      </c>
      <c r="AA19" s="23">
        <f>SUM(AA11:AA18)</f>
        <v>0</v>
      </c>
      <c r="AB19" s="86" t="s">
        <v>44</v>
      </c>
      <c r="AC19" s="23">
        <f>SUM(AC11:AC18)</f>
        <v>0</v>
      </c>
      <c r="AD19" s="86" t="s">
        <v>44</v>
      </c>
      <c r="AE19" s="107">
        <f>SUM(AE11:AE18)</f>
        <v>0</v>
      </c>
      <c r="AF19" s="125"/>
    </row>
    <row r="20" spans="1:32">
      <c r="A20" s="91"/>
      <c r="B20" s="126"/>
      <c r="C20" s="127"/>
      <c r="D20" s="128"/>
      <c r="E20" s="127"/>
      <c r="F20" s="128"/>
      <c r="G20" s="127"/>
      <c r="H20" s="129"/>
      <c r="I20" s="127"/>
      <c r="J20" s="128"/>
      <c r="K20" s="127"/>
      <c r="L20" s="128"/>
      <c r="M20" s="127"/>
      <c r="N20" s="128"/>
      <c r="O20" s="127"/>
      <c r="P20" s="128"/>
      <c r="Q20" s="127"/>
      <c r="R20" s="128"/>
      <c r="S20" s="127"/>
      <c r="T20" s="128"/>
      <c r="U20" s="127"/>
      <c r="V20" s="128"/>
      <c r="W20" s="127"/>
      <c r="X20" s="128"/>
      <c r="Y20" s="127"/>
      <c r="Z20" s="128"/>
      <c r="AA20" s="127"/>
      <c r="AB20" s="128"/>
      <c r="AC20" s="127"/>
      <c r="AD20" s="127"/>
      <c r="AE20" s="130"/>
      <c r="AF20" s="125"/>
    </row>
    <row r="21" spans="1:32">
      <c r="A21" s="97" t="s">
        <v>83</v>
      </c>
      <c r="B21" s="126"/>
      <c r="C21" s="127"/>
      <c r="D21" s="128"/>
      <c r="E21" s="127"/>
      <c r="F21" s="128"/>
      <c r="G21" s="127"/>
      <c r="H21" s="129"/>
      <c r="I21" s="127"/>
      <c r="J21" s="128"/>
      <c r="K21" s="127"/>
      <c r="L21" s="128"/>
      <c r="M21" s="127"/>
      <c r="N21" s="128"/>
      <c r="O21" s="127"/>
      <c r="P21" s="128"/>
      <c r="Q21" s="127"/>
      <c r="R21" s="128"/>
      <c r="S21" s="127"/>
      <c r="T21" s="128"/>
      <c r="U21" s="127"/>
      <c r="V21" s="128"/>
      <c r="W21" s="127"/>
      <c r="X21" s="128"/>
      <c r="Y21" s="127"/>
      <c r="Z21" s="128"/>
      <c r="AA21" s="127"/>
      <c r="AB21" s="128"/>
      <c r="AC21" s="127"/>
      <c r="AD21" s="127"/>
      <c r="AE21" s="130"/>
      <c r="AF21" s="125"/>
    </row>
    <row r="22" spans="1:32">
      <c r="A22" s="98" t="s">
        <v>48</v>
      </c>
      <c r="B22" s="126" t="s">
        <v>44</v>
      </c>
      <c r="C22" s="127">
        <v>0</v>
      </c>
      <c r="D22" s="128" t="s">
        <v>44</v>
      </c>
      <c r="E22" s="127">
        <v>0</v>
      </c>
      <c r="F22" s="128" t="s">
        <v>44</v>
      </c>
      <c r="G22" s="127">
        <v>0</v>
      </c>
      <c r="H22" s="129" t="s">
        <v>44</v>
      </c>
      <c r="I22" s="127">
        <v>0</v>
      </c>
      <c r="J22" s="128" t="s">
        <v>44</v>
      </c>
      <c r="K22" s="127">
        <v>0</v>
      </c>
      <c r="L22" s="128" t="s">
        <v>44</v>
      </c>
      <c r="M22" s="127">
        <v>0</v>
      </c>
      <c r="N22" s="128" t="s">
        <v>44</v>
      </c>
      <c r="O22" s="127">
        <v>0</v>
      </c>
      <c r="P22" s="128" t="s">
        <v>44</v>
      </c>
      <c r="Q22" s="127">
        <v>0</v>
      </c>
      <c r="R22" s="128" t="s">
        <v>44</v>
      </c>
      <c r="S22" s="127">
        <v>0</v>
      </c>
      <c r="T22" s="128" t="s">
        <v>44</v>
      </c>
      <c r="U22" s="127">
        <v>0</v>
      </c>
      <c r="V22" s="128" t="s">
        <v>44</v>
      </c>
      <c r="W22" s="127">
        <v>0</v>
      </c>
      <c r="X22" s="128" t="s">
        <v>44</v>
      </c>
      <c r="Y22" s="127">
        <v>0</v>
      </c>
      <c r="Z22" s="128" t="s">
        <v>44</v>
      </c>
      <c r="AA22" s="99">
        <f t="shared" ref="AA22:AA30" si="2">SUM(C22:Z22)</f>
        <v>0</v>
      </c>
      <c r="AB22" s="128" t="s">
        <v>44</v>
      </c>
      <c r="AC22" s="127">
        <v>0</v>
      </c>
      <c r="AD22" s="128" t="s">
        <v>44</v>
      </c>
      <c r="AE22" s="130">
        <f>AA22-AC22</f>
        <v>0</v>
      </c>
      <c r="AF22" s="125"/>
    </row>
    <row r="23" spans="1:32">
      <c r="A23" s="98" t="s">
        <v>3</v>
      </c>
      <c r="B23" s="126" t="s">
        <v>44</v>
      </c>
      <c r="C23" s="127">
        <v>0</v>
      </c>
      <c r="D23" s="128" t="s">
        <v>44</v>
      </c>
      <c r="E23" s="127">
        <v>0</v>
      </c>
      <c r="F23" s="128" t="s">
        <v>44</v>
      </c>
      <c r="G23" s="127">
        <v>0</v>
      </c>
      <c r="H23" s="129" t="s">
        <v>44</v>
      </c>
      <c r="I23" s="127">
        <v>0</v>
      </c>
      <c r="J23" s="128" t="s">
        <v>44</v>
      </c>
      <c r="K23" s="127">
        <v>0</v>
      </c>
      <c r="L23" s="128" t="s">
        <v>44</v>
      </c>
      <c r="M23" s="127">
        <v>0</v>
      </c>
      <c r="N23" s="128" t="s">
        <v>44</v>
      </c>
      <c r="O23" s="127">
        <v>0</v>
      </c>
      <c r="P23" s="128" t="s">
        <v>44</v>
      </c>
      <c r="Q23" s="127">
        <v>0</v>
      </c>
      <c r="R23" s="128" t="s">
        <v>44</v>
      </c>
      <c r="S23" s="127">
        <v>0</v>
      </c>
      <c r="T23" s="128" t="s">
        <v>44</v>
      </c>
      <c r="U23" s="127">
        <v>0</v>
      </c>
      <c r="V23" s="128" t="s">
        <v>44</v>
      </c>
      <c r="W23" s="127">
        <v>0</v>
      </c>
      <c r="X23" s="128" t="s">
        <v>44</v>
      </c>
      <c r="Y23" s="127">
        <v>0</v>
      </c>
      <c r="Z23" s="128" t="s">
        <v>44</v>
      </c>
      <c r="AA23" s="99">
        <f t="shared" si="2"/>
        <v>0</v>
      </c>
      <c r="AB23" s="128" t="s">
        <v>44</v>
      </c>
      <c r="AC23" s="127">
        <v>0</v>
      </c>
      <c r="AD23" s="128" t="s">
        <v>44</v>
      </c>
      <c r="AE23" s="130">
        <f>AA23-AC23</f>
        <v>0</v>
      </c>
      <c r="AF23" s="125"/>
    </row>
    <row r="24" spans="1:32">
      <c r="A24" s="98" t="s">
        <v>4</v>
      </c>
      <c r="B24" s="126" t="s">
        <v>44</v>
      </c>
      <c r="C24" s="127">
        <v>0</v>
      </c>
      <c r="D24" s="128" t="s">
        <v>44</v>
      </c>
      <c r="E24" s="127">
        <v>0</v>
      </c>
      <c r="F24" s="128" t="s">
        <v>44</v>
      </c>
      <c r="G24" s="127">
        <v>0</v>
      </c>
      <c r="H24" s="129" t="s">
        <v>44</v>
      </c>
      <c r="I24" s="127">
        <v>0</v>
      </c>
      <c r="J24" s="128" t="s">
        <v>44</v>
      </c>
      <c r="K24" s="127">
        <v>0</v>
      </c>
      <c r="L24" s="128" t="s">
        <v>44</v>
      </c>
      <c r="M24" s="127">
        <v>0</v>
      </c>
      <c r="N24" s="128" t="s">
        <v>44</v>
      </c>
      <c r="O24" s="127">
        <v>0</v>
      </c>
      <c r="P24" s="128" t="s">
        <v>44</v>
      </c>
      <c r="Q24" s="127">
        <v>0</v>
      </c>
      <c r="R24" s="128" t="s">
        <v>44</v>
      </c>
      <c r="S24" s="127">
        <v>0</v>
      </c>
      <c r="T24" s="128" t="s">
        <v>44</v>
      </c>
      <c r="U24" s="127">
        <v>0</v>
      </c>
      <c r="V24" s="128" t="s">
        <v>44</v>
      </c>
      <c r="W24" s="127">
        <v>0</v>
      </c>
      <c r="X24" s="128" t="s">
        <v>44</v>
      </c>
      <c r="Y24" s="127">
        <v>0</v>
      </c>
      <c r="Z24" s="128" t="s">
        <v>44</v>
      </c>
      <c r="AA24" s="99">
        <f t="shared" si="2"/>
        <v>0</v>
      </c>
      <c r="AB24" s="128" t="s">
        <v>44</v>
      </c>
      <c r="AC24" s="127">
        <v>0</v>
      </c>
      <c r="AD24" s="128" t="s">
        <v>44</v>
      </c>
      <c r="AE24" s="130">
        <f>AA24-AC24</f>
        <v>0</v>
      </c>
      <c r="AF24" s="125"/>
    </row>
    <row r="25" spans="1:32">
      <c r="A25" s="98" t="s">
        <v>49</v>
      </c>
      <c r="B25" s="131" t="s">
        <v>44</v>
      </c>
      <c r="C25" s="132">
        <v>0</v>
      </c>
      <c r="D25" s="133" t="s">
        <v>44</v>
      </c>
      <c r="E25" s="132">
        <v>0</v>
      </c>
      <c r="F25" s="133" t="s">
        <v>44</v>
      </c>
      <c r="G25" s="132">
        <v>0</v>
      </c>
      <c r="H25" s="134" t="s">
        <v>44</v>
      </c>
      <c r="I25" s="132">
        <v>0</v>
      </c>
      <c r="J25" s="133" t="s">
        <v>44</v>
      </c>
      <c r="K25" s="132">
        <v>0</v>
      </c>
      <c r="L25" s="133" t="s">
        <v>44</v>
      </c>
      <c r="M25" s="132">
        <v>0</v>
      </c>
      <c r="N25" s="133" t="s">
        <v>44</v>
      </c>
      <c r="O25" s="132">
        <v>0</v>
      </c>
      <c r="P25" s="133" t="s">
        <v>44</v>
      </c>
      <c r="Q25" s="132">
        <v>0</v>
      </c>
      <c r="R25" s="133" t="s">
        <v>44</v>
      </c>
      <c r="S25" s="132">
        <v>0</v>
      </c>
      <c r="T25" s="133" t="s">
        <v>44</v>
      </c>
      <c r="U25" s="132">
        <v>0</v>
      </c>
      <c r="V25" s="133" t="s">
        <v>44</v>
      </c>
      <c r="W25" s="132">
        <v>0</v>
      </c>
      <c r="X25" s="133" t="s">
        <v>44</v>
      </c>
      <c r="Y25" s="132">
        <v>0</v>
      </c>
      <c r="Z25" s="133" t="s">
        <v>44</v>
      </c>
      <c r="AA25" s="104">
        <f t="shared" si="2"/>
        <v>0</v>
      </c>
      <c r="AB25" s="133" t="s">
        <v>44</v>
      </c>
      <c r="AC25" s="132">
        <v>0</v>
      </c>
      <c r="AD25" s="133" t="s">
        <v>44</v>
      </c>
      <c r="AE25" s="135">
        <f>AA25-AC25</f>
        <v>0</v>
      </c>
      <c r="AF25" s="125"/>
    </row>
    <row r="26" spans="1:32">
      <c r="A26" s="106" t="s">
        <v>50</v>
      </c>
      <c r="B26" s="85" t="s">
        <v>44</v>
      </c>
      <c r="C26" s="23">
        <f>SUM(C22:C25)</f>
        <v>0</v>
      </c>
      <c r="D26" s="86" t="s">
        <v>44</v>
      </c>
      <c r="E26" s="23">
        <f>SUM(E22:E25)</f>
        <v>0</v>
      </c>
      <c r="F26" s="86" t="s">
        <v>44</v>
      </c>
      <c r="G26" s="23">
        <f>SUM(G22:G25)</f>
        <v>0</v>
      </c>
      <c r="H26" s="87" t="s">
        <v>44</v>
      </c>
      <c r="I26" s="23">
        <f>SUM(I22:I25)</f>
        <v>0</v>
      </c>
      <c r="J26" s="86" t="s">
        <v>44</v>
      </c>
      <c r="K26" s="23">
        <f>SUM(K22:K25)</f>
        <v>0</v>
      </c>
      <c r="L26" s="86" t="s">
        <v>44</v>
      </c>
      <c r="M26" s="23">
        <f>SUM(M22:M25)</f>
        <v>0</v>
      </c>
      <c r="N26" s="86" t="s">
        <v>44</v>
      </c>
      <c r="O26" s="23">
        <f>SUM(O22:O25)</f>
        <v>0</v>
      </c>
      <c r="P26" s="86" t="s">
        <v>44</v>
      </c>
      <c r="Q26" s="23">
        <f>SUM(Q22:Q25)</f>
        <v>0</v>
      </c>
      <c r="R26" s="86" t="s">
        <v>44</v>
      </c>
      <c r="S26" s="23">
        <f>SUM(S22:S25)</f>
        <v>0</v>
      </c>
      <c r="T26" s="86" t="s">
        <v>44</v>
      </c>
      <c r="U26" s="23">
        <f>SUM(U22:U25)</f>
        <v>0</v>
      </c>
      <c r="V26" s="86" t="s">
        <v>44</v>
      </c>
      <c r="W26" s="23">
        <f>SUM(W22:W25)</f>
        <v>0</v>
      </c>
      <c r="X26" s="86" t="s">
        <v>44</v>
      </c>
      <c r="Y26" s="23">
        <f>SUM(Y22:Y25)</f>
        <v>0</v>
      </c>
      <c r="Z26" s="86" t="s">
        <v>44</v>
      </c>
      <c r="AA26" s="108">
        <f t="shared" si="2"/>
        <v>0</v>
      </c>
      <c r="AB26" s="86" t="s">
        <v>44</v>
      </c>
      <c r="AC26" s="23">
        <f>SUM(AC22:AC25)</f>
        <v>0</v>
      </c>
      <c r="AD26" s="86" t="s">
        <v>44</v>
      </c>
      <c r="AE26" s="107">
        <f>AA26-AC26</f>
        <v>0</v>
      </c>
      <c r="AF26" s="125"/>
    </row>
    <row r="27" spans="1:32">
      <c r="A27" s="98"/>
      <c r="B27" s="126"/>
      <c r="C27" s="127"/>
      <c r="D27" s="128"/>
      <c r="E27" s="127"/>
      <c r="F27" s="128"/>
      <c r="G27" s="127"/>
      <c r="H27" s="129"/>
      <c r="I27" s="127"/>
      <c r="J27" s="128"/>
      <c r="K27" s="127"/>
      <c r="L27" s="128"/>
      <c r="M27" s="127"/>
      <c r="N27" s="128"/>
      <c r="O27" s="127"/>
      <c r="P27" s="128"/>
      <c r="Q27" s="127"/>
      <c r="R27" s="128"/>
      <c r="S27" s="127"/>
      <c r="T27" s="128"/>
      <c r="U27" s="127"/>
      <c r="V27" s="128"/>
      <c r="W27" s="127"/>
      <c r="X27" s="128"/>
      <c r="Y27" s="127"/>
      <c r="Z27" s="128"/>
      <c r="AA27" s="127"/>
      <c r="AB27" s="128"/>
      <c r="AC27" s="127"/>
      <c r="AD27" s="127"/>
      <c r="AE27" s="130"/>
      <c r="AF27" s="125"/>
    </row>
    <row r="28" spans="1:32">
      <c r="A28" s="98" t="s">
        <v>51</v>
      </c>
      <c r="B28" s="126" t="s">
        <v>44</v>
      </c>
      <c r="C28" s="127">
        <v>0</v>
      </c>
      <c r="D28" s="128" t="s">
        <v>44</v>
      </c>
      <c r="E28" s="127">
        <v>0</v>
      </c>
      <c r="F28" s="128" t="s">
        <v>44</v>
      </c>
      <c r="G28" s="127">
        <v>0</v>
      </c>
      <c r="H28" s="129" t="s">
        <v>44</v>
      </c>
      <c r="I28" s="127">
        <v>0</v>
      </c>
      <c r="J28" s="128" t="s">
        <v>44</v>
      </c>
      <c r="K28" s="127">
        <v>0</v>
      </c>
      <c r="L28" s="128" t="s">
        <v>44</v>
      </c>
      <c r="M28" s="127">
        <v>0</v>
      </c>
      <c r="N28" s="128" t="s">
        <v>44</v>
      </c>
      <c r="O28" s="127">
        <v>0</v>
      </c>
      <c r="P28" s="128" t="s">
        <v>44</v>
      </c>
      <c r="Q28" s="127">
        <v>0</v>
      </c>
      <c r="R28" s="128" t="s">
        <v>44</v>
      </c>
      <c r="S28" s="127">
        <v>0</v>
      </c>
      <c r="T28" s="128" t="s">
        <v>44</v>
      </c>
      <c r="U28" s="127">
        <v>0</v>
      </c>
      <c r="V28" s="128" t="s">
        <v>44</v>
      </c>
      <c r="W28" s="127">
        <v>0</v>
      </c>
      <c r="X28" s="128" t="s">
        <v>44</v>
      </c>
      <c r="Y28" s="127">
        <v>0</v>
      </c>
      <c r="Z28" s="128" t="s">
        <v>44</v>
      </c>
      <c r="AA28" s="99">
        <f t="shared" si="2"/>
        <v>0</v>
      </c>
      <c r="AB28" s="128" t="s">
        <v>44</v>
      </c>
      <c r="AC28" s="127">
        <v>0</v>
      </c>
      <c r="AD28" s="128" t="s">
        <v>44</v>
      </c>
      <c r="AE28" s="130">
        <f>AA28-AC28</f>
        <v>0</v>
      </c>
      <c r="AF28" s="125"/>
    </row>
    <row r="29" spans="1:32">
      <c r="A29" s="98" t="s">
        <v>52</v>
      </c>
      <c r="B29" s="126" t="s">
        <v>44</v>
      </c>
      <c r="C29" s="127">
        <v>0</v>
      </c>
      <c r="D29" s="128" t="s">
        <v>44</v>
      </c>
      <c r="E29" s="127">
        <v>0</v>
      </c>
      <c r="F29" s="128" t="s">
        <v>44</v>
      </c>
      <c r="G29" s="127">
        <v>0</v>
      </c>
      <c r="H29" s="129" t="s">
        <v>44</v>
      </c>
      <c r="I29" s="127">
        <v>0</v>
      </c>
      <c r="J29" s="128" t="s">
        <v>44</v>
      </c>
      <c r="K29" s="127">
        <v>0</v>
      </c>
      <c r="L29" s="128" t="s">
        <v>44</v>
      </c>
      <c r="M29" s="127">
        <v>0</v>
      </c>
      <c r="N29" s="128" t="s">
        <v>44</v>
      </c>
      <c r="O29" s="127">
        <v>0</v>
      </c>
      <c r="P29" s="128" t="s">
        <v>44</v>
      </c>
      <c r="Q29" s="127">
        <v>0</v>
      </c>
      <c r="R29" s="128" t="s">
        <v>44</v>
      </c>
      <c r="S29" s="127">
        <v>0</v>
      </c>
      <c r="T29" s="128" t="s">
        <v>44</v>
      </c>
      <c r="U29" s="127">
        <v>0</v>
      </c>
      <c r="V29" s="128" t="s">
        <v>44</v>
      </c>
      <c r="W29" s="127">
        <v>0</v>
      </c>
      <c r="X29" s="128" t="s">
        <v>44</v>
      </c>
      <c r="Y29" s="127">
        <v>0</v>
      </c>
      <c r="Z29" s="128" t="s">
        <v>44</v>
      </c>
      <c r="AA29" s="99">
        <f t="shared" si="2"/>
        <v>0</v>
      </c>
      <c r="AB29" s="128" t="s">
        <v>44</v>
      </c>
      <c r="AC29" s="127">
        <v>0</v>
      </c>
      <c r="AD29" s="128" t="s">
        <v>44</v>
      </c>
      <c r="AE29" s="130">
        <f>AA29-AC29</f>
        <v>0</v>
      </c>
      <c r="AF29" s="125"/>
    </row>
    <row r="30" spans="1:32" ht="26.4">
      <c r="A30" s="109" t="s">
        <v>53</v>
      </c>
      <c r="B30" s="131" t="s">
        <v>44</v>
      </c>
      <c r="C30" s="132">
        <v>0</v>
      </c>
      <c r="D30" s="133" t="s">
        <v>44</v>
      </c>
      <c r="E30" s="132">
        <v>0</v>
      </c>
      <c r="F30" s="133" t="s">
        <v>44</v>
      </c>
      <c r="G30" s="132">
        <v>0</v>
      </c>
      <c r="H30" s="134" t="s">
        <v>44</v>
      </c>
      <c r="I30" s="132">
        <v>0</v>
      </c>
      <c r="J30" s="133" t="s">
        <v>44</v>
      </c>
      <c r="K30" s="132">
        <v>0</v>
      </c>
      <c r="L30" s="133" t="s">
        <v>44</v>
      </c>
      <c r="M30" s="132">
        <v>0</v>
      </c>
      <c r="N30" s="133" t="s">
        <v>44</v>
      </c>
      <c r="O30" s="132">
        <v>0</v>
      </c>
      <c r="P30" s="133" t="s">
        <v>44</v>
      </c>
      <c r="Q30" s="132">
        <v>0</v>
      </c>
      <c r="R30" s="133" t="s">
        <v>44</v>
      </c>
      <c r="S30" s="132">
        <v>0</v>
      </c>
      <c r="T30" s="133" t="s">
        <v>44</v>
      </c>
      <c r="U30" s="132">
        <v>0</v>
      </c>
      <c r="V30" s="133" t="s">
        <v>44</v>
      </c>
      <c r="W30" s="132">
        <v>0</v>
      </c>
      <c r="X30" s="133" t="s">
        <v>44</v>
      </c>
      <c r="Y30" s="132">
        <v>0</v>
      </c>
      <c r="Z30" s="133" t="s">
        <v>44</v>
      </c>
      <c r="AA30" s="104">
        <f t="shared" si="2"/>
        <v>0</v>
      </c>
      <c r="AB30" s="133" t="s">
        <v>44</v>
      </c>
      <c r="AC30" s="132">
        <v>0</v>
      </c>
      <c r="AD30" s="133" t="s">
        <v>44</v>
      </c>
      <c r="AE30" s="135">
        <f>AA30-AC30</f>
        <v>0</v>
      </c>
      <c r="AF30" s="125"/>
    </row>
    <row r="31" spans="1:32">
      <c r="A31" s="106" t="s">
        <v>59</v>
      </c>
      <c r="B31" s="85" t="s">
        <v>44</v>
      </c>
      <c r="C31" s="23">
        <f>SUM(C26:C30)</f>
        <v>0</v>
      </c>
      <c r="D31" s="86" t="s">
        <v>44</v>
      </c>
      <c r="E31" s="23">
        <f>SUM(E26:E30)</f>
        <v>0</v>
      </c>
      <c r="F31" s="86" t="s">
        <v>44</v>
      </c>
      <c r="G31" s="23">
        <f>SUM(G26:G30)</f>
        <v>0</v>
      </c>
      <c r="H31" s="87" t="s">
        <v>44</v>
      </c>
      <c r="I31" s="23">
        <f>SUM(I26:I30)</f>
        <v>0</v>
      </c>
      <c r="J31" s="86" t="s">
        <v>44</v>
      </c>
      <c r="K31" s="23">
        <f>SUM(K26:K30)</f>
        <v>0</v>
      </c>
      <c r="L31" s="86" t="s">
        <v>44</v>
      </c>
      <c r="M31" s="23">
        <f>SUM(M26:M30)</f>
        <v>0</v>
      </c>
      <c r="N31" s="86" t="s">
        <v>44</v>
      </c>
      <c r="O31" s="23">
        <f>SUM(O26:O30)</f>
        <v>0</v>
      </c>
      <c r="P31" s="86" t="s">
        <v>44</v>
      </c>
      <c r="Q31" s="23">
        <f>SUM(Q26:Q30)</f>
        <v>0</v>
      </c>
      <c r="R31" s="86" t="s">
        <v>44</v>
      </c>
      <c r="S31" s="23">
        <f>SUM(S26:S30)</f>
        <v>0</v>
      </c>
      <c r="T31" s="86" t="s">
        <v>44</v>
      </c>
      <c r="U31" s="23">
        <f>SUM(U26:U30)</f>
        <v>0</v>
      </c>
      <c r="V31" s="86" t="s">
        <v>44</v>
      </c>
      <c r="W31" s="23">
        <f>SUM(W26:W30)</f>
        <v>0</v>
      </c>
      <c r="X31" s="86" t="s">
        <v>44</v>
      </c>
      <c r="Y31" s="23">
        <f>SUM(Y26:Y30)</f>
        <v>0</v>
      </c>
      <c r="Z31" s="86" t="s">
        <v>44</v>
      </c>
      <c r="AA31" s="23">
        <f>SUM(AA26:AA30)</f>
        <v>0</v>
      </c>
      <c r="AB31" s="86" t="s">
        <v>44</v>
      </c>
      <c r="AC31" s="23">
        <f>SUM(AC26:AC30)</f>
        <v>0</v>
      </c>
      <c r="AD31" s="86" t="s">
        <v>44</v>
      </c>
      <c r="AE31" s="107">
        <f>SUM(AE26:AE30)</f>
        <v>0</v>
      </c>
      <c r="AF31" s="125"/>
    </row>
    <row r="32" spans="1:32">
      <c r="A32" s="98"/>
      <c r="B32" s="126"/>
      <c r="C32" s="127"/>
      <c r="D32" s="128"/>
      <c r="E32" s="127"/>
      <c r="F32" s="128"/>
      <c r="G32" s="127"/>
      <c r="H32" s="129"/>
      <c r="I32" s="127"/>
      <c r="J32" s="128"/>
      <c r="K32" s="127"/>
      <c r="L32" s="128"/>
      <c r="M32" s="127"/>
      <c r="N32" s="128"/>
      <c r="O32" s="127"/>
      <c r="P32" s="128"/>
      <c r="Q32" s="127"/>
      <c r="R32" s="128"/>
      <c r="S32" s="127"/>
      <c r="T32" s="128"/>
      <c r="U32" s="127"/>
      <c r="V32" s="128"/>
      <c r="W32" s="127"/>
      <c r="X32" s="128"/>
      <c r="Y32" s="127"/>
      <c r="Z32" s="128"/>
      <c r="AA32" s="127"/>
      <c r="AB32" s="128"/>
      <c r="AC32" s="127"/>
      <c r="AD32" s="127"/>
      <c r="AE32" s="130"/>
      <c r="AF32" s="125"/>
    </row>
    <row r="33" spans="1:32">
      <c r="A33" s="106" t="s">
        <v>54</v>
      </c>
      <c r="B33" s="126" t="s">
        <v>44</v>
      </c>
      <c r="C33" s="132">
        <f>+C19-C31</f>
        <v>0</v>
      </c>
      <c r="D33" s="128" t="s">
        <v>44</v>
      </c>
      <c r="E33" s="132">
        <f>+E19-E31</f>
        <v>0</v>
      </c>
      <c r="F33" s="128" t="s">
        <v>44</v>
      </c>
      <c r="G33" s="132">
        <f>+G19-G31</f>
        <v>0</v>
      </c>
      <c r="H33" s="129" t="s">
        <v>44</v>
      </c>
      <c r="I33" s="132">
        <f>+I19-I31</f>
        <v>0</v>
      </c>
      <c r="J33" s="128" t="s">
        <v>44</v>
      </c>
      <c r="K33" s="132">
        <f>+K19-K31</f>
        <v>0</v>
      </c>
      <c r="L33" s="128" t="s">
        <v>44</v>
      </c>
      <c r="M33" s="132">
        <f>+M19-M31</f>
        <v>0</v>
      </c>
      <c r="N33" s="128" t="s">
        <v>44</v>
      </c>
      <c r="O33" s="132">
        <f>+O19-O31</f>
        <v>0</v>
      </c>
      <c r="P33" s="128" t="s">
        <v>44</v>
      </c>
      <c r="Q33" s="132">
        <f>+Q19-Q31</f>
        <v>0</v>
      </c>
      <c r="R33" s="128" t="s">
        <v>44</v>
      </c>
      <c r="S33" s="132">
        <f>+S19-S31</f>
        <v>0</v>
      </c>
      <c r="T33" s="128" t="s">
        <v>44</v>
      </c>
      <c r="U33" s="132">
        <f>+U19-U31</f>
        <v>0</v>
      </c>
      <c r="V33" s="128" t="s">
        <v>44</v>
      </c>
      <c r="W33" s="132">
        <f>+W19-W31</f>
        <v>0</v>
      </c>
      <c r="X33" s="128" t="s">
        <v>44</v>
      </c>
      <c r="Y33" s="132">
        <f>+Y19-Y31</f>
        <v>0</v>
      </c>
      <c r="Z33" s="128" t="s">
        <v>44</v>
      </c>
      <c r="AA33" s="104">
        <f t="shared" ref="AA33" si="3">SUM(C33:Z33)</f>
        <v>0</v>
      </c>
      <c r="AB33" s="128" t="s">
        <v>44</v>
      </c>
      <c r="AC33" s="110" t="s">
        <v>45</v>
      </c>
      <c r="AD33" s="128" t="s">
        <v>44</v>
      </c>
      <c r="AE33" s="111" t="s">
        <v>45</v>
      </c>
      <c r="AF33" s="125"/>
    </row>
    <row r="34" spans="1:32">
      <c r="A34" s="91"/>
      <c r="B34" s="126"/>
      <c r="C34" s="127"/>
      <c r="D34" s="128"/>
      <c r="E34" s="127"/>
      <c r="F34" s="128"/>
      <c r="G34" s="127"/>
      <c r="H34" s="129"/>
      <c r="I34" s="127"/>
      <c r="J34" s="128"/>
      <c r="K34" s="127"/>
      <c r="L34" s="128"/>
      <c r="M34" s="127"/>
      <c r="N34" s="128"/>
      <c r="O34" s="127"/>
      <c r="P34" s="128"/>
      <c r="Q34" s="127"/>
      <c r="R34" s="128"/>
      <c r="S34" s="127"/>
      <c r="T34" s="128"/>
      <c r="U34" s="127"/>
      <c r="V34" s="128"/>
      <c r="W34" s="127"/>
      <c r="X34" s="128"/>
      <c r="Y34" s="127"/>
      <c r="Z34" s="128"/>
      <c r="AA34" s="127"/>
      <c r="AB34" s="128"/>
      <c r="AC34" s="127"/>
      <c r="AD34" s="127"/>
      <c r="AE34" s="130"/>
      <c r="AF34" s="125"/>
    </row>
    <row r="35" spans="1:32" ht="13.8" thickBot="1">
      <c r="A35" s="84" t="s">
        <v>89</v>
      </c>
      <c r="B35" s="85" t="s">
        <v>44</v>
      </c>
      <c r="C35" s="112">
        <f>+C8+C33</f>
        <v>0</v>
      </c>
      <c r="D35" s="86" t="s">
        <v>44</v>
      </c>
      <c r="E35" s="112">
        <f>+E8+E33</f>
        <v>0</v>
      </c>
      <c r="F35" s="86" t="s">
        <v>44</v>
      </c>
      <c r="G35" s="112">
        <f>+G8+G33</f>
        <v>0</v>
      </c>
      <c r="H35" s="87" t="s">
        <v>44</v>
      </c>
      <c r="I35" s="112">
        <f>+I8+I33</f>
        <v>0</v>
      </c>
      <c r="J35" s="86" t="s">
        <v>44</v>
      </c>
      <c r="K35" s="112">
        <f>+K8+K33</f>
        <v>0</v>
      </c>
      <c r="L35" s="86" t="s">
        <v>44</v>
      </c>
      <c r="M35" s="112">
        <f>+M8+M33</f>
        <v>0</v>
      </c>
      <c r="N35" s="86" t="s">
        <v>44</v>
      </c>
      <c r="O35" s="112">
        <f>+O8+O33</f>
        <v>0</v>
      </c>
      <c r="P35" s="86" t="s">
        <v>44</v>
      </c>
      <c r="Q35" s="112">
        <f>+Q8+Q33</f>
        <v>0</v>
      </c>
      <c r="R35" s="86" t="s">
        <v>44</v>
      </c>
      <c r="S35" s="112">
        <f>+S8+S33</f>
        <v>0</v>
      </c>
      <c r="T35" s="86" t="s">
        <v>44</v>
      </c>
      <c r="U35" s="112">
        <f>+U8+U33</f>
        <v>0</v>
      </c>
      <c r="V35" s="86" t="s">
        <v>44</v>
      </c>
      <c r="W35" s="112">
        <f>+W8+W33</f>
        <v>0</v>
      </c>
      <c r="X35" s="86" t="s">
        <v>44</v>
      </c>
      <c r="Y35" s="112">
        <f>+Y8+Y33</f>
        <v>0</v>
      </c>
      <c r="Z35" s="86" t="s">
        <v>44</v>
      </c>
      <c r="AA35" s="112">
        <f>Y35</f>
        <v>0</v>
      </c>
      <c r="AB35" s="86" t="s">
        <v>44</v>
      </c>
      <c r="AC35" s="113">
        <f>AC8+AC19-AC31</f>
        <v>0</v>
      </c>
      <c r="AD35" s="86" t="s">
        <v>44</v>
      </c>
      <c r="AE35" s="139">
        <f>AA35-AC35</f>
        <v>0</v>
      </c>
      <c r="AF35" s="125"/>
    </row>
    <row r="36" spans="1:32" ht="13.8" thickTop="1">
      <c r="A36" s="84"/>
      <c r="B36" s="85"/>
      <c r="C36" s="23"/>
      <c r="D36" s="86"/>
      <c r="E36" s="23"/>
      <c r="F36" s="86"/>
      <c r="G36" s="23"/>
      <c r="H36" s="87"/>
      <c r="I36" s="23"/>
      <c r="J36" s="86"/>
      <c r="K36" s="23"/>
      <c r="L36" s="86"/>
      <c r="M36" s="23"/>
      <c r="N36" s="86"/>
      <c r="O36" s="23"/>
      <c r="P36" s="86"/>
      <c r="Q36" s="23"/>
      <c r="R36" s="86"/>
      <c r="S36" s="23"/>
      <c r="T36" s="86"/>
      <c r="U36" s="23"/>
      <c r="V36" s="86"/>
      <c r="W36" s="23"/>
      <c r="X36" s="86"/>
      <c r="Y36" s="23"/>
      <c r="Z36" s="86"/>
      <c r="AA36" s="23"/>
      <c r="AB36" s="86"/>
      <c r="AC36" s="86"/>
      <c r="AD36" s="86"/>
      <c r="AE36" s="89"/>
      <c r="AF36" s="125"/>
    </row>
    <row r="37" spans="1:32">
      <c r="A37" s="106" t="s">
        <v>90</v>
      </c>
      <c r="B37" s="85"/>
      <c r="C37" s="23"/>
      <c r="D37" s="86"/>
      <c r="E37" s="23"/>
      <c r="F37" s="86"/>
      <c r="G37" s="23"/>
      <c r="H37" s="87"/>
      <c r="I37" s="23"/>
      <c r="J37" s="86"/>
      <c r="K37" s="23"/>
      <c r="L37" s="86"/>
      <c r="M37" s="23"/>
      <c r="N37" s="86"/>
      <c r="O37" s="23"/>
      <c r="P37" s="86"/>
      <c r="Q37" s="23"/>
      <c r="R37" s="86"/>
      <c r="S37" s="23"/>
      <c r="T37" s="86"/>
      <c r="U37" s="23"/>
      <c r="V37" s="86"/>
      <c r="W37" s="23"/>
      <c r="X37" s="86"/>
      <c r="Y37" s="23"/>
      <c r="Z37" s="86"/>
      <c r="AA37" s="23"/>
      <c r="AB37" s="86"/>
      <c r="AC37" s="86"/>
      <c r="AD37" s="86"/>
      <c r="AE37" s="89"/>
      <c r="AF37" s="125"/>
    </row>
    <row r="38" spans="1:32">
      <c r="A38" s="98" t="s">
        <v>62</v>
      </c>
      <c r="B38" s="126" t="s">
        <v>44</v>
      </c>
      <c r="C38" s="127">
        <v>0</v>
      </c>
      <c r="D38" s="128" t="s">
        <v>44</v>
      </c>
      <c r="E38" s="127">
        <v>0</v>
      </c>
      <c r="F38" s="128" t="s">
        <v>44</v>
      </c>
      <c r="G38" s="127">
        <v>0</v>
      </c>
      <c r="H38" s="129" t="s">
        <v>44</v>
      </c>
      <c r="I38" s="127">
        <v>0</v>
      </c>
      <c r="J38" s="128" t="s">
        <v>44</v>
      </c>
      <c r="K38" s="127">
        <v>0</v>
      </c>
      <c r="L38" s="128" t="s">
        <v>44</v>
      </c>
      <c r="M38" s="127">
        <v>0</v>
      </c>
      <c r="N38" s="128" t="s">
        <v>44</v>
      </c>
      <c r="O38" s="127">
        <v>0</v>
      </c>
      <c r="P38" s="128" t="s">
        <v>44</v>
      </c>
      <c r="Q38" s="127">
        <v>0</v>
      </c>
      <c r="R38" s="128" t="s">
        <v>44</v>
      </c>
      <c r="S38" s="127">
        <v>0</v>
      </c>
      <c r="T38" s="128" t="s">
        <v>44</v>
      </c>
      <c r="U38" s="127">
        <v>0</v>
      </c>
      <c r="V38" s="128" t="s">
        <v>44</v>
      </c>
      <c r="W38" s="127">
        <v>0</v>
      </c>
      <c r="X38" s="128" t="s">
        <v>44</v>
      </c>
      <c r="Y38" s="127">
        <v>0</v>
      </c>
      <c r="Z38" s="128" t="s">
        <v>44</v>
      </c>
      <c r="AA38" s="99">
        <f t="shared" ref="AA38:AA40" si="4">SUM(C38:Z38)</f>
        <v>0</v>
      </c>
      <c r="AB38" s="128" t="s">
        <v>44</v>
      </c>
      <c r="AC38" s="127">
        <v>0</v>
      </c>
      <c r="AD38" s="128" t="s">
        <v>44</v>
      </c>
      <c r="AE38" s="130">
        <f>AA38-AC38</f>
        <v>0</v>
      </c>
      <c r="AF38" s="125"/>
    </row>
    <row r="39" spans="1:32">
      <c r="A39" s="98" t="s">
        <v>61</v>
      </c>
      <c r="B39" s="126" t="s">
        <v>44</v>
      </c>
      <c r="C39" s="127">
        <v>0</v>
      </c>
      <c r="D39" s="128" t="s">
        <v>44</v>
      </c>
      <c r="E39" s="127">
        <v>0</v>
      </c>
      <c r="F39" s="128" t="s">
        <v>44</v>
      </c>
      <c r="G39" s="127">
        <v>0</v>
      </c>
      <c r="H39" s="129" t="s">
        <v>44</v>
      </c>
      <c r="I39" s="127">
        <v>0</v>
      </c>
      <c r="J39" s="128" t="s">
        <v>44</v>
      </c>
      <c r="K39" s="127">
        <v>0</v>
      </c>
      <c r="L39" s="128" t="s">
        <v>44</v>
      </c>
      <c r="M39" s="127">
        <v>0</v>
      </c>
      <c r="N39" s="128" t="s">
        <v>44</v>
      </c>
      <c r="O39" s="127">
        <v>0</v>
      </c>
      <c r="P39" s="128" t="s">
        <v>44</v>
      </c>
      <c r="Q39" s="127">
        <v>0</v>
      </c>
      <c r="R39" s="128" t="s">
        <v>44</v>
      </c>
      <c r="S39" s="127">
        <v>0</v>
      </c>
      <c r="T39" s="128" t="s">
        <v>44</v>
      </c>
      <c r="U39" s="127">
        <v>0</v>
      </c>
      <c r="V39" s="128" t="s">
        <v>44</v>
      </c>
      <c r="W39" s="127">
        <v>0</v>
      </c>
      <c r="X39" s="128" t="s">
        <v>44</v>
      </c>
      <c r="Y39" s="127">
        <v>0</v>
      </c>
      <c r="Z39" s="128" t="s">
        <v>44</v>
      </c>
      <c r="AA39" s="99">
        <f t="shared" si="4"/>
        <v>0</v>
      </c>
      <c r="AB39" s="128"/>
      <c r="AC39" s="127">
        <v>0</v>
      </c>
      <c r="AD39" s="128" t="s">
        <v>44</v>
      </c>
      <c r="AE39" s="130">
        <f>AA39-AC39</f>
        <v>0</v>
      </c>
      <c r="AF39" s="125"/>
    </row>
    <row r="40" spans="1:32">
      <c r="A40" s="98" t="s">
        <v>60</v>
      </c>
      <c r="B40" s="131" t="s">
        <v>44</v>
      </c>
      <c r="C40" s="132">
        <v>0</v>
      </c>
      <c r="D40" s="133" t="s">
        <v>44</v>
      </c>
      <c r="E40" s="132">
        <v>0</v>
      </c>
      <c r="F40" s="133" t="s">
        <v>44</v>
      </c>
      <c r="G40" s="132">
        <v>0</v>
      </c>
      <c r="H40" s="134" t="s">
        <v>44</v>
      </c>
      <c r="I40" s="132">
        <v>0</v>
      </c>
      <c r="J40" s="133" t="s">
        <v>44</v>
      </c>
      <c r="K40" s="132">
        <v>0</v>
      </c>
      <c r="L40" s="133" t="s">
        <v>44</v>
      </c>
      <c r="M40" s="132">
        <v>0</v>
      </c>
      <c r="N40" s="133" t="s">
        <v>44</v>
      </c>
      <c r="O40" s="132">
        <v>0</v>
      </c>
      <c r="P40" s="133" t="s">
        <v>44</v>
      </c>
      <c r="Q40" s="132">
        <v>0</v>
      </c>
      <c r="R40" s="133" t="s">
        <v>44</v>
      </c>
      <c r="S40" s="132">
        <v>0</v>
      </c>
      <c r="T40" s="133" t="s">
        <v>44</v>
      </c>
      <c r="U40" s="132">
        <v>0</v>
      </c>
      <c r="V40" s="133" t="s">
        <v>44</v>
      </c>
      <c r="W40" s="132">
        <v>0</v>
      </c>
      <c r="X40" s="133" t="s">
        <v>44</v>
      </c>
      <c r="Y40" s="132">
        <v>0</v>
      </c>
      <c r="Z40" s="133" t="s">
        <v>44</v>
      </c>
      <c r="AA40" s="104">
        <f t="shared" si="4"/>
        <v>0</v>
      </c>
      <c r="AB40" s="133" t="s">
        <v>44</v>
      </c>
      <c r="AC40" s="132">
        <v>0</v>
      </c>
      <c r="AD40" s="133" t="s">
        <v>44</v>
      </c>
      <c r="AE40" s="135">
        <f>AA40-AC40</f>
        <v>0</v>
      </c>
      <c r="AF40" s="125"/>
    </row>
    <row r="41" spans="1:32">
      <c r="A41" s="98" t="s">
        <v>86</v>
      </c>
      <c r="B41" s="85" t="s">
        <v>44</v>
      </c>
      <c r="C41" s="23">
        <f>+C38+C39-C40</f>
        <v>0</v>
      </c>
      <c r="D41" s="86" t="s">
        <v>44</v>
      </c>
      <c r="E41" s="23">
        <f>+E38+E39-E40</f>
        <v>0</v>
      </c>
      <c r="F41" s="86" t="s">
        <v>44</v>
      </c>
      <c r="G41" s="23">
        <f>+G38+G39-G40</f>
        <v>0</v>
      </c>
      <c r="H41" s="87" t="s">
        <v>44</v>
      </c>
      <c r="I41" s="23">
        <f>+I38+I39-I40</f>
        <v>0</v>
      </c>
      <c r="J41" s="86" t="s">
        <v>44</v>
      </c>
      <c r="K41" s="23">
        <f>+K38+K39-K40</f>
        <v>0</v>
      </c>
      <c r="L41" s="86" t="s">
        <v>44</v>
      </c>
      <c r="M41" s="23">
        <f>+M38+M39-M40</f>
        <v>0</v>
      </c>
      <c r="N41" s="86" t="s">
        <v>44</v>
      </c>
      <c r="O41" s="23">
        <f>+O38+O39-O40</f>
        <v>0</v>
      </c>
      <c r="P41" s="86" t="s">
        <v>44</v>
      </c>
      <c r="Q41" s="23">
        <f>+Q38+Q39-Q40</f>
        <v>0</v>
      </c>
      <c r="R41" s="86" t="s">
        <v>44</v>
      </c>
      <c r="S41" s="23">
        <f>+S38+S39-S40</f>
        <v>0</v>
      </c>
      <c r="T41" s="86" t="s">
        <v>44</v>
      </c>
      <c r="U41" s="23">
        <f>+U38+U39-U40</f>
        <v>0</v>
      </c>
      <c r="V41" s="86" t="s">
        <v>44</v>
      </c>
      <c r="W41" s="23">
        <f>+W38+W39-W40</f>
        <v>0</v>
      </c>
      <c r="X41" s="86" t="s">
        <v>44</v>
      </c>
      <c r="Y41" s="23">
        <f>+Y38+Y39-Y40</f>
        <v>0</v>
      </c>
      <c r="Z41" s="86" t="s">
        <v>44</v>
      </c>
      <c r="AA41" s="23">
        <f>+AA38+AA39-AA40</f>
        <v>0</v>
      </c>
      <c r="AB41" s="86" t="s">
        <v>44</v>
      </c>
      <c r="AC41" s="23">
        <f>+AC38+AC39-AC40</f>
        <v>0</v>
      </c>
      <c r="AD41" s="86" t="s">
        <v>44</v>
      </c>
      <c r="AE41" s="107">
        <f>AA41-AC41</f>
        <v>0</v>
      </c>
      <c r="AF41" s="125"/>
    </row>
    <row r="42" spans="1:32">
      <c r="A42" s="91"/>
      <c r="B42" s="126"/>
      <c r="C42" s="127"/>
      <c r="D42" s="128"/>
      <c r="E42" s="127"/>
      <c r="F42" s="128"/>
      <c r="G42" s="127"/>
      <c r="H42" s="129"/>
      <c r="I42" s="127"/>
      <c r="J42" s="128"/>
      <c r="K42" s="127"/>
      <c r="L42" s="128"/>
      <c r="M42" s="127"/>
      <c r="N42" s="128"/>
      <c r="O42" s="127"/>
      <c r="P42" s="128"/>
      <c r="Q42" s="127"/>
      <c r="R42" s="128"/>
      <c r="S42" s="127"/>
      <c r="T42" s="128"/>
      <c r="U42" s="127"/>
      <c r="V42" s="128"/>
      <c r="W42" s="127"/>
      <c r="X42" s="128"/>
      <c r="Y42" s="127"/>
      <c r="Z42" s="128"/>
      <c r="AA42" s="127"/>
      <c r="AB42" s="128"/>
      <c r="AC42" s="127"/>
      <c r="AD42" s="127"/>
      <c r="AE42" s="130"/>
      <c r="AF42" s="125"/>
    </row>
    <row r="43" spans="1:32">
      <c r="A43" s="106" t="s">
        <v>85</v>
      </c>
      <c r="B43" s="126"/>
      <c r="C43" s="127"/>
      <c r="D43" s="128"/>
      <c r="E43" s="127"/>
      <c r="F43" s="128"/>
      <c r="G43" s="127"/>
      <c r="H43" s="129"/>
      <c r="I43" s="127"/>
      <c r="J43" s="128"/>
      <c r="K43" s="127"/>
      <c r="L43" s="128"/>
      <c r="M43" s="127"/>
      <c r="N43" s="128"/>
      <c r="O43" s="127"/>
      <c r="P43" s="128"/>
      <c r="Q43" s="127"/>
      <c r="R43" s="128"/>
      <c r="S43" s="127"/>
      <c r="T43" s="128"/>
      <c r="U43" s="127"/>
      <c r="V43" s="128"/>
      <c r="W43" s="127"/>
      <c r="X43" s="128"/>
      <c r="Y43" s="127"/>
      <c r="Z43" s="128"/>
      <c r="AA43" s="127"/>
      <c r="AB43" s="128"/>
      <c r="AC43" s="127"/>
      <c r="AD43" s="127"/>
      <c r="AE43" s="130"/>
      <c r="AF43" s="125"/>
    </row>
    <row r="44" spans="1:32">
      <c r="A44" s="84" t="s">
        <v>43</v>
      </c>
      <c r="B44" s="126" t="s">
        <v>44</v>
      </c>
      <c r="C44" s="127">
        <v>0</v>
      </c>
      <c r="D44" s="128" t="s">
        <v>44</v>
      </c>
      <c r="E44" s="127">
        <f>+C47</f>
        <v>0</v>
      </c>
      <c r="F44" s="128" t="s">
        <v>44</v>
      </c>
      <c r="G44" s="127">
        <f>+E47</f>
        <v>0</v>
      </c>
      <c r="H44" s="129" t="s">
        <v>44</v>
      </c>
      <c r="I44" s="127">
        <f>+G47</f>
        <v>0</v>
      </c>
      <c r="J44" s="128" t="s">
        <v>44</v>
      </c>
      <c r="K44" s="127">
        <f>+I47</f>
        <v>0</v>
      </c>
      <c r="L44" s="128" t="s">
        <v>44</v>
      </c>
      <c r="M44" s="127">
        <f>+K47</f>
        <v>0</v>
      </c>
      <c r="N44" s="128" t="s">
        <v>44</v>
      </c>
      <c r="O44" s="127">
        <f>+M47</f>
        <v>0</v>
      </c>
      <c r="P44" s="128" t="s">
        <v>44</v>
      </c>
      <c r="Q44" s="127">
        <v>0</v>
      </c>
      <c r="R44" s="128" t="s">
        <v>44</v>
      </c>
      <c r="S44" s="127">
        <f>+Q47</f>
        <v>0</v>
      </c>
      <c r="T44" s="128" t="s">
        <v>44</v>
      </c>
      <c r="U44" s="127">
        <f>+S47</f>
        <v>0</v>
      </c>
      <c r="V44" s="128" t="s">
        <v>44</v>
      </c>
      <c r="W44" s="127">
        <v>0</v>
      </c>
      <c r="X44" s="128" t="s">
        <v>44</v>
      </c>
      <c r="Y44" s="127">
        <v>0</v>
      </c>
      <c r="Z44" s="128" t="s">
        <v>44</v>
      </c>
      <c r="AA44" s="127">
        <f>+C44</f>
        <v>0</v>
      </c>
      <c r="AB44" s="128" t="s">
        <v>44</v>
      </c>
      <c r="AC44" s="127">
        <v>0</v>
      </c>
      <c r="AD44" s="128" t="s">
        <v>44</v>
      </c>
      <c r="AE44" s="130">
        <f>AA44-AC44</f>
        <v>0</v>
      </c>
      <c r="AF44" s="125"/>
    </row>
    <row r="45" spans="1:32">
      <c r="A45" s="98" t="s">
        <v>56</v>
      </c>
      <c r="B45" s="126" t="s">
        <v>44</v>
      </c>
      <c r="C45" s="127">
        <v>0</v>
      </c>
      <c r="D45" s="128" t="s">
        <v>44</v>
      </c>
      <c r="E45" s="127">
        <v>0</v>
      </c>
      <c r="F45" s="128" t="s">
        <v>44</v>
      </c>
      <c r="G45" s="127">
        <v>0</v>
      </c>
      <c r="H45" s="129" t="s">
        <v>44</v>
      </c>
      <c r="I45" s="127">
        <v>0</v>
      </c>
      <c r="J45" s="128" t="s">
        <v>44</v>
      </c>
      <c r="K45" s="127">
        <v>0</v>
      </c>
      <c r="L45" s="128" t="s">
        <v>44</v>
      </c>
      <c r="M45" s="127">
        <v>0</v>
      </c>
      <c r="N45" s="128" t="s">
        <v>44</v>
      </c>
      <c r="O45" s="127">
        <v>0</v>
      </c>
      <c r="P45" s="128" t="s">
        <v>44</v>
      </c>
      <c r="Q45" s="127">
        <v>0</v>
      </c>
      <c r="R45" s="128" t="s">
        <v>44</v>
      </c>
      <c r="S45" s="127">
        <v>0</v>
      </c>
      <c r="T45" s="128" t="s">
        <v>44</v>
      </c>
      <c r="U45" s="127">
        <v>0</v>
      </c>
      <c r="V45" s="128" t="s">
        <v>44</v>
      </c>
      <c r="W45" s="127">
        <v>0</v>
      </c>
      <c r="X45" s="128" t="s">
        <v>44</v>
      </c>
      <c r="Y45" s="127">
        <v>0</v>
      </c>
      <c r="Z45" s="128" t="s">
        <v>44</v>
      </c>
      <c r="AA45" s="99">
        <f t="shared" ref="AA45:AA46" si="5">SUM(C45:Z45)</f>
        <v>0</v>
      </c>
      <c r="AB45" s="128" t="s">
        <v>44</v>
      </c>
      <c r="AC45" s="127">
        <v>0</v>
      </c>
      <c r="AD45" s="128" t="s">
        <v>44</v>
      </c>
      <c r="AE45" s="130">
        <f>AA45-AC45</f>
        <v>0</v>
      </c>
      <c r="AF45" s="125"/>
    </row>
    <row r="46" spans="1:32">
      <c r="A46" s="98" t="s">
        <v>57</v>
      </c>
      <c r="B46" s="131" t="s">
        <v>44</v>
      </c>
      <c r="C46" s="132">
        <v>0</v>
      </c>
      <c r="D46" s="133" t="s">
        <v>44</v>
      </c>
      <c r="E46" s="132">
        <v>0</v>
      </c>
      <c r="F46" s="133" t="s">
        <v>44</v>
      </c>
      <c r="G46" s="132">
        <v>0</v>
      </c>
      <c r="H46" s="134" t="s">
        <v>44</v>
      </c>
      <c r="I46" s="132">
        <v>0</v>
      </c>
      <c r="J46" s="133" t="s">
        <v>44</v>
      </c>
      <c r="K46" s="132">
        <v>0</v>
      </c>
      <c r="L46" s="133" t="s">
        <v>44</v>
      </c>
      <c r="M46" s="132">
        <v>0</v>
      </c>
      <c r="N46" s="133" t="s">
        <v>44</v>
      </c>
      <c r="O46" s="132">
        <v>0</v>
      </c>
      <c r="P46" s="133" t="s">
        <v>44</v>
      </c>
      <c r="Q46" s="132">
        <v>0</v>
      </c>
      <c r="R46" s="133" t="s">
        <v>44</v>
      </c>
      <c r="S46" s="132">
        <v>0</v>
      </c>
      <c r="T46" s="133" t="s">
        <v>44</v>
      </c>
      <c r="U46" s="132">
        <v>0</v>
      </c>
      <c r="V46" s="133" t="s">
        <v>44</v>
      </c>
      <c r="W46" s="132">
        <v>0</v>
      </c>
      <c r="X46" s="133" t="s">
        <v>44</v>
      </c>
      <c r="Y46" s="132">
        <v>0</v>
      </c>
      <c r="Z46" s="133" t="s">
        <v>44</v>
      </c>
      <c r="AA46" s="104">
        <f t="shared" si="5"/>
        <v>0</v>
      </c>
      <c r="AB46" s="133" t="s">
        <v>44</v>
      </c>
      <c r="AC46" s="132">
        <v>0</v>
      </c>
      <c r="AD46" s="133" t="s">
        <v>44</v>
      </c>
      <c r="AE46" s="135">
        <f>AA46-AC46</f>
        <v>0</v>
      </c>
      <c r="AF46" s="125"/>
    </row>
    <row r="47" spans="1:32">
      <c r="A47" s="98" t="s">
        <v>58</v>
      </c>
      <c r="B47" s="85" t="s">
        <v>44</v>
      </c>
      <c r="C47" s="23">
        <f>+C44+C45-C46</f>
        <v>0</v>
      </c>
      <c r="D47" s="86" t="s">
        <v>44</v>
      </c>
      <c r="E47" s="23">
        <f>+E44+E45-E46</f>
        <v>0</v>
      </c>
      <c r="F47" s="86" t="s">
        <v>44</v>
      </c>
      <c r="G47" s="23">
        <f>+G44+G45-G46</f>
        <v>0</v>
      </c>
      <c r="H47" s="87" t="s">
        <v>44</v>
      </c>
      <c r="I47" s="23">
        <f>+I44+I45-I46</f>
        <v>0</v>
      </c>
      <c r="J47" s="86" t="s">
        <v>44</v>
      </c>
      <c r="K47" s="23">
        <f>+K44+K45-K46</f>
        <v>0</v>
      </c>
      <c r="L47" s="86" t="s">
        <v>44</v>
      </c>
      <c r="M47" s="23">
        <f>+M44+M45-M46</f>
        <v>0</v>
      </c>
      <c r="N47" s="86" t="s">
        <v>44</v>
      </c>
      <c r="O47" s="23">
        <f>+O44+O45-O46</f>
        <v>0</v>
      </c>
      <c r="P47" s="86" t="s">
        <v>44</v>
      </c>
      <c r="Q47" s="23">
        <f>+Q44+Q45-Q46</f>
        <v>0</v>
      </c>
      <c r="R47" s="86" t="s">
        <v>44</v>
      </c>
      <c r="S47" s="23">
        <f>+S44+S45-S46</f>
        <v>0</v>
      </c>
      <c r="T47" s="86" t="s">
        <v>44</v>
      </c>
      <c r="U47" s="23">
        <f>+U44+U45-U46</f>
        <v>0</v>
      </c>
      <c r="V47" s="86" t="s">
        <v>44</v>
      </c>
      <c r="W47" s="23">
        <f>+W44+W45-W46</f>
        <v>0</v>
      </c>
      <c r="X47" s="86" t="s">
        <v>44</v>
      </c>
      <c r="Y47" s="23">
        <f>+Y44+Y45-Y46</f>
        <v>0</v>
      </c>
      <c r="Z47" s="86" t="s">
        <v>44</v>
      </c>
      <c r="AA47" s="23">
        <f>+AA44+AA45-AA46</f>
        <v>0</v>
      </c>
      <c r="AB47" s="86" t="s">
        <v>44</v>
      </c>
      <c r="AC47" s="23">
        <f>+AC44+AC45-AC46</f>
        <v>0</v>
      </c>
      <c r="AD47" s="86" t="s">
        <v>44</v>
      </c>
      <c r="AE47" s="107">
        <f>AA47-AC47</f>
        <v>0</v>
      </c>
      <c r="AF47" s="125"/>
    </row>
    <row r="48" spans="1:32">
      <c r="A48" s="91"/>
      <c r="B48" s="126"/>
      <c r="C48" s="127"/>
      <c r="D48" s="128"/>
      <c r="E48" s="127"/>
      <c r="F48" s="128"/>
      <c r="G48" s="127"/>
      <c r="H48" s="129"/>
      <c r="I48" s="127"/>
      <c r="J48" s="128"/>
      <c r="K48" s="127"/>
      <c r="L48" s="128"/>
      <c r="M48" s="127"/>
      <c r="N48" s="128"/>
      <c r="O48" s="127"/>
      <c r="P48" s="128"/>
      <c r="Q48" s="127"/>
      <c r="R48" s="128"/>
      <c r="S48" s="127"/>
      <c r="T48" s="128"/>
      <c r="U48" s="127"/>
      <c r="V48" s="128"/>
      <c r="W48" s="127"/>
      <c r="X48" s="128"/>
      <c r="Y48" s="127"/>
      <c r="Z48" s="128"/>
      <c r="AA48" s="127"/>
      <c r="AB48" s="128"/>
      <c r="AC48" s="127"/>
      <c r="AD48" s="127"/>
      <c r="AE48" s="130"/>
      <c r="AF48" s="125"/>
    </row>
    <row r="49" spans="1:32" ht="15.6">
      <c r="A49" s="114" t="s">
        <v>87</v>
      </c>
      <c r="B49" s="115" t="s">
        <v>44</v>
      </c>
      <c r="C49" s="116">
        <f>+C35+C41+C47</f>
        <v>0</v>
      </c>
      <c r="D49" s="117" t="s">
        <v>44</v>
      </c>
      <c r="E49" s="116">
        <f>+E35+E41+E47</f>
        <v>0</v>
      </c>
      <c r="F49" s="117" t="s">
        <v>44</v>
      </c>
      <c r="G49" s="116">
        <f>+G35+G41+G47</f>
        <v>0</v>
      </c>
      <c r="H49" s="118" t="s">
        <v>44</v>
      </c>
      <c r="I49" s="116">
        <f>+I35+I41+I47</f>
        <v>0</v>
      </c>
      <c r="J49" s="117" t="s">
        <v>44</v>
      </c>
      <c r="K49" s="116">
        <f>+K35+K41+K47</f>
        <v>0</v>
      </c>
      <c r="L49" s="117" t="s">
        <v>44</v>
      </c>
      <c r="M49" s="116">
        <f>+M35+M41+M47</f>
        <v>0</v>
      </c>
      <c r="N49" s="117" t="s">
        <v>44</v>
      </c>
      <c r="O49" s="116">
        <f>+O35+O41+O47</f>
        <v>0</v>
      </c>
      <c r="P49" s="117" t="s">
        <v>44</v>
      </c>
      <c r="Q49" s="116">
        <f>+Q35+Q41+Q47</f>
        <v>0</v>
      </c>
      <c r="R49" s="117" t="s">
        <v>44</v>
      </c>
      <c r="S49" s="116">
        <f>+S35+S41+S47</f>
        <v>0</v>
      </c>
      <c r="T49" s="117" t="s">
        <v>44</v>
      </c>
      <c r="U49" s="116">
        <f>+U35+U41+U47</f>
        <v>0</v>
      </c>
      <c r="V49" s="117" t="s">
        <v>44</v>
      </c>
      <c r="W49" s="116">
        <f>+W35+W41+W47</f>
        <v>0</v>
      </c>
      <c r="X49" s="117" t="s">
        <v>44</v>
      </c>
      <c r="Y49" s="116">
        <f>+Y35+Y41+Y47</f>
        <v>0</v>
      </c>
      <c r="Z49" s="117" t="s">
        <v>44</v>
      </c>
      <c r="AA49" s="116">
        <f>+AA35+AA41+AA47</f>
        <v>0</v>
      </c>
      <c r="AB49" s="117" t="s">
        <v>44</v>
      </c>
      <c r="AC49" s="116">
        <f>+AC35+AC41+AC47</f>
        <v>0</v>
      </c>
      <c r="AD49" s="117" t="s">
        <v>44</v>
      </c>
      <c r="AE49" s="119">
        <f>+AE35+AE41+AE47</f>
        <v>0</v>
      </c>
      <c r="AF49" s="136"/>
    </row>
    <row r="50" spans="1:32" ht="14.4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</row>
  </sheetData>
  <mergeCells count="3">
    <mergeCell ref="C6:G6"/>
    <mergeCell ref="I6:Y6"/>
    <mergeCell ref="A4:AF4"/>
  </mergeCells>
  <printOptions horizontalCentered="1" gridLines="1"/>
  <pageMargins left="0.2" right="0.2" top="0.75" bottom="0.5" header="0.3" footer="0.3"/>
  <pageSetup scale="46" orientation="landscape" r:id="rId1"/>
  <headerFooter>
    <oddHeader>&amp;CCash Flow Projection
ISD with Fiscal Year Ending August 31</oddHeader>
    <oddFooter xml:space="preserve">&amp;C&amp;P&amp;R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Y50"/>
  <sheetViews>
    <sheetView zoomScale="50" zoomScaleNormal="50" workbookViewId="0">
      <pane xSplit="2" ySplit="7" topLeftCell="C8" activePane="bottomRight" state="frozen"/>
      <selection activeCell="B40" sqref="B40"/>
      <selection pane="topRight" activeCell="B40" sqref="B40"/>
      <selection pane="bottomLeft" activeCell="B40" sqref="B40"/>
      <selection pane="bottomRight" activeCell="M55" sqref="M55"/>
    </sheetView>
  </sheetViews>
  <sheetFormatPr defaultColWidth="9.109375" defaultRowHeight="13.2"/>
  <cols>
    <col min="1" max="1" width="38.6640625" style="56" customWidth="1"/>
    <col min="2" max="2" width="2.6640625" style="56" customWidth="1"/>
    <col min="3" max="3" width="12.6640625" style="56" customWidth="1"/>
    <col min="4" max="4" width="2.6640625" style="56" customWidth="1"/>
    <col min="5" max="5" width="12.6640625" style="56" customWidth="1"/>
    <col min="6" max="6" width="2.6640625" style="56" customWidth="1"/>
    <col min="7" max="7" width="12.6640625" style="56" customWidth="1"/>
    <col min="8" max="8" width="2.6640625" style="56" customWidth="1"/>
    <col min="9" max="9" width="12.6640625" style="56" customWidth="1"/>
    <col min="10" max="10" width="2.6640625" style="56" customWidth="1"/>
    <col min="11" max="11" width="12.6640625" style="56" customWidth="1"/>
    <col min="12" max="12" width="2.6640625" style="56" customWidth="1"/>
    <col min="13" max="13" width="12.6640625" style="56" customWidth="1"/>
    <col min="14" max="14" width="2.6640625" style="56" customWidth="1"/>
    <col min="15" max="15" width="12.6640625" style="56" customWidth="1"/>
    <col min="16" max="16" width="2.6640625" style="56" customWidth="1"/>
    <col min="17" max="17" width="12.6640625" style="56" customWidth="1"/>
    <col min="18" max="18" width="2.6640625" style="56" customWidth="1"/>
    <col min="19" max="19" width="12.6640625" style="56" customWidth="1"/>
    <col min="20" max="20" width="2.6640625" style="56" customWidth="1"/>
    <col min="21" max="21" width="12.6640625" style="56" customWidth="1"/>
    <col min="22" max="22" width="2.6640625" style="56" customWidth="1"/>
    <col min="23" max="23" width="12.6640625" style="56" customWidth="1"/>
    <col min="24" max="24" width="2.6640625" style="56" customWidth="1"/>
    <col min="25" max="25" width="12.6640625" style="56" customWidth="1"/>
    <col min="26" max="26" width="2.88671875" style="56" customWidth="1"/>
    <col min="27" max="27" width="13.5546875" style="56" customWidth="1"/>
    <col min="28" max="28" width="2.6640625" style="56" customWidth="1"/>
    <col min="29" max="29" width="13.6640625" style="56" customWidth="1"/>
    <col min="30" max="30" width="2.5546875" style="56" customWidth="1"/>
    <col min="31" max="31" width="13.44140625" style="56" customWidth="1"/>
    <col min="32" max="32" width="33.6640625" style="56" customWidth="1"/>
    <col min="33" max="16384" width="9.109375" style="56"/>
  </cols>
  <sheetData>
    <row r="1" spans="1:51" ht="13.8">
      <c r="A1" s="55" t="s">
        <v>102</v>
      </c>
    </row>
    <row r="2" spans="1:51" ht="18">
      <c r="A2" s="57" t="s">
        <v>66</v>
      </c>
      <c r="B2" s="58"/>
      <c r="C2" s="59"/>
      <c r="D2" s="58"/>
      <c r="E2" s="60"/>
      <c r="F2" s="58"/>
      <c r="G2" s="59"/>
      <c r="H2" s="58"/>
      <c r="I2" s="59"/>
      <c r="J2" s="58"/>
      <c r="K2" s="59"/>
      <c r="L2" s="58"/>
      <c r="M2" s="59"/>
      <c r="N2" s="58"/>
      <c r="O2" s="59"/>
      <c r="P2" s="58"/>
      <c r="Q2" s="59"/>
      <c r="R2" s="58"/>
      <c r="S2" s="59"/>
      <c r="T2" s="58"/>
      <c r="U2" s="59"/>
      <c r="V2" s="58"/>
      <c r="W2" s="59"/>
      <c r="X2" s="58"/>
      <c r="Y2" s="59"/>
      <c r="Z2" s="58"/>
      <c r="AA2" s="61"/>
      <c r="AB2" s="58"/>
      <c r="AC2" s="59"/>
      <c r="AD2" s="59"/>
      <c r="AE2" s="59"/>
      <c r="AF2" s="62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</row>
    <row r="3" spans="1:51" s="71" customFormat="1" ht="18">
      <c r="A3" s="64" t="s">
        <v>81</v>
      </c>
      <c r="B3" s="65"/>
      <c r="C3" s="65"/>
      <c r="D3" s="65"/>
      <c r="E3" s="65"/>
      <c r="F3" s="65"/>
      <c r="G3" s="65"/>
      <c r="H3" s="65"/>
      <c r="I3" s="66"/>
      <c r="J3" s="65"/>
      <c r="K3" s="66"/>
      <c r="L3" s="67"/>
      <c r="M3" s="66"/>
      <c r="N3" s="67"/>
      <c r="O3" s="66"/>
      <c r="P3" s="67"/>
      <c r="Q3" s="66"/>
      <c r="R3" s="67"/>
      <c r="S3" s="66"/>
      <c r="T3" s="67"/>
      <c r="U3" s="66"/>
      <c r="V3" s="67"/>
      <c r="W3" s="66"/>
      <c r="X3" s="67"/>
      <c r="Y3" s="66"/>
      <c r="Z3" s="67"/>
      <c r="AA3" s="68"/>
      <c r="AB3" s="67"/>
      <c r="AC3" s="66"/>
      <c r="AD3" s="66"/>
      <c r="AE3" s="66"/>
      <c r="AF3" s="69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</row>
    <row r="4" spans="1:51" ht="24" customHeight="1" thickBot="1">
      <c r="A4" s="145" t="s">
        <v>30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6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</row>
    <row r="5" spans="1:51" ht="34.5" customHeight="1" thickBot="1">
      <c r="A5" s="72" t="s">
        <v>88</v>
      </c>
      <c r="B5" s="73"/>
      <c r="C5" s="74"/>
      <c r="D5" s="73"/>
      <c r="E5" s="74"/>
      <c r="F5" s="73"/>
      <c r="G5" s="74"/>
      <c r="H5" s="73"/>
      <c r="I5" s="74"/>
      <c r="J5" s="73"/>
      <c r="K5" s="74"/>
      <c r="L5" s="73"/>
      <c r="M5" s="74"/>
      <c r="N5" s="73"/>
      <c r="O5" s="74"/>
      <c r="P5" s="73"/>
      <c r="Q5" s="74"/>
      <c r="R5" s="73"/>
      <c r="S5" s="74"/>
      <c r="T5" s="73"/>
      <c r="U5" s="74"/>
      <c r="V5" s="73"/>
      <c r="W5" s="74"/>
      <c r="X5" s="73"/>
      <c r="Y5" s="74"/>
      <c r="Z5" s="73"/>
      <c r="AA5" s="74"/>
      <c r="AB5" s="73"/>
      <c r="AC5" s="74"/>
      <c r="AD5" s="74"/>
      <c r="AE5" s="75"/>
      <c r="AF5" s="69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</row>
    <row r="6" spans="1:51">
      <c r="A6" s="76"/>
      <c r="B6" s="73"/>
      <c r="C6" s="142" t="s">
        <v>63</v>
      </c>
      <c r="D6" s="142"/>
      <c r="E6" s="142"/>
      <c r="F6" s="142"/>
      <c r="G6" s="142"/>
      <c r="H6" s="142"/>
      <c r="I6" s="142"/>
      <c r="J6" s="142"/>
      <c r="K6" s="143"/>
      <c r="L6" s="77"/>
      <c r="M6" s="142" t="s">
        <v>64</v>
      </c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78"/>
      <c r="AA6" s="78"/>
      <c r="AB6" s="78"/>
      <c r="AC6" s="78"/>
      <c r="AD6" s="74"/>
      <c r="AE6" s="74"/>
      <c r="AF6" s="69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</row>
    <row r="7" spans="1:51">
      <c r="A7" s="76"/>
      <c r="B7" s="73"/>
      <c r="C7" s="79" t="s">
        <v>41</v>
      </c>
      <c r="D7" s="80"/>
      <c r="E7" s="79" t="s">
        <v>42</v>
      </c>
      <c r="F7" s="80"/>
      <c r="G7" s="79" t="s">
        <v>31</v>
      </c>
      <c r="H7" s="80"/>
      <c r="I7" s="79" t="s">
        <v>32</v>
      </c>
      <c r="J7" s="80"/>
      <c r="K7" s="79" t="s">
        <v>33</v>
      </c>
      <c r="L7" s="81"/>
      <c r="M7" s="79" t="s">
        <v>34</v>
      </c>
      <c r="N7" s="80"/>
      <c r="O7" s="79" t="s">
        <v>35</v>
      </c>
      <c r="P7" s="80"/>
      <c r="Q7" s="79" t="s">
        <v>36</v>
      </c>
      <c r="R7" s="80"/>
      <c r="S7" s="79" t="s">
        <v>37</v>
      </c>
      <c r="T7" s="80"/>
      <c r="U7" s="79" t="s">
        <v>38</v>
      </c>
      <c r="V7" s="80"/>
      <c r="W7" s="79" t="s">
        <v>39</v>
      </c>
      <c r="X7" s="80"/>
      <c r="Y7" s="79" t="s">
        <v>40</v>
      </c>
      <c r="Z7" s="80"/>
      <c r="AA7" s="79" t="s">
        <v>91</v>
      </c>
      <c r="AB7" s="80"/>
      <c r="AC7" s="79" t="s">
        <v>92</v>
      </c>
      <c r="AD7" s="82"/>
      <c r="AE7" s="79" t="s">
        <v>24</v>
      </c>
      <c r="AF7" s="83" t="s">
        <v>94</v>
      </c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</row>
    <row r="8" spans="1:51">
      <c r="A8" s="84" t="s">
        <v>43</v>
      </c>
      <c r="B8" s="85" t="s">
        <v>44</v>
      </c>
      <c r="C8" s="23">
        <v>0</v>
      </c>
      <c r="D8" s="86" t="s">
        <v>44</v>
      </c>
      <c r="E8" s="23">
        <f>+C35</f>
        <v>0</v>
      </c>
      <c r="F8" s="86" t="s">
        <v>44</v>
      </c>
      <c r="G8" s="23">
        <f>+E35</f>
        <v>0</v>
      </c>
      <c r="H8" s="86" t="s">
        <v>44</v>
      </c>
      <c r="I8" s="23">
        <f>+G35</f>
        <v>0</v>
      </c>
      <c r="J8" s="86" t="s">
        <v>44</v>
      </c>
      <c r="K8" s="23">
        <f>+I35</f>
        <v>0</v>
      </c>
      <c r="L8" s="87" t="s">
        <v>44</v>
      </c>
      <c r="M8" s="23">
        <f>+K35</f>
        <v>0</v>
      </c>
      <c r="N8" s="86" t="s">
        <v>44</v>
      </c>
      <c r="O8" s="23">
        <f>+M35</f>
        <v>0</v>
      </c>
      <c r="P8" s="86" t="s">
        <v>44</v>
      </c>
      <c r="Q8" s="23">
        <f>+O35</f>
        <v>0</v>
      </c>
      <c r="R8" s="86" t="s">
        <v>44</v>
      </c>
      <c r="S8" s="23">
        <f>+Q35</f>
        <v>0</v>
      </c>
      <c r="T8" s="86" t="s">
        <v>44</v>
      </c>
      <c r="U8" s="23">
        <f>+S35</f>
        <v>0</v>
      </c>
      <c r="V8" s="86" t="s">
        <v>44</v>
      </c>
      <c r="W8" s="23">
        <f>+U35</f>
        <v>0</v>
      </c>
      <c r="X8" s="86" t="s">
        <v>44</v>
      </c>
      <c r="Y8" s="23">
        <f>+W35</f>
        <v>0</v>
      </c>
      <c r="Z8" s="86" t="s">
        <v>44</v>
      </c>
      <c r="AA8" s="88" t="s">
        <v>45</v>
      </c>
      <c r="AB8" s="86" t="s">
        <v>44</v>
      </c>
      <c r="AC8" s="86">
        <v>0</v>
      </c>
      <c r="AD8" s="23" t="s">
        <v>44</v>
      </c>
      <c r="AE8" s="138">
        <f>AC8-C8</f>
        <v>0</v>
      </c>
      <c r="AF8" s="90"/>
    </row>
    <row r="9" spans="1:51">
      <c r="A9" s="91"/>
      <c r="B9" s="92"/>
      <c r="C9" s="93"/>
      <c r="D9" s="94"/>
      <c r="E9" s="93"/>
      <c r="F9" s="94"/>
      <c r="G9" s="93"/>
      <c r="H9" s="94"/>
      <c r="I9" s="93"/>
      <c r="J9" s="94"/>
      <c r="K9" s="93"/>
      <c r="L9" s="95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3"/>
      <c r="AE9" s="96"/>
      <c r="AF9" s="90"/>
    </row>
    <row r="10" spans="1:51">
      <c r="A10" s="97" t="s">
        <v>82</v>
      </c>
      <c r="B10" s="85"/>
      <c r="C10" s="93"/>
      <c r="D10" s="86"/>
      <c r="E10" s="93"/>
      <c r="F10" s="86"/>
      <c r="G10" s="93"/>
      <c r="H10" s="86"/>
      <c r="I10" s="93"/>
      <c r="J10" s="86"/>
      <c r="K10" s="93"/>
      <c r="L10" s="87"/>
      <c r="M10" s="93"/>
      <c r="N10" s="86"/>
      <c r="O10" s="93"/>
      <c r="P10" s="86"/>
      <c r="Q10" s="93"/>
      <c r="R10" s="86"/>
      <c r="S10" s="93"/>
      <c r="T10" s="86"/>
      <c r="U10" s="93"/>
      <c r="V10" s="86"/>
      <c r="W10" s="93"/>
      <c r="X10" s="86"/>
      <c r="Y10" s="93"/>
      <c r="Z10" s="86"/>
      <c r="AA10" s="93"/>
      <c r="AB10" s="86"/>
      <c r="AC10" s="93"/>
      <c r="AD10" s="93"/>
      <c r="AE10" s="96"/>
      <c r="AF10" s="90"/>
    </row>
    <row r="11" spans="1:51">
      <c r="A11" s="98" t="s">
        <v>72</v>
      </c>
      <c r="B11" s="92" t="s">
        <v>44</v>
      </c>
      <c r="C11" s="93">
        <v>0</v>
      </c>
      <c r="D11" s="94" t="s">
        <v>44</v>
      </c>
      <c r="E11" s="93">
        <v>0</v>
      </c>
      <c r="F11" s="94" t="s">
        <v>44</v>
      </c>
      <c r="G11" s="93">
        <v>0</v>
      </c>
      <c r="H11" s="94" t="s">
        <v>44</v>
      </c>
      <c r="I11" s="93">
        <v>0</v>
      </c>
      <c r="J11" s="94" t="s">
        <v>44</v>
      </c>
      <c r="K11" s="93">
        <v>0</v>
      </c>
      <c r="L11" s="95" t="s">
        <v>44</v>
      </c>
      <c r="M11" s="93">
        <v>0</v>
      </c>
      <c r="N11" s="94" t="s">
        <v>44</v>
      </c>
      <c r="O11" s="93">
        <v>0</v>
      </c>
      <c r="P11" s="94" t="s">
        <v>44</v>
      </c>
      <c r="Q11" s="93">
        <v>0</v>
      </c>
      <c r="R11" s="94" t="s">
        <v>44</v>
      </c>
      <c r="S11" s="93">
        <v>0</v>
      </c>
      <c r="T11" s="94" t="s">
        <v>44</v>
      </c>
      <c r="U11" s="93">
        <v>0</v>
      </c>
      <c r="V11" s="94" t="s">
        <v>44</v>
      </c>
      <c r="W11" s="93">
        <v>0</v>
      </c>
      <c r="X11" s="94" t="s">
        <v>44</v>
      </c>
      <c r="Y11" s="93">
        <v>0</v>
      </c>
      <c r="Z11" s="94" t="s">
        <v>44</v>
      </c>
      <c r="AA11" s="99">
        <f>SUM(C11:Z11)</f>
        <v>0</v>
      </c>
      <c r="AB11" s="94" t="s">
        <v>44</v>
      </c>
      <c r="AC11" s="93">
        <v>0</v>
      </c>
      <c r="AD11" s="94" t="s">
        <v>44</v>
      </c>
      <c r="AE11" s="96">
        <f t="shared" ref="AE11:AE18" si="0">AA11-AC11</f>
        <v>0</v>
      </c>
      <c r="AF11" s="90"/>
    </row>
    <row r="12" spans="1:51">
      <c r="A12" s="98" t="s">
        <v>73</v>
      </c>
      <c r="B12" s="92" t="s">
        <v>44</v>
      </c>
      <c r="C12" s="93">
        <v>0</v>
      </c>
      <c r="D12" s="94" t="s">
        <v>44</v>
      </c>
      <c r="E12" s="93">
        <v>0</v>
      </c>
      <c r="F12" s="94" t="s">
        <v>44</v>
      </c>
      <c r="G12" s="93">
        <v>0</v>
      </c>
      <c r="H12" s="94" t="s">
        <v>44</v>
      </c>
      <c r="I12" s="93">
        <v>0</v>
      </c>
      <c r="J12" s="94" t="s">
        <v>44</v>
      </c>
      <c r="K12" s="93">
        <v>0</v>
      </c>
      <c r="L12" s="95" t="s">
        <v>44</v>
      </c>
      <c r="M12" s="93">
        <v>0</v>
      </c>
      <c r="N12" s="94" t="s">
        <v>44</v>
      </c>
      <c r="O12" s="93">
        <v>0</v>
      </c>
      <c r="P12" s="94" t="s">
        <v>44</v>
      </c>
      <c r="Q12" s="93">
        <v>0</v>
      </c>
      <c r="R12" s="94" t="s">
        <v>44</v>
      </c>
      <c r="S12" s="93">
        <v>0</v>
      </c>
      <c r="T12" s="94" t="s">
        <v>44</v>
      </c>
      <c r="U12" s="93">
        <v>0</v>
      </c>
      <c r="V12" s="94" t="s">
        <v>44</v>
      </c>
      <c r="W12" s="93">
        <v>0</v>
      </c>
      <c r="X12" s="94" t="s">
        <v>44</v>
      </c>
      <c r="Y12" s="93">
        <v>0</v>
      </c>
      <c r="Z12" s="94" t="s">
        <v>44</v>
      </c>
      <c r="AA12" s="99">
        <f t="shared" ref="AA12:AA18" si="1">SUM(C12:Z12)</f>
        <v>0</v>
      </c>
      <c r="AB12" s="94" t="s">
        <v>44</v>
      </c>
      <c r="AC12" s="93">
        <v>0</v>
      </c>
      <c r="AD12" s="94" t="s">
        <v>44</v>
      </c>
      <c r="AE12" s="96">
        <f t="shared" si="0"/>
        <v>0</v>
      </c>
      <c r="AF12" s="90"/>
    </row>
    <row r="13" spans="1:51">
      <c r="A13" s="98" t="s">
        <v>71</v>
      </c>
      <c r="B13" s="92" t="s">
        <v>44</v>
      </c>
      <c r="C13" s="93">
        <v>0</v>
      </c>
      <c r="D13" s="94" t="s">
        <v>44</v>
      </c>
      <c r="E13" s="93">
        <v>0</v>
      </c>
      <c r="F13" s="94" t="s">
        <v>44</v>
      </c>
      <c r="G13" s="93">
        <v>0</v>
      </c>
      <c r="H13" s="94" t="s">
        <v>44</v>
      </c>
      <c r="I13" s="93">
        <v>0</v>
      </c>
      <c r="J13" s="94" t="s">
        <v>44</v>
      </c>
      <c r="K13" s="93">
        <v>0</v>
      </c>
      <c r="L13" s="95" t="s">
        <v>44</v>
      </c>
      <c r="M13" s="93">
        <v>0</v>
      </c>
      <c r="N13" s="94" t="s">
        <v>44</v>
      </c>
      <c r="O13" s="93">
        <v>0</v>
      </c>
      <c r="P13" s="94" t="s">
        <v>44</v>
      </c>
      <c r="Q13" s="93">
        <v>0</v>
      </c>
      <c r="R13" s="94" t="s">
        <v>44</v>
      </c>
      <c r="S13" s="93">
        <v>0</v>
      </c>
      <c r="T13" s="94" t="s">
        <v>44</v>
      </c>
      <c r="U13" s="93">
        <v>0</v>
      </c>
      <c r="V13" s="94" t="s">
        <v>44</v>
      </c>
      <c r="W13" s="93">
        <v>0</v>
      </c>
      <c r="X13" s="94" t="s">
        <v>44</v>
      </c>
      <c r="Y13" s="93">
        <v>0</v>
      </c>
      <c r="Z13" s="94" t="s">
        <v>44</v>
      </c>
      <c r="AA13" s="99">
        <f t="shared" si="1"/>
        <v>0</v>
      </c>
      <c r="AB13" s="94" t="s">
        <v>44</v>
      </c>
      <c r="AC13" s="93">
        <v>0</v>
      </c>
      <c r="AD13" s="94" t="s">
        <v>44</v>
      </c>
      <c r="AE13" s="96">
        <f t="shared" si="0"/>
        <v>0</v>
      </c>
      <c r="AF13" s="90"/>
    </row>
    <row r="14" spans="1:51">
      <c r="A14" s="98" t="s">
        <v>0</v>
      </c>
      <c r="B14" s="92" t="s">
        <v>44</v>
      </c>
      <c r="C14" s="93">
        <v>0</v>
      </c>
      <c r="D14" s="94" t="s">
        <v>44</v>
      </c>
      <c r="E14" s="93">
        <v>0</v>
      </c>
      <c r="F14" s="94" t="s">
        <v>44</v>
      </c>
      <c r="G14" s="93">
        <v>0</v>
      </c>
      <c r="H14" s="94" t="s">
        <v>44</v>
      </c>
      <c r="I14" s="93">
        <v>0</v>
      </c>
      <c r="J14" s="94" t="s">
        <v>44</v>
      </c>
      <c r="K14" s="93">
        <v>0</v>
      </c>
      <c r="L14" s="95" t="s">
        <v>44</v>
      </c>
      <c r="M14" s="93">
        <v>0</v>
      </c>
      <c r="N14" s="94" t="s">
        <v>44</v>
      </c>
      <c r="O14" s="93">
        <v>0</v>
      </c>
      <c r="P14" s="94" t="s">
        <v>44</v>
      </c>
      <c r="Q14" s="93">
        <v>0</v>
      </c>
      <c r="R14" s="94" t="s">
        <v>44</v>
      </c>
      <c r="S14" s="93">
        <v>0</v>
      </c>
      <c r="T14" s="94" t="s">
        <v>44</v>
      </c>
      <c r="U14" s="93">
        <v>0</v>
      </c>
      <c r="V14" s="94" t="s">
        <v>44</v>
      </c>
      <c r="W14" s="93">
        <v>0</v>
      </c>
      <c r="X14" s="94" t="s">
        <v>44</v>
      </c>
      <c r="Y14" s="93">
        <v>0</v>
      </c>
      <c r="Z14" s="94" t="s">
        <v>44</v>
      </c>
      <c r="AA14" s="99">
        <f t="shared" si="1"/>
        <v>0</v>
      </c>
      <c r="AB14" s="94" t="s">
        <v>44</v>
      </c>
      <c r="AC14" s="93">
        <v>0</v>
      </c>
      <c r="AD14" s="94" t="s">
        <v>44</v>
      </c>
      <c r="AE14" s="96">
        <f t="shared" si="0"/>
        <v>0</v>
      </c>
      <c r="AF14" s="90"/>
    </row>
    <row r="15" spans="1:51">
      <c r="A15" s="98" t="s">
        <v>75</v>
      </c>
      <c r="B15" s="92" t="s">
        <v>44</v>
      </c>
      <c r="C15" s="93">
        <v>0</v>
      </c>
      <c r="D15" s="94" t="s">
        <v>44</v>
      </c>
      <c r="E15" s="93">
        <v>0</v>
      </c>
      <c r="F15" s="94" t="s">
        <v>44</v>
      </c>
      <c r="G15" s="93">
        <v>0</v>
      </c>
      <c r="H15" s="94" t="s">
        <v>44</v>
      </c>
      <c r="I15" s="93">
        <v>0</v>
      </c>
      <c r="J15" s="94" t="s">
        <v>44</v>
      </c>
      <c r="K15" s="93">
        <v>0</v>
      </c>
      <c r="L15" s="95" t="s">
        <v>44</v>
      </c>
      <c r="M15" s="93">
        <v>0</v>
      </c>
      <c r="N15" s="94" t="s">
        <v>44</v>
      </c>
      <c r="O15" s="93">
        <v>0</v>
      </c>
      <c r="P15" s="94" t="s">
        <v>44</v>
      </c>
      <c r="Q15" s="93">
        <v>0</v>
      </c>
      <c r="R15" s="94" t="s">
        <v>44</v>
      </c>
      <c r="S15" s="93">
        <v>0</v>
      </c>
      <c r="T15" s="94" t="s">
        <v>44</v>
      </c>
      <c r="U15" s="93">
        <v>0</v>
      </c>
      <c r="V15" s="94" t="s">
        <v>44</v>
      </c>
      <c r="W15" s="93">
        <v>0</v>
      </c>
      <c r="X15" s="94" t="s">
        <v>44</v>
      </c>
      <c r="Y15" s="93">
        <v>0</v>
      </c>
      <c r="Z15" s="94" t="s">
        <v>44</v>
      </c>
      <c r="AA15" s="99">
        <f t="shared" si="1"/>
        <v>0</v>
      </c>
      <c r="AB15" s="94" t="s">
        <v>44</v>
      </c>
      <c r="AC15" s="93">
        <v>0</v>
      </c>
      <c r="AD15" s="94" t="s">
        <v>44</v>
      </c>
      <c r="AE15" s="96">
        <f t="shared" si="0"/>
        <v>0</v>
      </c>
      <c r="AF15" s="90"/>
    </row>
    <row r="16" spans="1:51">
      <c r="A16" s="98" t="s">
        <v>84</v>
      </c>
      <c r="B16" s="92" t="s">
        <v>44</v>
      </c>
      <c r="C16" s="93">
        <v>0</v>
      </c>
      <c r="D16" s="94" t="s">
        <v>44</v>
      </c>
      <c r="E16" s="93">
        <v>0</v>
      </c>
      <c r="F16" s="94" t="s">
        <v>44</v>
      </c>
      <c r="G16" s="93">
        <v>0</v>
      </c>
      <c r="H16" s="94" t="s">
        <v>44</v>
      </c>
      <c r="I16" s="93">
        <v>0</v>
      </c>
      <c r="J16" s="94" t="s">
        <v>44</v>
      </c>
      <c r="K16" s="93">
        <v>0</v>
      </c>
      <c r="L16" s="95" t="s">
        <v>44</v>
      </c>
      <c r="M16" s="93">
        <v>0</v>
      </c>
      <c r="N16" s="94" t="s">
        <v>44</v>
      </c>
      <c r="O16" s="93">
        <v>0</v>
      </c>
      <c r="P16" s="94" t="s">
        <v>44</v>
      </c>
      <c r="Q16" s="93">
        <v>0</v>
      </c>
      <c r="R16" s="94" t="s">
        <v>44</v>
      </c>
      <c r="S16" s="93">
        <v>0</v>
      </c>
      <c r="T16" s="94" t="s">
        <v>44</v>
      </c>
      <c r="U16" s="93">
        <v>0</v>
      </c>
      <c r="V16" s="94" t="s">
        <v>44</v>
      </c>
      <c r="W16" s="93">
        <v>0</v>
      </c>
      <c r="X16" s="94" t="s">
        <v>44</v>
      </c>
      <c r="Y16" s="93">
        <v>0</v>
      </c>
      <c r="Z16" s="94" t="s">
        <v>44</v>
      </c>
      <c r="AA16" s="99">
        <f t="shared" si="1"/>
        <v>0</v>
      </c>
      <c r="AB16" s="94" t="s">
        <v>44</v>
      </c>
      <c r="AC16" s="93">
        <v>0</v>
      </c>
      <c r="AD16" s="94" t="s">
        <v>44</v>
      </c>
      <c r="AE16" s="96">
        <f t="shared" si="0"/>
        <v>0</v>
      </c>
      <c r="AF16" s="90"/>
    </row>
    <row r="17" spans="1:32">
      <c r="A17" s="98" t="s">
        <v>46</v>
      </c>
      <c r="B17" s="92" t="s">
        <v>44</v>
      </c>
      <c r="C17" s="93">
        <v>0</v>
      </c>
      <c r="D17" s="94" t="s">
        <v>44</v>
      </c>
      <c r="E17" s="93">
        <v>0</v>
      </c>
      <c r="F17" s="94" t="s">
        <v>44</v>
      </c>
      <c r="G17" s="93">
        <v>0</v>
      </c>
      <c r="H17" s="94" t="s">
        <v>44</v>
      </c>
      <c r="I17" s="93">
        <v>0</v>
      </c>
      <c r="J17" s="94" t="s">
        <v>44</v>
      </c>
      <c r="K17" s="93">
        <v>0</v>
      </c>
      <c r="L17" s="95" t="s">
        <v>44</v>
      </c>
      <c r="M17" s="93">
        <v>0</v>
      </c>
      <c r="N17" s="94" t="s">
        <v>44</v>
      </c>
      <c r="O17" s="93">
        <v>0</v>
      </c>
      <c r="P17" s="94" t="s">
        <v>44</v>
      </c>
      <c r="Q17" s="93">
        <v>0</v>
      </c>
      <c r="R17" s="94" t="s">
        <v>44</v>
      </c>
      <c r="S17" s="93">
        <v>0</v>
      </c>
      <c r="T17" s="94" t="s">
        <v>44</v>
      </c>
      <c r="U17" s="93">
        <v>0</v>
      </c>
      <c r="V17" s="94" t="s">
        <v>44</v>
      </c>
      <c r="W17" s="93">
        <v>0</v>
      </c>
      <c r="X17" s="94" t="s">
        <v>44</v>
      </c>
      <c r="Y17" s="93">
        <v>0</v>
      </c>
      <c r="Z17" s="94" t="s">
        <v>44</v>
      </c>
      <c r="AA17" s="99">
        <f t="shared" si="1"/>
        <v>0</v>
      </c>
      <c r="AB17" s="94" t="s">
        <v>44</v>
      </c>
      <c r="AC17" s="93">
        <v>0</v>
      </c>
      <c r="AD17" s="94" t="s">
        <v>44</v>
      </c>
      <c r="AE17" s="96">
        <f t="shared" si="0"/>
        <v>0</v>
      </c>
      <c r="AF17" s="90"/>
    </row>
    <row r="18" spans="1:32">
      <c r="A18" s="98" t="s">
        <v>1</v>
      </c>
      <c r="B18" s="100" t="s">
        <v>44</v>
      </c>
      <c r="C18" s="101">
        <v>0</v>
      </c>
      <c r="D18" s="102" t="s">
        <v>44</v>
      </c>
      <c r="E18" s="101">
        <v>0</v>
      </c>
      <c r="F18" s="102" t="s">
        <v>44</v>
      </c>
      <c r="G18" s="101">
        <v>0</v>
      </c>
      <c r="H18" s="102" t="s">
        <v>44</v>
      </c>
      <c r="I18" s="101">
        <v>0</v>
      </c>
      <c r="J18" s="102" t="s">
        <v>44</v>
      </c>
      <c r="K18" s="101">
        <v>0</v>
      </c>
      <c r="L18" s="103" t="s">
        <v>44</v>
      </c>
      <c r="M18" s="101">
        <v>0</v>
      </c>
      <c r="N18" s="102" t="s">
        <v>44</v>
      </c>
      <c r="O18" s="101">
        <v>0</v>
      </c>
      <c r="P18" s="102" t="s">
        <v>44</v>
      </c>
      <c r="Q18" s="101">
        <v>0</v>
      </c>
      <c r="R18" s="102" t="s">
        <v>44</v>
      </c>
      <c r="S18" s="101">
        <v>0</v>
      </c>
      <c r="T18" s="102" t="s">
        <v>44</v>
      </c>
      <c r="U18" s="101">
        <v>0</v>
      </c>
      <c r="V18" s="102" t="s">
        <v>44</v>
      </c>
      <c r="W18" s="101">
        <v>0</v>
      </c>
      <c r="X18" s="102" t="s">
        <v>44</v>
      </c>
      <c r="Y18" s="101">
        <v>0</v>
      </c>
      <c r="Z18" s="102" t="s">
        <v>44</v>
      </c>
      <c r="AA18" s="104">
        <f t="shared" si="1"/>
        <v>0</v>
      </c>
      <c r="AB18" s="102" t="s">
        <v>44</v>
      </c>
      <c r="AC18" s="101">
        <v>0</v>
      </c>
      <c r="AD18" s="102" t="s">
        <v>44</v>
      </c>
      <c r="AE18" s="105">
        <f t="shared" si="0"/>
        <v>0</v>
      </c>
      <c r="AF18" s="90"/>
    </row>
    <row r="19" spans="1:32">
      <c r="A19" s="106" t="s">
        <v>47</v>
      </c>
      <c r="B19" s="85" t="s">
        <v>44</v>
      </c>
      <c r="C19" s="23">
        <f>SUM(C11:C18)</f>
        <v>0</v>
      </c>
      <c r="D19" s="86" t="s">
        <v>44</v>
      </c>
      <c r="E19" s="23">
        <f>SUM(E11:E18)</f>
        <v>0</v>
      </c>
      <c r="F19" s="86" t="s">
        <v>44</v>
      </c>
      <c r="G19" s="23">
        <f>SUM(G11:G18)</f>
        <v>0</v>
      </c>
      <c r="H19" s="86" t="s">
        <v>44</v>
      </c>
      <c r="I19" s="23">
        <f>SUM(I11:I18)</f>
        <v>0</v>
      </c>
      <c r="J19" s="86" t="s">
        <v>44</v>
      </c>
      <c r="K19" s="23">
        <f>SUM(K11:K18)</f>
        <v>0</v>
      </c>
      <c r="L19" s="87" t="s">
        <v>44</v>
      </c>
      <c r="M19" s="23">
        <f>SUM(M11:M18)</f>
        <v>0</v>
      </c>
      <c r="N19" s="86" t="s">
        <v>44</v>
      </c>
      <c r="O19" s="23">
        <f>SUM(O11:O18)</f>
        <v>0</v>
      </c>
      <c r="P19" s="86" t="s">
        <v>44</v>
      </c>
      <c r="Q19" s="23">
        <f>SUM(Q11:Q18)</f>
        <v>0</v>
      </c>
      <c r="R19" s="86" t="s">
        <v>44</v>
      </c>
      <c r="S19" s="23">
        <f>SUM(S11:S18)</f>
        <v>0</v>
      </c>
      <c r="T19" s="86" t="s">
        <v>44</v>
      </c>
      <c r="U19" s="23">
        <f>SUM(U11:U18)</f>
        <v>0</v>
      </c>
      <c r="V19" s="86" t="s">
        <v>44</v>
      </c>
      <c r="W19" s="23">
        <f>SUM(W11:W18)</f>
        <v>0</v>
      </c>
      <c r="X19" s="86" t="s">
        <v>44</v>
      </c>
      <c r="Y19" s="23">
        <f>SUM(Y11:Y18)</f>
        <v>0</v>
      </c>
      <c r="Z19" s="86" t="s">
        <v>44</v>
      </c>
      <c r="AA19" s="23">
        <f>SUM(AA11:AA18)</f>
        <v>0</v>
      </c>
      <c r="AB19" s="86" t="s">
        <v>44</v>
      </c>
      <c r="AC19" s="23">
        <f>SUM(AC11:AC18)</f>
        <v>0</v>
      </c>
      <c r="AD19" s="86" t="s">
        <v>44</v>
      </c>
      <c r="AE19" s="107">
        <f>SUM(AE11:AE18)</f>
        <v>0</v>
      </c>
      <c r="AF19" s="90"/>
    </row>
    <row r="20" spans="1:32">
      <c r="A20" s="91"/>
      <c r="B20" s="92"/>
      <c r="C20" s="93"/>
      <c r="D20" s="94"/>
      <c r="E20" s="93"/>
      <c r="F20" s="94"/>
      <c r="G20" s="93"/>
      <c r="H20" s="94"/>
      <c r="I20" s="93"/>
      <c r="J20" s="94"/>
      <c r="K20" s="93"/>
      <c r="L20" s="95"/>
      <c r="M20" s="93"/>
      <c r="N20" s="94"/>
      <c r="O20" s="93"/>
      <c r="P20" s="94"/>
      <c r="Q20" s="93"/>
      <c r="R20" s="94"/>
      <c r="S20" s="93"/>
      <c r="T20" s="94"/>
      <c r="U20" s="93"/>
      <c r="V20" s="94"/>
      <c r="W20" s="93"/>
      <c r="X20" s="94"/>
      <c r="Y20" s="93"/>
      <c r="Z20" s="94"/>
      <c r="AA20" s="93"/>
      <c r="AB20" s="94"/>
      <c r="AC20" s="93"/>
      <c r="AD20" s="93"/>
      <c r="AE20" s="96"/>
      <c r="AF20" s="90"/>
    </row>
    <row r="21" spans="1:32">
      <c r="A21" s="97" t="s">
        <v>83</v>
      </c>
      <c r="B21" s="92"/>
      <c r="C21" s="93"/>
      <c r="D21" s="94"/>
      <c r="E21" s="93"/>
      <c r="F21" s="94"/>
      <c r="G21" s="93"/>
      <c r="H21" s="94"/>
      <c r="I21" s="93"/>
      <c r="J21" s="94"/>
      <c r="K21" s="93"/>
      <c r="L21" s="95"/>
      <c r="M21" s="93"/>
      <c r="N21" s="94"/>
      <c r="O21" s="93"/>
      <c r="P21" s="94"/>
      <c r="Q21" s="93"/>
      <c r="R21" s="94"/>
      <c r="S21" s="93"/>
      <c r="T21" s="94"/>
      <c r="U21" s="93"/>
      <c r="V21" s="94"/>
      <c r="W21" s="93"/>
      <c r="X21" s="94"/>
      <c r="Y21" s="93"/>
      <c r="Z21" s="94"/>
      <c r="AA21" s="93"/>
      <c r="AB21" s="94"/>
      <c r="AC21" s="93"/>
      <c r="AD21" s="93"/>
      <c r="AE21" s="96"/>
      <c r="AF21" s="90"/>
    </row>
    <row r="22" spans="1:32">
      <c r="A22" s="98" t="s">
        <v>48</v>
      </c>
      <c r="B22" s="92" t="s">
        <v>44</v>
      </c>
      <c r="C22" s="93">
        <v>0</v>
      </c>
      <c r="D22" s="94" t="s">
        <v>44</v>
      </c>
      <c r="E22" s="93">
        <v>0</v>
      </c>
      <c r="F22" s="94" t="s">
        <v>44</v>
      </c>
      <c r="G22" s="93">
        <v>0</v>
      </c>
      <c r="H22" s="94" t="s">
        <v>44</v>
      </c>
      <c r="I22" s="93">
        <v>0</v>
      </c>
      <c r="J22" s="94" t="s">
        <v>44</v>
      </c>
      <c r="K22" s="93">
        <v>0</v>
      </c>
      <c r="L22" s="95" t="s">
        <v>44</v>
      </c>
      <c r="M22" s="93">
        <v>0</v>
      </c>
      <c r="N22" s="94" t="s">
        <v>44</v>
      </c>
      <c r="O22" s="93">
        <v>0</v>
      </c>
      <c r="P22" s="94" t="s">
        <v>44</v>
      </c>
      <c r="Q22" s="93">
        <v>0</v>
      </c>
      <c r="R22" s="94" t="s">
        <v>44</v>
      </c>
      <c r="S22" s="93">
        <v>0</v>
      </c>
      <c r="T22" s="94" t="s">
        <v>44</v>
      </c>
      <c r="U22" s="93">
        <v>0</v>
      </c>
      <c r="V22" s="94" t="s">
        <v>44</v>
      </c>
      <c r="W22" s="93">
        <v>0</v>
      </c>
      <c r="X22" s="94" t="s">
        <v>44</v>
      </c>
      <c r="Y22" s="93">
        <v>0</v>
      </c>
      <c r="Z22" s="94" t="s">
        <v>44</v>
      </c>
      <c r="AA22" s="99">
        <f t="shared" ref="AA22:AA30" si="2">SUM(C22:Z22)</f>
        <v>0</v>
      </c>
      <c r="AB22" s="94" t="s">
        <v>44</v>
      </c>
      <c r="AC22" s="93">
        <v>0</v>
      </c>
      <c r="AD22" s="94" t="s">
        <v>44</v>
      </c>
      <c r="AE22" s="96">
        <f>AA22-AC22</f>
        <v>0</v>
      </c>
      <c r="AF22" s="90"/>
    </row>
    <row r="23" spans="1:32">
      <c r="A23" s="98" t="s">
        <v>3</v>
      </c>
      <c r="B23" s="92" t="s">
        <v>44</v>
      </c>
      <c r="C23" s="93">
        <v>0</v>
      </c>
      <c r="D23" s="94" t="s">
        <v>44</v>
      </c>
      <c r="E23" s="93">
        <v>0</v>
      </c>
      <c r="F23" s="94" t="s">
        <v>44</v>
      </c>
      <c r="G23" s="93">
        <v>0</v>
      </c>
      <c r="H23" s="94" t="s">
        <v>44</v>
      </c>
      <c r="I23" s="93">
        <v>0</v>
      </c>
      <c r="J23" s="94" t="s">
        <v>44</v>
      </c>
      <c r="K23" s="93">
        <v>0</v>
      </c>
      <c r="L23" s="95" t="s">
        <v>44</v>
      </c>
      <c r="M23" s="93">
        <v>0</v>
      </c>
      <c r="N23" s="94" t="s">
        <v>44</v>
      </c>
      <c r="O23" s="93">
        <v>0</v>
      </c>
      <c r="P23" s="94" t="s">
        <v>44</v>
      </c>
      <c r="Q23" s="93">
        <v>0</v>
      </c>
      <c r="R23" s="94" t="s">
        <v>44</v>
      </c>
      <c r="S23" s="93">
        <v>0</v>
      </c>
      <c r="T23" s="94" t="s">
        <v>44</v>
      </c>
      <c r="U23" s="93">
        <v>0</v>
      </c>
      <c r="V23" s="94" t="s">
        <v>44</v>
      </c>
      <c r="W23" s="93">
        <v>0</v>
      </c>
      <c r="X23" s="94" t="s">
        <v>44</v>
      </c>
      <c r="Y23" s="93">
        <v>0</v>
      </c>
      <c r="Z23" s="94" t="s">
        <v>44</v>
      </c>
      <c r="AA23" s="99">
        <f t="shared" si="2"/>
        <v>0</v>
      </c>
      <c r="AB23" s="94" t="s">
        <v>44</v>
      </c>
      <c r="AC23" s="93">
        <v>0</v>
      </c>
      <c r="AD23" s="94" t="s">
        <v>44</v>
      </c>
      <c r="AE23" s="96">
        <f>AA23-AC23</f>
        <v>0</v>
      </c>
      <c r="AF23" s="90"/>
    </row>
    <row r="24" spans="1:32">
      <c r="A24" s="98" t="s">
        <v>4</v>
      </c>
      <c r="B24" s="92" t="s">
        <v>44</v>
      </c>
      <c r="C24" s="93">
        <v>0</v>
      </c>
      <c r="D24" s="94" t="s">
        <v>44</v>
      </c>
      <c r="E24" s="93">
        <v>0</v>
      </c>
      <c r="F24" s="94" t="s">
        <v>44</v>
      </c>
      <c r="G24" s="93">
        <v>0</v>
      </c>
      <c r="H24" s="94" t="s">
        <v>44</v>
      </c>
      <c r="I24" s="93">
        <v>0</v>
      </c>
      <c r="J24" s="94" t="s">
        <v>44</v>
      </c>
      <c r="K24" s="93">
        <v>0</v>
      </c>
      <c r="L24" s="95" t="s">
        <v>44</v>
      </c>
      <c r="M24" s="93">
        <v>0</v>
      </c>
      <c r="N24" s="94" t="s">
        <v>44</v>
      </c>
      <c r="O24" s="93">
        <v>0</v>
      </c>
      <c r="P24" s="94" t="s">
        <v>44</v>
      </c>
      <c r="Q24" s="93">
        <v>0</v>
      </c>
      <c r="R24" s="94" t="s">
        <v>44</v>
      </c>
      <c r="S24" s="93">
        <v>0</v>
      </c>
      <c r="T24" s="94" t="s">
        <v>44</v>
      </c>
      <c r="U24" s="93">
        <v>0</v>
      </c>
      <c r="V24" s="94" t="s">
        <v>44</v>
      </c>
      <c r="W24" s="93">
        <v>0</v>
      </c>
      <c r="X24" s="94" t="s">
        <v>44</v>
      </c>
      <c r="Y24" s="93">
        <v>0</v>
      </c>
      <c r="Z24" s="94" t="s">
        <v>44</v>
      </c>
      <c r="AA24" s="99">
        <f t="shared" si="2"/>
        <v>0</v>
      </c>
      <c r="AB24" s="94" t="s">
        <v>44</v>
      </c>
      <c r="AC24" s="93">
        <v>0</v>
      </c>
      <c r="AD24" s="94" t="s">
        <v>44</v>
      </c>
      <c r="AE24" s="96">
        <f>AA24-AC24</f>
        <v>0</v>
      </c>
      <c r="AF24" s="90"/>
    </row>
    <row r="25" spans="1:32">
      <c r="A25" s="98" t="s">
        <v>49</v>
      </c>
      <c r="B25" s="100" t="s">
        <v>44</v>
      </c>
      <c r="C25" s="101">
        <v>0</v>
      </c>
      <c r="D25" s="102" t="s">
        <v>44</v>
      </c>
      <c r="E25" s="101">
        <v>0</v>
      </c>
      <c r="F25" s="102" t="s">
        <v>44</v>
      </c>
      <c r="G25" s="101">
        <v>0</v>
      </c>
      <c r="H25" s="102" t="s">
        <v>44</v>
      </c>
      <c r="I25" s="101">
        <v>0</v>
      </c>
      <c r="J25" s="102" t="s">
        <v>44</v>
      </c>
      <c r="K25" s="101">
        <v>0</v>
      </c>
      <c r="L25" s="103" t="s">
        <v>44</v>
      </c>
      <c r="M25" s="101">
        <v>0</v>
      </c>
      <c r="N25" s="102" t="s">
        <v>44</v>
      </c>
      <c r="O25" s="101">
        <v>0</v>
      </c>
      <c r="P25" s="102" t="s">
        <v>44</v>
      </c>
      <c r="Q25" s="101">
        <v>0</v>
      </c>
      <c r="R25" s="102" t="s">
        <v>44</v>
      </c>
      <c r="S25" s="101">
        <v>0</v>
      </c>
      <c r="T25" s="102" t="s">
        <v>44</v>
      </c>
      <c r="U25" s="101">
        <v>0</v>
      </c>
      <c r="V25" s="102" t="s">
        <v>44</v>
      </c>
      <c r="W25" s="101">
        <v>0</v>
      </c>
      <c r="X25" s="102" t="s">
        <v>44</v>
      </c>
      <c r="Y25" s="101">
        <v>0</v>
      </c>
      <c r="Z25" s="102" t="s">
        <v>44</v>
      </c>
      <c r="AA25" s="104">
        <f t="shared" si="2"/>
        <v>0</v>
      </c>
      <c r="AB25" s="102" t="s">
        <v>44</v>
      </c>
      <c r="AC25" s="101">
        <v>0</v>
      </c>
      <c r="AD25" s="102" t="s">
        <v>44</v>
      </c>
      <c r="AE25" s="105">
        <f>AA25-AC25</f>
        <v>0</v>
      </c>
      <c r="AF25" s="90"/>
    </row>
    <row r="26" spans="1:32">
      <c r="A26" s="106" t="s">
        <v>50</v>
      </c>
      <c r="B26" s="85" t="s">
        <v>44</v>
      </c>
      <c r="C26" s="23">
        <f>SUM(C22:C25)</f>
        <v>0</v>
      </c>
      <c r="D26" s="86" t="s">
        <v>44</v>
      </c>
      <c r="E26" s="23">
        <f>SUM(E22:E25)</f>
        <v>0</v>
      </c>
      <c r="F26" s="86" t="s">
        <v>44</v>
      </c>
      <c r="G26" s="23">
        <f>SUM(G22:G25)</f>
        <v>0</v>
      </c>
      <c r="H26" s="86" t="s">
        <v>44</v>
      </c>
      <c r="I26" s="23">
        <f>SUM(I22:I25)</f>
        <v>0</v>
      </c>
      <c r="J26" s="86" t="s">
        <v>44</v>
      </c>
      <c r="K26" s="23">
        <f>SUM(K22:K25)</f>
        <v>0</v>
      </c>
      <c r="L26" s="87" t="s">
        <v>44</v>
      </c>
      <c r="M26" s="23">
        <f>SUM(M22:M25)</f>
        <v>0</v>
      </c>
      <c r="N26" s="86" t="s">
        <v>44</v>
      </c>
      <c r="O26" s="23">
        <f>SUM(O22:O25)</f>
        <v>0</v>
      </c>
      <c r="P26" s="86" t="s">
        <v>44</v>
      </c>
      <c r="Q26" s="23">
        <f>SUM(Q22:Q25)</f>
        <v>0</v>
      </c>
      <c r="R26" s="86" t="s">
        <v>44</v>
      </c>
      <c r="S26" s="23">
        <f>SUM(S22:S25)</f>
        <v>0</v>
      </c>
      <c r="T26" s="86" t="s">
        <v>44</v>
      </c>
      <c r="U26" s="23">
        <f>SUM(U22:U25)</f>
        <v>0</v>
      </c>
      <c r="V26" s="86" t="s">
        <v>44</v>
      </c>
      <c r="W26" s="23">
        <f>SUM(W22:W25)</f>
        <v>0</v>
      </c>
      <c r="X26" s="86" t="s">
        <v>44</v>
      </c>
      <c r="Y26" s="23">
        <f>SUM(Y22:Y25)</f>
        <v>0</v>
      </c>
      <c r="Z26" s="86" t="s">
        <v>44</v>
      </c>
      <c r="AA26" s="108">
        <f t="shared" si="2"/>
        <v>0</v>
      </c>
      <c r="AB26" s="86" t="s">
        <v>44</v>
      </c>
      <c r="AC26" s="23">
        <f>SUM(AC22:AC25)</f>
        <v>0</v>
      </c>
      <c r="AD26" s="86" t="s">
        <v>44</v>
      </c>
      <c r="AE26" s="107">
        <f>AA26-AC26</f>
        <v>0</v>
      </c>
      <c r="AF26" s="90"/>
    </row>
    <row r="27" spans="1:32">
      <c r="A27" s="98"/>
      <c r="B27" s="92"/>
      <c r="C27" s="93"/>
      <c r="D27" s="94"/>
      <c r="E27" s="93"/>
      <c r="F27" s="94"/>
      <c r="G27" s="93"/>
      <c r="H27" s="94"/>
      <c r="I27" s="93"/>
      <c r="J27" s="94"/>
      <c r="K27" s="93"/>
      <c r="L27" s="95"/>
      <c r="M27" s="93"/>
      <c r="N27" s="94"/>
      <c r="O27" s="93"/>
      <c r="P27" s="94"/>
      <c r="Q27" s="93"/>
      <c r="R27" s="94"/>
      <c r="S27" s="93"/>
      <c r="T27" s="94"/>
      <c r="U27" s="93"/>
      <c r="V27" s="94"/>
      <c r="W27" s="93"/>
      <c r="X27" s="94"/>
      <c r="Y27" s="93"/>
      <c r="Z27" s="94"/>
      <c r="AA27" s="93"/>
      <c r="AB27" s="94"/>
      <c r="AC27" s="93"/>
      <c r="AD27" s="93"/>
      <c r="AE27" s="96"/>
      <c r="AF27" s="90"/>
    </row>
    <row r="28" spans="1:32">
      <c r="A28" s="98" t="s">
        <v>51</v>
      </c>
      <c r="B28" s="92" t="s">
        <v>44</v>
      </c>
      <c r="C28" s="93">
        <v>0</v>
      </c>
      <c r="D28" s="94" t="s">
        <v>44</v>
      </c>
      <c r="E28" s="93">
        <v>0</v>
      </c>
      <c r="F28" s="94" t="s">
        <v>44</v>
      </c>
      <c r="G28" s="93">
        <v>0</v>
      </c>
      <c r="H28" s="94" t="s">
        <v>44</v>
      </c>
      <c r="I28" s="93">
        <v>0</v>
      </c>
      <c r="J28" s="94" t="s">
        <v>44</v>
      </c>
      <c r="K28" s="93">
        <v>0</v>
      </c>
      <c r="L28" s="95" t="s">
        <v>44</v>
      </c>
      <c r="M28" s="93">
        <v>0</v>
      </c>
      <c r="N28" s="94" t="s">
        <v>44</v>
      </c>
      <c r="O28" s="93">
        <v>0</v>
      </c>
      <c r="P28" s="94" t="s">
        <v>44</v>
      </c>
      <c r="Q28" s="93">
        <v>0</v>
      </c>
      <c r="R28" s="94" t="s">
        <v>44</v>
      </c>
      <c r="S28" s="93">
        <v>0</v>
      </c>
      <c r="T28" s="94" t="s">
        <v>44</v>
      </c>
      <c r="U28" s="93">
        <v>0</v>
      </c>
      <c r="V28" s="94" t="s">
        <v>44</v>
      </c>
      <c r="W28" s="93">
        <v>0</v>
      </c>
      <c r="X28" s="94" t="s">
        <v>44</v>
      </c>
      <c r="Y28" s="93">
        <v>0</v>
      </c>
      <c r="Z28" s="94" t="s">
        <v>44</v>
      </c>
      <c r="AA28" s="99">
        <f t="shared" si="2"/>
        <v>0</v>
      </c>
      <c r="AB28" s="94" t="s">
        <v>44</v>
      </c>
      <c r="AC28" s="93">
        <v>0</v>
      </c>
      <c r="AD28" s="94" t="s">
        <v>44</v>
      </c>
      <c r="AE28" s="96">
        <f>AA28-AC28</f>
        <v>0</v>
      </c>
      <c r="AF28" s="90"/>
    </row>
    <row r="29" spans="1:32">
      <c r="A29" s="98" t="s">
        <v>52</v>
      </c>
      <c r="B29" s="92" t="s">
        <v>44</v>
      </c>
      <c r="C29" s="93">
        <v>0</v>
      </c>
      <c r="D29" s="94" t="s">
        <v>44</v>
      </c>
      <c r="E29" s="93">
        <v>0</v>
      </c>
      <c r="F29" s="94" t="s">
        <v>44</v>
      </c>
      <c r="G29" s="93">
        <v>0</v>
      </c>
      <c r="H29" s="94" t="s">
        <v>44</v>
      </c>
      <c r="I29" s="93">
        <v>0</v>
      </c>
      <c r="J29" s="94" t="s">
        <v>44</v>
      </c>
      <c r="K29" s="93">
        <v>0</v>
      </c>
      <c r="L29" s="95" t="s">
        <v>44</v>
      </c>
      <c r="M29" s="93">
        <v>0</v>
      </c>
      <c r="N29" s="94" t="s">
        <v>44</v>
      </c>
      <c r="O29" s="93">
        <v>0</v>
      </c>
      <c r="P29" s="94" t="s">
        <v>44</v>
      </c>
      <c r="Q29" s="93">
        <v>0</v>
      </c>
      <c r="R29" s="94" t="s">
        <v>44</v>
      </c>
      <c r="S29" s="93">
        <v>0</v>
      </c>
      <c r="T29" s="94" t="s">
        <v>44</v>
      </c>
      <c r="U29" s="93">
        <v>0</v>
      </c>
      <c r="V29" s="94" t="s">
        <v>44</v>
      </c>
      <c r="W29" s="93">
        <v>0</v>
      </c>
      <c r="X29" s="94" t="s">
        <v>44</v>
      </c>
      <c r="Y29" s="93">
        <v>0</v>
      </c>
      <c r="Z29" s="94" t="s">
        <v>44</v>
      </c>
      <c r="AA29" s="99">
        <f t="shared" si="2"/>
        <v>0</v>
      </c>
      <c r="AB29" s="94" t="s">
        <v>44</v>
      </c>
      <c r="AC29" s="93">
        <v>0</v>
      </c>
      <c r="AD29" s="94" t="s">
        <v>44</v>
      </c>
      <c r="AE29" s="96">
        <f>AA29-AC29</f>
        <v>0</v>
      </c>
      <c r="AF29" s="90"/>
    </row>
    <row r="30" spans="1:32" ht="26.4">
      <c r="A30" s="109" t="s">
        <v>53</v>
      </c>
      <c r="B30" s="100" t="s">
        <v>44</v>
      </c>
      <c r="C30" s="101">
        <v>0</v>
      </c>
      <c r="D30" s="102" t="s">
        <v>44</v>
      </c>
      <c r="E30" s="101">
        <v>0</v>
      </c>
      <c r="F30" s="102" t="s">
        <v>44</v>
      </c>
      <c r="G30" s="101">
        <v>0</v>
      </c>
      <c r="H30" s="102" t="s">
        <v>44</v>
      </c>
      <c r="I30" s="101">
        <v>0</v>
      </c>
      <c r="J30" s="102" t="s">
        <v>44</v>
      </c>
      <c r="K30" s="101">
        <v>0</v>
      </c>
      <c r="L30" s="103" t="s">
        <v>44</v>
      </c>
      <c r="M30" s="101">
        <v>0</v>
      </c>
      <c r="N30" s="102" t="s">
        <v>44</v>
      </c>
      <c r="O30" s="101">
        <v>0</v>
      </c>
      <c r="P30" s="102" t="s">
        <v>44</v>
      </c>
      <c r="Q30" s="101">
        <v>0</v>
      </c>
      <c r="R30" s="102" t="s">
        <v>44</v>
      </c>
      <c r="S30" s="101">
        <v>0</v>
      </c>
      <c r="T30" s="102" t="s">
        <v>44</v>
      </c>
      <c r="U30" s="101">
        <v>0</v>
      </c>
      <c r="V30" s="102" t="s">
        <v>44</v>
      </c>
      <c r="W30" s="101">
        <v>0</v>
      </c>
      <c r="X30" s="102" t="s">
        <v>44</v>
      </c>
      <c r="Y30" s="101">
        <v>0</v>
      </c>
      <c r="Z30" s="102" t="s">
        <v>44</v>
      </c>
      <c r="AA30" s="104">
        <f t="shared" si="2"/>
        <v>0</v>
      </c>
      <c r="AB30" s="102" t="s">
        <v>44</v>
      </c>
      <c r="AC30" s="101">
        <v>0</v>
      </c>
      <c r="AD30" s="102" t="s">
        <v>44</v>
      </c>
      <c r="AE30" s="105">
        <f>AA30-AC30</f>
        <v>0</v>
      </c>
      <c r="AF30" s="90"/>
    </row>
    <row r="31" spans="1:32">
      <c r="A31" s="106" t="s">
        <v>59</v>
      </c>
      <c r="B31" s="85" t="s">
        <v>44</v>
      </c>
      <c r="C31" s="23">
        <f>SUM(C26:C30)</f>
        <v>0</v>
      </c>
      <c r="D31" s="86" t="s">
        <v>44</v>
      </c>
      <c r="E31" s="23">
        <f>SUM(E26:E30)</f>
        <v>0</v>
      </c>
      <c r="F31" s="86" t="s">
        <v>44</v>
      </c>
      <c r="G31" s="23">
        <f>SUM(G26:G30)</f>
        <v>0</v>
      </c>
      <c r="H31" s="86" t="s">
        <v>44</v>
      </c>
      <c r="I31" s="23">
        <f>SUM(I26:I30)</f>
        <v>0</v>
      </c>
      <c r="J31" s="86" t="s">
        <v>44</v>
      </c>
      <c r="K31" s="23">
        <f>SUM(K26:K30)</f>
        <v>0</v>
      </c>
      <c r="L31" s="87" t="s">
        <v>44</v>
      </c>
      <c r="M31" s="23">
        <f>SUM(M26:M30)</f>
        <v>0</v>
      </c>
      <c r="N31" s="86" t="s">
        <v>44</v>
      </c>
      <c r="O31" s="23">
        <f>SUM(O26:O30)</f>
        <v>0</v>
      </c>
      <c r="P31" s="86" t="s">
        <v>44</v>
      </c>
      <c r="Q31" s="23">
        <f>SUM(Q26:Q30)</f>
        <v>0</v>
      </c>
      <c r="R31" s="86" t="s">
        <v>44</v>
      </c>
      <c r="S31" s="23">
        <f>SUM(S26:S30)</f>
        <v>0</v>
      </c>
      <c r="T31" s="86" t="s">
        <v>44</v>
      </c>
      <c r="U31" s="23">
        <f>SUM(U26:U30)</f>
        <v>0</v>
      </c>
      <c r="V31" s="86" t="s">
        <v>44</v>
      </c>
      <c r="W31" s="23">
        <f>SUM(W26:W30)</f>
        <v>0</v>
      </c>
      <c r="X31" s="86" t="s">
        <v>44</v>
      </c>
      <c r="Y31" s="23">
        <f>SUM(Y26:Y30)</f>
        <v>0</v>
      </c>
      <c r="Z31" s="86" t="s">
        <v>44</v>
      </c>
      <c r="AA31" s="23">
        <f>SUM(AA26:AA30)</f>
        <v>0</v>
      </c>
      <c r="AB31" s="86" t="s">
        <v>44</v>
      </c>
      <c r="AC31" s="23">
        <f>SUM(AC26:AC30)</f>
        <v>0</v>
      </c>
      <c r="AD31" s="86" t="s">
        <v>44</v>
      </c>
      <c r="AE31" s="107">
        <f>SUM(AE26:AE30)</f>
        <v>0</v>
      </c>
      <c r="AF31" s="90"/>
    </row>
    <row r="32" spans="1:32">
      <c r="A32" s="98"/>
      <c r="B32" s="92"/>
      <c r="C32" s="93"/>
      <c r="D32" s="94"/>
      <c r="E32" s="93"/>
      <c r="F32" s="94"/>
      <c r="G32" s="93"/>
      <c r="H32" s="94"/>
      <c r="I32" s="93"/>
      <c r="J32" s="94"/>
      <c r="K32" s="93"/>
      <c r="L32" s="95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3"/>
      <c r="AE32" s="96"/>
      <c r="AF32" s="90"/>
    </row>
    <row r="33" spans="1:32">
      <c r="A33" s="106" t="s">
        <v>54</v>
      </c>
      <c r="B33" s="92" t="s">
        <v>44</v>
      </c>
      <c r="C33" s="101">
        <f>+C19-C31</f>
        <v>0</v>
      </c>
      <c r="D33" s="94" t="s">
        <v>44</v>
      </c>
      <c r="E33" s="101">
        <f>+E19-E31</f>
        <v>0</v>
      </c>
      <c r="F33" s="94" t="s">
        <v>44</v>
      </c>
      <c r="G33" s="101">
        <f>+G19-G31</f>
        <v>0</v>
      </c>
      <c r="H33" s="94" t="s">
        <v>44</v>
      </c>
      <c r="I33" s="101">
        <f>+I19-I31</f>
        <v>0</v>
      </c>
      <c r="J33" s="94" t="s">
        <v>44</v>
      </c>
      <c r="K33" s="101">
        <f>+K19-K31</f>
        <v>0</v>
      </c>
      <c r="L33" s="95" t="s">
        <v>44</v>
      </c>
      <c r="M33" s="101">
        <f>+M19-M31</f>
        <v>0</v>
      </c>
      <c r="N33" s="94" t="s">
        <v>44</v>
      </c>
      <c r="O33" s="101">
        <f>+O19-O31</f>
        <v>0</v>
      </c>
      <c r="P33" s="94" t="s">
        <v>44</v>
      </c>
      <c r="Q33" s="101">
        <f>+Q19-Q31</f>
        <v>0</v>
      </c>
      <c r="R33" s="94" t="s">
        <v>44</v>
      </c>
      <c r="S33" s="101">
        <f>+S19-S31</f>
        <v>0</v>
      </c>
      <c r="T33" s="94" t="s">
        <v>44</v>
      </c>
      <c r="U33" s="101">
        <f>+U19-U31</f>
        <v>0</v>
      </c>
      <c r="V33" s="94" t="s">
        <v>44</v>
      </c>
      <c r="W33" s="101">
        <f>+W19-W31</f>
        <v>0</v>
      </c>
      <c r="X33" s="94" t="s">
        <v>44</v>
      </c>
      <c r="Y33" s="101">
        <f>+Y19-Y31</f>
        <v>0</v>
      </c>
      <c r="Z33" s="94" t="s">
        <v>44</v>
      </c>
      <c r="AA33" s="104">
        <f t="shared" ref="AA33" si="3">SUM(C33:Z33)</f>
        <v>0</v>
      </c>
      <c r="AB33" s="94" t="s">
        <v>44</v>
      </c>
      <c r="AC33" s="110" t="s">
        <v>45</v>
      </c>
      <c r="AD33" s="94" t="s">
        <v>44</v>
      </c>
      <c r="AE33" s="111" t="s">
        <v>45</v>
      </c>
      <c r="AF33" s="90"/>
    </row>
    <row r="34" spans="1:32">
      <c r="A34" s="91"/>
      <c r="B34" s="92"/>
      <c r="C34" s="93"/>
      <c r="D34" s="94"/>
      <c r="E34" s="93"/>
      <c r="F34" s="94"/>
      <c r="G34" s="93"/>
      <c r="H34" s="94"/>
      <c r="I34" s="93"/>
      <c r="J34" s="94"/>
      <c r="K34" s="93"/>
      <c r="L34" s="95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3"/>
      <c r="AE34" s="96"/>
      <c r="AF34" s="90"/>
    </row>
    <row r="35" spans="1:32" ht="13.8" thickBot="1">
      <c r="A35" s="84" t="s">
        <v>55</v>
      </c>
      <c r="B35" s="85" t="s">
        <v>44</v>
      </c>
      <c r="C35" s="112">
        <f>+C8+C33</f>
        <v>0</v>
      </c>
      <c r="D35" s="86" t="s">
        <v>44</v>
      </c>
      <c r="E35" s="112">
        <f>+E8+E33</f>
        <v>0</v>
      </c>
      <c r="F35" s="86" t="s">
        <v>44</v>
      </c>
      <c r="G35" s="112">
        <f>+G8+G33</f>
        <v>0</v>
      </c>
      <c r="H35" s="86" t="s">
        <v>44</v>
      </c>
      <c r="I35" s="112">
        <f>+I8+I33</f>
        <v>0</v>
      </c>
      <c r="J35" s="86" t="s">
        <v>44</v>
      </c>
      <c r="K35" s="112">
        <f>+K8+K33</f>
        <v>0</v>
      </c>
      <c r="L35" s="87" t="s">
        <v>44</v>
      </c>
      <c r="M35" s="112">
        <f>+M8+M33</f>
        <v>0</v>
      </c>
      <c r="N35" s="86" t="s">
        <v>44</v>
      </c>
      <c r="O35" s="112">
        <f>+O8+O33</f>
        <v>0</v>
      </c>
      <c r="P35" s="86" t="s">
        <v>44</v>
      </c>
      <c r="Q35" s="112">
        <f>+Q8+Q33</f>
        <v>0</v>
      </c>
      <c r="R35" s="86" t="s">
        <v>44</v>
      </c>
      <c r="S35" s="112">
        <f>+S8+S33</f>
        <v>0</v>
      </c>
      <c r="T35" s="86" t="s">
        <v>44</v>
      </c>
      <c r="U35" s="112">
        <f>+U8+U33</f>
        <v>0</v>
      </c>
      <c r="V35" s="86" t="s">
        <v>44</v>
      </c>
      <c r="W35" s="112">
        <f>+W8+W33</f>
        <v>0</v>
      </c>
      <c r="X35" s="86" t="s">
        <v>44</v>
      </c>
      <c r="Y35" s="112">
        <f>+Y8+Y33</f>
        <v>0</v>
      </c>
      <c r="Z35" s="86" t="s">
        <v>44</v>
      </c>
      <c r="AA35" s="112">
        <f>Y35</f>
        <v>0</v>
      </c>
      <c r="AB35" s="86" t="s">
        <v>44</v>
      </c>
      <c r="AC35" s="113">
        <f>AC8+AC19-AC31</f>
        <v>0</v>
      </c>
      <c r="AD35" s="86" t="s">
        <v>44</v>
      </c>
      <c r="AE35" s="139">
        <f>AA35-AC35</f>
        <v>0</v>
      </c>
      <c r="AF35" s="90"/>
    </row>
    <row r="36" spans="1:32" ht="13.8" thickTop="1">
      <c r="A36" s="84"/>
      <c r="B36" s="85"/>
      <c r="C36" s="23"/>
      <c r="D36" s="86"/>
      <c r="E36" s="23"/>
      <c r="F36" s="86"/>
      <c r="G36" s="23"/>
      <c r="H36" s="86"/>
      <c r="I36" s="23"/>
      <c r="J36" s="86"/>
      <c r="K36" s="23"/>
      <c r="L36" s="87"/>
      <c r="M36" s="23"/>
      <c r="N36" s="86"/>
      <c r="O36" s="23"/>
      <c r="P36" s="86"/>
      <c r="Q36" s="23"/>
      <c r="R36" s="86"/>
      <c r="S36" s="23"/>
      <c r="T36" s="86"/>
      <c r="U36" s="23"/>
      <c r="V36" s="86"/>
      <c r="W36" s="23"/>
      <c r="X36" s="86"/>
      <c r="Y36" s="23"/>
      <c r="Z36" s="86"/>
      <c r="AA36" s="23"/>
      <c r="AB36" s="86"/>
      <c r="AC36" s="86"/>
      <c r="AD36" s="86"/>
      <c r="AE36" s="89"/>
      <c r="AF36" s="90"/>
    </row>
    <row r="37" spans="1:32">
      <c r="A37" s="106" t="s">
        <v>90</v>
      </c>
      <c r="B37" s="85"/>
      <c r="C37" s="23"/>
      <c r="D37" s="86"/>
      <c r="E37" s="23"/>
      <c r="F37" s="86"/>
      <c r="G37" s="23"/>
      <c r="H37" s="86"/>
      <c r="I37" s="23"/>
      <c r="J37" s="86"/>
      <c r="K37" s="23"/>
      <c r="L37" s="87"/>
      <c r="M37" s="23"/>
      <c r="N37" s="86"/>
      <c r="O37" s="23"/>
      <c r="P37" s="86"/>
      <c r="Q37" s="23"/>
      <c r="R37" s="86"/>
      <c r="S37" s="23"/>
      <c r="T37" s="86"/>
      <c r="U37" s="23"/>
      <c r="V37" s="86"/>
      <c r="W37" s="23"/>
      <c r="X37" s="86"/>
      <c r="Y37" s="23"/>
      <c r="Z37" s="86"/>
      <c r="AA37" s="23"/>
      <c r="AB37" s="86"/>
      <c r="AC37" s="86"/>
      <c r="AD37" s="86"/>
      <c r="AE37" s="89"/>
      <c r="AF37" s="90"/>
    </row>
    <row r="38" spans="1:32">
      <c r="A38" s="98" t="s">
        <v>62</v>
      </c>
      <c r="B38" s="92" t="s">
        <v>44</v>
      </c>
      <c r="C38" s="93">
        <v>0</v>
      </c>
      <c r="D38" s="94" t="s">
        <v>44</v>
      </c>
      <c r="E38" s="93">
        <v>0</v>
      </c>
      <c r="F38" s="94" t="s">
        <v>44</v>
      </c>
      <c r="G38" s="93">
        <v>0</v>
      </c>
      <c r="H38" s="94" t="s">
        <v>44</v>
      </c>
      <c r="I38" s="93">
        <v>0</v>
      </c>
      <c r="J38" s="94" t="s">
        <v>44</v>
      </c>
      <c r="K38" s="93">
        <v>0</v>
      </c>
      <c r="L38" s="95" t="s">
        <v>44</v>
      </c>
      <c r="M38" s="93">
        <v>0</v>
      </c>
      <c r="N38" s="94" t="s">
        <v>44</v>
      </c>
      <c r="O38" s="93">
        <v>0</v>
      </c>
      <c r="P38" s="94" t="s">
        <v>44</v>
      </c>
      <c r="Q38" s="93">
        <v>0</v>
      </c>
      <c r="R38" s="94" t="s">
        <v>44</v>
      </c>
      <c r="S38" s="93">
        <v>0</v>
      </c>
      <c r="T38" s="94" t="s">
        <v>44</v>
      </c>
      <c r="U38" s="93">
        <v>0</v>
      </c>
      <c r="V38" s="94" t="s">
        <v>44</v>
      </c>
      <c r="W38" s="93">
        <v>0</v>
      </c>
      <c r="X38" s="94" t="s">
        <v>44</v>
      </c>
      <c r="Y38" s="93">
        <v>0</v>
      </c>
      <c r="Z38" s="94" t="s">
        <v>44</v>
      </c>
      <c r="AA38" s="99">
        <f t="shared" ref="AA38:AA40" si="4">SUM(C38:Z38)</f>
        <v>0</v>
      </c>
      <c r="AB38" s="94" t="s">
        <v>44</v>
      </c>
      <c r="AC38" s="93">
        <v>0</v>
      </c>
      <c r="AD38" s="94" t="s">
        <v>44</v>
      </c>
      <c r="AE38" s="96">
        <f>AA38-AC38</f>
        <v>0</v>
      </c>
      <c r="AF38" s="90"/>
    </row>
    <row r="39" spans="1:32">
      <c r="A39" s="98" t="s">
        <v>61</v>
      </c>
      <c r="B39" s="92" t="s">
        <v>44</v>
      </c>
      <c r="C39" s="93">
        <v>0</v>
      </c>
      <c r="D39" s="94" t="s">
        <v>44</v>
      </c>
      <c r="E39" s="93">
        <v>0</v>
      </c>
      <c r="F39" s="94" t="s">
        <v>44</v>
      </c>
      <c r="G39" s="93">
        <v>0</v>
      </c>
      <c r="H39" s="94" t="s">
        <v>44</v>
      </c>
      <c r="I39" s="93">
        <v>0</v>
      </c>
      <c r="J39" s="94" t="s">
        <v>44</v>
      </c>
      <c r="K39" s="93">
        <v>0</v>
      </c>
      <c r="L39" s="95" t="s">
        <v>44</v>
      </c>
      <c r="M39" s="93">
        <v>0</v>
      </c>
      <c r="N39" s="94" t="s">
        <v>44</v>
      </c>
      <c r="O39" s="93">
        <v>0</v>
      </c>
      <c r="P39" s="94" t="s">
        <v>44</v>
      </c>
      <c r="Q39" s="93">
        <v>0</v>
      </c>
      <c r="R39" s="94" t="s">
        <v>44</v>
      </c>
      <c r="S39" s="93">
        <v>0</v>
      </c>
      <c r="T39" s="94" t="s">
        <v>44</v>
      </c>
      <c r="U39" s="93">
        <v>0</v>
      </c>
      <c r="V39" s="94" t="s">
        <v>44</v>
      </c>
      <c r="W39" s="93">
        <v>0</v>
      </c>
      <c r="X39" s="94" t="s">
        <v>44</v>
      </c>
      <c r="Y39" s="93">
        <v>0</v>
      </c>
      <c r="Z39" s="94" t="s">
        <v>44</v>
      </c>
      <c r="AA39" s="99">
        <f t="shared" si="4"/>
        <v>0</v>
      </c>
      <c r="AB39" s="94"/>
      <c r="AC39" s="93">
        <v>0</v>
      </c>
      <c r="AD39" s="94" t="s">
        <v>44</v>
      </c>
      <c r="AE39" s="96">
        <f>AA39-AC39</f>
        <v>0</v>
      </c>
      <c r="AF39" s="90"/>
    </row>
    <row r="40" spans="1:32">
      <c r="A40" s="98" t="s">
        <v>60</v>
      </c>
      <c r="B40" s="100" t="s">
        <v>44</v>
      </c>
      <c r="C40" s="101">
        <v>0</v>
      </c>
      <c r="D40" s="102" t="s">
        <v>44</v>
      </c>
      <c r="E40" s="101">
        <v>0</v>
      </c>
      <c r="F40" s="102" t="s">
        <v>44</v>
      </c>
      <c r="G40" s="101">
        <v>0</v>
      </c>
      <c r="H40" s="102" t="s">
        <v>44</v>
      </c>
      <c r="I40" s="101">
        <v>0</v>
      </c>
      <c r="J40" s="102" t="s">
        <v>44</v>
      </c>
      <c r="K40" s="101">
        <v>0</v>
      </c>
      <c r="L40" s="103" t="s">
        <v>44</v>
      </c>
      <c r="M40" s="101">
        <v>0</v>
      </c>
      <c r="N40" s="102" t="s">
        <v>44</v>
      </c>
      <c r="O40" s="101">
        <v>0</v>
      </c>
      <c r="P40" s="102" t="s">
        <v>44</v>
      </c>
      <c r="Q40" s="101">
        <v>0</v>
      </c>
      <c r="R40" s="102" t="s">
        <v>44</v>
      </c>
      <c r="S40" s="101">
        <v>0</v>
      </c>
      <c r="T40" s="102" t="s">
        <v>44</v>
      </c>
      <c r="U40" s="101">
        <v>0</v>
      </c>
      <c r="V40" s="102" t="s">
        <v>44</v>
      </c>
      <c r="W40" s="101">
        <v>0</v>
      </c>
      <c r="X40" s="102" t="s">
        <v>44</v>
      </c>
      <c r="Y40" s="101">
        <v>0</v>
      </c>
      <c r="Z40" s="102" t="s">
        <v>44</v>
      </c>
      <c r="AA40" s="104">
        <f t="shared" si="4"/>
        <v>0</v>
      </c>
      <c r="AB40" s="102" t="s">
        <v>44</v>
      </c>
      <c r="AC40" s="101">
        <v>0</v>
      </c>
      <c r="AD40" s="102" t="s">
        <v>44</v>
      </c>
      <c r="AE40" s="105">
        <f>AA40-AC40</f>
        <v>0</v>
      </c>
      <c r="AF40" s="90"/>
    </row>
    <row r="41" spans="1:32">
      <c r="A41" s="98" t="s">
        <v>86</v>
      </c>
      <c r="B41" s="85" t="s">
        <v>44</v>
      </c>
      <c r="C41" s="23">
        <f>+C38+C39-C40</f>
        <v>0</v>
      </c>
      <c r="D41" s="86" t="s">
        <v>44</v>
      </c>
      <c r="E41" s="23">
        <f>+E38+E39-E40</f>
        <v>0</v>
      </c>
      <c r="F41" s="86" t="s">
        <v>44</v>
      </c>
      <c r="G41" s="23">
        <f>+G38+G39-G40</f>
        <v>0</v>
      </c>
      <c r="H41" s="86" t="s">
        <v>44</v>
      </c>
      <c r="I41" s="23">
        <f>+I38+I39-I40</f>
        <v>0</v>
      </c>
      <c r="J41" s="86" t="s">
        <v>44</v>
      </c>
      <c r="K41" s="23">
        <f>+K38+K39-K40</f>
        <v>0</v>
      </c>
      <c r="L41" s="87" t="s">
        <v>44</v>
      </c>
      <c r="M41" s="23">
        <f>+M38+M39-M40</f>
        <v>0</v>
      </c>
      <c r="N41" s="86" t="s">
        <v>44</v>
      </c>
      <c r="O41" s="23">
        <f>+O38+O39-O40</f>
        <v>0</v>
      </c>
      <c r="P41" s="86" t="s">
        <v>44</v>
      </c>
      <c r="Q41" s="23">
        <f>+Q38+Q39-Q40</f>
        <v>0</v>
      </c>
      <c r="R41" s="86" t="s">
        <v>44</v>
      </c>
      <c r="S41" s="23">
        <f>+S38+S39-S40</f>
        <v>0</v>
      </c>
      <c r="T41" s="86" t="s">
        <v>44</v>
      </c>
      <c r="U41" s="23">
        <f>+U38+U39-U40</f>
        <v>0</v>
      </c>
      <c r="V41" s="86" t="s">
        <v>44</v>
      </c>
      <c r="W41" s="23">
        <f>+W38+W39-W40</f>
        <v>0</v>
      </c>
      <c r="X41" s="86" t="s">
        <v>44</v>
      </c>
      <c r="Y41" s="23">
        <f>+Y38+Y39-Y40</f>
        <v>0</v>
      </c>
      <c r="Z41" s="86" t="s">
        <v>44</v>
      </c>
      <c r="AA41" s="23">
        <f>+AA38+AA39-AA40</f>
        <v>0</v>
      </c>
      <c r="AB41" s="86" t="s">
        <v>44</v>
      </c>
      <c r="AC41" s="23">
        <f>+AC38+AC39-AC40</f>
        <v>0</v>
      </c>
      <c r="AD41" s="86" t="s">
        <v>44</v>
      </c>
      <c r="AE41" s="107">
        <f>AA41-AC41</f>
        <v>0</v>
      </c>
      <c r="AF41" s="90"/>
    </row>
    <row r="42" spans="1:32">
      <c r="A42" s="91"/>
      <c r="B42" s="92"/>
      <c r="C42" s="93"/>
      <c r="D42" s="94"/>
      <c r="E42" s="93"/>
      <c r="F42" s="94"/>
      <c r="G42" s="93"/>
      <c r="H42" s="94"/>
      <c r="I42" s="93"/>
      <c r="J42" s="94"/>
      <c r="K42" s="93"/>
      <c r="L42" s="95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3"/>
      <c r="AE42" s="96"/>
      <c r="AF42" s="90"/>
    </row>
    <row r="43" spans="1:32">
      <c r="A43" s="106" t="s">
        <v>85</v>
      </c>
      <c r="B43" s="92"/>
      <c r="C43" s="93"/>
      <c r="D43" s="94"/>
      <c r="E43" s="93"/>
      <c r="F43" s="94"/>
      <c r="G43" s="93"/>
      <c r="H43" s="94"/>
      <c r="I43" s="93"/>
      <c r="J43" s="94"/>
      <c r="K43" s="93"/>
      <c r="L43" s="95"/>
      <c r="M43" s="93"/>
      <c r="N43" s="94"/>
      <c r="O43" s="93"/>
      <c r="P43" s="94"/>
      <c r="Q43" s="93"/>
      <c r="R43" s="94"/>
      <c r="S43" s="93"/>
      <c r="T43" s="94"/>
      <c r="U43" s="93"/>
      <c r="V43" s="94"/>
      <c r="W43" s="93"/>
      <c r="X43" s="94"/>
      <c r="Y43" s="93"/>
      <c r="Z43" s="94"/>
      <c r="AA43" s="93"/>
      <c r="AB43" s="94"/>
      <c r="AC43" s="93"/>
      <c r="AD43" s="93"/>
      <c r="AE43" s="96"/>
      <c r="AF43" s="90"/>
    </row>
    <row r="44" spans="1:32">
      <c r="A44" s="84" t="s">
        <v>43</v>
      </c>
      <c r="B44" s="92" t="s">
        <v>44</v>
      </c>
      <c r="C44" s="93">
        <v>0</v>
      </c>
      <c r="D44" s="94" t="s">
        <v>44</v>
      </c>
      <c r="E44" s="93">
        <f>+C47</f>
        <v>0</v>
      </c>
      <c r="F44" s="94" t="s">
        <v>44</v>
      </c>
      <c r="G44" s="93">
        <f>+E47</f>
        <v>0</v>
      </c>
      <c r="H44" s="94" t="s">
        <v>44</v>
      </c>
      <c r="I44" s="93">
        <f>+G47</f>
        <v>0</v>
      </c>
      <c r="J44" s="94" t="s">
        <v>44</v>
      </c>
      <c r="K44" s="93">
        <f>+I47</f>
        <v>0</v>
      </c>
      <c r="L44" s="95" t="s">
        <v>44</v>
      </c>
      <c r="M44" s="93">
        <f>+K47</f>
        <v>0</v>
      </c>
      <c r="N44" s="94" t="s">
        <v>44</v>
      </c>
      <c r="O44" s="93">
        <f>+M47</f>
        <v>0</v>
      </c>
      <c r="P44" s="94" t="s">
        <v>44</v>
      </c>
      <c r="Q44" s="93">
        <f>+O47</f>
        <v>0</v>
      </c>
      <c r="R44" s="94" t="s">
        <v>44</v>
      </c>
      <c r="S44" s="93">
        <f>+Q47</f>
        <v>0</v>
      </c>
      <c r="T44" s="94" t="s">
        <v>44</v>
      </c>
      <c r="U44" s="93">
        <f>+S47</f>
        <v>0</v>
      </c>
      <c r="V44" s="94" t="s">
        <v>44</v>
      </c>
      <c r="W44" s="93">
        <f>+U47</f>
        <v>0</v>
      </c>
      <c r="X44" s="94" t="s">
        <v>44</v>
      </c>
      <c r="Y44" s="93">
        <f>+W47</f>
        <v>0</v>
      </c>
      <c r="Z44" s="94" t="s">
        <v>44</v>
      </c>
      <c r="AA44" s="93">
        <f>+C44</f>
        <v>0</v>
      </c>
      <c r="AB44" s="94" t="s">
        <v>44</v>
      </c>
      <c r="AC44" s="93">
        <v>0</v>
      </c>
      <c r="AD44" s="94" t="s">
        <v>44</v>
      </c>
      <c r="AE44" s="96">
        <f>AA44-AC44</f>
        <v>0</v>
      </c>
      <c r="AF44" s="90"/>
    </row>
    <row r="45" spans="1:32">
      <c r="A45" s="98" t="s">
        <v>56</v>
      </c>
      <c r="B45" s="92" t="s">
        <v>44</v>
      </c>
      <c r="C45" s="93">
        <v>0</v>
      </c>
      <c r="D45" s="94" t="s">
        <v>44</v>
      </c>
      <c r="E45" s="93">
        <v>0</v>
      </c>
      <c r="F45" s="94" t="s">
        <v>44</v>
      </c>
      <c r="G45" s="93">
        <v>0</v>
      </c>
      <c r="H45" s="94" t="s">
        <v>44</v>
      </c>
      <c r="I45" s="93">
        <v>0</v>
      </c>
      <c r="J45" s="94" t="s">
        <v>44</v>
      </c>
      <c r="K45" s="93">
        <v>0</v>
      </c>
      <c r="L45" s="95" t="s">
        <v>44</v>
      </c>
      <c r="M45" s="93">
        <v>0</v>
      </c>
      <c r="N45" s="94" t="s">
        <v>44</v>
      </c>
      <c r="O45" s="93">
        <v>0</v>
      </c>
      <c r="P45" s="94" t="s">
        <v>44</v>
      </c>
      <c r="Q45" s="93">
        <v>0</v>
      </c>
      <c r="R45" s="94" t="s">
        <v>44</v>
      </c>
      <c r="S45" s="93">
        <v>0</v>
      </c>
      <c r="T45" s="94" t="s">
        <v>44</v>
      </c>
      <c r="U45" s="93">
        <v>0</v>
      </c>
      <c r="V45" s="94" t="s">
        <v>44</v>
      </c>
      <c r="W45" s="93">
        <v>0</v>
      </c>
      <c r="X45" s="94" t="s">
        <v>44</v>
      </c>
      <c r="Y45" s="93">
        <v>0</v>
      </c>
      <c r="Z45" s="94" t="s">
        <v>44</v>
      </c>
      <c r="AA45" s="99">
        <f t="shared" ref="AA45:AA46" si="5">SUM(C45:Z45)</f>
        <v>0</v>
      </c>
      <c r="AB45" s="94" t="s">
        <v>44</v>
      </c>
      <c r="AC45" s="93">
        <v>0</v>
      </c>
      <c r="AD45" s="94" t="s">
        <v>44</v>
      </c>
      <c r="AE45" s="96">
        <f>AA45-AC45</f>
        <v>0</v>
      </c>
      <c r="AF45" s="90"/>
    </row>
    <row r="46" spans="1:32">
      <c r="A46" s="98" t="s">
        <v>57</v>
      </c>
      <c r="B46" s="100" t="s">
        <v>44</v>
      </c>
      <c r="C46" s="101">
        <v>0</v>
      </c>
      <c r="D46" s="102" t="s">
        <v>44</v>
      </c>
      <c r="E46" s="101">
        <v>0</v>
      </c>
      <c r="F46" s="102" t="s">
        <v>44</v>
      </c>
      <c r="G46" s="101">
        <v>0</v>
      </c>
      <c r="H46" s="102" t="s">
        <v>44</v>
      </c>
      <c r="I46" s="101">
        <v>0</v>
      </c>
      <c r="J46" s="102" t="s">
        <v>44</v>
      </c>
      <c r="K46" s="101">
        <v>0</v>
      </c>
      <c r="L46" s="103" t="s">
        <v>44</v>
      </c>
      <c r="M46" s="101">
        <v>0</v>
      </c>
      <c r="N46" s="102" t="s">
        <v>44</v>
      </c>
      <c r="O46" s="101">
        <v>0</v>
      </c>
      <c r="P46" s="102" t="s">
        <v>44</v>
      </c>
      <c r="Q46" s="101">
        <v>0</v>
      </c>
      <c r="R46" s="102" t="s">
        <v>44</v>
      </c>
      <c r="S46" s="101">
        <v>0</v>
      </c>
      <c r="T46" s="102" t="s">
        <v>44</v>
      </c>
      <c r="U46" s="101">
        <v>0</v>
      </c>
      <c r="V46" s="102" t="s">
        <v>44</v>
      </c>
      <c r="W46" s="101">
        <v>0</v>
      </c>
      <c r="X46" s="102" t="s">
        <v>44</v>
      </c>
      <c r="Y46" s="101">
        <v>0</v>
      </c>
      <c r="Z46" s="102" t="s">
        <v>44</v>
      </c>
      <c r="AA46" s="104">
        <f t="shared" si="5"/>
        <v>0</v>
      </c>
      <c r="AB46" s="102" t="s">
        <v>44</v>
      </c>
      <c r="AC46" s="101">
        <v>0</v>
      </c>
      <c r="AD46" s="102" t="s">
        <v>44</v>
      </c>
      <c r="AE46" s="105">
        <f>AA46-AC46</f>
        <v>0</v>
      </c>
      <c r="AF46" s="90"/>
    </row>
    <row r="47" spans="1:32">
      <c r="A47" s="98" t="s">
        <v>58</v>
      </c>
      <c r="B47" s="85" t="s">
        <v>44</v>
      </c>
      <c r="C47" s="23">
        <f>+C44+C45-C46</f>
        <v>0</v>
      </c>
      <c r="D47" s="86" t="s">
        <v>44</v>
      </c>
      <c r="E47" s="23">
        <f>+E44+E45-E46</f>
        <v>0</v>
      </c>
      <c r="F47" s="86" t="s">
        <v>44</v>
      </c>
      <c r="G47" s="23">
        <f>+G44+G45-G46</f>
        <v>0</v>
      </c>
      <c r="H47" s="86" t="s">
        <v>44</v>
      </c>
      <c r="I47" s="23">
        <f>+I44+I45-I46</f>
        <v>0</v>
      </c>
      <c r="J47" s="86" t="s">
        <v>44</v>
      </c>
      <c r="K47" s="23">
        <f>+K44+K45-K46</f>
        <v>0</v>
      </c>
      <c r="L47" s="87" t="s">
        <v>44</v>
      </c>
      <c r="M47" s="23">
        <f>+M44+M45-M46</f>
        <v>0</v>
      </c>
      <c r="N47" s="86" t="s">
        <v>44</v>
      </c>
      <c r="O47" s="23">
        <f>+O44+O45-O46</f>
        <v>0</v>
      </c>
      <c r="P47" s="86" t="s">
        <v>44</v>
      </c>
      <c r="Q47" s="23">
        <f>+Q44+Q45-Q46</f>
        <v>0</v>
      </c>
      <c r="R47" s="86" t="s">
        <v>44</v>
      </c>
      <c r="S47" s="23">
        <f>+S44+S45-S46</f>
        <v>0</v>
      </c>
      <c r="T47" s="86" t="s">
        <v>44</v>
      </c>
      <c r="U47" s="23">
        <f>+U44+U45-U46</f>
        <v>0</v>
      </c>
      <c r="V47" s="86" t="s">
        <v>44</v>
      </c>
      <c r="W47" s="23">
        <f>+W44+W45-W46</f>
        <v>0</v>
      </c>
      <c r="X47" s="86" t="s">
        <v>44</v>
      </c>
      <c r="Y47" s="23">
        <f>+Y44+Y45-Y46</f>
        <v>0</v>
      </c>
      <c r="Z47" s="86" t="s">
        <v>44</v>
      </c>
      <c r="AA47" s="23">
        <f>+AA44+AA45-AA46</f>
        <v>0</v>
      </c>
      <c r="AB47" s="86" t="s">
        <v>44</v>
      </c>
      <c r="AC47" s="23">
        <f>+AC44+AC45-AC46</f>
        <v>0</v>
      </c>
      <c r="AD47" s="86" t="s">
        <v>44</v>
      </c>
      <c r="AE47" s="107">
        <f>AA47-AC47</f>
        <v>0</v>
      </c>
      <c r="AF47" s="90"/>
    </row>
    <row r="48" spans="1:32">
      <c r="A48" s="91"/>
      <c r="B48" s="92"/>
      <c r="C48" s="93"/>
      <c r="D48" s="94"/>
      <c r="E48" s="93"/>
      <c r="F48" s="94"/>
      <c r="G48" s="93"/>
      <c r="H48" s="94"/>
      <c r="I48" s="93"/>
      <c r="J48" s="94"/>
      <c r="K48" s="93"/>
      <c r="L48" s="95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3"/>
      <c r="AE48" s="96"/>
      <c r="AF48" s="90"/>
    </row>
    <row r="49" spans="1:32" ht="15.6">
      <c r="A49" s="114" t="s">
        <v>87</v>
      </c>
      <c r="B49" s="115" t="s">
        <v>44</v>
      </c>
      <c r="C49" s="116">
        <f>+C35+C41+C47</f>
        <v>0</v>
      </c>
      <c r="D49" s="117" t="s">
        <v>44</v>
      </c>
      <c r="E49" s="116">
        <f>+E35+E41+E47</f>
        <v>0</v>
      </c>
      <c r="F49" s="117" t="s">
        <v>44</v>
      </c>
      <c r="G49" s="116">
        <f>+G35+G41+G47</f>
        <v>0</v>
      </c>
      <c r="H49" s="117" t="s">
        <v>44</v>
      </c>
      <c r="I49" s="116">
        <f>+I35+I41+I47</f>
        <v>0</v>
      </c>
      <c r="J49" s="117" t="s">
        <v>44</v>
      </c>
      <c r="K49" s="116">
        <f>+K35+K41+K47</f>
        <v>0</v>
      </c>
      <c r="L49" s="118" t="s">
        <v>44</v>
      </c>
      <c r="M49" s="116">
        <f>+M35+M41+M47</f>
        <v>0</v>
      </c>
      <c r="N49" s="117" t="s">
        <v>44</v>
      </c>
      <c r="O49" s="116">
        <f>+O35+O41+O47</f>
        <v>0</v>
      </c>
      <c r="P49" s="117" t="s">
        <v>44</v>
      </c>
      <c r="Q49" s="116">
        <f>+Q35+Q41+Q47</f>
        <v>0</v>
      </c>
      <c r="R49" s="117" t="s">
        <v>44</v>
      </c>
      <c r="S49" s="116">
        <f>+S35+S41+S47</f>
        <v>0</v>
      </c>
      <c r="T49" s="117" t="s">
        <v>44</v>
      </c>
      <c r="U49" s="116">
        <f>+U35+U41+U47</f>
        <v>0</v>
      </c>
      <c r="V49" s="117" t="s">
        <v>44</v>
      </c>
      <c r="W49" s="116">
        <f>+W35+W41+W47</f>
        <v>0</v>
      </c>
      <c r="X49" s="117" t="s">
        <v>44</v>
      </c>
      <c r="Y49" s="116">
        <f>+Y35+Y41+Y47</f>
        <v>0</v>
      </c>
      <c r="Z49" s="117" t="s">
        <v>44</v>
      </c>
      <c r="AA49" s="116">
        <f>+AA35+AA41+AA47</f>
        <v>0</v>
      </c>
      <c r="AB49" s="117" t="s">
        <v>44</v>
      </c>
      <c r="AC49" s="116">
        <f>+AC35+AC41+AC47</f>
        <v>0</v>
      </c>
      <c r="AD49" s="117" t="s">
        <v>44</v>
      </c>
      <c r="AE49" s="119">
        <f>+AE35+AE41+AE47</f>
        <v>0</v>
      </c>
      <c r="AF49" s="120"/>
    </row>
    <row r="50" spans="1:32">
      <c r="B50" s="121"/>
      <c r="C50" s="122"/>
      <c r="D50" s="123"/>
      <c r="E50" s="122"/>
      <c r="F50" s="123"/>
      <c r="G50" s="122"/>
      <c r="H50" s="123"/>
      <c r="I50" s="122"/>
      <c r="J50" s="123"/>
      <c r="K50" s="122"/>
      <c r="L50" s="123"/>
      <c r="M50" s="122"/>
      <c r="N50" s="123"/>
      <c r="O50" s="122"/>
      <c r="P50" s="123"/>
      <c r="Q50" s="122"/>
      <c r="R50" s="123"/>
      <c r="S50" s="122"/>
      <c r="T50" s="123"/>
      <c r="U50" s="122"/>
      <c r="V50" s="123"/>
      <c r="W50" s="122"/>
      <c r="X50" s="123"/>
      <c r="Y50" s="122"/>
      <c r="Z50" s="123"/>
      <c r="AA50" s="124"/>
      <c r="AB50" s="123"/>
      <c r="AE50" s="122"/>
    </row>
  </sheetData>
  <mergeCells count="3">
    <mergeCell ref="C6:K6"/>
    <mergeCell ref="M6:Y6"/>
    <mergeCell ref="A4:AF4"/>
  </mergeCells>
  <printOptions horizontalCentered="1" gridLines="1"/>
  <pageMargins left="0.2" right="0.2" top="0.75" bottom="0.5" header="0.3" footer="0.3"/>
  <pageSetup scale="44" orientation="landscape" r:id="rId1"/>
  <headerFooter>
    <oddHeader>&amp;CCash Flow Projection
ISD with Fiscal Year Ending June 30</oddHead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B571677321E245ABC658B6DA4F29FA" ma:contentTypeVersion="7" ma:contentTypeDescription="Create a new document." ma:contentTypeScope="" ma:versionID="e6b83e7e8905ad8a4ef6200a712ef380">
  <xsd:schema xmlns:xsd="http://www.w3.org/2001/XMLSchema" xmlns:p="http://schemas.microsoft.com/office/2006/metadata/properties" xmlns:ns2="e2779737-15b4-45b5-945f-ac870c16383a" targetNamespace="http://schemas.microsoft.com/office/2006/metadata/properties" ma:root="true" ma:fieldsID="2a1d9400700090a5ba633230e4d528d8" ns2:_="">
    <xsd:import namespace="e2779737-15b4-45b5-945f-ac870c16383a"/>
    <xsd:element name="properties">
      <xsd:complexType>
        <xsd:sequence>
          <xsd:element name="documentManagement">
            <xsd:complexType>
              <xsd:all>
                <xsd:element ref="ns2:Physical_x0020_Location" minOccurs="0"/>
                <xsd:element ref="ns2:Hard_x0020_Copy_x0020_Kept_x0020_By" minOccurs="0"/>
                <xsd:element ref="ns2:FASRG_x0020_Version" minOccurs="0"/>
                <xsd:element ref="ns2:Document_x0020_Typ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e2779737-15b4-45b5-945f-ac870c16383a" elementFormDefault="qualified">
    <xsd:import namespace="http://schemas.microsoft.com/office/2006/documentManagement/types"/>
    <xsd:element name="Physical_x0020_Location" ma:index="8" nillable="true" ma:displayName="Physical Location" ma:default="" ma:internalName="Physical_x0020_Location">
      <xsd:simpleType>
        <xsd:restriction base="dms:Text">
          <xsd:maxLength value="255"/>
        </xsd:restriction>
      </xsd:simpleType>
    </xsd:element>
    <xsd:element name="Hard_x0020_Copy_x0020_Kept_x0020_By" ma:index="9" nillable="true" ma:displayName="Hard Copy Kept By" ma:default="" ma:internalName="Hard_x0020_Copy_x0020_Kept_x0020_By">
      <xsd:simpleType>
        <xsd:restriction base="dms:Text">
          <xsd:maxLength value="255"/>
        </xsd:restriction>
      </xsd:simpleType>
    </xsd:element>
    <xsd:element name="FASRG_x0020_Version" ma:index="10" nillable="true" ma:displayName="FASRG Version" ma:default="" ma:description="version number" ma:internalName="FASRG_x0020_Version">
      <xsd:simpleType>
        <xsd:restriction base="dms:Text">
          <xsd:maxLength value="10"/>
        </xsd:restriction>
      </xsd:simpleType>
    </xsd:element>
    <xsd:element name="Document_x0020_Type" ma:index="11" nillable="true" ma:displayName="Document Type" ma:default="Tracked Changes" ma:format="Dropdown" ma:internalName="Document_x0020_Type">
      <xsd:simpleType>
        <xsd:restriction base="dms:Choice">
          <xsd:enumeration value="Reviewed"/>
          <xsd:enumeration value="Tracked Changes"/>
          <xsd:enumeration value="Changes Accepted"/>
          <xsd:enumeration value="PDF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Document_x0020_Type xmlns="e2779737-15b4-45b5-945f-ac870c16383a">Tracked Changes</Document_x0020_Type>
    <FASRG_x0020_Version xmlns="e2779737-15b4-45b5-945f-ac870c16383a" xsi:nil="true"/>
    <Physical_x0020_Location xmlns="e2779737-15b4-45b5-945f-ac870c16383a" xsi:nil="true"/>
    <Hard_x0020_Copy_x0020_Kept_x0020_By xmlns="e2779737-15b4-45b5-945f-ac870c1638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130C9E-DDA5-4E9D-8FEC-408613AC2395}"/>
</file>

<file path=customXml/itemProps2.xml><?xml version="1.0" encoding="utf-8"?>
<ds:datastoreItem xmlns:ds="http://schemas.openxmlformats.org/officeDocument/2006/customXml" ds:itemID="{AE1ADC9F-3972-4858-9BA3-7ECB442FEE38}"/>
</file>

<file path=customXml/itemProps3.xml><?xml version="1.0" encoding="utf-8"?>
<ds:datastoreItem xmlns:ds="http://schemas.openxmlformats.org/officeDocument/2006/customXml" ds:itemID="{837B92AC-8B7E-4E00-A014-492AFBEB0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Budget</vt:lpstr>
      <vt:lpstr>Cash (FY ending Aug 31)</vt:lpstr>
      <vt:lpstr>Cash (FY ending Jun 30)</vt:lpstr>
      <vt:lpstr>Budget!Print_Area</vt:lpstr>
      <vt:lpstr>'Cash (FY ending Aug 31)'!Print_Area</vt:lpstr>
      <vt:lpstr>'Cash (FY ending Jun 30)'!Print_Area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ttelkes</dc:creator>
  <cp:lastModifiedBy>treyes</cp:lastModifiedBy>
  <cp:lastPrinted>2012-10-24T19:37:48Z</cp:lastPrinted>
  <dcterms:created xsi:type="dcterms:W3CDTF">2012-10-11T16:07:06Z</dcterms:created>
  <dcterms:modified xsi:type="dcterms:W3CDTF">2012-10-24T20:41:28Z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0x010100B2B571677321E245ABC658B6DA4F29FA</vt:lpwstr>
  </property>
</Properties>
</file>