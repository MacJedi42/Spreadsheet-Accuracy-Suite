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360" yWindow="135" windowWidth="19440" windowHeight="9525"/>
  </bookViews>
  <sheets>
    <sheet name="Time Report" sheetId="1" r:id="rId1"/>
  </sheets>
  <definedNames>
    <definedName name="_xlnm.Print_Area" localSheetId="0">'Time Report'!$A$14:$R$56</definedName>
  </definedNames>
  <calcPr calcId="145621"/>
</workbook>
</file>

<file path=xl/calcChain.xml><?xml version="1.0" encoding="utf-8"?>
<calcChain xmlns="http://schemas.openxmlformats.org/spreadsheetml/2006/main">
  <c r="I46" i="1" l="1"/>
  <c r="I47" i="1"/>
  <c r="I48" i="1"/>
  <c r="I49" i="1"/>
  <c r="I50" i="1"/>
  <c r="I45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B41" i="1"/>
  <c r="R28" i="1"/>
  <c r="R29" i="1"/>
  <c r="R30" i="1"/>
  <c r="R31" i="1"/>
  <c r="R32" i="1"/>
  <c r="R33" i="1"/>
  <c r="R34" i="1"/>
  <c r="R35" i="1"/>
  <c r="R36" i="1"/>
  <c r="R37" i="1"/>
  <c r="R38" i="1"/>
  <c r="R39" i="1"/>
  <c r="R27" i="1"/>
  <c r="H1" i="1"/>
  <c r="H2" i="1"/>
  <c r="B11" i="1"/>
  <c r="B10" i="1" s="1"/>
  <c r="B9" i="1" s="1"/>
  <c r="B8" i="1" s="1"/>
  <c r="B7" i="1" s="1"/>
  <c r="B6" i="1" s="1"/>
  <c r="B5" i="1" s="1"/>
  <c r="B4" i="1" s="1"/>
  <c r="B3" i="1" s="1"/>
  <c r="B2" i="1" s="1"/>
  <c r="B1" i="1" s="1"/>
  <c r="R40" i="1" l="1"/>
  <c r="R41" i="1"/>
  <c r="H3" i="1"/>
  <c r="B12" i="1"/>
  <c r="B25" i="1" l="1"/>
  <c r="D23" i="1" s="1"/>
  <c r="C25" i="1" l="1"/>
  <c r="D25" i="1" s="1"/>
  <c r="E25" i="1" s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Q26" i="1" s="1"/>
  <c r="B26" i="1"/>
  <c r="C26" i="1" l="1"/>
  <c r="D26" i="1" l="1"/>
  <c r="E26" i="1" l="1"/>
  <c r="F26" i="1" l="1"/>
  <c r="G26" i="1" l="1"/>
  <c r="H26" i="1" l="1"/>
  <c r="I26" i="1" l="1"/>
  <c r="J26" i="1" l="1"/>
  <c r="K26" i="1" l="1"/>
  <c r="L26" i="1" l="1"/>
  <c r="M26" i="1" l="1"/>
  <c r="N26" i="1" l="1"/>
  <c r="O26" i="1" l="1"/>
  <c r="P26" i="1" l="1"/>
</calcChain>
</file>

<file path=xl/sharedStrings.xml><?xml version="1.0" encoding="utf-8"?>
<sst xmlns="http://schemas.openxmlformats.org/spreadsheetml/2006/main" count="60" uniqueCount="58">
  <si>
    <t>TIME REPORT</t>
  </si>
  <si>
    <t>FORMPR99</t>
  </si>
  <si>
    <t>ERNCD</t>
  </si>
  <si>
    <t>REG</t>
  </si>
  <si>
    <t>OVT</t>
  </si>
  <si>
    <t>HOT</t>
  </si>
  <si>
    <t>SIC</t>
  </si>
  <si>
    <t>VAC</t>
  </si>
  <si>
    <t>HOL</t>
  </si>
  <si>
    <t>IC</t>
  </si>
  <si>
    <t>Account Number</t>
  </si>
  <si>
    <t>Position #</t>
  </si>
  <si>
    <t>Amount</t>
  </si>
  <si>
    <t>Pay Rate</t>
  </si>
  <si>
    <t>Hours</t>
  </si>
  <si>
    <t>*Shift Differential is reported as a separate line item to equal all hours worked at shift rate.</t>
  </si>
  <si>
    <t>Employee's Signature:</t>
  </si>
  <si>
    <t>Supervisor's Signature:</t>
  </si>
  <si>
    <t>Earnings Codes: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</si>
  <si>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</si>
  <si>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</si>
  <si>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</si>
  <si>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</si>
  <si>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</si>
  <si>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</si>
  <si>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</si>
  <si>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</si>
  <si>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</si>
  <si>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</si>
  <si>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</si>
  <si>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</si>
  <si>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Year:</t>
  </si>
  <si>
    <t>Month:</t>
  </si>
  <si>
    <t>Pay Period:</t>
  </si>
  <si>
    <t>TOTAL</t>
  </si>
  <si>
    <t xml:space="preserve">Employee Name:  </t>
  </si>
  <si>
    <t xml:space="preserve">Employee ID:  </t>
  </si>
  <si>
    <t xml:space="preserve">Record #:  </t>
  </si>
  <si>
    <t xml:space="preserve">College Name:  </t>
  </si>
  <si>
    <t xml:space="preserve">Position #:  </t>
  </si>
  <si>
    <t>I certify that the hours entered above are the hours worked by me in this pay period.</t>
  </si>
  <si>
    <t>I certify that the hours entered above are the hours worked in the pay period by the above named employee.</t>
  </si>
  <si>
    <t>PLEASE REMEMBER TO CALCULATE OVERTIME ACCURATELY</t>
  </si>
  <si>
    <t>REG-Regular</t>
  </si>
  <si>
    <t>OVT-Overtime</t>
  </si>
  <si>
    <t>HOT-1.5 Overtime</t>
  </si>
  <si>
    <t>SIC-Sick</t>
  </si>
  <si>
    <t>VAC-Vacation</t>
  </si>
  <si>
    <t>HOL-Holiday</t>
  </si>
  <si>
    <t>IC-Institutional Close</t>
  </si>
  <si>
    <t>BRV-Funeral Leave</t>
  </si>
  <si>
    <t>JD-Jury Duty</t>
  </si>
  <si>
    <t>EMC-Emergency Close</t>
  </si>
  <si>
    <t>*See Form PR99a for additional Earnings Codes.</t>
  </si>
  <si>
    <t>LWO-Leave w/out Pay</t>
  </si>
  <si>
    <t>Work Week: Sunday - Saturday</t>
  </si>
  <si>
    <t xml:space="preserve">Department :  </t>
  </si>
  <si>
    <t>HOURS WORKED IN ONE WORK WEEK MAY NOT BE USED IN A SUBSEQUENT WORKWEEK.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</si>
</sst>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d"/>
    <numFmt numFmtId="165" formatCode="d"/>
  </numFmts>
  <fonts count="12" x14ac:knownFonts="1">
    <font>
      <sz val="8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i/>
      <sz val="8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i/>
      <sz val="10"/>
      <color theme="1"/>
      <name val="Arial"/>
      <family val="2"/>
    </font>
    <font>
      <sz val="7"/>
      <color theme="1"/>
      <name val="Times New Roman"/>
      <family val="1"/>
    </font>
    <font>
      <b/>
      <sz val="12"/>
      <color theme="1"/>
      <name val="Arial"/>
      <family val="2"/>
    </font>
    <font>
      <sz val="8"/>
      <color rgb="FF000000"/>
      <name val="Tahoma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/>
    <xf numFmtId="0" fontId="0" fillId="0" borderId="0" xfId="0" applyFont="1"/>
    <xf numFmtId="0" fontId="1" fillId="0" borderId="0" xfId="0" applyFont="1" applyBorder="1"/>
    <xf numFmtId="0" fontId="0" fillId="0" borderId="0" xfId="0" applyFont="1" applyBorder="1"/>
    <xf numFmtId="0" fontId="1" fillId="0" borderId="0" xfId="0" applyFont="1" applyFill="1" applyBorder="1" applyAlignment="1"/>
    <xf numFmtId="0" fontId="1" fillId="0" borderId="3" xfId="0" applyFont="1" applyBorder="1"/>
    <xf numFmtId="0" fontId="1" fillId="0" borderId="0" xfId="0" applyFont="1" applyProtection="1">
      <protection hidden="1"/>
    </xf>
    <xf numFmtId="0" fontId="0" fillId="0" borderId="3" xfId="0" applyFont="1" applyBorder="1"/>
    <xf numFmtId="0" fontId="1" fillId="0" borderId="0" xfId="0" applyFont="1" applyProtection="1">
      <protection locked="0" hidden="1"/>
    </xf>
    <xf numFmtId="0" fontId="1" fillId="0" borderId="23" xfId="0" applyFont="1" applyFill="1" applyBorder="1" applyAlignment="1"/>
    <xf numFmtId="0" fontId="1" fillId="0" borderId="24" xfId="0" applyFont="1" applyBorder="1"/>
    <xf numFmtId="0" fontId="1" fillId="0" borderId="0" xfId="0" applyFont="1" applyAlignment="1">
      <alignment horizontal="left"/>
    </xf>
    <xf numFmtId="0" fontId="1" fillId="0" borderId="9" xfId="0" applyFont="1" applyFill="1" applyBorder="1" applyAlignment="1" applyProtection="1">
      <alignment horizontal="center"/>
      <protection locked="0"/>
    </xf>
    <xf numFmtId="0" fontId="1" fillId="0" borderId="8" xfId="0" applyFont="1" applyFill="1" applyBorder="1" applyAlignment="1" applyProtection="1">
      <alignment horizontal="center"/>
      <protection locked="0"/>
    </xf>
    <xf numFmtId="2" fontId="1" fillId="0" borderId="11" xfId="0" applyNumberFormat="1" applyFont="1" applyBorder="1" applyAlignment="1">
      <alignment horizontal="center"/>
    </xf>
    <xf numFmtId="2" fontId="1" fillId="0" borderId="12" xfId="0" applyNumberFormat="1" applyFont="1" applyBorder="1" applyAlignment="1">
      <alignment horizontal="center"/>
    </xf>
    <xf numFmtId="2" fontId="1" fillId="0" borderId="32" xfId="0" applyNumberFormat="1" applyFont="1" applyBorder="1" applyAlignment="1">
      <alignment horizontal="center"/>
    </xf>
    <xf numFmtId="2" fontId="1" fillId="0" borderId="4" xfId="0" applyNumberFormat="1" applyFont="1" applyBorder="1" applyAlignment="1" applyProtection="1">
      <alignment horizontal="center"/>
      <protection locked="0"/>
    </xf>
    <xf numFmtId="2" fontId="1" fillId="0" borderId="14" xfId="0" applyNumberFormat="1" applyFont="1" applyBorder="1" applyAlignment="1" applyProtection="1">
      <alignment horizontal="center"/>
      <protection locked="0"/>
    </xf>
    <xf numFmtId="2" fontId="1" fillId="0" borderId="1" xfId="0" applyNumberFormat="1" applyFont="1" applyBorder="1" applyAlignment="1" applyProtection="1">
      <alignment horizontal="center"/>
      <protection locked="0"/>
    </xf>
    <xf numFmtId="2" fontId="1" fillId="0" borderId="2" xfId="0" applyNumberFormat="1" applyFont="1" applyBorder="1" applyAlignment="1" applyProtection="1">
      <alignment horizontal="center"/>
      <protection locked="0"/>
    </xf>
    <xf numFmtId="0" fontId="2" fillId="2" borderId="6" xfId="0" applyFont="1" applyFill="1" applyBorder="1" applyAlignment="1" applyProtection="1">
      <alignment vertical="center"/>
    </xf>
    <xf numFmtId="0" fontId="3" fillId="2" borderId="7" xfId="0" applyFont="1" applyFill="1" applyBorder="1" applyAlignment="1" applyProtection="1">
      <alignment horizontal="right" vertical="center"/>
    </xf>
    <xf numFmtId="0" fontId="2" fillId="2" borderId="7" xfId="0" applyFont="1" applyFill="1" applyBorder="1" applyAlignment="1" applyProtection="1">
      <alignment vertical="center"/>
    </xf>
    <xf numFmtId="0" fontId="1" fillId="2" borderId="15" xfId="0" applyFont="1" applyFill="1" applyBorder="1" applyAlignment="1" applyProtection="1">
      <alignment vertical="center"/>
    </xf>
    <xf numFmtId="0" fontId="1" fillId="2" borderId="3" xfId="0" applyFont="1" applyFill="1" applyBorder="1"/>
    <xf numFmtId="165" fontId="1" fillId="2" borderId="5" xfId="0" applyNumberFormat="1" applyFont="1" applyFill="1" applyBorder="1" applyAlignment="1" applyProtection="1">
      <alignment horizontal="center"/>
    </xf>
    <xf numFmtId="165" fontId="1" fillId="2" borderId="16" xfId="0" applyNumberFormat="1" applyFont="1" applyFill="1" applyBorder="1" applyAlignment="1" applyProtection="1">
      <alignment horizontal="center"/>
    </xf>
    <xf numFmtId="164" fontId="1" fillId="2" borderId="4" xfId="0" applyNumberFormat="1" applyFont="1" applyFill="1" applyBorder="1" applyAlignment="1" applyProtection="1">
      <alignment horizontal="center"/>
    </xf>
    <xf numFmtId="164" fontId="1" fillId="2" borderId="14" xfId="0" applyNumberFormat="1" applyFont="1" applyFill="1" applyBorder="1" applyAlignment="1" applyProtection="1">
      <alignment horizontal="center"/>
    </xf>
    <xf numFmtId="0" fontId="0" fillId="2" borderId="1" xfId="0" applyFont="1" applyFill="1" applyBorder="1" applyAlignment="1">
      <alignment horizontal="center"/>
    </xf>
    <xf numFmtId="0" fontId="9" fillId="2" borderId="7" xfId="0" applyFont="1" applyFill="1" applyBorder="1" applyAlignment="1" applyProtection="1">
      <alignment horizontal="left" vertical="center"/>
    </xf>
    <xf numFmtId="0" fontId="1" fillId="0" borderId="7" xfId="0" applyFont="1" applyBorder="1"/>
    <xf numFmtId="14" fontId="1" fillId="0" borderId="7" xfId="0" applyNumberFormat="1" applyFont="1" applyBorder="1" applyAlignment="1"/>
    <xf numFmtId="0" fontId="1" fillId="0" borderId="7" xfId="0" applyFont="1" applyFill="1" applyBorder="1" applyAlignment="1"/>
    <xf numFmtId="0" fontId="3" fillId="2" borderId="38" xfId="0" applyFont="1" applyFill="1" applyBorder="1" applyAlignment="1">
      <alignment horizontal="left"/>
    </xf>
    <xf numFmtId="2" fontId="1" fillId="0" borderId="28" xfId="0" applyNumberFormat="1" applyFont="1" applyBorder="1" applyAlignment="1" applyProtection="1">
      <alignment horizontal="left"/>
      <protection locked="0"/>
    </xf>
    <xf numFmtId="2" fontId="1" fillId="0" borderId="37" xfId="0" applyNumberFormat="1" applyFont="1" applyBorder="1" applyAlignment="1" applyProtection="1">
      <alignment horizontal="left"/>
      <protection locked="0"/>
    </xf>
    <xf numFmtId="0" fontId="0" fillId="0" borderId="39" xfId="0" applyFont="1" applyBorder="1"/>
    <xf numFmtId="0" fontId="3" fillId="0" borderId="0" xfId="0" applyFont="1" applyBorder="1" applyAlignment="1">
      <alignment horizontal="right"/>
    </xf>
    <xf numFmtId="0" fontId="1" fillId="0" borderId="22" xfId="0" applyFont="1" applyBorder="1" applyAlignment="1"/>
    <xf numFmtId="0" fontId="1" fillId="0" borderId="0" xfId="0" applyFont="1" applyBorder="1" applyAlignment="1"/>
    <xf numFmtId="0" fontId="1" fillId="0" borderId="23" xfId="0" applyFont="1" applyBorder="1" applyAlignment="1"/>
    <xf numFmtId="0" fontId="11" fillId="0" borderId="0" xfId="0" applyFont="1"/>
    <xf numFmtId="0" fontId="3" fillId="0" borderId="0" xfId="0" applyFont="1"/>
    <xf numFmtId="0" fontId="8" fillId="2" borderId="33" xfId="0" applyFont="1" applyFill="1" applyBorder="1" applyAlignment="1">
      <alignment horizontal="left"/>
    </xf>
    <xf numFmtId="0" fontId="8" fillId="2" borderId="31" xfId="0" applyFont="1" applyFill="1" applyBorder="1" applyAlignment="1">
      <alignment horizontal="left"/>
    </xf>
    <xf numFmtId="0" fontId="8" fillId="0" borderId="22" xfId="0" applyFont="1" applyBorder="1" applyAlignment="1"/>
    <xf numFmtId="0" fontId="8" fillId="0" borderId="0" xfId="0" applyFont="1" applyBorder="1" applyAlignment="1"/>
    <xf numFmtId="0" fontId="8" fillId="0" borderId="15" xfId="0" applyFont="1" applyBorder="1" applyAlignment="1"/>
    <xf numFmtId="0" fontId="8" fillId="0" borderId="25" xfId="0" applyFont="1" applyBorder="1" applyAlignment="1"/>
    <xf numFmtId="0" fontId="1" fillId="0" borderId="2" xfId="0" applyFont="1" applyBorder="1" applyAlignment="1" applyProtection="1">
      <alignment horizontal="left"/>
      <protection locked="0"/>
    </xf>
    <xf numFmtId="0" fontId="1" fillId="0" borderId="28" xfId="0" applyFont="1" applyBorder="1" applyAlignment="1" applyProtection="1">
      <alignment horizontal="left"/>
      <protection locked="0"/>
    </xf>
    <xf numFmtId="0" fontId="1" fillId="0" borderId="36" xfId="0" applyFont="1" applyBorder="1" applyAlignment="1" applyProtection="1">
      <alignment horizontal="left"/>
      <protection locked="0"/>
    </xf>
    <xf numFmtId="0" fontId="1" fillId="0" borderId="37" xfId="0" applyFont="1" applyBorder="1" applyAlignment="1" applyProtection="1">
      <alignment horizontal="left"/>
      <protection locked="0"/>
    </xf>
    <xf numFmtId="2" fontId="1" fillId="0" borderId="2" xfId="0" applyNumberFormat="1" applyFont="1" applyBorder="1" applyAlignment="1" applyProtection="1">
      <alignment horizontal="center"/>
    </xf>
    <xf numFmtId="2" fontId="1" fillId="0" borderId="28" xfId="0" applyNumberFormat="1" applyFont="1" applyBorder="1" applyAlignment="1" applyProtection="1">
      <alignment horizontal="center"/>
    </xf>
    <xf numFmtId="2" fontId="1" fillId="0" borderId="36" xfId="0" applyNumberFormat="1" applyFont="1" applyBorder="1" applyAlignment="1" applyProtection="1">
      <alignment horizontal="center"/>
    </xf>
    <xf numFmtId="2" fontId="1" fillId="0" borderId="37" xfId="0" applyNumberFormat="1" applyFont="1" applyBorder="1" applyAlignment="1" applyProtection="1">
      <alignment horizontal="center"/>
    </xf>
    <xf numFmtId="49" fontId="1" fillId="0" borderId="2" xfId="0" applyNumberFormat="1" applyFont="1" applyBorder="1" applyAlignment="1" applyProtection="1">
      <alignment horizontal="left"/>
      <protection locked="0"/>
    </xf>
    <xf numFmtId="49" fontId="1" fillId="0" borderId="28" xfId="0" applyNumberFormat="1" applyFont="1" applyBorder="1" applyAlignment="1" applyProtection="1">
      <alignment horizontal="left"/>
      <protection locked="0"/>
    </xf>
    <xf numFmtId="49" fontId="1" fillId="0" borderId="36" xfId="0" applyNumberFormat="1" applyFont="1" applyBorder="1" applyAlignment="1" applyProtection="1">
      <alignment horizontal="left"/>
      <protection locked="0"/>
    </xf>
    <xf numFmtId="49" fontId="1" fillId="0" borderId="37" xfId="0" applyNumberFormat="1" applyFont="1" applyBorder="1" applyAlignment="1" applyProtection="1">
      <alignment horizontal="left"/>
      <protection locked="0"/>
    </xf>
    <xf numFmtId="49" fontId="1" fillId="0" borderId="29" xfId="0" applyNumberFormat="1" applyFont="1" applyBorder="1" applyAlignment="1" applyProtection="1">
      <alignment horizontal="left"/>
      <protection locked="0"/>
    </xf>
    <xf numFmtId="49" fontId="1" fillId="0" borderId="30" xfId="0" applyNumberFormat="1" applyFont="1" applyBorder="1" applyAlignment="1" applyProtection="1">
      <alignment horizontal="left"/>
      <protection locked="0"/>
    </xf>
    <xf numFmtId="49" fontId="1" fillId="0" borderId="15" xfId="0" applyNumberFormat="1" applyFont="1" applyBorder="1" applyAlignment="1" applyProtection="1">
      <alignment horizontal="left"/>
      <protection locked="0"/>
    </xf>
    <xf numFmtId="49" fontId="1" fillId="0" borderId="27" xfId="0" applyNumberFormat="1" applyFont="1" applyBorder="1" applyAlignment="1" applyProtection="1">
      <alignment horizontal="left"/>
      <protection locked="0"/>
    </xf>
    <xf numFmtId="0" fontId="3" fillId="2" borderId="2" xfId="0" applyFont="1" applyFill="1" applyBorder="1" applyAlignment="1">
      <alignment horizontal="left"/>
    </xf>
    <xf numFmtId="0" fontId="3" fillId="2" borderId="28" xfId="0" applyFont="1" applyFill="1" applyBorder="1" applyAlignment="1">
      <alignment horizontal="left"/>
    </xf>
    <xf numFmtId="0" fontId="3" fillId="2" borderId="29" xfId="0" applyFont="1" applyFill="1" applyBorder="1" applyAlignment="1">
      <alignment horizontal="left"/>
    </xf>
    <xf numFmtId="0" fontId="3" fillId="2" borderId="30" xfId="0" applyFont="1" applyFill="1" applyBorder="1" applyAlignment="1">
      <alignment horizontal="left"/>
    </xf>
    <xf numFmtId="0" fontId="3" fillId="2" borderId="3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49" fontId="1" fillId="0" borderId="0" xfId="0" applyNumberFormat="1" applyFont="1" applyBorder="1" applyAlignment="1" applyProtection="1">
      <alignment horizontal="left"/>
      <protection locked="0"/>
    </xf>
    <xf numFmtId="0" fontId="7" fillId="2" borderId="18" xfId="0" applyFont="1" applyFill="1" applyBorder="1" applyAlignment="1">
      <alignment horizontal="left" vertical="center"/>
    </xf>
    <xf numFmtId="0" fontId="7" fillId="2" borderId="19" xfId="0" applyFont="1" applyFill="1" applyBorder="1" applyAlignment="1">
      <alignment horizontal="left" vertical="center"/>
    </xf>
    <xf numFmtId="14" fontId="5" fillId="2" borderId="15" xfId="0" applyNumberFormat="1" applyFont="1" applyFill="1" applyBorder="1" applyAlignment="1" applyProtection="1">
      <alignment horizontal="left" vertical="center"/>
      <protection hidden="1"/>
    </xf>
    <xf numFmtId="14" fontId="5" fillId="2" borderId="3" xfId="0" applyNumberFormat="1" applyFont="1" applyFill="1" applyBorder="1" applyAlignment="1" applyProtection="1">
      <alignment horizontal="left" vertical="center"/>
      <protection hidden="1"/>
    </xf>
    <xf numFmtId="0" fontId="3" fillId="2" borderId="17" xfId="0" applyFont="1" applyFill="1" applyBorder="1" applyAlignment="1">
      <alignment horizontal="left"/>
    </xf>
    <xf numFmtId="0" fontId="3" fillId="2" borderId="18" xfId="0" applyFont="1" applyFill="1" applyBorder="1" applyAlignment="1">
      <alignment horizontal="left"/>
    </xf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3" fillId="2" borderId="13" xfId="0" applyFont="1" applyFill="1" applyBorder="1" applyAlignment="1" applyProtection="1">
      <alignment horizontal="center" vertical="center"/>
    </xf>
    <xf numFmtId="0" fontId="3" fillId="2" borderId="9" xfId="0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 vertical="top"/>
    </xf>
    <xf numFmtId="0" fontId="3" fillId="2" borderId="25" xfId="0" applyFont="1" applyFill="1" applyBorder="1" applyAlignment="1" applyProtection="1">
      <alignment horizontal="right" vertical="center"/>
    </xf>
    <xf numFmtId="0" fontId="3" fillId="2" borderId="15" xfId="0" applyFont="1" applyFill="1" applyBorder="1" applyAlignment="1" applyProtection="1">
      <alignment horizontal="right" vertical="center"/>
    </xf>
    <xf numFmtId="0" fontId="3" fillId="2" borderId="20" xfId="0" applyFont="1" applyFill="1" applyBorder="1" applyAlignment="1" applyProtection="1">
      <alignment horizontal="right" vertical="center"/>
    </xf>
    <xf numFmtId="0" fontId="3" fillId="2" borderId="3" xfId="0" applyFont="1" applyFill="1" applyBorder="1" applyAlignment="1" applyProtection="1">
      <alignment horizontal="right" vertical="center"/>
    </xf>
    <xf numFmtId="0" fontId="4" fillId="2" borderId="15" xfId="0" applyFont="1" applyFill="1" applyBorder="1" applyAlignment="1" applyProtection="1">
      <alignment horizontal="center" vertical="center"/>
    </xf>
    <xf numFmtId="0" fontId="4" fillId="2" borderId="27" xfId="0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 applyProtection="1">
      <alignment horizontal="center" vertical="center"/>
    </xf>
    <xf numFmtId="0" fontId="4" fillId="2" borderId="21" xfId="0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 applyProtection="1">
      <alignment horizontal="center" vertical="center"/>
    </xf>
    <xf numFmtId="0" fontId="3" fillId="2" borderId="19" xfId="0" applyFont="1" applyFill="1" applyBorder="1" applyAlignment="1" applyProtection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Lines="12" dropStyle="combo" dx="14" fmlaLink="$G$2" fmlaRange="$A$1:$A$12" sel="5" val="0"/>
</file>

<file path=xl/ctrlProps/ctrlProp2.xml><?xml version="1.0" encoding="utf-8"?>
<formControlPr xmlns="http://schemas.microsoft.com/office/spreadsheetml/2009/9/main" objectType="Radio" checked="Checked" firstButton="1" fmlaLink="$G$1" lockText="1"/>
</file>

<file path=xl/ctrlProps/ctrlProp3.xml><?xml version="1.0" encoding="utf-8"?>
<formControlPr xmlns="http://schemas.microsoft.com/office/spreadsheetml/2009/9/main" objectType="Radio" lockText="1"/>
</file>

<file path=xl/ctrlProps/ctrlProp4.xml><?xml version="1.0" encoding="utf-8"?>
<formControlPr xmlns="http://schemas.microsoft.com/office/spreadsheetml/2009/9/main" objectType="Drop" dropLines="12" dropStyle="combo" dx="14" fmlaLink="$G$3" fmlaRange="$B$1:$B$12" sel="1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21</xdr:row>
          <xdr:rowOff>66675</xdr:rowOff>
        </xdr:from>
        <xdr:to>
          <xdr:col>7</xdr:col>
          <xdr:colOff>438150</xdr:colOff>
          <xdr:row>21</xdr:row>
          <xdr:rowOff>266700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21</xdr:row>
          <xdr:rowOff>57150</xdr:rowOff>
        </xdr:from>
        <xdr:to>
          <xdr:col>11</xdr:col>
          <xdr:colOff>419100</xdr:colOff>
          <xdr:row>21</xdr:row>
          <xdr:rowOff>276225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1st</a:t>
              </a: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400050</xdr:colOff>
          <xdr:row>21</xdr:row>
          <xdr:rowOff>57150</xdr:rowOff>
        </xdr:from>
        <xdr:to>
          <xdr:col>12</xdr:col>
          <xdr:colOff>342900</xdr:colOff>
          <xdr:row>21</xdr:row>
          <xdr:rowOff>276225</xdr:rowOff>
        </xdr:to>
        <xdr:sp macro="" textlink="">
          <xdr:nvSpPr>
            <xdr:cNvPr id="1029" name="Option Button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2nd</a:t>
              </a: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21</xdr:row>
          <xdr:rowOff>66675</xdr:rowOff>
        </xdr:from>
        <xdr:to>
          <xdr:col>3</xdr:col>
          <xdr:colOff>257175</xdr:colOff>
          <xdr:row>21</xdr:row>
          <xdr:rowOff>266700</xdr:rowOff>
        </xdr:to>
        <xdr:sp macro="" textlink="">
          <xdr:nvSpPr>
            <xdr:cNvPr id="1030" name="Drop Down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9525</xdr:colOff>
      <xdr:row>13</xdr:row>
      <xdr:rowOff>9525</xdr:rowOff>
    </xdr:from>
    <xdr:to>
      <xdr:col>1</xdr:col>
      <xdr:colOff>466725</xdr:colOff>
      <xdr:row>17</xdr:row>
      <xdr:rowOff>38100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962025" cy="71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R55"/>
  <sheetViews>
    <sheetView showGridLines="0" tabSelected="1" topLeftCell="A14" zoomScaleNormal="100" workbookViewId="0">
      <selection activeCell="U32" sqref="U32"/>
    </sheetView>
  </sheetViews>
  <sheetFormatPr defaultColWidth="8.83203125" defaultRowHeight="13.5" customHeight="1" x14ac:dyDescent="0.2"/>
  <cols>
    <col min="1" max="4" width="8.83203125" style="1"/>
    <col min="5" max="5" width="10" style="1" bestFit="1" customWidth="1"/>
    <col min="6" max="16384" width="8.83203125" style="1"/>
  </cols>
  <sheetData>
    <row r="1" spans="1:18" ht="13.5" hidden="1" customHeight="1" x14ac:dyDescent="0.2">
      <c r="A1" s="10" t="s">
        <v>19</v>
      </c>
      <c r="B1" s="10">
        <f t="shared" ref="B1:B10" ca="1" si="0">B2-1</f>
        <v>2003</v>
      </c>
      <c r="C1" s="10">
        <v>1</v>
      </c>
      <c r="G1" s="12">
        <v>1</v>
      </c>
      <c r="H1" s="15">
        <f>INDEX(C1:C2,G1)</f>
        <v>1</v>
      </c>
    </row>
    <row r="2" spans="1:18" ht="13.5" hidden="1" customHeight="1" x14ac:dyDescent="0.2">
      <c r="A2" s="10" t="s">
        <v>20</v>
      </c>
      <c r="B2" s="10">
        <f t="shared" ca="1" si="0"/>
        <v>2004</v>
      </c>
      <c r="C2" s="10">
        <v>16</v>
      </c>
      <c r="G2" s="12">
        <v>5</v>
      </c>
      <c r="H2" s="15" t="str">
        <f>INDEX(A1:A12,G2)</f>
        <v>May</v>
      </c>
    </row>
    <row r="3" spans="1:18" ht="13.5" hidden="1" customHeight="1" x14ac:dyDescent="0.2">
      <c r="A3" s="10" t="s">
        <v>21</v>
      </c>
      <c r="B3" s="10">
        <f t="shared" ca="1" si="0"/>
        <v>2005</v>
      </c>
      <c r="G3" s="12">
        <v>11</v>
      </c>
      <c r="H3" s="15">
        <f ca="1">INDEX(B1:B12,G3)</f>
        <v>2013</v>
      </c>
    </row>
    <row r="4" spans="1:18" ht="13.5" hidden="1" customHeight="1" x14ac:dyDescent="0.2">
      <c r="A4" s="10" t="s">
        <v>22</v>
      </c>
      <c r="B4" s="10">
        <f t="shared" ca="1" si="0"/>
        <v>2006</v>
      </c>
    </row>
    <row r="5" spans="1:18" ht="13.5" hidden="1" customHeight="1" x14ac:dyDescent="0.2">
      <c r="A5" s="10" t="s">
        <v>23</v>
      </c>
      <c r="B5" s="10">
        <f t="shared" ca="1" si="0"/>
        <v>2007</v>
      </c>
    </row>
    <row r="6" spans="1:18" ht="13.5" hidden="1" customHeight="1" x14ac:dyDescent="0.2">
      <c r="A6" s="10" t="s">
        <v>24</v>
      </c>
      <c r="B6" s="10">
        <f t="shared" ca="1" si="0"/>
        <v>2008</v>
      </c>
    </row>
    <row r="7" spans="1:18" ht="13.5" hidden="1" customHeight="1" x14ac:dyDescent="0.2">
      <c r="A7" s="10" t="s">
        <v>25</v>
      </c>
      <c r="B7" s="10">
        <f t="shared" ca="1" si="0"/>
        <v>2009</v>
      </c>
    </row>
    <row r="8" spans="1:18" ht="13.5" hidden="1" customHeight="1" x14ac:dyDescent="0.2">
      <c r="A8" s="10" t="s">
        <v>26</v>
      </c>
      <c r="B8" s="10">
        <f t="shared" ca="1" si="0"/>
        <v>2010</v>
      </c>
    </row>
    <row r="9" spans="1:18" ht="13.5" hidden="1" customHeight="1" x14ac:dyDescent="0.2">
      <c r="A9" s="10" t="s">
        <v>27</v>
      </c>
      <c r="B9" s="10">
        <f t="shared" ca="1" si="0"/>
        <v>2011</v>
      </c>
    </row>
    <row r="10" spans="1:18" ht="13.5" hidden="1" customHeight="1" x14ac:dyDescent="0.2">
      <c r="A10" s="10" t="s">
        <v>28</v>
      </c>
      <c r="B10" s="10">
        <f t="shared" ca="1" si="0"/>
        <v>2012</v>
      </c>
    </row>
    <row r="11" spans="1:18" ht="13.5" hidden="1" customHeight="1" x14ac:dyDescent="0.2">
      <c r="A11" s="10" t="s">
        <v>29</v>
      </c>
      <c r="B11" s="10">
        <f ca="1">YEAR(NOW())</f>
        <v>2013</v>
      </c>
    </row>
    <row r="12" spans="1:18" ht="13.5" hidden="1" customHeight="1" x14ac:dyDescent="0.2">
      <c r="A12" s="10" t="s">
        <v>30</v>
      </c>
      <c r="B12" s="10">
        <f t="shared" ref="B12" ca="1" si="1">B11+1</f>
        <v>2014</v>
      </c>
    </row>
    <row r="13" spans="1:18" ht="13.5" hidden="1" customHeight="1" x14ac:dyDescent="0.2"/>
    <row r="14" spans="1:18" ht="13.5" customHeight="1" x14ac:dyDescent="0.2">
      <c r="C14" s="3"/>
      <c r="D14" s="88" t="s">
        <v>0</v>
      </c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3"/>
      <c r="Q14" s="84" t="s">
        <v>1</v>
      </c>
      <c r="R14" s="84"/>
    </row>
    <row r="15" spans="1:18" ht="13.5" customHeight="1" x14ac:dyDescent="0.2"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Q15" s="85">
        <v>41211</v>
      </c>
      <c r="R15" s="85"/>
    </row>
    <row r="16" spans="1:18" ht="13.5" customHeight="1" thickBot="1" x14ac:dyDescent="0.25"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 spans="1:18" ht="13.5" customHeight="1" x14ac:dyDescent="0.2">
      <c r="D17" s="44"/>
      <c r="E17" s="45"/>
      <c r="F17" s="43" t="s">
        <v>35</v>
      </c>
      <c r="G17" s="77"/>
      <c r="H17" s="77"/>
      <c r="I17" s="77"/>
      <c r="J17" s="77"/>
      <c r="K17" s="45"/>
      <c r="L17" s="45"/>
      <c r="M17" s="43" t="s">
        <v>38</v>
      </c>
      <c r="N17" s="77"/>
      <c r="O17" s="77"/>
      <c r="P17" s="77"/>
      <c r="Q17" s="77"/>
      <c r="R17" s="46"/>
    </row>
    <row r="18" spans="1:18" ht="13.5" customHeight="1" x14ac:dyDescent="0.2">
      <c r="B18" s="6"/>
      <c r="D18" s="44"/>
      <c r="E18" s="45"/>
      <c r="F18" s="43" t="s">
        <v>36</v>
      </c>
      <c r="G18" s="77"/>
      <c r="H18" s="77"/>
      <c r="I18" s="77"/>
      <c r="J18" s="77"/>
      <c r="K18" s="45"/>
      <c r="L18" s="45"/>
      <c r="M18" s="43" t="s">
        <v>56</v>
      </c>
      <c r="N18" s="77"/>
      <c r="O18" s="77"/>
      <c r="P18" s="77"/>
      <c r="Q18" s="77"/>
      <c r="R18" s="13"/>
    </row>
    <row r="19" spans="1:18" ht="13.5" customHeight="1" thickBot="1" x14ac:dyDescent="0.25">
      <c r="B19" s="6"/>
      <c r="D19" s="44"/>
      <c r="E19" s="45"/>
      <c r="F19" s="43" t="s">
        <v>37</v>
      </c>
      <c r="G19" s="77"/>
      <c r="H19" s="77"/>
      <c r="I19" s="77"/>
      <c r="J19" s="77"/>
      <c r="K19" s="45"/>
      <c r="L19" s="45"/>
      <c r="M19" s="43" t="s">
        <v>39</v>
      </c>
      <c r="N19" s="77"/>
      <c r="O19" s="77"/>
      <c r="P19" s="77"/>
      <c r="Q19" s="77"/>
      <c r="R19" s="13"/>
    </row>
    <row r="20" spans="1:18" ht="13.5" customHeight="1" x14ac:dyDescent="0.2"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7"/>
      <c r="O20" s="36"/>
      <c r="P20" s="36"/>
      <c r="Q20" s="36"/>
      <c r="R20" s="38"/>
    </row>
    <row r="21" spans="1:18" ht="13.5" customHeight="1" thickBot="1" x14ac:dyDescent="0.25">
      <c r="B21" s="6"/>
      <c r="P21" s="4"/>
      <c r="R21" s="8"/>
    </row>
    <row r="22" spans="1:18" ht="27" customHeight="1" x14ac:dyDescent="0.2">
      <c r="A22" s="25"/>
      <c r="B22" s="26" t="s">
        <v>31</v>
      </c>
      <c r="C22" s="35"/>
      <c r="D22" s="27"/>
      <c r="E22" s="27"/>
      <c r="F22" s="26" t="s">
        <v>32</v>
      </c>
      <c r="G22" s="35"/>
      <c r="H22" s="27"/>
      <c r="I22" s="27"/>
      <c r="J22" s="27"/>
      <c r="K22" s="26" t="s">
        <v>33</v>
      </c>
      <c r="L22" s="35"/>
      <c r="M22" s="27"/>
      <c r="N22" s="27"/>
      <c r="O22" s="97" t="s">
        <v>55</v>
      </c>
      <c r="P22" s="97"/>
      <c r="Q22" s="97"/>
      <c r="R22" s="98"/>
    </row>
    <row r="23" spans="1:18" ht="13.5" customHeight="1" x14ac:dyDescent="0.2">
      <c r="A23" s="89" t="s">
        <v>33</v>
      </c>
      <c r="B23" s="90"/>
      <c r="C23" s="90"/>
      <c r="D23" s="80" t="str">
        <f ca="1">TEXT(DATE(H3,G2,H1),"mm/dd/yyyy")&amp;" - "&amp;TEXT(IF(DAY(B25)=1,DATE(H3,G2,"15"),DATE(H3,G2+1,0)),"mm/dd/yyyy")</f>
        <v>05/01/2013 - 05/15/2013</v>
      </c>
      <c r="E23" s="80"/>
      <c r="F23" s="80"/>
      <c r="G23" s="80"/>
      <c r="H23" s="80"/>
      <c r="I23" s="28"/>
      <c r="J23" s="93" t="s">
        <v>42</v>
      </c>
      <c r="K23" s="93"/>
      <c r="L23" s="93"/>
      <c r="M23" s="93"/>
      <c r="N23" s="93"/>
      <c r="O23" s="93"/>
      <c r="P23" s="93"/>
      <c r="Q23" s="93"/>
      <c r="R23" s="94"/>
    </row>
    <row r="24" spans="1:18" ht="13.5" customHeight="1" x14ac:dyDescent="0.2">
      <c r="A24" s="91"/>
      <c r="B24" s="92"/>
      <c r="C24" s="92"/>
      <c r="D24" s="81"/>
      <c r="E24" s="81"/>
      <c r="F24" s="81"/>
      <c r="G24" s="81"/>
      <c r="H24" s="81"/>
      <c r="I24" s="29"/>
      <c r="J24" s="95"/>
      <c r="K24" s="95"/>
      <c r="L24" s="95"/>
      <c r="M24" s="95"/>
      <c r="N24" s="95"/>
      <c r="O24" s="95"/>
      <c r="P24" s="95"/>
      <c r="Q24" s="95"/>
      <c r="R24" s="96"/>
    </row>
    <row r="25" spans="1:18" s="5" customFormat="1" ht="13.5" customHeight="1" x14ac:dyDescent="0.2">
      <c r="A25" s="86" t="s">
        <v>2</v>
      </c>
      <c r="B25" s="30">
        <f ca="1">DATE($H$3,$G$2,$H$1)</f>
        <v>41395</v>
      </c>
      <c r="C25" s="30">
        <f ca="1">IF(B25="","",IF(MONTH(B25+1)&gt;MONTH(B25),"",B25+1))</f>
        <v>41396</v>
      </c>
      <c r="D25" s="30">
        <f t="shared" ref="D25:P25" ca="1" si="2">IF(C25="","",IF(MONTH(C25+1)&gt;MONTH(C25),"",C25+1))</f>
        <v>41397</v>
      </c>
      <c r="E25" s="30">
        <f t="shared" ca="1" si="2"/>
        <v>41398</v>
      </c>
      <c r="F25" s="30">
        <f t="shared" ca="1" si="2"/>
        <v>41399</v>
      </c>
      <c r="G25" s="30">
        <f t="shared" ca="1" si="2"/>
        <v>41400</v>
      </c>
      <c r="H25" s="30">
        <f t="shared" ca="1" si="2"/>
        <v>41401</v>
      </c>
      <c r="I25" s="30">
        <f t="shared" ca="1" si="2"/>
        <v>41402</v>
      </c>
      <c r="J25" s="30">
        <f t="shared" ca="1" si="2"/>
        <v>41403</v>
      </c>
      <c r="K25" s="30">
        <f t="shared" ca="1" si="2"/>
        <v>41404</v>
      </c>
      <c r="L25" s="30">
        <f t="shared" ca="1" si="2"/>
        <v>41405</v>
      </c>
      <c r="M25" s="30">
        <f t="shared" ca="1" si="2"/>
        <v>41406</v>
      </c>
      <c r="N25" s="30">
        <f t="shared" ca="1" si="2"/>
        <v>41407</v>
      </c>
      <c r="O25" s="30">
        <f t="shared" ca="1" si="2"/>
        <v>41408</v>
      </c>
      <c r="P25" s="31">
        <f t="shared" ca="1" si="2"/>
        <v>41409</v>
      </c>
      <c r="Q25" s="30" t="str">
        <f>IF(G1=1,"",IF(P25="","",IF(MONTH(P25+1)&gt;MONTH(P25),"",P25+1)))</f>
        <v/>
      </c>
      <c r="R25" s="99" t="s">
        <v>34</v>
      </c>
    </row>
    <row r="26" spans="1:18" s="5" customFormat="1" ht="13.5" customHeight="1" x14ac:dyDescent="0.2">
      <c r="A26" s="87"/>
      <c r="B26" s="32">
        <f ca="1">B25</f>
        <v>41395</v>
      </c>
      <c r="C26" s="32">
        <f t="shared" ref="C26:Q26" ca="1" si="3">C25</f>
        <v>41396</v>
      </c>
      <c r="D26" s="32">
        <f t="shared" ca="1" si="3"/>
        <v>41397</v>
      </c>
      <c r="E26" s="32">
        <f t="shared" ca="1" si="3"/>
        <v>41398</v>
      </c>
      <c r="F26" s="32">
        <f t="shared" ca="1" si="3"/>
        <v>41399</v>
      </c>
      <c r="G26" s="32">
        <f t="shared" ca="1" si="3"/>
        <v>41400</v>
      </c>
      <c r="H26" s="32">
        <f t="shared" ca="1" si="3"/>
        <v>41401</v>
      </c>
      <c r="I26" s="32">
        <f t="shared" ca="1" si="3"/>
        <v>41402</v>
      </c>
      <c r="J26" s="32">
        <f t="shared" ca="1" si="3"/>
        <v>41403</v>
      </c>
      <c r="K26" s="32">
        <f t="shared" ca="1" si="3"/>
        <v>41404</v>
      </c>
      <c r="L26" s="32">
        <f t="shared" ca="1" si="3"/>
        <v>41405</v>
      </c>
      <c r="M26" s="32">
        <f t="shared" ca="1" si="3"/>
        <v>41406</v>
      </c>
      <c r="N26" s="32">
        <f t="shared" ca="1" si="3"/>
        <v>41407</v>
      </c>
      <c r="O26" s="32">
        <f t="shared" ca="1" si="3"/>
        <v>41408</v>
      </c>
      <c r="P26" s="33">
        <f t="shared" ca="1" si="3"/>
        <v>41409</v>
      </c>
      <c r="Q26" s="33" t="str">
        <f t="shared" si="3"/>
        <v/>
      </c>
      <c r="R26" s="100"/>
    </row>
    <row r="27" spans="1:18" s="5" customFormat="1" ht="13.5" customHeight="1" x14ac:dyDescent="0.2">
      <c r="A27" s="16" t="s">
        <v>3</v>
      </c>
      <c r="B27" s="21">
        <v>7.5</v>
      </c>
      <c r="C27" s="21">
        <v>7.5</v>
      </c>
      <c r="D27" s="21">
        <v>7.5</v>
      </c>
      <c r="E27" s="21">
        <v>7.5</v>
      </c>
      <c r="F27" s="21"/>
      <c r="G27" s="21"/>
      <c r="H27" s="21">
        <v>7.5</v>
      </c>
      <c r="I27" s="21">
        <v>7.5</v>
      </c>
      <c r="J27" s="21">
        <v>7.5</v>
      </c>
      <c r="K27" s="21">
        <v>7.5</v>
      </c>
      <c r="L27" s="21">
        <v>7.5</v>
      </c>
      <c r="M27" s="21"/>
      <c r="N27" s="21"/>
      <c r="O27" s="21">
        <v>7.5</v>
      </c>
      <c r="P27" s="22">
        <v>7.5</v>
      </c>
      <c r="Q27" s="23"/>
      <c r="R27" s="18">
        <f>IF(SUM(B27:Q27)=0,"-",SUM(B27:Q27))</f>
        <v>82.5</v>
      </c>
    </row>
    <row r="28" spans="1:18" s="5" customFormat="1" ht="13.5" customHeight="1" x14ac:dyDescent="0.2">
      <c r="A28" s="17" t="s">
        <v>4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4"/>
      <c r="Q28" s="23"/>
      <c r="R28" s="18" t="str">
        <f t="shared" ref="R28:R39" si="4">IF(SUM(B28:Q28)=0,"-",SUM(B28:Q28))</f>
        <v>-</v>
      </c>
    </row>
    <row r="29" spans="1:18" s="5" customFormat="1" ht="13.5" customHeight="1" x14ac:dyDescent="0.2">
      <c r="A29" s="17" t="s">
        <v>5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4"/>
      <c r="Q29" s="23"/>
      <c r="R29" s="18" t="str">
        <f t="shared" si="4"/>
        <v>-</v>
      </c>
    </row>
    <row r="30" spans="1:18" s="5" customFormat="1" ht="13.5" customHeight="1" x14ac:dyDescent="0.2">
      <c r="A30" s="17" t="s">
        <v>6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4"/>
      <c r="Q30" s="23"/>
      <c r="R30" s="18" t="str">
        <f t="shared" si="4"/>
        <v>-</v>
      </c>
    </row>
    <row r="31" spans="1:18" s="5" customFormat="1" ht="13.5" customHeight="1" x14ac:dyDescent="0.2">
      <c r="A31" s="17" t="s">
        <v>7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4"/>
      <c r="Q31" s="23"/>
      <c r="R31" s="18" t="str">
        <f t="shared" si="4"/>
        <v>-</v>
      </c>
    </row>
    <row r="32" spans="1:18" s="5" customFormat="1" ht="13.5" customHeight="1" x14ac:dyDescent="0.2">
      <c r="A32" s="17" t="s">
        <v>8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4"/>
      <c r="Q32" s="23"/>
      <c r="R32" s="18" t="str">
        <f t="shared" si="4"/>
        <v>-</v>
      </c>
    </row>
    <row r="33" spans="1:18" s="5" customFormat="1" ht="13.5" customHeight="1" x14ac:dyDescent="0.2">
      <c r="A33" s="17" t="s">
        <v>9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4"/>
      <c r="Q33" s="23"/>
      <c r="R33" s="18" t="str">
        <f t="shared" si="4"/>
        <v>-</v>
      </c>
    </row>
    <row r="34" spans="1:18" s="5" customFormat="1" ht="13.5" customHeight="1" x14ac:dyDescent="0.2">
      <c r="A34" s="17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4"/>
      <c r="Q34" s="23"/>
      <c r="R34" s="18" t="str">
        <f t="shared" si="4"/>
        <v>-</v>
      </c>
    </row>
    <row r="35" spans="1:18" s="5" customFormat="1" ht="13.5" customHeight="1" x14ac:dyDescent="0.2">
      <c r="A35" s="17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4"/>
      <c r="Q35" s="23"/>
      <c r="R35" s="18" t="str">
        <f t="shared" si="4"/>
        <v>-</v>
      </c>
    </row>
    <row r="36" spans="1:18" s="5" customFormat="1" ht="13.5" customHeight="1" x14ac:dyDescent="0.2">
      <c r="A36" s="17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4"/>
      <c r="Q36" s="23"/>
      <c r="R36" s="18" t="str">
        <f t="shared" si="4"/>
        <v>-</v>
      </c>
    </row>
    <row r="37" spans="1:18" s="5" customFormat="1" ht="13.5" customHeight="1" x14ac:dyDescent="0.2">
      <c r="A37" s="17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4"/>
      <c r="Q37" s="23"/>
      <c r="R37" s="18" t="str">
        <f t="shared" si="4"/>
        <v>-</v>
      </c>
    </row>
    <row r="38" spans="1:18" s="5" customFormat="1" ht="13.5" customHeight="1" x14ac:dyDescent="0.2">
      <c r="A38" s="17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4"/>
      <c r="Q38" s="23"/>
      <c r="R38" s="18" t="str">
        <f t="shared" si="4"/>
        <v>-</v>
      </c>
    </row>
    <row r="39" spans="1:18" s="5" customFormat="1" ht="13.5" customHeight="1" x14ac:dyDescent="0.2">
      <c r="A39" s="17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18" t="str">
        <f t="shared" si="4"/>
        <v>-</v>
      </c>
    </row>
    <row r="40" spans="1:18" s="5" customFormat="1" ht="13.5" customHeight="1" x14ac:dyDescent="0.2">
      <c r="A40" s="75" t="s">
        <v>34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18">
        <f>IF(SUM(R27:R39)=0,"-",SUM(R27:R39))</f>
        <v>82.5</v>
      </c>
    </row>
    <row r="41" spans="1:18" s="5" customFormat="1" ht="13.5" customHeight="1" thickBot="1" x14ac:dyDescent="0.25">
      <c r="A41" s="76"/>
      <c r="B41" s="20">
        <f>IF(SUM(B27:B39)=0,"-",SUM(B27:B39))</f>
        <v>7.5</v>
      </c>
      <c r="C41" s="20">
        <f t="shared" ref="C41:Q41" si="5">IF(SUM(C27:C39)=0,"-",SUM(C27:C39))</f>
        <v>7.5</v>
      </c>
      <c r="D41" s="20">
        <f t="shared" si="5"/>
        <v>7.5</v>
      </c>
      <c r="E41" s="20">
        <f t="shared" si="5"/>
        <v>7.5</v>
      </c>
      <c r="F41" s="20" t="str">
        <f t="shared" si="5"/>
        <v>-</v>
      </c>
      <c r="G41" s="20" t="str">
        <f t="shared" si="5"/>
        <v>-</v>
      </c>
      <c r="H41" s="20">
        <f t="shared" si="5"/>
        <v>7.5</v>
      </c>
      <c r="I41" s="20">
        <f t="shared" si="5"/>
        <v>7.5</v>
      </c>
      <c r="J41" s="20">
        <f t="shared" si="5"/>
        <v>7.5</v>
      </c>
      <c r="K41" s="20">
        <f t="shared" si="5"/>
        <v>7.5</v>
      </c>
      <c r="L41" s="20">
        <f t="shared" si="5"/>
        <v>7.5</v>
      </c>
      <c r="M41" s="20" t="str">
        <f t="shared" si="5"/>
        <v>-</v>
      </c>
      <c r="N41" s="20" t="str">
        <f t="shared" si="5"/>
        <v>-</v>
      </c>
      <c r="O41" s="20">
        <f t="shared" si="5"/>
        <v>7.5</v>
      </c>
      <c r="P41" s="20">
        <f t="shared" si="5"/>
        <v>7.5</v>
      </c>
      <c r="Q41" s="20" t="str">
        <f t="shared" si="5"/>
        <v>-</v>
      </c>
      <c r="R41" s="19">
        <f>IF(SUM(B40:Q41)=0,"-",SUM(B40:Q41))</f>
        <v>82.5</v>
      </c>
    </row>
    <row r="42" spans="1:18" s="5" customFormat="1" ht="13.5" customHeight="1" thickBot="1" x14ac:dyDescent="0.25"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s="5" customFormat="1" ht="13.5" customHeight="1" x14ac:dyDescent="0.2">
      <c r="A43" s="82" t="s">
        <v>18</v>
      </c>
      <c r="B43" s="83"/>
      <c r="C43" s="83"/>
      <c r="D43" s="83"/>
      <c r="E43" s="42"/>
      <c r="F43" s="78" t="s">
        <v>15</v>
      </c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9"/>
    </row>
    <row r="44" spans="1:18" s="5" customFormat="1" ht="13.5" customHeight="1" x14ac:dyDescent="0.2">
      <c r="A44" s="54" t="s">
        <v>43</v>
      </c>
      <c r="B44" s="53"/>
      <c r="C44" s="53" t="s">
        <v>49</v>
      </c>
      <c r="D44" s="53"/>
      <c r="E44" s="42"/>
      <c r="F44" s="39" t="s">
        <v>14</v>
      </c>
      <c r="G44" s="71" t="s">
        <v>13</v>
      </c>
      <c r="H44" s="72"/>
      <c r="I44" s="71" t="s">
        <v>12</v>
      </c>
      <c r="J44" s="72"/>
      <c r="K44" s="71" t="s">
        <v>11</v>
      </c>
      <c r="L44" s="72"/>
      <c r="M44" s="71" t="s">
        <v>10</v>
      </c>
      <c r="N44" s="73"/>
      <c r="O44" s="73"/>
      <c r="P44" s="73"/>
      <c r="Q44" s="73"/>
      <c r="R44" s="74"/>
    </row>
    <row r="45" spans="1:18" s="5" customFormat="1" ht="13.5" customHeight="1" x14ac:dyDescent="0.2">
      <c r="A45" s="51" t="s">
        <v>44</v>
      </c>
      <c r="B45" s="52"/>
      <c r="C45" s="52" t="s">
        <v>50</v>
      </c>
      <c r="D45" s="52"/>
      <c r="E45" s="42"/>
      <c r="F45" s="40"/>
      <c r="G45" s="55"/>
      <c r="H45" s="56"/>
      <c r="I45" s="59" t="str">
        <f>IF((F45*G45)=0,"-",(F45*G45))</f>
        <v>-</v>
      </c>
      <c r="J45" s="60"/>
      <c r="K45" s="63"/>
      <c r="L45" s="64"/>
      <c r="M45" s="63"/>
      <c r="N45" s="67"/>
      <c r="O45" s="67"/>
      <c r="P45" s="67"/>
      <c r="Q45" s="67"/>
      <c r="R45" s="68"/>
    </row>
    <row r="46" spans="1:18" s="5" customFormat="1" ht="13.5" customHeight="1" x14ac:dyDescent="0.2">
      <c r="A46" s="51" t="s">
        <v>45</v>
      </c>
      <c r="B46" s="52"/>
      <c r="C46" s="52" t="s">
        <v>51</v>
      </c>
      <c r="D46" s="52"/>
      <c r="E46" s="42"/>
      <c r="F46" s="40"/>
      <c r="G46" s="55"/>
      <c r="H46" s="56"/>
      <c r="I46" s="59" t="str">
        <f t="shared" ref="I46:I50" si="6">IF((F46*G46)=0,"-",(F46*G46))</f>
        <v>-</v>
      </c>
      <c r="J46" s="60"/>
      <c r="K46" s="63"/>
      <c r="L46" s="64"/>
      <c r="M46" s="63"/>
      <c r="N46" s="67"/>
      <c r="O46" s="67"/>
      <c r="P46" s="67"/>
      <c r="Q46" s="67"/>
      <c r="R46" s="68"/>
    </row>
    <row r="47" spans="1:18" s="5" customFormat="1" ht="13.5" customHeight="1" x14ac:dyDescent="0.2">
      <c r="A47" s="51" t="s">
        <v>46</v>
      </c>
      <c r="B47" s="52"/>
      <c r="C47" s="52" t="s">
        <v>52</v>
      </c>
      <c r="D47" s="52"/>
      <c r="E47" s="42"/>
      <c r="F47" s="40"/>
      <c r="G47" s="55"/>
      <c r="H47" s="56"/>
      <c r="I47" s="59" t="str">
        <f t="shared" si="6"/>
        <v>-</v>
      </c>
      <c r="J47" s="60"/>
      <c r="K47" s="63"/>
      <c r="L47" s="64"/>
      <c r="M47" s="63"/>
      <c r="N47" s="67"/>
      <c r="O47" s="67"/>
      <c r="P47" s="67"/>
      <c r="Q47" s="67"/>
      <c r="R47" s="68"/>
    </row>
    <row r="48" spans="1:18" s="5" customFormat="1" ht="13.5" customHeight="1" x14ac:dyDescent="0.2">
      <c r="A48" s="51" t="s">
        <v>47</v>
      </c>
      <c r="B48" s="52"/>
      <c r="C48" s="52" t="s">
        <v>54</v>
      </c>
      <c r="D48" s="52"/>
      <c r="E48" s="42"/>
      <c r="F48" s="40"/>
      <c r="G48" s="55"/>
      <c r="H48" s="56"/>
      <c r="I48" s="59" t="str">
        <f t="shared" si="6"/>
        <v>-</v>
      </c>
      <c r="J48" s="60"/>
      <c r="K48" s="63"/>
      <c r="L48" s="64"/>
      <c r="M48" s="63"/>
      <c r="N48" s="67"/>
      <c r="O48" s="67"/>
      <c r="P48" s="67"/>
      <c r="Q48" s="67"/>
      <c r="R48" s="68"/>
    </row>
    <row r="49" spans="1:18" s="5" customFormat="1" ht="13.5" customHeight="1" x14ac:dyDescent="0.2">
      <c r="A49" s="51" t="s">
        <v>48</v>
      </c>
      <c r="B49" s="52"/>
      <c r="C49" s="52"/>
      <c r="D49" s="52"/>
      <c r="E49" s="42"/>
      <c r="F49" s="40"/>
      <c r="G49" s="55"/>
      <c r="H49" s="56"/>
      <c r="I49" s="59" t="str">
        <f t="shared" si="6"/>
        <v>-</v>
      </c>
      <c r="J49" s="60"/>
      <c r="K49" s="63"/>
      <c r="L49" s="64"/>
      <c r="M49" s="63"/>
      <c r="N49" s="67"/>
      <c r="O49" s="67"/>
      <c r="P49" s="67"/>
      <c r="Q49" s="67"/>
      <c r="R49" s="68"/>
    </row>
    <row r="50" spans="1:18" s="5" customFormat="1" ht="13.5" customHeight="1" thickBot="1" x14ac:dyDescent="0.25">
      <c r="A50" s="49" t="s">
        <v>53</v>
      </c>
      <c r="B50" s="50"/>
      <c r="C50" s="50"/>
      <c r="D50" s="50"/>
      <c r="E50" s="42"/>
      <c r="F50" s="41"/>
      <c r="G50" s="57"/>
      <c r="H50" s="58"/>
      <c r="I50" s="61" t="str">
        <f t="shared" si="6"/>
        <v>-</v>
      </c>
      <c r="J50" s="62"/>
      <c r="K50" s="65"/>
      <c r="L50" s="66"/>
      <c r="M50" s="65"/>
      <c r="N50" s="69"/>
      <c r="O50" s="69"/>
      <c r="P50" s="69"/>
      <c r="Q50" s="69"/>
      <c r="R50" s="70"/>
    </row>
    <row r="51" spans="1:18" s="5" customFormat="1" ht="13.5" customHeight="1" x14ac:dyDescent="0.2">
      <c r="A51" s="6"/>
      <c r="B51" s="6"/>
      <c r="C51" s="6"/>
      <c r="D51" s="7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</row>
    <row r="52" spans="1:18" s="47" customFormat="1" ht="13.5" customHeight="1" x14ac:dyDescent="0.2">
      <c r="A52" s="47" t="s">
        <v>57</v>
      </c>
      <c r="E52" s="48"/>
      <c r="F52" s="48"/>
      <c r="G52" s="48"/>
      <c r="H52" s="48"/>
      <c r="I52" s="48"/>
      <c r="J52" s="48"/>
      <c r="K52" s="48"/>
      <c r="L52" s="48"/>
      <c r="M52" s="48"/>
    </row>
    <row r="53" spans="1:18" s="5" customFormat="1" ht="13.5" customHeight="1" x14ac:dyDescent="0.2">
      <c r="A53" t="s">
        <v>40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" t="s">
        <v>16</v>
      </c>
      <c r="O53" s="11"/>
      <c r="P53" s="9"/>
      <c r="Q53" s="11"/>
      <c r="R53" s="9"/>
    </row>
    <row r="55" spans="1:18" ht="13.5" customHeight="1" x14ac:dyDescent="0.2">
      <c r="A55" t="s">
        <v>41</v>
      </c>
      <c r="C55" s="6"/>
      <c r="D55" s="6"/>
      <c r="N55" s="2" t="s">
        <v>17</v>
      </c>
      <c r="O55" s="9"/>
      <c r="P55" s="9"/>
      <c r="Q55" s="9"/>
      <c r="R55" s="9"/>
    </row>
  </sheetData>
  <sheetProtection selectLockedCells="1"/>
  <mergeCells count="59">
    <mergeCell ref="Q14:R14"/>
    <mergeCell ref="Q15:R15"/>
    <mergeCell ref="A25:A26"/>
    <mergeCell ref="D14:O15"/>
    <mergeCell ref="A23:C24"/>
    <mergeCell ref="J23:R24"/>
    <mergeCell ref="O22:R22"/>
    <mergeCell ref="G17:J17"/>
    <mergeCell ref="G19:J19"/>
    <mergeCell ref="N17:Q17"/>
    <mergeCell ref="R25:R26"/>
    <mergeCell ref="A40:A41"/>
    <mergeCell ref="G18:J18"/>
    <mergeCell ref="F43:R43"/>
    <mergeCell ref="D23:H24"/>
    <mergeCell ref="A43:D43"/>
    <mergeCell ref="N18:Q18"/>
    <mergeCell ref="N19:Q19"/>
    <mergeCell ref="G44:H44"/>
    <mergeCell ref="I44:J44"/>
    <mergeCell ref="K44:L44"/>
    <mergeCell ref="M44:R44"/>
    <mergeCell ref="M45:R45"/>
    <mergeCell ref="K45:L45"/>
    <mergeCell ref="I45:J45"/>
    <mergeCell ref="G45:H45"/>
    <mergeCell ref="M46:R46"/>
    <mergeCell ref="M47:R47"/>
    <mergeCell ref="M48:R48"/>
    <mergeCell ref="M49:R49"/>
    <mergeCell ref="M50:R50"/>
    <mergeCell ref="K46:L46"/>
    <mergeCell ref="K47:L47"/>
    <mergeCell ref="K48:L48"/>
    <mergeCell ref="K49:L49"/>
    <mergeCell ref="K50:L50"/>
    <mergeCell ref="G47:H47"/>
    <mergeCell ref="G48:H48"/>
    <mergeCell ref="G49:H49"/>
    <mergeCell ref="G50:H50"/>
    <mergeCell ref="I46:J46"/>
    <mergeCell ref="I47:J47"/>
    <mergeCell ref="I48:J48"/>
    <mergeCell ref="I49:J49"/>
    <mergeCell ref="I50:J50"/>
    <mergeCell ref="G46:H46"/>
    <mergeCell ref="A50:D50"/>
    <mergeCell ref="A49:B49"/>
    <mergeCell ref="C44:D44"/>
    <mergeCell ref="C45:D45"/>
    <mergeCell ref="C46:D46"/>
    <mergeCell ref="C47:D47"/>
    <mergeCell ref="C48:D48"/>
    <mergeCell ref="C49:D49"/>
    <mergeCell ref="A44:B44"/>
    <mergeCell ref="A45:B45"/>
    <mergeCell ref="A46:B46"/>
    <mergeCell ref="A47:B47"/>
    <mergeCell ref="A48:B48"/>
  </mergeCells>
  <printOptions horizontalCentered="1" verticalCentered="1"/>
  <pageMargins left="0.5" right="0.5" top="0.5" bottom="0.5" header="0.3" footer="0.3"/>
  <pageSetup fitToWidth="0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Drop Down 3">
              <controlPr locked="0" defaultSize="0" autoLine="0" autoPict="0" altText="Select a pay period month">
                <anchor moveWithCells="1">
                  <from>
                    <xdr:col>6</xdr:col>
                    <xdr:colOff>28575</xdr:colOff>
                    <xdr:row>21</xdr:row>
                    <xdr:rowOff>66675</xdr:rowOff>
                  </from>
                  <to>
                    <xdr:col>7</xdr:col>
                    <xdr:colOff>438150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Option Button 4">
              <controlPr defaultSize="0" autoFill="0" autoLine="0" autoPict="0">
                <anchor moveWithCells="1">
                  <from>
                    <xdr:col>11</xdr:col>
                    <xdr:colOff>0</xdr:colOff>
                    <xdr:row>21</xdr:row>
                    <xdr:rowOff>57150</xdr:rowOff>
                  </from>
                  <to>
                    <xdr:col>11</xdr:col>
                    <xdr:colOff>419100</xdr:colOff>
                    <xdr:row>21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Option Button 5">
              <controlPr defaultSize="0" autoFill="0" autoLine="0" autoPict="0">
                <anchor moveWithCells="1">
                  <from>
                    <xdr:col>11</xdr:col>
                    <xdr:colOff>400050</xdr:colOff>
                    <xdr:row>21</xdr:row>
                    <xdr:rowOff>57150</xdr:rowOff>
                  </from>
                  <to>
                    <xdr:col>12</xdr:col>
                    <xdr:colOff>342900</xdr:colOff>
                    <xdr:row>21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Drop Down 6">
              <controlPr defaultSize="0" autoLine="0" autoPict="0">
                <anchor moveWithCells="1">
                  <from>
                    <xdr:col>2</xdr:col>
                    <xdr:colOff>28575</xdr:colOff>
                    <xdr:row>21</xdr:row>
                    <xdr:rowOff>66675</xdr:rowOff>
                  </from>
                  <to>
                    <xdr:col>3</xdr:col>
                    <xdr:colOff>257175</xdr:colOff>
                    <xdr:row>21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Group xmlns="60c37880-e378-4eb8-bd61-09c775efa22c">Payroll</Group>
    <Department xmlns="60c37880-e378-4eb8-bd61-09c775efa22c">
      <Value>11</Value>
    </Department>
    <Description0 xmlns="60c37880-e378-4eb8-bd61-09c775efa22c">Payroll Timesheet</Description0>
    <PublicHR xmlns="38611205-3f66-40b4-ac85-5ae0f08d2f00">false</PublicHR>
    <Instructions xmlns="60c37880-e378-4eb8-bd61-09c775efa22c">
      <Url xsi:nil="true"/>
      <Description xsi:nil="true"/>
    </Instructions>
    <FrequentlyUsed xmlns="60c37880-e378-4eb8-bd61-09c775efa22c">false</FrequentlyUsed>
    <Fiscal_x0020_Year xmlns="38611205-3f66-40b4-ac85-5ae0f08d2f0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E731318CB9DF4AA4F2EED28A748A81" ma:contentTypeVersion="14" ma:contentTypeDescription="Create a new document." ma:contentTypeScope="" ma:versionID="cc9bd93b46868d911bae91a5d171efe2">
  <xsd:schema xmlns:xsd="http://www.w3.org/2001/XMLSchema" xmlns:p="http://schemas.microsoft.com/office/2006/metadata/properties" xmlns:ns2="60c37880-e378-4eb8-bd61-09c775efa22c" xmlns:ns3="38611205-3f66-40b4-ac85-5ae0f08d2f00" targetNamespace="http://schemas.microsoft.com/office/2006/metadata/properties" ma:root="true" ma:fieldsID="37ee5b89694f2581d3602c7bbe105f79" ns2:_="" ns3:_="">
    <xsd:import namespace="60c37880-e378-4eb8-bd61-09c775efa22c"/>
    <xsd:import namespace="38611205-3f66-40b4-ac85-5ae0f08d2f00"/>
    <xsd:element name="properties">
      <xsd:complexType>
        <xsd:sequence>
          <xsd:element name="documentManagement">
            <xsd:complexType>
              <xsd:all>
                <xsd:element ref="ns2:Group" minOccurs="0"/>
                <xsd:element ref="ns2:Department" minOccurs="0"/>
                <xsd:element ref="ns2:Description0" minOccurs="0"/>
                <xsd:element ref="ns2:FrequentlyUsed" minOccurs="0"/>
                <xsd:element ref="ns2:Instructions" minOccurs="0"/>
                <xsd:element ref="ns3:Fiscal_x0020_Year" minOccurs="0"/>
                <xsd:element ref="ns3:PublicH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60c37880-e378-4eb8-bd61-09c775efa22c" elementFormDefault="qualified">
    <xsd:import namespace="http://schemas.microsoft.com/office/2006/documentManagement/types"/>
    <xsd:element name="Group" ma:index="8" nillable="true" ma:displayName="Form Type" ma:default="" ma:description="Used to group related forms within a department." ma:internalName="Group">
      <xsd:simpleType>
        <xsd:restriction base="dms:Text">
          <xsd:maxLength value="255"/>
        </xsd:restriction>
      </xsd:simpleType>
    </xsd:element>
    <xsd:element name="Department" ma:index="9" nillable="true" ma:displayName="Department" ma:list="5edc60d6-606a-4867-a18c-64ab25282032" ma:internalName="Department" ma:showField="Title" ma:web="65c27b2c-266a-4586-aacd-1122b4cb63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escription0" ma:index="10" nillable="true" ma:displayName="Description" ma:internalName="Description0">
      <xsd:simpleType>
        <xsd:restriction base="dms:Note"/>
      </xsd:simpleType>
    </xsd:element>
    <xsd:element name="FrequentlyUsed" ma:index="11" nillable="true" ma:displayName="FrequentlyUsed" ma:default="0" ma:internalName="FrequentlyUsed">
      <xsd:simpleType>
        <xsd:restriction base="dms:Boolean"/>
      </xsd:simpleType>
    </xsd:element>
    <xsd:element name="Instructions" ma:index="12" nillable="true" ma:displayName="Instructions" ma:description="Location of instructions for this form." ma:format="Hyperlink" ma:internalName="Instruction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38611205-3f66-40b4-ac85-5ae0f08d2f00" elementFormDefault="qualified">
    <xsd:import namespace="http://schemas.microsoft.com/office/2006/documentManagement/types"/>
    <xsd:element name="Fiscal_x0020_Year" ma:index="13" nillable="true" ma:displayName="Fiscal Year" ma:format="Dropdown" ma:internalName="Fiscal_x0020_Year">
      <xsd:simpleType>
        <xsd:restriction base="dms:Choice">
          <xsd:enumeration value="2009-2010"/>
          <xsd:enumeration value="2010-2011"/>
          <xsd:enumeration value="2011-2012"/>
          <xsd:enumeration value="2010-2016"/>
        </xsd:restriction>
      </xsd:simpleType>
    </xsd:element>
    <xsd:element name="PublicHR" ma:index="14" nillable="true" ma:displayName="PublicHR" ma:default="0" ma:internalName="PublicH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F244B816-2D1B-4396-AD58-FE26E10D8A4D}">
  <ds:schemaRefs>
    <ds:schemaRef ds:uri="38611205-3f66-40b4-ac85-5ae0f08d2f00"/>
    <ds:schemaRef ds:uri="http://schemas.microsoft.com/office/2006/documentManagement/types"/>
    <ds:schemaRef ds:uri="60c37880-e378-4eb8-bd61-09c775efa22c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CB91869-7A2F-4245-A983-E0BC2EC53F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7B9E77-97F0-4766-8E28-FF44BEEFF1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c37880-e378-4eb8-bd61-09c775efa22c"/>
    <ds:schemaRef ds:uri="38611205-3f66-40b4-ac85-5ae0f08d2f00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Time Report</vt:lpstr>
      <vt:lpstr>'Time Report'!Print_Area</vt:lpstr>
    </vt:vector>
  </TitlesOfParts>
  <Company>KCTCS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Parman, Vikki S (KCTCS)</dc:creator>
  <cp:lastModifiedBy>Aycock, Jason L</cp:lastModifiedBy>
  <cp:lastPrinted>2012-12-20T15:37:59Z</cp:lastPrinted>
  <dcterms:created xsi:type="dcterms:W3CDTF">2010-07-02T02:29:34Z</dcterms:created>
  <dcterms:modified xsi:type="dcterms:W3CDTF">2013-05-13T12:33:33Z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0x01010083E731318CB9DF4AA4F2EED28A748A81</vt:lpwstr>
  </property>
</Properties>
</file>