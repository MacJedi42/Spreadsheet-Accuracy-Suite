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firstSheet="1" activeTab="11"/>
  </bookViews>
  <sheets>
    <sheet name="Q1 HELEN" sheetId="1" r:id="rId1"/>
    <sheet name="Q2 JOHN" sheetId="5" r:id="rId2"/>
    <sheet name="Q3 DAVID" sheetId="8" r:id="rId3"/>
    <sheet name="Q4 NATASHA" sheetId="4" r:id="rId4"/>
    <sheet name="Q5 ERIC" sheetId="10" r:id="rId5"/>
    <sheet name="Q6 WASIM" sheetId="11" r:id="rId6"/>
    <sheet name="Q7 TOM" sheetId="12" r:id="rId7"/>
    <sheet name="Q8 JENNY" sheetId="13" r:id="rId8"/>
    <sheet name="Q9 BILL" sheetId="14" r:id="rId9"/>
    <sheet name="Q10 TIMBER " sheetId="15" r:id="rId10"/>
    <sheet name="Q11 KEITH" sheetId="9" r:id="rId11"/>
    <sheet name="Q12 WIDOW" sheetId="16" r:id="rId12"/>
  </sheets>
  <definedNames>
    <definedName name="balancePV">'Q12 WIDOW'!$E$4</definedName>
    <definedName name="F" localSheetId="0">'Q1 HELEN'!$B$5</definedName>
    <definedName name="F" localSheetId="10">'Q11 KEITH'!$B$5</definedName>
    <definedName name="F" localSheetId="1">'Q2 JOHN'!$B$5</definedName>
    <definedName name="F" localSheetId="3">'Q4 NATASHA'!$B$5</definedName>
    <definedName name="F" localSheetId="4">'Q5 ERIC'!$B$5</definedName>
    <definedName name="immediatePMT">'Q12 WIDOW'!$D$4</definedName>
    <definedName name="n" localSheetId="0">'Q1 HELEN'!$B$2</definedName>
    <definedName name="n" localSheetId="10">'Q11 KEITH'!$B$2</definedName>
    <definedName name="n" localSheetId="1">'Q2 JOHN'!$B$2</definedName>
    <definedName name="n" localSheetId="2">'Q3 DAVID'!$B$2</definedName>
    <definedName name="n" localSheetId="3">'Q4 NATASHA'!$B$2</definedName>
    <definedName name="n" localSheetId="5">'Q6 WASIM'!$B$2</definedName>
    <definedName name="n">'Q5 ERIC'!$B$2</definedName>
    <definedName name="P" localSheetId="0">'Q1 HELEN'!$B$3</definedName>
    <definedName name="P" localSheetId="10">'Q11 KEITH'!$B$3</definedName>
    <definedName name="P" localSheetId="1">'Q2 JOHN'!$B$3</definedName>
    <definedName name="P" localSheetId="2">'Q3 DAVID'!$B$3</definedName>
    <definedName name="P" localSheetId="3">'Q4 NATASHA'!$B$3</definedName>
    <definedName name="P" localSheetId="4">'Q5 ERIC'!$B$3</definedName>
    <definedName name="P" localSheetId="5">'Q6 WASIM'!$B$3</definedName>
    <definedName name="payment" localSheetId="1">'Q2 JOHN'!$F$3</definedName>
    <definedName name="payment" localSheetId="5">'Q6 WASIM'!$F$2:$F$8</definedName>
    <definedName name="payment">'Q7 TOM'!$F$4</definedName>
    <definedName name="policyValue">'Q12 WIDOW'!$C$4</definedName>
    <definedName name="rate" localSheetId="0">'Q1 HELEN'!$B$6</definedName>
    <definedName name="rate" localSheetId="10">'Q11 KEITH'!$B$6</definedName>
    <definedName name="rate" localSheetId="1">'Q2 JOHN'!$B$6</definedName>
    <definedName name="rate" localSheetId="2">'Q3 DAVID'!$B$6</definedName>
    <definedName name="rate" localSheetId="3">'Q4 NATASHA'!$B$6</definedName>
    <definedName name="rate" localSheetId="4">'Q5 ERIC'!$B$6</definedName>
    <definedName name="rate" localSheetId="5">'Q6 WASIM'!$B$6</definedName>
    <definedName name="X" localSheetId="0">'Q1 HELEN'!$B$4</definedName>
    <definedName name="X" localSheetId="10">'Q11 KEITH'!$B$4</definedName>
    <definedName name="X" localSheetId="1">'Q2 JOHN'!$B$4</definedName>
    <definedName name="X" localSheetId="2">'Q3 DAVID'!$B$4</definedName>
    <definedName name="X" localSheetId="3">'Q4 NATASHA'!$B$4</definedName>
    <definedName name="X" localSheetId="4">'Q5 ERIC'!$B$4</definedName>
    <definedName name="Zpayment">'Q12 WIDOW'!$D$7</definedName>
    <definedName name="Zrate">'Q12 WIDOW'!$E$7</definedName>
  </definedNames>
  <calcPr calcId="125725"/>
</workbook>
</file>

<file path=xl/calcChain.xml><?xml version="1.0" encoding="utf-8"?>
<calcChain xmlns="http://schemas.openxmlformats.org/spreadsheetml/2006/main">
  <c r="D24" i="16"/>
  <c r="D21"/>
  <c r="E4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G3" i="9"/>
  <c r="E4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B7"/>
  <c r="E3"/>
  <c r="J2" i="15"/>
  <c r="F3"/>
  <c r="F4" s="1"/>
  <c r="F5" s="1"/>
  <c r="F6" s="1"/>
  <c r="F7" s="1"/>
  <c r="F8" s="1"/>
  <c r="F9" s="1"/>
  <c r="F10" s="1"/>
  <c r="F11" s="1"/>
  <c r="F12" s="1"/>
  <c r="G2" i="14"/>
  <c r="E2"/>
  <c r="E3" s="1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H2" i="13"/>
  <c r="E2"/>
  <c r="E3" s="1"/>
  <c r="E4" s="1"/>
  <c r="E5" s="1"/>
  <c r="E6" s="1"/>
  <c r="F2"/>
  <c r="B29" i="12"/>
  <c r="F14"/>
  <c r="F13"/>
  <c r="C5"/>
  <c r="C6" s="1"/>
  <c r="C7" s="1"/>
  <c r="C8" s="1"/>
  <c r="C9" s="1"/>
  <c r="C10" s="1"/>
  <c r="C11" s="1"/>
  <c r="C12" s="1"/>
  <c r="C13" s="1"/>
  <c r="C14" s="1"/>
  <c r="C15" s="1"/>
  <c r="C16" s="1"/>
  <c r="C4"/>
  <c r="B4"/>
  <c r="B5" s="1"/>
  <c r="B6" s="1"/>
  <c r="B7" s="1"/>
  <c r="I2" i="11"/>
  <c r="E3"/>
  <c r="E4" s="1"/>
  <c r="E5" s="1"/>
  <c r="E6" s="1"/>
  <c r="E7" s="1"/>
  <c r="E8" s="1"/>
  <c r="B7" i="10"/>
  <c r="B3" s="1"/>
  <c r="H3" i="5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3" i="4"/>
  <c r="B7" i="8"/>
  <c r="B5" s="1"/>
  <c r="G3"/>
  <c r="E3"/>
  <c r="E4" s="1"/>
  <c r="E5" s="1"/>
  <c r="E6" s="1"/>
  <c r="E7" s="1"/>
  <c r="E8" s="1"/>
  <c r="E9" s="1"/>
  <c r="E10" s="1"/>
  <c r="E11" s="1"/>
  <c r="E12" s="1"/>
  <c r="E13" s="1"/>
  <c r="E14" s="1"/>
  <c r="E15" s="1"/>
  <c r="B7" i="5"/>
  <c r="B5" s="1"/>
  <c r="B7" i="4"/>
  <c r="E3" i="1"/>
  <c r="E4" s="1"/>
  <c r="E5" s="1"/>
  <c r="E6" s="1"/>
  <c r="E7" s="1"/>
  <c r="E8" s="1"/>
  <c r="E9" s="1"/>
  <c r="E10" s="1"/>
  <c r="E11" s="1"/>
  <c r="G3"/>
  <c r="B7"/>
  <c r="D33" i="16" l="1"/>
  <c r="D34" s="1"/>
  <c r="B30"/>
  <c r="C11"/>
  <c r="C12" s="1"/>
  <c r="D22"/>
  <c r="D23" s="1"/>
  <c r="C15" s="1"/>
  <c r="C16" s="1"/>
  <c r="B8" i="12"/>
  <c r="B9" s="1"/>
  <c r="D6" s="1"/>
  <c r="D5"/>
  <c r="D8" s="1"/>
  <c r="F4" s="1"/>
  <c r="E4" i="4"/>
  <c r="E5" s="1"/>
  <c r="E6" s="1"/>
  <c r="E7" s="1"/>
  <c r="E8" s="1"/>
  <c r="E9" s="1"/>
  <c r="G3" s="1"/>
  <c r="B5" i="1"/>
  <c r="B24" i="12" l="1"/>
  <c r="F12"/>
  <c r="F11"/>
  <c r="F15" s="1"/>
  <c r="B26"/>
  <c r="B32" l="1"/>
</calcChain>
</file>

<file path=xl/sharedStrings.xml><?xml version="1.0" encoding="utf-8"?>
<sst xmlns="http://schemas.openxmlformats.org/spreadsheetml/2006/main" count="122" uniqueCount="55">
  <si>
    <t>n</t>
  </si>
  <si>
    <t>P</t>
  </si>
  <si>
    <t>X</t>
  </si>
  <si>
    <t>rate</t>
  </si>
  <si>
    <t>F</t>
  </si>
  <si>
    <t>(1 + rate)^n</t>
  </si>
  <si>
    <t>Intrinsic</t>
  </si>
  <si>
    <t>month</t>
  </si>
  <si>
    <t>year</t>
  </si>
  <si>
    <t>net worth at the end of the year</t>
  </si>
  <si>
    <t>cash payment</t>
  </si>
  <si>
    <t>period</t>
  </si>
  <si>
    <t>amount owing at the end of the period</t>
  </si>
  <si>
    <t>net worth at the end of the period</t>
  </si>
  <si>
    <t>HELEN</t>
  </si>
  <si>
    <t>JOHN</t>
  </si>
  <si>
    <t>net worth at the end of half-year</t>
  </si>
  <si>
    <t>NATASHA</t>
  </si>
  <si>
    <t>DAVID</t>
  </si>
  <si>
    <t>ERIC</t>
  </si>
  <si>
    <t>half-year</t>
  </si>
  <si>
    <t>WASIM</t>
  </si>
  <si>
    <t>amount owing at end of half-year</t>
  </si>
  <si>
    <t>payment</t>
  </si>
  <si>
    <t>algebraic formula, pivoting at 3-year point (6 periods)</t>
  </si>
  <si>
    <t>1.06^n</t>
  </si>
  <si>
    <t>1.02^n</t>
  </si>
  <si>
    <t>FVs</t>
  </si>
  <si>
    <t>NPV Version</t>
  </si>
  <si>
    <t>cash flow at end of year</t>
  </si>
  <si>
    <t>TOM</t>
  </si>
  <si>
    <t>JENNY</t>
  </si>
  <si>
    <t>net worth</t>
  </si>
  <si>
    <t>cash value</t>
  </si>
  <si>
    <t>BILL</t>
  </si>
  <si>
    <t>intrinsic</t>
  </si>
  <si>
    <t>withdrawal</t>
  </si>
  <si>
    <t>TIMBER</t>
  </si>
  <si>
    <t>KEITH</t>
  </si>
  <si>
    <t>quarter</t>
  </si>
  <si>
    <t>amount owing to widow at end quarter</t>
  </si>
  <si>
    <t>policyValue</t>
  </si>
  <si>
    <t>immediatePMT</t>
  </si>
  <si>
    <t>balancePV</t>
  </si>
  <si>
    <t>Method 2</t>
  </si>
  <si>
    <t>Method 3</t>
  </si>
  <si>
    <t>Equation (7) of finance notes</t>
  </si>
  <si>
    <t>ln(X)</t>
  </si>
  <si>
    <t>ln(X - rP)</t>
  </si>
  <si>
    <t>top</t>
  </si>
  <si>
    <t>bottom</t>
  </si>
  <si>
    <t>Method 1</t>
  </si>
  <si>
    <t>(b)</t>
  </si>
  <si>
    <t>WIDOW</t>
  </si>
  <si>
    <t>(c)</t>
  </si>
</sst>
</file>

<file path=xl/styles.xml><?xml version="1.0" encoding="utf-8"?>
<styleSheet xmlns="http://schemas.openxmlformats.org/spreadsheetml/2006/main">
  <numFmts count="5">
    <numFmt numFmtId="8" formatCode="&quot;$&quot;#,##0.00;[Red]\-&quot;$&quot;#,##0.00"/>
    <numFmt numFmtId="44" formatCode="_-&quot;$&quot;* #,##0.00_-;\-&quot;$&quot;* #,##0.00_-;_-&quot;$&quot;* &quot;-&quot;??_-;_-@_-"/>
    <numFmt numFmtId="166" formatCode="0.0%"/>
    <numFmt numFmtId="169" formatCode="0.0000%"/>
    <numFmt numFmtId="170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0" fontId="0" fillId="0" borderId="0" xfId="0" applyNumberFormat="1"/>
    <xf numFmtId="0" fontId="0" fillId="0" borderId="0" xfId="0" applyFont="1" applyAlignment="1">
      <alignment horizontal="center"/>
    </xf>
    <xf numFmtId="44" fontId="0" fillId="0" borderId="0" xfId="1" applyFont="1"/>
    <xf numFmtId="44" fontId="2" fillId="0" borderId="0" xfId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4" fontId="3" fillId="2" borderId="0" xfId="2" applyNumberFormat="1"/>
    <xf numFmtId="8" fontId="3" fillId="2" borderId="0" xfId="2" applyNumberFormat="1"/>
    <xf numFmtId="9" fontId="0" fillId="0" borderId="0" xfId="0" applyNumberFormat="1"/>
    <xf numFmtId="8" fontId="0" fillId="0" borderId="0" xfId="0" applyNumberFormat="1"/>
    <xf numFmtId="166" fontId="0" fillId="0" borderId="0" xfId="0" applyNumberFormat="1"/>
    <xf numFmtId="0" fontId="3" fillId="2" borderId="0" xfId="2"/>
    <xf numFmtId="0" fontId="3" fillId="2" borderId="0" xfId="2" applyAlignment="1">
      <alignment horizontal="left"/>
    </xf>
    <xf numFmtId="8" fontId="0" fillId="0" borderId="0" xfId="1" applyNumberFormat="1" applyFont="1"/>
    <xf numFmtId="44" fontId="3" fillId="2" borderId="0" xfId="1" applyFont="1" applyFill="1"/>
    <xf numFmtId="0" fontId="0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44" fontId="4" fillId="0" borderId="0" xfId="1" applyFont="1" applyAlignment="1">
      <alignment horizontal="right"/>
    </xf>
    <xf numFmtId="44" fontId="5" fillId="3" borderId="1" xfId="0" applyNumberFormat="1" applyFont="1" applyFill="1" applyBorder="1"/>
    <xf numFmtId="44" fontId="5" fillId="0" borderId="0" xfId="0" applyNumberFormat="1" applyFont="1"/>
    <xf numFmtId="44" fontId="5" fillId="3" borderId="0" xfId="0" applyNumberFormat="1" applyFont="1" applyFill="1"/>
    <xf numFmtId="8" fontId="5" fillId="0" borderId="0" xfId="0" applyNumberFormat="1" applyFont="1"/>
    <xf numFmtId="0" fontId="4" fillId="3" borderId="0" xfId="0" applyFont="1" applyFill="1"/>
    <xf numFmtId="44" fontId="5" fillId="0" borderId="0" xfId="1" applyFont="1"/>
    <xf numFmtId="44" fontId="0" fillId="0" borderId="0" xfId="0" applyNumberFormat="1"/>
    <xf numFmtId="40" fontId="0" fillId="0" borderId="0" xfId="0" applyNumberFormat="1"/>
    <xf numFmtId="40" fontId="2" fillId="0" borderId="0" xfId="0" applyNumberFormat="1" applyFont="1"/>
    <xf numFmtId="40" fontId="3" fillId="2" borderId="0" xfId="2" applyNumberFormat="1"/>
    <xf numFmtId="8" fontId="2" fillId="0" borderId="0" xfId="1" applyNumberFormat="1" applyFont="1"/>
    <xf numFmtId="169" fontId="3" fillId="2" borderId="0" xfId="2" applyNumberFormat="1"/>
    <xf numFmtId="170" fontId="0" fillId="0" borderId="0" xfId="1" applyNumberFormat="1" applyFont="1"/>
    <xf numFmtId="169" fontId="0" fillId="0" borderId="0" xfId="3" applyNumberFormat="1" applyFont="1"/>
    <xf numFmtId="0" fontId="0" fillId="0" borderId="0" xfId="0" applyAlignment="1">
      <alignment horizontal="right"/>
    </xf>
    <xf numFmtId="0" fontId="0" fillId="0" borderId="0" xfId="0" applyFont="1"/>
    <xf numFmtId="0" fontId="0" fillId="3" borderId="0" xfId="0" applyFont="1" applyFill="1"/>
    <xf numFmtId="0" fontId="0" fillId="0" borderId="0" xfId="0" applyFont="1" applyAlignment="1">
      <alignment horizontal="right"/>
    </xf>
    <xf numFmtId="170" fontId="0" fillId="0" borderId="0" xfId="0" applyNumberFormat="1" applyFont="1"/>
    <xf numFmtId="170" fontId="4" fillId="0" borderId="0" xfId="1" applyNumberFormat="1" applyFont="1"/>
  </cellXfs>
  <cellStyles count="4">
    <cellStyle name="Currency" xfId="1" builtinId="4"/>
    <cellStyle name="Good" xfId="2" builtinId="26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G181"/>
  <sheetViews>
    <sheetView zoomScaleNormal="100" workbookViewId="0"/>
  </sheetViews>
  <sheetFormatPr defaultRowHeight="15"/>
  <cols>
    <col min="1" max="1" width="11" style="7" bestFit="1" customWidth="1"/>
    <col min="2" max="2" width="15.140625" bestFit="1" customWidth="1"/>
    <col min="3" max="3" width="9" bestFit="1" customWidth="1"/>
    <col min="4" max="4" width="6.85546875" bestFit="1" customWidth="1"/>
    <col min="5" max="5" width="33.28515625" style="4" bestFit="1" customWidth="1"/>
    <col min="6" max="6" width="12" bestFit="1" customWidth="1"/>
    <col min="7" max="7" width="13.7109375" bestFit="1" customWidth="1"/>
    <col min="13" max="13" width="13.7109375" bestFit="1" customWidth="1"/>
  </cols>
  <sheetData>
    <row r="1" spans="1:7">
      <c r="A1" s="14" t="s">
        <v>14</v>
      </c>
    </row>
    <row r="2" spans="1:7">
      <c r="A2" s="6" t="s">
        <v>0</v>
      </c>
      <c r="B2">
        <v>8</v>
      </c>
      <c r="D2" s="1" t="s">
        <v>11</v>
      </c>
      <c r="E2" s="5" t="s">
        <v>13</v>
      </c>
      <c r="G2" s="1" t="s">
        <v>6</v>
      </c>
    </row>
    <row r="3" spans="1:7">
      <c r="A3" s="6" t="s">
        <v>1</v>
      </c>
      <c r="B3" s="4">
        <v>6000</v>
      </c>
      <c r="D3">
        <v>0</v>
      </c>
      <c r="E3" s="4">
        <f>P</f>
        <v>6000</v>
      </c>
      <c r="G3" s="10">
        <f>FV(rate,n,-X,-P)</f>
        <v>6758.955519571834</v>
      </c>
    </row>
    <row r="4" spans="1:7">
      <c r="A4" s="6" t="s">
        <v>2</v>
      </c>
      <c r="B4" s="4">
        <v>0</v>
      </c>
      <c r="D4">
        <v>1</v>
      </c>
      <c r="E4" s="4">
        <f t="shared" ref="E4:E11" si="0">E3 + rate*E3 + X</f>
        <v>6090</v>
      </c>
    </row>
    <row r="5" spans="1:7">
      <c r="A5" s="6" t="s">
        <v>4</v>
      </c>
      <c r="B5" s="9">
        <f>P*B7 + X*(B7-1)/rate</f>
        <v>6758.955519571834</v>
      </c>
      <c r="D5">
        <v>2</v>
      </c>
      <c r="E5" s="4">
        <f t="shared" si="0"/>
        <v>6181.35</v>
      </c>
    </row>
    <row r="6" spans="1:7">
      <c r="A6" s="6" t="s">
        <v>3</v>
      </c>
      <c r="B6" s="2">
        <v>1.4999999999999999E-2</v>
      </c>
      <c r="D6">
        <v>3</v>
      </c>
      <c r="E6" s="4">
        <f t="shared" si="0"/>
        <v>6274.0702500000007</v>
      </c>
    </row>
    <row r="7" spans="1:7">
      <c r="A7" s="6" t="s">
        <v>5</v>
      </c>
      <c r="B7" s="3">
        <f>(1 + rate)^n</f>
        <v>1.1264925865953057</v>
      </c>
      <c r="D7">
        <v>4</v>
      </c>
      <c r="E7" s="4">
        <f t="shared" si="0"/>
        <v>6368.1813037500006</v>
      </c>
    </row>
    <row r="8" spans="1:7">
      <c r="D8">
        <v>5</v>
      </c>
      <c r="E8" s="4">
        <f t="shared" si="0"/>
        <v>6463.7040233062507</v>
      </c>
    </row>
    <row r="9" spans="1:7">
      <c r="D9">
        <v>6</v>
      </c>
      <c r="E9" s="4">
        <f t="shared" si="0"/>
        <v>6560.6595836558445</v>
      </c>
    </row>
    <row r="10" spans="1:7">
      <c r="D10">
        <v>7</v>
      </c>
      <c r="E10" s="4">
        <f t="shared" si="0"/>
        <v>6659.0694774106823</v>
      </c>
    </row>
    <row r="11" spans="1:7">
      <c r="D11">
        <v>8</v>
      </c>
      <c r="E11" s="9">
        <f t="shared" si="0"/>
        <v>6758.9555195718422</v>
      </c>
    </row>
    <row r="181" spans="5:5">
      <c r="E18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39"/>
  <sheetViews>
    <sheetView zoomScaleNormal="100" workbookViewId="0"/>
  </sheetViews>
  <sheetFormatPr defaultRowHeight="15"/>
  <cols>
    <col min="1" max="1" width="11" bestFit="1" customWidth="1"/>
    <col min="2" max="2" width="13.7109375" bestFit="1" customWidth="1"/>
    <col min="4" max="4" width="6.85546875" bestFit="1" customWidth="1"/>
    <col min="5" max="5" width="37.42578125" style="4" bestFit="1" customWidth="1"/>
    <col min="6" max="6" width="13.28515625" bestFit="1" customWidth="1"/>
    <col min="8" max="8" width="10.85546875" bestFit="1" customWidth="1"/>
    <col min="10" max="10" width="15.85546875" customWidth="1"/>
  </cols>
  <sheetData>
    <row r="1" spans="1:8">
      <c r="A1" s="14" t="s">
        <v>15</v>
      </c>
    </row>
    <row r="2" spans="1:8">
      <c r="A2" s="6" t="s">
        <v>0</v>
      </c>
      <c r="B2">
        <v>36</v>
      </c>
      <c r="D2" s="1" t="s">
        <v>11</v>
      </c>
      <c r="E2" s="5" t="s">
        <v>12</v>
      </c>
      <c r="F2" s="1" t="s">
        <v>10</v>
      </c>
      <c r="G2" s="1"/>
      <c r="H2" s="1" t="s">
        <v>6</v>
      </c>
    </row>
    <row r="3" spans="1:8">
      <c r="A3" s="6" t="s">
        <v>1</v>
      </c>
      <c r="B3" s="12">
        <v>50000</v>
      </c>
      <c r="D3">
        <v>0</v>
      </c>
      <c r="E3" s="4">
        <f>P</f>
        <v>50000</v>
      </c>
      <c r="F3" s="12"/>
      <c r="H3" s="10">
        <f>FV(rate,n,-X,-P)</f>
        <v>74133.005153196267</v>
      </c>
    </row>
    <row r="4" spans="1:8">
      <c r="A4" s="6" t="s">
        <v>2</v>
      </c>
      <c r="B4" s="12"/>
      <c r="D4">
        <v>1</v>
      </c>
      <c r="E4" s="4">
        <f t="shared" ref="E4:E39" si="0">E3 + E3*rate + payment</f>
        <v>50550</v>
      </c>
    </row>
    <row r="5" spans="1:8">
      <c r="A5" s="6" t="s">
        <v>4</v>
      </c>
      <c r="B5" s="10">
        <f>P*B7</f>
        <v>74133.005153196267</v>
      </c>
      <c r="D5">
        <v>2</v>
      </c>
      <c r="E5" s="4">
        <f t="shared" si="0"/>
        <v>51106.05</v>
      </c>
    </row>
    <row r="6" spans="1:8">
      <c r="A6" s="6" t="s">
        <v>3</v>
      </c>
      <c r="B6" s="13">
        <v>1.0999999999999999E-2</v>
      </c>
      <c r="D6">
        <v>3</v>
      </c>
      <c r="E6" s="4">
        <f t="shared" si="0"/>
        <v>51668.216550000005</v>
      </c>
    </row>
    <row r="7" spans="1:8">
      <c r="A7" s="6" t="s">
        <v>5</v>
      </c>
      <c r="B7">
        <f>(1 + rate)^n</f>
        <v>1.4826601030639253</v>
      </c>
      <c r="D7">
        <v>4</v>
      </c>
      <c r="E7" s="4">
        <f t="shared" si="0"/>
        <v>52236.566932050002</v>
      </c>
    </row>
    <row r="8" spans="1:8">
      <c r="D8">
        <v>5</v>
      </c>
      <c r="E8" s="4">
        <f t="shared" si="0"/>
        <v>52811.169168302549</v>
      </c>
    </row>
    <row r="9" spans="1:8">
      <c r="D9">
        <v>6</v>
      </c>
      <c r="E9" s="4">
        <f t="shared" si="0"/>
        <v>53392.092029153879</v>
      </c>
    </row>
    <row r="10" spans="1:8">
      <c r="D10">
        <v>7</v>
      </c>
      <c r="E10" s="4">
        <f t="shared" si="0"/>
        <v>53979.405041474572</v>
      </c>
    </row>
    <row r="11" spans="1:8">
      <c r="D11">
        <v>8</v>
      </c>
      <c r="E11" s="4">
        <f t="shared" si="0"/>
        <v>54573.178496930792</v>
      </c>
    </row>
    <row r="12" spans="1:8">
      <c r="D12">
        <v>9</v>
      </c>
      <c r="E12" s="4">
        <f t="shared" si="0"/>
        <v>55173.48346039703</v>
      </c>
    </row>
    <row r="13" spans="1:8">
      <c r="D13">
        <v>10</v>
      </c>
      <c r="E13" s="4">
        <f t="shared" si="0"/>
        <v>55780.391778461395</v>
      </c>
    </row>
    <row r="14" spans="1:8">
      <c r="D14">
        <v>11</v>
      </c>
      <c r="E14" s="4">
        <f t="shared" si="0"/>
        <v>56393.976088024472</v>
      </c>
    </row>
    <row r="15" spans="1:8">
      <c r="D15">
        <v>12</v>
      </c>
      <c r="E15" s="4">
        <f t="shared" si="0"/>
        <v>57014.309824992743</v>
      </c>
    </row>
    <row r="16" spans="1:8">
      <c r="D16">
        <v>13</v>
      </c>
      <c r="E16" s="4">
        <f t="shared" si="0"/>
        <v>57641.467233067662</v>
      </c>
    </row>
    <row r="17" spans="4:5">
      <c r="D17">
        <v>14</v>
      </c>
      <c r="E17" s="4">
        <f t="shared" si="0"/>
        <v>58275.523372631404</v>
      </c>
    </row>
    <row r="18" spans="4:5">
      <c r="D18">
        <v>15</v>
      </c>
      <c r="E18" s="4">
        <f t="shared" si="0"/>
        <v>58916.55412973035</v>
      </c>
    </row>
    <row r="19" spans="4:5">
      <c r="D19">
        <v>16</v>
      </c>
      <c r="E19" s="4">
        <f t="shared" si="0"/>
        <v>59564.636225157381</v>
      </c>
    </row>
    <row r="20" spans="4:5">
      <c r="D20">
        <v>17</v>
      </c>
      <c r="E20" s="4">
        <f t="shared" si="0"/>
        <v>60219.847223634111</v>
      </c>
    </row>
    <row r="21" spans="4:5">
      <c r="D21">
        <v>18</v>
      </c>
      <c r="E21" s="4">
        <f t="shared" si="0"/>
        <v>60882.265543094087</v>
      </c>
    </row>
    <row r="22" spans="4:5">
      <c r="D22">
        <v>19</v>
      </c>
      <c r="E22" s="4">
        <f t="shared" si="0"/>
        <v>61551.970464068123</v>
      </c>
    </row>
    <row r="23" spans="4:5">
      <c r="D23">
        <v>20</v>
      </c>
      <c r="E23" s="4">
        <f t="shared" si="0"/>
        <v>62229.042139172874</v>
      </c>
    </row>
    <row r="24" spans="4:5">
      <c r="D24">
        <v>21</v>
      </c>
      <c r="E24" s="4">
        <f t="shared" si="0"/>
        <v>62913.561602703776</v>
      </c>
    </row>
    <row r="25" spans="4:5">
      <c r="D25">
        <v>22</v>
      </c>
      <c r="E25" s="4">
        <f t="shared" si="0"/>
        <v>63605.610780333518</v>
      </c>
    </row>
    <row r="26" spans="4:5">
      <c r="D26">
        <v>23</v>
      </c>
      <c r="E26" s="4">
        <f t="shared" si="0"/>
        <v>64305.272498917184</v>
      </c>
    </row>
    <row r="27" spans="4:5">
      <c r="D27">
        <v>24</v>
      </c>
      <c r="E27" s="4">
        <f t="shared" si="0"/>
        <v>65012.630496405276</v>
      </c>
    </row>
    <row r="28" spans="4:5">
      <c r="D28">
        <v>25</v>
      </c>
      <c r="E28" s="4">
        <f t="shared" si="0"/>
        <v>65727.76943186573</v>
      </c>
    </row>
    <row r="29" spans="4:5">
      <c r="D29">
        <v>26</v>
      </c>
      <c r="E29" s="4">
        <f t="shared" si="0"/>
        <v>66450.774895616254</v>
      </c>
    </row>
    <row r="30" spans="4:5">
      <c r="D30">
        <v>27</v>
      </c>
      <c r="E30" s="4">
        <f t="shared" si="0"/>
        <v>67181.73341946803</v>
      </c>
    </row>
    <row r="31" spans="4:5">
      <c r="D31">
        <v>28</v>
      </c>
      <c r="E31" s="4">
        <f t="shared" si="0"/>
        <v>67920.732487082176</v>
      </c>
    </row>
    <row r="32" spans="4:5">
      <c r="D32">
        <v>29</v>
      </c>
      <c r="E32" s="4">
        <f t="shared" si="0"/>
        <v>68667.860544440075</v>
      </c>
    </row>
    <row r="33" spans="4:5">
      <c r="D33">
        <v>30</v>
      </c>
      <c r="E33" s="4">
        <f t="shared" si="0"/>
        <v>69423.207010428916</v>
      </c>
    </row>
    <row r="34" spans="4:5">
      <c r="D34">
        <v>31</v>
      </c>
      <c r="E34" s="4">
        <f t="shared" si="0"/>
        <v>70186.862287543627</v>
      </c>
    </row>
    <row r="35" spans="4:5">
      <c r="D35">
        <v>32</v>
      </c>
      <c r="E35" s="4">
        <f t="shared" si="0"/>
        <v>70958.917772706613</v>
      </c>
    </row>
    <row r="36" spans="4:5">
      <c r="D36">
        <v>33</v>
      </c>
      <c r="E36" s="4">
        <f t="shared" si="0"/>
        <v>71739.465868206389</v>
      </c>
    </row>
    <row r="37" spans="4:5">
      <c r="D37">
        <v>34</v>
      </c>
      <c r="E37" s="4">
        <f t="shared" si="0"/>
        <v>72528.599992756659</v>
      </c>
    </row>
    <row r="38" spans="4:5">
      <c r="D38">
        <v>35</v>
      </c>
      <c r="E38" s="4">
        <f t="shared" si="0"/>
        <v>73326.414592676985</v>
      </c>
    </row>
    <row r="39" spans="4:5">
      <c r="D39">
        <v>36</v>
      </c>
      <c r="E39" s="9">
        <f t="shared" si="0"/>
        <v>74133.005153196427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G182"/>
  <sheetViews>
    <sheetView workbookViewId="0"/>
  </sheetViews>
  <sheetFormatPr defaultRowHeight="15"/>
  <cols>
    <col min="1" max="1" width="11" style="7" bestFit="1" customWidth="1"/>
    <col min="2" max="2" width="15.140625" bestFit="1" customWidth="1"/>
    <col min="3" max="3" width="9" bestFit="1" customWidth="1"/>
    <col min="4" max="4" width="6.85546875" bestFit="1" customWidth="1"/>
    <col min="5" max="5" width="33.28515625" style="4" bestFit="1" customWidth="1"/>
    <col min="6" max="6" width="12" bestFit="1" customWidth="1"/>
    <col min="7" max="7" width="13.7109375" bestFit="1" customWidth="1"/>
    <col min="13" max="13" width="13.7109375" bestFit="1" customWidth="1"/>
  </cols>
  <sheetData>
    <row r="1" spans="1:7">
      <c r="A1" s="15" t="s">
        <v>18</v>
      </c>
    </row>
    <row r="2" spans="1:7">
      <c r="A2" s="6" t="s">
        <v>0</v>
      </c>
      <c r="B2">
        <v>12</v>
      </c>
      <c r="D2" s="1" t="s">
        <v>8</v>
      </c>
      <c r="E2" s="5" t="s">
        <v>9</v>
      </c>
      <c r="G2" s="1" t="s">
        <v>6</v>
      </c>
    </row>
    <row r="3" spans="1:7">
      <c r="A3" s="6" t="s">
        <v>1</v>
      </c>
      <c r="B3" s="4">
        <v>750000</v>
      </c>
      <c r="D3">
        <v>0</v>
      </c>
      <c r="E3" s="4">
        <f>P</f>
        <v>750000</v>
      </c>
      <c r="G3" s="10">
        <f>FV(rate,n,-X,-P)</f>
        <v>1200774.1639257614</v>
      </c>
    </row>
    <row r="4" spans="1:7">
      <c r="A4" s="6" t="s">
        <v>2</v>
      </c>
      <c r="B4" s="4">
        <v>0</v>
      </c>
      <c r="D4">
        <v>1</v>
      </c>
      <c r="E4" s="4">
        <f t="shared" ref="E4:E15" si="0">E3 + rate*E3 + X</f>
        <v>780000</v>
      </c>
    </row>
    <row r="5" spans="1:7">
      <c r="A5" s="6" t="s">
        <v>4</v>
      </c>
      <c r="B5" s="9">
        <f>P*B7 + X*(B7-1)/rate</f>
        <v>1200774.1639257614</v>
      </c>
      <c r="D5">
        <v>2</v>
      </c>
      <c r="E5" s="4">
        <f t="shared" si="0"/>
        <v>811200</v>
      </c>
    </row>
    <row r="6" spans="1:7">
      <c r="A6" s="6" t="s">
        <v>3</v>
      </c>
      <c r="B6" s="2">
        <v>0.04</v>
      </c>
      <c r="D6">
        <v>3</v>
      </c>
      <c r="E6" s="4">
        <f t="shared" si="0"/>
        <v>843648</v>
      </c>
    </row>
    <row r="7" spans="1:7">
      <c r="A7" s="6" t="s">
        <v>5</v>
      </c>
      <c r="B7" s="3">
        <f>(1 + rate)^n</f>
        <v>1.6010322185676817</v>
      </c>
      <c r="D7">
        <v>4</v>
      </c>
      <c r="E7" s="4">
        <f t="shared" si="0"/>
        <v>877393.92000000004</v>
      </c>
    </row>
    <row r="8" spans="1:7">
      <c r="D8">
        <v>5</v>
      </c>
      <c r="E8" s="4">
        <f t="shared" si="0"/>
        <v>912489.67680000002</v>
      </c>
    </row>
    <row r="9" spans="1:7">
      <c r="D9">
        <v>6</v>
      </c>
      <c r="E9" s="4">
        <f t="shared" si="0"/>
        <v>948989.26387200004</v>
      </c>
    </row>
    <row r="10" spans="1:7">
      <c r="D10">
        <v>7</v>
      </c>
      <c r="E10" s="4">
        <f t="shared" si="0"/>
        <v>986948.83442688</v>
      </c>
    </row>
    <row r="11" spans="1:7">
      <c r="D11">
        <v>8</v>
      </c>
      <c r="E11" s="4">
        <f t="shared" si="0"/>
        <v>1026426.7878039551</v>
      </c>
    </row>
    <row r="12" spans="1:7">
      <c r="D12">
        <v>9</v>
      </c>
      <c r="E12" s="4">
        <f t="shared" si="0"/>
        <v>1067483.8593161134</v>
      </c>
    </row>
    <row r="13" spans="1:7">
      <c r="D13">
        <v>10</v>
      </c>
      <c r="E13" s="4">
        <f t="shared" si="0"/>
        <v>1110183.213688758</v>
      </c>
    </row>
    <row r="14" spans="1:7">
      <c r="D14">
        <v>11</v>
      </c>
      <c r="E14" s="4">
        <f t="shared" si="0"/>
        <v>1154590.5422363083</v>
      </c>
    </row>
    <row r="15" spans="1:7">
      <c r="D15">
        <v>12</v>
      </c>
      <c r="E15" s="9">
        <f t="shared" si="0"/>
        <v>1200774.1639257607</v>
      </c>
    </row>
    <row r="182" spans="5:5">
      <c r="E18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I9"/>
  <sheetViews>
    <sheetView zoomScaleNormal="100" workbookViewId="0"/>
  </sheetViews>
  <sheetFormatPr defaultRowHeight="15"/>
  <cols>
    <col min="1" max="1" width="11" bestFit="1" customWidth="1"/>
    <col min="2" max="2" width="13.140625" bestFit="1" customWidth="1"/>
    <col min="4" max="4" width="9.5703125" bestFit="1" customWidth="1"/>
    <col min="5" max="5" width="32.42578125" style="4" bestFit="1" customWidth="1"/>
    <col min="7" max="7" width="11.5703125" bestFit="1" customWidth="1"/>
    <col min="10" max="10" width="11.5703125" bestFit="1" customWidth="1"/>
  </cols>
  <sheetData>
    <row r="1" spans="1:9">
      <c r="A1" s="14" t="s">
        <v>17</v>
      </c>
    </row>
    <row r="2" spans="1:9">
      <c r="A2" s="6" t="s">
        <v>0</v>
      </c>
      <c r="B2">
        <v>6</v>
      </c>
      <c r="D2" s="1" t="s">
        <v>20</v>
      </c>
      <c r="E2" s="5" t="s">
        <v>16</v>
      </c>
      <c r="G2" s="1" t="s">
        <v>6</v>
      </c>
    </row>
    <row r="3" spans="1:9">
      <c r="A3" s="6" t="s">
        <v>1</v>
      </c>
      <c r="B3" s="17">
        <v>11099.642277327399</v>
      </c>
      <c r="D3">
        <v>0</v>
      </c>
      <c r="E3" s="9">
        <f>P</f>
        <v>11099.642277327399</v>
      </c>
      <c r="G3" s="10">
        <f>-PV(rate,D9,0,E9)</f>
        <v>11099.642277327401</v>
      </c>
    </row>
    <row r="4" spans="1:9">
      <c r="A4" s="6" t="s">
        <v>2</v>
      </c>
      <c r="B4" s="4"/>
      <c r="D4">
        <v>1</v>
      </c>
      <c r="E4" s="4">
        <f t="shared" ref="E4:E9" si="0">E3 + E3*rate + X</f>
        <v>11321.635122873948</v>
      </c>
    </row>
    <row r="5" spans="1:9">
      <c r="A5" s="6" t="s">
        <v>4</v>
      </c>
      <c r="B5" s="4">
        <v>12500</v>
      </c>
      <c r="D5">
        <v>2</v>
      </c>
      <c r="E5" s="4">
        <f t="shared" si="0"/>
        <v>11548.067825331427</v>
      </c>
      <c r="I5" s="8"/>
    </row>
    <row r="6" spans="1:9">
      <c r="A6" s="6" t="s">
        <v>3</v>
      </c>
      <c r="B6" s="2">
        <v>0.02</v>
      </c>
      <c r="D6">
        <v>3</v>
      </c>
      <c r="E6" s="4">
        <f t="shared" si="0"/>
        <v>11779.029181838056</v>
      </c>
    </row>
    <row r="7" spans="1:9">
      <c r="A7" s="6" t="s">
        <v>5</v>
      </c>
      <c r="B7" s="3">
        <f>(1 + rate)^n</f>
        <v>1.1261624192640001</v>
      </c>
      <c r="D7">
        <v>4</v>
      </c>
      <c r="E7" s="4">
        <f t="shared" si="0"/>
        <v>12014.609765474817</v>
      </c>
    </row>
    <row r="8" spans="1:9">
      <c r="D8">
        <v>5</v>
      </c>
      <c r="E8" s="4">
        <f t="shared" si="0"/>
        <v>12254.901960784313</v>
      </c>
    </row>
    <row r="9" spans="1:9">
      <c r="D9">
        <v>6</v>
      </c>
      <c r="E9" s="4">
        <f t="shared" si="0"/>
        <v>12500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B7"/>
  <sheetViews>
    <sheetView workbookViewId="0"/>
  </sheetViews>
  <sheetFormatPr defaultRowHeight="15"/>
  <cols>
    <col min="1" max="1" width="12.28515625" customWidth="1"/>
    <col min="2" max="2" width="12.5703125" bestFit="1" customWidth="1"/>
  </cols>
  <sheetData>
    <row r="1" spans="1:2">
      <c r="A1" s="14" t="s">
        <v>19</v>
      </c>
    </row>
    <row r="2" spans="1:2">
      <c r="A2" s="6" t="s">
        <v>0</v>
      </c>
      <c r="B2">
        <v>4</v>
      </c>
    </row>
    <row r="3" spans="1:2">
      <c r="A3" s="6" t="s">
        <v>1</v>
      </c>
      <c r="B3" s="9">
        <f>100000 + F/B7</f>
        <v>255485.23338524558</v>
      </c>
    </row>
    <row r="4" spans="1:2">
      <c r="A4" s="6" t="s">
        <v>2</v>
      </c>
      <c r="B4" s="4"/>
    </row>
    <row r="5" spans="1:2">
      <c r="A5" s="6" t="s">
        <v>4</v>
      </c>
      <c r="B5" s="4">
        <v>175000</v>
      </c>
    </row>
    <row r="6" spans="1:2">
      <c r="A6" s="6" t="s">
        <v>3</v>
      </c>
      <c r="B6" s="11">
        <v>0.03</v>
      </c>
    </row>
    <row r="7" spans="1:2">
      <c r="A7" s="6" t="s">
        <v>5</v>
      </c>
      <c r="B7" s="18">
        <f>(1 + rate)^n</f>
        <v>1.1255088099999999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I8"/>
  <sheetViews>
    <sheetView workbookViewId="0"/>
  </sheetViews>
  <sheetFormatPr defaultRowHeight="15"/>
  <cols>
    <col min="1" max="1" width="11" bestFit="1" customWidth="1"/>
    <col min="4" max="4" width="11.42578125" customWidth="1"/>
    <col min="5" max="5" width="31.140625" style="4" bestFit="1" customWidth="1"/>
    <col min="6" max="6" width="11.5703125" style="4" bestFit="1" customWidth="1"/>
    <col min="9" max="9" width="57.42578125" customWidth="1"/>
  </cols>
  <sheetData>
    <row r="1" spans="1:9">
      <c r="A1" s="14" t="s">
        <v>21</v>
      </c>
      <c r="D1" s="1" t="s">
        <v>20</v>
      </c>
      <c r="E1" s="5" t="s">
        <v>22</v>
      </c>
      <c r="F1" s="5" t="s">
        <v>23</v>
      </c>
      <c r="I1" t="s">
        <v>24</v>
      </c>
    </row>
    <row r="2" spans="1:9">
      <c r="A2" s="6" t="s">
        <v>0</v>
      </c>
      <c r="D2">
        <v>0</v>
      </c>
      <c r="E2" s="4">
        <v>50000</v>
      </c>
      <c r="I2" s="9">
        <f>50000*(1.025^6)-10000*(1.025^4)-20000*(1.025^2)</f>
        <v>25934.042004394512</v>
      </c>
    </row>
    <row r="3" spans="1:9">
      <c r="A3" s="6" t="s">
        <v>1</v>
      </c>
      <c r="D3">
        <v>1</v>
      </c>
      <c r="E3" s="4">
        <f>E2 + E2*rate - payment</f>
        <v>51250</v>
      </c>
    </row>
    <row r="4" spans="1:9">
      <c r="A4" s="6" t="s">
        <v>2</v>
      </c>
      <c r="D4">
        <v>2</v>
      </c>
      <c r="E4" s="4">
        <f>E3 + E3*rate - payment</f>
        <v>42531.25</v>
      </c>
      <c r="F4" s="4">
        <v>10000</v>
      </c>
    </row>
    <row r="5" spans="1:9">
      <c r="A5" s="6" t="s">
        <v>4</v>
      </c>
      <c r="D5">
        <v>3</v>
      </c>
      <c r="E5" s="4">
        <f>E4 + E4*rate - payment</f>
        <v>43594.53125</v>
      </c>
    </row>
    <row r="6" spans="1:9">
      <c r="A6" s="6" t="s">
        <v>3</v>
      </c>
      <c r="B6" s="2">
        <v>2.5000000000000001E-2</v>
      </c>
      <c r="D6">
        <v>4</v>
      </c>
      <c r="E6" s="4">
        <f>E5 + E5*rate - payment</f>
        <v>24684.39453125</v>
      </c>
      <c r="F6" s="4">
        <v>20000</v>
      </c>
    </row>
    <row r="7" spans="1:9">
      <c r="A7" s="6" t="s">
        <v>5</v>
      </c>
      <c r="D7">
        <v>5</v>
      </c>
      <c r="E7" s="4">
        <f>E6 + E6*rate - payment</f>
        <v>25301.50439453125</v>
      </c>
    </row>
    <row r="8" spans="1:9">
      <c r="D8">
        <v>6</v>
      </c>
      <c r="E8" s="9">
        <f>E7 + E7*rate - payment</f>
        <v>25934.042004394531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F32"/>
  <sheetViews>
    <sheetView workbookViewId="0"/>
  </sheetViews>
  <sheetFormatPr defaultRowHeight="15"/>
  <cols>
    <col min="1" max="1" width="9.85546875" style="20" customWidth="1"/>
    <col min="2" max="2" width="22.28515625" style="20" bestFit="1" customWidth="1"/>
    <col min="3" max="3" width="12" style="20" bestFit="1" customWidth="1"/>
    <col min="4" max="6" width="12.5703125" style="20" bestFit="1" customWidth="1"/>
    <col min="7" max="16384" width="9.140625" style="20"/>
  </cols>
  <sheetData>
    <row r="1" spans="1:6">
      <c r="A1" s="14" t="s">
        <v>30</v>
      </c>
    </row>
    <row r="3" spans="1:6" s="21" customFormat="1" ht="15.75" thickBot="1">
      <c r="A3" s="21" t="s">
        <v>0</v>
      </c>
      <c r="B3" s="21" t="s">
        <v>25</v>
      </c>
      <c r="C3" s="21" t="s">
        <v>26</v>
      </c>
      <c r="D3" s="22">
        <v>120000</v>
      </c>
      <c r="E3" s="22">
        <v>400000</v>
      </c>
      <c r="F3" s="21" t="s">
        <v>23</v>
      </c>
    </row>
    <row r="4" spans="1:6" ht="15.75" thickBot="1">
      <c r="A4" s="20">
        <v>0</v>
      </c>
      <c r="B4" s="20">
        <f>1</f>
        <v>1</v>
      </c>
      <c r="C4" s="20">
        <f>1</f>
        <v>1</v>
      </c>
      <c r="F4" s="23">
        <f>D8</f>
        <v>257080.47961239482</v>
      </c>
    </row>
    <row r="5" spans="1:6">
      <c r="A5" s="20">
        <v>1</v>
      </c>
      <c r="B5" s="20">
        <f>B4*1.06</f>
        <v>1.06</v>
      </c>
      <c r="C5" s="20">
        <f>C4*1.02</f>
        <v>1.02</v>
      </c>
      <c r="D5" s="24">
        <f>D3*B7 + E3*C16</f>
        <v>650218.63782501826</v>
      </c>
    </row>
    <row r="6" spans="1:6">
      <c r="A6" s="20">
        <v>2</v>
      </c>
      <c r="B6" s="20">
        <f>B5*1.06</f>
        <v>1.1236000000000002</v>
      </c>
      <c r="C6" s="20">
        <f t="shared" ref="C6:C16" si="0">C5*1.02</f>
        <v>1.0404</v>
      </c>
      <c r="D6" s="20">
        <f>B9 + B7</f>
        <v>2.5292415776000006</v>
      </c>
    </row>
    <row r="7" spans="1:6">
      <c r="A7" s="20">
        <v>3</v>
      </c>
      <c r="B7" s="20">
        <f>B6*1.06</f>
        <v>1.1910160000000003</v>
      </c>
      <c r="C7" s="20">
        <f t="shared" si="0"/>
        <v>1.0612079999999999</v>
      </c>
    </row>
    <row r="8" spans="1:6">
      <c r="A8" s="20">
        <v>4</v>
      </c>
      <c r="B8" s="20">
        <f>B7*1.06</f>
        <v>1.2624769600000003</v>
      </c>
      <c r="C8" s="20">
        <f t="shared" si="0"/>
        <v>1.08243216</v>
      </c>
      <c r="D8" s="25">
        <f>D5/D6</f>
        <v>257080.47961239482</v>
      </c>
    </row>
    <row r="9" spans="1:6">
      <c r="A9" s="20">
        <v>5</v>
      </c>
      <c r="B9" s="20">
        <f>B8*1.06</f>
        <v>1.3382255776000005</v>
      </c>
      <c r="C9" s="20">
        <f t="shared" si="0"/>
        <v>1.1040808032</v>
      </c>
    </row>
    <row r="10" spans="1:6">
      <c r="A10" s="20">
        <v>6</v>
      </c>
      <c r="C10" s="20">
        <f t="shared" si="0"/>
        <v>1.1261624192640001</v>
      </c>
      <c r="F10" s="20" t="s">
        <v>27</v>
      </c>
    </row>
    <row r="11" spans="1:6">
      <c r="A11" s="20">
        <v>7</v>
      </c>
      <c r="C11" s="20">
        <f t="shared" si="0"/>
        <v>1.14868566764928</v>
      </c>
      <c r="F11" s="26">
        <f>FV(6%,5,,payment)</f>
        <v>-344031.67331898218</v>
      </c>
    </row>
    <row r="12" spans="1:6">
      <c r="A12" s="20">
        <v>8</v>
      </c>
      <c r="C12" s="20">
        <f t="shared" si="0"/>
        <v>1.1716593810022657</v>
      </c>
      <c r="F12" s="26">
        <f>FV(6%,3,,payment)</f>
        <v>-306186.96450603608</v>
      </c>
    </row>
    <row r="13" spans="1:6">
      <c r="A13" s="20">
        <v>9</v>
      </c>
      <c r="C13" s="20">
        <f t="shared" si="0"/>
        <v>1.1950925686223111</v>
      </c>
      <c r="F13" s="26">
        <f>FV(6%,3,,-120000)</f>
        <v>142921.92000000004</v>
      </c>
    </row>
    <row r="14" spans="1:6">
      <c r="A14" s="20">
        <v>10</v>
      </c>
      <c r="C14" s="20">
        <f t="shared" si="0"/>
        <v>1.2189944199947573</v>
      </c>
      <c r="F14" s="26">
        <f>FV(2%,12,,-400000)</f>
        <v>507296.7178250181</v>
      </c>
    </row>
    <row r="15" spans="1:6">
      <c r="A15" s="20">
        <v>11</v>
      </c>
      <c r="C15" s="20">
        <f t="shared" si="0"/>
        <v>1.2433743083946525</v>
      </c>
      <c r="F15" s="26">
        <f>SUM(F11:F14)</f>
        <v>0</v>
      </c>
    </row>
    <row r="16" spans="1:6">
      <c r="A16" s="20">
        <v>12</v>
      </c>
      <c r="C16" s="20">
        <f t="shared" si="0"/>
        <v>1.2682417945625455</v>
      </c>
    </row>
    <row r="21" spans="1:2" s="19" customFormat="1">
      <c r="B21" s="27" t="s">
        <v>28</v>
      </c>
    </row>
    <row r="22" spans="1:2" s="19" customFormat="1">
      <c r="A22" s="19" t="s">
        <v>8</v>
      </c>
      <c r="B22" s="19" t="s">
        <v>29</v>
      </c>
    </row>
    <row r="23" spans="1:2">
      <c r="A23" s="20">
        <v>0</v>
      </c>
      <c r="B23" s="28">
        <v>0</v>
      </c>
    </row>
    <row r="24" spans="1:2">
      <c r="A24" s="20">
        <v>1</v>
      </c>
      <c r="B24" s="28">
        <f>-payment</f>
        <v>-257080.47961239482</v>
      </c>
    </row>
    <row r="25" spans="1:2">
      <c r="A25" s="20">
        <v>2</v>
      </c>
      <c r="B25" s="28">
        <v>0</v>
      </c>
    </row>
    <row r="26" spans="1:2">
      <c r="A26" s="20">
        <v>3</v>
      </c>
      <c r="B26" s="28">
        <f>120000 - payment</f>
        <v>-137080.47961239482</v>
      </c>
    </row>
    <row r="27" spans="1:2">
      <c r="A27" s="20">
        <v>4</v>
      </c>
      <c r="B27" s="28">
        <v>0</v>
      </c>
    </row>
    <row r="28" spans="1:2">
      <c r="A28" s="20">
        <v>5</v>
      </c>
      <c r="B28" s="28">
        <v>0</v>
      </c>
    </row>
    <row r="29" spans="1:2">
      <c r="A29" s="20">
        <v>6</v>
      </c>
      <c r="B29" s="28">
        <f>400000*(1.02^12)</f>
        <v>507296.7178250181</v>
      </c>
    </row>
    <row r="32" spans="1:2">
      <c r="B32" s="26">
        <f>NPV(6%,B23:B29)</f>
        <v>-1.0982577530842906E-10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</sheetPr>
  <dimension ref="A1:H7"/>
  <sheetViews>
    <sheetView workbookViewId="0"/>
  </sheetViews>
  <sheetFormatPr defaultRowHeight="15"/>
  <cols>
    <col min="1" max="1" width="11" bestFit="1" customWidth="1"/>
    <col min="2" max="2" width="12.5703125" bestFit="1" customWidth="1"/>
    <col min="5" max="5" width="16.7109375" customWidth="1"/>
    <col min="6" max="6" width="12.5703125" bestFit="1" customWidth="1"/>
    <col min="8" max="8" width="14.28515625" bestFit="1" customWidth="1"/>
  </cols>
  <sheetData>
    <row r="1" spans="1:8">
      <c r="A1" s="14" t="s">
        <v>31</v>
      </c>
      <c r="D1" t="s">
        <v>8</v>
      </c>
      <c r="E1" t="s">
        <v>32</v>
      </c>
      <c r="F1" t="s">
        <v>23</v>
      </c>
      <c r="H1" t="s">
        <v>33</v>
      </c>
    </row>
    <row r="2" spans="1:8">
      <c r="A2" s="6" t="s">
        <v>0</v>
      </c>
      <c r="B2">
        <v>4</v>
      </c>
      <c r="D2">
        <v>0</v>
      </c>
      <c r="E2" s="4">
        <f>B3</f>
        <v>866276.40317491419</v>
      </c>
      <c r="F2" s="4">
        <f>$B$4</f>
        <v>250000</v>
      </c>
      <c r="H2" s="29">
        <f>500000+E2</f>
        <v>1366276.4031749142</v>
      </c>
    </row>
    <row r="3" spans="1:8">
      <c r="A3" s="6" t="s">
        <v>1</v>
      </c>
      <c r="B3">
        <v>866276.40317491419</v>
      </c>
      <c r="D3">
        <v>1</v>
      </c>
      <c r="E3" s="29">
        <f>E2 + E2*$B$6 - $F$2</f>
        <v>668252.98736540903</v>
      </c>
    </row>
    <row r="4" spans="1:8">
      <c r="A4" s="6" t="s">
        <v>2</v>
      </c>
      <c r="B4" s="4">
        <v>250000</v>
      </c>
      <c r="D4">
        <v>2</v>
      </c>
      <c r="E4" s="29">
        <f t="shared" ref="E4:E6" si="0">E3 + E3*$B$6 - $F$2</f>
        <v>458348.16660733358</v>
      </c>
    </row>
    <row r="5" spans="1:8">
      <c r="A5" s="6" t="s">
        <v>4</v>
      </c>
      <c r="D5">
        <v>3</v>
      </c>
      <c r="E5" s="29">
        <f t="shared" si="0"/>
        <v>235849.05660377361</v>
      </c>
    </row>
    <row r="6" spans="1:8">
      <c r="A6" s="6" t="s">
        <v>3</v>
      </c>
      <c r="B6" s="11">
        <v>0.06</v>
      </c>
      <c r="D6">
        <v>4</v>
      </c>
      <c r="E6" s="29">
        <f t="shared" si="0"/>
        <v>0</v>
      </c>
    </row>
    <row r="7" spans="1:8">
      <c r="A7" s="6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G182"/>
  <sheetViews>
    <sheetView workbookViewId="0">
      <pane ySplit="3540" topLeftCell="A169"/>
      <selection pane="bottomLeft" activeCell="G188" sqref="G188"/>
    </sheetView>
  </sheetViews>
  <sheetFormatPr defaultRowHeight="15"/>
  <cols>
    <col min="1" max="1" width="11" bestFit="1" customWidth="1"/>
    <col min="2" max="2" width="12.5703125" bestFit="1" customWidth="1"/>
    <col min="5" max="5" width="19" style="30" bestFit="1" customWidth="1"/>
    <col min="7" max="7" width="14.28515625" bestFit="1" customWidth="1"/>
  </cols>
  <sheetData>
    <row r="1" spans="1:7">
      <c r="A1" s="14" t="s">
        <v>34</v>
      </c>
      <c r="D1" s="1" t="s">
        <v>7</v>
      </c>
      <c r="E1" s="31" t="s">
        <v>32</v>
      </c>
      <c r="F1" s="1"/>
      <c r="G1" s="1" t="s">
        <v>35</v>
      </c>
    </row>
    <row r="2" spans="1:7">
      <c r="A2" s="6" t="s">
        <v>0</v>
      </c>
      <c r="B2">
        <v>180</v>
      </c>
      <c r="D2">
        <v>0</v>
      </c>
      <c r="E2" s="32">
        <f>B3</f>
        <v>833216.63989067986</v>
      </c>
      <c r="G2" s="10">
        <f>PV(B6,D182,-B4,0)</f>
        <v>833216.63989068021</v>
      </c>
    </row>
    <row r="3" spans="1:7">
      <c r="A3" s="6" t="s">
        <v>1</v>
      </c>
      <c r="B3" s="17">
        <v>833216.63989067986</v>
      </c>
      <c r="D3">
        <v>1</v>
      </c>
      <c r="E3" s="30">
        <f>E2 + E2*$B$6 -$B$4</f>
        <v>831548.8062895867</v>
      </c>
    </row>
    <row r="4" spans="1:7">
      <c r="A4" s="6" t="s">
        <v>2</v>
      </c>
      <c r="B4" s="4">
        <v>10000</v>
      </c>
      <c r="D4">
        <v>2</v>
      </c>
      <c r="E4" s="30">
        <f t="shared" ref="E4:E67" si="0">E3 + E3*$B$6 -$B$4</f>
        <v>829864.29435248254</v>
      </c>
    </row>
    <row r="5" spans="1:7">
      <c r="A5" s="6" t="s">
        <v>4</v>
      </c>
      <c r="D5">
        <v>3</v>
      </c>
      <c r="E5" s="30">
        <f t="shared" si="0"/>
        <v>828162.93729600741</v>
      </c>
    </row>
    <row r="6" spans="1:7">
      <c r="A6" s="6" t="s">
        <v>3</v>
      </c>
      <c r="B6" s="11">
        <v>0.01</v>
      </c>
      <c r="D6">
        <v>4</v>
      </c>
      <c r="E6" s="30">
        <f t="shared" si="0"/>
        <v>826444.56666896748</v>
      </c>
    </row>
    <row r="7" spans="1:7">
      <c r="A7" s="6" t="s">
        <v>5</v>
      </c>
      <c r="D7">
        <v>5</v>
      </c>
      <c r="E7" s="30">
        <f t="shared" si="0"/>
        <v>824709.01233565714</v>
      </c>
    </row>
    <row r="8" spans="1:7">
      <c r="D8">
        <v>6</v>
      </c>
      <c r="E8" s="30">
        <f t="shared" si="0"/>
        <v>822956.10245901369</v>
      </c>
    </row>
    <row r="9" spans="1:7">
      <c r="D9">
        <v>7</v>
      </c>
      <c r="E9" s="30">
        <f t="shared" si="0"/>
        <v>821185.66348360386</v>
      </c>
    </row>
    <row r="10" spans="1:7">
      <c r="D10">
        <v>8</v>
      </c>
      <c r="E10" s="30">
        <f t="shared" si="0"/>
        <v>819397.52011843992</v>
      </c>
    </row>
    <row r="11" spans="1:7">
      <c r="D11">
        <v>9</v>
      </c>
      <c r="E11" s="30">
        <f t="shared" si="0"/>
        <v>817591.49531962432</v>
      </c>
    </row>
    <row r="12" spans="1:7">
      <c r="D12">
        <v>10</v>
      </c>
      <c r="E12" s="30">
        <f t="shared" si="0"/>
        <v>815767.4102728205</v>
      </c>
    </row>
    <row r="13" spans="1:7">
      <c r="D13">
        <v>11</v>
      </c>
      <c r="E13" s="30">
        <f t="shared" si="0"/>
        <v>813925.08437554876</v>
      </c>
    </row>
    <row r="14" spans="1:7">
      <c r="D14">
        <v>12</v>
      </c>
      <c r="E14" s="30">
        <f t="shared" si="0"/>
        <v>812064.33521930419</v>
      </c>
    </row>
    <row r="15" spans="1:7">
      <c r="D15">
        <v>13</v>
      </c>
      <c r="E15" s="30">
        <f t="shared" si="0"/>
        <v>810184.97857149725</v>
      </c>
    </row>
    <row r="16" spans="1:7">
      <c r="D16">
        <v>14</v>
      </c>
      <c r="E16" s="30">
        <f t="shared" si="0"/>
        <v>808286.82835721225</v>
      </c>
    </row>
    <row r="17" spans="4:5">
      <c r="D17">
        <v>15</v>
      </c>
      <c r="E17" s="30">
        <f t="shared" si="0"/>
        <v>806369.69664078439</v>
      </c>
    </row>
    <row r="18" spans="4:5">
      <c r="D18">
        <v>16</v>
      </c>
      <c r="E18" s="30">
        <f t="shared" si="0"/>
        <v>804433.39360719221</v>
      </c>
    </row>
    <row r="19" spans="4:5">
      <c r="D19">
        <v>17</v>
      </c>
      <c r="E19" s="30">
        <f t="shared" si="0"/>
        <v>802477.72754326416</v>
      </c>
    </row>
    <row r="20" spans="4:5">
      <c r="D20">
        <v>18</v>
      </c>
      <c r="E20" s="30">
        <f t="shared" si="0"/>
        <v>800502.50481869676</v>
      </c>
    </row>
    <row r="21" spans="4:5">
      <c r="D21">
        <v>19</v>
      </c>
      <c r="E21" s="30">
        <f t="shared" si="0"/>
        <v>798507.52986688376</v>
      </c>
    </row>
    <row r="22" spans="4:5">
      <c r="D22">
        <v>20</v>
      </c>
      <c r="E22" s="30">
        <f t="shared" si="0"/>
        <v>796492.60516555258</v>
      </c>
    </row>
    <row r="23" spans="4:5">
      <c r="D23">
        <v>21</v>
      </c>
      <c r="E23" s="30">
        <f t="shared" si="0"/>
        <v>794457.53121720813</v>
      </c>
    </row>
    <row r="24" spans="4:5">
      <c r="D24">
        <v>22</v>
      </c>
      <c r="E24" s="30">
        <f t="shared" si="0"/>
        <v>792402.10652938019</v>
      </c>
    </row>
    <row r="25" spans="4:5">
      <c r="D25">
        <v>23</v>
      </c>
      <c r="E25" s="30">
        <f t="shared" si="0"/>
        <v>790326.12759467401</v>
      </c>
    </row>
    <row r="26" spans="4:5">
      <c r="D26">
        <v>24</v>
      </c>
      <c r="E26" s="30">
        <f t="shared" si="0"/>
        <v>788229.38887062075</v>
      </c>
    </row>
    <row r="27" spans="4:5">
      <c r="D27">
        <v>25</v>
      </c>
      <c r="E27" s="30">
        <f t="shared" si="0"/>
        <v>786111.682759327</v>
      </c>
    </row>
    <row r="28" spans="4:5">
      <c r="D28">
        <v>26</v>
      </c>
      <c r="E28" s="30">
        <f t="shared" si="0"/>
        <v>783972.7995869203</v>
      </c>
    </row>
    <row r="29" spans="4:5">
      <c r="D29">
        <v>27</v>
      </c>
      <c r="E29" s="30">
        <f t="shared" si="0"/>
        <v>781812.52758278954</v>
      </c>
    </row>
    <row r="30" spans="4:5">
      <c r="D30">
        <v>28</v>
      </c>
      <c r="E30" s="30">
        <f t="shared" si="0"/>
        <v>779630.65285861748</v>
      </c>
    </row>
    <row r="31" spans="4:5">
      <c r="D31">
        <v>29</v>
      </c>
      <c r="E31" s="30">
        <f t="shared" si="0"/>
        <v>777426.95938720368</v>
      </c>
    </row>
    <row r="32" spans="4:5">
      <c r="D32">
        <v>30</v>
      </c>
      <c r="E32" s="30">
        <f t="shared" si="0"/>
        <v>775201.22898107569</v>
      </c>
    </row>
    <row r="33" spans="4:5">
      <c r="D33">
        <v>31</v>
      </c>
      <c r="E33" s="30">
        <f t="shared" si="0"/>
        <v>772953.2412708865</v>
      </c>
    </row>
    <row r="34" spans="4:5">
      <c r="D34">
        <v>32</v>
      </c>
      <c r="E34" s="30">
        <f t="shared" si="0"/>
        <v>770682.77368359535</v>
      </c>
    </row>
    <row r="35" spans="4:5">
      <c r="D35">
        <v>33</v>
      </c>
      <c r="E35" s="30">
        <f t="shared" si="0"/>
        <v>768389.60142043128</v>
      </c>
    </row>
    <row r="36" spans="4:5">
      <c r="D36">
        <v>34</v>
      </c>
      <c r="E36" s="30">
        <f t="shared" si="0"/>
        <v>766073.49743463565</v>
      </c>
    </row>
    <row r="37" spans="4:5">
      <c r="D37">
        <v>35</v>
      </c>
      <c r="E37" s="30">
        <f t="shared" si="0"/>
        <v>763734.232408982</v>
      </c>
    </row>
    <row r="38" spans="4:5">
      <c r="D38">
        <v>36</v>
      </c>
      <c r="E38" s="30">
        <f t="shared" si="0"/>
        <v>761371.57473307184</v>
      </c>
    </row>
    <row r="39" spans="4:5">
      <c r="D39">
        <v>37</v>
      </c>
      <c r="E39" s="30">
        <f t="shared" si="0"/>
        <v>758985.29048040253</v>
      </c>
    </row>
    <row r="40" spans="4:5">
      <c r="D40">
        <v>38</v>
      </c>
      <c r="E40" s="30">
        <f t="shared" si="0"/>
        <v>756575.14338520658</v>
      </c>
    </row>
    <row r="41" spans="4:5">
      <c r="D41">
        <v>39</v>
      </c>
      <c r="E41" s="30">
        <f t="shared" si="0"/>
        <v>754140.89481905859</v>
      </c>
    </row>
    <row r="42" spans="4:5">
      <c r="D42">
        <v>40</v>
      </c>
      <c r="E42" s="30">
        <f t="shared" si="0"/>
        <v>751682.30376724922</v>
      </c>
    </row>
    <row r="43" spans="4:5">
      <c r="D43">
        <v>41</v>
      </c>
      <c r="E43" s="30">
        <f t="shared" si="0"/>
        <v>749199.12680492166</v>
      </c>
    </row>
    <row r="44" spans="4:5">
      <c r="D44">
        <v>42</v>
      </c>
      <c r="E44" s="30">
        <f t="shared" si="0"/>
        <v>746691.11807297089</v>
      </c>
    </row>
    <row r="45" spans="4:5">
      <c r="D45">
        <v>43</v>
      </c>
      <c r="E45" s="30">
        <f t="shared" si="0"/>
        <v>744158.02925370063</v>
      </c>
    </row>
    <row r="46" spans="4:5">
      <c r="D46">
        <v>44</v>
      </c>
      <c r="E46" s="30">
        <f t="shared" si="0"/>
        <v>741599.60954623763</v>
      </c>
    </row>
    <row r="47" spans="4:5">
      <c r="D47">
        <v>45</v>
      </c>
      <c r="E47" s="30">
        <f t="shared" si="0"/>
        <v>739015.60564169998</v>
      </c>
    </row>
    <row r="48" spans="4:5">
      <c r="D48">
        <v>46</v>
      </c>
      <c r="E48" s="30">
        <f t="shared" si="0"/>
        <v>736405.76169811701</v>
      </c>
    </row>
    <row r="49" spans="4:5">
      <c r="D49">
        <v>47</v>
      </c>
      <c r="E49" s="30">
        <f t="shared" si="0"/>
        <v>733769.81931509823</v>
      </c>
    </row>
    <row r="50" spans="4:5">
      <c r="D50">
        <v>48</v>
      </c>
      <c r="E50" s="30">
        <f t="shared" si="0"/>
        <v>731107.51750824926</v>
      </c>
    </row>
    <row r="51" spans="4:5">
      <c r="D51">
        <v>49</v>
      </c>
      <c r="E51" s="30">
        <f t="shared" si="0"/>
        <v>728418.59268333181</v>
      </c>
    </row>
    <row r="52" spans="4:5">
      <c r="D52">
        <v>50</v>
      </c>
      <c r="E52" s="30">
        <f t="shared" si="0"/>
        <v>725702.77861016511</v>
      </c>
    </row>
    <row r="53" spans="4:5">
      <c r="D53">
        <v>51</v>
      </c>
      <c r="E53" s="30">
        <f t="shared" si="0"/>
        <v>722959.80639626679</v>
      </c>
    </row>
    <row r="54" spans="4:5">
      <c r="D54">
        <v>52</v>
      </c>
      <c r="E54" s="30">
        <f t="shared" si="0"/>
        <v>720189.40446022945</v>
      </c>
    </row>
    <row r="55" spans="4:5">
      <c r="D55">
        <v>53</v>
      </c>
      <c r="E55" s="30">
        <f t="shared" si="0"/>
        <v>717391.29850483174</v>
      </c>
    </row>
    <row r="56" spans="4:5">
      <c r="D56">
        <v>54</v>
      </c>
      <c r="E56" s="30">
        <f t="shared" si="0"/>
        <v>714565.21148988011</v>
      </c>
    </row>
    <row r="57" spans="4:5">
      <c r="D57">
        <v>55</v>
      </c>
      <c r="E57" s="30">
        <f t="shared" si="0"/>
        <v>711710.86360477889</v>
      </c>
    </row>
    <row r="58" spans="4:5">
      <c r="D58">
        <v>56</v>
      </c>
      <c r="E58" s="30">
        <f t="shared" si="0"/>
        <v>708827.9722408267</v>
      </c>
    </row>
    <row r="59" spans="4:5">
      <c r="D59">
        <v>57</v>
      </c>
      <c r="E59" s="30">
        <f t="shared" si="0"/>
        <v>705916.25196323497</v>
      </c>
    </row>
    <row r="60" spans="4:5">
      <c r="D60">
        <v>58</v>
      </c>
      <c r="E60" s="30">
        <f t="shared" si="0"/>
        <v>702975.41448286735</v>
      </c>
    </row>
    <row r="61" spans="4:5">
      <c r="D61">
        <v>59</v>
      </c>
      <c r="E61" s="30">
        <f t="shared" si="0"/>
        <v>700005.168627696</v>
      </c>
    </row>
    <row r="62" spans="4:5">
      <c r="D62">
        <v>60</v>
      </c>
      <c r="E62" s="30">
        <f t="shared" si="0"/>
        <v>697005.22031397291</v>
      </c>
    </row>
    <row r="63" spans="4:5">
      <c r="D63">
        <v>61</v>
      </c>
      <c r="E63" s="30">
        <f t="shared" si="0"/>
        <v>693975.27251711267</v>
      </c>
    </row>
    <row r="64" spans="4:5">
      <c r="D64">
        <v>62</v>
      </c>
      <c r="E64" s="30">
        <f t="shared" si="0"/>
        <v>690915.02524228382</v>
      </c>
    </row>
    <row r="65" spans="4:5">
      <c r="D65">
        <v>63</v>
      </c>
      <c r="E65" s="30">
        <f t="shared" si="0"/>
        <v>687824.17549470661</v>
      </c>
    </row>
    <row r="66" spans="4:5">
      <c r="D66">
        <v>64</v>
      </c>
      <c r="E66" s="30">
        <f t="shared" si="0"/>
        <v>684702.41724965372</v>
      </c>
    </row>
    <row r="67" spans="4:5">
      <c r="D67">
        <v>65</v>
      </c>
      <c r="E67" s="30">
        <f t="shared" si="0"/>
        <v>681549.44142215024</v>
      </c>
    </row>
    <row r="68" spans="4:5">
      <c r="D68">
        <v>66</v>
      </c>
      <c r="E68" s="30">
        <f t="shared" ref="E68:E131" si="1">E67 + E67*$B$6 -$B$4</f>
        <v>678364.93583637173</v>
      </c>
    </row>
    <row r="69" spans="4:5">
      <c r="D69">
        <v>67</v>
      </c>
      <c r="E69" s="30">
        <f t="shared" si="1"/>
        <v>675148.58519473544</v>
      </c>
    </row>
    <row r="70" spans="4:5">
      <c r="D70">
        <v>68</v>
      </c>
      <c r="E70" s="30">
        <f t="shared" si="1"/>
        <v>671900.07104668277</v>
      </c>
    </row>
    <row r="71" spans="4:5">
      <c r="D71">
        <v>69</v>
      </c>
      <c r="E71" s="30">
        <f t="shared" si="1"/>
        <v>668619.07175714965</v>
      </c>
    </row>
    <row r="72" spans="4:5">
      <c r="D72">
        <v>70</v>
      </c>
      <c r="E72" s="30">
        <f t="shared" si="1"/>
        <v>665305.26247472118</v>
      </c>
    </row>
    <row r="73" spans="4:5">
      <c r="D73">
        <v>71</v>
      </c>
      <c r="E73" s="30">
        <f t="shared" si="1"/>
        <v>661958.31509946834</v>
      </c>
    </row>
    <row r="74" spans="4:5">
      <c r="D74">
        <v>72</v>
      </c>
      <c r="E74" s="30">
        <f t="shared" si="1"/>
        <v>658577.89825046307</v>
      </c>
    </row>
    <row r="75" spans="4:5">
      <c r="D75">
        <v>73</v>
      </c>
      <c r="E75" s="30">
        <f t="shared" si="1"/>
        <v>655163.67723296769</v>
      </c>
    </row>
    <row r="76" spans="4:5">
      <c r="D76">
        <v>74</v>
      </c>
      <c r="E76" s="30">
        <f t="shared" si="1"/>
        <v>651715.31400529738</v>
      </c>
    </row>
    <row r="77" spans="4:5">
      <c r="D77">
        <v>75</v>
      </c>
      <c r="E77" s="30">
        <f t="shared" si="1"/>
        <v>648232.4671453503</v>
      </c>
    </row>
    <row r="78" spans="4:5">
      <c r="D78">
        <v>76</v>
      </c>
      <c r="E78" s="30">
        <f t="shared" si="1"/>
        <v>644714.79181680374</v>
      </c>
    </row>
    <row r="79" spans="4:5">
      <c r="D79">
        <v>77</v>
      </c>
      <c r="E79" s="30">
        <f t="shared" si="1"/>
        <v>641161.93973497173</v>
      </c>
    </row>
    <row r="80" spans="4:5">
      <c r="D80">
        <v>78</v>
      </c>
      <c r="E80" s="30">
        <f t="shared" si="1"/>
        <v>637573.5591323215</v>
      </c>
    </row>
    <row r="81" spans="4:5">
      <c r="D81">
        <v>79</v>
      </c>
      <c r="E81" s="30">
        <f t="shared" si="1"/>
        <v>633949.29472364474</v>
      </c>
    </row>
    <row r="82" spans="4:5">
      <c r="D82">
        <v>80</v>
      </c>
      <c r="E82" s="30">
        <f t="shared" si="1"/>
        <v>630288.78767088114</v>
      </c>
    </row>
    <row r="83" spans="4:5">
      <c r="D83">
        <v>81</v>
      </c>
      <c r="E83" s="30">
        <f t="shared" si="1"/>
        <v>626591.6755475899</v>
      </c>
    </row>
    <row r="84" spans="4:5">
      <c r="D84">
        <v>82</v>
      </c>
      <c r="E84" s="30">
        <f t="shared" si="1"/>
        <v>622857.59230306582</v>
      </c>
    </row>
    <row r="85" spans="4:5">
      <c r="D85">
        <v>83</v>
      </c>
      <c r="E85" s="30">
        <f t="shared" si="1"/>
        <v>619086.16822609643</v>
      </c>
    </row>
    <row r="86" spans="4:5">
      <c r="D86">
        <v>84</v>
      </c>
      <c r="E86" s="30">
        <f t="shared" si="1"/>
        <v>615277.02990835742</v>
      </c>
    </row>
    <row r="87" spans="4:5">
      <c r="D87">
        <v>85</v>
      </c>
      <c r="E87" s="30">
        <f t="shared" si="1"/>
        <v>611429.80020744097</v>
      </c>
    </row>
    <row r="88" spans="4:5">
      <c r="D88">
        <v>86</v>
      </c>
      <c r="E88" s="30">
        <f t="shared" si="1"/>
        <v>607544.09820951533</v>
      </c>
    </row>
    <row r="89" spans="4:5">
      <c r="D89">
        <v>87</v>
      </c>
      <c r="E89" s="30">
        <f t="shared" si="1"/>
        <v>603619.53919161053</v>
      </c>
    </row>
    <row r="90" spans="4:5">
      <c r="D90">
        <v>88</v>
      </c>
      <c r="E90" s="30">
        <f t="shared" si="1"/>
        <v>599655.73458352662</v>
      </c>
    </row>
    <row r="91" spans="4:5">
      <c r="D91">
        <v>89</v>
      </c>
      <c r="E91" s="30">
        <f t="shared" si="1"/>
        <v>595652.29192936188</v>
      </c>
    </row>
    <row r="92" spans="4:5">
      <c r="D92">
        <v>90</v>
      </c>
      <c r="E92" s="30">
        <f t="shared" si="1"/>
        <v>591608.81484865549</v>
      </c>
    </row>
    <row r="93" spans="4:5">
      <c r="D93">
        <v>91</v>
      </c>
      <c r="E93" s="30">
        <f t="shared" si="1"/>
        <v>587524.90299714205</v>
      </c>
    </row>
    <row r="94" spans="4:5">
      <c r="D94">
        <v>92</v>
      </c>
      <c r="E94" s="30">
        <f t="shared" si="1"/>
        <v>583400.15202711348</v>
      </c>
    </row>
    <row r="95" spans="4:5">
      <c r="D95">
        <v>93</v>
      </c>
      <c r="E95" s="30">
        <f t="shared" si="1"/>
        <v>579234.15354738466</v>
      </c>
    </row>
    <row r="96" spans="4:5">
      <c r="D96">
        <v>94</v>
      </c>
      <c r="E96" s="30">
        <f t="shared" si="1"/>
        <v>575026.49508285848</v>
      </c>
    </row>
    <row r="97" spans="4:5">
      <c r="D97">
        <v>95</v>
      </c>
      <c r="E97" s="30">
        <f t="shared" si="1"/>
        <v>570776.76003368711</v>
      </c>
    </row>
    <row r="98" spans="4:5">
      <c r="D98">
        <v>96</v>
      </c>
      <c r="E98" s="30">
        <f t="shared" si="1"/>
        <v>566484.52763402404</v>
      </c>
    </row>
    <row r="99" spans="4:5">
      <c r="D99">
        <v>97</v>
      </c>
      <c r="E99" s="30">
        <f t="shared" si="1"/>
        <v>562149.3729103643</v>
      </c>
    </row>
    <row r="100" spans="4:5">
      <c r="D100">
        <v>98</v>
      </c>
      <c r="E100" s="30">
        <f t="shared" si="1"/>
        <v>557770.86663946789</v>
      </c>
    </row>
    <row r="101" spans="4:5">
      <c r="D101">
        <v>99</v>
      </c>
      <c r="E101" s="30">
        <f t="shared" si="1"/>
        <v>553348.57530586259</v>
      </c>
    </row>
    <row r="102" spans="4:5">
      <c r="D102">
        <v>100</v>
      </c>
      <c r="E102" s="30">
        <f t="shared" si="1"/>
        <v>548882.06105892116</v>
      </c>
    </row>
    <row r="103" spans="4:5">
      <c r="D103">
        <v>101</v>
      </c>
      <c r="E103" s="30">
        <f t="shared" si="1"/>
        <v>544370.88166951039</v>
      </c>
    </row>
    <row r="104" spans="4:5">
      <c r="D104">
        <v>102</v>
      </c>
      <c r="E104" s="30">
        <f t="shared" si="1"/>
        <v>539814.59048620553</v>
      </c>
    </row>
    <row r="105" spans="4:5">
      <c r="D105">
        <v>103</v>
      </c>
      <c r="E105" s="30">
        <f t="shared" si="1"/>
        <v>535212.73639106762</v>
      </c>
    </row>
    <row r="106" spans="4:5">
      <c r="D106">
        <v>104</v>
      </c>
      <c r="E106" s="30">
        <f t="shared" si="1"/>
        <v>530564.86375497829</v>
      </c>
    </row>
    <row r="107" spans="4:5">
      <c r="D107">
        <v>105</v>
      </c>
      <c r="E107" s="30">
        <f t="shared" si="1"/>
        <v>525870.51239252812</v>
      </c>
    </row>
    <row r="108" spans="4:5">
      <c r="D108">
        <v>106</v>
      </c>
      <c r="E108" s="30">
        <f t="shared" si="1"/>
        <v>521129.21751645335</v>
      </c>
    </row>
    <row r="109" spans="4:5">
      <c r="D109">
        <v>107</v>
      </c>
      <c r="E109" s="30">
        <f t="shared" si="1"/>
        <v>516340.50969161792</v>
      </c>
    </row>
    <row r="110" spans="4:5">
      <c r="D110">
        <v>108</v>
      </c>
      <c r="E110" s="30">
        <f t="shared" si="1"/>
        <v>511503.91478853411</v>
      </c>
    </row>
    <row r="111" spans="4:5">
      <c r="D111">
        <v>109</v>
      </c>
      <c r="E111" s="30">
        <f t="shared" si="1"/>
        <v>506618.95393641945</v>
      </c>
    </row>
    <row r="112" spans="4:5">
      <c r="D112">
        <v>110</v>
      </c>
      <c r="E112" s="30">
        <f t="shared" si="1"/>
        <v>501685.14347578364</v>
      </c>
    </row>
    <row r="113" spans="4:5">
      <c r="D113">
        <v>111</v>
      </c>
      <c r="E113" s="30">
        <f t="shared" si="1"/>
        <v>496701.99491054146</v>
      </c>
    </row>
    <row r="114" spans="4:5">
      <c r="D114">
        <v>112</v>
      </c>
      <c r="E114" s="30">
        <f t="shared" si="1"/>
        <v>491669.01485964685</v>
      </c>
    </row>
    <row r="115" spans="4:5">
      <c r="D115">
        <v>113</v>
      </c>
      <c r="E115" s="30">
        <f t="shared" si="1"/>
        <v>486585.70500824333</v>
      </c>
    </row>
    <row r="116" spans="4:5">
      <c r="D116">
        <v>114</v>
      </c>
      <c r="E116" s="30">
        <f t="shared" si="1"/>
        <v>481451.56205832574</v>
      </c>
    </row>
    <row r="117" spans="4:5">
      <c r="D117">
        <v>115</v>
      </c>
      <c r="E117" s="30">
        <f t="shared" si="1"/>
        <v>476266.077678909</v>
      </c>
    </row>
    <row r="118" spans="4:5">
      <c r="D118">
        <v>116</v>
      </c>
      <c r="E118" s="30">
        <f t="shared" si="1"/>
        <v>471028.73845569807</v>
      </c>
    </row>
    <row r="119" spans="4:5">
      <c r="D119">
        <v>117</v>
      </c>
      <c r="E119" s="30">
        <f t="shared" si="1"/>
        <v>465739.02584025502</v>
      </c>
    </row>
    <row r="120" spans="4:5">
      <c r="D120">
        <v>118</v>
      </c>
      <c r="E120" s="30">
        <f t="shared" si="1"/>
        <v>460396.41609865759</v>
      </c>
    </row>
    <row r="121" spans="4:5">
      <c r="D121">
        <v>119</v>
      </c>
      <c r="E121" s="30">
        <f t="shared" si="1"/>
        <v>455000.38025964418</v>
      </c>
    </row>
    <row r="122" spans="4:5">
      <c r="D122">
        <v>120</v>
      </c>
      <c r="E122" s="30">
        <f t="shared" si="1"/>
        <v>449550.3840622406</v>
      </c>
    </row>
    <row r="123" spans="4:5">
      <c r="D123">
        <v>121</v>
      </c>
      <c r="E123" s="30">
        <f t="shared" si="1"/>
        <v>444045.88790286303</v>
      </c>
    </row>
    <row r="124" spans="4:5">
      <c r="D124">
        <v>122</v>
      </c>
      <c r="E124" s="30">
        <f t="shared" si="1"/>
        <v>438486.34678189165</v>
      </c>
    </row>
    <row r="125" spans="4:5">
      <c r="D125">
        <v>123</v>
      </c>
      <c r="E125" s="30">
        <f t="shared" si="1"/>
        <v>432871.2102497106</v>
      </c>
    </row>
    <row r="126" spans="4:5">
      <c r="D126">
        <v>124</v>
      </c>
      <c r="E126" s="30">
        <f t="shared" si="1"/>
        <v>427199.92235220771</v>
      </c>
    </row>
    <row r="127" spans="4:5">
      <c r="D127">
        <v>125</v>
      </c>
      <c r="E127" s="30">
        <f t="shared" si="1"/>
        <v>421471.92157572979</v>
      </c>
    </row>
    <row r="128" spans="4:5">
      <c r="D128">
        <v>126</v>
      </c>
      <c r="E128" s="30">
        <f t="shared" si="1"/>
        <v>415686.64079148707</v>
      </c>
    </row>
    <row r="129" spans="4:5">
      <c r="D129">
        <v>127</v>
      </c>
      <c r="E129" s="30">
        <f t="shared" si="1"/>
        <v>409843.50719940191</v>
      </c>
    </row>
    <row r="130" spans="4:5">
      <c r="D130">
        <v>128</v>
      </c>
      <c r="E130" s="30">
        <f t="shared" si="1"/>
        <v>403941.94227139594</v>
      </c>
    </row>
    <row r="131" spans="4:5">
      <c r="D131">
        <v>129</v>
      </c>
      <c r="E131" s="30">
        <f t="shared" si="1"/>
        <v>397981.36169410992</v>
      </c>
    </row>
    <row r="132" spans="4:5">
      <c r="D132">
        <v>130</v>
      </c>
      <c r="E132" s="30">
        <f t="shared" ref="E132:E182" si="2">E131 + E131*$B$6 -$B$4</f>
        <v>391961.17531105102</v>
      </c>
    </row>
    <row r="133" spans="4:5">
      <c r="D133">
        <v>131</v>
      </c>
      <c r="E133" s="30">
        <f t="shared" si="2"/>
        <v>385880.7870641615</v>
      </c>
    </row>
    <row r="134" spans="4:5">
      <c r="D134">
        <v>132</v>
      </c>
      <c r="E134" s="30">
        <f t="shared" si="2"/>
        <v>379739.59493480314</v>
      </c>
    </row>
    <row r="135" spans="4:5">
      <c r="D135">
        <v>133</v>
      </c>
      <c r="E135" s="30">
        <f t="shared" si="2"/>
        <v>373536.99088415119</v>
      </c>
    </row>
    <row r="136" spans="4:5">
      <c r="D136">
        <v>134</v>
      </c>
      <c r="E136" s="30">
        <f t="shared" si="2"/>
        <v>367272.36079299269</v>
      </c>
    </row>
    <row r="137" spans="4:5">
      <c r="D137">
        <v>135</v>
      </c>
      <c r="E137" s="30">
        <f t="shared" si="2"/>
        <v>360945.08440092264</v>
      </c>
    </row>
    <row r="138" spans="4:5">
      <c r="D138">
        <v>136</v>
      </c>
      <c r="E138" s="30">
        <f t="shared" si="2"/>
        <v>354554.53524493187</v>
      </c>
    </row>
    <row r="139" spans="4:5">
      <c r="D139">
        <v>137</v>
      </c>
      <c r="E139" s="30">
        <f t="shared" si="2"/>
        <v>348100.08059738117</v>
      </c>
    </row>
    <row r="140" spans="4:5">
      <c r="D140">
        <v>138</v>
      </c>
      <c r="E140" s="30">
        <f t="shared" si="2"/>
        <v>341581.081403355</v>
      </c>
    </row>
    <row r="141" spans="4:5">
      <c r="D141">
        <v>139</v>
      </c>
      <c r="E141" s="30">
        <f t="shared" si="2"/>
        <v>334996.89221738855</v>
      </c>
    </row>
    <row r="142" spans="4:5">
      <c r="D142">
        <v>140</v>
      </c>
      <c r="E142" s="30">
        <f t="shared" si="2"/>
        <v>328346.86113956245</v>
      </c>
    </row>
    <row r="143" spans="4:5">
      <c r="D143">
        <v>141</v>
      </c>
      <c r="E143" s="30">
        <f t="shared" si="2"/>
        <v>321630.32975095807</v>
      </c>
    </row>
    <row r="144" spans="4:5">
      <c r="D144">
        <v>142</v>
      </c>
      <c r="E144" s="30">
        <f t="shared" si="2"/>
        <v>314846.63304846763</v>
      </c>
    </row>
    <row r="145" spans="4:5">
      <c r="D145">
        <v>143</v>
      </c>
      <c r="E145" s="30">
        <f t="shared" si="2"/>
        <v>307995.09937895229</v>
      </c>
    </row>
    <row r="146" spans="4:5">
      <c r="D146">
        <v>144</v>
      </c>
      <c r="E146" s="30">
        <f t="shared" si="2"/>
        <v>301075.05037274183</v>
      </c>
    </row>
    <row r="147" spans="4:5">
      <c r="D147">
        <v>145</v>
      </c>
      <c r="E147" s="30">
        <f t="shared" si="2"/>
        <v>294085.80087646923</v>
      </c>
    </row>
    <row r="148" spans="4:5">
      <c r="D148">
        <v>146</v>
      </c>
      <c r="E148" s="30">
        <f t="shared" si="2"/>
        <v>287026.65888523392</v>
      </c>
    </row>
    <row r="149" spans="4:5">
      <c r="D149">
        <v>147</v>
      </c>
      <c r="E149" s="30">
        <f t="shared" si="2"/>
        <v>279896.92547408625</v>
      </c>
    </row>
    <row r="150" spans="4:5">
      <c r="D150">
        <v>148</v>
      </c>
      <c r="E150" s="30">
        <f t="shared" si="2"/>
        <v>272695.89472882712</v>
      </c>
    </row>
    <row r="151" spans="4:5">
      <c r="D151">
        <v>149</v>
      </c>
      <c r="E151" s="30">
        <f t="shared" si="2"/>
        <v>265422.8536761154</v>
      </c>
    </row>
    <row r="152" spans="4:5">
      <c r="D152">
        <v>150</v>
      </c>
      <c r="E152" s="30">
        <f t="shared" si="2"/>
        <v>258077.08221287653</v>
      </c>
    </row>
    <row r="153" spans="4:5">
      <c r="D153">
        <v>151</v>
      </c>
      <c r="E153" s="30">
        <f t="shared" si="2"/>
        <v>250657.8530350053</v>
      </c>
    </row>
    <row r="154" spans="4:5">
      <c r="D154">
        <v>152</v>
      </c>
      <c r="E154" s="30">
        <f t="shared" si="2"/>
        <v>243164.43156535536</v>
      </c>
    </row>
    <row r="155" spans="4:5">
      <c r="D155">
        <v>153</v>
      </c>
      <c r="E155" s="30">
        <f t="shared" si="2"/>
        <v>235596.07588100893</v>
      </c>
    </row>
    <row r="156" spans="4:5">
      <c r="D156">
        <v>154</v>
      </c>
      <c r="E156" s="30">
        <f t="shared" si="2"/>
        <v>227952.03663981901</v>
      </c>
    </row>
    <row r="157" spans="4:5">
      <c r="D157">
        <v>155</v>
      </c>
      <c r="E157" s="30">
        <f t="shared" si="2"/>
        <v>220231.55700621719</v>
      </c>
    </row>
    <row r="158" spans="4:5">
      <c r="D158">
        <v>156</v>
      </c>
      <c r="E158" s="30">
        <f t="shared" si="2"/>
        <v>212433.87257627936</v>
      </c>
    </row>
    <row r="159" spans="4:5">
      <c r="D159">
        <v>157</v>
      </c>
      <c r="E159" s="30">
        <f t="shared" si="2"/>
        <v>204558.21130204215</v>
      </c>
    </row>
    <row r="160" spans="4:5">
      <c r="D160">
        <v>158</v>
      </c>
      <c r="E160" s="30">
        <f t="shared" si="2"/>
        <v>196603.79341506257</v>
      </c>
    </row>
    <row r="161" spans="4:5">
      <c r="D161">
        <v>159</v>
      </c>
      <c r="E161" s="30">
        <f t="shared" si="2"/>
        <v>188569.8313492132</v>
      </c>
    </row>
    <row r="162" spans="4:5">
      <c r="D162">
        <v>160</v>
      </c>
      <c r="E162" s="30">
        <f t="shared" si="2"/>
        <v>180455.52966270532</v>
      </c>
    </row>
    <row r="163" spans="4:5">
      <c r="D163">
        <v>161</v>
      </c>
      <c r="E163" s="30">
        <f t="shared" si="2"/>
        <v>172260.08495933237</v>
      </c>
    </row>
    <row r="164" spans="4:5">
      <c r="D164">
        <v>162</v>
      </c>
      <c r="E164" s="30">
        <f t="shared" si="2"/>
        <v>163982.68580892569</v>
      </c>
    </row>
    <row r="165" spans="4:5">
      <c r="D165">
        <v>163</v>
      </c>
      <c r="E165" s="30">
        <f t="shared" si="2"/>
        <v>155622.51266701493</v>
      </c>
    </row>
    <row r="166" spans="4:5">
      <c r="D166">
        <v>164</v>
      </c>
      <c r="E166" s="30">
        <f t="shared" si="2"/>
        <v>147178.73779368508</v>
      </c>
    </row>
    <row r="167" spans="4:5">
      <c r="D167">
        <v>165</v>
      </c>
      <c r="E167" s="30">
        <f t="shared" si="2"/>
        <v>138650.52517162194</v>
      </c>
    </row>
    <row r="168" spans="4:5">
      <c r="D168">
        <v>166</v>
      </c>
      <c r="E168" s="30">
        <f t="shared" si="2"/>
        <v>130037.03042333815</v>
      </c>
    </row>
    <row r="169" spans="4:5">
      <c r="D169">
        <v>167</v>
      </c>
      <c r="E169" s="30">
        <f t="shared" si="2"/>
        <v>121337.40072757154</v>
      </c>
    </row>
    <row r="170" spans="4:5">
      <c r="D170">
        <v>168</v>
      </c>
      <c r="E170" s="30">
        <f t="shared" si="2"/>
        <v>112550.77473484726</v>
      </c>
    </row>
    <row r="171" spans="4:5">
      <c r="D171">
        <v>169</v>
      </c>
      <c r="E171" s="30">
        <f t="shared" si="2"/>
        <v>103676.28248219573</v>
      </c>
    </row>
    <row r="172" spans="4:5">
      <c r="D172">
        <v>170</v>
      </c>
      <c r="E172" s="30">
        <f t="shared" si="2"/>
        <v>94713.045307017688</v>
      </c>
    </row>
    <row r="173" spans="4:5">
      <c r="D173">
        <v>171</v>
      </c>
      <c r="E173" s="30">
        <f t="shared" si="2"/>
        <v>85660.175760087863</v>
      </c>
    </row>
    <row r="174" spans="4:5">
      <c r="D174">
        <v>172</v>
      </c>
      <c r="E174" s="30">
        <f t="shared" si="2"/>
        <v>76516.777517688737</v>
      </c>
    </row>
    <row r="175" spans="4:5">
      <c r="D175">
        <v>173</v>
      </c>
      <c r="E175" s="30">
        <f t="shared" si="2"/>
        <v>67281.945292865625</v>
      </c>
    </row>
    <row r="176" spans="4:5">
      <c r="D176">
        <v>174</v>
      </c>
      <c r="E176" s="30">
        <f t="shared" si="2"/>
        <v>57954.76474579428</v>
      </c>
    </row>
    <row r="177" spans="4:5">
      <c r="D177">
        <v>175</v>
      </c>
      <c r="E177" s="30">
        <f t="shared" si="2"/>
        <v>48534.312393252221</v>
      </c>
    </row>
    <row r="178" spans="4:5">
      <c r="D178">
        <v>176</v>
      </c>
      <c r="E178" s="30">
        <f t="shared" si="2"/>
        <v>39019.655517184743</v>
      </c>
    </row>
    <row r="179" spans="4:5">
      <c r="D179">
        <v>177</v>
      </c>
      <c r="E179" s="30">
        <f t="shared" si="2"/>
        <v>29409.852072356589</v>
      </c>
    </row>
    <row r="180" spans="4:5">
      <c r="D180">
        <v>178</v>
      </c>
      <c r="E180" s="30">
        <f t="shared" si="2"/>
        <v>19703.950593080153</v>
      </c>
    </row>
    <row r="181" spans="4:5">
      <c r="D181">
        <v>179</v>
      </c>
      <c r="E181" s="30">
        <f t="shared" si="2"/>
        <v>9900.9900990109563</v>
      </c>
    </row>
    <row r="182" spans="4:5">
      <c r="D182">
        <v>180</v>
      </c>
      <c r="E182" s="30">
        <f t="shared" si="2"/>
        <v>1.0659277904778719E-9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J12"/>
  <sheetViews>
    <sheetView workbookViewId="0"/>
  </sheetViews>
  <sheetFormatPr defaultRowHeight="15"/>
  <cols>
    <col min="5" max="5" width="4.85546875" bestFit="1" customWidth="1"/>
    <col min="6" max="6" width="18.85546875" customWidth="1"/>
    <col min="7" max="7" width="14.42578125" customWidth="1"/>
    <col min="10" max="10" width="12.7109375" bestFit="1" customWidth="1"/>
  </cols>
  <sheetData>
    <row r="1" spans="1:10">
      <c r="A1" s="14" t="s">
        <v>37</v>
      </c>
      <c r="E1" s="1" t="s">
        <v>8</v>
      </c>
      <c r="F1" s="1" t="s">
        <v>32</v>
      </c>
      <c r="G1" s="1" t="s">
        <v>36</v>
      </c>
      <c r="H1" s="1"/>
      <c r="I1" s="1"/>
      <c r="J1" s="1" t="s">
        <v>35</v>
      </c>
    </row>
    <row r="2" spans="1:10">
      <c r="E2">
        <v>0</v>
      </c>
      <c r="F2" s="9">
        <v>2079130.1196888611</v>
      </c>
      <c r="G2" s="4">
        <v>150000</v>
      </c>
      <c r="J2" s="10">
        <f>-PV(5%,10,150000,1500000)</f>
        <v>2079130.1196888611</v>
      </c>
    </row>
    <row r="3" spans="1:10">
      <c r="E3">
        <v>1</v>
      </c>
      <c r="F3" s="29">
        <f>F2 + F2*5% - $G$2</f>
        <v>2033086.6256733043</v>
      </c>
    </row>
    <row r="4" spans="1:10">
      <c r="E4">
        <v>2</v>
      </c>
      <c r="F4" s="29">
        <f t="shared" ref="F4:F12" si="0">F3 + F3*5% - $G$2</f>
        <v>1984740.9569569696</v>
      </c>
    </row>
    <row r="5" spans="1:10">
      <c r="E5">
        <v>3</v>
      </c>
      <c r="F5" s="29">
        <f t="shared" si="0"/>
        <v>1933978.004804818</v>
      </c>
    </row>
    <row r="6" spans="1:10">
      <c r="E6">
        <v>4</v>
      </c>
      <c r="F6" s="29">
        <f t="shared" si="0"/>
        <v>1880676.9050450588</v>
      </c>
    </row>
    <row r="7" spans="1:10">
      <c r="E7">
        <v>5</v>
      </c>
      <c r="F7" s="29">
        <f t="shared" si="0"/>
        <v>1824710.7502973117</v>
      </c>
    </row>
    <row r="8" spans="1:10">
      <c r="E8">
        <v>6</v>
      </c>
      <c r="F8" s="29">
        <f t="shared" si="0"/>
        <v>1765946.2878121773</v>
      </c>
    </row>
    <row r="9" spans="1:10">
      <c r="E9">
        <v>7</v>
      </c>
      <c r="F9" s="29">
        <f t="shared" si="0"/>
        <v>1704243.6022027861</v>
      </c>
    </row>
    <row r="10" spans="1:10">
      <c r="E10">
        <v>8</v>
      </c>
      <c r="F10" s="29">
        <f t="shared" si="0"/>
        <v>1639455.7823129254</v>
      </c>
    </row>
    <row r="11" spans="1:10">
      <c r="E11">
        <v>9</v>
      </c>
      <c r="F11" s="29">
        <f t="shared" si="0"/>
        <v>1571428.5714285718</v>
      </c>
    </row>
    <row r="12" spans="1:10">
      <c r="E12">
        <v>10</v>
      </c>
      <c r="F12" s="29">
        <f t="shared" si="0"/>
        <v>1500000.0000000005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G51"/>
  <sheetViews>
    <sheetView workbookViewId="0">
      <pane ySplit="2700" topLeftCell="A45"/>
      <selection pane="bottomLeft" activeCell="H70" sqref="H70"/>
    </sheetView>
  </sheetViews>
  <sheetFormatPr defaultRowHeight="15"/>
  <cols>
    <col min="1" max="1" width="11" style="7" bestFit="1" customWidth="1"/>
    <col min="2" max="2" width="15.140625" bestFit="1" customWidth="1"/>
    <col min="3" max="3" width="9" bestFit="1" customWidth="1"/>
    <col min="4" max="4" width="6.85546875" bestFit="1" customWidth="1"/>
    <col min="5" max="5" width="33.28515625" style="16" bestFit="1" customWidth="1"/>
    <col min="6" max="6" width="12" bestFit="1" customWidth="1"/>
    <col min="7" max="7" width="13.7109375" bestFit="1" customWidth="1"/>
    <col min="13" max="13" width="13.7109375" bestFit="1" customWidth="1"/>
  </cols>
  <sheetData>
    <row r="1" spans="1:7">
      <c r="A1" s="15" t="s">
        <v>38</v>
      </c>
    </row>
    <row r="2" spans="1:7">
      <c r="A2" s="6" t="s">
        <v>0</v>
      </c>
      <c r="B2">
        <v>48</v>
      </c>
      <c r="D2" s="1" t="s">
        <v>8</v>
      </c>
      <c r="E2" s="33" t="s">
        <v>9</v>
      </c>
      <c r="G2" s="1" t="s">
        <v>6</v>
      </c>
    </row>
    <row r="3" spans="1:7">
      <c r="A3" s="6" t="s">
        <v>1</v>
      </c>
      <c r="B3" s="4">
        <v>35000</v>
      </c>
      <c r="D3">
        <v>0</v>
      </c>
      <c r="E3" s="16">
        <f>P</f>
        <v>35000</v>
      </c>
      <c r="G3" s="34">
        <f>RATE(D51,-X,E3,0)</f>
        <v>1.3708576646203684E-2</v>
      </c>
    </row>
    <row r="4" spans="1:7">
      <c r="A4" s="6" t="s">
        <v>2</v>
      </c>
      <c r="B4" s="4">
        <v>1000</v>
      </c>
      <c r="D4">
        <v>1</v>
      </c>
      <c r="E4" s="16">
        <f>E3 + rate*E3  - X</f>
        <v>34479.800182485022</v>
      </c>
    </row>
    <row r="5" spans="1:7">
      <c r="A5" s="6" t="s">
        <v>4</v>
      </c>
      <c r="B5" s="4">
        <v>0</v>
      </c>
      <c r="D5">
        <v>2</v>
      </c>
      <c r="E5" s="16">
        <f>E4 + rate*E4  - X</f>
        <v>33952.469165902265</v>
      </c>
    </row>
    <row r="6" spans="1:7">
      <c r="A6" s="6" t="s">
        <v>3</v>
      </c>
      <c r="B6" s="34">
        <v>1.370857664242929E-2</v>
      </c>
      <c r="D6">
        <v>3</v>
      </c>
      <c r="E6" s="16">
        <f>E5 + rate*E5  - X</f>
        <v>33417.909191662751</v>
      </c>
    </row>
    <row r="7" spans="1:7">
      <c r="A7" s="6" t="s">
        <v>5</v>
      </c>
      <c r="B7" s="3">
        <f>(1 + rate)^n</f>
        <v>1.9223382369726161</v>
      </c>
      <c r="D7">
        <v>4</v>
      </c>
      <c r="E7" s="16">
        <f>E6 + rate*E6  - X</f>
        <v>32876.021161046403</v>
      </c>
    </row>
    <row r="8" spans="1:7">
      <c r="D8">
        <v>5</v>
      </c>
      <c r="E8" s="16">
        <f>E7 + rate*E7  - X</f>
        <v>32326.704616830735</v>
      </c>
    </row>
    <row r="9" spans="1:7">
      <c r="D9">
        <v>6</v>
      </c>
      <c r="E9" s="16">
        <f>E8 + rate*E8  - X</f>
        <v>31769.857724667731</v>
      </c>
    </row>
    <row r="10" spans="1:7">
      <c r="D10">
        <v>7</v>
      </c>
      <c r="E10" s="16">
        <f>E9 + rate*E9  - X</f>
        <v>31205.377254205414</v>
      </c>
    </row>
    <row r="11" spans="1:7">
      <c r="D11">
        <v>8</v>
      </c>
      <c r="E11" s="16">
        <f>E10 + rate*E10  - X</f>
        <v>30633.158559950607</v>
      </c>
    </row>
    <row r="12" spans="1:7">
      <c r="D12">
        <v>9</v>
      </c>
      <c r="E12" s="16">
        <f>E11 + rate*E11  - X</f>
        <v>30053.095561869377</v>
      </c>
    </row>
    <row r="13" spans="1:7">
      <c r="D13">
        <v>10</v>
      </c>
      <c r="E13" s="16">
        <f>E12 + rate*E12  - X</f>
        <v>29465.080725721517</v>
      </c>
    </row>
    <row r="14" spans="1:7">
      <c r="D14">
        <v>11</v>
      </c>
      <c r="E14" s="16">
        <f>E13 + rate*E13  - X</f>
        <v>28869.005043125435</v>
      </c>
    </row>
    <row r="15" spans="1:7">
      <c r="D15">
        <v>12</v>
      </c>
      <c r="E15" s="16">
        <f>E14 + rate*E14  - X</f>
        <v>28264.758011349797</v>
      </c>
    </row>
    <row r="16" spans="1:7">
      <c r="D16">
        <v>13</v>
      </c>
      <c r="E16" s="16">
        <f>E15 + rate*E15  - X</f>
        <v>27652.227612828105</v>
      </c>
    </row>
    <row r="17" spans="4:5">
      <c r="D17">
        <v>14</v>
      </c>
      <c r="E17" s="16">
        <f>E16 + rate*E16  - X</f>
        <v>27031.300294392458</v>
      </c>
    </row>
    <row r="18" spans="4:5">
      <c r="D18">
        <v>15</v>
      </c>
      <c r="E18" s="16">
        <f>E17 + rate*E17  - X</f>
        <v>26401.86094622266</v>
      </c>
    </row>
    <row r="19" spans="4:5">
      <c r="D19">
        <v>16</v>
      </c>
      <c r="E19" s="16">
        <f>E18 + rate*E18  - X</f>
        <v>25763.792880506713</v>
      </c>
    </row>
    <row r="20" spans="4:5">
      <c r="D20">
        <v>17</v>
      </c>
      <c r="E20" s="16">
        <f>E19 + rate*E19  - X</f>
        <v>25116.977809808814</v>
      </c>
    </row>
    <row r="21" spans="4:5">
      <c r="D21">
        <v>18</v>
      </c>
      <c r="E21" s="16">
        <f>E20 + rate*E20  - X</f>
        <v>24461.295825140773</v>
      </c>
    </row>
    <row r="22" spans="4:5">
      <c r="D22">
        <v>19</v>
      </c>
      <c r="E22" s="16">
        <f>E21 + rate*E21  - X</f>
        <v>23796.625373732852</v>
      </c>
    </row>
    <row r="23" spans="4:5">
      <c r="D23">
        <v>20</v>
      </c>
      <c r="E23" s="16">
        <f>E22 + rate*E22  - X</f>
        <v>23122.843236499844</v>
      </c>
    </row>
    <row r="24" spans="4:5">
      <c r="D24">
        <v>21</v>
      </c>
      <c r="E24" s="16">
        <f>E23 + rate*E23  - X</f>
        <v>22439.824505198281</v>
      </c>
    </row>
    <row r="25" spans="4:5">
      <c r="D25">
        <v>22</v>
      </c>
      <c r="E25" s="16">
        <f>E24 + rate*E24  - X</f>
        <v>21747.442559270454</v>
      </c>
    </row>
    <row r="26" spans="4:5">
      <c r="D26">
        <v>23</v>
      </c>
      <c r="E26" s="16">
        <f>E25 + rate*E25  - X</f>
        <v>21045.56904237104</v>
      </c>
    </row>
    <row r="27" spans="4:5">
      <c r="D27">
        <v>24</v>
      </c>
      <c r="E27" s="16">
        <f>E26 + rate*E26  - X</f>
        <v>20334.07383857192</v>
      </c>
    </row>
    <row r="28" spans="4:5">
      <c r="D28">
        <v>25</v>
      </c>
      <c r="E28" s="16">
        <f>E27 + rate*E27  - X</f>
        <v>19612.8250482408</v>
      </c>
    </row>
    <row r="29" spans="4:5">
      <c r="D29">
        <v>26</v>
      </c>
      <c r="E29" s="16">
        <f>E28 + rate*E28  - X</f>
        <v>18881.688963589168</v>
      </c>
    </row>
    <row r="30" spans="4:5">
      <c r="D30">
        <v>27</v>
      </c>
      <c r="E30" s="16">
        <f>E29 + rate*E29  - X</f>
        <v>18140.530043885043</v>
      </c>
    </row>
    <row r="31" spans="4:5">
      <c r="D31">
        <v>28</v>
      </c>
      <c r="E31" s="16">
        <f>E30 + rate*E30  - X</f>
        <v>17389.210890325932</v>
      </c>
    </row>
    <row r="32" spans="4:5">
      <c r="D32">
        <v>29</v>
      </c>
      <c r="E32" s="16">
        <f>E31 + rate*E31  - X</f>
        <v>16627.592220567331</v>
      </c>
    </row>
    <row r="33" spans="4:5">
      <c r="D33">
        <v>30</v>
      </c>
      <c r="E33" s="16">
        <f>E32 + rate*E32  - X</f>
        <v>15855.532842902037</v>
      </c>
    </row>
    <row r="34" spans="4:5">
      <c r="D34">
        <v>31</v>
      </c>
      <c r="E34" s="16">
        <f>E33 + rate*E33  - X</f>
        <v>15072.889630085514</v>
      </c>
    </row>
    <row r="35" spans="4:5">
      <c r="D35">
        <v>32</v>
      </c>
      <c r="E35" s="16">
        <f>E34 + rate*E34  - X</f>
        <v>14279.517492802419</v>
      </c>
    </row>
    <row r="36" spans="4:5">
      <c r="D36">
        <v>33</v>
      </c>
      <c r="E36" s="16">
        <f>E35 + rate*E35  - X</f>
        <v>13475.26935276941</v>
      </c>
    </row>
    <row r="37" spans="4:5">
      <c r="D37">
        <v>34</v>
      </c>
      <c r="E37" s="16">
        <f>E36 + rate*E36  - X</f>
        <v>12659.996115469228</v>
      </c>
    </row>
    <row r="38" spans="4:5">
      <c r="D38">
        <v>35</v>
      </c>
      <c r="E38" s="16">
        <f>E37 + rate*E37  - X</f>
        <v>11833.546642510995</v>
      </c>
    </row>
    <row r="39" spans="4:5">
      <c r="D39">
        <v>36</v>
      </c>
      <c r="E39" s="16">
        <f>E38 + rate*E38  - X</f>
        <v>10995.76772361162</v>
      </c>
    </row>
    <row r="40" spans="4:5">
      <c r="D40">
        <v>37</v>
      </c>
      <c r="E40" s="16">
        <f>E39 + rate*E39  - X</f>
        <v>10146.504048193099</v>
      </c>
    </row>
    <row r="41" spans="4:5">
      <c r="D41">
        <v>38</v>
      </c>
      <c r="E41" s="16">
        <f>E40 + rate*E40  - X</f>
        <v>9285.5981765904726</v>
      </c>
    </row>
    <row r="42" spans="4:5">
      <c r="D42">
        <v>39</v>
      </c>
      <c r="E42" s="16">
        <f>E41 + rate*E41  - X</f>
        <v>8412.8905108650652</v>
      </c>
    </row>
    <row r="43" spans="4:5">
      <c r="D43">
        <v>40</v>
      </c>
      <c r="E43" s="16">
        <f>E42 + rate*E42  - X</f>
        <v>7528.2192652176254</v>
      </c>
    </row>
    <row r="44" spans="4:5">
      <c r="D44">
        <v>41</v>
      </c>
      <c r="E44" s="16">
        <f>E43 + rate*E43  - X</f>
        <v>6631.420435995874</v>
      </c>
    </row>
    <row r="45" spans="4:5">
      <c r="D45">
        <v>42</v>
      </c>
      <c r="E45" s="16">
        <f>E44 + rate*E44  - X</f>
        <v>5722.3277712908948</v>
      </c>
    </row>
    <row r="46" spans="4:5">
      <c r="D46">
        <v>43</v>
      </c>
      <c r="E46" s="16">
        <f>E45 + rate*E45  - X</f>
        <v>4800.7727401167376</v>
      </c>
    </row>
    <row r="47" spans="4:5">
      <c r="D47">
        <v>44</v>
      </c>
      <c r="E47" s="16">
        <f>E46 + rate*E46  - X</f>
        <v>3866.5845011675128</v>
      </c>
    </row>
    <row r="48" spans="4:5">
      <c r="D48">
        <v>45</v>
      </c>
      <c r="E48" s="16">
        <f>E47 + rate*E47  - X</f>
        <v>2919.5898711461969</v>
      </c>
    </row>
    <row r="49" spans="4:5">
      <c r="D49">
        <v>46</v>
      </c>
      <c r="E49" s="16">
        <f>E48 + rate*E48  - X</f>
        <v>1959.613292659265</v>
      </c>
    </row>
    <row r="50" spans="4:5">
      <c r="D50">
        <v>47</v>
      </c>
      <c r="E50" s="16">
        <f>E49 + rate*E49  - X</f>
        <v>986.4768016712078</v>
      </c>
    </row>
    <row r="51" spans="4:5">
      <c r="D51">
        <v>48</v>
      </c>
      <c r="E51" s="16">
        <f>E50 + rate*E50  - X</f>
        <v>-5.4871039765203022E-6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50"/>
  </sheetPr>
  <dimension ref="A1:G34"/>
  <sheetViews>
    <sheetView tabSelected="1" workbookViewId="0"/>
  </sheetViews>
  <sheetFormatPr defaultRowHeight="15"/>
  <cols>
    <col min="1" max="1" width="8" style="38" bestFit="1" customWidth="1"/>
    <col min="2" max="2" width="38.42578125" style="35" bestFit="1" customWidth="1"/>
    <col min="3" max="3" width="27" style="38" bestFit="1" customWidth="1"/>
    <col min="4" max="4" width="14.85546875" style="38" bestFit="1" customWidth="1"/>
    <col min="5" max="5" width="14.28515625" style="38" bestFit="1" customWidth="1"/>
    <col min="6" max="16384" width="9.140625" style="38"/>
  </cols>
  <sheetData>
    <row r="1" spans="1:5">
      <c r="A1" s="14" t="s">
        <v>53</v>
      </c>
    </row>
    <row r="3" spans="1:5" s="19" customFormat="1">
      <c r="A3" s="19" t="s">
        <v>39</v>
      </c>
      <c r="B3" s="42" t="s">
        <v>40</v>
      </c>
      <c r="C3" s="19" t="s">
        <v>41</v>
      </c>
      <c r="D3" s="19" t="s">
        <v>42</v>
      </c>
      <c r="E3" s="19" t="s">
        <v>43</v>
      </c>
    </row>
    <row r="4" spans="1:5">
      <c r="A4" s="38">
        <v>0</v>
      </c>
      <c r="B4" s="35">
        <f>balancePV</f>
        <v>4000000</v>
      </c>
      <c r="C4" s="35">
        <v>5000000</v>
      </c>
      <c r="D4" s="35">
        <v>1000000</v>
      </c>
      <c r="E4" s="35">
        <f>policyValue - immediatePMT</f>
        <v>4000000</v>
      </c>
    </row>
    <row r="5" spans="1:5">
      <c r="A5" s="38">
        <v>1</v>
      </c>
      <c r="B5" s="35">
        <f t="shared" ref="B5:B30" si="0">B4 + Zrate*B4 - Zpayment</f>
        <v>3880000</v>
      </c>
    </row>
    <row r="6" spans="1:5">
      <c r="A6" s="38">
        <v>2</v>
      </c>
      <c r="B6" s="35">
        <f t="shared" si="0"/>
        <v>3757600</v>
      </c>
      <c r="D6" s="19" t="s">
        <v>23</v>
      </c>
      <c r="E6" s="19" t="s">
        <v>3</v>
      </c>
    </row>
    <row r="7" spans="1:5">
      <c r="A7" s="38">
        <v>3</v>
      </c>
      <c r="B7" s="35">
        <f t="shared" si="0"/>
        <v>3632752</v>
      </c>
      <c r="D7" s="35">
        <v>200000</v>
      </c>
      <c r="E7" s="36">
        <v>0.02</v>
      </c>
    </row>
    <row r="8" spans="1:5">
      <c r="A8" s="38">
        <v>4</v>
      </c>
      <c r="B8" s="35">
        <f t="shared" si="0"/>
        <v>3505407.04</v>
      </c>
      <c r="E8" s="19"/>
    </row>
    <row r="9" spans="1:5">
      <c r="A9" s="38">
        <v>5</v>
      </c>
      <c r="B9" s="35">
        <f t="shared" si="0"/>
        <v>3375515.1808000002</v>
      </c>
    </row>
    <row r="10" spans="1:5">
      <c r="A10" s="38">
        <v>6</v>
      </c>
      <c r="B10" s="35">
        <f t="shared" si="0"/>
        <v>3243025.4844160001</v>
      </c>
    </row>
    <row r="11" spans="1:5">
      <c r="A11" s="38">
        <v>7</v>
      </c>
      <c r="B11" s="35">
        <f t="shared" si="0"/>
        <v>3107885.9941043202</v>
      </c>
      <c r="C11" s="39">
        <f>NPER(Zrate,-Zpayment,balancePV,0)</f>
        <v>25.79585103157185</v>
      </c>
      <c r="D11" s="39" t="s">
        <v>44</v>
      </c>
    </row>
    <row r="12" spans="1:5">
      <c r="A12" s="38">
        <v>8</v>
      </c>
      <c r="B12" s="35">
        <f t="shared" si="0"/>
        <v>2970043.7139864066</v>
      </c>
      <c r="C12" s="39">
        <f>FLOOR(C11,1)</f>
        <v>25</v>
      </c>
    </row>
    <row r="13" spans="1:5">
      <c r="A13" s="38">
        <v>9</v>
      </c>
      <c r="B13" s="35">
        <f t="shared" si="0"/>
        <v>2829444.5882661347</v>
      </c>
    </row>
    <row r="14" spans="1:5">
      <c r="A14" s="38">
        <v>10</v>
      </c>
      <c r="B14" s="35">
        <f t="shared" si="0"/>
        <v>2686033.4800314573</v>
      </c>
    </row>
    <row r="15" spans="1:5">
      <c r="A15" s="38">
        <v>11</v>
      </c>
      <c r="B15" s="35">
        <f t="shared" si="0"/>
        <v>2539754.1496320865</v>
      </c>
      <c r="C15" s="39">
        <f>D23/D24</f>
        <v>25.795851031571836</v>
      </c>
      <c r="D15" s="39" t="s">
        <v>45</v>
      </c>
    </row>
    <row r="16" spans="1:5">
      <c r="A16" s="38">
        <v>12</v>
      </c>
      <c r="B16" s="35">
        <f t="shared" si="0"/>
        <v>2390549.2326247282</v>
      </c>
      <c r="C16" s="39">
        <f>FLOOR(C15,1)</f>
        <v>25</v>
      </c>
    </row>
    <row r="17" spans="1:7">
      <c r="A17" s="38">
        <v>13</v>
      </c>
      <c r="B17" s="35">
        <f t="shared" si="0"/>
        <v>2238360.2172772228</v>
      </c>
    </row>
    <row r="18" spans="1:7">
      <c r="A18" s="38">
        <v>14</v>
      </c>
      <c r="B18" s="35">
        <f t="shared" si="0"/>
        <v>2083127.4216227671</v>
      </c>
    </row>
    <row r="19" spans="1:7">
      <c r="A19" s="38">
        <v>15</v>
      </c>
      <c r="B19" s="35">
        <f t="shared" si="0"/>
        <v>1924789.9700552225</v>
      </c>
    </row>
    <row r="20" spans="1:7">
      <c r="A20" s="38">
        <v>16</v>
      </c>
      <c r="B20" s="35">
        <f t="shared" si="0"/>
        <v>1763285.769456327</v>
      </c>
      <c r="C20" s="39" t="s">
        <v>46</v>
      </c>
      <c r="D20" s="39"/>
    </row>
    <row r="21" spans="1:7">
      <c r="A21" s="38">
        <v>17</v>
      </c>
      <c r="B21" s="35">
        <f t="shared" si="0"/>
        <v>1598551.4848454534</v>
      </c>
      <c r="C21" s="38" t="s">
        <v>47</v>
      </c>
      <c r="D21" s="38">
        <f>LN(Zpayment)</f>
        <v>12.206072645530174</v>
      </c>
    </row>
    <row r="22" spans="1:7">
      <c r="A22" s="38">
        <v>18</v>
      </c>
      <c r="B22" s="35">
        <f t="shared" si="0"/>
        <v>1430522.5145423624</v>
      </c>
      <c r="C22" s="38" t="s">
        <v>48</v>
      </c>
      <c r="D22" s="38">
        <f>LN(Zpayment - Zrate*balancePV)</f>
        <v>11.695247021764184</v>
      </c>
      <c r="G22" s="35"/>
    </row>
    <row r="23" spans="1:7">
      <c r="A23" s="38">
        <v>19</v>
      </c>
      <c r="B23" s="35">
        <f t="shared" si="0"/>
        <v>1259132.9648332098</v>
      </c>
      <c r="C23" s="38" t="s">
        <v>49</v>
      </c>
      <c r="D23" s="38">
        <f>D21 - D22</f>
        <v>0.5108256237659905</v>
      </c>
    </row>
    <row r="24" spans="1:7">
      <c r="A24" s="38">
        <v>20</v>
      </c>
      <c r="B24" s="35">
        <f t="shared" si="0"/>
        <v>1084315.6241298739</v>
      </c>
      <c r="C24" s="38" t="s">
        <v>50</v>
      </c>
      <c r="D24" s="38">
        <f>LN(1 + Zrate)</f>
        <v>1.980262729617973E-2</v>
      </c>
    </row>
    <row r="25" spans="1:7">
      <c r="A25" s="38">
        <v>21</v>
      </c>
      <c r="B25" s="35">
        <f t="shared" si="0"/>
        <v>906001.93661247147</v>
      </c>
    </row>
    <row r="26" spans="1:7">
      <c r="A26" s="38">
        <v>22</v>
      </c>
      <c r="B26" s="35">
        <f t="shared" si="0"/>
        <v>724121.97534472088</v>
      </c>
    </row>
    <row r="27" spans="1:7">
      <c r="A27" s="38">
        <v>23</v>
      </c>
      <c r="B27" s="35">
        <f t="shared" si="0"/>
        <v>538604.41485161532</v>
      </c>
    </row>
    <row r="28" spans="1:7">
      <c r="A28" s="38">
        <v>24</v>
      </c>
      <c r="B28" s="35">
        <f t="shared" si="0"/>
        <v>349376.50314864761</v>
      </c>
    </row>
    <row r="29" spans="1:7">
      <c r="A29" s="39">
        <v>25</v>
      </c>
      <c r="B29" s="35">
        <f t="shared" si="0"/>
        <v>156364.03321162058</v>
      </c>
      <c r="C29" s="39" t="s">
        <v>51</v>
      </c>
    </row>
    <row r="30" spans="1:7">
      <c r="A30" s="38">
        <v>26</v>
      </c>
      <c r="B30" s="35">
        <f t="shared" si="0"/>
        <v>-40508.686124147003</v>
      </c>
    </row>
    <row r="33" spans="3:4">
      <c r="C33" s="40" t="s">
        <v>52</v>
      </c>
      <c r="D33" s="41">
        <f>B29</f>
        <v>156364.03321162058</v>
      </c>
    </row>
    <row r="34" spans="3:4">
      <c r="C34" s="37" t="s">
        <v>54</v>
      </c>
      <c r="D34" s="35">
        <f>D33*1.02</f>
        <v>159491.313875853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40</vt:i4>
      </vt:variant>
    </vt:vector>
  </HeadingPairs>
  <TitlesOfParts>
    <vt:vector size="52" baseType="lpstr">
      <vt:lpstr>Q1 HELEN</vt:lpstr>
      <vt:lpstr>Q2 JOHN</vt:lpstr>
      <vt:lpstr>Q3 DAVID</vt:lpstr>
      <vt:lpstr>Q4 NATASHA</vt:lpstr>
      <vt:lpstr>Q5 ERIC</vt:lpstr>
      <vt:lpstr>Q6 WASIM</vt:lpstr>
      <vt:lpstr>Q7 TOM</vt:lpstr>
      <vt:lpstr>Q8 JENNY</vt:lpstr>
      <vt:lpstr>Q9 BILL</vt:lpstr>
      <vt:lpstr>Q10 TIMBER </vt:lpstr>
      <vt:lpstr>Q11 KEITH</vt:lpstr>
      <vt:lpstr>Q12 WIDOW</vt:lpstr>
      <vt:lpstr>balancePV</vt:lpstr>
      <vt:lpstr>'Q1 HELEN'!F</vt:lpstr>
      <vt:lpstr>'Q11 KEITH'!F</vt:lpstr>
      <vt:lpstr>'Q2 JOHN'!F</vt:lpstr>
      <vt:lpstr>'Q4 NATASHA'!F</vt:lpstr>
      <vt:lpstr>'Q5 ERIC'!F</vt:lpstr>
      <vt:lpstr>immediatePMT</vt:lpstr>
      <vt:lpstr>'Q1 HELEN'!n</vt:lpstr>
      <vt:lpstr>'Q11 KEITH'!n</vt:lpstr>
      <vt:lpstr>'Q2 JOHN'!n</vt:lpstr>
      <vt:lpstr>'Q3 DAVID'!n</vt:lpstr>
      <vt:lpstr>'Q4 NATASHA'!n</vt:lpstr>
      <vt:lpstr>'Q6 WASIM'!n</vt:lpstr>
      <vt:lpstr>n</vt:lpstr>
      <vt:lpstr>'Q1 HELEN'!P</vt:lpstr>
      <vt:lpstr>'Q11 KEITH'!P</vt:lpstr>
      <vt:lpstr>'Q2 JOHN'!P</vt:lpstr>
      <vt:lpstr>'Q3 DAVID'!P</vt:lpstr>
      <vt:lpstr>'Q4 NATASHA'!P</vt:lpstr>
      <vt:lpstr>'Q5 ERIC'!P</vt:lpstr>
      <vt:lpstr>'Q6 WASIM'!P</vt:lpstr>
      <vt:lpstr>'Q2 JOHN'!payment</vt:lpstr>
      <vt:lpstr>'Q6 WASIM'!payment</vt:lpstr>
      <vt:lpstr>payment</vt:lpstr>
      <vt:lpstr>policyValue</vt:lpstr>
      <vt:lpstr>'Q1 HELEN'!rate</vt:lpstr>
      <vt:lpstr>'Q11 KEITH'!rate</vt:lpstr>
      <vt:lpstr>'Q2 JOHN'!rate</vt:lpstr>
      <vt:lpstr>'Q3 DAVID'!rate</vt:lpstr>
      <vt:lpstr>'Q4 NATASHA'!rate</vt:lpstr>
      <vt:lpstr>'Q5 ERIC'!rate</vt:lpstr>
      <vt:lpstr>'Q6 WASIM'!rate</vt:lpstr>
      <vt:lpstr>'Q1 HELEN'!X</vt:lpstr>
      <vt:lpstr>'Q11 KEITH'!X</vt:lpstr>
      <vt:lpstr>'Q2 JOHN'!X</vt:lpstr>
      <vt:lpstr>'Q3 DAVID'!X</vt:lpstr>
      <vt:lpstr>'Q4 NATASHA'!X</vt:lpstr>
      <vt:lpstr>'Q5 ERIC'!X</vt:lpstr>
      <vt:lpstr>Zpayment</vt:lpstr>
      <vt:lpstr>Zrate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2010-09-07T03:53:31Z</dcterms:modified>
</cp:coreProperties>
</file>