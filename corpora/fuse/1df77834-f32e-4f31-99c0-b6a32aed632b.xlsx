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4955" windowHeight="7680" firstSheet="1" activeTab="2"/>
  </bookViews>
  <sheets>
    <sheet name="REPORT 1 - APPROP Summary " sheetId="1" r:id="rId1"/>
    <sheet name="REPORT 2 - Summary" sheetId="2" r:id="rId2"/>
    <sheet name="REPORT 3 - REVENUE PER ADM" sheetId="3" r:id="rId3"/>
    <sheet name="REPORT 4 - PROPERTY TAX" sheetId="4" r:id="rId4"/>
    <sheet name="REPORT 5 - DEFERRED MAINTENANCE" sheetId="5" r:id="rId5"/>
    <sheet name="REPORT 6 - CHARTER LEASE AID" sheetId="6" r:id="rId6"/>
  </sheets>
  <externalReferences>
    <externalReference r:id="rId7"/>
    <externalReference r:id="rId8"/>
  </externalReferences>
  <definedNames>
    <definedName name="_xlnm.Print_Area" localSheetId="0">'REPORT 1 - APPROP Summary '!$A$1:$L$229</definedName>
    <definedName name="_xlnm.Print_Area" localSheetId="1">'REPORT 2 - Summary'!$F$1:$M$191</definedName>
    <definedName name="_xlnm.Print_Area" localSheetId="2">'REPORT 3 - REVENUE PER ADM'!$A$1:$AV$531</definedName>
    <definedName name="_xlnm.Print_Area" localSheetId="3">'REPORT 4 - PROPERTY TAX'!$A$22:$AE$373</definedName>
    <definedName name="_xlnm.Print_Titles" localSheetId="2">'REPORT 3 - REVENUE PER ADM'!$A:$C,'REPORT 3 - REVENUE PER ADM'!$29:$32</definedName>
    <definedName name="_xlnm.Print_Titles" localSheetId="3">'REPORT 4 - PROPERTY TAX'!$A:$C,'REPORT 4 - PROPERTY TAX'!$22:$25</definedName>
    <definedName name="_xlnm.Print_Titles" localSheetId="4">'REPORT 5 - DEFERRED MAINTENANCE'!$21:$27</definedName>
    <definedName name="_xlnm.Print_Titles" localSheetId="5">'REPORT 6 - CHARTER LEASE AID'!$6:$11</definedName>
  </definedNames>
  <calcPr calcId="145621"/>
</workbook>
</file>

<file path=xl/calcChain.xml><?xml version="1.0" encoding="utf-8"?>
<calcChain xmlns="http://schemas.openxmlformats.org/spreadsheetml/2006/main">
  <c r="J162" i="6" l="1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3" i="6"/>
  <c r="I13" i="6"/>
  <c r="H13" i="6"/>
  <c r="G13" i="6"/>
  <c r="F13" i="6"/>
  <c r="E13" i="6"/>
  <c r="D13" i="6"/>
  <c r="C18" i="5"/>
  <c r="AF525" i="4"/>
  <c r="AF524" i="4"/>
  <c r="AF523" i="4"/>
  <c r="AF522" i="4"/>
  <c r="AF521" i="4"/>
  <c r="AF520" i="4"/>
  <c r="AF519" i="4"/>
  <c r="AF518" i="4"/>
  <c r="AF517" i="4"/>
  <c r="AF516" i="4"/>
  <c r="AF515" i="4"/>
  <c r="AF514" i="4"/>
  <c r="AF513" i="4"/>
  <c r="AF512" i="4"/>
  <c r="AF511" i="4"/>
  <c r="AF510" i="4"/>
  <c r="AF509" i="4"/>
  <c r="AF508" i="4"/>
  <c r="AF507" i="4"/>
  <c r="AF506" i="4"/>
  <c r="AF505" i="4"/>
  <c r="AF504" i="4"/>
  <c r="AF503" i="4"/>
  <c r="AF502" i="4"/>
  <c r="AF501" i="4"/>
  <c r="AF500" i="4"/>
  <c r="AF499" i="4"/>
  <c r="AF498" i="4"/>
  <c r="AF497" i="4"/>
  <c r="AF496" i="4"/>
  <c r="AF495" i="4"/>
  <c r="AF494" i="4"/>
  <c r="AF493" i="4"/>
  <c r="AF492" i="4"/>
  <c r="AF491" i="4"/>
  <c r="AF490" i="4"/>
  <c r="AF489" i="4"/>
  <c r="AF488" i="4"/>
  <c r="AF487" i="4"/>
  <c r="AF486" i="4"/>
  <c r="AF485" i="4"/>
  <c r="AF484" i="4"/>
  <c r="AF483" i="4"/>
  <c r="AF482" i="4"/>
  <c r="AF481" i="4"/>
  <c r="AF480" i="4"/>
  <c r="AF479" i="4"/>
  <c r="AF478" i="4"/>
  <c r="AF477" i="4"/>
  <c r="AF476" i="4"/>
  <c r="AF475" i="4"/>
  <c r="AF474" i="4"/>
  <c r="AF473" i="4"/>
  <c r="AF472" i="4"/>
  <c r="AF471" i="4"/>
  <c r="AF470" i="4"/>
  <c r="AF469" i="4"/>
  <c r="AF468" i="4"/>
  <c r="AF467" i="4"/>
  <c r="AF466" i="4"/>
  <c r="AF465" i="4"/>
  <c r="AF464" i="4"/>
  <c r="AF463" i="4"/>
  <c r="AF462" i="4"/>
  <c r="AF461" i="4"/>
  <c r="AF460" i="4"/>
  <c r="AF459" i="4"/>
  <c r="AF458" i="4"/>
  <c r="AF457" i="4"/>
  <c r="AF456" i="4"/>
  <c r="AF455" i="4"/>
  <c r="AF454" i="4"/>
  <c r="AF453" i="4"/>
  <c r="AF452" i="4"/>
  <c r="AF451" i="4"/>
  <c r="AF450" i="4"/>
  <c r="AF449" i="4"/>
  <c r="AF448" i="4"/>
  <c r="AF447" i="4"/>
  <c r="AF446" i="4"/>
  <c r="AF445" i="4"/>
  <c r="AF444" i="4"/>
  <c r="AF443" i="4"/>
  <c r="AF442" i="4"/>
  <c r="AF441" i="4"/>
  <c r="AF440" i="4"/>
  <c r="AF439" i="4"/>
  <c r="AF438" i="4"/>
  <c r="AF437" i="4"/>
  <c r="AF436" i="4"/>
  <c r="AF435" i="4"/>
  <c r="AF434" i="4"/>
  <c r="AF433" i="4"/>
  <c r="AF432" i="4"/>
  <c r="AF431" i="4"/>
  <c r="AF430" i="4"/>
  <c r="AF429" i="4"/>
  <c r="AF428" i="4"/>
  <c r="AF427" i="4"/>
  <c r="AF426" i="4"/>
  <c r="AF425" i="4"/>
  <c r="AF424" i="4"/>
  <c r="AF423" i="4"/>
  <c r="AF422" i="4"/>
  <c r="AF421" i="4"/>
  <c r="AF420" i="4"/>
  <c r="AF419" i="4"/>
  <c r="AF418" i="4"/>
  <c r="AF417" i="4"/>
  <c r="AF416" i="4"/>
  <c r="AF415" i="4"/>
  <c r="AF414" i="4"/>
  <c r="AF413" i="4"/>
  <c r="AF412" i="4"/>
  <c r="AF411" i="4"/>
  <c r="AF410" i="4"/>
  <c r="AF409" i="4"/>
  <c r="AF408" i="4"/>
  <c r="AF407" i="4"/>
  <c r="AF406" i="4"/>
  <c r="AF405" i="4"/>
  <c r="AF404" i="4"/>
  <c r="AF403" i="4"/>
  <c r="AF402" i="4"/>
  <c r="AF401" i="4"/>
  <c r="AF400" i="4"/>
  <c r="AF399" i="4"/>
  <c r="AF398" i="4"/>
  <c r="AF397" i="4"/>
  <c r="AF396" i="4"/>
  <c r="AF395" i="4"/>
  <c r="AF394" i="4"/>
  <c r="AF393" i="4"/>
  <c r="AF392" i="4"/>
  <c r="AF391" i="4"/>
  <c r="AF390" i="4"/>
  <c r="AF389" i="4"/>
  <c r="AF388" i="4"/>
  <c r="AF387" i="4"/>
  <c r="AF386" i="4"/>
  <c r="AF385" i="4"/>
  <c r="AF384" i="4"/>
  <c r="AF383" i="4"/>
  <c r="AF382" i="4"/>
  <c r="AF381" i="4"/>
  <c r="AF380" i="4"/>
  <c r="AF379" i="4"/>
  <c r="AF378" i="4"/>
  <c r="AF377" i="4"/>
  <c r="AF376" i="4"/>
  <c r="AF375" i="4"/>
  <c r="AF374" i="4"/>
  <c r="AF373" i="4"/>
  <c r="AF372" i="4"/>
  <c r="AF371" i="4"/>
  <c r="AF370" i="4"/>
  <c r="AF369" i="4"/>
  <c r="AF368" i="4"/>
  <c r="AF367" i="4"/>
  <c r="AF366" i="4"/>
  <c r="AF365" i="4"/>
  <c r="AF364" i="4"/>
  <c r="AF363" i="4"/>
  <c r="AF362" i="4"/>
  <c r="AF361" i="4"/>
  <c r="AF360" i="4"/>
  <c r="AF359" i="4"/>
  <c r="AF358" i="4"/>
  <c r="AF357" i="4"/>
  <c r="AF356" i="4"/>
  <c r="AF355" i="4"/>
  <c r="AF354" i="4"/>
  <c r="AF353" i="4"/>
  <c r="AF352" i="4"/>
  <c r="AF351" i="4"/>
  <c r="AF350" i="4"/>
  <c r="AF349" i="4"/>
  <c r="AF348" i="4"/>
  <c r="AF347" i="4"/>
  <c r="AF346" i="4"/>
  <c r="AF345" i="4"/>
  <c r="AF344" i="4"/>
  <c r="AF343" i="4"/>
  <c r="AF342" i="4"/>
  <c r="AF341" i="4"/>
  <c r="AF340" i="4"/>
  <c r="AF339" i="4"/>
  <c r="AF338" i="4"/>
  <c r="AF337" i="4"/>
  <c r="AF336" i="4"/>
  <c r="AF335" i="4"/>
  <c r="AF334" i="4"/>
  <c r="AF333" i="4"/>
  <c r="AF332" i="4"/>
  <c r="AF331" i="4"/>
  <c r="AF330" i="4"/>
  <c r="AF329" i="4"/>
  <c r="AF328" i="4"/>
  <c r="AF327" i="4"/>
  <c r="AF326" i="4"/>
  <c r="AF325" i="4"/>
  <c r="AF324" i="4"/>
  <c r="AF323" i="4"/>
  <c r="AF322" i="4"/>
  <c r="AF321" i="4"/>
  <c r="AF320" i="4"/>
  <c r="AF319" i="4"/>
  <c r="AF318" i="4"/>
  <c r="AF317" i="4"/>
  <c r="AF316" i="4"/>
  <c r="AF315" i="4"/>
  <c r="AF314" i="4"/>
  <c r="AF313" i="4"/>
  <c r="AF312" i="4"/>
  <c r="AF311" i="4"/>
  <c r="AF310" i="4"/>
  <c r="AF309" i="4"/>
  <c r="AF308" i="4"/>
  <c r="AF307" i="4"/>
  <c r="AF306" i="4"/>
  <c r="AF305" i="4"/>
  <c r="AF304" i="4"/>
  <c r="AF303" i="4"/>
  <c r="AF302" i="4"/>
  <c r="AF301" i="4"/>
  <c r="AF300" i="4"/>
  <c r="AF299" i="4"/>
  <c r="AF298" i="4"/>
  <c r="AF297" i="4"/>
  <c r="AF296" i="4"/>
  <c r="AF295" i="4"/>
  <c r="AF294" i="4"/>
  <c r="AF293" i="4"/>
  <c r="AF292" i="4"/>
  <c r="AF291" i="4"/>
  <c r="AF290" i="4"/>
  <c r="AF289" i="4"/>
  <c r="AF288" i="4"/>
  <c r="AF287" i="4"/>
  <c r="AF286" i="4"/>
  <c r="AF285" i="4"/>
  <c r="AF284" i="4"/>
  <c r="AF283" i="4"/>
  <c r="AF282" i="4"/>
  <c r="AF281" i="4"/>
  <c r="AF280" i="4"/>
  <c r="AF279" i="4"/>
  <c r="AF278" i="4"/>
  <c r="AF277" i="4"/>
  <c r="AF276" i="4"/>
  <c r="AF275" i="4"/>
  <c r="AF274" i="4"/>
  <c r="AF273" i="4"/>
  <c r="AF272" i="4"/>
  <c r="AF271" i="4"/>
  <c r="AF270" i="4"/>
  <c r="AF269" i="4"/>
  <c r="AF268" i="4"/>
  <c r="AF267" i="4"/>
  <c r="AF266" i="4"/>
  <c r="AF265" i="4"/>
  <c r="AF264" i="4"/>
  <c r="AF263" i="4"/>
  <c r="AF262" i="4"/>
  <c r="AF261" i="4"/>
  <c r="AF260" i="4"/>
  <c r="AF259" i="4"/>
  <c r="AF258" i="4"/>
  <c r="AF257" i="4"/>
  <c r="AF256" i="4"/>
  <c r="AF255" i="4"/>
  <c r="AF254" i="4"/>
  <c r="AF253" i="4"/>
  <c r="AF252" i="4"/>
  <c r="AF251" i="4"/>
  <c r="AF250" i="4"/>
  <c r="AF249" i="4"/>
  <c r="AF248" i="4"/>
  <c r="AF247" i="4"/>
  <c r="AF246" i="4"/>
  <c r="AF245" i="4"/>
  <c r="AF244" i="4"/>
  <c r="AF243" i="4"/>
  <c r="AF242" i="4"/>
  <c r="AF241" i="4"/>
  <c r="AF240" i="4"/>
  <c r="AF239" i="4"/>
  <c r="AF238" i="4"/>
  <c r="AF237" i="4"/>
  <c r="AF236" i="4"/>
  <c r="AF235" i="4"/>
  <c r="AF234" i="4"/>
  <c r="AF233" i="4"/>
  <c r="AF232" i="4"/>
  <c r="AF231" i="4"/>
  <c r="AF230" i="4"/>
  <c r="AF229" i="4"/>
  <c r="AF228" i="4"/>
  <c r="AF227" i="4"/>
  <c r="AF226" i="4"/>
  <c r="AF225" i="4"/>
  <c r="AF224" i="4"/>
  <c r="AF223" i="4"/>
  <c r="AF222" i="4"/>
  <c r="AF221" i="4"/>
  <c r="AF220" i="4"/>
  <c r="AF219" i="4"/>
  <c r="AF218" i="4"/>
  <c r="AF217" i="4"/>
  <c r="AF216" i="4"/>
  <c r="AF215" i="4"/>
  <c r="AF214" i="4"/>
  <c r="AF213" i="4"/>
  <c r="AF212" i="4"/>
  <c r="AF211" i="4"/>
  <c r="AF210" i="4"/>
  <c r="AF209" i="4"/>
  <c r="AF208" i="4"/>
  <c r="AF207" i="4"/>
  <c r="AF206" i="4"/>
  <c r="AF205" i="4"/>
  <c r="AF204" i="4"/>
  <c r="AF203" i="4"/>
  <c r="AF202" i="4"/>
  <c r="AF201" i="4"/>
  <c r="AF200" i="4"/>
  <c r="AF199" i="4"/>
  <c r="AF198" i="4"/>
  <c r="AF197" i="4"/>
  <c r="AF196" i="4"/>
  <c r="AF195" i="4"/>
  <c r="AF194" i="4"/>
  <c r="AF193" i="4"/>
  <c r="AF192" i="4"/>
  <c r="AF191" i="4"/>
  <c r="AF190" i="4"/>
  <c r="AF189" i="4"/>
  <c r="AF188" i="4"/>
  <c r="AF187" i="4"/>
  <c r="AF186" i="4"/>
  <c r="AF185" i="4"/>
  <c r="AF184" i="4"/>
  <c r="AF183" i="4"/>
  <c r="AF182" i="4"/>
  <c r="AF181" i="4"/>
  <c r="AF180" i="4"/>
  <c r="AF179" i="4"/>
  <c r="AF178" i="4"/>
  <c r="AF177" i="4"/>
  <c r="AF176" i="4"/>
  <c r="AF175" i="4"/>
  <c r="AF174" i="4"/>
  <c r="AF173" i="4"/>
  <c r="AF172" i="4"/>
  <c r="AF171" i="4"/>
  <c r="AF170" i="4"/>
  <c r="AF169" i="4"/>
  <c r="AF168" i="4"/>
  <c r="AF167" i="4"/>
  <c r="AF166" i="4"/>
  <c r="AF165" i="4"/>
  <c r="AF164" i="4"/>
  <c r="AF163" i="4"/>
  <c r="AF162" i="4"/>
  <c r="AF161" i="4"/>
  <c r="AF160" i="4"/>
  <c r="AF159" i="4"/>
  <c r="AF158" i="4"/>
  <c r="AF157" i="4"/>
  <c r="AF156" i="4"/>
  <c r="AF155" i="4"/>
  <c r="AF154" i="4"/>
  <c r="AF153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9" i="4"/>
  <c r="AF138" i="4"/>
  <c r="AF137" i="4"/>
  <c r="AF136" i="4"/>
  <c r="AF135" i="4"/>
  <c r="AF134" i="4"/>
  <c r="AF133" i="4"/>
  <c r="AF132" i="4"/>
  <c r="AF131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F115" i="4"/>
  <c r="AF114" i="4"/>
  <c r="AF113" i="4"/>
  <c r="AF112" i="4"/>
  <c r="AF111" i="4"/>
  <c r="AF110" i="4"/>
  <c r="AF109" i="4"/>
  <c r="AF108" i="4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6" i="4"/>
  <c r="AF35" i="4"/>
  <c r="AF34" i="4"/>
  <c r="AF33" i="4"/>
  <c r="AF32" i="4"/>
  <c r="AF31" i="4"/>
  <c r="AF30" i="4"/>
  <c r="AF29" i="4"/>
  <c r="AF27" i="4"/>
  <c r="AH25" i="4"/>
  <c r="AH24" i="4"/>
  <c r="AL22" i="4"/>
  <c r="AL23" i="4" s="1"/>
  <c r="AH22" i="4"/>
  <c r="AL21" i="4"/>
  <c r="AN20" i="4"/>
  <c r="AM21" i="4" s="1"/>
  <c r="AM20" i="4"/>
  <c r="AM22" i="4" s="1"/>
  <c r="AM23" i="4" s="1"/>
  <c r="AH23" i="4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F120" i="2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19" i="2"/>
  <c r="Q63" i="2"/>
  <c r="F35" i="2"/>
  <c r="F36" i="2" s="1"/>
  <c r="F37" i="2" s="1"/>
  <c r="F38" i="2" s="1"/>
  <c r="F39" i="2" s="1"/>
  <c r="F40" i="2" s="1"/>
  <c r="F41" i="2" s="1"/>
  <c r="F42" i="2" s="1"/>
  <c r="F43" i="2" s="1"/>
  <c r="F44" i="2" s="1"/>
  <c r="F24" i="2"/>
  <c r="F25" i="2" s="1"/>
  <c r="F26" i="2" s="1"/>
  <c r="F27" i="2" s="1"/>
  <c r="F28" i="2" s="1"/>
  <c r="F29" i="2" s="1"/>
  <c r="F30" i="2" s="1"/>
  <c r="F11" i="2"/>
  <c r="F12" i="2" s="1"/>
  <c r="F13" i="2" s="1"/>
  <c r="F14" i="2" s="1"/>
  <c r="F15" i="2" s="1"/>
  <c r="F16" i="2" s="1"/>
  <c r="F10" i="2"/>
  <c r="H225" i="1"/>
  <c r="I225" i="1" s="1"/>
  <c r="J225" i="1" s="1"/>
  <c r="J224" i="1"/>
  <c r="I215" i="1"/>
  <c r="H215" i="1"/>
  <c r="I216" i="1" s="1"/>
  <c r="H214" i="1"/>
  <c r="H213" i="1"/>
  <c r="I205" i="1"/>
  <c r="I203" i="1"/>
  <c r="I202" i="1"/>
  <c r="I201" i="1"/>
  <c r="I198" i="1"/>
  <c r="I189" i="1"/>
  <c r="I188" i="1"/>
  <c r="I187" i="1"/>
  <c r="I163" i="1"/>
  <c r="I155" i="1"/>
  <c r="F144" i="1"/>
  <c r="F145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H131" i="1"/>
  <c r="K131" i="1" s="1"/>
  <c r="I119" i="1"/>
  <c r="H119" i="1"/>
  <c r="J119" i="1" s="1"/>
  <c r="I118" i="1"/>
  <c r="J118" i="1" s="1"/>
  <c r="K118" i="1" s="1"/>
  <c r="H118" i="1"/>
  <c r="I117" i="1"/>
  <c r="H117" i="1"/>
  <c r="J117" i="1" s="1"/>
  <c r="I116" i="1"/>
  <c r="J116" i="1" s="1"/>
  <c r="K116" i="1" s="1"/>
  <c r="H116" i="1"/>
  <c r="I115" i="1"/>
  <c r="H115" i="1"/>
  <c r="J115" i="1" s="1"/>
  <c r="I114" i="1"/>
  <c r="J114" i="1" s="1"/>
  <c r="K114" i="1" s="1"/>
  <c r="H114" i="1"/>
  <c r="I110" i="1"/>
  <c r="I109" i="1"/>
  <c r="H109" i="1"/>
  <c r="J109" i="1" s="1"/>
  <c r="H108" i="1"/>
  <c r="H107" i="1"/>
  <c r="J107" i="1" s="1"/>
  <c r="K106" i="1"/>
  <c r="J106" i="1"/>
  <c r="I106" i="1"/>
  <c r="K102" i="1"/>
  <c r="J102" i="1"/>
  <c r="I102" i="1"/>
  <c r="J101" i="1"/>
  <c r="H101" i="1"/>
  <c r="K101" i="1" s="1"/>
  <c r="H100" i="1"/>
  <c r="I99" i="1"/>
  <c r="J99" i="1" s="1"/>
  <c r="K99" i="1" s="1"/>
  <c r="H99" i="1"/>
  <c r="H121" i="1" s="1"/>
  <c r="K98" i="1"/>
  <c r="J90" i="1"/>
  <c r="P84" i="1"/>
  <c r="I69" i="1"/>
  <c r="J69" i="1" s="1"/>
  <c r="K69" i="1" s="1"/>
  <c r="H69" i="1"/>
  <c r="I68" i="1"/>
  <c r="H68" i="1"/>
  <c r="I67" i="1"/>
  <c r="H67" i="1"/>
  <c r="H136" i="1" s="1"/>
  <c r="I66" i="1"/>
  <c r="I135" i="1" s="1"/>
  <c r="H66" i="1"/>
  <c r="K65" i="1"/>
  <c r="I65" i="1"/>
  <c r="J65" i="1" s="1"/>
  <c r="H65" i="1"/>
  <c r="I64" i="1"/>
  <c r="H64" i="1"/>
  <c r="Q63" i="1"/>
  <c r="I63" i="1"/>
  <c r="I113" i="1" s="1"/>
  <c r="H63" i="1"/>
  <c r="I62" i="1"/>
  <c r="I112" i="1" s="1"/>
  <c r="J112" i="1" s="1"/>
  <c r="H62" i="1"/>
  <c r="H112" i="1" s="1"/>
  <c r="I61" i="1"/>
  <c r="I111" i="1" s="1"/>
  <c r="H61" i="1"/>
  <c r="H111" i="1" s="1"/>
  <c r="K60" i="1"/>
  <c r="I60" i="1"/>
  <c r="J60" i="1" s="1"/>
  <c r="K59" i="1"/>
  <c r="I59" i="1"/>
  <c r="I131" i="1" s="1"/>
  <c r="J131" i="1" s="1"/>
  <c r="I58" i="1"/>
  <c r="I128" i="1" s="1"/>
  <c r="J128" i="1" s="1"/>
  <c r="H58" i="1"/>
  <c r="H128" i="1" s="1"/>
  <c r="I57" i="1"/>
  <c r="H57" i="1"/>
  <c r="J57" i="1" s="1"/>
  <c r="I56" i="1"/>
  <c r="J56" i="1" s="1"/>
  <c r="K56" i="1" s="1"/>
  <c r="H56" i="1"/>
  <c r="J55" i="1"/>
  <c r="H55" i="1"/>
  <c r="H110" i="1" s="1"/>
  <c r="I54" i="1"/>
  <c r="H54" i="1"/>
  <c r="J54" i="1" s="1"/>
  <c r="K53" i="1"/>
  <c r="I53" i="1"/>
  <c r="J53" i="1" s="1"/>
  <c r="I52" i="1"/>
  <c r="I133" i="1" s="1"/>
  <c r="J133" i="1" s="1"/>
  <c r="H52" i="1"/>
  <c r="H133" i="1" s="1"/>
  <c r="I51" i="1"/>
  <c r="H51" i="1"/>
  <c r="J51" i="1" s="1"/>
  <c r="I50" i="1"/>
  <c r="J50" i="1" s="1"/>
  <c r="K50" i="1" s="1"/>
  <c r="H50" i="1"/>
  <c r="H49" i="1"/>
  <c r="I48" i="1"/>
  <c r="J48" i="1" s="1"/>
  <c r="K48" i="1" s="1"/>
  <c r="H48" i="1"/>
  <c r="I47" i="1"/>
  <c r="I134" i="1" s="1"/>
  <c r="H47" i="1"/>
  <c r="H134" i="1" s="1"/>
  <c r="I46" i="1"/>
  <c r="I132" i="1" s="1"/>
  <c r="J132" i="1" s="1"/>
  <c r="H46" i="1"/>
  <c r="H132" i="1" s="1"/>
  <c r="H45" i="1"/>
  <c r="H130" i="1" s="1"/>
  <c r="H44" i="1"/>
  <c r="H129" i="1" s="1"/>
  <c r="I43" i="1"/>
  <c r="H43" i="1"/>
  <c r="J43" i="1" s="1"/>
  <c r="I42" i="1"/>
  <c r="J42" i="1" s="1"/>
  <c r="K42" i="1" s="1"/>
  <c r="H42" i="1"/>
  <c r="I41" i="1"/>
  <c r="H41" i="1"/>
  <c r="J41" i="1" s="1"/>
  <c r="I40" i="1"/>
  <c r="J40" i="1" s="1"/>
  <c r="K40" i="1" s="1"/>
  <c r="H40" i="1"/>
  <c r="I39" i="1"/>
  <c r="H39" i="1"/>
  <c r="J39" i="1" s="1"/>
  <c r="I38" i="1"/>
  <c r="J38" i="1" s="1"/>
  <c r="K38" i="1" s="1"/>
  <c r="H38" i="1"/>
  <c r="I37" i="1"/>
  <c r="H37" i="1"/>
  <c r="H125" i="1" s="1"/>
  <c r="H36" i="1"/>
  <c r="K35" i="1"/>
  <c r="I35" i="1"/>
  <c r="J35" i="1" s="1"/>
  <c r="F35" i="1"/>
  <c r="F36" i="1" s="1"/>
  <c r="F37" i="1" s="1"/>
  <c r="F38" i="1" s="1"/>
  <c r="F39" i="1" s="1"/>
  <c r="F40" i="1" s="1"/>
  <c r="F41" i="1" s="1"/>
  <c r="F42" i="1" s="1"/>
  <c r="F43" i="1" s="1"/>
  <c r="F44" i="1" s="1"/>
  <c r="I34" i="1"/>
  <c r="J34" i="1" s="1"/>
  <c r="H34" i="1"/>
  <c r="I30" i="1"/>
  <c r="J30" i="1" s="1"/>
  <c r="K30" i="1" s="1"/>
  <c r="H30" i="1"/>
  <c r="I29" i="1"/>
  <c r="H29" i="1"/>
  <c r="J29" i="1" s="1"/>
  <c r="H28" i="1"/>
  <c r="H27" i="1"/>
  <c r="H26" i="1"/>
  <c r="H25" i="1"/>
  <c r="H24" i="1"/>
  <c r="F24" i="1"/>
  <c r="F25" i="1" s="1"/>
  <c r="F26" i="1" s="1"/>
  <c r="F27" i="1" s="1"/>
  <c r="F28" i="1" s="1"/>
  <c r="F29" i="1" s="1"/>
  <c r="F30" i="1" s="1"/>
  <c r="H23" i="1"/>
  <c r="H21" i="1"/>
  <c r="H20" i="1"/>
  <c r="H22" i="1" s="1"/>
  <c r="L16" i="1"/>
  <c r="L30" i="1" s="1"/>
  <c r="M30" i="1" s="1"/>
  <c r="I16" i="1"/>
  <c r="H16" i="1"/>
  <c r="J16" i="1" s="1"/>
  <c r="L15" i="1"/>
  <c r="L29" i="1" s="1"/>
  <c r="M29" i="1" s="1"/>
  <c r="H15" i="1"/>
  <c r="L14" i="1"/>
  <c r="L28" i="1" s="1"/>
  <c r="H14" i="1"/>
  <c r="L13" i="1"/>
  <c r="L27" i="1" s="1"/>
  <c r="H13" i="1"/>
  <c r="L12" i="1"/>
  <c r="L26" i="1" s="1"/>
  <c r="H12" i="1"/>
  <c r="L11" i="1"/>
  <c r="L25" i="1" s="1"/>
  <c r="H11" i="1"/>
  <c r="F11" i="1"/>
  <c r="F12" i="1" s="1"/>
  <c r="F13" i="1" s="1"/>
  <c r="F14" i="1" s="1"/>
  <c r="F15" i="1" s="1"/>
  <c r="F16" i="1" s="1"/>
  <c r="L10" i="1"/>
  <c r="L24" i="1" s="1"/>
  <c r="H10" i="1"/>
  <c r="F10" i="1"/>
  <c r="L9" i="1"/>
  <c r="L23" i="1" s="1"/>
  <c r="H9" i="1"/>
  <c r="AG27" i="4" l="1"/>
  <c r="AG29" i="4"/>
  <c r="AG30" i="4"/>
  <c r="AG31" i="4"/>
  <c r="AG32" i="4"/>
  <c r="AG33" i="4"/>
  <c r="AG34" i="4"/>
  <c r="AG35" i="4"/>
  <c r="AG36" i="4"/>
  <c r="AG525" i="4"/>
  <c r="AH514" i="4"/>
  <c r="AH518" i="4"/>
  <c r="F45" i="2"/>
  <c r="L21" i="1"/>
  <c r="F45" i="1"/>
  <c r="K34" i="1"/>
  <c r="K36" i="1"/>
  <c r="H6" i="1"/>
  <c r="L6" i="1"/>
  <c r="H7" i="1"/>
  <c r="L7" i="1"/>
  <c r="K16" i="1"/>
  <c r="M16" i="1"/>
  <c r="K29" i="1"/>
  <c r="H70" i="1"/>
  <c r="J36" i="1"/>
  <c r="I125" i="1"/>
  <c r="J125" i="1" s="1"/>
  <c r="H175" i="1"/>
  <c r="K39" i="1"/>
  <c r="K41" i="1"/>
  <c r="K43" i="1"/>
  <c r="K132" i="1"/>
  <c r="J46" i="1"/>
  <c r="K46" i="1" s="1"/>
  <c r="J134" i="1"/>
  <c r="I49" i="1"/>
  <c r="J49" i="1" s="1"/>
  <c r="K49" i="1" s="1"/>
  <c r="K51" i="1"/>
  <c r="K133" i="1"/>
  <c r="J52" i="1"/>
  <c r="K52" i="1" s="1"/>
  <c r="K54" i="1"/>
  <c r="K55" i="1"/>
  <c r="K57" i="1"/>
  <c r="K128" i="1"/>
  <c r="J58" i="1"/>
  <c r="K58" i="1" s="1"/>
  <c r="J59" i="1"/>
  <c r="J111" i="1"/>
  <c r="K112" i="1"/>
  <c r="J62" i="1"/>
  <c r="K62" i="1" s="1"/>
  <c r="K64" i="1"/>
  <c r="J64" i="1"/>
  <c r="H137" i="1"/>
  <c r="J68" i="1"/>
  <c r="K68" i="1" s="1"/>
  <c r="K125" i="1"/>
  <c r="J37" i="1"/>
  <c r="K134" i="1"/>
  <c r="J47" i="1"/>
  <c r="K47" i="1" s="1"/>
  <c r="K111" i="1"/>
  <c r="J61" i="1"/>
  <c r="K61" i="1" s="1"/>
  <c r="H113" i="1"/>
  <c r="K63" i="1"/>
  <c r="J63" i="1"/>
  <c r="H135" i="1"/>
  <c r="J135" i="1" s="1"/>
  <c r="J66" i="1"/>
  <c r="K66" i="1" s="1"/>
  <c r="I136" i="1"/>
  <c r="J136" i="1" s="1"/>
  <c r="J67" i="1"/>
  <c r="K67" i="1" s="1"/>
  <c r="J110" i="1"/>
  <c r="K110" i="1" s="1"/>
  <c r="K136" i="1"/>
  <c r="I137" i="1"/>
  <c r="J137" i="1" s="1"/>
  <c r="I122" i="1"/>
  <c r="J108" i="1"/>
  <c r="K108" i="1" s="1"/>
  <c r="K109" i="1"/>
  <c r="K115" i="1"/>
  <c r="K117" i="1"/>
  <c r="K119" i="1"/>
  <c r="H122" i="1"/>
  <c r="H123" i="1" s="1"/>
  <c r="K107" i="1"/>
  <c r="AH519" i="4" l="1"/>
  <c r="AG524" i="4"/>
  <c r="AG522" i="4"/>
  <c r="AG520" i="4"/>
  <c r="AH524" i="4"/>
  <c r="AH521" i="4"/>
  <c r="AH520" i="4"/>
  <c r="AG509" i="4"/>
  <c r="AG505" i="4"/>
  <c r="AG501" i="4"/>
  <c r="AH513" i="4"/>
  <c r="AG512" i="4"/>
  <c r="AG508" i="4"/>
  <c r="AG504" i="4"/>
  <c r="AG500" i="4"/>
  <c r="AG495" i="4"/>
  <c r="AG491" i="4"/>
  <c r="AG487" i="4"/>
  <c r="AH508" i="4"/>
  <c r="AH500" i="4"/>
  <c r="AG498" i="4"/>
  <c r="AG494" i="4"/>
  <c r="AG490" i="4"/>
  <c r="AG486" i="4"/>
  <c r="AG483" i="4"/>
  <c r="AG481" i="4"/>
  <c r="AG479" i="4"/>
  <c r="AG477" i="4"/>
  <c r="AG475" i="4"/>
  <c r="AG473" i="4"/>
  <c r="AG471" i="4"/>
  <c r="AG469" i="4"/>
  <c r="AG467" i="4"/>
  <c r="AG465" i="4"/>
  <c r="AG463" i="4"/>
  <c r="AG461" i="4"/>
  <c r="AG459" i="4"/>
  <c r="AH481" i="4"/>
  <c r="AH477" i="4"/>
  <c r="AH473" i="4"/>
  <c r="AH469" i="4"/>
  <c r="AH465" i="4"/>
  <c r="AH461" i="4"/>
  <c r="AH455" i="4"/>
  <c r="AH451" i="4"/>
  <c r="AH447" i="4"/>
  <c r="AH443" i="4"/>
  <c r="AH439" i="4"/>
  <c r="AH435" i="4"/>
  <c r="AH431" i="4"/>
  <c r="AG427" i="4"/>
  <c r="AG423" i="4"/>
  <c r="AH454" i="4"/>
  <c r="AH450" i="4"/>
  <c r="AH446" i="4"/>
  <c r="AH442" i="4"/>
  <c r="AH438" i="4"/>
  <c r="AH434" i="4"/>
  <c r="AG430" i="4"/>
  <c r="AG426" i="4"/>
  <c r="AG422" i="4"/>
  <c r="AG420" i="4"/>
  <c r="AG418" i="4"/>
  <c r="AG416" i="4"/>
  <c r="AG414" i="4"/>
  <c r="AG412" i="4"/>
  <c r="AG410" i="4"/>
  <c r="AG408" i="4"/>
  <c r="AG406" i="4"/>
  <c r="AG404" i="4"/>
  <c r="AG402" i="4"/>
  <c r="AG400" i="4"/>
  <c r="AG398" i="4"/>
  <c r="AG396" i="4"/>
  <c r="AG394" i="4"/>
  <c r="AG392" i="4"/>
  <c r="AG390" i="4"/>
  <c r="AG388" i="4"/>
  <c r="AG386" i="4"/>
  <c r="AG384" i="4"/>
  <c r="AG382" i="4"/>
  <c r="AG380" i="4"/>
  <c r="AG378" i="4"/>
  <c r="AG376" i="4"/>
  <c r="AH428" i="4"/>
  <c r="AH424" i="4"/>
  <c r="AG372" i="4"/>
  <c r="AG370" i="4"/>
  <c r="AG368" i="4"/>
  <c r="AG366" i="4"/>
  <c r="AG364" i="4"/>
  <c r="AG362" i="4"/>
  <c r="AG360" i="4"/>
  <c r="AG358" i="4"/>
  <c r="AG356" i="4"/>
  <c r="AG354" i="4"/>
  <c r="AG352" i="4"/>
  <c r="AG350" i="4"/>
  <c r="AG348" i="4"/>
  <c r="AG346" i="4"/>
  <c r="AG344" i="4"/>
  <c r="AG342" i="4"/>
  <c r="AG340" i="4"/>
  <c r="AG338" i="4"/>
  <c r="AG336" i="4"/>
  <c r="AG334" i="4"/>
  <c r="AG332" i="4"/>
  <c r="AG330" i="4"/>
  <c r="AG328" i="4"/>
  <c r="AG326" i="4"/>
  <c r="AG324" i="4"/>
  <c r="AG322" i="4"/>
  <c r="AG320" i="4"/>
  <c r="AG318" i="4"/>
  <c r="AG316" i="4"/>
  <c r="AG314" i="4"/>
  <c r="AG312" i="4"/>
  <c r="AG310" i="4"/>
  <c r="AG308" i="4"/>
  <c r="AG306" i="4"/>
  <c r="AG304" i="4"/>
  <c r="AG302" i="4"/>
  <c r="AG300" i="4"/>
  <c r="AG298" i="4"/>
  <c r="AG296" i="4"/>
  <c r="AG294" i="4"/>
  <c r="AG292" i="4"/>
  <c r="AG290" i="4"/>
  <c r="AG288" i="4"/>
  <c r="AG286" i="4"/>
  <c r="AG284" i="4"/>
  <c r="AG282" i="4"/>
  <c r="AG280" i="4"/>
  <c r="AG278" i="4"/>
  <c r="AG276" i="4"/>
  <c r="AG274" i="4"/>
  <c r="AG272" i="4"/>
  <c r="AG270" i="4"/>
  <c r="AG268" i="4"/>
  <c r="AG266" i="4"/>
  <c r="AG264" i="4"/>
  <c r="AG262" i="4"/>
  <c r="AG260" i="4"/>
  <c r="AG258" i="4"/>
  <c r="AG256" i="4"/>
  <c r="AG254" i="4"/>
  <c r="AG252" i="4"/>
  <c r="AG250" i="4"/>
  <c r="AG248" i="4"/>
  <c r="AG246" i="4"/>
  <c r="AG244" i="4"/>
  <c r="AG242" i="4"/>
  <c r="AG240" i="4"/>
  <c r="AG238" i="4"/>
  <c r="AG236" i="4"/>
  <c r="AG234" i="4"/>
  <c r="AG232" i="4"/>
  <c r="AG230" i="4"/>
  <c r="AG228" i="4"/>
  <c r="AG226" i="4"/>
  <c r="AG224" i="4"/>
  <c r="AG222" i="4"/>
  <c r="AG220" i="4"/>
  <c r="AG218" i="4"/>
  <c r="AG215" i="4"/>
  <c r="AG213" i="4"/>
  <c r="AG211" i="4"/>
  <c r="AG209" i="4"/>
  <c r="AG207" i="4"/>
  <c r="AG205" i="4"/>
  <c r="AG203" i="4"/>
  <c r="AG201" i="4"/>
  <c r="AG199" i="4"/>
  <c r="AG197" i="4"/>
  <c r="AG195" i="4"/>
  <c r="AG193" i="4"/>
  <c r="AG191" i="4"/>
  <c r="AG189" i="4"/>
  <c r="AG187" i="4"/>
  <c r="AG185" i="4"/>
  <c r="AG183" i="4"/>
  <c r="AG181" i="4"/>
  <c r="AG179" i="4"/>
  <c r="AG177" i="4"/>
  <c r="AG175" i="4"/>
  <c r="AG173" i="4"/>
  <c r="AG171" i="4"/>
  <c r="AG169" i="4"/>
  <c r="AG167" i="4"/>
  <c r="AG165" i="4"/>
  <c r="AG163" i="4"/>
  <c r="AG161" i="4"/>
  <c r="AG159" i="4"/>
  <c r="AG157" i="4"/>
  <c r="AG155" i="4"/>
  <c r="AG153" i="4"/>
  <c r="AG151" i="4"/>
  <c r="AG149" i="4"/>
  <c r="AG147" i="4"/>
  <c r="AG145" i="4"/>
  <c r="AG143" i="4"/>
  <c r="AG141" i="4"/>
  <c r="AG139" i="4"/>
  <c r="AG137" i="4"/>
  <c r="AG135" i="4"/>
  <c r="AG133" i="4"/>
  <c r="AG130" i="4"/>
  <c r="AG128" i="4"/>
  <c r="AG126" i="4"/>
  <c r="AG124" i="4"/>
  <c r="AG122" i="4"/>
  <c r="AG120" i="4"/>
  <c r="AG118" i="4"/>
  <c r="AG116" i="4"/>
  <c r="AG114" i="4"/>
  <c r="AG112" i="4"/>
  <c r="AG110" i="4"/>
  <c r="AG108" i="4"/>
  <c r="AG106" i="4"/>
  <c r="AG104" i="4"/>
  <c r="AG102" i="4"/>
  <c r="AG100" i="4"/>
  <c r="AG98" i="4"/>
  <c r="AG96" i="4"/>
  <c r="AG94" i="4"/>
  <c r="AG92" i="4"/>
  <c r="AG90" i="4"/>
  <c r="AG88" i="4"/>
  <c r="AG86" i="4"/>
  <c r="AG84" i="4"/>
  <c r="AG82" i="4"/>
  <c r="AG80" i="4"/>
  <c r="AG78" i="4"/>
  <c r="AG76" i="4"/>
  <c r="AG74" i="4"/>
  <c r="AG72" i="4"/>
  <c r="AG70" i="4"/>
  <c r="AG68" i="4"/>
  <c r="AG66" i="4"/>
  <c r="AG64" i="4"/>
  <c r="AG62" i="4"/>
  <c r="AG60" i="4"/>
  <c r="AG58" i="4"/>
  <c r="AG56" i="4"/>
  <c r="AG54" i="4"/>
  <c r="AG52" i="4"/>
  <c r="AG50" i="4"/>
  <c r="AG48" i="4"/>
  <c r="AG46" i="4"/>
  <c r="AG44" i="4"/>
  <c r="AG42" i="4"/>
  <c r="AG40" i="4"/>
  <c r="AG38" i="4"/>
  <c r="AG523" i="4"/>
  <c r="AG521" i="4"/>
  <c r="AG519" i="4"/>
  <c r="AI519" i="4" s="1"/>
  <c r="AH523" i="4"/>
  <c r="AG517" i="4"/>
  <c r="AG515" i="4"/>
  <c r="AG513" i="4"/>
  <c r="AG518" i="4"/>
  <c r="AI518" i="4" s="1"/>
  <c r="AG516" i="4"/>
  <c r="AG514" i="4"/>
  <c r="AI514" i="4" s="1"/>
  <c r="AH517" i="4"/>
  <c r="AH515" i="4"/>
  <c r="AG511" i="4"/>
  <c r="AG507" i="4"/>
  <c r="AG503" i="4"/>
  <c r="AG499" i="4"/>
  <c r="AH516" i="4"/>
  <c r="AH512" i="4"/>
  <c r="AG510" i="4"/>
  <c r="AG506" i="4"/>
  <c r="AG502" i="4"/>
  <c r="AH511" i="4"/>
  <c r="AH507" i="4"/>
  <c r="AH503" i="4"/>
  <c r="AH499" i="4"/>
  <c r="AG497" i="4"/>
  <c r="AG493" i="4"/>
  <c r="AG489" i="4"/>
  <c r="AH510" i="4"/>
  <c r="AH506" i="4"/>
  <c r="AH502" i="4"/>
  <c r="AG496" i="4"/>
  <c r="AG492" i="4"/>
  <c r="AG488" i="4"/>
  <c r="AH497" i="4"/>
  <c r="AH496" i="4"/>
  <c r="AH493" i="4"/>
  <c r="AH492" i="4"/>
  <c r="AH489" i="4"/>
  <c r="AH488" i="4"/>
  <c r="AG484" i="4"/>
  <c r="AG482" i="4"/>
  <c r="AG480" i="4"/>
  <c r="AG478" i="4"/>
  <c r="AG476" i="4"/>
  <c r="AG474" i="4"/>
  <c r="AG472" i="4"/>
  <c r="AG470" i="4"/>
  <c r="AG468" i="4"/>
  <c r="AG466" i="4"/>
  <c r="AG464" i="4"/>
  <c r="AG462" i="4"/>
  <c r="AG460" i="4"/>
  <c r="AG458" i="4"/>
  <c r="AH498" i="4"/>
  <c r="AH494" i="4"/>
  <c r="AH490" i="4"/>
  <c r="AH486" i="4"/>
  <c r="AH485" i="4"/>
  <c r="AH484" i="4"/>
  <c r="AH482" i="4"/>
  <c r="AH480" i="4"/>
  <c r="AH478" i="4"/>
  <c r="AH476" i="4"/>
  <c r="AH474" i="4"/>
  <c r="AH472" i="4"/>
  <c r="AH470" i="4"/>
  <c r="AH468" i="4"/>
  <c r="AH466" i="4"/>
  <c r="AH464" i="4"/>
  <c r="AH462" i="4"/>
  <c r="AH460" i="4"/>
  <c r="AH458" i="4"/>
  <c r="AG456" i="4"/>
  <c r="AG454" i="4"/>
  <c r="AG452" i="4"/>
  <c r="AG450" i="4"/>
  <c r="AG448" i="4"/>
  <c r="AG446" i="4"/>
  <c r="AG444" i="4"/>
  <c r="AG442" i="4"/>
  <c r="AG440" i="4"/>
  <c r="AG438" i="4"/>
  <c r="AG436" i="4"/>
  <c r="AG434" i="4"/>
  <c r="AG432" i="4"/>
  <c r="AG485" i="4"/>
  <c r="AH483" i="4"/>
  <c r="AH479" i="4"/>
  <c r="AH475" i="4"/>
  <c r="AH471" i="4"/>
  <c r="AH467" i="4"/>
  <c r="AH463" i="4"/>
  <c r="AH459" i="4"/>
  <c r="AG457" i="4"/>
  <c r="AG455" i="4"/>
  <c r="AG453" i="4"/>
  <c r="AG451" i="4"/>
  <c r="AG449" i="4"/>
  <c r="AG447" i="4"/>
  <c r="AG445" i="4"/>
  <c r="AG443" i="4"/>
  <c r="AG441" i="4"/>
  <c r="AG439" i="4"/>
  <c r="AG437" i="4"/>
  <c r="AG435" i="4"/>
  <c r="AG433" i="4"/>
  <c r="AG431" i="4"/>
  <c r="AG429" i="4"/>
  <c r="AG425" i="4"/>
  <c r="AG421" i="4"/>
  <c r="AG419" i="4"/>
  <c r="AG417" i="4"/>
  <c r="AG415" i="4"/>
  <c r="AG413" i="4"/>
  <c r="AG411" i="4"/>
  <c r="AG409" i="4"/>
  <c r="AG407" i="4"/>
  <c r="AG405" i="4"/>
  <c r="AG403" i="4"/>
  <c r="AG401" i="4"/>
  <c r="AG399" i="4"/>
  <c r="AG397" i="4"/>
  <c r="AG395" i="4"/>
  <c r="AG393" i="4"/>
  <c r="AG391" i="4"/>
  <c r="AG389" i="4"/>
  <c r="AG387" i="4"/>
  <c r="AG385" i="4"/>
  <c r="AG383" i="4"/>
  <c r="AG381" i="4"/>
  <c r="AG379" i="4"/>
  <c r="AG377" i="4"/>
  <c r="AG375" i="4"/>
  <c r="AH457" i="4"/>
  <c r="AH456" i="4"/>
  <c r="AH453" i="4"/>
  <c r="AH452" i="4"/>
  <c r="AH449" i="4"/>
  <c r="AH448" i="4"/>
  <c r="AH445" i="4"/>
  <c r="AH444" i="4"/>
  <c r="AH441" i="4"/>
  <c r="AH440" i="4"/>
  <c r="AH437" i="4"/>
  <c r="AH436" i="4"/>
  <c r="AH433" i="4"/>
  <c r="AH432" i="4"/>
  <c r="AH430" i="4"/>
  <c r="AG428" i="4"/>
  <c r="AG424" i="4"/>
  <c r="AH429" i="4"/>
  <c r="AH425" i="4"/>
  <c r="AH375" i="4"/>
  <c r="AH427" i="4"/>
  <c r="AH423" i="4"/>
  <c r="AH421" i="4"/>
  <c r="AH419" i="4"/>
  <c r="AH417" i="4"/>
  <c r="AH415" i="4"/>
  <c r="AH413" i="4"/>
  <c r="AH411" i="4"/>
  <c r="AH409" i="4"/>
  <c r="AH407" i="4"/>
  <c r="AH405" i="4"/>
  <c r="AH403" i="4"/>
  <c r="AH401" i="4"/>
  <c r="AH399" i="4"/>
  <c r="AH397" i="4"/>
  <c r="AH395" i="4"/>
  <c r="AH393" i="4"/>
  <c r="AH391" i="4"/>
  <c r="AH389" i="4"/>
  <c r="AH387" i="4"/>
  <c r="AH385" i="4"/>
  <c r="AH383" i="4"/>
  <c r="AH381" i="4"/>
  <c r="AH379" i="4"/>
  <c r="AH377" i="4"/>
  <c r="AG374" i="4"/>
  <c r="AG373" i="4"/>
  <c r="AG371" i="4"/>
  <c r="AG369" i="4"/>
  <c r="AG367" i="4"/>
  <c r="AG365" i="4"/>
  <c r="AG363" i="4"/>
  <c r="AG361" i="4"/>
  <c r="AG359" i="4"/>
  <c r="AG357" i="4"/>
  <c r="AG355" i="4"/>
  <c r="AG353" i="4"/>
  <c r="AG351" i="4"/>
  <c r="AG349" i="4"/>
  <c r="AG347" i="4"/>
  <c r="AG345" i="4"/>
  <c r="AG343" i="4"/>
  <c r="AG341" i="4"/>
  <c r="AG339" i="4"/>
  <c r="AG337" i="4"/>
  <c r="AG335" i="4"/>
  <c r="AG333" i="4"/>
  <c r="AG331" i="4"/>
  <c r="AG329" i="4"/>
  <c r="AG327" i="4"/>
  <c r="AG325" i="4"/>
  <c r="AG323" i="4"/>
  <c r="AG321" i="4"/>
  <c r="AG319" i="4"/>
  <c r="AG317" i="4"/>
  <c r="AG315" i="4"/>
  <c r="AG313" i="4"/>
  <c r="AH374" i="4"/>
  <c r="AG311" i="4"/>
  <c r="AG309" i="4"/>
  <c r="AG307" i="4"/>
  <c r="AG305" i="4"/>
  <c r="AG303" i="4"/>
  <c r="AG301" i="4"/>
  <c r="AG299" i="4"/>
  <c r="AG297" i="4"/>
  <c r="AG295" i="4"/>
  <c r="AG293" i="4"/>
  <c r="AG291" i="4"/>
  <c r="AG289" i="4"/>
  <c r="AG287" i="4"/>
  <c r="AG285" i="4"/>
  <c r="AG283" i="4"/>
  <c r="AG281" i="4"/>
  <c r="AG279" i="4"/>
  <c r="AG277" i="4"/>
  <c r="AG275" i="4"/>
  <c r="AG273" i="4"/>
  <c r="AG271" i="4"/>
  <c r="AG269" i="4"/>
  <c r="AG267" i="4"/>
  <c r="AG265" i="4"/>
  <c r="AG263" i="4"/>
  <c r="AG261" i="4"/>
  <c r="AG259" i="4"/>
  <c r="AG257" i="4"/>
  <c r="AG255" i="4"/>
  <c r="AG253" i="4"/>
  <c r="AG251" i="4"/>
  <c r="AG249" i="4"/>
  <c r="AG247" i="4"/>
  <c r="AG245" i="4"/>
  <c r="AG243" i="4"/>
  <c r="AG241" i="4"/>
  <c r="AG239" i="4"/>
  <c r="AG237" i="4"/>
  <c r="AG235" i="4"/>
  <c r="AG233" i="4"/>
  <c r="AG231" i="4"/>
  <c r="AG229" i="4"/>
  <c r="AG227" i="4"/>
  <c r="AG225" i="4"/>
  <c r="AG223" i="4"/>
  <c r="AG221" i="4"/>
  <c r="AG219" i="4"/>
  <c r="AG217" i="4"/>
  <c r="AG216" i="4"/>
  <c r="AG214" i="4"/>
  <c r="AG212" i="4"/>
  <c r="AG210" i="4"/>
  <c r="AG208" i="4"/>
  <c r="AG206" i="4"/>
  <c r="AG204" i="4"/>
  <c r="AG202" i="4"/>
  <c r="AG200" i="4"/>
  <c r="AG198" i="4"/>
  <c r="AG196" i="4"/>
  <c r="AG194" i="4"/>
  <c r="AG192" i="4"/>
  <c r="AG190" i="4"/>
  <c r="AG188" i="4"/>
  <c r="AG186" i="4"/>
  <c r="AG184" i="4"/>
  <c r="AG182" i="4"/>
  <c r="AG180" i="4"/>
  <c r="AG178" i="4"/>
  <c r="AG176" i="4"/>
  <c r="AG174" i="4"/>
  <c r="AG172" i="4"/>
  <c r="AG170" i="4"/>
  <c r="AG168" i="4"/>
  <c r="AG166" i="4"/>
  <c r="AG164" i="4"/>
  <c r="AG162" i="4"/>
  <c r="AG160" i="4"/>
  <c r="AG158" i="4"/>
  <c r="AG156" i="4"/>
  <c r="AG154" i="4"/>
  <c r="AG152" i="4"/>
  <c r="AG150" i="4"/>
  <c r="AG148" i="4"/>
  <c r="AG146" i="4"/>
  <c r="AG144" i="4"/>
  <c r="AG142" i="4"/>
  <c r="AG140" i="4"/>
  <c r="AG138" i="4"/>
  <c r="AG136" i="4"/>
  <c r="AG134" i="4"/>
  <c r="AG132" i="4"/>
  <c r="AG131" i="4"/>
  <c r="AG129" i="4"/>
  <c r="AG127" i="4"/>
  <c r="AG125" i="4"/>
  <c r="AG123" i="4"/>
  <c r="AG121" i="4"/>
  <c r="AG119" i="4"/>
  <c r="AG117" i="4"/>
  <c r="AG115" i="4"/>
  <c r="AG113" i="4"/>
  <c r="AG111" i="4"/>
  <c r="AG109" i="4"/>
  <c r="AG107" i="4"/>
  <c r="AG105" i="4"/>
  <c r="AG103" i="4"/>
  <c r="AG101" i="4"/>
  <c r="AG99" i="4"/>
  <c r="AG97" i="4"/>
  <c r="AG95" i="4"/>
  <c r="AG93" i="4"/>
  <c r="AG91" i="4"/>
  <c r="AG89" i="4"/>
  <c r="AG87" i="4"/>
  <c r="AG85" i="4"/>
  <c r="AG83" i="4"/>
  <c r="AG81" i="4"/>
  <c r="AG79" i="4"/>
  <c r="AG77" i="4"/>
  <c r="AG75" i="4"/>
  <c r="AG73" i="4"/>
  <c r="AG71" i="4"/>
  <c r="AG69" i="4"/>
  <c r="AG67" i="4"/>
  <c r="AG65" i="4"/>
  <c r="AG63" i="4"/>
  <c r="AG61" i="4"/>
  <c r="AG59" i="4"/>
  <c r="AG57" i="4"/>
  <c r="AG55" i="4"/>
  <c r="AG53" i="4"/>
  <c r="AG51" i="4"/>
  <c r="AG49" i="4"/>
  <c r="AG47" i="4"/>
  <c r="AG45" i="4"/>
  <c r="AG43" i="4"/>
  <c r="AG41" i="4"/>
  <c r="AG39" i="4"/>
  <c r="AH36" i="4"/>
  <c r="AI36" i="4" s="1"/>
  <c r="AH35" i="4"/>
  <c r="AI35" i="4" s="1"/>
  <c r="AH51" i="4"/>
  <c r="F46" i="2"/>
  <c r="O81" i="2"/>
  <c r="J113" i="1"/>
  <c r="O106" i="1" s="1"/>
  <c r="H8" i="1"/>
  <c r="K122" i="1"/>
  <c r="J122" i="1"/>
  <c r="K135" i="1"/>
  <c r="K137" i="1"/>
  <c r="K37" i="1"/>
  <c r="L123" i="1"/>
  <c r="L122" i="1"/>
  <c r="M122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L129" i="1"/>
  <c r="L128" i="1"/>
  <c r="M128" i="1" s="1"/>
  <c r="L125" i="1"/>
  <c r="M125" i="1" s="1"/>
  <c r="L119" i="1"/>
  <c r="M119" i="1" s="1"/>
  <c r="L117" i="1"/>
  <c r="M117" i="1" s="1"/>
  <c r="L115" i="1"/>
  <c r="M115" i="1" s="1"/>
  <c r="L113" i="1"/>
  <c r="M113" i="1" s="1"/>
  <c r="L111" i="1"/>
  <c r="M111" i="1" s="1"/>
  <c r="L109" i="1"/>
  <c r="M109" i="1" s="1"/>
  <c r="L106" i="1"/>
  <c r="M106" i="1" s="1"/>
  <c r="L102" i="1"/>
  <c r="M102" i="1" s="1"/>
  <c r="L101" i="1"/>
  <c r="M101" i="1" s="1"/>
  <c r="L100" i="1"/>
  <c r="L98" i="1"/>
  <c r="L70" i="1"/>
  <c r="L68" i="1"/>
  <c r="M68" i="1" s="1"/>
  <c r="L121" i="1"/>
  <c r="L118" i="1"/>
  <c r="M118" i="1" s="1"/>
  <c r="L116" i="1"/>
  <c r="M116" i="1" s="1"/>
  <c r="L114" i="1"/>
  <c r="M114" i="1" s="1"/>
  <c r="L112" i="1"/>
  <c r="M112" i="1" s="1"/>
  <c r="L110" i="1"/>
  <c r="M110" i="1" s="1"/>
  <c r="L108" i="1"/>
  <c r="M108" i="1" s="1"/>
  <c r="L107" i="1"/>
  <c r="M107" i="1" s="1"/>
  <c r="L99" i="1"/>
  <c r="M99" i="1" s="1"/>
  <c r="L69" i="1"/>
  <c r="M69" i="1" s="1"/>
  <c r="L67" i="1"/>
  <c r="M67" i="1" s="1"/>
  <c r="L65" i="1"/>
  <c r="M65" i="1" s="1"/>
  <c r="L62" i="1"/>
  <c r="M62" i="1" s="1"/>
  <c r="L64" i="1"/>
  <c r="M64" i="1" s="1"/>
  <c r="L61" i="1"/>
  <c r="M61" i="1" s="1"/>
  <c r="L57" i="1"/>
  <c r="M57" i="1" s="1"/>
  <c r="L55" i="1"/>
  <c r="M55" i="1" s="1"/>
  <c r="L54" i="1"/>
  <c r="M54" i="1" s="1"/>
  <c r="L51" i="1"/>
  <c r="M51" i="1" s="1"/>
  <c r="L49" i="1"/>
  <c r="M49" i="1" s="1"/>
  <c r="L47" i="1"/>
  <c r="M47" i="1" s="1"/>
  <c r="L45" i="1"/>
  <c r="L43" i="1"/>
  <c r="M43" i="1" s="1"/>
  <c r="L41" i="1"/>
  <c r="M41" i="1" s="1"/>
  <c r="L39" i="1"/>
  <c r="M39" i="1" s="1"/>
  <c r="L37" i="1"/>
  <c r="M37" i="1" s="1"/>
  <c r="L20" i="1"/>
  <c r="L66" i="1"/>
  <c r="M66" i="1" s="1"/>
  <c r="L63" i="1"/>
  <c r="M63" i="1" s="1"/>
  <c r="L60" i="1"/>
  <c r="M60" i="1" s="1"/>
  <c r="L59" i="1"/>
  <c r="M59" i="1" s="1"/>
  <c r="L58" i="1"/>
  <c r="M58" i="1" s="1"/>
  <c r="L56" i="1"/>
  <c r="M56" i="1" s="1"/>
  <c r="L53" i="1"/>
  <c r="M53" i="1" s="1"/>
  <c r="L52" i="1"/>
  <c r="M52" i="1" s="1"/>
  <c r="L50" i="1"/>
  <c r="M50" i="1" s="1"/>
  <c r="L48" i="1"/>
  <c r="M48" i="1" s="1"/>
  <c r="L46" i="1"/>
  <c r="M46" i="1" s="1"/>
  <c r="L44" i="1"/>
  <c r="L42" i="1"/>
  <c r="M42" i="1" s="1"/>
  <c r="L40" i="1"/>
  <c r="M40" i="1" s="1"/>
  <c r="L38" i="1"/>
  <c r="M38" i="1" s="1"/>
  <c r="L36" i="1"/>
  <c r="M36" i="1" s="1"/>
  <c r="L35" i="1"/>
  <c r="M35" i="1" s="1"/>
  <c r="L34" i="1"/>
  <c r="M34" i="1" s="1"/>
  <c r="L8" i="1"/>
  <c r="F46" i="1"/>
  <c r="AI460" i="4" l="1"/>
  <c r="AI464" i="4"/>
  <c r="AI468" i="4"/>
  <c r="AI472" i="4"/>
  <c r="AI476" i="4"/>
  <c r="AI480" i="4"/>
  <c r="AI484" i="4"/>
  <c r="AI374" i="4"/>
  <c r="AH382" i="4"/>
  <c r="AH390" i="4"/>
  <c r="AH398" i="4"/>
  <c r="AH406" i="4"/>
  <c r="AH414" i="4"/>
  <c r="AH422" i="4"/>
  <c r="AI425" i="4"/>
  <c r="AI429" i="4"/>
  <c r="AI431" i="4"/>
  <c r="AI433" i="4"/>
  <c r="AI435" i="4"/>
  <c r="AI437" i="4"/>
  <c r="AI439" i="4"/>
  <c r="AI441" i="4"/>
  <c r="AI443" i="4"/>
  <c r="AI445" i="4"/>
  <c r="AI447" i="4"/>
  <c r="AI449" i="4"/>
  <c r="AI451" i="4"/>
  <c r="AI453" i="4"/>
  <c r="AI455" i="4"/>
  <c r="AI457" i="4"/>
  <c r="AI485" i="4"/>
  <c r="AI432" i="4"/>
  <c r="AI434" i="4"/>
  <c r="AI436" i="4"/>
  <c r="AI438" i="4"/>
  <c r="AI440" i="4"/>
  <c r="AI442" i="4"/>
  <c r="AI444" i="4"/>
  <c r="AI446" i="4"/>
  <c r="AI448" i="4"/>
  <c r="AI450" i="4"/>
  <c r="AI452" i="4"/>
  <c r="AI454" i="4"/>
  <c r="AI456" i="4"/>
  <c r="AI502" i="4"/>
  <c r="AI506" i="4"/>
  <c r="AI510" i="4"/>
  <c r="AI499" i="4"/>
  <c r="AI503" i="4"/>
  <c r="AI507" i="4"/>
  <c r="AI511" i="4"/>
  <c r="AI516" i="4"/>
  <c r="AI513" i="4"/>
  <c r="AI515" i="4"/>
  <c r="AI517" i="4"/>
  <c r="AI521" i="4"/>
  <c r="AI523" i="4"/>
  <c r="AH380" i="4"/>
  <c r="AH388" i="4"/>
  <c r="AH396" i="4"/>
  <c r="AH404" i="4"/>
  <c r="AH412" i="4"/>
  <c r="AH420" i="4"/>
  <c r="AI423" i="4"/>
  <c r="AI427" i="4"/>
  <c r="AI459" i="4"/>
  <c r="AI461" i="4"/>
  <c r="AI463" i="4"/>
  <c r="AI465" i="4"/>
  <c r="AI467" i="4"/>
  <c r="AI469" i="4"/>
  <c r="AI471" i="4"/>
  <c r="AI473" i="4"/>
  <c r="AI475" i="4"/>
  <c r="AI477" i="4"/>
  <c r="AI479" i="4"/>
  <c r="AI481" i="4"/>
  <c r="AI483" i="4"/>
  <c r="AH491" i="4"/>
  <c r="AH504" i="4"/>
  <c r="AH505" i="4"/>
  <c r="AI500" i="4"/>
  <c r="AI504" i="4"/>
  <c r="AI508" i="4"/>
  <c r="AI512" i="4"/>
  <c r="AI520" i="4"/>
  <c r="AI524" i="4"/>
  <c r="AI51" i="4"/>
  <c r="AH378" i="4"/>
  <c r="AI378" i="4" s="1"/>
  <c r="AH386" i="4"/>
  <c r="AH394" i="4"/>
  <c r="AH402" i="4"/>
  <c r="AH410" i="4"/>
  <c r="AI410" i="4" s="1"/>
  <c r="AH418" i="4"/>
  <c r="AH426" i="4"/>
  <c r="AI426" i="4" s="1"/>
  <c r="AI424" i="4"/>
  <c r="AI428" i="4"/>
  <c r="AI375" i="4"/>
  <c r="AI377" i="4"/>
  <c r="AI379" i="4"/>
  <c r="AI381" i="4"/>
  <c r="AI383" i="4"/>
  <c r="AI385" i="4"/>
  <c r="AI387" i="4"/>
  <c r="AI389" i="4"/>
  <c r="AI391" i="4"/>
  <c r="AI393" i="4"/>
  <c r="AI395" i="4"/>
  <c r="AI397" i="4"/>
  <c r="AI399" i="4"/>
  <c r="AI401" i="4"/>
  <c r="AI403" i="4"/>
  <c r="AI405" i="4"/>
  <c r="AI407" i="4"/>
  <c r="AI409" i="4"/>
  <c r="AI411" i="4"/>
  <c r="AI413" i="4"/>
  <c r="AI415" i="4"/>
  <c r="AI417" i="4"/>
  <c r="AI419" i="4"/>
  <c r="AI421" i="4"/>
  <c r="AI458" i="4"/>
  <c r="AI462" i="4"/>
  <c r="AI466" i="4"/>
  <c r="AI470" i="4"/>
  <c r="AI474" i="4"/>
  <c r="AI478" i="4"/>
  <c r="AI482" i="4"/>
  <c r="AI488" i="4"/>
  <c r="AI492" i="4"/>
  <c r="AI496" i="4"/>
  <c r="AI489" i="4"/>
  <c r="AI493" i="4"/>
  <c r="AI497" i="4"/>
  <c r="AH376" i="4"/>
  <c r="AH384" i="4"/>
  <c r="AI384" i="4" s="1"/>
  <c r="AH392" i="4"/>
  <c r="AI392" i="4" s="1"/>
  <c r="AH400" i="4"/>
  <c r="AI400" i="4" s="1"/>
  <c r="AH408" i="4"/>
  <c r="AH416" i="4"/>
  <c r="AI416" i="4" s="1"/>
  <c r="AI376" i="4"/>
  <c r="AI380" i="4"/>
  <c r="AI382" i="4"/>
  <c r="AI386" i="4"/>
  <c r="AI388" i="4"/>
  <c r="AI390" i="4"/>
  <c r="AI394" i="4"/>
  <c r="AI396" i="4"/>
  <c r="AI398" i="4"/>
  <c r="AI402" i="4"/>
  <c r="AI404" i="4"/>
  <c r="AI406" i="4"/>
  <c r="AI408" i="4"/>
  <c r="AI412" i="4"/>
  <c r="AI414" i="4"/>
  <c r="AI418" i="4"/>
  <c r="AI420" i="4"/>
  <c r="AI422" i="4"/>
  <c r="AI430" i="4"/>
  <c r="AH487" i="4"/>
  <c r="AH495" i="4"/>
  <c r="AI495" i="4" s="1"/>
  <c r="AI486" i="4"/>
  <c r="AI490" i="4"/>
  <c r="AI494" i="4"/>
  <c r="AI498" i="4"/>
  <c r="AI487" i="4"/>
  <c r="AI491" i="4"/>
  <c r="AH501" i="4"/>
  <c r="AH509" i="4"/>
  <c r="AI501" i="4"/>
  <c r="AI505" i="4"/>
  <c r="AI509" i="4"/>
  <c r="AH522" i="4"/>
  <c r="AI522" i="4" s="1"/>
  <c r="F47" i="2"/>
  <c r="F47" i="1"/>
  <c r="L22" i="1"/>
  <c r="K113" i="1"/>
  <c r="F48" i="2" l="1"/>
  <c r="F49" i="2" s="1"/>
  <c r="F50" i="2" s="1"/>
  <c r="F51" i="2" s="1"/>
  <c r="F52" i="2" s="1"/>
  <c r="F48" i="1"/>
  <c r="F49" i="1" s="1"/>
  <c r="F50" i="1" s="1"/>
  <c r="F51" i="1" s="1"/>
  <c r="F52" i="1" s="1"/>
  <c r="F53" i="2" l="1"/>
  <c r="F54" i="2" s="1"/>
  <c r="F55" i="2" s="1"/>
  <c r="F56" i="2" s="1"/>
  <c r="F57" i="2" s="1"/>
  <c r="F58" i="2" s="1"/>
  <c r="F53" i="1"/>
  <c r="F54" i="1" s="1"/>
  <c r="F55" i="1" s="1"/>
  <c r="F56" i="1" s="1"/>
  <c r="F57" i="1" s="1"/>
  <c r="F58" i="1" s="1"/>
  <c r="F59" i="2" l="1"/>
  <c r="F59" i="1"/>
  <c r="F61" i="2" l="1"/>
  <c r="F62" i="2" s="1"/>
  <c r="F63" i="2" s="1"/>
  <c r="F64" i="2" s="1"/>
  <c r="F65" i="2" s="1"/>
  <c r="F66" i="2" s="1"/>
  <c r="F61" i="1"/>
  <c r="F62" i="1" s="1"/>
  <c r="F63" i="1" s="1"/>
  <c r="F64" i="1" s="1"/>
  <c r="F65" i="1" s="1"/>
  <c r="F66" i="1" s="1"/>
  <c r="F67" i="2" l="1"/>
  <c r="F67" i="1"/>
  <c r="F68" i="2" l="1"/>
  <c r="F68" i="1"/>
  <c r="F69" i="2" l="1"/>
  <c r="F69" i="1"/>
  <c r="F70" i="2" l="1"/>
  <c r="F73" i="2" s="1"/>
  <c r="F74" i="2" s="1"/>
  <c r="F60" i="2"/>
  <c r="F70" i="1"/>
  <c r="F98" i="1" s="1"/>
  <c r="F99" i="1" s="1"/>
  <c r="F60" i="1"/>
  <c r="F75" i="2" l="1"/>
  <c r="G103" i="2"/>
  <c r="F100" i="1"/>
  <c r="G128" i="1"/>
  <c r="F76" i="2" l="1"/>
  <c r="G104" i="2"/>
  <c r="F101" i="1"/>
  <c r="G129" i="1"/>
  <c r="F77" i="2" l="1"/>
  <c r="G105" i="2"/>
  <c r="F102" i="1"/>
  <c r="G130" i="1"/>
  <c r="F81" i="2" l="1"/>
  <c r="F82" i="2" s="1"/>
  <c r="G106" i="2"/>
  <c r="F106" i="1"/>
  <c r="F107" i="1" s="1"/>
  <c r="G131" i="1"/>
  <c r="F83" i="2" l="1"/>
  <c r="G107" i="2"/>
  <c r="F108" i="1"/>
  <c r="G132" i="1"/>
  <c r="F84" i="2" l="1"/>
  <c r="G108" i="2"/>
  <c r="F109" i="1"/>
  <c r="G133" i="1"/>
  <c r="F85" i="2" l="1"/>
  <c r="F86" i="2" s="1"/>
  <c r="F87" i="2" s="1"/>
  <c r="F88" i="2" s="1"/>
  <c r="F89" i="2" s="1"/>
  <c r="F90" i="2" s="1"/>
  <c r="F91" i="2" s="1"/>
  <c r="G109" i="2"/>
  <c r="F110" i="1"/>
  <c r="F111" i="1" s="1"/>
  <c r="F112" i="1" s="1"/>
  <c r="F113" i="1" s="1"/>
  <c r="F114" i="1" s="1"/>
  <c r="F115" i="1" s="1"/>
  <c r="F116" i="1" s="1"/>
  <c r="G134" i="1"/>
  <c r="F92" i="2" l="1"/>
  <c r="G110" i="2"/>
  <c r="F117" i="1"/>
  <c r="G135" i="1"/>
  <c r="F93" i="2" l="1"/>
  <c r="G111" i="2"/>
  <c r="F118" i="1"/>
  <c r="G136" i="1"/>
  <c r="F94" i="2" l="1"/>
  <c r="F96" i="2" s="1"/>
  <c r="F119" i="1"/>
  <c r="F121" i="1" s="1"/>
  <c r="G112" i="2" l="1"/>
  <c r="F97" i="2"/>
  <c r="F98" i="2" s="1"/>
  <c r="G137" i="1"/>
  <c r="F122" i="1"/>
  <c r="F123" i="1" s="1"/>
  <c r="G98" i="2" l="1"/>
  <c r="F100" i="2"/>
  <c r="F103" i="2"/>
  <c r="F104" i="2" s="1"/>
  <c r="F105" i="2" s="1"/>
  <c r="F106" i="2" s="1"/>
  <c r="F107" i="2" s="1"/>
  <c r="F108" i="2" s="1"/>
  <c r="F109" i="2" s="1"/>
  <c r="F110" i="2" s="1"/>
  <c r="F111" i="2" s="1"/>
  <c r="F112" i="2" s="1"/>
  <c r="G123" i="1"/>
  <c r="F125" i="1"/>
  <c r="F128" i="1"/>
  <c r="F129" i="1" s="1"/>
  <c r="F130" i="1" s="1"/>
  <c r="F131" i="1" s="1"/>
  <c r="F132" i="1" s="1"/>
  <c r="F133" i="1" s="1"/>
  <c r="F134" i="1" s="1"/>
  <c r="F135" i="1" s="1"/>
  <c r="F136" i="1" s="1"/>
  <c r="F137" i="1" s="1"/>
  <c r="I100" i="1" l="1"/>
  <c r="J100" i="1" s="1"/>
  <c r="M100" i="1" s="1"/>
  <c r="K100" i="1" l="1"/>
  <c r="I44" i="1"/>
  <c r="J44" i="1" s="1"/>
  <c r="I129" i="1" l="1"/>
  <c r="J129" i="1" s="1"/>
  <c r="K129" i="1" s="1"/>
  <c r="K44" i="1"/>
  <c r="M44" i="1"/>
  <c r="M129" i="1" l="1"/>
  <c r="I98" i="1" l="1"/>
  <c r="J98" i="1" s="1"/>
  <c r="I121" i="1" l="1"/>
  <c r="I123" i="1" s="1"/>
  <c r="J123" i="1" s="1"/>
  <c r="K123" i="1" s="1"/>
  <c r="AH164" i="4"/>
  <c r="AI164" i="4" s="1"/>
  <c r="AH361" i="4"/>
  <c r="AI361" i="4" s="1"/>
  <c r="AH224" i="4"/>
  <c r="AI224" i="4" s="1"/>
  <c r="AH150" i="4"/>
  <c r="AI150" i="4" s="1"/>
  <c r="AH109" i="4"/>
  <c r="AI109" i="4" s="1"/>
  <c r="AH351" i="4"/>
  <c r="AI351" i="4" s="1"/>
  <c r="AH207" i="4"/>
  <c r="AI207" i="4" s="1"/>
  <c r="AH225" i="4"/>
  <c r="AI225" i="4" s="1"/>
  <c r="AH339" i="4"/>
  <c r="AI339" i="4" s="1"/>
  <c r="AH103" i="4"/>
  <c r="AI103" i="4" s="1"/>
  <c r="AH148" i="4"/>
  <c r="AI148" i="4" s="1"/>
  <c r="AH276" i="4"/>
  <c r="AI276" i="4" s="1"/>
  <c r="AH203" i="4"/>
  <c r="AI203" i="4" s="1"/>
  <c r="AH338" i="4"/>
  <c r="AI338" i="4" s="1"/>
  <c r="AH89" i="4"/>
  <c r="AI89" i="4" s="1"/>
  <c r="AH93" i="4"/>
  <c r="AI93" i="4" s="1"/>
  <c r="AH138" i="4"/>
  <c r="AI138" i="4" s="1"/>
  <c r="AH63" i="4"/>
  <c r="AI63" i="4" s="1"/>
  <c r="AH108" i="4"/>
  <c r="AI108" i="4" s="1"/>
  <c r="AH62" i="4"/>
  <c r="AI62" i="4" s="1"/>
  <c r="AH260" i="4"/>
  <c r="AI260" i="4" s="1"/>
  <c r="AH104" i="4"/>
  <c r="AI104" i="4" s="1"/>
  <c r="AH66" i="4"/>
  <c r="AI66" i="4" s="1"/>
  <c r="AH201" i="4"/>
  <c r="AI201" i="4" s="1"/>
  <c r="AH246" i="4"/>
  <c r="AI246" i="4" s="1"/>
  <c r="AH315" i="4"/>
  <c r="AI315" i="4" s="1"/>
  <c r="AH293" i="4"/>
  <c r="AI293" i="4" s="1"/>
  <c r="AH205" i="4"/>
  <c r="AI205" i="4" s="1"/>
  <c r="AH250" i="4"/>
  <c r="AI250" i="4" s="1"/>
  <c r="AH175" i="4"/>
  <c r="AI175" i="4" s="1"/>
  <c r="AH289" i="4"/>
  <c r="AI289" i="4" s="1"/>
  <c r="AH311" i="4"/>
  <c r="AI311" i="4" s="1"/>
  <c r="AH368" i="4"/>
  <c r="AI368" i="4" s="1"/>
  <c r="AH199" i="4"/>
  <c r="AI199" i="4" s="1"/>
  <c r="AH171" i="4"/>
  <c r="AI171" i="4" s="1"/>
  <c r="AH280" i="4"/>
  <c r="AI280" i="4" s="1"/>
  <c r="AH346" i="4"/>
  <c r="AI346" i="4" s="1"/>
  <c r="AH185" i="4"/>
  <c r="AI185" i="4" s="1"/>
  <c r="AH294" i="4"/>
  <c r="AI294" i="4" s="1"/>
  <c r="AH354" i="4"/>
  <c r="AI354" i="4" s="1"/>
  <c r="AH98" i="4"/>
  <c r="AI98" i="4" s="1"/>
  <c r="AH367" i="4"/>
  <c r="AI367" i="4" s="1"/>
  <c r="AH140" i="4"/>
  <c r="AI140" i="4" s="1"/>
  <c r="AH337" i="4"/>
  <c r="AI337" i="4" s="1"/>
  <c r="AH286" i="4"/>
  <c r="AI286" i="4" s="1"/>
  <c r="AH183" i="4"/>
  <c r="AI183" i="4" s="1"/>
  <c r="AH228" i="4"/>
  <c r="AI228" i="4" s="1"/>
  <c r="AH269" i="4"/>
  <c r="AI269" i="4" s="1"/>
  <c r="AH67" i="4"/>
  <c r="AI67" i="4" s="1"/>
  <c r="AH86" i="4"/>
  <c r="AI86" i="4" s="1"/>
  <c r="AH245" i="4"/>
  <c r="AI245" i="4" s="1"/>
  <c r="AH45" i="4"/>
  <c r="AI45" i="4" s="1"/>
  <c r="AH218" i="4"/>
  <c r="AI218" i="4" s="1"/>
  <c r="AH188" i="4"/>
  <c r="AI188" i="4" s="1"/>
  <c r="AH242" i="4"/>
  <c r="AI242" i="4" s="1"/>
  <c r="AH142" i="4"/>
  <c r="AI142" i="4" s="1"/>
  <c r="AH373" i="4"/>
  <c r="AI373" i="4" s="1"/>
  <c r="AH167" i="4"/>
  <c r="AI167" i="4" s="1"/>
  <c r="AH184" i="4"/>
  <c r="AI184" i="4" s="1"/>
  <c r="AH179" i="4"/>
  <c r="AI179" i="4" s="1"/>
  <c r="AH153" i="4"/>
  <c r="AI153" i="4" s="1"/>
  <c r="AH328" i="4"/>
  <c r="AI328" i="4" s="1"/>
  <c r="AH101" i="4"/>
  <c r="AI101" i="4" s="1"/>
  <c r="AH127" i="4"/>
  <c r="AI127" i="4" s="1"/>
  <c r="AH172" i="4"/>
  <c r="AI172" i="4" s="1"/>
  <c r="AH194" i="4"/>
  <c r="AI194" i="4" s="1"/>
  <c r="AH145" i="4"/>
  <c r="AI145" i="4" s="1"/>
  <c r="AH320" i="4"/>
  <c r="AI320" i="4" s="1"/>
  <c r="AH68" i="4"/>
  <c r="AI68" i="4" s="1"/>
  <c r="AH40" i="4"/>
  <c r="AI40" i="4" s="1"/>
  <c r="AH365" i="4"/>
  <c r="AI365" i="4" s="1"/>
  <c r="AH80" i="4"/>
  <c r="AI80" i="4" s="1"/>
  <c r="AH137" i="4"/>
  <c r="AI137" i="4" s="1"/>
  <c r="AH182" i="4"/>
  <c r="AI182" i="4" s="1"/>
  <c r="AH141" i="4"/>
  <c r="AI141" i="4" s="1"/>
  <c r="AH255" i="4"/>
  <c r="AI255" i="4" s="1"/>
  <c r="AH284" i="4"/>
  <c r="AI284" i="4" s="1"/>
  <c r="AH65" i="4"/>
  <c r="AI65" i="4" s="1"/>
  <c r="AH110" i="4"/>
  <c r="AI110" i="4" s="1"/>
  <c r="AH302" i="4"/>
  <c r="AI302" i="4" s="1"/>
  <c r="AH197" i="4"/>
  <c r="AI197" i="4" s="1"/>
  <c r="AH211" i="4"/>
  <c r="AI211" i="4" s="1"/>
  <c r="AH240" i="4"/>
  <c r="AI240" i="4" s="1"/>
  <c r="AH263" i="4"/>
  <c r="AI263" i="4" s="1"/>
  <c r="AH230" i="4"/>
  <c r="AI230" i="4" s="1"/>
  <c r="AH360" i="4"/>
  <c r="AI360" i="4" s="1"/>
  <c r="AH189" i="4"/>
  <c r="AI189" i="4" s="1"/>
  <c r="AH364" i="4"/>
  <c r="AI364" i="4" s="1"/>
  <c r="AH273" i="4"/>
  <c r="AI273" i="4" s="1"/>
  <c r="AH113" i="4"/>
  <c r="AI113" i="4" s="1"/>
  <c r="AH94" i="4"/>
  <c r="AI94" i="4" s="1"/>
  <c r="AH334" i="4"/>
  <c r="AI334" i="4" s="1"/>
  <c r="AH291" i="4"/>
  <c r="AI291" i="4" s="1"/>
  <c r="AH247" i="4"/>
  <c r="AI247" i="4" s="1"/>
  <c r="AH136" i="4"/>
  <c r="AI136" i="4" s="1"/>
  <c r="AH264" i="4"/>
  <c r="AI264" i="4" s="1"/>
  <c r="AH48" i="4"/>
  <c r="AI48" i="4" s="1"/>
  <c r="AH278" i="4"/>
  <c r="AI278" i="4" s="1"/>
  <c r="AH322" i="4"/>
  <c r="AI322" i="4" s="1"/>
  <c r="AH237" i="4"/>
  <c r="AI237" i="4" s="1"/>
  <c r="AH282" i="4"/>
  <c r="AI282" i="4" s="1"/>
  <c r="AH161" i="4"/>
  <c r="AI161" i="4" s="1"/>
  <c r="AH248" i="4"/>
  <c r="AI248" i="4" s="1"/>
  <c r="AH208" i="4"/>
  <c r="AI208" i="4" s="1"/>
  <c r="AH217" i="4"/>
  <c r="AI217" i="4" s="1"/>
  <c r="AH134" i="4"/>
  <c r="AI134" i="4" s="1"/>
  <c r="AH213" i="4"/>
  <c r="AI213" i="4" s="1"/>
  <c r="AH221" i="4"/>
  <c r="AI221" i="4" s="1"/>
  <c r="AH266" i="4"/>
  <c r="AI266" i="4" s="1"/>
  <c r="AH236" i="4"/>
  <c r="AI236" i="4" s="1"/>
  <c r="AH308" i="4"/>
  <c r="AI308" i="4" s="1"/>
  <c r="AH87" i="4"/>
  <c r="AI87" i="4" s="1"/>
  <c r="AH59" i="4"/>
  <c r="AI59" i="4" s="1"/>
  <c r="AH232" i="4"/>
  <c r="AI232" i="4" s="1"/>
  <c r="AH99" i="4"/>
  <c r="AI99" i="4" s="1"/>
  <c r="AH73" i="4"/>
  <c r="AI73" i="4" s="1"/>
  <c r="AH129" i="4"/>
  <c r="AI129" i="4" s="1"/>
  <c r="AH174" i="4"/>
  <c r="AI174" i="4" s="1"/>
  <c r="AH135" i="4"/>
  <c r="AI135" i="4" s="1"/>
  <c r="AH180" i="4"/>
  <c r="AI180" i="4" s="1"/>
  <c r="AH249" i="4"/>
  <c r="AI249" i="4" s="1"/>
  <c r="AH43" i="4"/>
  <c r="AI43" i="4" s="1"/>
  <c r="AH121" i="4"/>
  <c r="AI121" i="4" s="1"/>
  <c r="AH268" i="4"/>
  <c r="AI268" i="4" s="1"/>
  <c r="AH355" i="4"/>
  <c r="AI355" i="4" s="1"/>
  <c r="AH55" i="4"/>
  <c r="AI55" i="4" s="1"/>
  <c r="AH155" i="4"/>
  <c r="AI155" i="4" s="1"/>
  <c r="AH200" i="4"/>
  <c r="AI200" i="4" s="1"/>
  <c r="AH277" i="4"/>
  <c r="AI277" i="4" s="1"/>
  <c r="AH41" i="4"/>
  <c r="AI41" i="4" s="1"/>
  <c r="AH214" i="4"/>
  <c r="AI214" i="4" s="1"/>
  <c r="AH288" i="4"/>
  <c r="AI288" i="4" s="1"/>
  <c r="AH173" i="4"/>
  <c r="AI173" i="4" s="1"/>
  <c r="AH348" i="4"/>
  <c r="AI348" i="4" s="1"/>
  <c r="AH257" i="4"/>
  <c r="AI257" i="4" s="1"/>
  <c r="AH144" i="4"/>
  <c r="AI144" i="4" s="1"/>
  <c r="AH97" i="4"/>
  <c r="AI97" i="4" s="1"/>
  <c r="AH270" i="4"/>
  <c r="AI270" i="4" s="1"/>
  <c r="AH336" i="4"/>
  <c r="AI336" i="4" s="1"/>
  <c r="AH212" i="4"/>
  <c r="AI212" i="4" s="1"/>
  <c r="AH139" i="4"/>
  <c r="AI139" i="4" s="1"/>
  <c r="AH253" i="4"/>
  <c r="AI253" i="4" s="1"/>
  <c r="AH304" i="4"/>
  <c r="AI304" i="4" s="1"/>
  <c r="AH267" i="4"/>
  <c r="AI267" i="4" s="1"/>
  <c r="AH157" i="4"/>
  <c r="AI157" i="4" s="1"/>
  <c r="AH271" i="4"/>
  <c r="AI271" i="4" s="1"/>
  <c r="AH300" i="4"/>
  <c r="AI300" i="4" s="1"/>
  <c r="AH190" i="4"/>
  <c r="AI190" i="4" s="1"/>
  <c r="AH50" i="4"/>
  <c r="AI50" i="4" s="1"/>
  <c r="AH151" i="4"/>
  <c r="AI151" i="4" s="1"/>
  <c r="AH265" i="4"/>
  <c r="AI265" i="4" s="1"/>
  <c r="AH168" i="4"/>
  <c r="AI168" i="4" s="1"/>
  <c r="AH251" i="4"/>
  <c r="AI251" i="4" s="1"/>
  <c r="AH53" i="4"/>
  <c r="AI53" i="4" s="1"/>
  <c r="AH111" i="4"/>
  <c r="AI111" i="4" s="1"/>
  <c r="AH130" i="4"/>
  <c r="AI130" i="4" s="1"/>
  <c r="AH83" i="4"/>
  <c r="AI83" i="4" s="1"/>
  <c r="AH181" i="4"/>
  <c r="AI181" i="4" s="1"/>
  <c r="AH525" i="4"/>
  <c r="AI525" i="4" s="1"/>
  <c r="AH61" i="4"/>
  <c r="AI61" i="4" s="1"/>
  <c r="AH106" i="4"/>
  <c r="AI106" i="4" s="1"/>
  <c r="AH159" i="4"/>
  <c r="AI159" i="4" s="1"/>
  <c r="AH341" i="4"/>
  <c r="AI341" i="4" s="1"/>
  <c r="AH119" i="4"/>
  <c r="AI119" i="4" s="1"/>
  <c r="AH292" i="4"/>
  <c r="AI292" i="4" s="1"/>
  <c r="AH131" i="4"/>
  <c r="AI131" i="4" s="1"/>
  <c r="AH370" i="4"/>
  <c r="AI370" i="4" s="1"/>
  <c r="AH233" i="4"/>
  <c r="AI233" i="4" s="1"/>
  <c r="AH154" i="4"/>
  <c r="AI154" i="4" s="1"/>
  <c r="AH79" i="4"/>
  <c r="AI79" i="4" s="1"/>
  <c r="AH124" i="4"/>
  <c r="AI124" i="4" s="1"/>
  <c r="AH229" i="4"/>
  <c r="AI229" i="4" s="1"/>
  <c r="AH114" i="4"/>
  <c r="AI114" i="4" s="1"/>
  <c r="AH75" i="4"/>
  <c r="AI75" i="4" s="1"/>
  <c r="AH120" i="4"/>
  <c r="AI120" i="4" s="1"/>
  <c r="AH317" i="4"/>
  <c r="AI317" i="4" s="1"/>
  <c r="AH115" i="4"/>
  <c r="AI115" i="4" s="1"/>
  <c r="AH340" i="4"/>
  <c r="AI340" i="4" s="1"/>
  <c r="AH331" i="4"/>
  <c r="AI331" i="4" s="1"/>
  <c r="AH325" i="4"/>
  <c r="AI325" i="4" s="1"/>
  <c r="AH356" i="4"/>
  <c r="AI356" i="4" s="1"/>
  <c r="AH191" i="4"/>
  <c r="AI191" i="4" s="1"/>
  <c r="AH366" i="4"/>
  <c r="AI366" i="4" s="1"/>
  <c r="AH126" i="4"/>
  <c r="AI126" i="4" s="1"/>
  <c r="AH323" i="4"/>
  <c r="AI323" i="4" s="1"/>
  <c r="AH132" i="4"/>
  <c r="AI132" i="4" s="1"/>
  <c r="AH329" i="4"/>
  <c r="AI329" i="4" s="1"/>
  <c r="AH362" i="4"/>
  <c r="AI362" i="4" s="1"/>
  <c r="AH227" i="4"/>
  <c r="AI227" i="4" s="1"/>
  <c r="AH357" i="4"/>
  <c r="AI357" i="4" s="1"/>
  <c r="AH327" i="4"/>
  <c r="AI327" i="4" s="1"/>
  <c r="AH118" i="4"/>
  <c r="AI118" i="4" s="1"/>
  <c r="AH359" i="4"/>
  <c r="AI359" i="4" s="1"/>
  <c r="AH122" i="4"/>
  <c r="AI122" i="4" s="1"/>
  <c r="AH47" i="4"/>
  <c r="AI47" i="4" s="1"/>
  <c r="AH92" i="4"/>
  <c r="AI92" i="4" s="1"/>
  <c r="AH350" i="4"/>
  <c r="AI350" i="4" s="1"/>
  <c r="AH307" i="4"/>
  <c r="AI307" i="4" s="1"/>
  <c r="AH71" i="4"/>
  <c r="AI71" i="4" s="1"/>
  <c r="AH52" i="4"/>
  <c r="AI52" i="4" s="1"/>
  <c r="AH313" i="4"/>
  <c r="AI313" i="4" s="1"/>
  <c r="AH107" i="4"/>
  <c r="AI107" i="4" s="1"/>
  <c r="AH216" i="4"/>
  <c r="AI216" i="4" s="1"/>
  <c r="AH285" i="4"/>
  <c r="AI285" i="4" s="1"/>
  <c r="AH57" i="4"/>
  <c r="AI57" i="4" s="1"/>
  <c r="AH166" i="4"/>
  <c r="AI166" i="4" s="1"/>
  <c r="AH363" i="4"/>
  <c r="AI363" i="4" s="1"/>
  <c r="AH133" i="4"/>
  <c r="AI133" i="4" s="1"/>
  <c r="AH170" i="4"/>
  <c r="AI170" i="4" s="1"/>
  <c r="AH95" i="4"/>
  <c r="AI95" i="4" s="1"/>
  <c r="AH223" i="4"/>
  <c r="AI223" i="4" s="1"/>
  <c r="AH158" i="4"/>
  <c r="AI158" i="4" s="1"/>
  <c r="AH178" i="4"/>
  <c r="AI178" i="4" s="1"/>
  <c r="AH100" i="4"/>
  <c r="AI100" i="4" s="1"/>
  <c r="AH358" i="4"/>
  <c r="AI358" i="4" s="1"/>
  <c r="AH330" i="4"/>
  <c r="AI330" i="4" s="1"/>
  <c r="AH195" i="4"/>
  <c r="AI195" i="4" s="1"/>
  <c r="AH344" i="4"/>
  <c r="AI344" i="4" s="1"/>
  <c r="AH274" i="4"/>
  <c r="AI274" i="4" s="1"/>
  <c r="AH90" i="4"/>
  <c r="AI90" i="4" s="1"/>
  <c r="AH143" i="4"/>
  <c r="AI143" i="4" s="1"/>
  <c r="AH318" i="4"/>
  <c r="AI318" i="4" s="1"/>
  <c r="AH295" i="4"/>
  <c r="AI295" i="4" s="1"/>
  <c r="AH342" i="4"/>
  <c r="AI342" i="4" s="1"/>
  <c r="AH314" i="4"/>
  <c r="AI314" i="4" s="1"/>
  <c r="AH162" i="4"/>
  <c r="AI162" i="4" s="1"/>
  <c r="AH198" i="4"/>
  <c r="AI198" i="4" s="1"/>
  <c r="AH256" i="4"/>
  <c r="AI256" i="4" s="1"/>
  <c r="AH74" i="4"/>
  <c r="AI74" i="4" s="1"/>
  <c r="AH44" i="4"/>
  <c r="AI44" i="4" s="1"/>
  <c r="AH149" i="4"/>
  <c r="AI149" i="4" s="1"/>
  <c r="AH81" i="4"/>
  <c r="AI81" i="4" s="1"/>
  <c r="AH209" i="4"/>
  <c r="AI209" i="4" s="1"/>
  <c r="AH128" i="4"/>
  <c r="AI128" i="4" s="1"/>
  <c r="AH123" i="4"/>
  <c r="AI123" i="4" s="1"/>
  <c r="AH163" i="4"/>
  <c r="AI163" i="4" s="1"/>
  <c r="AH272" i="4"/>
  <c r="AI272" i="4" s="1"/>
  <c r="AH54" i="4"/>
  <c r="AI54" i="4" s="1"/>
  <c r="AH312" i="4"/>
  <c r="AI312" i="4" s="1"/>
  <c r="AH186" i="4"/>
  <c r="AI186" i="4" s="1"/>
  <c r="AH316" i="4"/>
  <c r="AI316" i="4" s="1"/>
  <c r="AH239" i="4"/>
  <c r="AI239" i="4" s="1"/>
  <c r="AH156" i="4"/>
  <c r="AI156" i="4" s="1"/>
  <c r="AH69" i="4"/>
  <c r="AI69" i="4" s="1"/>
  <c r="AH46" i="4"/>
  <c r="AI46" i="4" s="1"/>
  <c r="AH238" i="4"/>
  <c r="AI238" i="4" s="1"/>
  <c r="AH371" i="4"/>
  <c r="AI371" i="4" s="1"/>
  <c r="AH147" i="4"/>
  <c r="AI147" i="4" s="1"/>
  <c r="AH64" i="4"/>
  <c r="AI64" i="4" s="1"/>
  <c r="AH309" i="4"/>
  <c r="AI309" i="4" s="1"/>
  <c r="AH102" i="4"/>
  <c r="AI102" i="4" s="1"/>
  <c r="AH299" i="4"/>
  <c r="AI299" i="4" s="1"/>
  <c r="AH261" i="4"/>
  <c r="AI261" i="4" s="1"/>
  <c r="AH234" i="4"/>
  <c r="AI234" i="4" s="1"/>
  <c r="AH204" i="4"/>
  <c r="AI204" i="4" s="1"/>
  <c r="AH82" i="4"/>
  <c r="AI82" i="4" s="1"/>
  <c r="AH177" i="4"/>
  <c r="AI177" i="4" s="1"/>
  <c r="AH343" i="4"/>
  <c r="AI343" i="4" s="1"/>
  <c r="AH306" i="4"/>
  <c r="AI306" i="4" s="1"/>
  <c r="AH352" i="4"/>
  <c r="AI352" i="4" s="1"/>
  <c r="AH91" i="4"/>
  <c r="AI91" i="4" s="1"/>
  <c r="AH219" i="4"/>
  <c r="AI219" i="4" s="1"/>
  <c r="AH333" i="4"/>
  <c r="AI333" i="4" s="1"/>
  <c r="AH105" i="4"/>
  <c r="AI105" i="4" s="1"/>
  <c r="AH347" i="4"/>
  <c r="AI347" i="4" s="1"/>
  <c r="AH252" i="4"/>
  <c r="AI252" i="4" s="1"/>
  <c r="AH321" i="4"/>
  <c r="AI321" i="4" s="1"/>
  <c r="AH372" i="4"/>
  <c r="AI372" i="4" s="1"/>
  <c r="AH78" i="4"/>
  <c r="AI78" i="4" s="1"/>
  <c r="AH231" i="4"/>
  <c r="AI231" i="4" s="1"/>
  <c r="AH345" i="4"/>
  <c r="AI345" i="4" s="1"/>
  <c r="AH243" i="4"/>
  <c r="AI243" i="4" s="1"/>
  <c r="AH262" i="4"/>
  <c r="AI262" i="4" s="1"/>
  <c r="AH335" i="4"/>
  <c r="AI335" i="4" s="1"/>
  <c r="AH305" i="4"/>
  <c r="AI305" i="4" s="1"/>
  <c r="AH254" i="4"/>
  <c r="AI254" i="4" s="1"/>
  <c r="AH215" i="4"/>
  <c r="AI215" i="4" s="1"/>
  <c r="AH187" i="4"/>
  <c r="AI187" i="4" s="1"/>
  <c r="AH301" i="4"/>
  <c r="AI301" i="4" s="1"/>
  <c r="AH192" i="4"/>
  <c r="AI192" i="4" s="1"/>
  <c r="AH77" i="4"/>
  <c r="AI77" i="4" s="1"/>
  <c r="AH319" i="4"/>
  <c r="AI319" i="4" s="1"/>
  <c r="AH220" i="4"/>
  <c r="AI220" i="4" s="1"/>
  <c r="AH193" i="4"/>
  <c r="AI193" i="4" s="1"/>
  <c r="AH324" i="4"/>
  <c r="AI324" i="4" s="1"/>
  <c r="AH116" i="4"/>
  <c r="AI116" i="4" s="1"/>
  <c r="AH244" i="4"/>
  <c r="AI244" i="4" s="1"/>
  <c r="AH310" i="4"/>
  <c r="AI310" i="4" s="1"/>
  <c r="AH235" i="4"/>
  <c r="AI235" i="4" s="1"/>
  <c r="AH88" i="4"/>
  <c r="AI88" i="4" s="1"/>
  <c r="AH152" i="4"/>
  <c r="AI152" i="4" s="1"/>
  <c r="AH349" i="4"/>
  <c r="AI349" i="4" s="1"/>
  <c r="AH42" i="4"/>
  <c r="AI42" i="4" s="1"/>
  <c r="AH298" i="4"/>
  <c r="AI298" i="4" s="1"/>
  <c r="AH49" i="4"/>
  <c r="AI49" i="4" s="1"/>
  <c r="AH222" i="4"/>
  <c r="AI222" i="4" s="1"/>
  <c r="AH85" i="4"/>
  <c r="AI85" i="4" s="1"/>
  <c r="AH297" i="4"/>
  <c r="AI297" i="4" s="1"/>
  <c r="AH72" i="4"/>
  <c r="AI72" i="4" s="1"/>
  <c r="AH112" i="4"/>
  <c r="AI112" i="4" s="1"/>
  <c r="AH258" i="4"/>
  <c r="AI258" i="4" s="1"/>
  <c r="AH169" i="4"/>
  <c r="AI169" i="4" s="1"/>
  <c r="AH283" i="4"/>
  <c r="AI283" i="4" s="1"/>
  <c r="AH117" i="4"/>
  <c r="AI117" i="4" s="1"/>
  <c r="AH287" i="4"/>
  <c r="AI287" i="4" s="1"/>
  <c r="AH60" i="4"/>
  <c r="AI60" i="4" s="1"/>
  <c r="AH206" i="4"/>
  <c r="AI206" i="4" s="1"/>
  <c r="AH275" i="4"/>
  <c r="AI275" i="4" s="1"/>
  <c r="AH39" i="4"/>
  <c r="AI39" i="4" s="1"/>
  <c r="AH84" i="4"/>
  <c r="AI84" i="4" s="1"/>
  <c r="AH281" i="4"/>
  <c r="AI281" i="4" s="1"/>
  <c r="AH56" i="4"/>
  <c r="AI56" i="4" s="1"/>
  <c r="AH96" i="4"/>
  <c r="AI96" i="4" s="1"/>
  <c r="AH70" i="4"/>
  <c r="AI70" i="4" s="1"/>
  <c r="AH210" i="4"/>
  <c r="AI210" i="4" s="1"/>
  <c r="AH202" i="4"/>
  <c r="AI202" i="4" s="1"/>
  <c r="AH332" i="4"/>
  <c r="AI332" i="4" s="1"/>
  <c r="AH369" i="4"/>
  <c r="AI369" i="4" s="1"/>
  <c r="AH259" i="4"/>
  <c r="AI259" i="4" s="1"/>
  <c r="AH290" i="4"/>
  <c r="AI290" i="4" s="1"/>
  <c r="AH196" i="4"/>
  <c r="AI196" i="4" s="1"/>
  <c r="AH326" i="4"/>
  <c r="AI326" i="4" s="1"/>
  <c r="AH296" i="4"/>
  <c r="AI296" i="4" s="1"/>
  <c r="AH176" i="4"/>
  <c r="AI176" i="4" s="1"/>
  <c r="AH165" i="4"/>
  <c r="AI165" i="4" s="1"/>
  <c r="AH146" i="4"/>
  <c r="AI146" i="4" s="1"/>
  <c r="AH58" i="4"/>
  <c r="AI58" i="4" s="1"/>
  <c r="AH353" i="4"/>
  <c r="AI353" i="4" s="1"/>
  <c r="AH226" i="4"/>
  <c r="AI226" i="4" s="1"/>
  <c r="AH160" i="4"/>
  <c r="AI160" i="4" s="1"/>
  <c r="AH38" i="4"/>
  <c r="AI38" i="4" s="1"/>
  <c r="AH279" i="4"/>
  <c r="AI279" i="4" s="1"/>
  <c r="AH125" i="4"/>
  <c r="AI125" i="4" s="1"/>
  <c r="AH303" i="4"/>
  <c r="AI303" i="4" s="1"/>
  <c r="AH76" i="4"/>
  <c r="AI76" i="4" s="1"/>
  <c r="AH241" i="4"/>
  <c r="AI241" i="4" s="1"/>
  <c r="J121" i="1"/>
  <c r="M98" i="1"/>
  <c r="M123" i="1" l="1"/>
  <c r="AH33" i="4"/>
  <c r="AI33" i="4" s="1"/>
  <c r="AH31" i="4"/>
  <c r="AI31" i="4" s="1"/>
  <c r="AH34" i="4"/>
  <c r="AI34" i="4" s="1"/>
  <c r="AH27" i="4"/>
  <c r="AH29" i="4"/>
  <c r="AI29" i="4" s="1"/>
  <c r="AH32" i="4"/>
  <c r="AI32" i="4" s="1"/>
  <c r="AH30" i="4"/>
  <c r="AI30" i="4" s="1"/>
  <c r="K121" i="1"/>
  <c r="M121" i="1"/>
  <c r="I28" i="1" l="1"/>
  <c r="J28" i="1" s="1"/>
  <c r="M28" i="1" s="1"/>
  <c r="K28" i="1" l="1"/>
  <c r="I27" i="1"/>
  <c r="J27" i="1" s="1"/>
  <c r="M27" i="1" s="1"/>
  <c r="K27" i="1"/>
  <c r="I25" i="1" l="1"/>
  <c r="J25" i="1" s="1"/>
  <c r="K25" i="1" s="1"/>
  <c r="M25" i="1" l="1"/>
  <c r="I26" i="1"/>
  <c r="J26" i="1" s="1"/>
  <c r="M26" i="1" s="1"/>
  <c r="I24" i="1"/>
  <c r="J24" i="1" s="1"/>
  <c r="M24" i="1" s="1"/>
  <c r="I23" i="1"/>
  <c r="K26" i="1"/>
  <c r="I21" i="1" l="1"/>
  <c r="J23" i="1"/>
  <c r="J21" i="1" s="1"/>
  <c r="I20" i="1"/>
  <c r="J20" i="1" s="1"/>
  <c r="K24" i="1"/>
  <c r="I22" i="1"/>
  <c r="K23" i="1" l="1"/>
  <c r="M23" i="1"/>
  <c r="K21" i="1"/>
  <c r="M21" i="1"/>
  <c r="J22" i="1"/>
  <c r="K20" i="1"/>
  <c r="M20" i="1"/>
  <c r="K22" i="1" l="1"/>
  <c r="M22" i="1"/>
  <c r="I15" i="1" l="1"/>
  <c r="J15" i="1" s="1"/>
  <c r="K15" i="1" s="1"/>
  <c r="M15" i="1" l="1"/>
  <c r="I11" i="1" l="1"/>
  <c r="J11" i="1" s="1"/>
  <c r="K11" i="1" s="1"/>
  <c r="I10" i="1"/>
  <c r="J10" i="1" s="1"/>
  <c r="I13" i="1"/>
  <c r="J13" i="1" s="1"/>
  <c r="I14" i="1"/>
  <c r="J14" i="1" s="1"/>
  <c r="I12" i="1"/>
  <c r="J12" i="1" s="1"/>
  <c r="M11" i="1" l="1"/>
  <c r="K12" i="1"/>
  <c r="M12" i="1"/>
  <c r="K14" i="1"/>
  <c r="M14" i="1"/>
  <c r="M13" i="1"/>
  <c r="K13" i="1"/>
  <c r="K10" i="1"/>
  <c r="M10" i="1"/>
  <c r="I45" i="1" l="1"/>
  <c r="J45" i="1" s="1"/>
  <c r="I130" i="1" l="1"/>
  <c r="J130" i="1" s="1"/>
  <c r="M130" i="1" s="1"/>
  <c r="I70" i="1"/>
  <c r="I9" i="1"/>
  <c r="I7" i="1" s="1"/>
  <c r="K45" i="1"/>
  <c r="M45" i="1"/>
  <c r="J70" i="1"/>
  <c r="K130" i="1"/>
  <c r="I6" i="1" l="1"/>
  <c r="I8" i="1" s="1"/>
  <c r="J9" i="1"/>
  <c r="M9" i="1" s="1"/>
  <c r="K70" i="1"/>
  <c r="M70" i="1"/>
  <c r="J7" i="1" l="1"/>
  <c r="K7" i="1" s="1"/>
  <c r="J6" i="1"/>
  <c r="K9" i="1"/>
  <c r="H81" i="1"/>
  <c r="H82" i="1"/>
  <c r="H80" i="1"/>
  <c r="M7" i="1"/>
  <c r="K6" i="1"/>
  <c r="M6" i="1"/>
  <c r="J8" i="1" l="1"/>
  <c r="M8" i="1" s="1"/>
  <c r="J80" i="1"/>
  <c r="H85" i="1"/>
  <c r="K80" i="1"/>
  <c r="I80" i="1"/>
  <c r="I85" i="1" s="1"/>
  <c r="L81" i="1"/>
  <c r="J81" i="1"/>
  <c r="H86" i="1"/>
  <c r="K81" i="1"/>
  <c r="K86" i="1" s="1"/>
  <c r="I81" i="1"/>
  <c r="I86" i="1" s="1"/>
  <c r="L82" i="1"/>
  <c r="J82" i="1"/>
  <c r="H87" i="1"/>
  <c r="M82" i="1"/>
  <c r="K82" i="1"/>
  <c r="I82" i="1"/>
  <c r="I87" i="1" s="1"/>
  <c r="K8" i="1" l="1"/>
  <c r="M87" i="1"/>
  <c r="J85" i="1"/>
  <c r="K87" i="1"/>
  <c r="L87" i="1"/>
  <c r="J86" i="1"/>
  <c r="J87" i="1"/>
  <c r="L86" i="1"/>
  <c r="M81" i="1"/>
  <c r="M86" i="1" s="1"/>
  <c r="K85" i="1"/>
  <c r="L80" i="1"/>
  <c r="L85" i="1" l="1"/>
  <c r="M80" i="1"/>
  <c r="M85" i="1" s="1"/>
</calcChain>
</file>

<file path=xl/sharedStrings.xml><?xml version="1.0" encoding="utf-8"?>
<sst xmlns="http://schemas.openxmlformats.org/spreadsheetml/2006/main" count="2491" uniqueCount="871">
  <si>
    <t>PERCENT</t>
  </si>
  <si>
    <t>DIFFERENCE</t>
  </si>
  <si>
    <t>CURRENT</t>
  </si>
  <si>
    <t>PROPOSED</t>
  </si>
  <si>
    <t>CHANGE</t>
  </si>
  <si>
    <t>ADM</t>
  </si>
  <si>
    <t>PER ADM</t>
  </si>
  <si>
    <t>COMBINED REVENUE BY STRATA:</t>
  </si>
  <si>
    <t>STATE</t>
  </si>
  <si>
    <t>Metro Districts</t>
  </si>
  <si>
    <t>Rural Districts</t>
  </si>
  <si>
    <t>MPLS &amp; ST PAUL</t>
  </si>
  <si>
    <t>OTHER METRO, INNER</t>
  </si>
  <si>
    <t>OTHER METRO, OUTER</t>
  </si>
  <si>
    <t>NONMET&gt;=2K</t>
  </si>
  <si>
    <t>NONMET 1K-2K</t>
  </si>
  <si>
    <t>NONMET &lt; 1K</t>
  </si>
  <si>
    <t>CHARTER</t>
  </si>
  <si>
    <t>NONCHARTER FUDGE, COOPS, S DAKOTA</t>
  </si>
  <si>
    <t>COMBINED LEVIES BY STRATA:</t>
  </si>
  <si>
    <t>REVENUE BY FUNDING COMPONENT:</t>
  </si>
  <si>
    <t>BASIC</t>
  </si>
  <si>
    <t>DECLINING ENROLLMENT</t>
  </si>
  <si>
    <t>GIFTED &amp; TALENTED</t>
  </si>
  <si>
    <t>EXTENDED TIME</t>
  </si>
  <si>
    <t>COMPENSATORY INCLUDING CURRENT PILOT</t>
  </si>
  <si>
    <t>LEP REGULAR</t>
  </si>
  <si>
    <t>LEP CONCENTRATION</t>
  </si>
  <si>
    <t>SPARSITY</t>
  </si>
  <si>
    <t>SMALL SCHOOLS</t>
  </si>
  <si>
    <t>TRANSPORTATION SPARSITY</t>
  </si>
  <si>
    <t>EQUITY</t>
  </si>
  <si>
    <t>TRANSITION</t>
  </si>
  <si>
    <t>OPERATING CAPITAL</t>
  </si>
  <si>
    <t>Q COMP</t>
  </si>
  <si>
    <t xml:space="preserve">OPTIONS: REFERENDUM AID </t>
  </si>
  <si>
    <t>OPTIONS: CHARTER TRANSPORTATION</t>
  </si>
  <si>
    <t>OPTIONS: FARIBAULT</t>
  </si>
  <si>
    <t>PENSION</t>
  </si>
  <si>
    <t>INTEGRATION</t>
  </si>
  <si>
    <t>ALL DAY KINDERGARTEN</t>
  </si>
  <si>
    <t>LITERACY INCENTIVE AID</t>
  </si>
  <si>
    <t>SAFE SCHOOLS LEVY</t>
  </si>
  <si>
    <t>COMBINED SPECIAL EDUCATION</t>
  </si>
  <si>
    <t>CHARTER SCHOOL LEASE AID</t>
  </si>
  <si>
    <t>REFERENDUM</t>
  </si>
  <si>
    <t>REGIONAL COST ADJUSTMENT FROM REFERENDUM</t>
  </si>
  <si>
    <t>REGIONAL COST ADJUSTMENT NEW DOLLARS</t>
  </si>
  <si>
    <t>LEVY FOR ICE ARENA</t>
  </si>
  <si>
    <t>LEVY FOR SWIMMING POOLS</t>
  </si>
  <si>
    <t>LEVY FOR TREE GROWTH</t>
  </si>
  <si>
    <t>LEASE LEVY (NON-INTERMEDIATE)</t>
  </si>
  <si>
    <t>HEALTH &amp; SAFETY</t>
  </si>
  <si>
    <t>DEBT EXCLUDING ALT FACILITIES</t>
  </si>
  <si>
    <t>DEFERRED MAINTENANCE</t>
  </si>
  <si>
    <t>ALTERNATIVE FACILITIES PAY AS YOU GO</t>
  </si>
  <si>
    <t>ALTERNATIVE FACILITIES DEBT SERVICE</t>
  </si>
  <si>
    <t>TOTAL ABOVE</t>
  </si>
  <si>
    <t>Total $</t>
  </si>
  <si>
    <t>Percent</t>
  </si>
  <si>
    <t>$ / ADM</t>
  </si>
  <si>
    <t>Proposed Revenue Increase After Full Phase-In</t>
  </si>
  <si>
    <t>Annual Increase with 4 year phase-in</t>
  </si>
  <si>
    <t>Annual Increase with 5year phase-in</t>
  </si>
  <si>
    <t>Annual Increase with 6 year phase-in</t>
  </si>
  <si>
    <t>Aid Entitlement Change from Current Law</t>
  </si>
  <si>
    <t>FY 2015</t>
  </si>
  <si>
    <t>FY 2016</t>
  </si>
  <si>
    <t>FY 2017</t>
  </si>
  <si>
    <t>FY 2018</t>
  </si>
  <si>
    <t>FY 2019</t>
  </si>
  <si>
    <t>FY 2020</t>
  </si>
  <si>
    <t>4 Year Phase-in</t>
  </si>
  <si>
    <t>5 Year Phase-in</t>
  </si>
  <si>
    <t>6 Year Phase-in</t>
  </si>
  <si>
    <t>Appropriation Cost  @ 82.5% Pay Schedule</t>
  </si>
  <si>
    <t>Comparison with Previous Biennium:</t>
  </si>
  <si>
    <t>FY 2012</t>
  </si>
  <si>
    <t>FY 2013</t>
  </si>
  <si>
    <t>Added in FY 13 over FY 2013</t>
  </si>
  <si>
    <t>Aid Entitlement Increase over Base</t>
  </si>
  <si>
    <t>LEVIES, RMV</t>
  </si>
  <si>
    <t>GENERAL</t>
  </si>
  <si>
    <t>REGIONAL COST ADJUSTMENT</t>
  </si>
  <si>
    <t>LEVIES, NTC</t>
  </si>
  <si>
    <t>SAFE SCHOOLS</t>
  </si>
  <si>
    <t>ICE ARENA</t>
  </si>
  <si>
    <t>SWIMMING POOLS</t>
  </si>
  <si>
    <t>TREE GROWTH</t>
  </si>
  <si>
    <t>HEALTH &amp; SAFETY LEVY</t>
  </si>
  <si>
    <t>DEBT LEVY Excluding Alt Facilities</t>
  </si>
  <si>
    <t>LEVY TOTAL, RMV</t>
  </si>
  <si>
    <t>LEVY TOTAL, NTC</t>
  </si>
  <si>
    <t>EXTENDED TIME PLUS COMPENSATORY</t>
  </si>
  <si>
    <t>EQUALIZED STATE AID</t>
  </si>
  <si>
    <t>FUNDING PROPOSAL, FALL 2012</t>
  </si>
  <si>
    <t>OPTION # 2</t>
  </si>
  <si>
    <t>PARAMETERS:</t>
  </si>
  <si>
    <t>WEIGHT, PRE-K</t>
  </si>
  <si>
    <t>WEIGHT, HANDICAPPED K</t>
  </si>
  <si>
    <t>WEIGHT, REGULAR K</t>
  </si>
  <si>
    <t>WEIGHT, GRADES 1-3</t>
  </si>
  <si>
    <t>WEIGHT, GRADES 4-6</t>
  </si>
  <si>
    <t>WEIGHT, GRADES 7-12</t>
  </si>
  <si>
    <t>FORMULA ALLOWANCE</t>
  </si>
  <si>
    <t>DECLINING PUPIL MULTIPLIER</t>
  </si>
  <si>
    <t>N/A</t>
  </si>
  <si>
    <t>LEP CONCENTRATION CAP #1</t>
  </si>
  <si>
    <t>LEP CONCENTRATION CAP #2</t>
  </si>
  <si>
    <t>INFLATION MULTIPLIER</t>
  </si>
  <si>
    <t>TRANSPORT SPARSITY MULTIPLIER #1</t>
  </si>
  <si>
    <t>TRANSPORT SPARSITY MULTIPLIER #2</t>
  </si>
  <si>
    <t>EQUIPMENT MULTIPLIER</t>
  </si>
  <si>
    <t>FACILITIES MULTIPLIER</t>
  </si>
  <si>
    <t>YEAR ROUND PU MULTIPLIER</t>
  </si>
  <si>
    <t>FORMULA ALLOWANCE FOR FULL-DAY K</t>
  </si>
  <si>
    <t>PRORATION RATE FOR FULL-DAY K</t>
  </si>
  <si>
    <t>SPED: 1=NO CHANGE;2=FULL;3=90-10 ONLY</t>
  </si>
  <si>
    <t>SPED, INITIAL AID PERCENT</t>
  </si>
  <si>
    <t>SPED, INI AID MAX % OF COST</t>
  </si>
  <si>
    <t>SPED, GEN ED DEDUCT %</t>
  </si>
  <si>
    <t>SPED, EXCESS COST AID %</t>
  </si>
  <si>
    <t>SPED TUITION ADJUSTMENT PERCENT</t>
  </si>
  <si>
    <t>LEASE AID Percent</t>
  </si>
  <si>
    <t>LEASE AID Maximum / PU</t>
  </si>
  <si>
    <t>LEASE AID PARAMETER #1</t>
  </si>
  <si>
    <t>INTEGRATION per adm rate</t>
  </si>
  <si>
    <t>INTEGRATION rate for minority percent</t>
  </si>
  <si>
    <t>INTEGRATION hold harmless factor</t>
  </si>
  <si>
    <t>INTEGRATION PER MINORITY, STANDARD</t>
  </si>
  <si>
    <t>INTEGRATION PER MINORITY, MPLS</t>
  </si>
  <si>
    <t xml:space="preserve">EQUITY: MAXIMUM REFER/APU </t>
  </si>
  <si>
    <t>EQUITY: MAXIMUM REVENUE/APU</t>
  </si>
  <si>
    <t>REFERENDUM ROLL-IN TO BASIC</t>
  </si>
  <si>
    <t>ADDED ROLL-IN TO BASIC, METRO</t>
  </si>
  <si>
    <t>ADDED ROLL-IN TO BASIC, CENTERS</t>
  </si>
  <si>
    <t>MULTIPLIER, METRO</t>
  </si>
  <si>
    <t>MULTIPLIER, CENTERS</t>
  </si>
  <si>
    <t>EQUALIZING FACTOR, REFERENDUM TIER 1</t>
  </si>
  <si>
    <t>EQUALIZING FACTOR, REFERENDUM TIER 2</t>
  </si>
  <si>
    <t>EQUALIZING FACTOR, OPERATING CAPITAL</t>
  </si>
  <si>
    <t>NEW CAP ON REFERENDUM/APU, TIER 1</t>
  </si>
  <si>
    <t>NEW CAP ON REFERENDUM/APU, TIER 2</t>
  </si>
  <si>
    <t>ROLL EXTENDED TIME INTO COMPENSATORY? YES = 1</t>
  </si>
  <si>
    <t>KEEP LEVY FOR ICE ARENA? YES = 1</t>
  </si>
  <si>
    <t>KEEP LEVY FOR SWIMMING POOLS? YES = 1</t>
  </si>
  <si>
    <t>KEEP LEVY FOR TREE GROWTH? YES = 1</t>
  </si>
  <si>
    <t>EVALUATION REVENUE PER PY ENROLL</t>
  </si>
  <si>
    <t>Q Comp INITIAL AID PERCENT</t>
  </si>
  <si>
    <t>Q Comp EQUALIZING FACTOR</t>
  </si>
  <si>
    <t>ADDED FACILITIES PER PROPOSED APU</t>
  </si>
  <si>
    <t>DEBT: ANTC PERCENT FOR UNEQUALIZED</t>
  </si>
  <si>
    <t>DEBT: ANTC PERCENT FOR TIER 1</t>
  </si>
  <si>
    <t>DEBT: TIER 1 EQUALIZING FACTOR</t>
  </si>
  <si>
    <t>DEBT: TIER 2 EQUALIZING FACTOR</t>
  </si>
  <si>
    <t>DEFERRED MAINT PER PU</t>
  </si>
  <si>
    <t>DEFERRED MAINT EQUALIZING FACTOR</t>
  </si>
  <si>
    <t>KEEP LEASE LEVY?</t>
  </si>
  <si>
    <t>KEEP HEALTH &amp; SAFETY?</t>
  </si>
  <si>
    <t>SMALL SCHOOLS CAP ON APU</t>
  </si>
  <si>
    <t>SMALL SCHOOLS MAXIMUM PER APU</t>
  </si>
  <si>
    <t>PROPOSED COMPENS: WT FOR REDUCED</t>
  </si>
  <si>
    <t>PROPOSED COMPENS: PER ADJ COUNT</t>
  </si>
  <si>
    <t>AVERAGE RMV PER NEW APU</t>
  </si>
  <si>
    <t>AVERAGE ANTC PER NEW APU</t>
  </si>
  <si>
    <t>pupil units</t>
  </si>
  <si>
    <t>BASED ON:</t>
  </si>
  <si>
    <t>*</t>
  </si>
  <si>
    <t>USING PRELIMINARY ACTUAL FY 2012 ADM.</t>
  </si>
  <si>
    <t>TAKING UNFUDGED FY 2013 ADM PROJECTIONS AS OF OCTOBER 2012 AND</t>
  </si>
  <si>
    <t>FUDGING THEM TO PROJECTED STATE TOTALS FROM THE FEBRUARY STATE BUDGET</t>
  </si>
  <si>
    <t>FORECAST.</t>
  </si>
  <si>
    <t>Increase per ADM over Base</t>
  </si>
  <si>
    <t>Appropriation cost @ 82.5%</t>
  </si>
  <si>
    <t>Notes</t>
  </si>
  <si>
    <t>$50 on Formula</t>
  </si>
  <si>
    <t>$100 on formula</t>
  </si>
  <si>
    <t>Actual  pay schedule for FY 2012 was 64.3%</t>
  </si>
  <si>
    <t>Literacy aid</t>
  </si>
  <si>
    <t>Small Schools</t>
  </si>
  <si>
    <t>One-time Compensatory.</t>
  </si>
  <si>
    <t>COMPENSATORY GUARANTEE PER FREE + HALF REDUCED</t>
  </si>
  <si>
    <t>Basic</t>
  </si>
  <si>
    <t>Transition</t>
  </si>
  <si>
    <t>Refer</t>
  </si>
  <si>
    <t>Regional adj</t>
  </si>
  <si>
    <t>Equity</t>
  </si>
  <si>
    <t>Compensatory/ext</t>
  </si>
  <si>
    <t>Integr</t>
  </si>
  <si>
    <t>sp ed</t>
  </si>
  <si>
    <t>all day K</t>
  </si>
  <si>
    <t>pension</t>
  </si>
  <si>
    <t>facilities</t>
  </si>
  <si>
    <t>lease aid</t>
  </si>
  <si>
    <t>Other</t>
  </si>
  <si>
    <t>Category (1 to 12):</t>
  </si>
  <si>
    <t>Total</t>
  </si>
  <si>
    <t>Revenue, current</t>
  </si>
  <si>
    <t>Revenue, proposed</t>
  </si>
  <si>
    <t>Levy, current</t>
  </si>
  <si>
    <t>Levy, proposed</t>
  </si>
  <si>
    <t>Debt</t>
  </si>
  <si>
    <t>Revenue per Student Impact</t>
  </si>
  <si>
    <t>Proposed</t>
  </si>
  <si>
    <t>Alt Facility</t>
  </si>
  <si>
    <t>Current Law</t>
  </si>
  <si>
    <t>Working Group Recommendation</t>
  </si>
  <si>
    <t>Change:  Working Group Recommendation vs Current Law</t>
  </si>
  <si>
    <t>Change</t>
  </si>
  <si>
    <t>Levy</t>
  </si>
  <si>
    <t>Health</t>
  </si>
  <si>
    <t>Deferred</t>
  </si>
  <si>
    <t>PAYG Levy</t>
  </si>
  <si>
    <t>Revenue</t>
  </si>
  <si>
    <t>Region</t>
  </si>
  <si>
    <t>All Day</t>
  </si>
  <si>
    <t>Small/</t>
  </si>
  <si>
    <t>Lease</t>
  </si>
  <si>
    <t>&amp; Safety</t>
  </si>
  <si>
    <t>Maint</t>
  </si>
  <si>
    <t>5 Yr Ave</t>
  </si>
  <si>
    <t>Service</t>
  </si>
  <si>
    <t>REVENUE</t>
  </si>
  <si>
    <t>Adjust</t>
  </si>
  <si>
    <t>Tran-</t>
  </si>
  <si>
    <t>Refer-</t>
  </si>
  <si>
    <t>Comp/</t>
  </si>
  <si>
    <t>Inte-</t>
  </si>
  <si>
    <t>Spec</t>
  </si>
  <si>
    <t>Strata</t>
  </si>
  <si>
    <t>Kinder</t>
  </si>
  <si>
    <t>Pension</t>
  </si>
  <si>
    <t>Facilities</t>
  </si>
  <si>
    <t>Sparsity</t>
  </si>
  <si>
    <t>FARIBAULT</t>
  </si>
  <si>
    <t>RMV</t>
  </si>
  <si>
    <t>NTC</t>
  </si>
  <si>
    <t>sition</t>
  </si>
  <si>
    <t>endum</t>
  </si>
  <si>
    <t>Ex Time</t>
  </si>
  <si>
    <t>gration</t>
  </si>
  <si>
    <t>Educ</t>
  </si>
  <si>
    <t>TOTAL</t>
  </si>
  <si>
    <t>NONCHARTER FUDGE</t>
  </si>
  <si>
    <t>AITKIN</t>
  </si>
  <si>
    <t>PRINSBURG</t>
  </si>
  <si>
    <t>MINNEAPOLIS</t>
  </si>
  <si>
    <t>METRO DEAF SCHOOL</t>
  </si>
  <si>
    <t>HILL CITY</t>
  </si>
  <si>
    <t>CONCORDIA CREATIVE LEARNING ACADEMY</t>
  </si>
  <si>
    <t>MCGREGOR</t>
  </si>
  <si>
    <t>METRO TECH ACADEMY</t>
  </si>
  <si>
    <t>SOUTH ST. PAUL</t>
  </si>
  <si>
    <t>LEARNING FOR LEADERSHIP CHARTER</t>
  </si>
  <si>
    <t>ANOKA-HENNEPIN</t>
  </si>
  <si>
    <t>PARTNERSHIP ACADEMY, INC.</t>
  </si>
  <si>
    <t>CENTENNIAL</t>
  </si>
  <si>
    <t>BEST ACADEMY</t>
  </si>
  <si>
    <t>COLUMBIA HEIGHTS</t>
  </si>
  <si>
    <t>LAURA JEFFREY ACADEMY CHARTER</t>
  </si>
  <si>
    <t>FRIDLEY</t>
  </si>
  <si>
    <t>JENNINGS COMMUNITY LEARNING CENTER</t>
  </si>
  <si>
    <t>ST. FRANCIS</t>
  </si>
  <si>
    <t>LAKE BENTON</t>
  </si>
  <si>
    <t>SPRING LAKE PARK</t>
  </si>
  <si>
    <t>ROTHSAY</t>
  </si>
  <si>
    <t>DETROIT LAKES</t>
  </si>
  <si>
    <t>HANCOCK</t>
  </si>
  <si>
    <t>FRAZEE</t>
  </si>
  <si>
    <t>CLEVELAND</t>
  </si>
  <si>
    <t>PINE POINT</t>
  </si>
  <si>
    <t>HILLS-BEAVER CRE</t>
  </si>
  <si>
    <t>BEMIDJI</t>
  </si>
  <si>
    <t>HIGHER GROUND ACADEMY</t>
  </si>
  <si>
    <t>BLACKDUCK</t>
  </si>
  <si>
    <t>CHATFIELD</t>
  </si>
  <si>
    <t>KELLIHER</t>
  </si>
  <si>
    <t>DOVER-EYOTA</t>
  </si>
  <si>
    <t>RED LAKE</t>
  </si>
  <si>
    <t>TRI-CITY</t>
  </si>
  <si>
    <t>SAUK RAPIDS</t>
  </si>
  <si>
    <t>MABEL-CANTON</t>
  </si>
  <si>
    <t>FOLEY</t>
  </si>
  <si>
    <t>HARVEST PREP SCHOOL-SEED ACADEMY</t>
  </si>
  <si>
    <t>ST. CLAIR</t>
  </si>
  <si>
    <t>ZUMBROTA-MAZEPPA</t>
  </si>
  <si>
    <t>MANKATO</t>
  </si>
  <si>
    <t>LAKEVIEW</t>
  </si>
  <si>
    <t>COMFREY</t>
  </si>
  <si>
    <t>SLEEPY EYE</t>
  </si>
  <si>
    <t>NERSTRAND CHARTER SCHOOL</t>
  </si>
  <si>
    <t>SPRINGFIELD</t>
  </si>
  <si>
    <t>WABASSO</t>
  </si>
  <si>
    <t>NEW ULM</t>
  </si>
  <si>
    <t>HOUSTON</t>
  </si>
  <si>
    <t>BARNUM</t>
  </si>
  <si>
    <t>CORNERSTONE MONTESSORI ELEMENTARY</t>
  </si>
  <si>
    <t>CARLTON</t>
  </si>
  <si>
    <t>MINNEOTA</t>
  </si>
  <si>
    <t>CLOQUET</t>
  </si>
  <si>
    <t>YINGHUA ACADEMY</t>
  </si>
  <si>
    <t>CROMWELL</t>
  </si>
  <si>
    <t>EDGERTON</t>
  </si>
  <si>
    <t>MOOSE LAKE</t>
  </si>
  <si>
    <t>THE MASTERY SCHOOL</t>
  </si>
  <si>
    <t>ESKO</t>
  </si>
  <si>
    <t>OKLEE</t>
  </si>
  <si>
    <t>WRENSHALL</t>
  </si>
  <si>
    <t>ELK RIVER</t>
  </si>
  <si>
    <t>NORWOOD</t>
  </si>
  <si>
    <t>FISHER</t>
  </si>
  <si>
    <t>WACONIA</t>
  </si>
  <si>
    <t>STEPHEN-ARGYLE</t>
  </si>
  <si>
    <t>WATERTOWN-MAYER</t>
  </si>
  <si>
    <t>KERKHOVEN-MURDOC</t>
  </si>
  <si>
    <t>EASTERN CARVER CTY</t>
  </si>
  <si>
    <t>ALDEN</t>
  </si>
  <si>
    <t>WALKER-AKELEY</t>
  </si>
  <si>
    <t>TWIN CITIES GERMAN IMMERSION CHRTR</t>
  </si>
  <si>
    <t>CASS LAKE</t>
  </si>
  <si>
    <t>PILLAGER</t>
  </si>
  <si>
    <t>SEVEN HILLS CLASSICAL ACADEMY</t>
  </si>
  <si>
    <t>NORTHLAND</t>
  </si>
  <si>
    <t>ST. MICHAEL-ALBE</t>
  </si>
  <si>
    <t>MONTEVIDEO</t>
  </si>
  <si>
    <t>NORTH BRANCH</t>
  </si>
  <si>
    <t>COLOGNE ACADEMY</t>
  </si>
  <si>
    <t>RUSH CITY</t>
  </si>
  <si>
    <t>ALBANY</t>
  </si>
  <si>
    <t>BARNESVILLE</t>
  </si>
  <si>
    <t>PARNASSUS PREPARATORY CHARTER SCH</t>
  </si>
  <si>
    <t>HAWLEY</t>
  </si>
  <si>
    <t>PINE ISLAND</t>
  </si>
  <si>
    <t>MOORHEAD</t>
  </si>
  <si>
    <t>RTR</t>
  </si>
  <si>
    <t>BAGLEY</t>
  </si>
  <si>
    <t>KASSON-MANTORVIL</t>
  </si>
  <si>
    <t>COOK COUNTY</t>
  </si>
  <si>
    <t>MOUNTAIN LAKE</t>
  </si>
  <si>
    <t>BECKER</t>
  </si>
  <si>
    <t>WINDOM</t>
  </si>
  <si>
    <t>CANNON RIVER STEM SCHOOL</t>
  </si>
  <si>
    <t>BRAINERD</t>
  </si>
  <si>
    <t>BYRON</t>
  </si>
  <si>
    <t>CROSBY</t>
  </si>
  <si>
    <t>MILROY AREA CHARTER SCHOOL</t>
  </si>
  <si>
    <t>PEQUOT LAKES</t>
  </si>
  <si>
    <t>MINNESOTA TRANSITIONS CHARTER SCH</t>
  </si>
  <si>
    <t>BURNSVILLE</t>
  </si>
  <si>
    <t>FARMINGTON</t>
  </si>
  <si>
    <t>DAWSON</t>
  </si>
  <si>
    <t>LAKEVILLE</t>
  </si>
  <si>
    <t>WASECA</t>
  </si>
  <si>
    <t>RANDOLPH</t>
  </si>
  <si>
    <t>WOODSON INSTITUTE FOR EXCELLENCE CH</t>
  </si>
  <si>
    <t>ROSEMOUNT-APPLE</t>
  </si>
  <si>
    <t>ADA-BORUP</t>
  </si>
  <si>
    <t>WEST ST. PAUL</t>
  </si>
  <si>
    <t>LITCHFIELD</t>
  </si>
  <si>
    <t>INVER GROVE</t>
  </si>
  <si>
    <t>MORRIS</t>
  </si>
  <si>
    <t>HASTINGS</t>
  </si>
  <si>
    <t>BRANDON</t>
  </si>
  <si>
    <t>HAYFIELD</t>
  </si>
  <si>
    <t>NEVIS</t>
  </si>
  <si>
    <t>UNDERWOOD</t>
  </si>
  <si>
    <t>ALEXANDRIA</t>
  </si>
  <si>
    <t>EMILY O. GOODRIDGE-GREY ACCELERATED</t>
  </si>
  <si>
    <t>LAKES INTERNATIONAL LANGUAGE ADMY</t>
  </si>
  <si>
    <t>EVANSVILLE</t>
  </si>
  <si>
    <t>OSAKIS</t>
  </si>
  <si>
    <t>SWAN RIVER MONTESSORI CHARTER SCH</t>
  </si>
  <si>
    <t>LESUEUR-HENDERSO</t>
  </si>
  <si>
    <t>LANESBORO</t>
  </si>
  <si>
    <t>STEWARTVILLE</t>
  </si>
  <si>
    <t>ADRIAN</t>
  </si>
  <si>
    <t>RUSHFORD-PETERSO</t>
  </si>
  <si>
    <t>SPRING GROVE</t>
  </si>
  <si>
    <t>ALBERT LEA</t>
  </si>
  <si>
    <t>CANNON FALLS</t>
  </si>
  <si>
    <t>NICOLLET</t>
  </si>
  <si>
    <t>GOODHUE</t>
  </si>
  <si>
    <t>NEW LONDON-SPICE</t>
  </si>
  <si>
    <t xml:space="preserve">FILLMORE CENTRAL                   </t>
  </si>
  <si>
    <t>RED WING</t>
  </si>
  <si>
    <t>DAKOTA AREA COMMUNITY CHARTER SCH</t>
  </si>
  <si>
    <t>ASHBY</t>
  </si>
  <si>
    <t>ANNANDALE</t>
  </si>
  <si>
    <t>HERMAN-NORCROSS</t>
  </si>
  <si>
    <t>LUVERNE</t>
  </si>
  <si>
    <t>HOPKINS</t>
  </si>
  <si>
    <t>EAST GRAND FORKS</t>
  </si>
  <si>
    <t>BLOOMINGTON</t>
  </si>
  <si>
    <t>FAIRMONT AREA SCHOOLS</t>
  </si>
  <si>
    <t>EDEN PRAIRIE</t>
  </si>
  <si>
    <t>GRAND MEADOW</t>
  </si>
  <si>
    <t>EDINA</t>
  </si>
  <si>
    <t>MINNETONKA</t>
  </si>
  <si>
    <t>FOREST LAKE</t>
  </si>
  <si>
    <t>WESTONKA</t>
  </si>
  <si>
    <t>ASPEN ACADEMY</t>
  </si>
  <si>
    <t>ORONO</t>
  </si>
  <si>
    <t>HOWARD LAKE-WAVERLY-WINSTED</t>
  </si>
  <si>
    <t>OSSEO</t>
  </si>
  <si>
    <t>LEWISTON</t>
  </si>
  <si>
    <t>RICHFIELD</t>
  </si>
  <si>
    <t>CYRUS</t>
  </si>
  <si>
    <t>ROBBINSDALE</t>
  </si>
  <si>
    <t>FERTILE-BELTRAMI</t>
  </si>
  <si>
    <t>ST. ANTHONY-NEW</t>
  </si>
  <si>
    <t>ST. LOUIS PARK</t>
  </si>
  <si>
    <t>INTERNATIONAL SPANISH LANGUAGE ACAD</t>
  </si>
  <si>
    <t>WAYZATA</t>
  </si>
  <si>
    <t>DISCOVERY WOODS MONTESSORI SCHOOL</t>
  </si>
  <si>
    <t>BROOKLYN CENTER</t>
  </si>
  <si>
    <t>BLUFFVIEW MONTESSORI</t>
  </si>
  <si>
    <t>THIEF RIVER FALL</t>
  </si>
  <si>
    <t>LAKE CRYSTAL-WEL</t>
  </si>
  <si>
    <t>CALEDONIA</t>
  </si>
  <si>
    <t>HOPE COMMUNITY ACADEMY</t>
  </si>
  <si>
    <t>LACRESCENT</t>
  </si>
  <si>
    <t>NATURAL SCIENCE ACADEMY</t>
  </si>
  <si>
    <t>LAPORTE</t>
  </si>
  <si>
    <t>LYND</t>
  </si>
  <si>
    <t>DILWORTH-GLYNDON</t>
  </si>
  <si>
    <t>PARK RAPIDS</t>
  </si>
  <si>
    <t>LYLE</t>
  </si>
  <si>
    <t>BRAHAM</t>
  </si>
  <si>
    <t>NOVA CLASSICAL ACADEMY</t>
  </si>
  <si>
    <t>GREENWAY</t>
  </si>
  <si>
    <t>ROCKFORD</t>
  </si>
  <si>
    <t>DEER RIVER</t>
  </si>
  <si>
    <t>HOLDINGFORD</t>
  </si>
  <si>
    <t>GRAND RAPIDS</t>
  </si>
  <si>
    <t>PIPESTONE-JASPER</t>
  </si>
  <si>
    <t>NASHWAUK-KEEWATI</t>
  </si>
  <si>
    <t>G.F.W.</t>
  </si>
  <si>
    <t>FRANCONIA</t>
  </si>
  <si>
    <t>HERON LAKE-OKABE</t>
  </si>
  <si>
    <t>CANBY</t>
  </si>
  <si>
    <t>MORA</t>
  </si>
  <si>
    <t>SARTELL</t>
  </si>
  <si>
    <t>OGILVIE</t>
  </si>
  <si>
    <t>RIDGEWAY COMMUNITY SCHOOL</t>
  </si>
  <si>
    <t>CLINTON-GRACEVILLE-BEARDSLEY</t>
  </si>
  <si>
    <t>WILLMAR</t>
  </si>
  <si>
    <t>PLAINVIEW-ELGIN-MILLVILLE</t>
  </si>
  <si>
    <t>LANCASTER</t>
  </si>
  <si>
    <t>IVANHOE</t>
  </si>
  <si>
    <t>INTERNATIONAL FA</t>
  </si>
  <si>
    <t>SOUTH WASHINGTON</t>
  </si>
  <si>
    <t>LITTLEFORK-BIG F</t>
  </si>
  <si>
    <t>BADGER</t>
  </si>
  <si>
    <t>SOUTH KOOCHICHIN</t>
  </si>
  <si>
    <t>BENSON</t>
  </si>
  <si>
    <t>LAKE CITY</t>
  </si>
  <si>
    <t>LAKE SUPERIOR</t>
  </si>
  <si>
    <t>NEW PRAGUE</t>
  </si>
  <si>
    <t>LAKE OF THE WOOD</t>
  </si>
  <si>
    <t>HENNEPIN ELEMENTARY SCHOOL</t>
  </si>
  <si>
    <t>DASSEL-COKATO</t>
  </si>
  <si>
    <t>HENDRICKS</t>
  </si>
  <si>
    <t>KENYON-WANAMINGO</t>
  </si>
  <si>
    <t>LESTER PRAIRIE</t>
  </si>
  <si>
    <t>MARSHALL</t>
  </si>
  <si>
    <t>NASHA SHKOLA CHARTER SCHOOL</t>
  </si>
  <si>
    <t>SAUK CENTRE</t>
  </si>
  <si>
    <t>HENNING</t>
  </si>
  <si>
    <t>HUTCHINSON</t>
  </si>
  <si>
    <t>EDEN VALLEY</t>
  </si>
  <si>
    <t>EAGLE RIDGE ACADEMY CHARTER SCHOOL</t>
  </si>
  <si>
    <t>MAHNOMEN</t>
  </si>
  <si>
    <t>MAPLE LAKE</t>
  </si>
  <si>
    <t>WAUBUN</t>
  </si>
  <si>
    <t>MARTIN COUNTY</t>
  </si>
  <si>
    <t>MARSHALL CTY CENTRAL</t>
  </si>
  <si>
    <t>ST. CROIX PREPARATORY ACADEMY</t>
  </si>
  <si>
    <t>GRYGLA</t>
  </si>
  <si>
    <t>WHEATON</t>
  </si>
  <si>
    <t>TRUMAN</t>
  </si>
  <si>
    <t>PRAIRIE CREEK COMMUNITY SCHOOL</t>
  </si>
  <si>
    <t>MILROY</t>
  </si>
  <si>
    <t>UPSALA</t>
  </si>
  <si>
    <t>ISLE</t>
  </si>
  <si>
    <t>CEDAR MOUNTAIN</t>
  </si>
  <si>
    <t>PRINCETON</t>
  </si>
  <si>
    <t>ONAMIA</t>
  </si>
  <si>
    <t>LITTLE FALLS</t>
  </si>
  <si>
    <t>PIERZ</t>
  </si>
  <si>
    <t>STILLWATER</t>
  </si>
  <si>
    <t>ROYALTON</t>
  </si>
  <si>
    <t>AFSA HIGH SCHOOL</t>
  </si>
  <si>
    <t>SWANVILLE</t>
  </si>
  <si>
    <t>EL COLEGIO CHARTER SCHOOL</t>
  </si>
  <si>
    <t>AUSTIN</t>
  </si>
  <si>
    <t>SCHOOLCRAFT LEARNING COMMUNITY CHTR</t>
  </si>
  <si>
    <t>LEROY</t>
  </si>
  <si>
    <t>SOUTHLAND</t>
  </si>
  <si>
    <t>FULDA</t>
  </si>
  <si>
    <t>NORTHFIELD</t>
  </si>
  <si>
    <t>CLEARBROOK-GONVICK</t>
  </si>
  <si>
    <t>ST. PETER</t>
  </si>
  <si>
    <t>LAKE PARK-AUDUBON</t>
  </si>
  <si>
    <t>ORTONVILLE</t>
  </si>
  <si>
    <t>BREWSTER</t>
  </si>
  <si>
    <t>FERGUS FALLS</t>
  </si>
  <si>
    <t>ELLSWORTH</t>
  </si>
  <si>
    <t>GREENBUSH-MIDDLE RIV</t>
  </si>
  <si>
    <t>ROUND LAKE</t>
  </si>
  <si>
    <t>JACKSON COUNTY CENTRAL</t>
  </si>
  <si>
    <t>WORTHINGTON</t>
  </si>
  <si>
    <t>PELICAN RAPIDS</t>
  </si>
  <si>
    <t>KITTSON CENTRAL</t>
  </si>
  <si>
    <t>ROCHESTER</t>
  </si>
  <si>
    <t>MURRAY COUNTY</t>
  </si>
  <si>
    <t>BATTLE LAKE</t>
  </si>
  <si>
    <t>VIRGINIA</t>
  </si>
  <si>
    <t>PAIDEIA ACADEMY CHARTER SCHOOL</t>
  </si>
  <si>
    <t>NORTH SHORE COMMUNITY SCHOOL</t>
  </si>
  <si>
    <t>PARKERS PRAIRIE</t>
  </si>
  <si>
    <t>KALEIDOSCOPE CHARTER SCHOOL</t>
  </si>
  <si>
    <t>BIG LAKE</t>
  </si>
  <si>
    <t>PERHAM</t>
  </si>
  <si>
    <t>BEACON ACADEMY</t>
  </si>
  <si>
    <t>NEW YORK MILLS</t>
  </si>
  <si>
    <t>WATERVILLE-ELYSIAN-MORRISTOWN</t>
  </si>
  <si>
    <t>GOODRIDGE</t>
  </si>
  <si>
    <t>MINNESOTA SCHOOL OF SCIENCE</t>
  </si>
  <si>
    <t>KINGSLAND</t>
  </si>
  <si>
    <t>WILLOW RIVER</t>
  </si>
  <si>
    <t>JANESVILLE-WALDO</t>
  </si>
  <si>
    <t>PINE CITY</t>
  </si>
  <si>
    <t>TRITON</t>
  </si>
  <si>
    <t>NORMAN CTY WEST</t>
  </si>
  <si>
    <t>CLIMAX</t>
  </si>
  <si>
    <t>CROOKSTON</t>
  </si>
  <si>
    <t>ROSEAU</t>
  </si>
  <si>
    <t>FOSSTON</t>
  </si>
  <si>
    <t>BRECKENRIDGE</t>
  </si>
  <si>
    <t>MOUNDS VIEW</t>
  </si>
  <si>
    <t>NORTH ST. PAUL-M</t>
  </si>
  <si>
    <t xml:space="preserve">BIRD ISLAND-OLIVIA-LAKE LILLIAN    </t>
  </si>
  <si>
    <t>ROSEVILLE</t>
  </si>
  <si>
    <t>NRHEG</t>
  </si>
  <si>
    <t>WHITE BEAR LAKE</t>
  </si>
  <si>
    <t>GREAT EXPECTATIONS</t>
  </si>
  <si>
    <t>ST. PAUL</t>
  </si>
  <si>
    <t>EAGLE BEND-CLARISSA</t>
  </si>
  <si>
    <t>TRIO WOLF CREEK DISTANCE LEARNING</t>
  </si>
  <si>
    <t>PLUMMER</t>
  </si>
  <si>
    <t>KIMBALL</t>
  </si>
  <si>
    <t>RED LAKE FALLS</t>
  </si>
  <si>
    <t>NEW VISIONS CHARTER SCHOOL</t>
  </si>
  <si>
    <t>BLOOMING PRAIRIE</t>
  </si>
  <si>
    <t>REDWOOD AREA SCHOOLS</t>
  </si>
  <si>
    <t>GRANADA HUNTLEY-</t>
  </si>
  <si>
    <t>WARROAD</t>
  </si>
  <si>
    <t>WORLD LEARNER CHARTER SCHOOL</t>
  </si>
  <si>
    <t>CHISHOLM</t>
  </si>
  <si>
    <t>ELY</t>
  </si>
  <si>
    <t>FLOODWOOD</t>
  </si>
  <si>
    <t>HERMANTOWN</t>
  </si>
  <si>
    <t>BIRCH GROVE COMMUNITY SCHOOL</t>
  </si>
  <si>
    <t>HIBBING</t>
  </si>
  <si>
    <t>BRIGHT WATER ELEMENTARY</t>
  </si>
  <si>
    <t>PROCTOR</t>
  </si>
  <si>
    <t>NORMAN COUNTY EAST</t>
  </si>
  <si>
    <t>NETT LAKE</t>
  </si>
  <si>
    <t>GREAT RIVER SCHOOL</t>
  </si>
  <si>
    <t>DULUTH</t>
  </si>
  <si>
    <t>MATH AND SCIENCE ACADEMY</t>
  </si>
  <si>
    <t>MOUNTAIN IRON-BU</t>
  </si>
  <si>
    <t>WEST CENTRAL AREA</t>
  </si>
  <si>
    <t>BELLE PLAINE</t>
  </si>
  <si>
    <t>SHAKOPEE</t>
  </si>
  <si>
    <t>JORDAN</t>
  </si>
  <si>
    <t>PRIOR LAKE</t>
  </si>
  <si>
    <t>BELGRADE-BROOTEN-ELR</t>
  </si>
  <si>
    <t>DAVINCI ACADEMY</t>
  </si>
  <si>
    <t>TWIN CITIES ACADEMY</t>
  </si>
  <si>
    <t>ACHIEVE LANGUAGE ACADEMY</t>
  </si>
  <si>
    <t>RENVILLE CTY WEST</t>
  </si>
  <si>
    <t>PACT CHARTER SCHOOL</t>
  </si>
  <si>
    <t>MAPLE RIVER</t>
  </si>
  <si>
    <t>MELROSE</t>
  </si>
  <si>
    <t>PAYNESVILLE</t>
  </si>
  <si>
    <t>RED ROCK CENTRAL</t>
  </si>
  <si>
    <t>ST. CLOUD</t>
  </si>
  <si>
    <t>CAMPBELL-TINTAH</t>
  </si>
  <si>
    <t>ST. CHARLES</t>
  </si>
  <si>
    <t>WIN-E-MAC</t>
  </si>
  <si>
    <t>ROCORI</t>
  </si>
  <si>
    <t>DULUTH PUBLIC SCHOOLS ACADEMY</t>
  </si>
  <si>
    <t>STONEBRIDGE COMMUNITY SCHOOL</t>
  </si>
  <si>
    <t>OWATONNA</t>
  </si>
  <si>
    <t>SEBEKA</t>
  </si>
  <si>
    <t>MEDFORD</t>
  </si>
  <si>
    <t>EVELETH-GILBERT</t>
  </si>
  <si>
    <t>CYBER VILLAGE ACADEMY</t>
  </si>
  <si>
    <t>CHOKIO-ALBERTA</t>
  </si>
  <si>
    <t>BERTHA-HEWITT</t>
  </si>
  <si>
    <t>BROWERVILLE</t>
  </si>
  <si>
    <t>BROWNS VALLEY</t>
  </si>
  <si>
    <t>SIBLEY EAST</t>
  </si>
  <si>
    <t>WABASHA</t>
  </si>
  <si>
    <t>VERNDALE</t>
  </si>
  <si>
    <t>A.C.G.C.</t>
  </si>
  <si>
    <t>BLUE EARTH-DELAVAN-ELMORE</t>
  </si>
  <si>
    <t>MENAHGA</t>
  </si>
  <si>
    <t>BLUESKY CHARTER SCHOOL</t>
  </si>
  <si>
    <t>TEAM ACADEMY</t>
  </si>
  <si>
    <t>MACCRAY</t>
  </si>
  <si>
    <t>MAHTOMEDI</t>
  </si>
  <si>
    <t>ACADEMIC ARTS HIGH SCHOOL</t>
  </si>
  <si>
    <t>SPECTRUM HIGH SCHOOL</t>
  </si>
  <si>
    <t>BUTTERFIELD</t>
  </si>
  <si>
    <t>GLENVILLE-EMMONS</t>
  </si>
  <si>
    <t>MADELIA</t>
  </si>
  <si>
    <t>MN INTERNATIONAL MIDDLE CHARTER</t>
  </si>
  <si>
    <t>ST. JAMES</t>
  </si>
  <si>
    <t>GLACIAL HILLS ELEMENTARY</t>
  </si>
  <si>
    <t>STRIDE ACADEMY CHARTER SCHOOL</t>
  </si>
  <si>
    <t>ST PAUL CONSERVATORY PERFORMING ART</t>
  </si>
  <si>
    <t>WINONA</t>
  </si>
  <si>
    <t>LACRESCENT MONTESSORI ACADEMY</t>
  </si>
  <si>
    <t>BUFFALO</t>
  </si>
  <si>
    <t>DELANO</t>
  </si>
  <si>
    <t>COMMUNITY OF PEACE ACADEMY</t>
  </si>
  <si>
    <t>MONTICELLO</t>
  </si>
  <si>
    <t>CAMBRIDGE-ISANTI</t>
  </si>
  <si>
    <t>MILACA</t>
  </si>
  <si>
    <t>ULEN-HITTERDAL</t>
  </si>
  <si>
    <t>BEACON PREPARATORY SCHOOL</t>
  </si>
  <si>
    <t>QUEST ACADEMY</t>
  </si>
  <si>
    <t>LAC QUI PARLE</t>
  </si>
  <si>
    <t>UNITED SOUTH CENTRAL</t>
  </si>
  <si>
    <t>TREKNORTH HIGH SCHOOL</t>
  </si>
  <si>
    <t>ST. LOUIS COUNTY</t>
  </si>
  <si>
    <t>CHISAGO LAKES AREA</t>
  </si>
  <si>
    <t>MINNEWASKA</t>
  </si>
  <si>
    <t>WADENA-DEER CREEK</t>
  </si>
  <si>
    <t>BUFFALO LAKE-HECTOR</t>
  </si>
  <si>
    <t>PINE RIVER-BACKU</t>
  </si>
  <si>
    <t>LONG PRAIRIE-GREY EA</t>
  </si>
  <si>
    <t>HINCKLEY-FINLAYS</t>
  </si>
  <si>
    <t>AVALON SCHOOL</t>
  </si>
  <si>
    <t>TRI-COUNTY</t>
  </si>
  <si>
    <t>STAPLES-MOTLEY</t>
  </si>
  <si>
    <t>WARREN-ALVARADO-</t>
  </si>
  <si>
    <t>YELLOW MEDICINE EAST</t>
  </si>
  <si>
    <t>MAIN STREET SCHOOL PERFORMING ARTS</t>
  </si>
  <si>
    <t>LAKES AREA CHARTER SCHOOL</t>
  </si>
  <si>
    <t>TWIN CITIES ACADEMY HIGH SCHOOL</t>
  </si>
  <si>
    <t>NORTH LAKES ACADEMY</t>
  </si>
  <si>
    <t>RIVER'S EDGE ACADEMY</t>
  </si>
  <si>
    <t>VOYAGEURS EXPEDITIONARY</t>
  </si>
  <si>
    <t>TRACY-BALATON</t>
  </si>
  <si>
    <t>EDVISIONS OFF CAMPUS SCHOOL</t>
  </si>
  <si>
    <t>MINNESOTA ONLINE HIGH SCHOOL</t>
  </si>
  <si>
    <t>EAST CENTRAL</t>
  </si>
  <si>
    <t>GLENCOE-SILVER LAKE</t>
  </si>
  <si>
    <t>NEW CITY SCHOOL</t>
  </si>
  <si>
    <t>MESABI EAST</t>
  </si>
  <si>
    <t>CROSSLAKE COMMUNITY CHARTER SCHOOL</t>
  </si>
  <si>
    <t>GREEN ISLE COMMUNITY SCHOOL</t>
  </si>
  <si>
    <t>NEW DISCOVERIES MONTESSORI ACADEMY</t>
  </si>
  <si>
    <t>LAFAYETTE PUBLIC CHARTER SCHOOL</t>
  </si>
  <si>
    <t>SOUTHSIDE FAMILY CHARTER SCHOOL</t>
  </si>
  <si>
    <t>MINNESOTA NEW COUNTRY SCHOOL</t>
  </si>
  <si>
    <t>WESTBROOK-WALNUT GROVE</t>
  </si>
  <si>
    <t>LIONSGATE ACADEMY</t>
  </si>
  <si>
    <t>NEW CENTURY CHARTER SCHOOL</t>
  </si>
  <si>
    <t>FRASER ACADEMY</t>
  </si>
  <si>
    <t>CITY ACADEMY</t>
  </si>
  <si>
    <t>MINNEAPOLIS ACADEMY CHARTER SCHOOL</t>
  </si>
  <si>
    <t>NEW HEIGHTS SCHOOL, INC.</t>
  </si>
  <si>
    <t>CEDAR RIVERSIDE COMMUNITY SCHOOL</t>
  </si>
  <si>
    <t>WATERSHED HIGH SCHOOL</t>
  </si>
  <si>
    <t>EAST RANGE ACADEMY OF TECH-SCIENCE</t>
  </si>
  <si>
    <t>E.C.H.O. CHARTER SCHOOL</t>
  </si>
  <si>
    <t>ST. PAUL CITY SCHOOL</t>
  </si>
  <si>
    <t>HARBOR CITY INTERNATIONAL CHARTER</t>
  </si>
  <si>
    <t>ODYSSEY ACADEMY</t>
  </si>
  <si>
    <t>PILLAGER AREA CHARTER SCHOOL</t>
  </si>
  <si>
    <t>FACE TO FACE ACADEMY</t>
  </si>
  <si>
    <t>SOJOURNER TRUTH ACADEMY</t>
  </si>
  <si>
    <t>HIGH SCHOOL FOR RECORDING ARTS</t>
  </si>
  <si>
    <t>DISCOVERY PUBLIC SCHOOL FARIBAULT</t>
  </si>
  <si>
    <t>NORTHWEST PASSAGE HIGH SCHOOL</t>
  </si>
  <si>
    <t>ROCHESTER OFF-CAMPUS CHARTER HIGH</t>
  </si>
  <si>
    <t>HMONG COLLEGE PREP ACADEMY</t>
  </si>
  <si>
    <t>RIVERWAY LEARNING COMMUNITY CHTR</t>
  </si>
  <si>
    <t>RIVERBEND ACADEMY</t>
  </si>
  <si>
    <t>AURORA CHARTER SCHOOL</t>
  </si>
  <si>
    <t>EXCELL ACADEMY CHARTER</t>
  </si>
  <si>
    <t>ACADEMIA CESAR CHAVEZ CHARTER SCH.</t>
  </si>
  <si>
    <t>TWIN CITIES INTERNATIONAL ELEM SCH.</t>
  </si>
  <si>
    <t>FRIENDSHIP ACDMY OF FINE ARTS CHTR.</t>
  </si>
  <si>
    <t>SAGE ACADEMY CHARTER SCHOOL</t>
  </si>
  <si>
    <t>URBAN ACADEMY CHARTER SCHOOL</t>
  </si>
  <si>
    <t>ARTECH</t>
  </si>
  <si>
    <t>MINNESOTA INTERNSHIP CENTER</t>
  </si>
  <si>
    <t>PALADIN ACADEMY</t>
  </si>
  <si>
    <t>SOBRIETY HIGH</t>
  </si>
  <si>
    <t>AUGSBURG FAIRVIEW ACADEMY</t>
  </si>
  <si>
    <t>MINISINAAKWAANG LEADERSHIP ACADEMY</t>
  </si>
  <si>
    <t>UBAH MEDICAL ACADEMY CHARTER SCHOOL</t>
  </si>
  <si>
    <t>PRAIRIE SEEDS ACADEMY</t>
  </si>
  <si>
    <t>LIGHTHOUSE ACADEMY OF NATIONS</t>
  </si>
  <si>
    <t>KIPP MINNESOTA CHARTER SCHOOL</t>
  </si>
  <si>
    <t>ROCHESTER MATH AND SCIENCE ACADEMY</t>
  </si>
  <si>
    <t>LOVEWORKS ACADEMY FOR ARTS</t>
  </si>
  <si>
    <t>CLARKFIELD CHARTER SCHOOL</t>
  </si>
  <si>
    <t>NEW MILLENNIUM ACADEMY CHARTER SCH</t>
  </si>
  <si>
    <t>NORTHERN LIGHTS COMMUNITY SCHOOL</t>
  </si>
  <si>
    <t>DUGSI ACADEMY</t>
  </si>
  <si>
    <t>NAYTAHWAUSH COMMUNITY SCHOOL</t>
  </si>
  <si>
    <t>COLLEGE PREPARATORY ELEMENTARY</t>
  </si>
  <si>
    <t>COMMUNITY SCHOOL OF EXCELLENCE</t>
  </si>
  <si>
    <t>MINNEAPOLIS COLLEGE PREPARATORY</t>
  </si>
  <si>
    <t>ROCHESTER STEM ACADEMY</t>
  </si>
  <si>
    <t>HIAWATHA LEADERSHIP ACADEMY</t>
  </si>
  <si>
    <t>NOBLE ACADEMY</t>
  </si>
  <si>
    <t>LINCOLN INTERNATIONAL SCHOOL</t>
  </si>
  <si>
    <t>OSHKI OGIMAAG CHARTER SCHOOL</t>
  </si>
  <si>
    <t>GLOBAL ACADEMY</t>
  </si>
  <si>
    <t>STEP ACADEMY</t>
  </si>
  <si>
    <t>FUDGE, DISTRICTS</t>
  </si>
  <si>
    <t>FUDGE, CHARTERS</t>
  </si>
  <si>
    <t>FUDGE, OTHER</t>
  </si>
  <si>
    <t>PARAMETERS</t>
  </si>
  <si>
    <t>A</t>
  </si>
  <si>
    <t>B</t>
  </si>
  <si>
    <t>ED</t>
  </si>
  <si>
    <t>EE</t>
  </si>
  <si>
    <t>EF</t>
  </si>
  <si>
    <t>EG</t>
  </si>
  <si>
    <t>EH</t>
  </si>
  <si>
    <t>EI</t>
  </si>
  <si>
    <t>M</t>
  </si>
  <si>
    <t>N</t>
  </si>
  <si>
    <t>I</t>
  </si>
  <si>
    <t>O</t>
  </si>
  <si>
    <t>Approx Tax</t>
  </si>
  <si>
    <t>Exclusion is $30,400 minus 9% of value over $76,000</t>
  </si>
  <si>
    <t>Impact on</t>
  </si>
  <si>
    <t>Value</t>
  </si>
  <si>
    <t>Resid Value</t>
  </si>
  <si>
    <t>Tax Bases</t>
  </si>
  <si>
    <t xml:space="preserve">Current School Taxes </t>
  </si>
  <si>
    <t>Change:  Working Group  - Current</t>
  </si>
  <si>
    <t>Tax Rates</t>
  </si>
  <si>
    <t>Rough Approximation of Tax on $150,000 Homestead</t>
  </si>
  <si>
    <t>Net value</t>
  </si>
  <si>
    <t>Working Group</t>
  </si>
  <si>
    <t>Combined</t>
  </si>
  <si>
    <t xml:space="preserve">Percent </t>
  </si>
  <si>
    <t xml:space="preserve">NTC </t>
  </si>
  <si>
    <t>Alt Fac Aid</t>
  </si>
  <si>
    <t>ANTC</t>
  </si>
  <si>
    <t>Tax Rate</t>
  </si>
  <si>
    <t xml:space="preserve"> Tax Rate</t>
  </si>
  <si>
    <t>Levies</t>
  </si>
  <si>
    <t>Realloc</t>
  </si>
  <si>
    <t>STATE TOTAL</t>
  </si>
  <si>
    <t>MDE / School Finance Division</t>
  </si>
  <si>
    <t>Note:  Corrections made since November 11 Run</t>
  </si>
  <si>
    <t>Revised</t>
  </si>
  <si>
    <t>DH</t>
  </si>
  <si>
    <t>DP</t>
  </si>
  <si>
    <t>DR</t>
  </si>
  <si>
    <t>DV</t>
  </si>
  <si>
    <t>DT</t>
  </si>
  <si>
    <t>DX</t>
  </si>
  <si>
    <t>REPORT # 5:  FACILITIES DEFERRED MAINTENANCE AND HEALTH &amp; SAFETY ANALYSIS</t>
  </si>
  <si>
    <t>ALTERNATIVE FORMULA FUNDED AT $34 MILLION</t>
  </si>
  <si>
    <t>WORKING GROUP RECOMMENDATION</t>
  </si>
  <si>
    <t>5 Year Avg</t>
  </si>
  <si>
    <t>5 Yr Avg</t>
  </si>
  <si>
    <t>H&amp;S +</t>
  </si>
  <si>
    <t>Def Maint +</t>
  </si>
  <si>
    <t>Alt Fac Rev</t>
  </si>
  <si>
    <t>Corrected Data as of 12 / 06/2012</t>
  </si>
  <si>
    <t>or 90%</t>
  </si>
  <si>
    <t>C</t>
  </si>
  <si>
    <t>D</t>
  </si>
  <si>
    <t>E</t>
  </si>
  <si>
    <t>F</t>
  </si>
  <si>
    <t>G</t>
  </si>
  <si>
    <t>H</t>
  </si>
  <si>
    <t>J</t>
  </si>
  <si>
    <t>K</t>
  </si>
  <si>
    <t>L</t>
  </si>
  <si>
    <t>P</t>
  </si>
  <si>
    <t>Q</t>
  </si>
  <si>
    <t>R</t>
  </si>
  <si>
    <t>Lease Aid formula @ $1,314/new PU</t>
  </si>
  <si>
    <t>Current</t>
  </si>
  <si>
    <t>Pupil</t>
  </si>
  <si>
    <t>In</t>
  </si>
  <si>
    <t>Per</t>
  </si>
  <si>
    <t>Pre-K</t>
  </si>
  <si>
    <t>H-K</t>
  </si>
  <si>
    <t>Reg-K</t>
  </si>
  <si>
    <t>1-3</t>
  </si>
  <si>
    <t>4-6</t>
  </si>
  <si>
    <t>7-12</t>
  </si>
  <si>
    <t>Amout</t>
  </si>
  <si>
    <t>Units</t>
  </si>
  <si>
    <t>CEDAR RIVERSIDE COMMUNITY SCHO</t>
  </si>
  <si>
    <t>METRO DEAF CHARTER SCHOOL</t>
  </si>
  <si>
    <t>MINNESOTA TRANSITIONS CHARTER</t>
  </si>
  <si>
    <t>NEW SPIRIT SCHOOLS</t>
  </si>
  <si>
    <t>ODYSSEY CHARTER SCHOOL</t>
  </si>
  <si>
    <t>JENNINGS EXPERIENTIAL HIGH SCH</t>
  </si>
  <si>
    <t>HARVEST PREP SCHOOL/SEED ACADE</t>
  </si>
  <si>
    <t>CONCORDIA CREATIVE LEARNING AC</t>
  </si>
  <si>
    <t>MATH &amp; SCIENCE ACADEMY</t>
  </si>
  <si>
    <t>COON RAPIDS LEARNING CENTER</t>
  </si>
  <si>
    <t>LAFAYETTE PUBLIC CHARTER SCHOO</t>
  </si>
  <si>
    <t>ROCHESTER OFF-CAMPUS CHARTER H</t>
  </si>
  <si>
    <t>SCHOOLCRAFT LEARNING COMMUNITY</t>
  </si>
  <si>
    <t>CROSSLAKE COMMUNITY CHARTER SC</t>
  </si>
  <si>
    <t>RIVERWAY LEARNING COMMUNITY CH</t>
  </si>
  <si>
    <t>ACADEMIA CESAR CHAVEZ CHARTER</t>
  </si>
  <si>
    <t>AGRICULTURAL FOOD SCIENCE ACAD</t>
  </si>
  <si>
    <t>TWIN CITIES INTERNATIONAL ELEM</t>
  </si>
  <si>
    <t>MN INTERNATIONAL MIDDLE CHARTE</t>
  </si>
  <si>
    <t>FRIENDSHIP ACDMY OF FINE ARTS</t>
  </si>
  <si>
    <t>COVENANT ACADEMY OF MN. CHTR.</t>
  </si>
  <si>
    <t>HARBOR CITY INTERNATIONAL CHAR</t>
  </si>
  <si>
    <t>WOODSON INSTITUTE FOR EXCELLEN</t>
  </si>
  <si>
    <t>TRIO WOLF CREEK DISTANCE LEARN</t>
  </si>
  <si>
    <t>HMONG ACADEMY</t>
  </si>
  <si>
    <t>LIBERTY HIGH SCHOOL</t>
  </si>
  <si>
    <t>MAIN STREET SCHOOL PERFORMING</t>
  </si>
  <si>
    <t>AUGSBURG ACADEMY FOR HEALTH CA</t>
  </si>
  <si>
    <t>ST PAUL CONSERVATORY PERFORMIN</t>
  </si>
  <si>
    <t>MINNEAPOLIS ACADEMY CHARTER SC</t>
  </si>
  <si>
    <t>LAKES INTERNATIONAL LANGUAGE A</t>
  </si>
  <si>
    <t>RIVER HEIGHTS CHARTER SCHOOL</t>
  </si>
  <si>
    <t>UBAH MEDICAL ACADEMY CHARTER S</t>
  </si>
  <si>
    <t>EAGLE RIDGE ACADEMY CHARTER SC</t>
  </si>
  <si>
    <t>DAKOTA AREA COMMUNITY CHARTER</t>
  </si>
  <si>
    <t>ADAM ABDULLE ACADEMY</t>
  </si>
  <si>
    <t>SWAN RIVER MONTESSORI CHARTER</t>
  </si>
  <si>
    <t>NEW MILLENNIUM ACADEMY CHARTER</t>
  </si>
  <si>
    <t>NORTHERN LIGHTS COMMUNITY SCHO</t>
  </si>
  <si>
    <t>TWIN CITIES GERMAN IMMERSION C</t>
  </si>
  <si>
    <t>NAYTAUWAUSH COMMUNITY SCHOOL</t>
  </si>
  <si>
    <t xml:space="preserve">LAURA JEFFREY ACADEMY CHARTER </t>
  </si>
  <si>
    <t>EAST RANGE ACADEMY OF TECH &amp;SCIENCE</t>
  </si>
  <si>
    <t>ELLIOT PARK COMMUNITY SCHOOL</t>
  </si>
  <si>
    <t>DUNWOODY ACADEMY</t>
  </si>
  <si>
    <t xml:space="preserve">QUEST ACADEMY </t>
  </si>
  <si>
    <t xml:space="preserve">LIONSGATE ACADEMY </t>
  </si>
  <si>
    <t xml:space="preserve">ASPEN ACADEMY </t>
  </si>
  <si>
    <t xml:space="preserve">DAVINCI ACADEMY </t>
  </si>
  <si>
    <t xml:space="preserve">GLOBAL ACADEMY </t>
  </si>
  <si>
    <t xml:space="preserve">MICHAEL FROME ACADEMY </t>
  </si>
  <si>
    <t xml:space="preserve">COLOGNE ACADEMY </t>
  </si>
  <si>
    <t xml:space="preserve">BRIGHT WATER ELEMENTARY </t>
  </si>
  <si>
    <t>RIVERS EDGE ACADEMY</t>
  </si>
  <si>
    <t xml:space="preserve">KIPP MINNESOTA CHARTER SCHOOL </t>
  </si>
  <si>
    <t xml:space="preserve">BEST ACADEMY </t>
  </si>
  <si>
    <t>COLLEGE PREP ELEMENTARY</t>
  </si>
  <si>
    <t>OSHKI OGIMAAG</t>
  </si>
  <si>
    <t>PARNASSUS</t>
  </si>
  <si>
    <t>CORNERSTONE</t>
  </si>
  <si>
    <t>= H *</t>
  </si>
  <si>
    <t>= I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</si>
</sst>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_);[Red]\(&quot;$&quot;#,##0\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00"/>
    <numFmt numFmtId="167" formatCode="#,##0.0000"/>
    <numFmt numFmtId="168" formatCode="0.0000"/>
    <numFmt numFmtId="169" formatCode="0.0000%"/>
    <numFmt numFmtId="170" formatCode="0.000%"/>
    <numFmt numFmtId="171" formatCode="#,##0.000"/>
    <numFmt numFmtId="172" formatCode="0.00_)"/>
    <numFmt numFmtId="173" formatCode="mm/dd/yy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</cellStyleXfs>
  <cellXfs count="33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0" fontId="0" fillId="0" borderId="8" xfId="0" applyBorder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165" fontId="0" fillId="0" borderId="0" xfId="1" applyNumberFormat="1" applyFont="1" applyFill="1"/>
    <xf numFmtId="3" fontId="0" fillId="0" borderId="0" xfId="0" applyNumberFormat="1" applyFill="1" applyBorder="1"/>
    <xf numFmtId="164" fontId="0" fillId="0" borderId="0" xfId="0" applyNumberFormat="1" applyFill="1"/>
    <xf numFmtId="0" fontId="0" fillId="0" borderId="9" xfId="0" applyFill="1" applyBorder="1"/>
    <xf numFmtId="3" fontId="0" fillId="0" borderId="9" xfId="0" applyNumberFormat="1" applyFill="1" applyBorder="1"/>
    <xf numFmtId="164" fontId="0" fillId="0" borderId="9" xfId="0" applyNumberFormat="1" applyFill="1" applyBorder="1"/>
    <xf numFmtId="0" fontId="2" fillId="0" borderId="0" xfId="0" applyFont="1" applyFill="1"/>
    <xf numFmtId="43" fontId="0" fillId="0" borderId="0" xfId="1" applyFont="1" applyFill="1"/>
    <xf numFmtId="0" fontId="0" fillId="0" borderId="9" xfId="0" applyBorder="1"/>
    <xf numFmtId="3" fontId="0" fillId="0" borderId="9" xfId="0" applyNumberFormat="1" applyBorder="1"/>
    <xf numFmtId="164" fontId="0" fillId="0" borderId="9" xfId="0" applyNumberFormat="1" applyBorder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3" fontId="4" fillId="0" borderId="0" xfId="0" applyNumberFormat="1" applyFont="1"/>
    <xf numFmtId="3" fontId="0" fillId="0" borderId="0" xfId="0" applyNumberFormat="1" applyBorder="1"/>
    <xf numFmtId="3" fontId="0" fillId="0" borderId="10" xfId="0" applyNumberFormat="1" applyBorder="1" applyAlignment="1">
      <alignment horizontal="right"/>
    </xf>
    <xf numFmtId="164" fontId="0" fillId="0" borderId="0" xfId="2" applyNumberFormat="1" applyFont="1"/>
    <xf numFmtId="0" fontId="0" fillId="0" borderId="11" xfId="0" applyBorder="1"/>
    <xf numFmtId="3" fontId="0" fillId="0" borderId="12" xfId="0" applyNumberFormat="1" applyBorder="1" applyAlignment="1">
      <alignment horizontal="right"/>
    </xf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4" fontId="0" fillId="0" borderId="0" xfId="2" applyNumberFormat="1" applyFont="1" applyFill="1" applyBorder="1" applyAlignment="1">
      <alignment horizontal="right"/>
    </xf>
    <xf numFmtId="3" fontId="0" fillId="0" borderId="5" xfId="0" applyNumberFormat="1" applyBorder="1"/>
    <xf numFmtId="3" fontId="0" fillId="0" borderId="8" xfId="0" applyNumberFormat="1" applyBorder="1"/>
    <xf numFmtId="3" fontId="0" fillId="0" borderId="13" xfId="0" applyNumberFormat="1" applyBorder="1" applyAlignment="1">
      <alignment horizontal="right"/>
    </xf>
    <xf numFmtId="3" fontId="0" fillId="0" borderId="12" xfId="0" applyNumberFormat="1" applyBorder="1" applyAlignment="1">
      <alignment horizontal="right" wrapText="1"/>
    </xf>
    <xf numFmtId="165" fontId="0" fillId="0" borderId="14" xfId="1" applyNumberFormat="1" applyFont="1" applyBorder="1"/>
    <xf numFmtId="3" fontId="0" fillId="0" borderId="3" xfId="0" applyNumberFormat="1" applyBorder="1"/>
    <xf numFmtId="165" fontId="0" fillId="0" borderId="15" xfId="1" applyNumberFormat="1" applyFont="1" applyBorder="1"/>
    <xf numFmtId="0" fontId="2" fillId="0" borderId="4" xfId="0" applyFont="1" applyBorder="1"/>
    <xf numFmtId="0" fontId="0" fillId="0" borderId="5" xfId="0" applyBorder="1"/>
    <xf numFmtId="0" fontId="4" fillId="0" borderId="4" xfId="0" applyFont="1" applyBorder="1"/>
    <xf numFmtId="165" fontId="2" fillId="2" borderId="15" xfId="1" applyNumberFormat="1" applyFont="1" applyFill="1" applyBorder="1"/>
    <xf numFmtId="165" fontId="0" fillId="2" borderId="15" xfId="1" applyNumberFormat="1" applyFont="1" applyFill="1" applyBorder="1"/>
    <xf numFmtId="0" fontId="0" fillId="2" borderId="5" xfId="0" applyFill="1" applyBorder="1"/>
    <xf numFmtId="165" fontId="1" fillId="2" borderId="15" xfId="1" applyNumberFormat="1" applyFont="1" applyFill="1" applyBorder="1"/>
    <xf numFmtId="165" fontId="0" fillId="0" borderId="15" xfId="1" applyNumberFormat="1" applyFont="1" applyBorder="1" applyAlignment="1">
      <alignment horizontal="right"/>
    </xf>
    <xf numFmtId="0" fontId="0" fillId="0" borderId="4" xfId="0" applyFill="1" applyBorder="1"/>
    <xf numFmtId="165" fontId="0" fillId="0" borderId="15" xfId="1" applyNumberFormat="1" applyFont="1" applyFill="1" applyBorder="1"/>
    <xf numFmtId="0" fontId="0" fillId="3" borderId="4" xfId="0" applyFill="1" applyBorder="1"/>
    <xf numFmtId="165" fontId="0" fillId="3" borderId="15" xfId="1" applyNumberFormat="1" applyFont="1" applyFill="1" applyBorder="1"/>
    <xf numFmtId="165" fontId="0" fillId="0" borderId="15" xfId="1" applyNumberFormat="1" applyFont="1" applyFill="1" applyBorder="1" applyAlignment="1">
      <alignment horizontal="right"/>
    </xf>
    <xf numFmtId="0" fontId="0" fillId="4" borderId="4" xfId="0" applyFill="1" applyBorder="1"/>
    <xf numFmtId="165" fontId="0" fillId="4" borderId="15" xfId="1" applyNumberFormat="1" applyFont="1" applyFill="1" applyBorder="1" applyAlignment="1">
      <alignment horizontal="right"/>
    </xf>
    <xf numFmtId="165" fontId="0" fillId="5" borderId="15" xfId="1" applyNumberFormat="1" applyFont="1" applyFill="1" applyBorder="1"/>
    <xf numFmtId="165" fontId="0" fillId="3" borderId="15" xfId="1" applyNumberFormat="1" applyFont="1" applyFill="1" applyBorder="1" applyAlignment="1">
      <alignment horizontal="right"/>
    </xf>
    <xf numFmtId="0" fontId="0" fillId="6" borderId="4" xfId="0" applyFill="1" applyBorder="1"/>
    <xf numFmtId="165" fontId="0" fillId="6" borderId="15" xfId="1" applyNumberFormat="1" applyFont="1" applyFill="1" applyBorder="1" applyAlignment="1">
      <alignment horizontal="right"/>
    </xf>
    <xf numFmtId="165" fontId="0" fillId="6" borderId="15" xfId="1" applyNumberFormat="1" applyFont="1" applyFill="1" applyBorder="1"/>
    <xf numFmtId="0" fontId="0" fillId="7" borderId="4" xfId="0" applyFill="1" applyBorder="1"/>
    <xf numFmtId="165" fontId="0" fillId="7" borderId="15" xfId="1" applyNumberFormat="1" applyFont="1" applyFill="1" applyBorder="1" applyAlignment="1">
      <alignment horizontal="right"/>
    </xf>
    <xf numFmtId="165" fontId="0" fillId="8" borderId="15" xfId="1" applyNumberFormat="1" applyFont="1" applyFill="1" applyBorder="1"/>
    <xf numFmtId="0" fontId="0" fillId="7" borderId="0" xfId="0" applyFill="1"/>
    <xf numFmtId="0" fontId="4" fillId="7" borderId="4" xfId="0" applyFont="1" applyFill="1" applyBorder="1"/>
    <xf numFmtId="0" fontId="0" fillId="6" borderId="0" xfId="0" applyFill="1"/>
    <xf numFmtId="0" fontId="4" fillId="6" borderId="4" xfId="0" applyFont="1" applyFill="1" applyBorder="1"/>
    <xf numFmtId="0" fontId="4" fillId="0" borderId="4" xfId="0" applyFont="1" applyFill="1" applyBorder="1"/>
    <xf numFmtId="0" fontId="0" fillId="0" borderId="4" xfId="0" quotePrefix="1" applyBorder="1"/>
    <xf numFmtId="165" fontId="0" fillId="0" borderId="5" xfId="0" applyNumberFormat="1" applyBorder="1"/>
    <xf numFmtId="165" fontId="0" fillId="0" borderId="16" xfId="1" applyNumberFormat="1" applyFont="1" applyBorder="1"/>
    <xf numFmtId="165" fontId="0" fillId="0" borderId="8" xfId="0" applyNumberFormat="1" applyBorder="1"/>
    <xf numFmtId="0" fontId="5" fillId="0" borderId="14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15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6" xfId="0" applyFont="1" applyBorder="1"/>
    <xf numFmtId="0" fontId="5" fillId="0" borderId="6" xfId="0" applyFont="1" applyBorder="1"/>
    <xf numFmtId="0" fontId="5" fillId="0" borderId="8" xfId="0" applyFont="1" applyBorder="1"/>
    <xf numFmtId="0" fontId="0" fillId="3" borderId="0" xfId="0" applyFill="1"/>
    <xf numFmtId="3" fontId="0" fillId="3" borderId="0" xfId="0" applyNumberFormat="1" applyFill="1"/>
    <xf numFmtId="10" fontId="0" fillId="3" borderId="0" xfId="0" applyNumberFormat="1" applyFill="1"/>
    <xf numFmtId="165" fontId="0" fillId="3" borderId="0" xfId="1" applyNumberFormat="1" applyFont="1" applyFill="1"/>
    <xf numFmtId="43" fontId="0" fillId="0" borderId="0" xfId="1" applyFont="1"/>
    <xf numFmtId="16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166" fontId="0" fillId="0" borderId="0" xfId="0" applyNumberFormat="1" applyFill="1"/>
    <xf numFmtId="4" fontId="0" fillId="3" borderId="0" xfId="0" applyNumberFormat="1" applyFill="1"/>
    <xf numFmtId="0" fontId="0" fillId="0" borderId="0" xfId="0" applyFill="1" applyAlignment="1">
      <alignment horizontal="right"/>
    </xf>
    <xf numFmtId="4" fontId="0" fillId="0" borderId="0" xfId="0" applyNumberFormat="1" applyFill="1"/>
    <xf numFmtId="167" fontId="0" fillId="0" borderId="0" xfId="0" applyNumberFormat="1" applyFill="1"/>
    <xf numFmtId="2" fontId="0" fillId="0" borderId="0" xfId="0" applyNumberFormat="1" applyFill="1"/>
    <xf numFmtId="168" fontId="0" fillId="0" borderId="0" xfId="0" applyNumberFormat="1" applyFill="1"/>
    <xf numFmtId="4" fontId="0" fillId="0" borderId="0" xfId="0" applyNumberFormat="1" applyFill="1" applyAlignment="1">
      <alignment horizontal="right"/>
    </xf>
    <xf numFmtId="0" fontId="0" fillId="4" borderId="0" xfId="0" applyFill="1"/>
    <xf numFmtId="4" fontId="0" fillId="4" borderId="0" xfId="0" applyNumberFormat="1" applyFill="1" applyAlignment="1">
      <alignment horizontal="right"/>
    </xf>
    <xf numFmtId="167" fontId="0" fillId="5" borderId="0" xfId="0" applyNumberFormat="1" applyFill="1"/>
    <xf numFmtId="4" fontId="0" fillId="5" borderId="0" xfId="0" applyNumberFormat="1" applyFill="1"/>
    <xf numFmtId="4" fontId="0" fillId="3" borderId="0" xfId="0" applyNumberFormat="1" applyFill="1" applyAlignment="1">
      <alignment horizontal="right"/>
    </xf>
    <xf numFmtId="4" fontId="0" fillId="6" borderId="0" xfId="0" applyNumberFormat="1" applyFill="1" applyAlignment="1">
      <alignment horizontal="right"/>
    </xf>
    <xf numFmtId="4" fontId="0" fillId="6" borderId="0" xfId="0" applyNumberFormat="1" applyFill="1"/>
    <xf numFmtId="167" fontId="0" fillId="6" borderId="0" xfId="0" applyNumberFormat="1" applyFill="1"/>
    <xf numFmtId="4" fontId="0" fillId="7" borderId="0" xfId="0" applyNumberFormat="1" applyFill="1" applyAlignment="1">
      <alignment horizontal="right"/>
    </xf>
    <xf numFmtId="3" fontId="0" fillId="8" borderId="0" xfId="0" applyNumberFormat="1" applyFill="1"/>
    <xf numFmtId="4" fontId="0" fillId="8" borderId="0" xfId="0" applyNumberFormat="1" applyFill="1"/>
    <xf numFmtId="164" fontId="0" fillId="8" borderId="0" xfId="0" applyNumberFormat="1" applyFill="1"/>
    <xf numFmtId="0" fontId="4" fillId="7" borderId="0" xfId="0" applyFont="1" applyFill="1"/>
    <xf numFmtId="169" fontId="0" fillId="8" borderId="0" xfId="0" applyNumberFormat="1" applyFill="1"/>
    <xf numFmtId="0" fontId="4" fillId="6" borderId="0" xfId="0" applyFont="1" applyFill="1"/>
    <xf numFmtId="0" fontId="4" fillId="0" borderId="0" xfId="0" applyFont="1" applyFill="1"/>
    <xf numFmtId="4" fontId="0" fillId="0" borderId="0" xfId="0" applyNumberFormat="1"/>
    <xf numFmtId="0" fontId="0" fillId="0" borderId="0" xfId="0" quotePrefix="1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Fill="1"/>
    <xf numFmtId="3" fontId="8" fillId="0" borderId="0" xfId="0" applyNumberFormat="1" applyFont="1"/>
    <xf numFmtId="0" fontId="8" fillId="0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right"/>
    </xf>
    <xf numFmtId="0" fontId="8" fillId="0" borderId="0" xfId="0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2" xfId="0" quotePrefix="1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16" xfId="0" applyFont="1" applyFill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7" xfId="0" quotePrefix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8" fillId="0" borderId="0" xfId="0" applyFont="1" applyFill="1" applyBorder="1"/>
    <xf numFmtId="3" fontId="8" fillId="0" borderId="0" xfId="0" applyNumberFormat="1" applyFont="1" applyFill="1" applyBorder="1"/>
    <xf numFmtId="3" fontId="8" fillId="0" borderId="0" xfId="0" applyNumberFormat="1" applyFont="1" applyFill="1"/>
    <xf numFmtId="0" fontId="8" fillId="0" borderId="9" xfId="0" applyFont="1" applyFill="1" applyBorder="1"/>
    <xf numFmtId="0" fontId="8" fillId="0" borderId="9" xfId="0" applyFont="1" applyBorder="1"/>
    <xf numFmtId="3" fontId="8" fillId="0" borderId="9" xfId="0" applyNumberFormat="1" applyFont="1" applyFill="1" applyBorder="1"/>
    <xf numFmtId="3" fontId="8" fillId="0" borderId="9" xfId="0" applyNumberFormat="1" applyFont="1" applyBorder="1"/>
    <xf numFmtId="1" fontId="8" fillId="0" borderId="0" xfId="0" applyNumberFormat="1" applyFont="1" applyFill="1" applyProtection="1"/>
    <xf numFmtId="0" fontId="8" fillId="0" borderId="0" xfId="0" applyFont="1" applyFill="1" applyAlignment="1" applyProtection="1">
      <alignment horizontal="left"/>
    </xf>
    <xf numFmtId="0" fontId="8" fillId="0" borderId="0" xfId="0" applyFont="1" applyFill="1" applyAlignment="1" applyProtection="1">
      <alignment horizontal="right"/>
    </xf>
    <xf numFmtId="3" fontId="8" fillId="0" borderId="0" xfId="0" applyNumberFormat="1" applyFont="1" applyFill="1" applyAlignment="1" applyProtection="1">
      <alignment horizontal="right"/>
    </xf>
    <xf numFmtId="1" fontId="8" fillId="0" borderId="0" xfId="0" applyNumberFormat="1" applyFont="1"/>
    <xf numFmtId="1" fontId="8" fillId="0" borderId="0" xfId="0" applyNumberFormat="1" applyFont="1" applyProtection="1"/>
    <xf numFmtId="0" fontId="8" fillId="0" borderId="0" xfId="0" applyFont="1" applyAlignment="1" applyProtection="1">
      <alignment horizontal="left"/>
    </xf>
    <xf numFmtId="0" fontId="8" fillId="0" borderId="0" xfId="0" applyFont="1" applyAlignment="1" applyProtection="1">
      <alignment horizontal="right"/>
    </xf>
    <xf numFmtId="1" fontId="8" fillId="0" borderId="0" xfId="0" applyNumberFormat="1" applyFont="1" applyFill="1" applyBorder="1" applyProtection="1"/>
    <xf numFmtId="1" fontId="8" fillId="0" borderId="0" xfId="0" applyNumberFormat="1" applyFont="1" applyFill="1" applyBorder="1" applyAlignment="1" applyProtection="1">
      <alignment horizontal="right"/>
    </xf>
    <xf numFmtId="0" fontId="10" fillId="0" borderId="0" xfId="0" applyFont="1"/>
    <xf numFmtId="0" fontId="10" fillId="0" borderId="5" xfId="0" applyFont="1" applyBorder="1"/>
    <xf numFmtId="0" fontId="10" fillId="0" borderId="0" xfId="0" applyFont="1" applyFill="1"/>
    <xf numFmtId="0" fontId="10" fillId="0" borderId="5" xfId="0" applyFont="1" applyFill="1" applyBorder="1"/>
    <xf numFmtId="3" fontId="10" fillId="0" borderId="5" xfId="0" applyNumberFormat="1" applyFont="1" applyFill="1" applyBorder="1"/>
    <xf numFmtId="3" fontId="10" fillId="0" borderId="5" xfId="0" applyNumberFormat="1" applyFont="1" applyBorder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0" xfId="0" applyFont="1" applyFill="1" applyAlignment="1">
      <alignment horizontal="right"/>
    </xf>
    <xf numFmtId="0" fontId="10" fillId="0" borderId="5" xfId="0" applyFont="1" applyFill="1" applyBorder="1" applyAlignment="1">
      <alignment horizontal="right"/>
    </xf>
    <xf numFmtId="0" fontId="11" fillId="0" borderId="0" xfId="0" applyFont="1"/>
    <xf numFmtId="14" fontId="10" fillId="0" borderId="1" xfId="0" applyNumberFormat="1" applyFont="1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0" fontId="10" fillId="0" borderId="3" xfId="0" applyFont="1" applyBorder="1"/>
    <xf numFmtId="0" fontId="10" fillId="0" borderId="2" xfId="0" applyFont="1" applyBorder="1"/>
    <xf numFmtId="0" fontId="10" fillId="0" borderId="2" xfId="0" applyFont="1" applyFill="1" applyBorder="1"/>
    <xf numFmtId="0" fontId="10" fillId="0" borderId="3" xfId="0" applyFont="1" applyFill="1" applyBorder="1"/>
    <xf numFmtId="0" fontId="10" fillId="0" borderId="2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left"/>
    </xf>
    <xf numFmtId="0" fontId="10" fillId="0" borderId="0" xfId="0" applyFont="1" applyBorder="1"/>
    <xf numFmtId="43" fontId="10" fillId="9" borderId="0" xfId="0" quotePrefix="1" applyNumberFormat="1" applyFont="1" applyFill="1" applyBorder="1" applyAlignment="1">
      <alignment horizontal="right"/>
    </xf>
    <xf numFmtId="0" fontId="10" fillId="0" borderId="0" xfId="0" quotePrefix="1" applyFont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9" fontId="0" fillId="0" borderId="0" xfId="0" applyNumberFormat="1"/>
    <xf numFmtId="0" fontId="13" fillId="0" borderId="11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2" fillId="0" borderId="11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165" fontId="12" fillId="0" borderId="11" xfId="0" applyNumberFormat="1" applyFont="1" applyFill="1" applyBorder="1" applyAlignment="1">
      <alignment horizontal="center"/>
    </xf>
    <xf numFmtId="165" fontId="12" fillId="0" borderId="10" xfId="0" applyNumberFormat="1" applyFont="1" applyFill="1" applyBorder="1" applyAlignment="1">
      <alignment horizontal="center"/>
    </xf>
    <xf numFmtId="165" fontId="12" fillId="0" borderId="12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right"/>
    </xf>
    <xf numFmtId="0" fontId="12" fillId="0" borderId="3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2" fillId="0" borderId="5" xfId="0" applyFont="1" applyFill="1" applyBorder="1" applyAlignment="1">
      <alignment horizontal="right"/>
    </xf>
    <xf numFmtId="0" fontId="10" fillId="0" borderId="10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4" fontId="10" fillId="0" borderId="0" xfId="0" applyNumberFormat="1" applyFont="1" applyBorder="1" applyAlignment="1">
      <alignment horizontal="right"/>
    </xf>
    <xf numFmtId="0" fontId="10" fillId="0" borderId="4" xfId="0" applyFont="1" applyFill="1" applyBorder="1" applyAlignment="1">
      <alignment horizontal="right"/>
    </xf>
    <xf numFmtId="0" fontId="12" fillId="0" borderId="4" xfId="0" applyFont="1" applyFill="1" applyBorder="1" applyAlignment="1">
      <alignment horizontal="right"/>
    </xf>
    <xf numFmtId="0" fontId="12" fillId="0" borderId="2" xfId="0" applyFont="1" applyFill="1" applyBorder="1" applyAlignment="1">
      <alignment horizontal="right"/>
    </xf>
    <xf numFmtId="0" fontId="10" fillId="0" borderId="6" xfId="0" applyFont="1" applyFill="1" applyBorder="1" applyAlignment="1">
      <alignment horizontal="right"/>
    </xf>
    <xf numFmtId="0" fontId="10" fillId="0" borderId="7" xfId="0" applyFont="1" applyFill="1" applyBorder="1" applyAlignment="1">
      <alignment horizontal="right"/>
    </xf>
    <xf numFmtId="0" fontId="10" fillId="0" borderId="8" xfId="0" applyFont="1" applyFill="1" applyBorder="1" applyAlignment="1">
      <alignment horizontal="right"/>
    </xf>
    <xf numFmtId="0" fontId="12" fillId="0" borderId="6" xfId="0" applyFont="1" applyFill="1" applyBorder="1" applyAlignment="1">
      <alignment horizontal="right"/>
    </xf>
    <xf numFmtId="0" fontId="12" fillId="0" borderId="8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0" fillId="0" borderId="16" xfId="0" applyFont="1" applyBorder="1" applyAlignment="1">
      <alignment horizontal="right"/>
    </xf>
    <xf numFmtId="0" fontId="12" fillId="0" borderId="7" xfId="0" applyFont="1" applyFill="1" applyBorder="1" applyAlignment="1">
      <alignment horizontal="right"/>
    </xf>
    <xf numFmtId="4" fontId="10" fillId="0" borderId="7" xfId="0" applyNumberFormat="1" applyFont="1" applyBorder="1" applyAlignment="1">
      <alignment horizontal="right"/>
    </xf>
    <xf numFmtId="0" fontId="12" fillId="0" borderId="0" xfId="0" applyFont="1" applyFill="1" applyAlignment="1">
      <alignment horizontal="right"/>
    </xf>
    <xf numFmtId="0" fontId="10" fillId="0" borderId="0" xfId="0" applyFont="1" applyFill="1" applyBorder="1"/>
    <xf numFmtId="3" fontId="10" fillId="0" borderId="0" xfId="0" applyNumberFormat="1" applyFont="1" applyFill="1"/>
    <xf numFmtId="3" fontId="10" fillId="0" borderId="0" xfId="0" applyNumberFormat="1" applyFont="1"/>
    <xf numFmtId="3" fontId="10" fillId="0" borderId="0" xfId="0" applyNumberFormat="1" applyFont="1" applyBorder="1"/>
    <xf numFmtId="164" fontId="10" fillId="0" borderId="5" xfId="2" applyNumberFormat="1" applyFont="1" applyBorder="1"/>
    <xf numFmtId="164" fontId="12" fillId="0" borderId="0" xfId="2" applyNumberFormat="1" applyFont="1" applyFill="1" applyBorder="1"/>
    <xf numFmtId="170" fontId="12" fillId="0" borderId="5" xfId="2" applyNumberFormat="1" applyFont="1" applyFill="1" applyBorder="1"/>
    <xf numFmtId="164" fontId="12" fillId="0" borderId="4" xfId="2" applyNumberFormat="1" applyFont="1" applyFill="1" applyBorder="1"/>
    <xf numFmtId="10" fontId="10" fillId="0" borderId="0" xfId="0" applyNumberFormat="1" applyFont="1" applyFill="1" applyBorder="1"/>
    <xf numFmtId="170" fontId="10" fillId="0" borderId="5" xfId="0" applyNumberFormat="1" applyFont="1" applyFill="1" applyBorder="1"/>
    <xf numFmtId="165" fontId="12" fillId="0" borderId="4" xfId="1" applyNumberFormat="1" applyFont="1" applyFill="1" applyBorder="1"/>
    <xf numFmtId="165" fontId="12" fillId="0" borderId="0" xfId="1" applyNumberFormat="1" applyFont="1" applyFill="1" applyBorder="1"/>
    <xf numFmtId="165" fontId="12" fillId="0" borderId="5" xfId="1" applyNumberFormat="1" applyFont="1" applyFill="1" applyBorder="1"/>
    <xf numFmtId="165" fontId="12" fillId="0" borderId="0" xfId="1" applyNumberFormat="1" applyFont="1" applyFill="1"/>
    <xf numFmtId="165" fontId="10" fillId="0" borderId="0" xfId="1" applyNumberFormat="1" applyFont="1" applyFill="1"/>
    <xf numFmtId="165" fontId="10" fillId="0" borderId="5" xfId="1" applyNumberFormat="1" applyFont="1" applyFill="1" applyBorder="1"/>
    <xf numFmtId="43" fontId="10" fillId="0" borderId="0" xfId="1" applyFont="1"/>
    <xf numFmtId="0" fontId="10" fillId="0" borderId="9" xfId="0" applyFont="1" applyFill="1" applyBorder="1"/>
    <xf numFmtId="0" fontId="10" fillId="0" borderId="17" xfId="0" applyFont="1" applyBorder="1"/>
    <xf numFmtId="3" fontId="10" fillId="0" borderId="9" xfId="0" applyNumberFormat="1" applyFont="1" applyFill="1" applyBorder="1"/>
    <xf numFmtId="3" fontId="10" fillId="0" borderId="17" xfId="0" applyNumberFormat="1" applyFont="1" applyFill="1" applyBorder="1"/>
    <xf numFmtId="3" fontId="10" fillId="0" borderId="9" xfId="0" applyNumberFormat="1" applyFont="1" applyBorder="1"/>
    <xf numFmtId="3" fontId="10" fillId="0" borderId="17" xfId="0" applyNumberFormat="1" applyFont="1" applyBorder="1"/>
    <xf numFmtId="164" fontId="10" fillId="0" borderId="18" xfId="2" applyNumberFormat="1" applyFont="1" applyBorder="1"/>
    <xf numFmtId="164" fontId="12" fillId="0" borderId="9" xfId="2" applyNumberFormat="1" applyFont="1" applyFill="1" applyBorder="1"/>
    <xf numFmtId="170" fontId="12" fillId="0" borderId="17" xfId="2" applyNumberFormat="1" applyFont="1" applyFill="1" applyBorder="1"/>
    <xf numFmtId="164" fontId="12" fillId="0" borderId="19" xfId="2" applyNumberFormat="1" applyFont="1" applyFill="1" applyBorder="1"/>
    <xf numFmtId="10" fontId="10" fillId="0" borderId="9" xfId="0" applyNumberFormat="1" applyFont="1" applyFill="1" applyBorder="1"/>
    <xf numFmtId="170" fontId="10" fillId="0" borderId="17" xfId="0" applyNumberFormat="1" applyFont="1" applyFill="1" applyBorder="1"/>
    <xf numFmtId="165" fontId="12" fillId="0" borderId="19" xfId="1" applyNumberFormat="1" applyFont="1" applyFill="1" applyBorder="1"/>
    <xf numFmtId="165" fontId="12" fillId="0" borderId="9" xfId="1" applyNumberFormat="1" applyFont="1" applyFill="1" applyBorder="1"/>
    <xf numFmtId="165" fontId="12" fillId="0" borderId="17" xfId="1" applyNumberFormat="1" applyFont="1" applyFill="1" applyBorder="1"/>
    <xf numFmtId="165" fontId="10" fillId="0" borderId="9" xfId="1" applyNumberFormat="1" applyFont="1" applyFill="1" applyBorder="1"/>
    <xf numFmtId="165" fontId="10" fillId="0" borderId="17" xfId="1" applyNumberFormat="1" applyFont="1" applyFill="1" applyBorder="1"/>
    <xf numFmtId="0" fontId="10" fillId="0" borderId="9" xfId="0" applyFont="1" applyBorder="1"/>
    <xf numFmtId="170" fontId="10" fillId="0" borderId="0" xfId="0" applyNumberFormat="1" applyFont="1" applyFill="1"/>
    <xf numFmtId="1" fontId="10" fillId="0" borderId="0" xfId="0" applyNumberFormat="1" applyFont="1" applyFill="1" applyProtection="1"/>
    <xf numFmtId="0" fontId="10" fillId="0" borderId="5" xfId="0" applyFont="1" applyFill="1" applyBorder="1" applyAlignment="1" applyProtection="1">
      <alignment horizontal="left"/>
    </xf>
    <xf numFmtId="0" fontId="10" fillId="0" borderId="0" xfId="0" applyFont="1" applyFill="1" applyAlignment="1" applyProtection="1">
      <alignment horizontal="right"/>
    </xf>
    <xf numFmtId="3" fontId="12" fillId="0" borderId="0" xfId="0" applyNumberFormat="1" applyFont="1" applyFill="1"/>
    <xf numFmtId="3" fontId="12" fillId="0" borderId="5" xfId="0" applyNumberFormat="1" applyFont="1" applyFill="1" applyBorder="1"/>
    <xf numFmtId="1" fontId="10" fillId="0" borderId="0" xfId="0" applyNumberFormat="1" applyFont="1" applyProtection="1"/>
    <xf numFmtId="0" fontId="10" fillId="0" borderId="5" xfId="0" applyFont="1" applyBorder="1" applyAlignment="1" applyProtection="1">
      <alignment horizontal="left"/>
    </xf>
    <xf numFmtId="0" fontId="10" fillId="0" borderId="0" xfId="0" applyFont="1" applyAlignment="1" applyProtection="1">
      <alignment horizontal="right"/>
    </xf>
    <xf numFmtId="1" fontId="10" fillId="0" borderId="0" xfId="0" applyNumberFormat="1" applyFont="1" applyFill="1" applyBorder="1" applyProtection="1"/>
    <xf numFmtId="1" fontId="10" fillId="0" borderId="5" xfId="0" applyNumberFormat="1" applyFont="1" applyFill="1" applyBorder="1" applyProtection="1"/>
    <xf numFmtId="1" fontId="10" fillId="0" borderId="0" xfId="0" applyNumberFormat="1" applyFont="1" applyFill="1" applyBorder="1" applyAlignment="1" applyProtection="1">
      <alignment horizontal="right"/>
    </xf>
    <xf numFmtId="14" fontId="10" fillId="0" borderId="0" xfId="0" applyNumberFormat="1" applyFont="1" applyFill="1"/>
    <xf numFmtId="4" fontId="10" fillId="0" borderId="0" xfId="0" applyNumberFormat="1" applyFont="1" applyFill="1"/>
    <xf numFmtId="4" fontId="10" fillId="10" borderId="0" xfId="0" applyNumberFormat="1" applyFont="1" applyFill="1"/>
    <xf numFmtId="0" fontId="11" fillId="0" borderId="0" xfId="0" applyFont="1" applyFill="1" applyAlignment="1">
      <alignment horizontal="center"/>
    </xf>
    <xf numFmtId="0" fontId="10" fillId="0" borderId="20" xfId="0" applyFont="1" applyFill="1" applyBorder="1" applyAlignment="1">
      <alignment horizontal="right"/>
    </xf>
    <xf numFmtId="0" fontId="10" fillId="0" borderId="21" xfId="0" applyFont="1" applyFill="1" applyBorder="1" applyAlignment="1">
      <alignment horizontal="right"/>
    </xf>
    <xf numFmtId="0" fontId="10" fillId="0" borderId="21" xfId="0" applyFont="1" applyFill="1" applyBorder="1"/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right"/>
    </xf>
    <xf numFmtId="0" fontId="10" fillId="0" borderId="26" xfId="0" applyFont="1" applyFill="1" applyBorder="1"/>
    <xf numFmtId="3" fontId="10" fillId="0" borderId="0" xfId="0" applyNumberFormat="1" applyFont="1" applyFill="1" applyBorder="1" applyAlignment="1">
      <alignment horizontal="right"/>
    </xf>
    <xf numFmtId="0" fontId="10" fillId="0" borderId="26" xfId="0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4" fontId="10" fillId="0" borderId="0" xfId="0" quotePrefix="1" applyNumberFormat="1" applyFont="1" applyFill="1" applyBorder="1" applyAlignment="1">
      <alignment horizontal="right"/>
    </xf>
    <xf numFmtId="0" fontId="10" fillId="0" borderId="27" xfId="0" applyFont="1" applyFill="1" applyBorder="1" applyAlignment="1">
      <alignment horizontal="right"/>
    </xf>
    <xf numFmtId="0" fontId="10" fillId="0" borderId="9" xfId="0" applyFont="1" applyFill="1" applyBorder="1" applyAlignment="1">
      <alignment horizontal="right"/>
    </xf>
    <xf numFmtId="0" fontId="10" fillId="0" borderId="17" xfId="0" applyFont="1" applyFill="1" applyBorder="1" applyAlignment="1">
      <alignment horizontal="right"/>
    </xf>
    <xf numFmtId="0" fontId="10" fillId="0" borderId="9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right"/>
    </xf>
    <xf numFmtId="0" fontId="0" fillId="0" borderId="0" xfId="0" applyFont="1"/>
    <xf numFmtId="3" fontId="0" fillId="0" borderId="0" xfId="0" applyNumberFormat="1" applyFont="1"/>
    <xf numFmtId="0" fontId="1" fillId="0" borderId="0" xfId="0" applyFont="1"/>
    <xf numFmtId="171" fontId="0" fillId="0" borderId="0" xfId="0" applyNumberFormat="1" applyFont="1"/>
    <xf numFmtId="6" fontId="0" fillId="0" borderId="0" xfId="0" applyNumberFormat="1" applyFont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3" fontId="0" fillId="0" borderId="2" xfId="0" applyNumberFormat="1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3" fontId="0" fillId="0" borderId="0" xfId="0" applyNumberFormat="1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3" fontId="0" fillId="0" borderId="4" xfId="0" applyNumberFormat="1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0" fillId="0" borderId="7" xfId="0" applyFont="1" applyBorder="1" applyAlignment="1">
      <alignment horizontal="right"/>
    </xf>
    <xf numFmtId="0" fontId="0" fillId="0" borderId="8" xfId="0" applyFont="1" applyBorder="1" applyAlignment="1">
      <alignment horizontal="right"/>
    </xf>
    <xf numFmtId="3" fontId="0" fillId="0" borderId="7" xfId="0" applyNumberFormat="1" applyFont="1" applyBorder="1" applyAlignment="1">
      <alignment horizontal="right"/>
    </xf>
    <xf numFmtId="3" fontId="0" fillId="0" borderId="7" xfId="0" quotePrefix="1" applyNumberFormat="1" applyFont="1" applyBorder="1" applyAlignment="1">
      <alignment horizontal="right"/>
    </xf>
    <xf numFmtId="3" fontId="0" fillId="0" borderId="6" xfId="0" applyNumberFormat="1" applyFont="1" applyBorder="1" applyAlignment="1">
      <alignment horizontal="right"/>
    </xf>
    <xf numFmtId="2" fontId="0" fillId="0" borderId="7" xfId="0" applyNumberFormat="1" applyFont="1" applyBorder="1" applyAlignment="1">
      <alignment horizontal="right"/>
    </xf>
    <xf numFmtId="2" fontId="0" fillId="9" borderId="7" xfId="0" applyNumberFormat="1" applyFont="1" applyFill="1" applyBorder="1" applyAlignment="1">
      <alignment horizontal="right"/>
    </xf>
    <xf numFmtId="3" fontId="0" fillId="9" borderId="7" xfId="0" applyNumberFormat="1" applyFont="1" applyFill="1" applyBorder="1" applyAlignment="1">
      <alignment horizontal="right"/>
    </xf>
    <xf numFmtId="0" fontId="0" fillId="0" borderId="7" xfId="0" quotePrefix="1" applyFont="1" applyBorder="1" applyAlignment="1">
      <alignment horizontal="right"/>
    </xf>
    <xf numFmtId="172" fontId="15" fillId="0" borderId="0" xfId="0" applyNumberFormat="1" applyFont="1" applyProtection="1"/>
    <xf numFmtId="0" fontId="15" fillId="0" borderId="0" xfId="0" applyFont="1"/>
    <xf numFmtId="3" fontId="15" fillId="0" borderId="0" xfId="0" applyNumberFormat="1" applyFont="1" applyAlignment="1" applyProtection="1">
      <alignment horizontal="right"/>
    </xf>
    <xf numFmtId="0" fontId="15" fillId="0" borderId="0" xfId="0" applyFont="1" applyAlignment="1" applyProtection="1">
      <alignment horizontal="right"/>
    </xf>
    <xf numFmtId="3" fontId="0" fillId="0" borderId="0" xfId="6" applyNumberFormat="1" applyFont="1"/>
    <xf numFmtId="173" fontId="15" fillId="0" borderId="0" xfId="0" applyNumberFormat="1" applyFont="1" applyProtection="1"/>
    <xf numFmtId="3" fontId="15" fillId="0" borderId="0" xfId="0" applyNumberFormat="1" applyFont="1"/>
    <xf numFmtId="0" fontId="0" fillId="0" borderId="0" xfId="0" applyFont="1" applyAlignment="1" applyProtection="1">
      <alignment horizontal="left"/>
    </xf>
    <xf numFmtId="0" fontId="15" fillId="0" borderId="0" xfId="0" applyFont="1" applyFill="1"/>
  </cellXfs>
  <cellStyles count="7">
    <cellStyle name="Comma" xfId="1" builtinId="3"/>
    <cellStyle name="Comma 2" xfId="3"/>
    <cellStyle name="Normal" xfId="0" builtinId="0"/>
    <cellStyle name="Normal 2" xfId="4"/>
    <cellStyle name="Normal 3" xfId="5"/>
    <cellStyle name="Normal 5" xf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_File%20charter%20lease%20fixed_20121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obP\Local%20Settings\Temporary%20Internet%20Files\Content.Outlook\250K5A0L\Copy%20of%20Master_File_20121120b%20tom%20OPTION%202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es for report"/>
      <sheetName val="APPROP Summary "/>
      <sheetName val="Summary"/>
      <sheetName val="Summary2"/>
      <sheetName val="Summary levy"/>
      <sheetName val="Details"/>
      <sheetName val="Rank"/>
      <sheetName val="Alt Fac"/>
      <sheetName val="Report"/>
      <sheetName val="Levies"/>
      <sheetName val="DEF MAINT REPORT"/>
      <sheetName val="Districts"/>
      <sheetName val="Inflation"/>
      <sheetName val="Full Day K"/>
      <sheetName val="Sped"/>
      <sheetName val="Sped 90 10"/>
      <sheetName val="Lease"/>
      <sheetName val="Refer-Region"/>
      <sheetName val="Integration"/>
      <sheetName val="Equity"/>
      <sheetName val="Extended"/>
      <sheetName val="StAnthony"/>
      <sheetName val="High Growth"/>
      <sheetName val="Evaluate"/>
      <sheetName val="Chart Ref"/>
      <sheetName val="Debt"/>
      <sheetName val="Deferred"/>
      <sheetName val="Op Cap"/>
      <sheetName val="Compensatory"/>
    </sheetNames>
    <sheetDataSet>
      <sheetData sheetId="0"/>
      <sheetData sheetId="1"/>
      <sheetData sheetId="2">
        <row r="179">
          <cell r="I179">
            <v>230</v>
          </cell>
        </row>
      </sheetData>
      <sheetData sheetId="3"/>
      <sheetData sheetId="4"/>
      <sheetData sheetId="5">
        <row r="27">
          <cell r="U27">
            <v>957278.46999999974</v>
          </cell>
          <cell r="V27">
            <v>5000822727.2799978</v>
          </cell>
          <cell r="W27">
            <v>11487341.640000001</v>
          </cell>
          <cell r="X27">
            <v>72139677.129999995</v>
          </cell>
          <cell r="Y27">
            <v>456359810.03999972</v>
          </cell>
          <cell r="Z27">
            <v>33577243</v>
          </cell>
          <cell r="AA27">
            <v>8953592.5</v>
          </cell>
          <cell r="AB27">
            <v>25040627.069999989</v>
          </cell>
          <cell r="AC27">
            <v>15727607.199999994</v>
          </cell>
          <cell r="AD27">
            <v>61050313.880000047</v>
          </cell>
          <cell r="AE27">
            <v>93683394.519999981</v>
          </cell>
          <cell r="AF27">
            <v>29777252.139999993</v>
          </cell>
          <cell r="AG27">
            <v>197413824.88999996</v>
          </cell>
          <cell r="AH27">
            <v>63679791.170000017</v>
          </cell>
          <cell r="AI27">
            <v>858977106.26999986</v>
          </cell>
          <cell r="AJ27">
            <v>524829.87</v>
          </cell>
          <cell r="AK27">
            <v>-299052.71999999968</v>
          </cell>
          <cell r="AL27">
            <v>-1173414.8799999994</v>
          </cell>
          <cell r="AM27">
            <v>-31058527.499999948</v>
          </cell>
          <cell r="AQ27">
            <v>876222.89999999956</v>
          </cell>
          <cell r="AW27">
            <v>5520204270</v>
          </cell>
          <cell r="AX27">
            <v>9507183.839999998</v>
          </cell>
          <cell r="AY27">
            <v>15733460.299730526</v>
          </cell>
          <cell r="AZ27">
            <v>36962037</v>
          </cell>
          <cell r="BD27">
            <v>12976505.648453899</v>
          </cell>
          <cell r="BE27">
            <v>0</v>
          </cell>
          <cell r="BF27">
            <v>546096797.55999959</v>
          </cell>
          <cell r="BG27">
            <v>26138900.240000002</v>
          </cell>
          <cell r="BM27">
            <v>63959705.920000039</v>
          </cell>
          <cell r="BQ27">
            <v>197438688.42235181</v>
          </cell>
          <cell r="BT27">
            <v>7069609.6100000031</v>
          </cell>
          <cell r="BU27">
            <v>97376461.788623184</v>
          </cell>
          <cell r="BV27">
            <v>29788451.626586959</v>
          </cell>
          <cell r="BW27">
            <v>29454100</v>
          </cell>
          <cell r="BY27">
            <v>101487855.80000001</v>
          </cell>
          <cell r="CA27">
            <v>62999080.449235655</v>
          </cell>
          <cell r="CB27">
            <v>965892143.29287446</v>
          </cell>
          <cell r="CC27">
            <v>1160457477.4129117</v>
          </cell>
          <cell r="CD27">
            <v>49975642.529999979</v>
          </cell>
          <cell r="CE27">
            <v>49967709.239999995</v>
          </cell>
          <cell r="CF27">
            <v>448805001.1600005</v>
          </cell>
          <cell r="CG27">
            <v>206134987.91999996</v>
          </cell>
          <cell r="CH27">
            <v>53144144.141928025</v>
          </cell>
          <cell r="CJ27">
            <v>48584999.989999995</v>
          </cell>
          <cell r="CK27">
            <v>54232545.360000081</v>
          </cell>
          <cell r="CN27">
            <v>1809300</v>
          </cell>
          <cell r="CP27">
            <v>536000</v>
          </cell>
          <cell r="CQ27">
            <v>631700</v>
          </cell>
          <cell r="CU27">
            <v>764418983.1031847</v>
          </cell>
          <cell r="CV27">
            <v>114050288.88933878</v>
          </cell>
          <cell r="CW27">
            <v>23474332.020000003</v>
          </cell>
          <cell r="CX27">
            <v>73599985.800000042</v>
          </cell>
          <cell r="CY27">
            <v>364330417.68559909</v>
          </cell>
          <cell r="DA27">
            <v>35711823.660000011</v>
          </cell>
          <cell r="DB27">
            <v>168514997.70999992</v>
          </cell>
          <cell r="DC27">
            <v>1809300</v>
          </cell>
          <cell r="DD27">
            <v>536000</v>
          </cell>
          <cell r="DE27">
            <v>631700</v>
          </cell>
          <cell r="DF27">
            <v>17053253.68</v>
          </cell>
          <cell r="DG27">
            <v>63679791.170000017</v>
          </cell>
          <cell r="DH27">
            <v>17135584.82</v>
          </cell>
          <cell r="DI27">
            <v>292936061.86758554</v>
          </cell>
          <cell r="DJ27">
            <v>184623432.00000656</v>
          </cell>
          <cell r="DL27">
            <v>2553241.3967680046</v>
          </cell>
          <cell r="DM27">
            <v>44557360.239999995</v>
          </cell>
          <cell r="DN27">
            <v>44557360.239999995</v>
          </cell>
          <cell r="DO27">
            <v>56294162.224000052</v>
          </cell>
          <cell r="DP27">
            <v>0</v>
          </cell>
          <cell r="DQ27">
            <v>56201199.644000053</v>
          </cell>
          <cell r="DR27">
            <v>0</v>
          </cell>
          <cell r="DS27">
            <v>754967593.76999998</v>
          </cell>
          <cell r="DT27">
            <v>754967593.76999998</v>
          </cell>
          <cell r="DU27">
            <v>736098030.18263495</v>
          </cell>
          <cell r="DV27">
            <v>725702546.52255416</v>
          </cell>
          <cell r="DW27">
            <v>26096486.46411429</v>
          </cell>
          <cell r="DX27">
            <v>22581198.310000021</v>
          </cell>
          <cell r="DY27">
            <v>93437342.826171428</v>
          </cell>
          <cell r="DZ27">
            <v>54427257.390000001</v>
          </cell>
          <cell r="EA27">
            <v>62373415.034000002</v>
          </cell>
          <cell r="EB27">
            <v>59543588.034000002</v>
          </cell>
          <cell r="EC27">
            <v>131348154</v>
          </cell>
          <cell r="ED27">
            <v>114891917</v>
          </cell>
          <cell r="EE27">
            <v>85711116.633999988</v>
          </cell>
          <cell r="EF27">
            <v>82881289.634000003</v>
          </cell>
          <cell r="EG27">
            <v>131348154</v>
          </cell>
          <cell r="EH27">
            <v>114891917</v>
          </cell>
          <cell r="ET27">
            <v>793606.66916242987</v>
          </cell>
        </row>
        <row r="29">
          <cell r="K29">
            <v>1198.58</v>
          </cell>
          <cell r="L29">
            <v>818.05</v>
          </cell>
          <cell r="M29">
            <v>5813.73</v>
          </cell>
          <cell r="N29">
            <v>19146.64</v>
          </cell>
          <cell r="O29">
            <v>16313.009999999998</v>
          </cell>
          <cell r="P29">
            <v>29499.14</v>
          </cell>
          <cell r="EL29">
            <v>992220645.15830564</v>
          </cell>
          <cell r="EP29">
            <v>223168926.03260407</v>
          </cell>
          <cell r="ES29">
            <v>228117969.12020504</v>
          </cell>
          <cell r="EV29">
            <v>1051669771.2334206</v>
          </cell>
        </row>
        <row r="30">
          <cell r="K30">
            <v>649.95000000000005</v>
          </cell>
          <cell r="L30">
            <v>562.89</v>
          </cell>
          <cell r="M30">
            <v>5753.8000000000011</v>
          </cell>
          <cell r="N30">
            <v>19513.78</v>
          </cell>
          <cell r="O30">
            <v>19396.86</v>
          </cell>
          <cell r="P30">
            <v>41115.74</v>
          </cell>
          <cell r="EL30">
            <v>993430919.49704266</v>
          </cell>
          <cell r="EP30">
            <v>288695088.64732933</v>
          </cell>
          <cell r="ES30">
            <v>295391780.57487756</v>
          </cell>
          <cell r="EV30">
            <v>1067592057.3061336</v>
          </cell>
        </row>
        <row r="31">
          <cell r="K31">
            <v>2215.7699999999995</v>
          </cell>
          <cell r="L31">
            <v>1248.1200000000001</v>
          </cell>
          <cell r="M31">
            <v>17565.96</v>
          </cell>
          <cell r="N31">
            <v>59440.42</v>
          </cell>
          <cell r="O31">
            <v>59307.250000000015</v>
          </cell>
          <cell r="P31">
            <v>123038.48000000003</v>
          </cell>
          <cell r="EL31">
            <v>2861371567.0165687</v>
          </cell>
          <cell r="EP31">
            <v>781794073.70463109</v>
          </cell>
          <cell r="ES31">
            <v>770324179.18669665</v>
          </cell>
          <cell r="EV31">
            <v>3051996311.0743403</v>
          </cell>
        </row>
        <row r="32">
          <cell r="K32">
            <v>1949.9199999999996</v>
          </cell>
          <cell r="L32">
            <v>1504.5699999999997</v>
          </cell>
          <cell r="M32">
            <v>12841.479999999996</v>
          </cell>
          <cell r="N32">
            <v>42762.1</v>
          </cell>
          <cell r="O32">
            <v>41533.120000000003</v>
          </cell>
          <cell r="P32">
            <v>83795.210000000006</v>
          </cell>
          <cell r="EL32">
            <v>1842158401.9279509</v>
          </cell>
          <cell r="EP32">
            <v>346552505.75430322</v>
          </cell>
          <cell r="ES32">
            <v>342162169.89546925</v>
          </cell>
          <cell r="EV32">
            <v>1985395776.6495247</v>
          </cell>
        </row>
        <row r="33">
          <cell r="K33">
            <v>827.91999999999939</v>
          </cell>
          <cell r="L33">
            <v>886.4799999999999</v>
          </cell>
          <cell r="M33">
            <v>6531.76</v>
          </cell>
          <cell r="N33">
            <v>21226.489999999998</v>
          </cell>
          <cell r="O33">
            <v>20780.630000000008</v>
          </cell>
          <cell r="P33">
            <v>43598.719999999994</v>
          </cell>
          <cell r="EL33">
            <v>921736663.05128884</v>
          </cell>
          <cell r="EP33">
            <v>165270693.77660066</v>
          </cell>
          <cell r="ES33">
            <v>165940463.00840038</v>
          </cell>
          <cell r="EV33">
            <v>989924074.83860278</v>
          </cell>
        </row>
        <row r="34">
          <cell r="K34">
            <v>937.23999999999921</v>
          </cell>
          <cell r="L34">
            <v>735.40000000000009</v>
          </cell>
          <cell r="M34">
            <v>6102.5599999999986</v>
          </cell>
          <cell r="N34">
            <v>19727.38</v>
          </cell>
          <cell r="O34">
            <v>19418.019999999997</v>
          </cell>
          <cell r="P34">
            <v>40490.26</v>
          </cell>
          <cell r="EL34">
            <v>921917778.35323155</v>
          </cell>
          <cell r="EP34">
            <v>167656596.17427707</v>
          </cell>
          <cell r="ES34">
            <v>171924354.66221589</v>
          </cell>
          <cell r="EV34">
            <v>987282853.50288188</v>
          </cell>
        </row>
        <row r="35">
          <cell r="K35">
            <v>3</v>
          </cell>
          <cell r="L35">
            <v>83</v>
          </cell>
          <cell r="M35">
            <v>4065</v>
          </cell>
          <cell r="N35">
            <v>11406</v>
          </cell>
          <cell r="O35">
            <v>10080</v>
          </cell>
          <cell r="P35">
            <v>16140</v>
          </cell>
          <cell r="EL35">
            <v>426043327.52772284</v>
          </cell>
          <cell r="EP35">
            <v>0</v>
          </cell>
          <cell r="ES35">
            <v>0</v>
          </cell>
          <cell r="EV35">
            <v>458131402.03950465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EL36">
            <v>92810443.301501095</v>
          </cell>
          <cell r="EP36">
            <v>659887.43999999831</v>
          </cell>
          <cell r="ES36">
            <v>-63144.780000000494</v>
          </cell>
          <cell r="EV36">
            <v>93569535.476306111</v>
          </cell>
        </row>
      </sheetData>
      <sheetData sheetId="6"/>
      <sheetData sheetId="7">
        <row r="18">
          <cell r="A18">
            <v>1.2</v>
          </cell>
          <cell r="U18">
            <v>2218396.0997597435</v>
          </cell>
        </row>
        <row r="19">
          <cell r="A19">
            <v>11</v>
          </cell>
          <cell r="U19">
            <v>-610295</v>
          </cell>
        </row>
        <row r="20">
          <cell r="A20">
            <v>12</v>
          </cell>
          <cell r="U20">
            <v>0</v>
          </cell>
        </row>
        <row r="21">
          <cell r="A21">
            <v>13</v>
          </cell>
          <cell r="U21">
            <v>0</v>
          </cell>
        </row>
        <row r="22">
          <cell r="A22">
            <v>14</v>
          </cell>
          <cell r="U22">
            <v>0</v>
          </cell>
        </row>
        <row r="23">
          <cell r="A23">
            <v>15</v>
          </cell>
          <cell r="U23">
            <v>0</v>
          </cell>
        </row>
        <row r="24">
          <cell r="A24">
            <v>16</v>
          </cell>
          <cell r="U24">
            <v>0</v>
          </cell>
        </row>
        <row r="25">
          <cell r="A25">
            <v>23</v>
          </cell>
          <cell r="U25">
            <v>0</v>
          </cell>
        </row>
        <row r="26">
          <cell r="A26">
            <v>84</v>
          </cell>
          <cell r="U26">
            <v>0</v>
          </cell>
        </row>
        <row r="27">
          <cell r="A27">
            <v>88</v>
          </cell>
          <cell r="U27">
            <v>0</v>
          </cell>
        </row>
        <row r="28">
          <cell r="A28">
            <v>94</v>
          </cell>
          <cell r="U28">
            <v>0</v>
          </cell>
        </row>
        <row r="29">
          <cell r="A29">
            <v>112</v>
          </cell>
          <cell r="U29">
            <v>0</v>
          </cell>
        </row>
        <row r="30">
          <cell r="A30">
            <v>113</v>
          </cell>
          <cell r="U30">
            <v>0</v>
          </cell>
        </row>
        <row r="31">
          <cell r="A31">
            <v>129</v>
          </cell>
          <cell r="U31">
            <v>0</v>
          </cell>
        </row>
        <row r="32">
          <cell r="A32">
            <v>166</v>
          </cell>
          <cell r="U32">
            <v>0</v>
          </cell>
        </row>
        <row r="33">
          <cell r="A33">
            <v>181</v>
          </cell>
          <cell r="U33">
            <v>0</v>
          </cell>
        </row>
        <row r="34">
          <cell r="A34">
            <v>186</v>
          </cell>
          <cell r="U34">
            <v>0</v>
          </cell>
        </row>
        <row r="35">
          <cell r="A35">
            <v>191</v>
          </cell>
          <cell r="U35">
            <v>0</v>
          </cell>
        </row>
        <row r="36">
          <cell r="A36">
            <v>194</v>
          </cell>
          <cell r="U36">
            <v>0</v>
          </cell>
        </row>
        <row r="37">
          <cell r="A37">
            <v>196</v>
          </cell>
          <cell r="U37">
            <v>0</v>
          </cell>
        </row>
        <row r="38">
          <cell r="A38">
            <v>199</v>
          </cell>
          <cell r="U38">
            <v>0</v>
          </cell>
        </row>
        <row r="39">
          <cell r="A39">
            <v>200</v>
          </cell>
          <cell r="U39">
            <v>0</v>
          </cell>
        </row>
        <row r="40">
          <cell r="A40">
            <v>204</v>
          </cell>
          <cell r="U40">
            <v>0</v>
          </cell>
        </row>
        <row r="41">
          <cell r="A41">
            <v>206</v>
          </cell>
          <cell r="U41">
            <v>0</v>
          </cell>
        </row>
        <row r="42">
          <cell r="A42">
            <v>227</v>
          </cell>
          <cell r="U42">
            <v>0</v>
          </cell>
        </row>
        <row r="43">
          <cell r="A43">
            <v>241</v>
          </cell>
          <cell r="U43">
            <v>0</v>
          </cell>
        </row>
        <row r="44">
          <cell r="A44">
            <v>270</v>
          </cell>
          <cell r="U44">
            <v>0</v>
          </cell>
        </row>
        <row r="45">
          <cell r="A45">
            <v>271</v>
          </cell>
          <cell r="U45">
            <v>951949.63673566992</v>
          </cell>
        </row>
        <row r="46">
          <cell r="A46">
            <v>272</v>
          </cell>
          <cell r="U46">
            <v>0</v>
          </cell>
        </row>
        <row r="47">
          <cell r="A47">
            <v>273</v>
          </cell>
          <cell r="U47">
            <v>0</v>
          </cell>
        </row>
        <row r="48">
          <cell r="A48">
            <v>276</v>
          </cell>
          <cell r="U48">
            <v>0</v>
          </cell>
        </row>
        <row r="49">
          <cell r="A49">
            <v>279</v>
          </cell>
          <cell r="U49">
            <v>0</v>
          </cell>
        </row>
        <row r="50">
          <cell r="A50">
            <v>280</v>
          </cell>
          <cell r="U50">
            <v>0</v>
          </cell>
        </row>
        <row r="51">
          <cell r="A51">
            <v>281</v>
          </cell>
          <cell r="U51">
            <v>-900000</v>
          </cell>
        </row>
        <row r="52">
          <cell r="A52">
            <v>282</v>
          </cell>
          <cell r="U52">
            <v>0</v>
          </cell>
        </row>
        <row r="53">
          <cell r="A53">
            <v>284</v>
          </cell>
          <cell r="U53">
            <v>0</v>
          </cell>
        </row>
        <row r="54">
          <cell r="A54">
            <v>286</v>
          </cell>
          <cell r="U54">
            <v>0</v>
          </cell>
        </row>
        <row r="55">
          <cell r="A55">
            <v>294</v>
          </cell>
          <cell r="U55">
            <v>0</v>
          </cell>
        </row>
        <row r="56">
          <cell r="A56">
            <v>309</v>
          </cell>
          <cell r="U56">
            <v>0</v>
          </cell>
        </row>
        <row r="57">
          <cell r="A57">
            <v>314</v>
          </cell>
          <cell r="U57">
            <v>0</v>
          </cell>
        </row>
        <row r="58">
          <cell r="A58">
            <v>316</v>
          </cell>
          <cell r="U58">
            <v>0</v>
          </cell>
        </row>
        <row r="59">
          <cell r="A59">
            <v>317</v>
          </cell>
          <cell r="U59">
            <v>0</v>
          </cell>
        </row>
        <row r="60">
          <cell r="A60">
            <v>318</v>
          </cell>
          <cell r="U60">
            <v>0</v>
          </cell>
        </row>
        <row r="61">
          <cell r="A61">
            <v>345</v>
          </cell>
          <cell r="U61">
            <v>0</v>
          </cell>
        </row>
        <row r="62">
          <cell r="A62">
            <v>361</v>
          </cell>
          <cell r="U62">
            <v>0</v>
          </cell>
        </row>
        <row r="63">
          <cell r="A63">
            <v>378</v>
          </cell>
          <cell r="U63">
            <v>0</v>
          </cell>
        </row>
        <row r="64">
          <cell r="A64">
            <v>381</v>
          </cell>
          <cell r="U64">
            <v>0</v>
          </cell>
        </row>
        <row r="65">
          <cell r="A65">
            <v>414</v>
          </cell>
          <cell r="U65">
            <v>0</v>
          </cell>
        </row>
        <row r="66">
          <cell r="A66">
            <v>432</v>
          </cell>
          <cell r="U66">
            <v>0</v>
          </cell>
        </row>
        <row r="67">
          <cell r="A67">
            <v>463</v>
          </cell>
          <cell r="U67">
            <v>0</v>
          </cell>
        </row>
        <row r="68">
          <cell r="A68">
            <v>477</v>
          </cell>
          <cell r="U68">
            <v>0</v>
          </cell>
        </row>
        <row r="69">
          <cell r="A69">
            <v>480</v>
          </cell>
          <cell r="U69">
            <v>0</v>
          </cell>
        </row>
        <row r="70">
          <cell r="A70">
            <v>482</v>
          </cell>
          <cell r="U70">
            <v>0</v>
          </cell>
        </row>
        <row r="71">
          <cell r="A71">
            <v>492</v>
          </cell>
          <cell r="U71">
            <v>0</v>
          </cell>
        </row>
        <row r="72">
          <cell r="A72">
            <v>508</v>
          </cell>
          <cell r="U72">
            <v>0</v>
          </cell>
        </row>
        <row r="73">
          <cell r="A73">
            <v>518</v>
          </cell>
          <cell r="U73">
            <v>0</v>
          </cell>
        </row>
        <row r="74">
          <cell r="A74">
            <v>533</v>
          </cell>
          <cell r="U74">
            <v>0</v>
          </cell>
        </row>
        <row r="75">
          <cell r="A75">
            <v>534</v>
          </cell>
          <cell r="U75">
            <v>0</v>
          </cell>
        </row>
        <row r="76">
          <cell r="A76">
            <v>535</v>
          </cell>
          <cell r="U76">
            <v>0</v>
          </cell>
        </row>
        <row r="77">
          <cell r="A77">
            <v>548</v>
          </cell>
          <cell r="U77">
            <v>0</v>
          </cell>
        </row>
        <row r="78">
          <cell r="A78">
            <v>549</v>
          </cell>
          <cell r="U78">
            <v>0</v>
          </cell>
        </row>
        <row r="79">
          <cell r="A79">
            <v>578</v>
          </cell>
          <cell r="U79">
            <v>0</v>
          </cell>
        </row>
        <row r="80">
          <cell r="A80">
            <v>595</v>
          </cell>
          <cell r="U80">
            <v>0</v>
          </cell>
        </row>
        <row r="81">
          <cell r="A81">
            <v>621</v>
          </cell>
          <cell r="U81">
            <v>0</v>
          </cell>
        </row>
        <row r="82">
          <cell r="A82">
            <v>622</v>
          </cell>
          <cell r="U82">
            <v>0</v>
          </cell>
        </row>
        <row r="83">
          <cell r="A83">
            <v>623</v>
          </cell>
          <cell r="U83">
            <v>0</v>
          </cell>
        </row>
        <row r="84">
          <cell r="A84">
            <v>624</v>
          </cell>
          <cell r="U84">
            <v>0</v>
          </cell>
        </row>
        <row r="85">
          <cell r="A85">
            <v>625</v>
          </cell>
          <cell r="U85">
            <v>-2151003.1381194298</v>
          </cell>
        </row>
        <row r="86">
          <cell r="A86">
            <v>627</v>
          </cell>
          <cell r="U86">
            <v>0</v>
          </cell>
        </row>
        <row r="87">
          <cell r="A87">
            <v>628</v>
          </cell>
          <cell r="U87">
            <v>0</v>
          </cell>
        </row>
        <row r="88">
          <cell r="A88">
            <v>656</v>
          </cell>
          <cell r="U88">
            <v>0</v>
          </cell>
        </row>
        <row r="89">
          <cell r="A89">
            <v>659</v>
          </cell>
          <cell r="U89">
            <v>0</v>
          </cell>
        </row>
        <row r="90">
          <cell r="A90">
            <v>701</v>
          </cell>
          <cell r="U90">
            <v>0</v>
          </cell>
        </row>
        <row r="91">
          <cell r="A91">
            <v>709</v>
          </cell>
          <cell r="U91">
            <v>490952.2635045863</v>
          </cell>
        </row>
        <row r="92">
          <cell r="A92">
            <v>716</v>
          </cell>
          <cell r="U92">
            <v>0</v>
          </cell>
        </row>
        <row r="93">
          <cell r="A93">
            <v>717</v>
          </cell>
          <cell r="U93">
            <v>0</v>
          </cell>
        </row>
        <row r="94">
          <cell r="A94">
            <v>726</v>
          </cell>
          <cell r="U94">
            <v>0</v>
          </cell>
        </row>
        <row r="95">
          <cell r="A95">
            <v>728</v>
          </cell>
          <cell r="U95">
            <v>0</v>
          </cell>
        </row>
        <row r="96">
          <cell r="A96">
            <v>738</v>
          </cell>
          <cell r="U96">
            <v>0</v>
          </cell>
        </row>
        <row r="97">
          <cell r="A97">
            <v>740</v>
          </cell>
          <cell r="U97">
            <v>0</v>
          </cell>
        </row>
        <row r="98">
          <cell r="A98">
            <v>742</v>
          </cell>
          <cell r="U98">
            <v>0</v>
          </cell>
        </row>
        <row r="99">
          <cell r="A99">
            <v>745</v>
          </cell>
          <cell r="U99">
            <v>0</v>
          </cell>
        </row>
        <row r="100">
          <cell r="A100">
            <v>750</v>
          </cell>
          <cell r="U100">
            <v>0</v>
          </cell>
        </row>
        <row r="101">
          <cell r="A101">
            <v>813</v>
          </cell>
          <cell r="U101">
            <v>0</v>
          </cell>
        </row>
        <row r="102">
          <cell r="A102">
            <v>821</v>
          </cell>
          <cell r="U102">
            <v>0</v>
          </cell>
        </row>
        <row r="103">
          <cell r="A103">
            <v>829</v>
          </cell>
          <cell r="U103">
            <v>0</v>
          </cell>
        </row>
        <row r="104">
          <cell r="A104">
            <v>831</v>
          </cell>
          <cell r="U104">
            <v>0</v>
          </cell>
        </row>
        <row r="105">
          <cell r="A105">
            <v>832</v>
          </cell>
          <cell r="U105">
            <v>0</v>
          </cell>
        </row>
        <row r="106">
          <cell r="A106">
            <v>833</v>
          </cell>
          <cell r="U106">
            <v>0</v>
          </cell>
        </row>
        <row r="107">
          <cell r="A107">
            <v>834</v>
          </cell>
          <cell r="U107">
            <v>0</v>
          </cell>
        </row>
        <row r="108">
          <cell r="A108">
            <v>837</v>
          </cell>
          <cell r="U108">
            <v>0</v>
          </cell>
        </row>
        <row r="109">
          <cell r="A109">
            <v>840</v>
          </cell>
          <cell r="U109">
            <v>0</v>
          </cell>
        </row>
        <row r="110">
          <cell r="A110">
            <v>852</v>
          </cell>
          <cell r="U110">
            <v>0</v>
          </cell>
        </row>
        <row r="111">
          <cell r="A111">
            <v>857</v>
          </cell>
          <cell r="U111">
            <v>0</v>
          </cell>
        </row>
        <row r="112">
          <cell r="A112">
            <v>861</v>
          </cell>
          <cell r="U112">
            <v>0</v>
          </cell>
        </row>
        <row r="113">
          <cell r="A113">
            <v>877</v>
          </cell>
          <cell r="U113">
            <v>0</v>
          </cell>
        </row>
        <row r="114">
          <cell r="A114">
            <v>879</v>
          </cell>
          <cell r="U114">
            <v>0</v>
          </cell>
        </row>
        <row r="115">
          <cell r="A115">
            <v>882</v>
          </cell>
          <cell r="U115">
            <v>0</v>
          </cell>
        </row>
        <row r="116">
          <cell r="A116">
            <v>911</v>
          </cell>
          <cell r="U116">
            <v>0</v>
          </cell>
        </row>
        <row r="117">
          <cell r="A117">
            <v>912</v>
          </cell>
          <cell r="U117">
            <v>0</v>
          </cell>
        </row>
        <row r="118">
          <cell r="A118">
            <v>2071</v>
          </cell>
          <cell r="U118">
            <v>0</v>
          </cell>
        </row>
        <row r="119">
          <cell r="A119">
            <v>2125</v>
          </cell>
          <cell r="U119">
            <v>0</v>
          </cell>
        </row>
        <row r="120">
          <cell r="A120">
            <v>2137</v>
          </cell>
          <cell r="U120">
            <v>0</v>
          </cell>
        </row>
        <row r="121">
          <cell r="A121">
            <v>2149</v>
          </cell>
          <cell r="U121">
            <v>0</v>
          </cell>
        </row>
        <row r="122">
          <cell r="A122">
            <v>2164</v>
          </cell>
          <cell r="U122">
            <v>0</v>
          </cell>
        </row>
        <row r="123">
          <cell r="A123">
            <v>2165</v>
          </cell>
          <cell r="U123">
            <v>0</v>
          </cell>
        </row>
        <row r="124">
          <cell r="A124">
            <v>2168</v>
          </cell>
          <cell r="U124">
            <v>0</v>
          </cell>
        </row>
        <row r="125">
          <cell r="A125">
            <v>2169</v>
          </cell>
          <cell r="U125">
            <v>0</v>
          </cell>
        </row>
        <row r="126">
          <cell r="A126">
            <v>2170</v>
          </cell>
          <cell r="U126">
            <v>0</v>
          </cell>
        </row>
        <row r="127">
          <cell r="A127">
            <v>2172</v>
          </cell>
          <cell r="U127">
            <v>0</v>
          </cell>
        </row>
        <row r="128">
          <cell r="A128">
            <v>2190</v>
          </cell>
          <cell r="U128">
            <v>0</v>
          </cell>
        </row>
        <row r="129">
          <cell r="A129">
            <v>2198</v>
          </cell>
          <cell r="U129">
            <v>0</v>
          </cell>
        </row>
        <row r="130">
          <cell r="A130">
            <v>2358</v>
          </cell>
          <cell r="U130">
            <v>0</v>
          </cell>
        </row>
        <row r="131">
          <cell r="A131">
            <v>2448</v>
          </cell>
          <cell r="U131">
            <v>0</v>
          </cell>
        </row>
        <row r="132">
          <cell r="A132">
            <v>2536</v>
          </cell>
          <cell r="U132">
            <v>0</v>
          </cell>
        </row>
        <row r="133">
          <cell r="A133">
            <v>2683</v>
          </cell>
          <cell r="U133">
            <v>0</v>
          </cell>
        </row>
        <row r="134">
          <cell r="A134">
            <v>2752</v>
          </cell>
          <cell r="U134">
            <v>0</v>
          </cell>
        </row>
        <row r="135">
          <cell r="A135">
            <v>2805</v>
          </cell>
          <cell r="U135">
            <v>0</v>
          </cell>
        </row>
        <row r="136">
          <cell r="A136">
            <v>2856</v>
          </cell>
          <cell r="U136">
            <v>0</v>
          </cell>
        </row>
        <row r="137">
          <cell r="A137">
            <v>2860</v>
          </cell>
          <cell r="U137">
            <v>0</v>
          </cell>
        </row>
        <row r="138">
          <cell r="A138">
            <v>2890</v>
          </cell>
          <cell r="U138">
            <v>0</v>
          </cell>
        </row>
        <row r="139">
          <cell r="A139">
            <v>2899</v>
          </cell>
          <cell r="U139">
            <v>0</v>
          </cell>
        </row>
      </sheetData>
      <sheetData sheetId="8"/>
      <sheetData sheetId="9">
        <row r="15">
          <cell r="AB15">
            <v>535814.58802060026</v>
          </cell>
          <cell r="AC15">
            <v>6972.6159015345265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mmary2"/>
      <sheetName val="Summary levy"/>
      <sheetName val="Details"/>
      <sheetName val="Rank"/>
      <sheetName val="Alt Fac"/>
      <sheetName val="DEF MAINT REPORT"/>
      <sheetName val="Districts"/>
      <sheetName val="Report"/>
      <sheetName val="Inflation"/>
      <sheetName val="Full Day K"/>
      <sheetName val="Sped"/>
      <sheetName val="Sped 90 10"/>
      <sheetName val="Lease"/>
      <sheetName val="Refer-Region"/>
      <sheetName val="Integration"/>
      <sheetName val="Equity"/>
      <sheetName val="Levies"/>
      <sheetName val="Extended"/>
      <sheetName val="StAnthony"/>
      <sheetName val="High Growth"/>
      <sheetName val="Evaluate"/>
      <sheetName val="Chart Ref"/>
      <sheetName val="Debt"/>
      <sheetName val="Deferred"/>
      <sheetName val="Op Cap"/>
      <sheetName val="Compensa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3">
          <cell r="F23">
            <v>1.0438596491228069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29"/>
  <sheetViews>
    <sheetView view="pageLayout" topLeftCell="G71" zoomScaleNormal="75" workbookViewId="0">
      <selection activeCell="H72" sqref="H72"/>
    </sheetView>
  </sheetViews>
  <sheetFormatPr defaultRowHeight="15" x14ac:dyDescent="0.25"/>
  <cols>
    <col min="1" max="1" width="4.7109375" hidden="1" customWidth="1"/>
    <col min="2" max="2" width="38.42578125" hidden="1" customWidth="1"/>
    <col min="3" max="4" width="16.7109375" hidden="1" customWidth="1"/>
    <col min="5" max="5" width="0" hidden="1" customWidth="1"/>
    <col min="6" max="6" width="4.7109375" hidden="1" customWidth="1"/>
    <col min="7" max="7" width="39.5703125" customWidth="1"/>
    <col min="8" max="10" width="16.7109375" customWidth="1"/>
    <col min="11" max="11" width="13.42578125" style="16" customWidth="1"/>
    <col min="12" max="12" width="14.42578125" customWidth="1"/>
    <col min="13" max="13" width="13.7109375" customWidth="1"/>
    <col min="14" max="14" width="15.7109375" bestFit="1" customWidth="1"/>
    <col min="15" max="15" width="16.7109375" customWidth="1"/>
    <col min="16" max="16" width="14.7109375" customWidth="1"/>
    <col min="17" max="20" width="11.5703125" bestFit="1" customWidth="1"/>
  </cols>
  <sheetData>
    <row r="1" spans="1:15" hidden="1" x14ac:dyDescent="0.25">
      <c r="A1" s="1"/>
      <c r="B1" s="2"/>
      <c r="C1" s="2"/>
      <c r="D1" s="2"/>
      <c r="E1" s="2"/>
      <c r="F1" s="1"/>
      <c r="G1" s="2"/>
      <c r="H1" s="3"/>
      <c r="I1" s="4"/>
      <c r="J1" s="4"/>
      <c r="K1" s="5" t="s">
        <v>0</v>
      </c>
      <c r="L1" s="4"/>
      <c r="M1" s="6" t="s">
        <v>1</v>
      </c>
    </row>
    <row r="2" spans="1:15" hidden="1" x14ac:dyDescent="0.25">
      <c r="A2" s="7"/>
      <c r="B2" s="8"/>
      <c r="C2" s="8"/>
      <c r="D2" s="8"/>
      <c r="E2" s="8"/>
      <c r="F2" s="7"/>
      <c r="G2" s="8"/>
      <c r="H2" s="9" t="s">
        <v>2</v>
      </c>
      <c r="I2" s="9" t="s">
        <v>3</v>
      </c>
      <c r="J2" s="9" t="s">
        <v>1</v>
      </c>
      <c r="K2" s="9" t="s">
        <v>4</v>
      </c>
      <c r="L2" s="9" t="s">
        <v>5</v>
      </c>
      <c r="M2" s="10" t="s">
        <v>6</v>
      </c>
    </row>
    <row r="3" spans="1:15" hidden="1" x14ac:dyDescent="0.25">
      <c r="A3" s="11"/>
      <c r="B3" s="12"/>
      <c r="C3" s="12"/>
      <c r="D3" s="12"/>
      <c r="E3" s="12"/>
      <c r="F3" s="11"/>
      <c r="G3" s="12"/>
      <c r="H3" s="12"/>
      <c r="I3" s="12"/>
      <c r="J3" s="12"/>
      <c r="K3" s="13"/>
      <c r="L3" s="12"/>
      <c r="M3" s="14"/>
    </row>
    <row r="4" spans="1:15" ht="15.75" hidden="1" x14ac:dyDescent="0.25">
      <c r="G4" s="15" t="s">
        <v>7</v>
      </c>
    </row>
    <row r="5" spans="1:15" hidden="1" x14ac:dyDescent="0.25"/>
    <row r="6" spans="1:15" ht="24" hidden="1" customHeight="1" x14ac:dyDescent="0.25">
      <c r="F6">
        <v>1</v>
      </c>
      <c r="G6" t="s">
        <v>8</v>
      </c>
      <c r="H6" s="16">
        <f>SUM(H9:H16)</f>
        <v>9051689745.8336105</v>
      </c>
      <c r="I6" s="16">
        <f ca="1">SUM(I9:I16)</f>
        <v>9685561782.1207161</v>
      </c>
      <c r="J6" s="16">
        <f t="shared" ref="J6:J16" ca="1" si="0">I6-H6</f>
        <v>633872036.28710556</v>
      </c>
      <c r="K6" s="17">
        <f t="shared" ref="K6:K16" ca="1" si="1">IF(H6=0,0,J6/H6)</f>
        <v>7.0028033890453395E-2</v>
      </c>
      <c r="L6" s="16">
        <f>SUM(L9:L16)</f>
        <v>830024.43</v>
      </c>
      <c r="M6" s="16">
        <f ca="1">IF(L6=0,0,J6/L6)</f>
        <v>763.67877062016782</v>
      </c>
      <c r="N6" s="18"/>
      <c r="O6" s="18"/>
    </row>
    <row r="7" spans="1:15" s="19" customFormat="1" ht="21.75" hidden="1" customHeight="1" x14ac:dyDescent="0.25">
      <c r="F7" s="19">
        <v>2</v>
      </c>
      <c r="G7" s="19" t="s">
        <v>9</v>
      </c>
      <c r="H7" s="20">
        <f>SUM(H9:H11)</f>
        <v>4847023131.671917</v>
      </c>
      <c r="I7" s="20">
        <f ca="1">SUM(I9:I11)</f>
        <v>5171258139.6138945</v>
      </c>
      <c r="J7" s="20">
        <f ca="1">SUM(J9:J11)</f>
        <v>324235007.94197762</v>
      </c>
      <c r="K7" s="21">
        <f ca="1">IF(H7=0,0,J7/H7)</f>
        <v>6.6893637421147817E-2</v>
      </c>
      <c r="L7" s="20">
        <f>SUM(L9:L11)</f>
        <v>422598.17000000004</v>
      </c>
      <c r="M7" s="20">
        <f ca="1">IF(L7=0,0,J7/L7)</f>
        <v>767.24186463461876</v>
      </c>
      <c r="O7" s="22"/>
    </row>
    <row r="8" spans="1:15" s="19" customFormat="1" ht="18" hidden="1" customHeight="1" x14ac:dyDescent="0.25">
      <c r="F8" s="19">
        <v>3</v>
      </c>
      <c r="G8" s="19" t="s">
        <v>10</v>
      </c>
      <c r="H8" s="20">
        <f>H6-H7-H16 -H15</f>
        <v>3685812843.3324695</v>
      </c>
      <c r="I8" s="20">
        <f ca="1">I6-I7-I16 -I15</f>
        <v>3962602704.9910111</v>
      </c>
      <c r="J8" s="20">
        <f ca="1">J6-J7-J16 -J15</f>
        <v>276789861.65854108</v>
      </c>
      <c r="K8" s="21">
        <f ca="1">IF(H8=0,0,J8/H8)</f>
        <v>7.5096016380551189E-2</v>
      </c>
      <c r="L8" s="20">
        <f>L6-L7-L15</f>
        <v>365649.26</v>
      </c>
      <c r="M8" s="20">
        <f ca="1">IF(L8=0,0,J8/L8)</f>
        <v>756.98187289792702</v>
      </c>
      <c r="O8" s="22"/>
    </row>
    <row r="9" spans="1:15" s="19" customFormat="1" ht="23.25" hidden="1" customHeight="1" x14ac:dyDescent="0.25">
      <c r="F9" s="19">
        <v>4</v>
      </c>
      <c r="G9" s="19" t="s">
        <v>11</v>
      </c>
      <c r="H9" s="20">
        <f>[1]Details!EL29</f>
        <v>992220645.15830564</v>
      </c>
      <c r="I9" s="23">
        <f ca="1">[1]Details!EV29</f>
        <v>1051669771.2334206</v>
      </c>
      <c r="J9" s="20">
        <f t="shared" ca="1" si="0"/>
        <v>59449126.075114965</v>
      </c>
      <c r="K9" s="24">
        <f t="shared" ca="1" si="1"/>
        <v>5.9915227893318067E-2</v>
      </c>
      <c r="L9" s="20">
        <f>SUM([1]Details!K29:P29)</f>
        <v>72789.149999999994</v>
      </c>
      <c r="M9" s="20">
        <f t="shared" ref="M9:M16" ca="1" si="2">IF(L9=0,0,J9/L9)</f>
        <v>816.73059893012862</v>
      </c>
      <c r="N9" s="22"/>
      <c r="O9" s="22"/>
    </row>
    <row r="10" spans="1:15" s="19" customFormat="1" hidden="1" x14ac:dyDescent="0.25">
      <c r="F10" s="19">
        <f t="shared" ref="F10:F16" si="3">F9+1</f>
        <v>5</v>
      </c>
      <c r="G10" s="19" t="s">
        <v>12</v>
      </c>
      <c r="H10" s="20">
        <f>[1]Details!EL30</f>
        <v>993430919.49704266</v>
      </c>
      <c r="I10" s="23">
        <f ca="1">[1]Details!EV30</f>
        <v>1067592057.3061336</v>
      </c>
      <c r="J10" s="20">
        <f t="shared" ca="1" si="0"/>
        <v>74161137.809090972</v>
      </c>
      <c r="K10" s="24">
        <f t="shared" ca="1" si="1"/>
        <v>7.4651529717473977E-2</v>
      </c>
      <c r="L10" s="20">
        <f>SUM([1]Details!K30:P30)</f>
        <v>86993.01999999999</v>
      </c>
      <c r="M10" s="20">
        <f t="shared" ca="1" si="2"/>
        <v>852.49526696614259</v>
      </c>
      <c r="N10" s="22"/>
      <c r="O10" s="22"/>
    </row>
    <row r="11" spans="1:15" s="19" customFormat="1" hidden="1" x14ac:dyDescent="0.25">
      <c r="F11" s="19">
        <f t="shared" si="3"/>
        <v>6</v>
      </c>
      <c r="G11" s="19" t="s">
        <v>13</v>
      </c>
      <c r="H11" s="20">
        <f>[1]Details!EL31</f>
        <v>2861371567.0165687</v>
      </c>
      <c r="I11" s="23">
        <f ca="1">[1]Details!EV31</f>
        <v>3051996311.0743403</v>
      </c>
      <c r="J11" s="20">
        <f t="shared" ca="1" si="0"/>
        <v>190624744.05777168</v>
      </c>
      <c r="K11" s="24">
        <f t="shared" ca="1" si="1"/>
        <v>6.6620059504025914E-2</v>
      </c>
      <c r="L11" s="20">
        <f>SUM([1]Details!K31:P31)</f>
        <v>262816.00000000006</v>
      </c>
      <c r="M11" s="20">
        <f t="shared" ca="1" si="2"/>
        <v>725.31635843240758</v>
      </c>
      <c r="N11" s="22"/>
      <c r="O11" s="22"/>
    </row>
    <row r="12" spans="1:15" s="19" customFormat="1" hidden="1" x14ac:dyDescent="0.25">
      <c r="F12" s="19">
        <f t="shared" si="3"/>
        <v>7</v>
      </c>
      <c r="G12" s="19" t="s">
        <v>14</v>
      </c>
      <c r="H12" s="20">
        <f>[1]Details!EL32</f>
        <v>1842158401.9279509</v>
      </c>
      <c r="I12" s="23">
        <f ca="1">[1]Details!EV32</f>
        <v>1985395776.6495247</v>
      </c>
      <c r="J12" s="20">
        <f t="shared" ca="1" si="0"/>
        <v>143237374.72157383</v>
      </c>
      <c r="K12" s="24">
        <f t="shared" ca="1" si="1"/>
        <v>7.7755189006366465E-2</v>
      </c>
      <c r="L12" s="20">
        <f>SUM([1]Details!K32:P32)</f>
        <v>184386.40000000002</v>
      </c>
      <c r="M12" s="20">
        <f t="shared" ca="1" si="2"/>
        <v>776.83264449858461</v>
      </c>
      <c r="N12" s="22"/>
      <c r="O12" s="22"/>
    </row>
    <row r="13" spans="1:15" s="19" customFormat="1" hidden="1" x14ac:dyDescent="0.25">
      <c r="F13" s="19">
        <f t="shared" si="3"/>
        <v>8</v>
      </c>
      <c r="G13" s="19" t="s">
        <v>15</v>
      </c>
      <c r="H13" s="20">
        <f>[1]Details!EL33</f>
        <v>921736663.05128884</v>
      </c>
      <c r="I13" s="23">
        <f ca="1">[1]Details!EV33</f>
        <v>989924074.83860278</v>
      </c>
      <c r="J13" s="20">
        <f t="shared" ca="1" si="0"/>
        <v>68187411.787313938</v>
      </c>
      <c r="K13" s="24">
        <f t="shared" ca="1" si="1"/>
        <v>7.3977107042252632E-2</v>
      </c>
      <c r="L13" s="20">
        <f>SUM([1]Details!K33:P33)</f>
        <v>93852</v>
      </c>
      <c r="M13" s="20">
        <f t="shared" ca="1" si="2"/>
        <v>726.54191479471865</v>
      </c>
      <c r="N13" s="22"/>
      <c r="O13" s="22"/>
    </row>
    <row r="14" spans="1:15" s="19" customFormat="1" hidden="1" x14ac:dyDescent="0.25">
      <c r="F14" s="19">
        <f t="shared" si="3"/>
        <v>9</v>
      </c>
      <c r="G14" s="19" t="s">
        <v>16</v>
      </c>
      <c r="H14" s="20">
        <f>[1]Details!EL34</f>
        <v>921917778.35323155</v>
      </c>
      <c r="I14" s="23">
        <f ca="1">[1]Details!EV34</f>
        <v>987282853.50288188</v>
      </c>
      <c r="J14" s="20">
        <f t="shared" ca="1" si="0"/>
        <v>65365075.149650335</v>
      </c>
      <c r="K14" s="24">
        <f t="shared" ca="1" si="1"/>
        <v>7.0901198224431888E-2</v>
      </c>
      <c r="L14" s="20">
        <f>SUM([1]Details!K34:P34)</f>
        <v>87410.859999999986</v>
      </c>
      <c r="M14" s="20">
        <f t="shared" ca="1" si="2"/>
        <v>747.79123726331431</v>
      </c>
      <c r="N14" s="22"/>
      <c r="O14" s="22"/>
    </row>
    <row r="15" spans="1:15" s="19" customFormat="1" hidden="1" x14ac:dyDescent="0.25">
      <c r="F15" s="19">
        <f t="shared" si="3"/>
        <v>10</v>
      </c>
      <c r="G15" s="19" t="s">
        <v>17</v>
      </c>
      <c r="H15" s="20">
        <f>[1]Details!EL35</f>
        <v>426043327.52772284</v>
      </c>
      <c r="I15" s="23">
        <f ca="1">[1]Details!EV35</f>
        <v>458131402.03950465</v>
      </c>
      <c r="J15" s="20">
        <f t="shared" ca="1" si="0"/>
        <v>32088074.511781812</v>
      </c>
      <c r="K15" s="24">
        <f t="shared" ca="1" si="1"/>
        <v>7.5316458300109926E-2</v>
      </c>
      <c r="L15" s="20">
        <f>SUM([1]Details!K35:P35)</f>
        <v>41777</v>
      </c>
      <c r="M15" s="20">
        <f t="shared" ca="1" si="2"/>
        <v>768.07991267400268</v>
      </c>
      <c r="N15" s="22"/>
      <c r="O15" s="22"/>
    </row>
    <row r="16" spans="1:15" s="25" customFormat="1" ht="15.75" hidden="1" thickBot="1" x14ac:dyDescent="0.3">
      <c r="F16" s="25">
        <f t="shared" si="3"/>
        <v>11</v>
      </c>
      <c r="G16" s="25" t="s">
        <v>18</v>
      </c>
      <c r="H16" s="26">
        <f>[1]Details!EL36</f>
        <v>92810443.301501095</v>
      </c>
      <c r="I16" s="26">
        <f>[1]Details!EV36</f>
        <v>93569535.476306111</v>
      </c>
      <c r="J16" s="26">
        <f t="shared" si="0"/>
        <v>759092.17480501533</v>
      </c>
      <c r="K16" s="27">
        <f t="shared" si="1"/>
        <v>8.1789521502343473E-3</v>
      </c>
      <c r="L16" s="26">
        <f>SUM([1]Details!K36:P36)</f>
        <v>0</v>
      </c>
      <c r="M16" s="26">
        <f t="shared" si="2"/>
        <v>0</v>
      </c>
    </row>
    <row r="17" spans="6:16" s="19" customFormat="1" hidden="1" x14ac:dyDescent="0.25">
      <c r="F17" s="19">
        <v>12</v>
      </c>
      <c r="H17" s="20"/>
      <c r="I17" s="20"/>
      <c r="J17" s="20"/>
      <c r="K17" s="24"/>
      <c r="L17" s="20"/>
      <c r="M17" s="20"/>
    </row>
    <row r="18" spans="6:16" s="19" customFormat="1" ht="15.75" hidden="1" x14ac:dyDescent="0.25">
      <c r="F18" s="19">
        <v>13</v>
      </c>
      <c r="G18" s="28" t="s">
        <v>19</v>
      </c>
      <c r="H18" s="20"/>
      <c r="I18" s="20"/>
      <c r="J18" s="20"/>
    </row>
    <row r="19" spans="6:16" s="19" customFormat="1" hidden="1" x14ac:dyDescent="0.25">
      <c r="I19" s="20"/>
      <c r="K19" s="20"/>
      <c r="N19" s="29"/>
    </row>
    <row r="20" spans="6:16" s="19" customFormat="1" ht="24.75" hidden="1" customHeight="1" x14ac:dyDescent="0.25">
      <c r="F20" s="19">
        <v>14</v>
      </c>
      <c r="G20" s="19" t="s">
        <v>8</v>
      </c>
      <c r="H20" s="20">
        <f>SUM(H23:H30)</f>
        <v>1973797771.5297453</v>
      </c>
      <c r="I20" s="20">
        <f ca="1">SUM(I23:I30)</f>
        <v>1973797771.6678648</v>
      </c>
      <c r="J20" s="20">
        <f ca="1">I20-H20</f>
        <v>0.13811945915222168</v>
      </c>
      <c r="K20" s="24">
        <f t="shared" ref="K20:K30" ca="1" si="4">IF(H20=0,0,J20/H20)</f>
        <v>6.9976499692354737E-11</v>
      </c>
      <c r="L20" s="20">
        <f>L6</f>
        <v>830024.43</v>
      </c>
      <c r="M20" s="20">
        <f t="shared" ref="M20:M30" ca="1" si="5">IF(L20=0,0,J20/L20)</f>
        <v>1.6640408903653797E-7</v>
      </c>
    </row>
    <row r="21" spans="6:16" s="19" customFormat="1" ht="21" hidden="1" customHeight="1" x14ac:dyDescent="0.25">
      <c r="F21" s="19">
        <v>15</v>
      </c>
      <c r="G21" s="19" t="s">
        <v>9</v>
      </c>
      <c r="H21" s="20">
        <f>H23+H24+H25</f>
        <v>1293658088.3845644</v>
      </c>
      <c r="I21" s="20">
        <f t="shared" ref="I21:L21" ca="1" si="6">I23+I24+I25</f>
        <v>1293833928.8817792</v>
      </c>
      <c r="J21" s="20">
        <f t="shared" ca="1" si="6"/>
        <v>175840.49721476436</v>
      </c>
      <c r="K21" s="24">
        <f t="shared" ca="1" si="4"/>
        <v>1.3592501665903273E-4</v>
      </c>
      <c r="L21" s="20">
        <f t="shared" si="6"/>
        <v>422598.17000000004</v>
      </c>
      <c r="M21" s="20">
        <f t="shared" ca="1" si="5"/>
        <v>0.41609384445456621</v>
      </c>
    </row>
    <row r="22" spans="6:16" s="19" customFormat="1" hidden="1" x14ac:dyDescent="0.25">
      <c r="F22" s="19">
        <v>16</v>
      </c>
      <c r="G22" s="19" t="s">
        <v>10</v>
      </c>
      <c r="H22" s="20">
        <f>H20-H21</f>
        <v>680139683.14518094</v>
      </c>
      <c r="I22" s="20">
        <f t="shared" ref="I22:L22" ca="1" si="7">I20-I21</f>
        <v>679963842.78608561</v>
      </c>
      <c r="J22" s="20">
        <f t="shared" ca="1" si="7"/>
        <v>-175840.3590953052</v>
      </c>
      <c r="K22" s="24">
        <f t="shared" ca="1" si="4"/>
        <v>-2.5853565591433186E-4</v>
      </c>
      <c r="L22" s="20">
        <f t="shared" si="7"/>
        <v>407426.26</v>
      </c>
      <c r="M22" s="20">
        <f t="shared" ca="1" si="5"/>
        <v>-0.4315881825960487</v>
      </c>
    </row>
    <row r="23" spans="6:16" ht="24.75" hidden="1" customHeight="1" x14ac:dyDescent="0.25">
      <c r="F23">
        <v>17</v>
      </c>
      <c r="G23" t="s">
        <v>11</v>
      </c>
      <c r="H23" s="16">
        <f>[1]Details!EP29</f>
        <v>223168926.03260407</v>
      </c>
      <c r="I23" s="16">
        <f ca="1">[1]Details!ES29</f>
        <v>228117969.12020504</v>
      </c>
      <c r="J23" s="16">
        <f ca="1">I23-H23</f>
        <v>4949043.0876009762</v>
      </c>
      <c r="K23" s="17">
        <f t="shared" ca="1" si="4"/>
        <v>2.2176219492484099E-2</v>
      </c>
      <c r="L23" s="16">
        <f t="shared" ref="L23:L30" si="8">L9</f>
        <v>72789.149999999994</v>
      </c>
      <c r="M23" s="16">
        <f t="shared" ca="1" si="5"/>
        <v>67.991494441149214</v>
      </c>
    </row>
    <row r="24" spans="6:16" hidden="1" x14ac:dyDescent="0.25">
      <c r="F24">
        <f>F23+1</f>
        <v>18</v>
      </c>
      <c r="G24" t="s">
        <v>12</v>
      </c>
      <c r="H24" s="16">
        <f>[1]Details!EP30</f>
        <v>288695088.64732933</v>
      </c>
      <c r="I24" s="16">
        <f ca="1">[1]Details!ES30</f>
        <v>295391780.57487756</v>
      </c>
      <c r="J24" s="16">
        <f t="shared" ref="J24:J30" ca="1" si="9">I24-H24</f>
        <v>6696691.9275482297</v>
      </c>
      <c r="K24" s="17">
        <f t="shared" ca="1" si="4"/>
        <v>2.3196417919422681E-2</v>
      </c>
      <c r="L24" s="16">
        <f t="shared" si="8"/>
        <v>86993.01999999999</v>
      </c>
      <c r="M24" s="16">
        <f t="shared" ca="1" si="5"/>
        <v>76.979646499779292</v>
      </c>
    </row>
    <row r="25" spans="6:16" hidden="1" x14ac:dyDescent="0.25">
      <c r="F25">
        <f t="shared" ref="F25:F30" si="10">F24+1</f>
        <v>19</v>
      </c>
      <c r="G25" t="s">
        <v>13</v>
      </c>
      <c r="H25" s="16">
        <f>[1]Details!EP31</f>
        <v>781794073.70463109</v>
      </c>
      <c r="I25" s="16">
        <f ca="1">[1]Details!ES31</f>
        <v>770324179.18669665</v>
      </c>
      <c r="J25" s="16">
        <f t="shared" ca="1" si="9"/>
        <v>-11469894.517934442</v>
      </c>
      <c r="K25" s="17">
        <f t="shared" ca="1" si="4"/>
        <v>-1.4671247715632944E-2</v>
      </c>
      <c r="L25" s="16">
        <f t="shared" si="8"/>
        <v>262816.00000000006</v>
      </c>
      <c r="M25" s="16">
        <f t="shared" ca="1" si="5"/>
        <v>-43.642299243327798</v>
      </c>
    </row>
    <row r="26" spans="6:16" hidden="1" x14ac:dyDescent="0.25">
      <c r="F26">
        <f t="shared" si="10"/>
        <v>20</v>
      </c>
      <c r="G26" t="s">
        <v>14</v>
      </c>
      <c r="H26" s="16">
        <f>[1]Details!EP32</f>
        <v>346552505.75430322</v>
      </c>
      <c r="I26" s="16">
        <f ca="1">[1]Details!ES32</f>
        <v>342162169.89546925</v>
      </c>
      <c r="J26" s="16">
        <f t="shared" ca="1" si="9"/>
        <v>-4390335.8588339686</v>
      </c>
      <c r="K26" s="17">
        <f t="shared" ca="1" si="4"/>
        <v>-1.2668602263538685E-2</v>
      </c>
      <c r="L26" s="16">
        <f t="shared" si="8"/>
        <v>184386.40000000002</v>
      </c>
      <c r="M26" s="16">
        <f t="shared" ca="1" si="5"/>
        <v>-23.810518882270969</v>
      </c>
    </row>
    <row r="27" spans="6:16" hidden="1" x14ac:dyDescent="0.25">
      <c r="F27">
        <f t="shared" si="10"/>
        <v>21</v>
      </c>
      <c r="G27" t="s">
        <v>15</v>
      </c>
      <c r="H27" s="16">
        <f>[1]Details!EP33</f>
        <v>165270693.77660066</v>
      </c>
      <c r="I27" s="16">
        <f ca="1">[1]Details!ES33</f>
        <v>165940463.00840038</v>
      </c>
      <c r="J27" s="16">
        <f t="shared" ca="1" si="9"/>
        <v>669769.23179972172</v>
      </c>
      <c r="K27" s="17">
        <f t="shared" ca="1" si="4"/>
        <v>4.0525589655057703E-3</v>
      </c>
      <c r="L27" s="16">
        <f t="shared" si="8"/>
        <v>93852</v>
      </c>
      <c r="M27" s="16">
        <f t="shared" ca="1" si="5"/>
        <v>7.1364406917244354</v>
      </c>
    </row>
    <row r="28" spans="6:16" hidden="1" x14ac:dyDescent="0.25">
      <c r="F28">
        <f t="shared" si="10"/>
        <v>22</v>
      </c>
      <c r="G28" t="s">
        <v>16</v>
      </c>
      <c r="H28" s="16">
        <f>[1]Details!EP34</f>
        <v>167656596.17427707</v>
      </c>
      <c r="I28" s="16">
        <f ca="1">[1]Details!ES34</f>
        <v>171924354.66221589</v>
      </c>
      <c r="J28" s="16">
        <f t="shared" ca="1" si="9"/>
        <v>4267758.4879388213</v>
      </c>
      <c r="K28" s="17">
        <f t="shared" ca="1" si="4"/>
        <v>2.5455356874253467E-2</v>
      </c>
      <c r="L28" s="16">
        <f t="shared" si="8"/>
        <v>87410.859999999986</v>
      </c>
      <c r="M28" s="16">
        <f t="shared" ca="1" si="5"/>
        <v>48.824121944788345</v>
      </c>
    </row>
    <row r="29" spans="6:16" hidden="1" x14ac:dyDescent="0.25">
      <c r="F29">
        <f t="shared" si="10"/>
        <v>23</v>
      </c>
      <c r="G29" t="s">
        <v>17</v>
      </c>
      <c r="H29" s="16">
        <f>[1]Details!EP35</f>
        <v>0</v>
      </c>
      <c r="I29" s="16">
        <f>[1]Details!ES35</f>
        <v>0</v>
      </c>
      <c r="J29" s="16">
        <f t="shared" si="9"/>
        <v>0</v>
      </c>
      <c r="K29" s="17">
        <f t="shared" si="4"/>
        <v>0</v>
      </c>
      <c r="L29" s="16">
        <f t="shared" si="8"/>
        <v>41777</v>
      </c>
      <c r="M29" s="16">
        <f t="shared" si="5"/>
        <v>0</v>
      </c>
    </row>
    <row r="30" spans="6:16" s="30" customFormat="1" ht="15.75" hidden="1" thickBot="1" x14ac:dyDescent="0.3">
      <c r="F30" s="30">
        <f t="shared" si="10"/>
        <v>24</v>
      </c>
      <c r="G30" s="30" t="s">
        <v>18</v>
      </c>
      <c r="H30" s="31">
        <f>[1]Details!EP36</f>
        <v>659887.43999999831</v>
      </c>
      <c r="I30" s="31">
        <f>[1]Details!ES36</f>
        <v>-63144.780000000494</v>
      </c>
      <c r="J30" s="31">
        <f t="shared" si="9"/>
        <v>-723032.21999999881</v>
      </c>
      <c r="K30" s="32">
        <f t="shared" si="4"/>
        <v>-1.0956902286244463</v>
      </c>
      <c r="L30" s="31">
        <f t="shared" si="8"/>
        <v>0</v>
      </c>
      <c r="M30" s="31">
        <f t="shared" si="5"/>
        <v>0</v>
      </c>
    </row>
    <row r="31" spans="6:16" hidden="1" x14ac:dyDescent="0.25">
      <c r="F31">
        <v>25</v>
      </c>
      <c r="H31" s="16"/>
      <c r="I31" s="16"/>
      <c r="J31" s="16"/>
    </row>
    <row r="32" spans="6:16" ht="15.75" hidden="1" x14ac:dyDescent="0.25">
      <c r="F32">
        <v>26</v>
      </c>
      <c r="G32" s="15" t="s">
        <v>20</v>
      </c>
      <c r="H32" s="33"/>
      <c r="I32" s="34"/>
      <c r="J32" s="34"/>
      <c r="K32" s="34"/>
      <c r="P32" s="16"/>
    </row>
    <row r="33" spans="6:16" hidden="1" x14ac:dyDescent="0.25">
      <c r="K33"/>
    </row>
    <row r="34" spans="6:16" hidden="1" x14ac:dyDescent="0.25">
      <c r="F34">
        <v>27</v>
      </c>
      <c r="G34" t="s">
        <v>21</v>
      </c>
      <c r="H34" s="16">
        <f>[1]Details!V27</f>
        <v>5000822727.2799978</v>
      </c>
      <c r="I34" s="16">
        <f>[1]Details!AW27</f>
        <v>5520204270</v>
      </c>
      <c r="J34" s="16">
        <f>I34-H34</f>
        <v>519381542.72000217</v>
      </c>
      <c r="K34" s="17">
        <f>IF(H34=0,0,J34/H34)</f>
        <v>0.10385921898145337</v>
      </c>
      <c r="L34" s="16">
        <f>$L$6</f>
        <v>830024.43</v>
      </c>
      <c r="M34" s="16">
        <f>IF(L34=0,0,J34/L34)</f>
        <v>625.74247690517029</v>
      </c>
      <c r="O34" s="16"/>
      <c r="P34" s="16"/>
    </row>
    <row r="35" spans="6:16" hidden="1" x14ac:dyDescent="0.25">
      <c r="F35">
        <f t="shared" ref="F35:F69" si="11">F34+1</f>
        <v>28</v>
      </c>
      <c r="G35" t="s">
        <v>22</v>
      </c>
      <c r="H35" s="16">
        <v>0</v>
      </c>
      <c r="I35" s="16">
        <f>[1]Details!AX27</f>
        <v>9507183.839999998</v>
      </c>
      <c r="J35" s="16">
        <f t="shared" ref="J35:J69" si="12">I35-H35</f>
        <v>9507183.839999998</v>
      </c>
      <c r="K35" s="17">
        <f t="shared" ref="K35:K69" si="13">IF(H35=0,0,J35/H35)</f>
        <v>0</v>
      </c>
      <c r="L35" s="16">
        <f t="shared" ref="L35:L125" si="14">$L$6</f>
        <v>830024.43</v>
      </c>
      <c r="M35" s="16">
        <f t="shared" ref="M35:M102" si="15">IF(L35=0,0,J35/L35)</f>
        <v>11.454101224466365</v>
      </c>
      <c r="O35" s="16"/>
      <c r="P35" s="16"/>
    </row>
    <row r="36" spans="6:16" hidden="1" x14ac:dyDescent="0.25">
      <c r="F36">
        <f t="shared" si="11"/>
        <v>29</v>
      </c>
      <c r="G36" t="s">
        <v>23</v>
      </c>
      <c r="H36" s="16">
        <f>[1]Details!W27</f>
        <v>11487341.640000001</v>
      </c>
      <c r="I36" s="16">
        <v>0</v>
      </c>
      <c r="J36" s="16">
        <f t="shared" si="12"/>
        <v>-11487341.640000001</v>
      </c>
      <c r="K36" s="17">
        <f t="shared" si="13"/>
        <v>-1</v>
      </c>
      <c r="L36" s="16">
        <f t="shared" si="14"/>
        <v>830024.43</v>
      </c>
      <c r="M36" s="16">
        <f t="shared" si="15"/>
        <v>-13.839763294677965</v>
      </c>
      <c r="O36" s="16"/>
      <c r="P36" s="16"/>
    </row>
    <row r="37" spans="6:16" hidden="1" x14ac:dyDescent="0.25">
      <c r="F37">
        <f t="shared" si="11"/>
        <v>30</v>
      </c>
      <c r="G37" t="s">
        <v>24</v>
      </c>
      <c r="H37" s="16">
        <f>[1]Details!X27</f>
        <v>72139677.129999995</v>
      </c>
      <c r="I37" s="16">
        <f>[1]Details!BE27</f>
        <v>0</v>
      </c>
      <c r="J37" s="16">
        <f t="shared" si="12"/>
        <v>-72139677.129999995</v>
      </c>
      <c r="K37" s="17">
        <f t="shared" si="13"/>
        <v>-1</v>
      </c>
      <c r="L37" s="16">
        <f t="shared" si="14"/>
        <v>830024.43</v>
      </c>
      <c r="M37" s="16">
        <f t="shared" si="15"/>
        <v>-86.912715484771923</v>
      </c>
      <c r="O37" s="16"/>
      <c r="P37" s="16"/>
    </row>
    <row r="38" spans="6:16" hidden="1" x14ac:dyDescent="0.25">
      <c r="F38">
        <f t="shared" si="11"/>
        <v>31</v>
      </c>
      <c r="G38" t="s">
        <v>25</v>
      </c>
      <c r="H38" s="16">
        <f>[1]Details!Y27</f>
        <v>456359810.03999972</v>
      </c>
      <c r="I38" s="16">
        <f>[1]Details!BF27</f>
        <v>546096797.55999959</v>
      </c>
      <c r="J38" s="16">
        <f t="shared" si="12"/>
        <v>89736987.519999862</v>
      </c>
      <c r="K38" s="17">
        <f t="shared" si="13"/>
        <v>0.19663648188506008</v>
      </c>
      <c r="L38" s="16">
        <f t="shared" si="14"/>
        <v>830024.43</v>
      </c>
      <c r="M38" s="16">
        <f t="shared" si="15"/>
        <v>108.11367024462142</v>
      </c>
      <c r="N38" s="16"/>
      <c r="O38" s="16"/>
      <c r="P38" s="16"/>
    </row>
    <row r="39" spans="6:16" hidden="1" x14ac:dyDescent="0.25">
      <c r="F39">
        <f t="shared" si="11"/>
        <v>32</v>
      </c>
      <c r="G39" t="s">
        <v>26</v>
      </c>
      <c r="H39" s="16">
        <f>[1]Details!Z27</f>
        <v>33577243</v>
      </c>
      <c r="I39" s="16">
        <f>[1]Details!AZ27</f>
        <v>36962037</v>
      </c>
      <c r="J39" s="16">
        <f t="shared" si="12"/>
        <v>3384794</v>
      </c>
      <c r="K39" s="17">
        <f t="shared" si="13"/>
        <v>0.10080619186036209</v>
      </c>
      <c r="L39" s="16">
        <f t="shared" si="14"/>
        <v>830024.43</v>
      </c>
      <c r="M39" s="16">
        <f t="shared" si="15"/>
        <v>4.07794503108782</v>
      </c>
      <c r="O39" s="16"/>
      <c r="P39" s="16"/>
    </row>
    <row r="40" spans="6:16" hidden="1" x14ac:dyDescent="0.25">
      <c r="F40">
        <f t="shared" si="11"/>
        <v>33</v>
      </c>
      <c r="G40" t="s">
        <v>27</v>
      </c>
      <c r="H40" s="16">
        <f>[1]Details!AA27</f>
        <v>8953592.5</v>
      </c>
      <c r="I40" s="16">
        <f>[1]Details!BD27</f>
        <v>12976505.648453899</v>
      </c>
      <c r="J40" s="16">
        <f t="shared" si="12"/>
        <v>4022913.1484538987</v>
      </c>
      <c r="K40" s="17">
        <f t="shared" si="13"/>
        <v>0.44930715223569745</v>
      </c>
      <c r="L40" s="16">
        <f t="shared" si="14"/>
        <v>830024.43</v>
      </c>
      <c r="M40" s="16">
        <f t="shared" si="15"/>
        <v>4.8467406537105164</v>
      </c>
      <c r="O40" s="16"/>
      <c r="P40" s="16"/>
    </row>
    <row r="41" spans="6:16" hidden="1" x14ac:dyDescent="0.25">
      <c r="F41">
        <f t="shared" si="11"/>
        <v>34</v>
      </c>
      <c r="G41" t="s">
        <v>28</v>
      </c>
      <c r="H41" s="16">
        <f>[1]Details!AB27</f>
        <v>25040627.069999989</v>
      </c>
      <c r="I41" s="16">
        <f>[1]Details!BG27</f>
        <v>26138900.240000002</v>
      </c>
      <c r="J41" s="16">
        <f t="shared" si="12"/>
        <v>1098273.170000013</v>
      </c>
      <c r="K41" s="17">
        <f t="shared" si="13"/>
        <v>4.3859651235164276E-2</v>
      </c>
      <c r="L41" s="16">
        <f t="shared" si="14"/>
        <v>830024.43</v>
      </c>
      <c r="M41" s="16">
        <f t="shared" si="15"/>
        <v>1.3231817405663746</v>
      </c>
      <c r="O41" s="16"/>
      <c r="P41" s="16"/>
    </row>
    <row r="42" spans="6:16" hidden="1" x14ac:dyDescent="0.25">
      <c r="F42">
        <f t="shared" si="11"/>
        <v>35</v>
      </c>
      <c r="G42" t="s">
        <v>29</v>
      </c>
      <c r="H42" s="16">
        <f>[1]Details!AC27</f>
        <v>15727607.199999994</v>
      </c>
      <c r="I42" s="16">
        <f>[1]Details!AY27</f>
        <v>15733460.299730526</v>
      </c>
      <c r="J42" s="16">
        <f t="shared" si="12"/>
        <v>5853.0997305326164</v>
      </c>
      <c r="K42" s="17">
        <f t="shared" si="13"/>
        <v>3.7215449598287389E-4</v>
      </c>
      <c r="L42" s="16">
        <f t="shared" si="14"/>
        <v>830024.43</v>
      </c>
      <c r="M42" s="16">
        <f t="shared" si="15"/>
        <v>7.0517198277315956E-3</v>
      </c>
      <c r="O42" s="16"/>
      <c r="P42" s="16"/>
    </row>
    <row r="43" spans="6:16" hidden="1" x14ac:dyDescent="0.25">
      <c r="F43">
        <f t="shared" si="11"/>
        <v>36</v>
      </c>
      <c r="G43" t="s">
        <v>30</v>
      </c>
      <c r="H43" s="16">
        <f>[1]Details!AD27</f>
        <v>61050313.880000047</v>
      </c>
      <c r="I43" s="16">
        <f>[1]Details!BM27</f>
        <v>63959705.920000039</v>
      </c>
      <c r="J43" s="16">
        <f t="shared" si="12"/>
        <v>2909392.0399999917</v>
      </c>
      <c r="K43" s="17">
        <f t="shared" si="13"/>
        <v>4.76556442562878E-2</v>
      </c>
      <c r="L43" s="16">
        <f t="shared" si="14"/>
        <v>830024.43</v>
      </c>
      <c r="M43" s="16">
        <f t="shared" si="15"/>
        <v>3.5051884436702561</v>
      </c>
      <c r="O43" s="16"/>
      <c r="P43" s="16"/>
    </row>
    <row r="44" spans="6:16" hidden="1" x14ac:dyDescent="0.25">
      <c r="F44">
        <f t="shared" si="11"/>
        <v>37</v>
      </c>
      <c r="G44" t="s">
        <v>31</v>
      </c>
      <c r="H44" s="16">
        <f>[1]Details!AE27</f>
        <v>93683394.519999981</v>
      </c>
      <c r="I44" s="16">
        <f ca="1">[1]Details!CK27</f>
        <v>54232545.360000081</v>
      </c>
      <c r="J44" s="16">
        <f t="shared" ca="1" si="12"/>
        <v>-39450849.1599999</v>
      </c>
      <c r="K44" s="17">
        <f t="shared" ca="1" si="13"/>
        <v>-0.42110823761384675</v>
      </c>
      <c r="L44" s="16">
        <f t="shared" si="14"/>
        <v>830024.43</v>
      </c>
      <c r="M44" s="16">
        <f t="shared" ca="1" si="15"/>
        <v>-47.52974458836097</v>
      </c>
      <c r="O44" s="16"/>
      <c r="P44" s="16"/>
    </row>
    <row r="45" spans="6:16" hidden="1" x14ac:dyDescent="0.25">
      <c r="F45">
        <f t="shared" si="11"/>
        <v>38</v>
      </c>
      <c r="G45" t="s">
        <v>32</v>
      </c>
      <c r="H45" s="16">
        <f>[1]Details!AF27</f>
        <v>29777252.139999993</v>
      </c>
      <c r="I45" s="20">
        <f ca="1">[1]Details!ET27</f>
        <v>793606.66916242987</v>
      </c>
      <c r="J45" s="16">
        <f t="shared" ca="1" si="12"/>
        <v>-28983645.470837563</v>
      </c>
      <c r="K45" s="17">
        <f t="shared" ca="1" si="13"/>
        <v>-0.97334855931530462</v>
      </c>
      <c r="L45" s="16">
        <f t="shared" si="14"/>
        <v>830024.43</v>
      </c>
      <c r="M45" s="16">
        <f t="shared" ca="1" si="15"/>
        <v>-34.919026986756961</v>
      </c>
      <c r="O45" s="20"/>
      <c r="P45" s="16"/>
    </row>
    <row r="46" spans="6:16" hidden="1" x14ac:dyDescent="0.25">
      <c r="F46">
        <f t="shared" si="11"/>
        <v>39</v>
      </c>
      <c r="G46" t="s">
        <v>33</v>
      </c>
      <c r="H46" s="16">
        <f>[1]Details!AG27</f>
        <v>197413824.88999996</v>
      </c>
      <c r="I46" s="16">
        <f>[1]Details!BQ27</f>
        <v>197438688.42235181</v>
      </c>
      <c r="J46" s="16">
        <f t="shared" si="12"/>
        <v>24863.532351851463</v>
      </c>
      <c r="K46" s="17">
        <f t="shared" si="13"/>
        <v>1.259462571362748E-4</v>
      </c>
      <c r="L46" s="16">
        <f t="shared" si="14"/>
        <v>830024.43</v>
      </c>
      <c r="M46" s="16">
        <f t="shared" si="15"/>
        <v>2.9955181381650972E-2</v>
      </c>
      <c r="O46" s="16"/>
      <c r="P46" s="16"/>
    </row>
    <row r="47" spans="6:16" hidden="1" x14ac:dyDescent="0.25">
      <c r="F47">
        <f t="shared" si="11"/>
        <v>40</v>
      </c>
      <c r="G47" t="s">
        <v>34</v>
      </c>
      <c r="H47" s="16">
        <f>[1]Details!AH27</f>
        <v>63679791.170000017</v>
      </c>
      <c r="I47" s="16">
        <f>[1]Details!DG27</f>
        <v>63679791.170000017</v>
      </c>
      <c r="J47" s="16">
        <f t="shared" si="12"/>
        <v>0</v>
      </c>
      <c r="K47" s="17">
        <f t="shared" si="13"/>
        <v>0</v>
      </c>
      <c r="L47" s="16">
        <f t="shared" si="14"/>
        <v>830024.43</v>
      </c>
      <c r="M47" s="16">
        <f t="shared" si="15"/>
        <v>0</v>
      </c>
      <c r="O47" s="16"/>
      <c r="P47" s="16"/>
    </row>
    <row r="48" spans="6:16" hidden="1" x14ac:dyDescent="0.25">
      <c r="F48">
        <f t="shared" si="11"/>
        <v>41</v>
      </c>
      <c r="G48" s="35" t="s">
        <v>35</v>
      </c>
      <c r="H48" s="36">
        <f>[1]Details!AJ27</f>
        <v>524829.87</v>
      </c>
      <c r="I48" s="36">
        <f>[1]Details!DL27</f>
        <v>2553241.3967680046</v>
      </c>
      <c r="J48" s="16">
        <f t="shared" si="12"/>
        <v>2028411.5267680045</v>
      </c>
      <c r="K48" s="17">
        <f t="shared" si="13"/>
        <v>3.8648934496963836</v>
      </c>
      <c r="L48" s="16">
        <f t="shared" si="14"/>
        <v>830024.43</v>
      </c>
      <c r="M48" s="16">
        <f t="shared" si="15"/>
        <v>2.4437973792747334</v>
      </c>
      <c r="O48" s="16"/>
      <c r="P48" s="16"/>
    </row>
    <row r="49" spans="6:17" hidden="1" x14ac:dyDescent="0.25">
      <c r="F49">
        <f t="shared" si="11"/>
        <v>42</v>
      </c>
      <c r="G49" t="s">
        <v>36</v>
      </c>
      <c r="H49" s="16">
        <f>[1]Details!AK27</f>
        <v>-299052.71999999968</v>
      </c>
      <c r="I49" s="16">
        <f>H49</f>
        <v>-299052.71999999968</v>
      </c>
      <c r="J49" s="16">
        <f t="shared" si="12"/>
        <v>0</v>
      </c>
      <c r="K49" s="17">
        <f t="shared" si="13"/>
        <v>0</v>
      </c>
      <c r="L49" s="16">
        <f t="shared" si="14"/>
        <v>830024.43</v>
      </c>
      <c r="M49" s="16">
        <f t="shared" si="15"/>
        <v>0</v>
      </c>
      <c r="P49" s="16"/>
    </row>
    <row r="50" spans="6:17" hidden="1" x14ac:dyDescent="0.25">
      <c r="F50">
        <f t="shared" si="11"/>
        <v>43</v>
      </c>
      <c r="G50" t="s">
        <v>37</v>
      </c>
      <c r="H50" s="16">
        <f>[1]Details!AL27</f>
        <v>-1173414.8799999994</v>
      </c>
      <c r="I50" s="16">
        <f>H50</f>
        <v>-1173414.8799999994</v>
      </c>
      <c r="J50" s="16">
        <f t="shared" si="12"/>
        <v>0</v>
      </c>
      <c r="K50" s="17">
        <f t="shared" si="13"/>
        <v>0</v>
      </c>
      <c r="L50" s="16">
        <f t="shared" si="14"/>
        <v>830024.43</v>
      </c>
      <c r="M50" s="16">
        <f t="shared" si="15"/>
        <v>0</v>
      </c>
      <c r="O50" s="16"/>
      <c r="P50" s="16"/>
    </row>
    <row r="51" spans="6:17" hidden="1" x14ac:dyDescent="0.25">
      <c r="F51">
        <f t="shared" si="11"/>
        <v>44</v>
      </c>
      <c r="G51" t="s">
        <v>38</v>
      </c>
      <c r="H51" s="16">
        <f>[1]Details!AM27</f>
        <v>-31058527.499999948</v>
      </c>
      <c r="I51" s="16">
        <f>[1]Details!BT27</f>
        <v>7069609.6100000031</v>
      </c>
      <c r="J51" s="16">
        <f t="shared" si="12"/>
        <v>38128137.109999955</v>
      </c>
      <c r="K51" s="17">
        <f t="shared" si="13"/>
        <v>-1.2276221759064405</v>
      </c>
      <c r="L51" s="16">
        <f t="shared" si="14"/>
        <v>830024.43</v>
      </c>
      <c r="M51" s="16">
        <f t="shared" si="15"/>
        <v>45.936162517529695</v>
      </c>
      <c r="O51" s="16"/>
      <c r="P51" s="16"/>
    </row>
    <row r="52" spans="6:17" hidden="1" x14ac:dyDescent="0.25">
      <c r="F52">
        <f t="shared" si="11"/>
        <v>45</v>
      </c>
      <c r="G52" t="s">
        <v>39</v>
      </c>
      <c r="H52" s="16">
        <f>[1]Details!BU27</f>
        <v>97376461.788623184</v>
      </c>
      <c r="I52" s="20">
        <f>[1]Details!BY27</f>
        <v>101487855.80000001</v>
      </c>
      <c r="J52" s="16">
        <f t="shared" si="12"/>
        <v>4111394.011376828</v>
      </c>
      <c r="K52" s="17">
        <f t="shared" si="13"/>
        <v>4.222164099884327E-2</v>
      </c>
      <c r="L52" s="16">
        <f t="shared" si="14"/>
        <v>830024.43</v>
      </c>
      <c r="M52" s="16">
        <f t="shared" si="15"/>
        <v>4.9533409653699323</v>
      </c>
      <c r="O52" s="16"/>
      <c r="P52" s="16"/>
    </row>
    <row r="53" spans="6:17" hidden="1" x14ac:dyDescent="0.25">
      <c r="F53">
        <f t="shared" si="11"/>
        <v>46</v>
      </c>
      <c r="G53" t="s">
        <v>40</v>
      </c>
      <c r="H53">
        <v>0</v>
      </c>
      <c r="I53" s="16">
        <f>[1]Details!CA27</f>
        <v>62999080.449235655</v>
      </c>
      <c r="J53" s="16">
        <f t="shared" si="12"/>
        <v>62999080.449235655</v>
      </c>
      <c r="K53" s="17">
        <f t="shared" si="13"/>
        <v>0</v>
      </c>
      <c r="L53" s="16">
        <f t="shared" si="14"/>
        <v>830024.43</v>
      </c>
      <c r="M53" s="16">
        <f t="shared" si="15"/>
        <v>75.900272536840447</v>
      </c>
      <c r="O53" s="16"/>
      <c r="P53" s="16"/>
    </row>
    <row r="54" spans="6:17" hidden="1" x14ac:dyDescent="0.25">
      <c r="F54">
        <f t="shared" si="11"/>
        <v>47</v>
      </c>
      <c r="G54" t="s">
        <v>41</v>
      </c>
      <c r="H54" s="16">
        <f>[1]Details!CJ27</f>
        <v>48584999.989999995</v>
      </c>
      <c r="I54" s="16">
        <f>[1]Details!CJ27</f>
        <v>48584999.989999995</v>
      </c>
      <c r="J54" s="16">
        <f t="shared" si="12"/>
        <v>0</v>
      </c>
      <c r="K54" s="17">
        <f t="shared" si="13"/>
        <v>0</v>
      </c>
      <c r="L54" s="16">
        <f t="shared" si="14"/>
        <v>830024.43</v>
      </c>
      <c r="M54" s="16">
        <f t="shared" si="15"/>
        <v>0</v>
      </c>
      <c r="O54" s="16"/>
      <c r="P54" s="16"/>
    </row>
    <row r="55" spans="6:17" hidden="1" x14ac:dyDescent="0.25">
      <c r="F55">
        <f t="shared" si="11"/>
        <v>48</v>
      </c>
      <c r="G55" t="s">
        <v>42</v>
      </c>
      <c r="H55" s="16">
        <f>[1]Details!BW27</f>
        <v>29454100</v>
      </c>
      <c r="I55">
        <v>0</v>
      </c>
      <c r="J55" s="16">
        <f t="shared" si="12"/>
        <v>-29454100</v>
      </c>
      <c r="K55" s="17">
        <f t="shared" si="13"/>
        <v>-1</v>
      </c>
      <c r="L55" s="16">
        <f t="shared" si="14"/>
        <v>830024.43</v>
      </c>
      <c r="M55" s="16">
        <f t="shared" si="15"/>
        <v>-35.485822989571524</v>
      </c>
      <c r="P55" s="16"/>
    </row>
    <row r="56" spans="6:17" hidden="1" x14ac:dyDescent="0.25">
      <c r="F56">
        <f t="shared" si="11"/>
        <v>49</v>
      </c>
      <c r="G56" t="s">
        <v>43</v>
      </c>
      <c r="H56" s="16">
        <f>[1]Details!CB27</f>
        <v>965892143.29287446</v>
      </c>
      <c r="I56" s="20">
        <f>[1]Details!CC27</f>
        <v>1160457477.4129117</v>
      </c>
      <c r="J56" s="16">
        <f t="shared" si="12"/>
        <v>194565334.1200372</v>
      </c>
      <c r="K56" s="17">
        <f t="shared" si="13"/>
        <v>0.20143588025960552</v>
      </c>
      <c r="L56" s="16">
        <f t="shared" si="14"/>
        <v>830024.43</v>
      </c>
      <c r="M56" s="16">
        <f t="shared" si="15"/>
        <v>234.40916566761436</v>
      </c>
      <c r="O56" s="16"/>
      <c r="P56" s="16"/>
    </row>
    <row r="57" spans="6:17" hidden="1" x14ac:dyDescent="0.25">
      <c r="F57">
        <f t="shared" si="11"/>
        <v>50</v>
      </c>
      <c r="G57" t="s">
        <v>44</v>
      </c>
      <c r="H57" s="16">
        <f>[1]Details!CD27</f>
        <v>49975642.529999979</v>
      </c>
      <c r="I57" s="16">
        <f>[1]Details!CE27</f>
        <v>49967709.239999995</v>
      </c>
      <c r="J57" s="16">
        <f t="shared" si="12"/>
        <v>-7933.2899999842048</v>
      </c>
      <c r="K57" s="17">
        <f t="shared" si="13"/>
        <v>-1.5874313162100745E-4</v>
      </c>
      <c r="L57" s="16">
        <f t="shared" si="14"/>
        <v>830024.43</v>
      </c>
      <c r="M57" s="16">
        <f t="shared" si="15"/>
        <v>-9.5578993981950671E-3</v>
      </c>
      <c r="O57" s="16"/>
      <c r="P57" s="16"/>
    </row>
    <row r="58" spans="6:17" hidden="1" x14ac:dyDescent="0.25">
      <c r="F58">
        <f t="shared" si="11"/>
        <v>51</v>
      </c>
      <c r="G58" t="s">
        <v>45</v>
      </c>
      <c r="H58" s="16">
        <f>[1]Details!AI27</f>
        <v>858977106.26999986</v>
      </c>
      <c r="I58" s="16">
        <f>[1]Details!CF27</f>
        <v>448805001.1600005</v>
      </c>
      <c r="J58" s="16">
        <f t="shared" si="12"/>
        <v>-410172105.10999936</v>
      </c>
      <c r="K58" s="17">
        <f t="shared" si="13"/>
        <v>-0.47751226676007719</v>
      </c>
      <c r="L58" s="16">
        <f t="shared" si="14"/>
        <v>830024.43</v>
      </c>
      <c r="M58" s="16">
        <f t="shared" si="15"/>
        <v>-494.16871393773232</v>
      </c>
      <c r="O58" s="16"/>
      <c r="P58" s="16"/>
    </row>
    <row r="59" spans="6:17" hidden="1" x14ac:dyDescent="0.25">
      <c r="F59">
        <f t="shared" si="11"/>
        <v>52</v>
      </c>
      <c r="G59" t="s">
        <v>46</v>
      </c>
      <c r="H59" s="16">
        <v>0</v>
      </c>
      <c r="I59" s="16">
        <f>[1]Details!CG27</f>
        <v>206134987.91999996</v>
      </c>
      <c r="J59" s="16">
        <f t="shared" si="12"/>
        <v>206134987.91999996</v>
      </c>
      <c r="K59" s="17">
        <f t="shared" si="13"/>
        <v>0</v>
      </c>
      <c r="L59" s="16">
        <f t="shared" si="14"/>
        <v>830024.43</v>
      </c>
      <c r="M59" s="16">
        <f t="shared" si="15"/>
        <v>248.34809732046074</v>
      </c>
      <c r="O59" s="16"/>
      <c r="P59" s="16"/>
    </row>
    <row r="60" spans="6:17" hidden="1" x14ac:dyDescent="0.25">
      <c r="F60" s="19">
        <f>F69+1</f>
        <v>62</v>
      </c>
      <c r="G60" s="19" t="s">
        <v>47</v>
      </c>
      <c r="H60">
        <v>0</v>
      </c>
      <c r="I60" s="16">
        <f>[1]Details!CH27</f>
        <v>53144144.141928025</v>
      </c>
      <c r="J60" s="16">
        <f>I60-H60</f>
        <v>53144144.141928025</v>
      </c>
      <c r="K60" s="17">
        <f>IF(H60=0,0,J60/H60)</f>
        <v>0</v>
      </c>
      <c r="L60" s="16">
        <f t="shared" si="14"/>
        <v>830024.43</v>
      </c>
      <c r="M60" s="16">
        <f>IF(L60=0,0,J60/L60)</f>
        <v>64.027204767850051</v>
      </c>
      <c r="O60" s="16"/>
      <c r="P60" s="16"/>
    </row>
    <row r="61" spans="6:17" hidden="1" x14ac:dyDescent="0.25">
      <c r="F61">
        <f>F59+1</f>
        <v>53</v>
      </c>
      <c r="G61" t="s">
        <v>48</v>
      </c>
      <c r="H61" s="16">
        <f>[1]Details!CN27</f>
        <v>1809300</v>
      </c>
      <c r="I61" s="16">
        <f>[1]Details!DC27</f>
        <v>1809300</v>
      </c>
      <c r="J61" s="16">
        <f t="shared" si="12"/>
        <v>0</v>
      </c>
      <c r="K61" s="17">
        <f t="shared" si="13"/>
        <v>0</v>
      </c>
      <c r="L61" s="16">
        <f t="shared" si="14"/>
        <v>830024.43</v>
      </c>
      <c r="M61" s="16">
        <f t="shared" si="15"/>
        <v>0</v>
      </c>
      <c r="O61" s="16"/>
      <c r="P61" s="16"/>
    </row>
    <row r="62" spans="6:17" hidden="1" x14ac:dyDescent="0.25">
      <c r="F62">
        <f t="shared" si="11"/>
        <v>54</v>
      </c>
      <c r="G62" t="s">
        <v>49</v>
      </c>
      <c r="H62" s="16">
        <f>[1]Details!CP27</f>
        <v>536000</v>
      </c>
      <c r="I62" s="16">
        <f>[1]Details!DD27</f>
        <v>536000</v>
      </c>
      <c r="J62" s="16">
        <f t="shared" si="12"/>
        <v>0</v>
      </c>
      <c r="K62" s="17">
        <f t="shared" si="13"/>
        <v>0</v>
      </c>
      <c r="L62" s="16">
        <f t="shared" si="14"/>
        <v>830024.43</v>
      </c>
      <c r="M62" s="16">
        <f t="shared" si="15"/>
        <v>0</v>
      </c>
      <c r="O62" s="16"/>
      <c r="P62" s="16"/>
    </row>
    <row r="63" spans="6:17" hidden="1" x14ac:dyDescent="0.25">
      <c r="F63">
        <f t="shared" si="11"/>
        <v>55</v>
      </c>
      <c r="G63" t="s">
        <v>50</v>
      </c>
      <c r="H63" s="16">
        <f>[1]Details!CQ27</f>
        <v>631700</v>
      </c>
      <c r="I63" s="16">
        <f>[1]Details!DE27</f>
        <v>631700</v>
      </c>
      <c r="J63" s="16">
        <f t="shared" si="12"/>
        <v>0</v>
      </c>
      <c r="K63" s="17">
        <f t="shared" si="13"/>
        <v>0</v>
      </c>
      <c r="L63" s="16">
        <f t="shared" si="14"/>
        <v>830024.43</v>
      </c>
      <c r="M63" s="16">
        <f t="shared" si="15"/>
        <v>0</v>
      </c>
      <c r="O63" s="16"/>
      <c r="P63" s="16"/>
      <c r="Q63">
        <f>O63/[1]Details!AQ27</f>
        <v>0</v>
      </c>
    </row>
    <row r="64" spans="6:17" hidden="1" x14ac:dyDescent="0.25">
      <c r="F64">
        <f t="shared" si="11"/>
        <v>56</v>
      </c>
      <c r="G64" t="s">
        <v>51</v>
      </c>
      <c r="H64" s="16">
        <f>[1]Details!DM27</f>
        <v>44557360.239999995</v>
      </c>
      <c r="I64" s="16">
        <f>[1]Details!DN27</f>
        <v>44557360.239999995</v>
      </c>
      <c r="J64" s="16">
        <f t="shared" si="12"/>
        <v>0</v>
      </c>
      <c r="K64" s="17">
        <f t="shared" si="13"/>
        <v>0</v>
      </c>
      <c r="L64" s="16">
        <f t="shared" si="14"/>
        <v>830024.43</v>
      </c>
      <c r="M64" s="16">
        <f t="shared" si="15"/>
        <v>0</v>
      </c>
      <c r="P64" s="16"/>
    </row>
    <row r="65" spans="6:16" hidden="1" x14ac:dyDescent="0.25">
      <c r="F65">
        <f t="shared" si="11"/>
        <v>57</v>
      </c>
      <c r="G65" t="s">
        <v>52</v>
      </c>
      <c r="H65" s="16">
        <f>[1]Details!DO27</f>
        <v>56294162.224000052</v>
      </c>
      <c r="I65" s="16">
        <f>[1]Details!DP27</f>
        <v>0</v>
      </c>
      <c r="J65" s="16">
        <f t="shared" si="12"/>
        <v>-56294162.224000052</v>
      </c>
      <c r="K65" s="17">
        <f t="shared" si="13"/>
        <v>-1</v>
      </c>
      <c r="L65" s="16">
        <f t="shared" si="14"/>
        <v>830024.43</v>
      </c>
      <c r="M65" s="16">
        <f t="shared" si="15"/>
        <v>-67.822295572673738</v>
      </c>
      <c r="O65" s="16"/>
      <c r="P65" s="16"/>
    </row>
    <row r="66" spans="6:16" hidden="1" x14ac:dyDescent="0.25">
      <c r="F66">
        <f t="shared" si="11"/>
        <v>58</v>
      </c>
      <c r="G66" t="s">
        <v>53</v>
      </c>
      <c r="H66" s="16">
        <f>[1]Details!DS27-[1]Details!ED27</f>
        <v>640075676.76999998</v>
      </c>
      <c r="I66" s="16">
        <f>[1]Details!DT27-[1]Details!ED27</f>
        <v>640075676.76999998</v>
      </c>
      <c r="J66" s="16">
        <f t="shared" si="12"/>
        <v>0</v>
      </c>
      <c r="K66" s="17">
        <f t="shared" si="13"/>
        <v>0</v>
      </c>
      <c r="L66" s="16">
        <f t="shared" si="14"/>
        <v>830024.43</v>
      </c>
      <c r="M66" s="16">
        <f t="shared" si="15"/>
        <v>0</v>
      </c>
      <c r="P66" s="16"/>
    </row>
    <row r="67" spans="6:16" hidden="1" x14ac:dyDescent="0.25">
      <c r="F67">
        <f t="shared" si="11"/>
        <v>59</v>
      </c>
      <c r="G67" s="35" t="s">
        <v>54</v>
      </c>
      <c r="H67" s="16">
        <f>[1]Details!DW27</f>
        <v>26096486.46411429</v>
      </c>
      <c r="I67" s="16">
        <f>[1]Details!DY27</f>
        <v>93437342.826171428</v>
      </c>
      <c r="J67" s="16">
        <f t="shared" si="12"/>
        <v>67340856.362057135</v>
      </c>
      <c r="K67" s="17">
        <f t="shared" si="13"/>
        <v>2.580456815696575</v>
      </c>
      <c r="L67" s="16">
        <f t="shared" si="14"/>
        <v>830024.43</v>
      </c>
      <c r="M67" s="16">
        <f t="shared" si="15"/>
        <v>81.131173888528963</v>
      </c>
      <c r="O67" s="16"/>
      <c r="P67" s="16"/>
    </row>
    <row r="68" spans="6:16" hidden="1" x14ac:dyDescent="0.25">
      <c r="F68">
        <f t="shared" si="11"/>
        <v>60</v>
      </c>
      <c r="G68" t="s">
        <v>55</v>
      </c>
      <c r="H68" s="16">
        <f>[1]Details!EA27</f>
        <v>62373415.034000002</v>
      </c>
      <c r="I68" s="16">
        <f>[1]Details!EE27</f>
        <v>85711116.633999988</v>
      </c>
      <c r="J68" s="16">
        <f t="shared" si="12"/>
        <v>23337701.599999987</v>
      </c>
      <c r="K68" s="17">
        <f t="shared" si="13"/>
        <v>0.37416103619271945</v>
      </c>
      <c r="L68" s="16">
        <f t="shared" si="14"/>
        <v>830024.43</v>
      </c>
      <c r="M68" s="16">
        <f t="shared" si="15"/>
        <v>28.116885186138418</v>
      </c>
    </row>
    <row r="69" spans="6:16" hidden="1" x14ac:dyDescent="0.25">
      <c r="F69">
        <f t="shared" si="11"/>
        <v>61</v>
      </c>
      <c r="G69" t="s">
        <v>56</v>
      </c>
      <c r="H69" s="16">
        <f>[1]Details!EC27</f>
        <v>131348154</v>
      </c>
      <c r="I69" s="16">
        <f>[1]Details!EG27</f>
        <v>131348154</v>
      </c>
      <c r="J69" s="16">
        <f t="shared" si="12"/>
        <v>0</v>
      </c>
      <c r="K69" s="17">
        <f t="shared" si="13"/>
        <v>0</v>
      </c>
      <c r="L69" s="16">
        <f t="shared" si="14"/>
        <v>830024.43</v>
      </c>
      <c r="M69" s="16">
        <f t="shared" si="15"/>
        <v>0</v>
      </c>
    </row>
    <row r="70" spans="6:16" s="30" customFormat="1" ht="15.75" hidden="1" thickBot="1" x14ac:dyDescent="0.3">
      <c r="F70" s="30">
        <f>F69+1</f>
        <v>62</v>
      </c>
      <c r="G70" s="30" t="s">
        <v>57</v>
      </c>
      <c r="H70" s="37">
        <f>SUM(H34:H69)</f>
        <v>9051689745.8336105</v>
      </c>
      <c r="I70" s="37">
        <f ca="1">SUM(I34:I69)</f>
        <v>9685561782.1207123</v>
      </c>
      <c r="J70" s="37">
        <f ca="1">SUM(J34:J69)</f>
        <v>633872036.28710437</v>
      </c>
      <c r="K70" s="32">
        <f ca="1">IF(H70=0,0,J70/H70)</f>
        <v>7.002803389045327E-2</v>
      </c>
      <c r="L70" s="31">
        <f t="shared" si="14"/>
        <v>830024.43</v>
      </c>
      <c r="M70" s="31">
        <f t="shared" ca="1" si="15"/>
        <v>763.67877062016635</v>
      </c>
    </row>
    <row r="71" spans="6:16" ht="21.75" customHeight="1" x14ac:dyDescent="0.25">
      <c r="H71" s="38" t="s">
        <v>58</v>
      </c>
      <c r="I71" s="38" t="s">
        <v>59</v>
      </c>
      <c r="J71" s="38" t="s">
        <v>60</v>
      </c>
      <c r="K71" s="17"/>
      <c r="L71" s="16"/>
      <c r="M71" s="16"/>
    </row>
    <row r="72" spans="6:16" ht="21.75" customHeight="1" x14ac:dyDescent="0.25">
      <c r="G72" t="s">
        <v>61</v>
      </c>
      <c r="H72" s="16">
        <v>633872036.28710437</v>
      </c>
      <c r="I72" s="39">
        <v>7.002803389045327E-2</v>
      </c>
      <c r="J72" s="16">
        <v>763.67877062016635</v>
      </c>
      <c r="K72" s="17"/>
      <c r="L72" s="16"/>
      <c r="M72" s="16"/>
    </row>
    <row r="73" spans="6:16" ht="21.75" customHeight="1" x14ac:dyDescent="0.25">
      <c r="G73" t="s">
        <v>62</v>
      </c>
      <c r="H73" s="16">
        <v>158468009.07177609</v>
      </c>
      <c r="I73" s="39">
        <v>1.7507008472613318E-2</v>
      </c>
      <c r="J73" s="16">
        <v>190.91969265504159</v>
      </c>
      <c r="K73" s="17"/>
      <c r="L73" s="16"/>
      <c r="M73" s="16"/>
    </row>
    <row r="74" spans="6:16" ht="21.75" customHeight="1" x14ac:dyDescent="0.25">
      <c r="G74" t="s">
        <v>63</v>
      </c>
      <c r="H74" s="16">
        <v>126774407.25742087</v>
      </c>
      <c r="I74" s="39">
        <v>1.4005606778090655E-2</v>
      </c>
      <c r="J74" s="16">
        <v>152.73575412403326</v>
      </c>
      <c r="K74" s="17"/>
      <c r="L74" s="16"/>
      <c r="M74" s="16"/>
    </row>
    <row r="75" spans="6:16" ht="21.75" customHeight="1" x14ac:dyDescent="0.25">
      <c r="G75" t="s">
        <v>64</v>
      </c>
      <c r="H75" s="16">
        <v>105645339.38118406</v>
      </c>
      <c r="I75" s="39">
        <v>1.1671338981742212E-2</v>
      </c>
      <c r="J75" s="16">
        <v>127.27979510336105</v>
      </c>
      <c r="K75" s="17"/>
      <c r="L75" s="16"/>
      <c r="M75" s="16"/>
    </row>
    <row r="76" spans="6:16" ht="21.75" hidden="1" customHeight="1" x14ac:dyDescent="0.25">
      <c r="H76" s="16"/>
      <c r="I76" s="16"/>
      <c r="J76" s="16"/>
      <c r="K76" s="17"/>
      <c r="L76" s="16"/>
      <c r="M76" s="16"/>
    </row>
    <row r="77" spans="6:16" ht="21.75" hidden="1" customHeight="1" x14ac:dyDescent="0.25">
      <c r="H77" s="16"/>
      <c r="I77" s="16"/>
      <c r="J77" s="16"/>
      <c r="K77" s="17"/>
      <c r="L77" s="16"/>
      <c r="M77" s="16"/>
    </row>
    <row r="78" spans="6:16" ht="21.75" customHeight="1" x14ac:dyDescent="0.25">
      <c r="H78" s="16"/>
      <c r="I78" s="16"/>
      <c r="J78" s="16"/>
      <c r="K78" s="17"/>
      <c r="L78" s="16"/>
      <c r="M78" s="16"/>
    </row>
    <row r="79" spans="6:16" ht="21.75" customHeight="1" x14ac:dyDescent="0.25">
      <c r="G79" s="40" t="s">
        <v>65</v>
      </c>
      <c r="H79" s="38" t="s">
        <v>66</v>
      </c>
      <c r="I79" s="38" t="s">
        <v>67</v>
      </c>
      <c r="J79" s="38" t="s">
        <v>68</v>
      </c>
      <c r="K79" s="38" t="s">
        <v>69</v>
      </c>
      <c r="L79" s="38" t="s">
        <v>70</v>
      </c>
      <c r="M79" s="41" t="s">
        <v>71</v>
      </c>
    </row>
    <row r="80" spans="6:16" ht="21.75" customHeight="1" x14ac:dyDescent="0.25">
      <c r="G80" s="1" t="s">
        <v>72</v>
      </c>
      <c r="H80" s="42">
        <f>H73</f>
        <v>158468009.07177609</v>
      </c>
      <c r="I80" s="42">
        <f>H80*2</f>
        <v>316936018.14355218</v>
      </c>
      <c r="J80" s="42">
        <f>H80*3</f>
        <v>475404027.21532828</v>
      </c>
      <c r="K80" s="42">
        <f>H80*4</f>
        <v>633872036.28710437</v>
      </c>
      <c r="L80" s="42">
        <f>K80</f>
        <v>633872036.28710437</v>
      </c>
      <c r="M80" s="43">
        <f>L80</f>
        <v>633872036.28710437</v>
      </c>
    </row>
    <row r="81" spans="1:16" ht="21.75" customHeight="1" x14ac:dyDescent="0.25">
      <c r="G81" s="7" t="s">
        <v>73</v>
      </c>
      <c r="H81" s="44">
        <f>H74</f>
        <v>126774407.25742087</v>
      </c>
      <c r="I81" s="44">
        <f t="shared" ref="I81:I82" si="16">H81*2</f>
        <v>253548814.51484174</v>
      </c>
      <c r="J81" s="44">
        <f t="shared" ref="J81:J82" si="17">H81*3</f>
        <v>380323221.77226257</v>
      </c>
      <c r="K81" s="44">
        <f t="shared" ref="K81:K82" si="18">H81*4</f>
        <v>507097629.02968347</v>
      </c>
      <c r="L81" s="44">
        <f>H81*5</f>
        <v>633872036.28710437</v>
      </c>
      <c r="M81" s="45">
        <f>L81</f>
        <v>633872036.28710437</v>
      </c>
    </row>
    <row r="82" spans="1:16" ht="21.75" customHeight="1" x14ac:dyDescent="0.25">
      <c r="G82" s="11" t="s">
        <v>74</v>
      </c>
      <c r="H82" s="46">
        <f>H75</f>
        <v>105645339.38118406</v>
      </c>
      <c r="I82" s="46">
        <f t="shared" si="16"/>
        <v>211290678.76236811</v>
      </c>
      <c r="J82" s="46">
        <f t="shared" si="17"/>
        <v>316936018.14355218</v>
      </c>
      <c r="K82" s="46">
        <f t="shared" si="18"/>
        <v>422581357.52473623</v>
      </c>
      <c r="L82" s="46">
        <f>H82*5</f>
        <v>528226696.90592027</v>
      </c>
      <c r="M82" s="47">
        <f>H82*6</f>
        <v>633872036.28710437</v>
      </c>
    </row>
    <row r="83" spans="1:16" ht="21.75" customHeight="1" x14ac:dyDescent="0.25">
      <c r="H83" s="16"/>
      <c r="I83" s="16"/>
      <c r="J83" s="16"/>
      <c r="K83" s="17"/>
      <c r="L83" s="16"/>
      <c r="M83" s="16"/>
    </row>
    <row r="84" spans="1:16" ht="21.75" customHeight="1" x14ac:dyDescent="0.25">
      <c r="G84" s="1" t="s">
        <v>75</v>
      </c>
      <c r="H84" s="38" t="s">
        <v>66</v>
      </c>
      <c r="I84" s="38" t="s">
        <v>67</v>
      </c>
      <c r="J84" s="38" t="s">
        <v>68</v>
      </c>
      <c r="K84" s="38" t="s">
        <v>69</v>
      </c>
      <c r="L84" s="38" t="s">
        <v>70</v>
      </c>
      <c r="M84" s="41" t="s">
        <v>71</v>
      </c>
      <c r="O84" s="39">
        <v>0.82499999999999996</v>
      </c>
      <c r="P84" s="48">
        <f>1-O84</f>
        <v>0.17500000000000004</v>
      </c>
    </row>
    <row r="85" spans="1:16" ht="21.75" customHeight="1" x14ac:dyDescent="0.25">
      <c r="A85" s="1"/>
      <c r="B85" s="2"/>
      <c r="C85" s="2"/>
      <c r="D85" s="2"/>
      <c r="E85" s="2"/>
      <c r="F85" s="2"/>
      <c r="G85" s="1" t="s">
        <v>72</v>
      </c>
      <c r="H85" s="37">
        <f>H80*$O$84</f>
        <v>130736107.48421527</v>
      </c>
      <c r="I85" s="37">
        <f>I80*$O$84+H80*$P$84</f>
        <v>289204116.55599135</v>
      </c>
      <c r="J85" s="37">
        <f t="shared" ref="J85:M85" si="19">J80*$O$84+I80*$P$84</f>
        <v>447672125.62776744</v>
      </c>
      <c r="K85" s="37">
        <f t="shared" si="19"/>
        <v>606140134.6995436</v>
      </c>
      <c r="L85" s="37">
        <f t="shared" si="19"/>
        <v>633872036.28710437</v>
      </c>
      <c r="M85" s="49">
        <f t="shared" si="19"/>
        <v>633872036.28710437</v>
      </c>
    </row>
    <row r="86" spans="1:16" ht="21.75" customHeight="1" x14ac:dyDescent="0.25">
      <c r="A86" s="7"/>
      <c r="B86" s="8"/>
      <c r="C86" s="8"/>
      <c r="D86" s="8"/>
      <c r="E86" s="8"/>
      <c r="F86" s="8"/>
      <c r="G86" s="7" t="s">
        <v>73</v>
      </c>
      <c r="H86" s="37">
        <f t="shared" ref="H86:H87" si="20">H81*$O$84</f>
        <v>104588885.9873722</v>
      </c>
      <c r="I86" s="37">
        <f t="shared" ref="I86:M87" si="21">I81*$O$84+H81*$P$84</f>
        <v>231363293.24479306</v>
      </c>
      <c r="J86" s="37">
        <f t="shared" si="21"/>
        <v>358137700.5022139</v>
      </c>
      <c r="K86" s="37">
        <f t="shared" si="21"/>
        <v>484912107.75963479</v>
      </c>
      <c r="L86" s="37">
        <f t="shared" si="21"/>
        <v>611686515.01705575</v>
      </c>
      <c r="M86" s="49">
        <f t="shared" si="21"/>
        <v>633872036.28710437</v>
      </c>
    </row>
    <row r="87" spans="1:16" ht="21.75" customHeight="1" x14ac:dyDescent="0.25">
      <c r="A87" s="11"/>
      <c r="B87" s="12"/>
      <c r="C87" s="12"/>
      <c r="D87" s="12"/>
      <c r="E87" s="12"/>
      <c r="F87" s="12"/>
      <c r="G87" s="11" t="s">
        <v>74</v>
      </c>
      <c r="H87" s="13">
        <f t="shared" si="20"/>
        <v>87157404.989476845</v>
      </c>
      <c r="I87" s="13">
        <f t="shared" si="21"/>
        <v>192802744.3706609</v>
      </c>
      <c r="J87" s="13">
        <f t="shared" si="21"/>
        <v>298448083.751845</v>
      </c>
      <c r="K87" s="13">
        <f t="shared" si="21"/>
        <v>404093423.13302904</v>
      </c>
      <c r="L87" s="13">
        <f t="shared" si="21"/>
        <v>509738762.51421303</v>
      </c>
      <c r="M87" s="50">
        <f t="shared" si="21"/>
        <v>615384101.89539719</v>
      </c>
    </row>
    <row r="88" spans="1:16" ht="21.75" customHeight="1" x14ac:dyDescent="0.25">
      <c r="H88" s="16"/>
      <c r="I88" s="16"/>
      <c r="J88" s="16"/>
      <c r="K88" s="17"/>
      <c r="L88" s="16"/>
      <c r="M88" s="16"/>
    </row>
    <row r="89" spans="1:16" ht="33.75" customHeight="1" x14ac:dyDescent="0.25">
      <c r="G89" s="40" t="s">
        <v>76</v>
      </c>
      <c r="H89" s="51" t="s">
        <v>77</v>
      </c>
      <c r="I89" s="51" t="s">
        <v>78</v>
      </c>
      <c r="J89" s="52" t="s">
        <v>79</v>
      </c>
      <c r="K89" s="17"/>
      <c r="L89" s="16"/>
      <c r="M89" s="16"/>
    </row>
    <row r="90" spans="1:16" ht="21.75" customHeight="1" x14ac:dyDescent="0.25">
      <c r="G90" s="1" t="s">
        <v>80</v>
      </c>
      <c r="H90" s="53">
        <v>53820475</v>
      </c>
      <c r="I90" s="53">
        <v>191259583</v>
      </c>
      <c r="J90" s="54">
        <f>I90-H90</f>
        <v>137439108</v>
      </c>
      <c r="K90" s="17"/>
      <c r="L90" s="16"/>
      <c r="M90" s="16"/>
    </row>
    <row r="91" spans="1:16" ht="21.75" hidden="1" customHeight="1" x14ac:dyDescent="0.25">
      <c r="G91" s="7"/>
      <c r="H91" s="55"/>
      <c r="I91" s="55"/>
      <c r="J91" s="49"/>
      <c r="K91" s="17"/>
      <c r="L91" s="16"/>
      <c r="M91" s="16"/>
    </row>
    <row r="92" spans="1:16" ht="21.75" hidden="1" customHeight="1" x14ac:dyDescent="0.25">
      <c r="G92" s="7"/>
      <c r="H92" s="55"/>
      <c r="I92" s="55"/>
      <c r="J92" s="49"/>
      <c r="K92" s="17"/>
      <c r="L92" s="16"/>
      <c r="M92" s="16"/>
    </row>
    <row r="93" spans="1:16" ht="21.75" hidden="1" customHeight="1" x14ac:dyDescent="0.25">
      <c r="G93" s="7"/>
      <c r="H93" s="55"/>
      <c r="I93" s="55"/>
      <c r="J93" s="49"/>
      <c r="K93" s="17"/>
      <c r="L93" s="16"/>
      <c r="M93" s="16"/>
    </row>
    <row r="94" spans="1:16" ht="21.75" hidden="1" customHeight="1" x14ac:dyDescent="0.25">
      <c r="G94" s="7"/>
      <c r="H94" s="55"/>
      <c r="I94" s="55"/>
      <c r="J94" s="49"/>
      <c r="K94" s="17"/>
      <c r="L94" s="16"/>
      <c r="M94" s="16"/>
    </row>
    <row r="95" spans="1:16" ht="21.75" hidden="1" customHeight="1" x14ac:dyDescent="0.25">
      <c r="G95" s="7"/>
      <c r="H95" s="55"/>
      <c r="I95" s="55"/>
      <c r="J95" s="49"/>
      <c r="K95" s="17"/>
      <c r="L95" s="16"/>
      <c r="M95" s="16"/>
    </row>
    <row r="96" spans="1:16" ht="21.75" hidden="1" customHeight="1" x14ac:dyDescent="0.25">
      <c r="G96" s="7"/>
      <c r="H96" s="55"/>
      <c r="I96" s="55"/>
      <c r="J96" s="49"/>
      <c r="K96" s="17"/>
      <c r="L96" s="16"/>
      <c r="M96" s="16"/>
    </row>
    <row r="97" spans="6:15" ht="15.75" hidden="1" x14ac:dyDescent="0.25">
      <c r="G97" s="56" t="s">
        <v>81</v>
      </c>
      <c r="H97" s="55"/>
      <c r="I97" s="55"/>
      <c r="J97" s="57"/>
      <c r="K97" s="17"/>
      <c r="L97" s="16"/>
      <c r="M97" s="16"/>
    </row>
    <row r="98" spans="6:15" hidden="1" x14ac:dyDescent="0.25">
      <c r="F98">
        <f>F70+1</f>
        <v>63</v>
      </c>
      <c r="G98" s="7" t="s">
        <v>82</v>
      </c>
      <c r="H98" s="55">
        <v>0</v>
      </c>
      <c r="I98" s="55">
        <f ca="1">[1]Details!DI27</f>
        <v>292936061.86758554</v>
      </c>
      <c r="J98" s="49">
        <f t="shared" ref="J98:J102" ca="1" si="22">I98-H98</f>
        <v>292936061.86758554</v>
      </c>
      <c r="K98" s="17">
        <f t="shared" ref="K98:K102" si="23">IF(H98=0,0,J98/H98)</f>
        <v>0</v>
      </c>
      <c r="L98" s="16">
        <f t="shared" si="14"/>
        <v>830024.43</v>
      </c>
      <c r="M98" s="16">
        <f t="shared" ca="1" si="15"/>
        <v>352.92462640838841</v>
      </c>
    </row>
    <row r="99" spans="6:15" hidden="1" x14ac:dyDescent="0.25">
      <c r="F99">
        <f>F98+1</f>
        <v>64</v>
      </c>
      <c r="G99" s="7" t="s">
        <v>45</v>
      </c>
      <c r="H99" s="55">
        <f>[1]Details!CU27</f>
        <v>764418983.1031847</v>
      </c>
      <c r="I99" s="55">
        <f>[1]Details!CY27</f>
        <v>364330417.68559909</v>
      </c>
      <c r="J99" s="49">
        <f t="shared" si="22"/>
        <v>-400088565.41758561</v>
      </c>
      <c r="K99" s="17">
        <f t="shared" si="23"/>
        <v>-0.52338910239174408</v>
      </c>
      <c r="L99" s="16">
        <f t="shared" si="14"/>
        <v>830024.43</v>
      </c>
      <c r="M99" s="16">
        <f t="shared" si="15"/>
        <v>-482.02022851012418</v>
      </c>
    </row>
    <row r="100" spans="6:15" hidden="1" x14ac:dyDescent="0.25">
      <c r="F100">
        <f>F99+1</f>
        <v>65</v>
      </c>
      <c r="G100" s="7" t="s">
        <v>31</v>
      </c>
      <c r="H100" s="55">
        <f>[1]Details!CX27</f>
        <v>73599985.800000042</v>
      </c>
      <c r="I100" s="55">
        <f ca="1">[1]Details!DA27</f>
        <v>35711823.660000011</v>
      </c>
      <c r="J100" s="49">
        <f t="shared" ca="1" si="22"/>
        <v>-37888162.14000003</v>
      </c>
      <c r="K100" s="17">
        <f t="shared" ca="1" si="23"/>
        <v>-0.51478491100469759</v>
      </c>
      <c r="L100" s="16">
        <f t="shared" si="14"/>
        <v>830024.43</v>
      </c>
      <c r="M100" s="16">
        <f t="shared" ca="1" si="15"/>
        <v>-45.647044557471673</v>
      </c>
    </row>
    <row r="101" spans="6:15" hidden="1" x14ac:dyDescent="0.25">
      <c r="F101">
        <f>F100+1</f>
        <v>66</v>
      </c>
      <c r="G101" s="7" t="s">
        <v>32</v>
      </c>
      <c r="H101" s="55">
        <f>[1]Details!CW27</f>
        <v>23474332.020000003</v>
      </c>
      <c r="I101" s="55">
        <v>0</v>
      </c>
      <c r="J101" s="49">
        <f t="shared" si="22"/>
        <v>-23474332.020000003</v>
      </c>
      <c r="K101" s="17">
        <f t="shared" si="23"/>
        <v>-1</v>
      </c>
      <c r="L101" s="16">
        <f t="shared" si="14"/>
        <v>830024.43</v>
      </c>
      <c r="M101" s="16">
        <f t="shared" si="15"/>
        <v>-28.281495304903256</v>
      </c>
    </row>
    <row r="102" spans="6:15" s="30" customFormat="1" ht="15.75" hidden="1" thickBot="1" x14ac:dyDescent="0.3">
      <c r="F102" s="30">
        <f>F101+1</f>
        <v>67</v>
      </c>
      <c r="G102" s="7" t="s">
        <v>83</v>
      </c>
      <c r="H102" s="55">
        <v>0</v>
      </c>
      <c r="I102" s="55">
        <f>[1]Details!DB27</f>
        <v>168514997.70999992</v>
      </c>
      <c r="J102" s="49">
        <f t="shared" si="22"/>
        <v>168514997.70999992</v>
      </c>
      <c r="K102" s="32">
        <f t="shared" si="23"/>
        <v>0</v>
      </c>
      <c r="L102" s="31">
        <f t="shared" si="14"/>
        <v>830024.43</v>
      </c>
      <c r="M102" s="31">
        <f t="shared" si="15"/>
        <v>203.0241419641105</v>
      </c>
    </row>
    <row r="103" spans="6:15" hidden="1" x14ac:dyDescent="0.25">
      <c r="G103" s="7"/>
      <c r="H103" s="55"/>
      <c r="I103" s="55"/>
      <c r="J103" s="49"/>
      <c r="K103" s="17"/>
      <c r="L103" s="16"/>
      <c r="M103" s="16"/>
    </row>
    <row r="104" spans="6:15" hidden="1" x14ac:dyDescent="0.25">
      <c r="G104" s="7"/>
      <c r="H104" s="55"/>
      <c r="I104" s="55"/>
      <c r="J104" s="49"/>
      <c r="K104" s="17"/>
      <c r="L104" s="16"/>
      <c r="M104" s="16"/>
    </row>
    <row r="105" spans="6:15" ht="15.75" hidden="1" x14ac:dyDescent="0.25">
      <c r="G105" s="56" t="s">
        <v>84</v>
      </c>
      <c r="H105" s="55"/>
      <c r="I105" s="55"/>
      <c r="J105" s="49"/>
      <c r="K105" s="17"/>
      <c r="L105" s="16"/>
      <c r="M105" s="16"/>
    </row>
    <row r="106" spans="6:15" hidden="1" x14ac:dyDescent="0.25">
      <c r="F106">
        <f>F102+1</f>
        <v>68</v>
      </c>
      <c r="G106" s="7" t="s">
        <v>82</v>
      </c>
      <c r="H106" s="55">
        <v>0</v>
      </c>
      <c r="I106" s="55">
        <f>[1]Details!DJ27</f>
        <v>184623432.00000656</v>
      </c>
      <c r="J106" s="49">
        <f t="shared" ref="J106:J119" si="24">I106-H106</f>
        <v>184623432.00000656</v>
      </c>
      <c r="K106" s="17">
        <f t="shared" ref="K106:K119" si="25">IF(H106=0,0,J106/H106)</f>
        <v>0</v>
      </c>
      <c r="L106" s="16">
        <f t="shared" si="14"/>
        <v>830024.43</v>
      </c>
      <c r="M106" s="16">
        <f t="shared" ref="M106:M119" si="26">IF(L106=0,0,J106/L106)</f>
        <v>222.43132289492556</v>
      </c>
      <c r="O106" s="16">
        <f>SUM(J107:J119)</f>
        <v>-184623432.00000659</v>
      </c>
    </row>
    <row r="107" spans="6:15" hidden="1" x14ac:dyDescent="0.25">
      <c r="F107">
        <f t="shared" ref="F107:F119" si="27">F106+1</f>
        <v>69</v>
      </c>
      <c r="G107" s="7" t="s">
        <v>33</v>
      </c>
      <c r="H107" s="55">
        <f>[1]Details!CV27</f>
        <v>114050288.88933878</v>
      </c>
      <c r="I107" s="55">
        <v>0</v>
      </c>
      <c r="J107" s="49">
        <f t="shared" si="24"/>
        <v>-114050288.88933878</v>
      </c>
      <c r="K107" s="17">
        <f t="shared" si="25"/>
        <v>-1</v>
      </c>
      <c r="L107" s="16">
        <f t="shared" si="14"/>
        <v>830024.43</v>
      </c>
      <c r="M107" s="16">
        <f t="shared" si="26"/>
        <v>-137.40594224357801</v>
      </c>
    </row>
    <row r="108" spans="6:15" hidden="1" x14ac:dyDescent="0.25">
      <c r="F108">
        <f t="shared" si="27"/>
        <v>70</v>
      </c>
      <c r="G108" s="7" t="s">
        <v>39</v>
      </c>
      <c r="H108" s="55">
        <f>[1]Details!BV27</f>
        <v>29788451.626586959</v>
      </c>
      <c r="I108" s="55">
        <v>0</v>
      </c>
      <c r="J108" s="49">
        <f t="shared" si="24"/>
        <v>-29788451.626586959</v>
      </c>
      <c r="K108" s="17">
        <f t="shared" si="25"/>
        <v>-1</v>
      </c>
      <c r="L108" s="16">
        <f t="shared" si="14"/>
        <v>830024.43</v>
      </c>
      <c r="M108" s="16">
        <f t="shared" si="26"/>
        <v>-35.888644418076893</v>
      </c>
    </row>
    <row r="109" spans="6:15" hidden="1" x14ac:dyDescent="0.25">
      <c r="F109">
        <f t="shared" si="27"/>
        <v>71</v>
      </c>
      <c r="G109" s="7" t="s">
        <v>34</v>
      </c>
      <c r="H109" s="55">
        <f>[1]Details!DF27</f>
        <v>17053253.68</v>
      </c>
      <c r="I109" s="55">
        <f>[1]Details!DH27</f>
        <v>17135584.82</v>
      </c>
      <c r="J109" s="49">
        <f t="shared" si="24"/>
        <v>82331.140000000596</v>
      </c>
      <c r="K109" s="17">
        <f t="shared" si="25"/>
        <v>4.8278845518235792E-3</v>
      </c>
      <c r="L109" s="16">
        <f t="shared" si="14"/>
        <v>830024.43</v>
      </c>
      <c r="M109" s="16">
        <f t="shared" si="26"/>
        <v>9.9191225010088674E-2</v>
      </c>
    </row>
    <row r="110" spans="6:15" hidden="1" x14ac:dyDescent="0.25">
      <c r="F110">
        <f t="shared" si="27"/>
        <v>72</v>
      </c>
      <c r="G110" s="7" t="s">
        <v>85</v>
      </c>
      <c r="H110" s="55">
        <f>H55</f>
        <v>29454100</v>
      </c>
      <c r="I110" s="55">
        <f>I55</f>
        <v>0</v>
      </c>
      <c r="J110" s="49">
        <f t="shared" si="24"/>
        <v>-29454100</v>
      </c>
      <c r="K110" s="17">
        <f t="shared" si="25"/>
        <v>-1</v>
      </c>
      <c r="L110" s="16">
        <f t="shared" si="14"/>
        <v>830024.43</v>
      </c>
      <c r="M110" s="16">
        <f t="shared" si="26"/>
        <v>-35.485822989571524</v>
      </c>
    </row>
    <row r="111" spans="6:15" hidden="1" x14ac:dyDescent="0.25">
      <c r="F111">
        <f t="shared" si="27"/>
        <v>73</v>
      </c>
      <c r="G111" s="7" t="s">
        <v>86</v>
      </c>
      <c r="H111" s="55">
        <f t="shared" ref="H111:I113" si="28">H61</f>
        <v>1809300</v>
      </c>
      <c r="I111" s="55">
        <f t="shared" si="28"/>
        <v>1809300</v>
      </c>
      <c r="J111" s="49">
        <f t="shared" si="24"/>
        <v>0</v>
      </c>
      <c r="K111" s="17">
        <f t="shared" si="25"/>
        <v>0</v>
      </c>
      <c r="L111" s="16">
        <f t="shared" si="14"/>
        <v>830024.43</v>
      </c>
      <c r="M111" s="16">
        <f t="shared" si="26"/>
        <v>0</v>
      </c>
    </row>
    <row r="112" spans="6:15" hidden="1" x14ac:dyDescent="0.25">
      <c r="F112">
        <f t="shared" si="27"/>
        <v>74</v>
      </c>
      <c r="G112" s="7" t="s">
        <v>87</v>
      </c>
      <c r="H112" s="55">
        <f t="shared" si="28"/>
        <v>536000</v>
      </c>
      <c r="I112" s="55">
        <f t="shared" si="28"/>
        <v>536000</v>
      </c>
      <c r="J112" s="49">
        <f t="shared" si="24"/>
        <v>0</v>
      </c>
      <c r="K112" s="17">
        <f t="shared" si="25"/>
        <v>0</v>
      </c>
      <c r="L112" s="16">
        <f t="shared" si="14"/>
        <v>830024.43</v>
      </c>
      <c r="M112" s="16">
        <f t="shared" si="26"/>
        <v>0</v>
      </c>
    </row>
    <row r="113" spans="5:13" hidden="1" x14ac:dyDescent="0.25">
      <c r="F113">
        <f t="shared" si="27"/>
        <v>75</v>
      </c>
      <c r="G113" s="7" t="s">
        <v>88</v>
      </c>
      <c r="H113" s="55">
        <f t="shared" si="28"/>
        <v>631700</v>
      </c>
      <c r="I113" s="55">
        <f t="shared" si="28"/>
        <v>631700</v>
      </c>
      <c r="J113" s="49">
        <f t="shared" si="24"/>
        <v>0</v>
      </c>
      <c r="K113" s="17">
        <f t="shared" si="25"/>
        <v>0</v>
      </c>
      <c r="L113" s="16">
        <f t="shared" si="14"/>
        <v>830024.43</v>
      </c>
      <c r="M113" s="16">
        <f t="shared" si="26"/>
        <v>0</v>
      </c>
    </row>
    <row r="114" spans="5:13" hidden="1" x14ac:dyDescent="0.25">
      <c r="F114">
        <f t="shared" si="27"/>
        <v>76</v>
      </c>
      <c r="G114" s="7" t="s">
        <v>51</v>
      </c>
      <c r="H114" s="55">
        <f>[1]Details!DM27</f>
        <v>44557360.239999995</v>
      </c>
      <c r="I114" s="55">
        <f>[1]Details!DN27</f>
        <v>44557360.239999995</v>
      </c>
      <c r="J114" s="49">
        <f t="shared" si="24"/>
        <v>0</v>
      </c>
      <c r="K114" s="17">
        <f t="shared" si="25"/>
        <v>0</v>
      </c>
      <c r="L114" s="16">
        <f t="shared" si="14"/>
        <v>830024.43</v>
      </c>
      <c r="M114" s="16">
        <f t="shared" si="26"/>
        <v>0</v>
      </c>
    </row>
    <row r="115" spans="5:13" hidden="1" x14ac:dyDescent="0.25">
      <c r="F115">
        <f t="shared" si="27"/>
        <v>77</v>
      </c>
      <c r="G115" s="7" t="s">
        <v>89</v>
      </c>
      <c r="H115" s="55">
        <f>[1]Details!DQ27</f>
        <v>56201199.644000053</v>
      </c>
      <c r="I115" s="55">
        <f>[1]Details!DR27</f>
        <v>0</v>
      </c>
      <c r="J115" s="49">
        <f t="shared" si="24"/>
        <v>-56201199.644000053</v>
      </c>
      <c r="K115" s="17">
        <f t="shared" si="25"/>
        <v>-1</v>
      </c>
      <c r="L115" s="16">
        <f t="shared" si="14"/>
        <v>830024.43</v>
      </c>
      <c r="M115" s="16">
        <f t="shared" si="26"/>
        <v>-67.710295760812784</v>
      </c>
    </row>
    <row r="116" spans="5:13" hidden="1" x14ac:dyDescent="0.25">
      <c r="F116">
        <f t="shared" si="27"/>
        <v>78</v>
      </c>
      <c r="G116" s="7" t="s">
        <v>90</v>
      </c>
      <c r="H116" s="55">
        <f>[1]Details!DU27-[1]Details!ED27</f>
        <v>621206113.18263495</v>
      </c>
      <c r="I116" s="55">
        <f>[1]Details!DV27-[1]Details!EH27</f>
        <v>610810629.52255416</v>
      </c>
      <c r="J116" s="49">
        <f t="shared" si="24"/>
        <v>-10395483.660080791</v>
      </c>
      <c r="K116" s="17">
        <f t="shared" si="25"/>
        <v>-1.6734355054591216E-2</v>
      </c>
      <c r="L116" s="16">
        <f t="shared" si="14"/>
        <v>830024.43</v>
      </c>
      <c r="M116" s="16">
        <f t="shared" si="26"/>
        <v>-12.524310471296356</v>
      </c>
    </row>
    <row r="117" spans="5:13" hidden="1" x14ac:dyDescent="0.25">
      <c r="F117">
        <f t="shared" si="27"/>
        <v>79</v>
      </c>
      <c r="G117" s="58" t="s">
        <v>54</v>
      </c>
      <c r="H117" s="55">
        <f>[1]Details!DX27</f>
        <v>22581198.310000021</v>
      </c>
      <c r="I117" s="55">
        <f>[1]Details!DZ27</f>
        <v>54427257.390000001</v>
      </c>
      <c r="J117" s="49">
        <f t="shared" si="24"/>
        <v>31846059.07999998</v>
      </c>
      <c r="K117" s="17">
        <f t="shared" si="25"/>
        <v>1.4102909262302985</v>
      </c>
      <c r="L117" s="16">
        <f t="shared" si="14"/>
        <v>830024.43</v>
      </c>
      <c r="M117" s="16">
        <f t="shared" si="26"/>
        <v>38.367616577261437</v>
      </c>
    </row>
    <row r="118" spans="5:13" hidden="1" x14ac:dyDescent="0.25">
      <c r="F118">
        <f t="shared" si="27"/>
        <v>80</v>
      </c>
      <c r="G118" s="7" t="s">
        <v>55</v>
      </c>
      <c r="H118" s="55">
        <f>[1]Details!EB27</f>
        <v>59543588.034000002</v>
      </c>
      <c r="I118" s="55">
        <f>[1]Details!EF27</f>
        <v>82881289.634000003</v>
      </c>
      <c r="J118" s="49">
        <f t="shared" si="24"/>
        <v>23337701.600000001</v>
      </c>
      <c r="K118" s="17">
        <f t="shared" si="25"/>
        <v>0.39194315241254751</v>
      </c>
      <c r="L118" s="16">
        <f t="shared" si="14"/>
        <v>830024.43</v>
      </c>
      <c r="M118" s="16">
        <f t="shared" si="26"/>
        <v>28.116885186138436</v>
      </c>
    </row>
    <row r="119" spans="5:13" s="30" customFormat="1" ht="15.75" hidden="1" thickBot="1" x14ac:dyDescent="0.3">
      <c r="E119" s="31"/>
      <c r="F119" s="30">
        <f t="shared" si="27"/>
        <v>81</v>
      </c>
      <c r="G119" s="7" t="s">
        <v>56</v>
      </c>
      <c r="H119" s="55">
        <f>[1]Details!ED27</f>
        <v>114891917</v>
      </c>
      <c r="I119" s="55">
        <f>[1]Details!EH27</f>
        <v>114891917</v>
      </c>
      <c r="J119" s="49">
        <f t="shared" si="24"/>
        <v>0</v>
      </c>
      <c r="K119" s="32">
        <f t="shared" si="25"/>
        <v>0</v>
      </c>
      <c r="L119" s="31">
        <f t="shared" si="14"/>
        <v>830024.43</v>
      </c>
      <c r="M119" s="31">
        <f t="shared" si="26"/>
        <v>0</v>
      </c>
    </row>
    <row r="120" spans="5:13" hidden="1" x14ac:dyDescent="0.25">
      <c r="E120" s="16"/>
      <c r="G120" s="7"/>
      <c r="H120" s="55"/>
      <c r="I120" s="55"/>
      <c r="J120" s="49"/>
    </row>
    <row r="121" spans="5:13" hidden="1" x14ac:dyDescent="0.25">
      <c r="E121" s="16"/>
      <c r="F121">
        <f>F119+1</f>
        <v>82</v>
      </c>
      <c r="G121" s="7" t="s">
        <v>91</v>
      </c>
      <c r="H121" s="55">
        <f>SUM(H98:H103)</f>
        <v>861493300.92318475</v>
      </c>
      <c r="I121" s="55">
        <f ca="1">SUM(I98:I103)</f>
        <v>861493300.92318451</v>
      </c>
      <c r="J121" s="49">
        <f ca="1">SUM(J98:J103)</f>
        <v>0</v>
      </c>
      <c r="K121" s="17">
        <f ca="1">IF(H121=0,0,J121/H121)</f>
        <v>0</v>
      </c>
      <c r="L121" s="16">
        <f t="shared" si="14"/>
        <v>830024.43</v>
      </c>
      <c r="M121" s="16">
        <f ca="1">IF(L121=0,0,J121/L121)</f>
        <v>0</v>
      </c>
    </row>
    <row r="122" spans="5:13" hidden="1" x14ac:dyDescent="0.25">
      <c r="E122" s="16"/>
      <c r="F122">
        <f>F121+1</f>
        <v>83</v>
      </c>
      <c r="G122" s="7" t="s">
        <v>92</v>
      </c>
      <c r="H122" s="55">
        <f>SUM(H106:H119)</f>
        <v>1112304470.6065607</v>
      </c>
      <c r="I122" s="55">
        <f>SUM(I106:I119)</f>
        <v>1112304470.6065607</v>
      </c>
      <c r="J122" s="49">
        <f>I122-H122</f>
        <v>0</v>
      </c>
      <c r="K122" s="17">
        <f>IF(H122=0,0,J122/H122)</f>
        <v>0</v>
      </c>
      <c r="L122" s="16">
        <f t="shared" si="14"/>
        <v>830024.43</v>
      </c>
      <c r="M122" s="16">
        <f>IF(L122=0,0,J122/L122)</f>
        <v>0</v>
      </c>
    </row>
    <row r="123" spans="5:13" ht="15.75" hidden="1" x14ac:dyDescent="0.25">
      <c r="E123" s="16"/>
      <c r="F123">
        <f>F122+1</f>
        <v>84</v>
      </c>
      <c r="G123" s="56" t="str">
        <f>+"LEVY TOTAL, COMBINED = ("&amp;+F121&amp;")+("&amp;+F122&amp;") ="</f>
        <v>LEVY TOTAL, COMBINED = (82)+(83) =</v>
      </c>
      <c r="H123" s="55">
        <f>H121+H122</f>
        <v>1973797771.5297456</v>
      </c>
      <c r="I123" s="55">
        <f ca="1">I121+I122</f>
        <v>1973797771.5297451</v>
      </c>
      <c r="J123" s="49">
        <f ca="1">I123-H123</f>
        <v>0</v>
      </c>
      <c r="K123" s="17">
        <f ca="1">IF(H123=0,0,J123/H123)</f>
        <v>0</v>
      </c>
      <c r="L123" s="16">
        <f t="shared" si="14"/>
        <v>830024.43</v>
      </c>
      <c r="M123" s="16">
        <f ca="1">IF(L123=0,0,J123/L123)</f>
        <v>0</v>
      </c>
    </row>
    <row r="124" spans="5:13" hidden="1" x14ac:dyDescent="0.25">
      <c r="E124" s="16"/>
      <c r="G124" s="7"/>
      <c r="H124" s="55"/>
      <c r="I124" s="55"/>
      <c r="J124" s="49"/>
      <c r="K124"/>
      <c r="L124" s="16"/>
      <c r="M124" s="16"/>
    </row>
    <row r="125" spans="5:13" hidden="1" x14ac:dyDescent="0.25">
      <c r="E125" s="16"/>
      <c r="F125">
        <f>F123+1</f>
        <v>85</v>
      </c>
      <c r="G125" s="7" t="s">
        <v>93</v>
      </c>
      <c r="H125" s="55">
        <f>H37+H38</f>
        <v>528499487.16999972</v>
      </c>
      <c r="I125" s="55">
        <f>I37+I38</f>
        <v>546096797.55999959</v>
      </c>
      <c r="J125" s="49">
        <f>I125-H125</f>
        <v>17597310.389999866</v>
      </c>
      <c r="K125" s="17">
        <f>IF(H125=0,0,J125/H125)</f>
        <v>3.3296740710628978E-2</v>
      </c>
      <c r="L125" s="16">
        <f t="shared" si="14"/>
        <v>830024.43</v>
      </c>
      <c r="M125" s="16">
        <f>IF(L125=0,0,J125/L125)</f>
        <v>21.200954759849498</v>
      </c>
    </row>
    <row r="126" spans="5:13" hidden="1" x14ac:dyDescent="0.25">
      <c r="E126" s="16"/>
      <c r="G126" s="7" t="s">
        <v>94</v>
      </c>
      <c r="H126" s="55"/>
      <c r="I126" s="55"/>
      <c r="J126" s="49"/>
      <c r="K126" s="17"/>
      <c r="L126" s="16"/>
      <c r="M126" s="16"/>
    </row>
    <row r="127" spans="5:13" hidden="1" x14ac:dyDescent="0.25">
      <c r="E127" s="16"/>
      <c r="G127" s="7"/>
      <c r="H127" s="55"/>
      <c r="I127" s="55"/>
      <c r="J127" s="49"/>
      <c r="K127" s="17"/>
      <c r="L127" s="16"/>
      <c r="M127" s="16"/>
    </row>
    <row r="128" spans="5:13" hidden="1" x14ac:dyDescent="0.25">
      <c r="E128" s="16"/>
      <c r="F128">
        <f>F123+1</f>
        <v>85</v>
      </c>
      <c r="G128" s="7" t="str">
        <f>+"REFERENDUM = ("&amp;+F58&amp;")-("&amp;+F99&amp;") ="</f>
        <v>REFERENDUM = (51)-(64) =</v>
      </c>
      <c r="H128" s="55">
        <f>H58-H99</f>
        <v>94558123.166815162</v>
      </c>
      <c r="I128" s="55">
        <f>I58-I99</f>
        <v>84474583.474401414</v>
      </c>
      <c r="J128" s="49">
        <f t="shared" ref="J128:J137" si="29">I128-H128</f>
        <v>-10083539.692413747</v>
      </c>
      <c r="K128" s="17">
        <f t="shared" ref="K128:K137" si="30">IF(H128=0,0,J128/H128)</f>
        <v>-0.10663853463572688</v>
      </c>
      <c r="L128" s="16">
        <f t="shared" ref="L128:L137" si="31">$L$6</f>
        <v>830024.43</v>
      </c>
      <c r="M128" s="16">
        <f t="shared" ref="M128:M137" si="32">IF(L128=0,0,J128/L128)</f>
        <v>-12.148485427608133</v>
      </c>
    </row>
    <row r="129" spans="5:13" hidden="1" x14ac:dyDescent="0.25">
      <c r="E129" s="16"/>
      <c r="F129">
        <f>F128+1</f>
        <v>86</v>
      </c>
      <c r="G129" s="7" t="str">
        <f>+"EQUITY = ("&amp;+F44&amp;")-("&amp;+F100&amp;") ="</f>
        <v>EQUITY = (37)-(65) =</v>
      </c>
      <c r="H129" s="55">
        <f>H44-H100</f>
        <v>20083408.719999939</v>
      </c>
      <c r="I129" s="55">
        <f ca="1">I44-I100</f>
        <v>18520721.70000007</v>
      </c>
      <c r="J129" s="49">
        <f t="shared" ca="1" si="29"/>
        <v>-1562687.0199998692</v>
      </c>
      <c r="K129" s="17">
        <f t="shared" ca="1" si="30"/>
        <v>-7.7809850000397432E-2</v>
      </c>
      <c r="L129" s="16">
        <f t="shared" si="31"/>
        <v>830024.43</v>
      </c>
      <c r="M129" s="16">
        <f t="shared" ca="1" si="32"/>
        <v>-1.8827000308892945</v>
      </c>
    </row>
    <row r="130" spans="5:13" hidden="1" x14ac:dyDescent="0.25">
      <c r="E130" s="16"/>
      <c r="F130">
        <f t="shared" ref="F130:F137" si="33">F129+1</f>
        <v>87</v>
      </c>
      <c r="G130" s="7" t="str">
        <f>+"TRANSITION = ("&amp;+F45&amp;")-("&amp;+F101&amp;") ="</f>
        <v>TRANSITION = (38)-(66) =</v>
      </c>
      <c r="H130" s="55">
        <f>H45-H101</f>
        <v>6302920.1199999899</v>
      </c>
      <c r="I130" s="55">
        <f ca="1">I45-I101</f>
        <v>793606.66916242987</v>
      </c>
      <c r="J130" s="49">
        <f t="shared" ca="1" si="29"/>
        <v>-5509313.45083756</v>
      </c>
      <c r="K130" s="17">
        <f t="shared" ca="1" si="30"/>
        <v>-0.87408904855953795</v>
      </c>
      <c r="L130" s="16">
        <f t="shared" si="31"/>
        <v>830024.43</v>
      </c>
      <c r="M130" s="16">
        <f t="shared" ca="1" si="32"/>
        <v>-6.6375316818537016</v>
      </c>
    </row>
    <row r="131" spans="5:13" hidden="1" x14ac:dyDescent="0.25">
      <c r="E131" s="16"/>
      <c r="F131">
        <f t="shared" si="33"/>
        <v>88</v>
      </c>
      <c r="G131" s="7" t="str">
        <f>+"REGIONAL COST ADJUSTMENT = ("&amp;+F59&amp;")-("&amp;+F102&amp;") ="</f>
        <v>REGIONAL COST ADJUSTMENT = (52)-(67) =</v>
      </c>
      <c r="H131" s="55">
        <f>H59-H102</f>
        <v>0</v>
      </c>
      <c r="I131" s="55">
        <f>I59-I102</f>
        <v>37619990.210000038</v>
      </c>
      <c r="J131" s="49">
        <f t="shared" si="29"/>
        <v>37619990.210000038</v>
      </c>
      <c r="K131" s="17">
        <f t="shared" si="30"/>
        <v>0</v>
      </c>
      <c r="L131" s="16">
        <f t="shared" si="31"/>
        <v>830024.43</v>
      </c>
      <c r="M131" s="16">
        <f t="shared" si="32"/>
        <v>45.323955356350218</v>
      </c>
    </row>
    <row r="132" spans="5:13" hidden="1" x14ac:dyDescent="0.25">
      <c r="E132" s="16"/>
      <c r="F132">
        <f t="shared" si="33"/>
        <v>89</v>
      </c>
      <c r="G132" s="7" t="str">
        <f>+"OPERATING CAPITAL = ("&amp;+F46&amp;")-("&amp;+F107&amp;") ="</f>
        <v>OPERATING CAPITAL = (39)-(69) =</v>
      </c>
      <c r="H132" s="55">
        <f>H46-H107</f>
        <v>83363536.000661179</v>
      </c>
      <c r="I132" s="55">
        <f>I46-I107</f>
        <v>197438688.42235181</v>
      </c>
      <c r="J132" s="49">
        <f t="shared" si="29"/>
        <v>114075152.42169063</v>
      </c>
      <c r="K132" s="17">
        <f t="shared" si="30"/>
        <v>1.3684058749713528</v>
      </c>
      <c r="L132" s="16">
        <f t="shared" si="31"/>
        <v>830024.43</v>
      </c>
      <c r="M132" s="16">
        <f t="shared" si="32"/>
        <v>137.43589742495968</v>
      </c>
    </row>
    <row r="133" spans="5:13" hidden="1" x14ac:dyDescent="0.25">
      <c r="E133" s="16"/>
      <c r="F133">
        <f t="shared" si="33"/>
        <v>90</v>
      </c>
      <c r="G133" s="7" t="str">
        <f>+"INTEGRATION = ("&amp;+F52&amp;")-("&amp;+F108&amp;") ="</f>
        <v>INTEGRATION = (45)-(70) =</v>
      </c>
      <c r="H133" s="55">
        <f>H52-H108</f>
        <v>67588010.162036225</v>
      </c>
      <c r="I133" s="55">
        <f>I52-I108</f>
        <v>101487855.80000001</v>
      </c>
      <c r="J133" s="49">
        <f t="shared" si="29"/>
        <v>33899845.637963787</v>
      </c>
      <c r="K133" s="17">
        <f t="shared" si="30"/>
        <v>0.5015659664590203</v>
      </c>
      <c r="L133" s="16">
        <f t="shared" si="31"/>
        <v>830024.43</v>
      </c>
      <c r="M133" s="16">
        <f t="shared" si="32"/>
        <v>40.841985383446826</v>
      </c>
    </row>
    <row r="134" spans="5:13" hidden="1" x14ac:dyDescent="0.25">
      <c r="E134" s="16"/>
      <c r="F134">
        <f t="shared" si="33"/>
        <v>91</v>
      </c>
      <c r="G134" s="7" t="str">
        <f>+"Q COMP = ("&amp;+F47&amp;")-("&amp;+F109&amp;") ="</f>
        <v>Q COMP = (40)-(71) =</v>
      </c>
      <c r="H134" s="55">
        <f>H47-H109</f>
        <v>46626537.490000017</v>
      </c>
      <c r="I134" s="55">
        <f>I47-I109</f>
        <v>46544206.350000016</v>
      </c>
      <c r="J134" s="49">
        <f t="shared" si="29"/>
        <v>-82331.140000000596</v>
      </c>
      <c r="K134" s="17">
        <f t="shared" si="30"/>
        <v>-1.7657571081202016E-3</v>
      </c>
      <c r="L134" s="16">
        <f t="shared" si="31"/>
        <v>830024.43</v>
      </c>
      <c r="M134" s="16">
        <f t="shared" si="32"/>
        <v>-9.9191225010088674E-2</v>
      </c>
    </row>
    <row r="135" spans="5:13" hidden="1" x14ac:dyDescent="0.25">
      <c r="E135" s="16"/>
      <c r="F135">
        <f t="shared" si="33"/>
        <v>92</v>
      </c>
      <c r="G135" s="7" t="str">
        <f>+"DEBT AID = ("&amp;+F66&amp;")-("&amp;+F116&amp;") ="</f>
        <v>DEBT AID = (58)-(78) =</v>
      </c>
      <c r="H135" s="55">
        <f>H66-H116</f>
        <v>18869563.587365031</v>
      </c>
      <c r="I135" s="55">
        <f>I66-I116</f>
        <v>29265047.247445822</v>
      </c>
      <c r="J135" s="49">
        <f t="shared" si="29"/>
        <v>10395483.660080791</v>
      </c>
      <c r="K135" s="17">
        <f t="shared" si="30"/>
        <v>0.55091277611961076</v>
      </c>
      <c r="L135" s="16">
        <f t="shared" si="31"/>
        <v>830024.43</v>
      </c>
      <c r="M135" s="16">
        <f t="shared" si="32"/>
        <v>12.524310471296356</v>
      </c>
    </row>
    <row r="136" spans="5:13" hidden="1" x14ac:dyDescent="0.25">
      <c r="E136" s="16"/>
      <c r="F136">
        <f t="shared" si="33"/>
        <v>93</v>
      </c>
      <c r="G136" s="7" t="str">
        <f>+"DEFERRED MAINTENANCE = ("&amp;+F67&amp;")-("&amp;+F117&amp;") ="</f>
        <v>DEFERRED MAINTENANCE = (59)-(79) =</v>
      </c>
      <c r="H136" s="55">
        <f>H67-H117</f>
        <v>3515288.1541142687</v>
      </c>
      <c r="I136" s="55">
        <f>I67-I117</f>
        <v>39010085.436171427</v>
      </c>
      <c r="J136" s="49">
        <f t="shared" si="29"/>
        <v>35494797.282057159</v>
      </c>
      <c r="K136" s="17">
        <f t="shared" si="30"/>
        <v>10.097265352347943</v>
      </c>
      <c r="L136" s="16">
        <f t="shared" si="31"/>
        <v>830024.43</v>
      </c>
      <c r="M136" s="16">
        <f t="shared" si="32"/>
        <v>42.763557311267519</v>
      </c>
    </row>
    <row r="137" spans="5:13" hidden="1" x14ac:dyDescent="0.25">
      <c r="E137" s="16"/>
      <c r="F137">
        <f t="shared" si="33"/>
        <v>94</v>
      </c>
      <c r="G137" s="7" t="str">
        <f>+"ALTERNATIVE FACILITIES = [("&amp;+F68&amp;")+("&amp;+F69&amp;")]-[("&amp;+F118&amp;")+("&amp;+F119&amp;")] ="</f>
        <v>ALTERNATIVE FACILITIES = [(60)+(61)]-[(80)+(81)] =</v>
      </c>
      <c r="H137" s="55">
        <f>H68+H69-H118-H119</f>
        <v>19286064</v>
      </c>
      <c r="I137" s="55">
        <f>I68+I69-I118-I119</f>
        <v>19286064</v>
      </c>
      <c r="J137" s="49">
        <f t="shared" si="29"/>
        <v>0</v>
      </c>
      <c r="K137" s="17">
        <f t="shared" si="30"/>
        <v>0</v>
      </c>
      <c r="L137" s="16">
        <f t="shared" si="31"/>
        <v>830024.43</v>
      </c>
      <c r="M137" s="16">
        <f t="shared" si="32"/>
        <v>0</v>
      </c>
    </row>
    <row r="138" spans="5:13" hidden="1" x14ac:dyDescent="0.25">
      <c r="E138" s="16"/>
      <c r="G138" s="7"/>
      <c r="H138" s="55"/>
      <c r="I138" s="55"/>
      <c r="J138" s="49"/>
      <c r="K138" s="17"/>
      <c r="L138" s="16"/>
      <c r="M138" s="16"/>
    </row>
    <row r="139" spans="5:13" ht="15.75" hidden="1" x14ac:dyDescent="0.25">
      <c r="E139" s="16"/>
      <c r="F139" t="s">
        <v>95</v>
      </c>
      <c r="G139" s="7"/>
      <c r="H139" s="59" t="s">
        <v>96</v>
      </c>
      <c r="I139" s="60"/>
      <c r="J139" s="61"/>
    </row>
    <row r="140" spans="5:13" hidden="1" x14ac:dyDescent="0.25">
      <c r="G140" s="7"/>
      <c r="H140" s="62"/>
      <c r="I140" s="60"/>
      <c r="J140" s="61"/>
    </row>
    <row r="141" spans="5:13" hidden="1" x14ac:dyDescent="0.25">
      <c r="F141" t="s">
        <v>97</v>
      </c>
      <c r="G141" s="7"/>
      <c r="H141" s="63" t="s">
        <v>2</v>
      </c>
      <c r="I141" s="63" t="s">
        <v>3</v>
      </c>
      <c r="J141" s="57"/>
    </row>
    <row r="142" spans="5:13" hidden="1" x14ac:dyDescent="0.25">
      <c r="G142" s="7"/>
      <c r="H142" s="55"/>
      <c r="I142" s="55"/>
      <c r="J142" s="57"/>
    </row>
    <row r="143" spans="5:13" hidden="1" x14ac:dyDescent="0.25">
      <c r="F143" s="19">
        <v>1</v>
      </c>
      <c r="G143" s="64" t="s">
        <v>98</v>
      </c>
      <c r="H143" s="65">
        <v>1.25</v>
      </c>
      <c r="I143" s="65">
        <v>1</v>
      </c>
      <c r="J143" s="57"/>
    </row>
    <row r="144" spans="5:13" hidden="1" x14ac:dyDescent="0.25">
      <c r="F144" s="19">
        <f>F143+1</f>
        <v>2</v>
      </c>
      <c r="G144" s="64" t="s">
        <v>99</v>
      </c>
      <c r="H144" s="65">
        <v>1</v>
      </c>
      <c r="I144" s="65">
        <v>1</v>
      </c>
      <c r="J144" s="57"/>
    </row>
    <row r="145" spans="6:11" hidden="1" x14ac:dyDescent="0.25">
      <c r="F145" s="19">
        <f>F144+1</f>
        <v>3</v>
      </c>
      <c r="G145" s="64" t="s">
        <v>100</v>
      </c>
      <c r="H145" s="65">
        <v>0.61199999999999999</v>
      </c>
      <c r="I145" s="65">
        <v>0.5</v>
      </c>
      <c r="J145" s="57"/>
    </row>
    <row r="146" spans="6:11" hidden="1" x14ac:dyDescent="0.25">
      <c r="F146" s="19"/>
      <c r="G146" s="64"/>
      <c r="H146" s="65"/>
      <c r="I146" s="65"/>
      <c r="J146" s="57"/>
    </row>
    <row r="147" spans="6:11" hidden="1" x14ac:dyDescent="0.25">
      <c r="F147" s="19"/>
      <c r="G147" s="64"/>
      <c r="H147" s="65"/>
      <c r="I147" s="65"/>
      <c r="J147" s="57"/>
    </row>
    <row r="148" spans="6:11" hidden="1" x14ac:dyDescent="0.25">
      <c r="F148" s="19">
        <f>F145+1</f>
        <v>4</v>
      </c>
      <c r="G148" s="64" t="s">
        <v>101</v>
      </c>
      <c r="H148" s="65">
        <v>1.115</v>
      </c>
      <c r="I148" s="65">
        <v>1</v>
      </c>
      <c r="J148" s="57"/>
    </row>
    <row r="149" spans="6:11" hidden="1" x14ac:dyDescent="0.25">
      <c r="F149" s="19">
        <f t="shared" ref="F149:F159" si="34">F148+1</f>
        <v>5</v>
      </c>
      <c r="G149" s="64" t="s">
        <v>102</v>
      </c>
      <c r="H149" s="65">
        <v>1.06</v>
      </c>
      <c r="I149" s="65">
        <v>1</v>
      </c>
      <c r="J149" s="57"/>
    </row>
    <row r="150" spans="6:11" hidden="1" x14ac:dyDescent="0.25">
      <c r="F150" s="19">
        <f t="shared" si="34"/>
        <v>6</v>
      </c>
      <c r="G150" s="64" t="s">
        <v>103</v>
      </c>
      <c r="H150" s="65">
        <v>1.3</v>
      </c>
      <c r="I150" s="65">
        <v>1.2</v>
      </c>
      <c r="J150" s="57"/>
      <c r="K150"/>
    </row>
    <row r="151" spans="6:11" hidden="1" x14ac:dyDescent="0.25">
      <c r="F151" s="19">
        <f t="shared" si="34"/>
        <v>7</v>
      </c>
      <c r="G151" s="66" t="s">
        <v>104</v>
      </c>
      <c r="H151" s="67">
        <v>5224</v>
      </c>
      <c r="I151" s="67">
        <v>6300</v>
      </c>
      <c r="J151" s="57"/>
      <c r="K151"/>
    </row>
    <row r="152" spans="6:11" hidden="1" x14ac:dyDescent="0.25">
      <c r="F152" s="19">
        <f t="shared" si="34"/>
        <v>8</v>
      </c>
      <c r="G152" s="64" t="s">
        <v>105</v>
      </c>
      <c r="H152" s="68" t="s">
        <v>106</v>
      </c>
      <c r="I152" s="65">
        <v>0.28000000000000003</v>
      </c>
      <c r="J152" s="57"/>
      <c r="K152"/>
    </row>
    <row r="153" spans="6:11" hidden="1" x14ac:dyDescent="0.25">
      <c r="F153" s="19">
        <f t="shared" si="34"/>
        <v>9</v>
      </c>
      <c r="G153" s="64" t="s">
        <v>107</v>
      </c>
      <c r="H153" s="65">
        <v>0.115</v>
      </c>
      <c r="I153" s="65">
        <v>0.16</v>
      </c>
      <c r="J153" s="57"/>
      <c r="K153"/>
    </row>
    <row r="154" spans="6:11" hidden="1" x14ac:dyDescent="0.25">
      <c r="F154" s="19">
        <f t="shared" si="34"/>
        <v>10</v>
      </c>
      <c r="G154" s="64" t="s">
        <v>108</v>
      </c>
      <c r="H154" s="65">
        <v>250</v>
      </c>
      <c r="I154" s="65">
        <v>350</v>
      </c>
      <c r="J154" s="57"/>
      <c r="K154"/>
    </row>
    <row r="155" spans="6:11" hidden="1" x14ac:dyDescent="0.25">
      <c r="F155" s="19">
        <f t="shared" si="34"/>
        <v>11</v>
      </c>
      <c r="G155" s="64" t="s">
        <v>109</v>
      </c>
      <c r="H155" s="68">
        <v>1.0483</v>
      </c>
      <c r="I155" s="65">
        <f>[2]Inflation!F23</f>
        <v>1.0438596491228069</v>
      </c>
      <c r="J155" s="57"/>
      <c r="K155"/>
    </row>
    <row r="156" spans="6:11" hidden="1" x14ac:dyDescent="0.25">
      <c r="F156" s="19">
        <f t="shared" si="34"/>
        <v>12</v>
      </c>
      <c r="G156" s="64" t="s">
        <v>110</v>
      </c>
      <c r="H156" s="65">
        <v>0.1469</v>
      </c>
      <c r="I156" s="65">
        <v>0.13239999999999999</v>
      </c>
      <c r="J156" s="57"/>
      <c r="K156"/>
    </row>
    <row r="157" spans="6:11" hidden="1" x14ac:dyDescent="0.25">
      <c r="F157" s="19">
        <f t="shared" si="34"/>
        <v>13</v>
      </c>
      <c r="G157" s="64" t="s">
        <v>111</v>
      </c>
      <c r="H157" s="65">
        <v>4.8500000000000001E-2</v>
      </c>
      <c r="I157" s="65">
        <v>4.3700000000000003E-2</v>
      </c>
      <c r="J157" s="57"/>
      <c r="K157"/>
    </row>
    <row r="158" spans="6:11" hidden="1" x14ac:dyDescent="0.25">
      <c r="F158" s="19">
        <f t="shared" si="34"/>
        <v>14</v>
      </c>
      <c r="G158" s="64" t="s">
        <v>112</v>
      </c>
      <c r="H158" s="65">
        <v>73</v>
      </c>
      <c r="I158" s="65">
        <v>80</v>
      </c>
      <c r="J158" s="57"/>
      <c r="K158"/>
    </row>
    <row r="159" spans="6:11" hidden="1" x14ac:dyDescent="0.25">
      <c r="F159" s="19">
        <f t="shared" si="34"/>
        <v>15</v>
      </c>
      <c r="G159" s="64" t="s">
        <v>113</v>
      </c>
      <c r="H159" s="65">
        <v>100</v>
      </c>
      <c r="I159" s="65">
        <v>109</v>
      </c>
      <c r="J159" s="57"/>
      <c r="K159"/>
    </row>
    <row r="160" spans="6:11" hidden="1" x14ac:dyDescent="0.25">
      <c r="F160" s="19"/>
      <c r="G160" s="64"/>
      <c r="H160" s="65"/>
      <c r="I160" s="65"/>
      <c r="J160" s="57"/>
      <c r="K160"/>
    </row>
    <row r="161" spans="6:11" hidden="1" x14ac:dyDescent="0.25">
      <c r="F161" s="19"/>
      <c r="G161" s="64"/>
      <c r="H161" s="65"/>
      <c r="I161" s="65"/>
      <c r="J161" s="57"/>
      <c r="K161"/>
    </row>
    <row r="162" spans="6:11" hidden="1" x14ac:dyDescent="0.25">
      <c r="F162" s="19">
        <f>F159+1</f>
        <v>16</v>
      </c>
      <c r="G162" s="64" t="s">
        <v>114</v>
      </c>
      <c r="H162" s="65">
        <v>30</v>
      </c>
      <c r="I162" s="65">
        <v>33</v>
      </c>
      <c r="J162" s="57"/>
      <c r="K162"/>
    </row>
    <row r="163" spans="6:11" hidden="1" x14ac:dyDescent="0.25">
      <c r="F163" s="19">
        <f t="shared" ref="F163:F211" si="35">F162+1</f>
        <v>17</v>
      </c>
      <c r="G163" s="64" t="s">
        <v>115</v>
      </c>
      <c r="H163" s="68" t="s">
        <v>106</v>
      </c>
      <c r="I163" s="65">
        <f>I151</f>
        <v>6300</v>
      </c>
      <c r="J163" s="57"/>
      <c r="K163"/>
    </row>
    <row r="164" spans="6:11" hidden="1" x14ac:dyDescent="0.25">
      <c r="F164" s="19">
        <f t="shared" si="35"/>
        <v>18</v>
      </c>
      <c r="G164" s="64" t="s">
        <v>116</v>
      </c>
      <c r="H164" s="68" t="s">
        <v>106</v>
      </c>
      <c r="I164" s="65">
        <v>0.9</v>
      </c>
      <c r="J164" s="57"/>
      <c r="K164"/>
    </row>
    <row r="165" spans="6:11" hidden="1" x14ac:dyDescent="0.25">
      <c r="F165" s="19">
        <f t="shared" si="35"/>
        <v>19</v>
      </c>
      <c r="G165" s="64" t="s">
        <v>117</v>
      </c>
      <c r="H165" s="68" t="s">
        <v>106</v>
      </c>
      <c r="I165" s="65">
        <v>2</v>
      </c>
      <c r="J165" s="57"/>
      <c r="K165"/>
    </row>
    <row r="166" spans="6:11" hidden="1" x14ac:dyDescent="0.25">
      <c r="F166" s="19">
        <f t="shared" si="35"/>
        <v>20</v>
      </c>
      <c r="G166" s="64" t="s">
        <v>118</v>
      </c>
      <c r="H166" s="68" t="s">
        <v>106</v>
      </c>
      <c r="I166" s="65">
        <v>0.6</v>
      </c>
      <c r="J166" s="57"/>
      <c r="K166"/>
    </row>
    <row r="167" spans="6:11" hidden="1" x14ac:dyDescent="0.25">
      <c r="F167" s="19">
        <f t="shared" si="35"/>
        <v>21</v>
      </c>
      <c r="G167" s="64" t="s">
        <v>119</v>
      </c>
      <c r="H167" s="68" t="s">
        <v>106</v>
      </c>
      <c r="I167" s="65">
        <v>0.7</v>
      </c>
      <c r="J167" s="57"/>
      <c r="K167"/>
    </row>
    <row r="168" spans="6:11" hidden="1" x14ac:dyDescent="0.25">
      <c r="F168" s="19">
        <f t="shared" si="35"/>
        <v>22</v>
      </c>
      <c r="G168" s="64" t="s">
        <v>120</v>
      </c>
      <c r="H168" s="68" t="s">
        <v>106</v>
      </c>
      <c r="I168" s="65">
        <v>5.0999999999999997E-2</v>
      </c>
      <c r="J168" s="57"/>
      <c r="K168"/>
    </row>
    <row r="169" spans="6:11" hidden="1" x14ac:dyDescent="0.25">
      <c r="F169" s="19">
        <f t="shared" si="35"/>
        <v>23</v>
      </c>
      <c r="G169" s="64" t="s">
        <v>121</v>
      </c>
      <c r="H169" s="68" t="s">
        <v>106</v>
      </c>
      <c r="I169" s="65">
        <v>0.75</v>
      </c>
      <c r="J169" s="57"/>
      <c r="K169"/>
    </row>
    <row r="170" spans="6:11" hidden="1" x14ac:dyDescent="0.25">
      <c r="F170" s="19">
        <f t="shared" si="35"/>
        <v>24</v>
      </c>
      <c r="G170" s="64" t="s">
        <v>122</v>
      </c>
      <c r="H170" s="68" t="s">
        <v>106</v>
      </c>
      <c r="I170" s="65">
        <v>0.1</v>
      </c>
      <c r="J170" s="57"/>
      <c r="K170"/>
    </row>
    <row r="171" spans="6:11" hidden="1" x14ac:dyDescent="0.25">
      <c r="F171" s="19">
        <f t="shared" si="35"/>
        <v>25</v>
      </c>
      <c r="G171" s="69" t="s">
        <v>123</v>
      </c>
      <c r="H171" s="70" t="s">
        <v>106</v>
      </c>
      <c r="I171" s="71">
        <v>0.9</v>
      </c>
      <c r="J171" s="57"/>
      <c r="K171"/>
    </row>
    <row r="172" spans="6:11" hidden="1" x14ac:dyDescent="0.25">
      <c r="F172" s="19">
        <f t="shared" si="35"/>
        <v>26</v>
      </c>
      <c r="G172" s="69" t="s">
        <v>124</v>
      </c>
      <c r="H172" s="70" t="s">
        <v>106</v>
      </c>
      <c r="I172" s="71">
        <v>1240</v>
      </c>
      <c r="J172" s="57"/>
      <c r="K172"/>
    </row>
    <row r="173" spans="6:11" hidden="1" x14ac:dyDescent="0.25">
      <c r="F173" s="19">
        <f t="shared" si="35"/>
        <v>27</v>
      </c>
      <c r="G173" s="64" t="s">
        <v>125</v>
      </c>
      <c r="H173" s="68" t="s">
        <v>106</v>
      </c>
      <c r="I173" s="65">
        <v>1</v>
      </c>
      <c r="J173" s="57"/>
      <c r="K173"/>
    </row>
    <row r="174" spans="6:11" hidden="1" x14ac:dyDescent="0.25">
      <c r="F174" s="19">
        <f t="shared" si="35"/>
        <v>28</v>
      </c>
      <c r="G174" s="64" t="s">
        <v>125</v>
      </c>
      <c r="H174" s="68" t="s">
        <v>106</v>
      </c>
      <c r="I174" s="65">
        <v>1.0841623</v>
      </c>
      <c r="J174" s="57"/>
      <c r="K174"/>
    </row>
    <row r="175" spans="6:11" hidden="1" x14ac:dyDescent="0.25">
      <c r="F175" s="19">
        <f t="shared" si="35"/>
        <v>29</v>
      </c>
      <c r="G175" s="66" t="s">
        <v>126</v>
      </c>
      <c r="H175" s="72" t="str">
        <f>IF(I37=0,"N/A",H37/I37*250)</f>
        <v>N/A</v>
      </c>
      <c r="I175" s="67">
        <v>0</v>
      </c>
      <c r="J175" s="57"/>
      <c r="K175"/>
    </row>
    <row r="176" spans="6:11" hidden="1" x14ac:dyDescent="0.25">
      <c r="F176" s="19">
        <f t="shared" si="35"/>
        <v>30</v>
      </c>
      <c r="G176" s="66" t="s">
        <v>127</v>
      </c>
      <c r="H176" s="72" t="s">
        <v>106</v>
      </c>
      <c r="I176" s="67">
        <v>500</v>
      </c>
      <c r="J176" s="57"/>
      <c r="K176"/>
    </row>
    <row r="177" spans="6:11" hidden="1" x14ac:dyDescent="0.25">
      <c r="F177" s="19">
        <f t="shared" si="35"/>
        <v>31</v>
      </c>
      <c r="G177" s="66" t="s">
        <v>128</v>
      </c>
      <c r="H177" s="72" t="s">
        <v>106</v>
      </c>
      <c r="I177" s="67">
        <v>0.6</v>
      </c>
      <c r="J177" s="57"/>
      <c r="K177"/>
    </row>
    <row r="178" spans="6:11" hidden="1" x14ac:dyDescent="0.25">
      <c r="F178" s="19">
        <f t="shared" si="35"/>
        <v>32</v>
      </c>
      <c r="G178" s="66" t="s">
        <v>129</v>
      </c>
      <c r="H178" s="72" t="s">
        <v>106</v>
      </c>
      <c r="I178" s="67">
        <v>0</v>
      </c>
      <c r="J178" s="57"/>
      <c r="K178"/>
    </row>
    <row r="179" spans="6:11" hidden="1" x14ac:dyDescent="0.25">
      <c r="F179" s="19">
        <f t="shared" si="35"/>
        <v>33</v>
      </c>
      <c r="G179" s="66" t="s">
        <v>130</v>
      </c>
      <c r="H179" s="72" t="s">
        <v>106</v>
      </c>
      <c r="I179" s="67">
        <v>0</v>
      </c>
      <c r="J179" s="57"/>
      <c r="K179"/>
    </row>
    <row r="180" spans="6:11" hidden="1" x14ac:dyDescent="0.25">
      <c r="F180" s="19">
        <f t="shared" si="35"/>
        <v>34</v>
      </c>
      <c r="G180" s="73" t="s">
        <v>131</v>
      </c>
      <c r="H180" s="74" t="s">
        <v>106</v>
      </c>
      <c r="I180" s="75">
        <v>1400</v>
      </c>
      <c r="J180" s="57"/>
      <c r="K180"/>
    </row>
    <row r="181" spans="6:11" hidden="1" x14ac:dyDescent="0.25">
      <c r="F181" s="19">
        <f t="shared" si="35"/>
        <v>35</v>
      </c>
      <c r="G181" s="73" t="s">
        <v>132</v>
      </c>
      <c r="H181" s="74" t="s">
        <v>106</v>
      </c>
      <c r="I181" s="75">
        <v>100</v>
      </c>
      <c r="J181" s="57"/>
      <c r="K181"/>
    </row>
    <row r="182" spans="6:11" hidden="1" x14ac:dyDescent="0.25">
      <c r="F182" s="19">
        <f t="shared" si="35"/>
        <v>36</v>
      </c>
      <c r="G182" s="66" t="s">
        <v>133</v>
      </c>
      <c r="H182" s="72" t="s">
        <v>106</v>
      </c>
      <c r="I182" s="67">
        <v>300</v>
      </c>
      <c r="J182" s="57"/>
      <c r="K182"/>
    </row>
    <row r="183" spans="6:11" hidden="1" x14ac:dyDescent="0.25">
      <c r="F183" s="19">
        <f t="shared" si="35"/>
        <v>37</v>
      </c>
      <c r="G183" s="66" t="s">
        <v>134</v>
      </c>
      <c r="H183" s="72" t="s">
        <v>106</v>
      </c>
      <c r="I183" s="67">
        <v>400</v>
      </c>
      <c r="J183" s="57"/>
      <c r="K183"/>
    </row>
    <row r="184" spans="6:11" hidden="1" x14ac:dyDescent="0.25">
      <c r="F184" s="19">
        <f t="shared" si="35"/>
        <v>38</v>
      </c>
      <c r="G184" s="66" t="s">
        <v>135</v>
      </c>
      <c r="H184" s="72" t="s">
        <v>106</v>
      </c>
      <c r="I184" s="67">
        <v>200</v>
      </c>
      <c r="J184" s="57"/>
      <c r="K184"/>
    </row>
    <row r="185" spans="6:11" hidden="1" x14ac:dyDescent="0.25">
      <c r="F185" s="19">
        <f t="shared" si="35"/>
        <v>39</v>
      </c>
      <c r="G185" s="73" t="s">
        <v>136</v>
      </c>
      <c r="H185" s="74" t="s">
        <v>106</v>
      </c>
      <c r="I185" s="75">
        <v>1.4999999999999999E-2</v>
      </c>
      <c r="J185" s="57"/>
      <c r="K185"/>
    </row>
    <row r="186" spans="6:11" hidden="1" x14ac:dyDescent="0.25">
      <c r="F186" s="19">
        <f t="shared" si="35"/>
        <v>40</v>
      </c>
      <c r="G186" s="73" t="s">
        <v>137</v>
      </c>
      <c r="H186" s="74" t="s">
        <v>106</v>
      </c>
      <c r="I186" s="75">
        <v>5.0000000000000001E-3</v>
      </c>
      <c r="J186" s="57"/>
      <c r="K186"/>
    </row>
    <row r="187" spans="6:11" hidden="1" x14ac:dyDescent="0.25">
      <c r="F187" s="19">
        <f t="shared" si="35"/>
        <v>41</v>
      </c>
      <c r="G187" s="76" t="s">
        <v>138</v>
      </c>
      <c r="H187" s="77" t="s">
        <v>106</v>
      </c>
      <c r="I187" s="78">
        <f>H213*1.25</f>
        <v>669768.23502575036</v>
      </c>
      <c r="J187" s="57"/>
      <c r="K187"/>
    </row>
    <row r="188" spans="6:11" hidden="1" x14ac:dyDescent="0.25">
      <c r="F188" s="19">
        <f t="shared" si="35"/>
        <v>42</v>
      </c>
      <c r="G188" s="76" t="s">
        <v>139</v>
      </c>
      <c r="H188" s="77" t="s">
        <v>106</v>
      </c>
      <c r="I188" s="78">
        <f>H213*0.75</f>
        <v>401860.94101545017</v>
      </c>
      <c r="J188" s="57"/>
      <c r="K188"/>
    </row>
    <row r="189" spans="6:11" hidden="1" x14ac:dyDescent="0.25">
      <c r="F189" s="19">
        <f t="shared" si="35"/>
        <v>43</v>
      </c>
      <c r="G189" s="64" t="s">
        <v>140</v>
      </c>
      <c r="H189" s="68" t="s">
        <v>106</v>
      </c>
      <c r="I189" s="78">
        <f>H214*1.6</f>
        <v>11156.185442455244</v>
      </c>
      <c r="J189" s="57"/>
      <c r="K189"/>
    </row>
    <row r="190" spans="6:11" hidden="1" x14ac:dyDescent="0.25">
      <c r="F190" s="19">
        <f t="shared" si="35"/>
        <v>44</v>
      </c>
      <c r="G190" s="64" t="s">
        <v>141</v>
      </c>
      <c r="H190" s="68" t="s">
        <v>106</v>
      </c>
      <c r="I190" s="78">
        <v>700</v>
      </c>
      <c r="J190" s="57"/>
      <c r="K190"/>
    </row>
    <row r="191" spans="6:11" hidden="1" x14ac:dyDescent="0.25">
      <c r="F191" s="19">
        <f t="shared" si="35"/>
        <v>45</v>
      </c>
      <c r="G191" s="64" t="s">
        <v>142</v>
      </c>
      <c r="H191" s="68" t="s">
        <v>106</v>
      </c>
      <c r="I191" s="78">
        <v>1300</v>
      </c>
      <c r="J191" s="57"/>
      <c r="K191"/>
    </row>
    <row r="192" spans="6:11" hidden="1" x14ac:dyDescent="0.25">
      <c r="F192" s="19">
        <f t="shared" si="35"/>
        <v>46</v>
      </c>
      <c r="G192" s="64" t="s">
        <v>143</v>
      </c>
      <c r="H192" s="68" t="s">
        <v>106</v>
      </c>
      <c r="I192" s="78">
        <v>1</v>
      </c>
      <c r="J192" s="57"/>
      <c r="K192"/>
    </row>
    <row r="193" spans="6:11" hidden="1" x14ac:dyDescent="0.25">
      <c r="F193" s="19">
        <f t="shared" si="35"/>
        <v>47</v>
      </c>
      <c r="G193" s="64" t="s">
        <v>144</v>
      </c>
      <c r="H193" s="68" t="s">
        <v>106</v>
      </c>
      <c r="I193" s="78">
        <v>1</v>
      </c>
      <c r="J193" s="57"/>
      <c r="K193"/>
    </row>
    <row r="194" spans="6:11" hidden="1" x14ac:dyDescent="0.25">
      <c r="F194" s="19">
        <f t="shared" si="35"/>
        <v>48</v>
      </c>
      <c r="G194" s="64" t="s">
        <v>145</v>
      </c>
      <c r="H194" s="68" t="s">
        <v>106</v>
      </c>
      <c r="I194" s="78">
        <v>1</v>
      </c>
      <c r="J194" s="57"/>
      <c r="K194"/>
    </row>
    <row r="195" spans="6:11" hidden="1" x14ac:dyDescent="0.25">
      <c r="F195" s="19">
        <f t="shared" si="35"/>
        <v>49</v>
      </c>
      <c r="G195" s="64" t="s">
        <v>146</v>
      </c>
      <c r="H195" s="68" t="s">
        <v>106</v>
      </c>
      <c r="I195" s="78">
        <v>1</v>
      </c>
      <c r="J195" s="57"/>
      <c r="K195"/>
    </row>
    <row r="196" spans="6:11" hidden="1" x14ac:dyDescent="0.25">
      <c r="F196" s="19">
        <f t="shared" si="35"/>
        <v>50</v>
      </c>
      <c r="G196" s="64" t="s">
        <v>147</v>
      </c>
      <c r="H196" s="68" t="s">
        <v>106</v>
      </c>
      <c r="I196" s="78">
        <v>0</v>
      </c>
      <c r="J196" s="57"/>
      <c r="K196"/>
    </row>
    <row r="197" spans="6:11" hidden="1" x14ac:dyDescent="0.25">
      <c r="F197" s="19">
        <f>F196+1</f>
        <v>51</v>
      </c>
      <c r="G197" s="76" t="s">
        <v>148</v>
      </c>
      <c r="H197" s="77" t="s">
        <v>106</v>
      </c>
      <c r="I197" s="78">
        <v>0.65</v>
      </c>
      <c r="J197" s="57"/>
      <c r="K197"/>
    </row>
    <row r="198" spans="6:11" hidden="1" x14ac:dyDescent="0.25">
      <c r="F198" s="19">
        <f t="shared" si="35"/>
        <v>52</v>
      </c>
      <c r="G198" s="76" t="s">
        <v>149</v>
      </c>
      <c r="H198" s="77" t="s">
        <v>106</v>
      </c>
      <c r="I198" s="78">
        <f>H214*1.05</f>
        <v>7321.2466966112534</v>
      </c>
      <c r="J198" s="57"/>
      <c r="K198"/>
    </row>
    <row r="199" spans="6:11" hidden="1" x14ac:dyDescent="0.25">
      <c r="F199" s="19">
        <f t="shared" si="35"/>
        <v>53</v>
      </c>
      <c r="G199" s="64" t="s">
        <v>150</v>
      </c>
      <c r="H199" s="68" t="s">
        <v>106</v>
      </c>
      <c r="I199" s="78">
        <v>0</v>
      </c>
      <c r="J199" s="57"/>
      <c r="K199"/>
    </row>
    <row r="200" spans="6:11" hidden="1" x14ac:dyDescent="0.25">
      <c r="F200" s="79">
        <f t="shared" si="35"/>
        <v>54</v>
      </c>
      <c r="G200" s="80" t="s">
        <v>151</v>
      </c>
      <c r="H200" s="77" t="s">
        <v>106</v>
      </c>
      <c r="I200" s="78">
        <v>0.15</v>
      </c>
      <c r="J200" s="57"/>
      <c r="K200"/>
    </row>
    <row r="201" spans="6:11" hidden="1" x14ac:dyDescent="0.25">
      <c r="F201" s="79">
        <f t="shared" si="35"/>
        <v>55</v>
      </c>
      <c r="G201" s="80" t="s">
        <v>152</v>
      </c>
      <c r="H201" s="77" t="s">
        <v>106</v>
      </c>
      <c r="I201" s="78">
        <f>I200+10%</f>
        <v>0.25</v>
      </c>
      <c r="J201" s="57"/>
      <c r="K201"/>
    </row>
    <row r="202" spans="6:11" hidden="1" x14ac:dyDescent="0.25">
      <c r="F202" s="79">
        <f t="shared" si="35"/>
        <v>56</v>
      </c>
      <c r="G202" s="80" t="s">
        <v>153</v>
      </c>
      <c r="H202" s="77" t="s">
        <v>106</v>
      </c>
      <c r="I202" s="78">
        <f>H214*0.75</f>
        <v>5229.4619261508951</v>
      </c>
      <c r="J202" s="57"/>
      <c r="K202"/>
    </row>
    <row r="203" spans="6:11" hidden="1" x14ac:dyDescent="0.25">
      <c r="F203" s="79">
        <f t="shared" si="35"/>
        <v>57</v>
      </c>
      <c r="G203" s="80" t="s">
        <v>154</v>
      </c>
      <c r="H203" s="77" t="s">
        <v>106</v>
      </c>
      <c r="I203" s="78">
        <f>H214*1.25</f>
        <v>8715.7698769181588</v>
      </c>
      <c r="J203" s="57"/>
      <c r="K203"/>
    </row>
    <row r="204" spans="6:11" hidden="1" x14ac:dyDescent="0.25">
      <c r="F204" s="81">
        <f t="shared" si="35"/>
        <v>58</v>
      </c>
      <c r="G204" s="82" t="s">
        <v>155</v>
      </c>
      <c r="H204" s="74" t="s">
        <v>106</v>
      </c>
      <c r="I204" s="65">
        <v>230</v>
      </c>
      <c r="J204" s="57"/>
      <c r="K204"/>
    </row>
    <row r="205" spans="6:11" hidden="1" x14ac:dyDescent="0.25">
      <c r="F205" s="79">
        <f t="shared" si="35"/>
        <v>59</v>
      </c>
      <c r="G205" s="80" t="s">
        <v>156</v>
      </c>
      <c r="H205" s="77" t="s">
        <v>106</v>
      </c>
      <c r="I205" s="78">
        <f>H214*1.6</f>
        <v>11156.185442455244</v>
      </c>
      <c r="J205" s="57"/>
      <c r="K205"/>
    </row>
    <row r="206" spans="6:11" hidden="1" x14ac:dyDescent="0.25">
      <c r="F206" s="19">
        <f t="shared" si="35"/>
        <v>60</v>
      </c>
      <c r="G206" s="83" t="s">
        <v>157</v>
      </c>
      <c r="H206" s="68" t="s">
        <v>106</v>
      </c>
      <c r="I206" s="65">
        <v>1</v>
      </c>
      <c r="J206" s="57"/>
      <c r="K206"/>
    </row>
    <row r="207" spans="6:11" hidden="1" x14ac:dyDescent="0.25">
      <c r="F207" s="19">
        <f t="shared" si="35"/>
        <v>61</v>
      </c>
      <c r="G207" s="83" t="s">
        <v>158</v>
      </c>
      <c r="H207" s="68" t="s">
        <v>106</v>
      </c>
      <c r="I207" s="65">
        <v>0</v>
      </c>
      <c r="J207" s="57"/>
      <c r="K207"/>
    </row>
    <row r="208" spans="6:11" hidden="1" x14ac:dyDescent="0.25">
      <c r="F208" s="19">
        <f t="shared" si="35"/>
        <v>62</v>
      </c>
      <c r="G208" s="83" t="s">
        <v>159</v>
      </c>
      <c r="H208" s="68">
        <v>1000</v>
      </c>
      <c r="I208" s="65">
        <v>950</v>
      </c>
      <c r="J208" s="57"/>
      <c r="K208"/>
    </row>
    <row r="209" spans="6:11" hidden="1" x14ac:dyDescent="0.25">
      <c r="F209" s="19">
        <f t="shared" si="35"/>
        <v>63</v>
      </c>
      <c r="G209" s="83" t="s">
        <v>160</v>
      </c>
      <c r="H209" s="68">
        <v>522.4</v>
      </c>
      <c r="I209" s="65">
        <v>535</v>
      </c>
      <c r="J209" s="57"/>
      <c r="K209"/>
    </row>
    <row r="210" spans="6:11" hidden="1" x14ac:dyDescent="0.25">
      <c r="F210" s="19">
        <f t="shared" si="35"/>
        <v>64</v>
      </c>
      <c r="G210" s="83" t="s">
        <v>161</v>
      </c>
      <c r="H210" s="68" t="s">
        <v>106</v>
      </c>
      <c r="I210" s="65">
        <v>0.5</v>
      </c>
      <c r="J210" s="57"/>
      <c r="K210"/>
    </row>
    <row r="211" spans="6:11" hidden="1" x14ac:dyDescent="0.25">
      <c r="F211" s="19">
        <f t="shared" si="35"/>
        <v>65</v>
      </c>
      <c r="G211" s="83" t="s">
        <v>162</v>
      </c>
      <c r="H211" s="68" t="s">
        <v>106</v>
      </c>
      <c r="I211" s="65">
        <v>260</v>
      </c>
      <c r="J211" s="57"/>
      <c r="K211"/>
    </row>
    <row r="212" spans="6:11" hidden="1" x14ac:dyDescent="0.25">
      <c r="G212" s="7"/>
      <c r="H212" s="55"/>
      <c r="I212" s="55"/>
      <c r="J212" s="57"/>
    </row>
    <row r="213" spans="6:11" hidden="1" x14ac:dyDescent="0.25">
      <c r="G213" s="84" t="s">
        <v>163</v>
      </c>
      <c r="H213" s="55">
        <f>[1]Levies!AB15</f>
        <v>535814.58802060026</v>
      </c>
      <c r="I213" s="55"/>
      <c r="J213" s="57"/>
      <c r="K213"/>
    </row>
    <row r="214" spans="6:11" hidden="1" x14ac:dyDescent="0.25">
      <c r="G214" s="84" t="s">
        <v>164</v>
      </c>
      <c r="H214" s="55">
        <f>[1]Levies!AC15</f>
        <v>6972.6159015345265</v>
      </c>
      <c r="I214" s="55"/>
      <c r="J214" s="57"/>
      <c r="K214"/>
    </row>
    <row r="215" spans="6:11" hidden="1" x14ac:dyDescent="0.25">
      <c r="G215" s="7" t="s">
        <v>165</v>
      </c>
      <c r="H215" s="55">
        <f>[1]Details!U27</f>
        <v>957278.46999999974</v>
      </c>
      <c r="I215" s="55">
        <f>[1]Details!AQ27</f>
        <v>876222.89999999956</v>
      </c>
      <c r="J215" s="57"/>
      <c r="K215"/>
    </row>
    <row r="216" spans="6:11" hidden="1" x14ac:dyDescent="0.25">
      <c r="G216" s="7"/>
      <c r="H216" s="55"/>
      <c r="I216" s="55">
        <f>H215/I215</f>
        <v>1.0925056512446778</v>
      </c>
      <c r="J216" s="57"/>
      <c r="K216"/>
    </row>
    <row r="217" spans="6:11" hidden="1" x14ac:dyDescent="0.25">
      <c r="G217" s="7" t="s">
        <v>166</v>
      </c>
      <c r="H217" s="55"/>
      <c r="I217" s="55"/>
      <c r="J217" s="57"/>
    </row>
    <row r="218" spans="6:11" hidden="1" x14ac:dyDescent="0.25">
      <c r="F218" t="s">
        <v>167</v>
      </c>
      <c r="G218" s="7" t="s">
        <v>168</v>
      </c>
      <c r="H218" s="55"/>
      <c r="I218" s="55"/>
      <c r="J218" s="57"/>
      <c r="K218"/>
    </row>
    <row r="219" spans="6:11" hidden="1" x14ac:dyDescent="0.25">
      <c r="G219" s="7"/>
      <c r="H219" s="55"/>
      <c r="I219" s="55"/>
      <c r="J219" s="57"/>
    </row>
    <row r="220" spans="6:11" hidden="1" x14ac:dyDescent="0.25">
      <c r="F220" t="s">
        <v>167</v>
      </c>
      <c r="G220" s="7" t="s">
        <v>169</v>
      </c>
      <c r="H220" s="55"/>
      <c r="I220" s="55"/>
      <c r="J220" s="57"/>
      <c r="K220"/>
    </row>
    <row r="221" spans="6:11" hidden="1" x14ac:dyDescent="0.25">
      <c r="G221" s="7" t="s">
        <v>170</v>
      </c>
      <c r="H221" s="55"/>
      <c r="I221" s="55"/>
      <c r="J221" s="57"/>
      <c r="K221"/>
    </row>
    <row r="222" spans="6:11" hidden="1" x14ac:dyDescent="0.25">
      <c r="G222" s="7" t="s">
        <v>171</v>
      </c>
      <c r="H222" s="55"/>
      <c r="I222" s="55"/>
      <c r="J222" s="57"/>
      <c r="K222"/>
    </row>
    <row r="223" spans="6:11" hidden="1" x14ac:dyDescent="0.25">
      <c r="G223" s="7"/>
      <c r="H223" s="55"/>
      <c r="I223" s="55"/>
      <c r="J223" s="57"/>
    </row>
    <row r="224" spans="6:11" x14ac:dyDescent="0.25">
      <c r="G224" s="7" t="s">
        <v>172</v>
      </c>
      <c r="H224" s="55">
        <v>65</v>
      </c>
      <c r="I224" s="55">
        <v>230</v>
      </c>
      <c r="J224" s="85">
        <f>I224-H224</f>
        <v>165</v>
      </c>
    </row>
    <row r="225" spans="7:10" x14ac:dyDescent="0.25">
      <c r="G225" s="11" t="s">
        <v>173</v>
      </c>
      <c r="H225" s="86">
        <f>H90*0.825</f>
        <v>44401891.875</v>
      </c>
      <c r="I225" s="86">
        <f>H90-H225+I90*0.825</f>
        <v>167207739.09999999</v>
      </c>
      <c r="J225" s="87">
        <f>I225-H225</f>
        <v>122805847.22499999</v>
      </c>
    </row>
    <row r="226" spans="7:10" x14ac:dyDescent="0.25">
      <c r="G226" s="88" t="s">
        <v>174</v>
      </c>
      <c r="H226" s="88" t="s">
        <v>175</v>
      </c>
      <c r="I226" s="89" t="s">
        <v>176</v>
      </c>
      <c r="J226" s="90"/>
    </row>
    <row r="227" spans="7:10" x14ac:dyDescent="0.25">
      <c r="G227" s="91" t="s">
        <v>177</v>
      </c>
      <c r="H227" s="91"/>
      <c r="I227" s="92" t="s">
        <v>178</v>
      </c>
      <c r="J227" s="93"/>
    </row>
    <row r="228" spans="7:10" x14ac:dyDescent="0.25">
      <c r="G228" s="91"/>
      <c r="H228" s="91"/>
      <c r="I228" s="92" t="s">
        <v>179</v>
      </c>
      <c r="J228" s="93"/>
    </row>
    <row r="229" spans="7:10" x14ac:dyDescent="0.25">
      <c r="G229" s="94"/>
      <c r="H229" s="94"/>
      <c r="I229" s="95" t="s">
        <v>180</v>
      </c>
      <c r="J229" s="96"/>
    </row>
  </sheetData>
  <printOptions gridLines="1"/>
  <pageMargins left="0.75" right="0.5" top="1" bottom="0.75" header="0.3" footer="0.3"/>
  <pageSetup scale="70" orientation="landscape" r:id="rId1"/>
  <headerFooter>
    <oddHeader>&amp;LMDE / School Finance 
&amp;C&amp;"-,Bold"&amp;12  REPORT #1:  STATEWIDE FISCAL IMPACT: CURRENT LAW VS WORKING GROUP RECOMMENDATION
Aid Entitlements, Appropriations, Annual Increase Percent and Annual Increase per ADM
&amp;R12/10/2012</oddHeader>
    <oddFooter xml:space="preserve">&amp;R&amp;P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topLeftCell="F1" zoomScale="75" zoomScaleNormal="75" workbookViewId="0">
      <selection activeCell="F11" sqref="F11"/>
    </sheetView>
  </sheetViews>
  <sheetFormatPr defaultRowHeight="15" x14ac:dyDescent="0.25"/>
  <cols>
    <col min="1" max="1" width="4.7109375" hidden="1" customWidth="1"/>
    <col min="2" max="2" width="38.42578125" hidden="1" customWidth="1"/>
    <col min="3" max="4" width="16.7109375" hidden="1" customWidth="1"/>
    <col min="5" max="5" width="0" hidden="1" customWidth="1"/>
    <col min="6" max="6" width="4.7109375" customWidth="1"/>
    <col min="7" max="7" width="48.7109375" customWidth="1"/>
    <col min="8" max="10" width="16.7109375" customWidth="1"/>
    <col min="11" max="11" width="11.7109375" style="16" customWidth="1"/>
    <col min="12" max="12" width="10" customWidth="1"/>
    <col min="13" max="13" width="12.5703125" customWidth="1"/>
    <col min="14" max="14" width="15.7109375" bestFit="1" customWidth="1"/>
    <col min="15" max="15" width="16.7109375" customWidth="1"/>
    <col min="16" max="16" width="14.7109375" customWidth="1"/>
  </cols>
  <sheetData>
    <row r="1" spans="1:15" x14ac:dyDescent="0.25">
      <c r="A1" s="1"/>
      <c r="B1" s="2"/>
      <c r="C1" s="2"/>
      <c r="D1" s="2"/>
      <c r="E1" s="2"/>
      <c r="F1" s="1"/>
      <c r="G1" s="2"/>
      <c r="H1" s="3"/>
      <c r="I1" s="4"/>
      <c r="J1" s="4"/>
      <c r="K1" s="5" t="s">
        <v>0</v>
      </c>
      <c r="L1" s="4"/>
      <c r="M1" s="6" t="s">
        <v>1</v>
      </c>
    </row>
    <row r="2" spans="1:15" x14ac:dyDescent="0.25">
      <c r="A2" s="7"/>
      <c r="B2" s="8"/>
      <c r="C2" s="8"/>
      <c r="D2" s="8"/>
      <c r="E2" s="8"/>
      <c r="F2" s="7"/>
      <c r="G2" s="8"/>
      <c r="H2" s="9" t="s">
        <v>2</v>
      </c>
      <c r="I2" s="9" t="s">
        <v>3</v>
      </c>
      <c r="J2" s="9" t="s">
        <v>1</v>
      </c>
      <c r="K2" s="9" t="s">
        <v>4</v>
      </c>
      <c r="L2" s="9" t="s">
        <v>5</v>
      </c>
      <c r="M2" s="10" t="s">
        <v>6</v>
      </c>
    </row>
    <row r="3" spans="1:15" x14ac:dyDescent="0.25">
      <c r="A3" s="11"/>
      <c r="B3" s="12"/>
      <c r="C3" s="12"/>
      <c r="D3" s="12"/>
      <c r="E3" s="12"/>
      <c r="F3" s="11"/>
      <c r="G3" s="12"/>
      <c r="H3" s="12"/>
      <c r="I3" s="12"/>
      <c r="J3" s="12"/>
      <c r="K3" s="13"/>
      <c r="L3" s="12"/>
      <c r="M3" s="14"/>
    </row>
    <row r="4" spans="1:15" ht="15.75" x14ac:dyDescent="0.25">
      <c r="G4" s="15" t="s">
        <v>7</v>
      </c>
    </row>
    <row r="5" spans="1:15" hidden="1" x14ac:dyDescent="0.25"/>
    <row r="6" spans="1:15" ht="24" customHeight="1" x14ac:dyDescent="0.25">
      <c r="F6">
        <v>1</v>
      </c>
      <c r="G6" t="s">
        <v>8</v>
      </c>
      <c r="H6" s="16">
        <v>9051689745.8336105</v>
      </c>
      <c r="I6" s="16">
        <v>9685561782.1207161</v>
      </c>
      <c r="J6" s="16">
        <v>633872036.28710556</v>
      </c>
      <c r="K6" s="17">
        <v>7.0028033890453395E-2</v>
      </c>
      <c r="L6" s="16">
        <v>830024.43</v>
      </c>
      <c r="M6" s="16">
        <v>763.67877062016782</v>
      </c>
      <c r="N6" s="18"/>
      <c r="O6" s="18"/>
    </row>
    <row r="7" spans="1:15" s="97" customFormat="1" ht="21.75" customHeight="1" x14ac:dyDescent="0.25">
      <c r="F7" s="97">
        <v>2</v>
      </c>
      <c r="G7" s="97" t="s">
        <v>9</v>
      </c>
      <c r="H7" s="98">
        <v>4847023131.671917</v>
      </c>
      <c r="I7" s="98">
        <v>5171258139.6138945</v>
      </c>
      <c r="J7" s="98">
        <v>324235007.94197762</v>
      </c>
      <c r="K7" s="99">
        <v>6.6893637421147817E-2</v>
      </c>
      <c r="L7" s="98">
        <v>422598.17000000004</v>
      </c>
      <c r="M7" s="98">
        <v>767.24186463461876</v>
      </c>
      <c r="O7" s="100"/>
    </row>
    <row r="8" spans="1:15" s="97" customFormat="1" ht="18" customHeight="1" x14ac:dyDescent="0.25">
      <c r="F8" s="97">
        <v>3</v>
      </c>
      <c r="G8" s="97" t="s">
        <v>10</v>
      </c>
      <c r="H8" s="98">
        <v>3685812843.3324695</v>
      </c>
      <c r="I8" s="98">
        <v>3962602704.9910111</v>
      </c>
      <c r="J8" s="98">
        <v>276789861.65854108</v>
      </c>
      <c r="K8" s="99">
        <v>7.5096016380551189E-2</v>
      </c>
      <c r="L8" s="98">
        <v>365649.26</v>
      </c>
      <c r="M8" s="98">
        <v>756.98187289792702</v>
      </c>
      <c r="O8" s="100"/>
    </row>
    <row r="9" spans="1:15" ht="23.25" customHeight="1" x14ac:dyDescent="0.25">
      <c r="F9">
        <v>4</v>
      </c>
      <c r="G9" t="s">
        <v>11</v>
      </c>
      <c r="H9" s="16">
        <v>992220645.15830564</v>
      </c>
      <c r="I9" s="37">
        <v>1051669771.2334206</v>
      </c>
      <c r="J9" s="16">
        <v>59449126.075114965</v>
      </c>
      <c r="K9" s="17">
        <v>5.9915227893318067E-2</v>
      </c>
      <c r="L9" s="16">
        <v>72789.149999999994</v>
      </c>
      <c r="M9" s="16">
        <v>816.73059893012862</v>
      </c>
      <c r="N9" s="18"/>
      <c r="O9" s="18"/>
    </row>
    <row r="10" spans="1:15" x14ac:dyDescent="0.25">
      <c r="F10">
        <f t="shared" ref="F10:F16" si="0">F9+1</f>
        <v>5</v>
      </c>
      <c r="G10" t="s">
        <v>12</v>
      </c>
      <c r="H10" s="16">
        <v>993430919.49704266</v>
      </c>
      <c r="I10" s="37">
        <v>1067592057.3061336</v>
      </c>
      <c r="J10" s="16">
        <v>74161137.809090972</v>
      </c>
      <c r="K10" s="17">
        <v>7.4651529717473977E-2</v>
      </c>
      <c r="L10" s="16">
        <v>86993.01999999999</v>
      </c>
      <c r="M10" s="16">
        <v>852.49526696614259</v>
      </c>
      <c r="N10" s="18"/>
      <c r="O10" s="18"/>
    </row>
    <row r="11" spans="1:15" x14ac:dyDescent="0.25">
      <c r="F11">
        <f t="shared" si="0"/>
        <v>6</v>
      </c>
      <c r="G11" t="s">
        <v>13</v>
      </c>
      <c r="H11" s="16">
        <v>2861371567.0165687</v>
      </c>
      <c r="I11" s="37">
        <v>3051996311.0743403</v>
      </c>
      <c r="J11" s="16">
        <v>190624744.05777168</v>
      </c>
      <c r="K11" s="17">
        <v>6.6620059504025914E-2</v>
      </c>
      <c r="L11" s="16">
        <v>262816.00000000006</v>
      </c>
      <c r="M11" s="16">
        <v>725.31635843240758</v>
      </c>
      <c r="N11" s="18"/>
      <c r="O11" s="18"/>
    </row>
    <row r="12" spans="1:15" x14ac:dyDescent="0.25">
      <c r="F12">
        <f t="shared" si="0"/>
        <v>7</v>
      </c>
      <c r="G12" t="s">
        <v>14</v>
      </c>
      <c r="H12" s="16">
        <v>1842158401.9279509</v>
      </c>
      <c r="I12" s="37">
        <v>1985395776.6495247</v>
      </c>
      <c r="J12" s="16">
        <v>143237374.72157383</v>
      </c>
      <c r="K12" s="17">
        <v>7.7755189006366465E-2</v>
      </c>
      <c r="L12" s="16">
        <v>184386.40000000002</v>
      </c>
      <c r="M12" s="16">
        <v>776.83264449858461</v>
      </c>
      <c r="N12" s="18"/>
      <c r="O12" s="18"/>
    </row>
    <row r="13" spans="1:15" x14ac:dyDescent="0.25">
      <c r="F13">
        <f t="shared" si="0"/>
        <v>8</v>
      </c>
      <c r="G13" t="s">
        <v>15</v>
      </c>
      <c r="H13" s="16">
        <v>921736663.05128884</v>
      </c>
      <c r="I13" s="37">
        <v>989924074.83860278</v>
      </c>
      <c r="J13" s="16">
        <v>68187411.787313938</v>
      </c>
      <c r="K13" s="17">
        <v>7.3977107042252632E-2</v>
      </c>
      <c r="L13" s="16">
        <v>93852</v>
      </c>
      <c r="M13" s="16">
        <v>726.54191479471865</v>
      </c>
      <c r="N13" s="18"/>
      <c r="O13" s="18"/>
    </row>
    <row r="14" spans="1:15" x14ac:dyDescent="0.25">
      <c r="F14">
        <f t="shared" si="0"/>
        <v>9</v>
      </c>
      <c r="G14" t="s">
        <v>16</v>
      </c>
      <c r="H14" s="16">
        <v>921917778.35323155</v>
      </c>
      <c r="I14" s="37">
        <v>987282853.50288188</v>
      </c>
      <c r="J14" s="16">
        <v>65365075.149650335</v>
      </c>
      <c r="K14" s="17">
        <v>7.0901198224431888E-2</v>
      </c>
      <c r="L14" s="16">
        <v>87410.859999999986</v>
      </c>
      <c r="M14" s="16">
        <v>747.79123726331431</v>
      </c>
      <c r="N14" s="18"/>
      <c r="O14" s="18"/>
    </row>
    <row r="15" spans="1:15" x14ac:dyDescent="0.25">
      <c r="F15">
        <f t="shared" si="0"/>
        <v>10</v>
      </c>
      <c r="G15" t="s">
        <v>17</v>
      </c>
      <c r="H15" s="16">
        <v>426043327.52772284</v>
      </c>
      <c r="I15" s="37">
        <v>458131402.03950465</v>
      </c>
      <c r="J15" s="16">
        <v>32088074.511781812</v>
      </c>
      <c r="K15" s="17">
        <v>7.5316458300109926E-2</v>
      </c>
      <c r="L15" s="16">
        <v>41777</v>
      </c>
      <c r="M15" s="16">
        <v>768.07991267400268</v>
      </c>
      <c r="N15" s="18"/>
      <c r="O15" s="18"/>
    </row>
    <row r="16" spans="1:15" s="30" customFormat="1" ht="15.75" thickBot="1" x14ac:dyDescent="0.3">
      <c r="F16" s="30">
        <f t="shared" si="0"/>
        <v>11</v>
      </c>
      <c r="G16" s="30" t="s">
        <v>18</v>
      </c>
      <c r="H16" s="31">
        <v>92810443.301501095</v>
      </c>
      <c r="I16" s="31">
        <v>93569535.476306111</v>
      </c>
      <c r="J16" s="31">
        <v>759092.17480501533</v>
      </c>
      <c r="K16" s="32">
        <v>8.1789521502343473E-3</v>
      </c>
      <c r="L16" s="31">
        <v>0</v>
      </c>
      <c r="M16" s="31">
        <v>0</v>
      </c>
    </row>
    <row r="17" spans="6:16" x14ac:dyDescent="0.25">
      <c r="F17">
        <v>12</v>
      </c>
      <c r="H17" s="16"/>
      <c r="I17" s="16"/>
      <c r="J17" s="16"/>
      <c r="K17" s="17"/>
      <c r="L17" s="16"/>
      <c r="M17" s="16"/>
    </row>
    <row r="18" spans="6:16" ht="15.75" x14ac:dyDescent="0.25">
      <c r="F18">
        <v>13</v>
      </c>
      <c r="G18" s="15" t="s">
        <v>19</v>
      </c>
      <c r="H18" s="16"/>
      <c r="I18" s="16"/>
      <c r="J18" s="16"/>
      <c r="K18"/>
    </row>
    <row r="19" spans="6:16" hidden="1" x14ac:dyDescent="0.25">
      <c r="I19" s="16"/>
      <c r="N19" s="101"/>
    </row>
    <row r="20" spans="6:16" ht="24.75" customHeight="1" x14ac:dyDescent="0.25">
      <c r="F20">
        <v>14</v>
      </c>
      <c r="G20" t="s">
        <v>8</v>
      </c>
      <c r="H20" s="16">
        <v>1973797771.5297453</v>
      </c>
      <c r="I20" s="16">
        <v>1973797771.6678648</v>
      </c>
      <c r="J20" s="16">
        <v>0.13811945915222168</v>
      </c>
      <c r="K20" s="17">
        <v>6.9976499692354737E-11</v>
      </c>
      <c r="L20" s="16">
        <v>830024.43</v>
      </c>
      <c r="M20" s="16">
        <v>1.6640408903653797E-7</v>
      </c>
    </row>
    <row r="21" spans="6:16" s="97" customFormat="1" ht="21" customHeight="1" x14ac:dyDescent="0.25">
      <c r="F21" s="97">
        <v>15</v>
      </c>
      <c r="G21" s="97" t="s">
        <v>9</v>
      </c>
      <c r="H21" s="98">
        <v>1293658088.3845644</v>
      </c>
      <c r="I21" s="98">
        <v>1293833928.8817792</v>
      </c>
      <c r="J21" s="98">
        <v>175840.49721476436</v>
      </c>
      <c r="K21" s="102">
        <v>1.3592501665903273E-4</v>
      </c>
      <c r="L21" s="98">
        <v>422598.17000000004</v>
      </c>
      <c r="M21" s="98">
        <v>0.41609384445456621</v>
      </c>
    </row>
    <row r="22" spans="6:16" s="97" customFormat="1" x14ac:dyDescent="0.25">
      <c r="F22" s="97">
        <v>16</v>
      </c>
      <c r="G22" s="97" t="s">
        <v>10</v>
      </c>
      <c r="H22" s="98">
        <v>680139683.14518094</v>
      </c>
      <c r="I22" s="98">
        <v>679963842.78608561</v>
      </c>
      <c r="J22" s="98">
        <v>-175840.3590953052</v>
      </c>
      <c r="K22" s="102">
        <v>-2.5853565591433186E-4</v>
      </c>
      <c r="L22" s="98">
        <v>407426.26</v>
      </c>
      <c r="M22" s="98">
        <v>-0.4315881825960487</v>
      </c>
    </row>
    <row r="23" spans="6:16" ht="24.75" customHeight="1" x14ac:dyDescent="0.25">
      <c r="F23">
        <v>17</v>
      </c>
      <c r="G23" t="s">
        <v>11</v>
      </c>
      <c r="H23" s="16">
        <v>223168926.03260407</v>
      </c>
      <c r="I23" s="16">
        <v>228117969.12020504</v>
      </c>
      <c r="J23" s="16">
        <v>4949043.0876009762</v>
      </c>
      <c r="K23" s="17">
        <v>2.2176219492484099E-2</v>
      </c>
      <c r="L23" s="16">
        <v>72789.149999999994</v>
      </c>
      <c r="M23" s="16">
        <v>67.991494441149214</v>
      </c>
    </row>
    <row r="24" spans="6:16" x14ac:dyDescent="0.25">
      <c r="F24">
        <f>F23+1</f>
        <v>18</v>
      </c>
      <c r="G24" t="s">
        <v>12</v>
      </c>
      <c r="H24" s="16">
        <v>288695088.64732933</v>
      </c>
      <c r="I24" s="16">
        <v>295391780.57487756</v>
      </c>
      <c r="J24" s="16">
        <v>6696691.9275482297</v>
      </c>
      <c r="K24" s="17">
        <v>2.3196417919422681E-2</v>
      </c>
      <c r="L24" s="16">
        <v>86993.01999999999</v>
      </c>
      <c r="M24" s="16">
        <v>76.979646499779292</v>
      </c>
    </row>
    <row r="25" spans="6:16" x14ac:dyDescent="0.25">
      <c r="F25">
        <f t="shared" ref="F25:F30" si="1">F24+1</f>
        <v>19</v>
      </c>
      <c r="G25" t="s">
        <v>13</v>
      </c>
      <c r="H25" s="16">
        <v>781794073.70463109</v>
      </c>
      <c r="I25" s="16">
        <v>770324179.18669665</v>
      </c>
      <c r="J25" s="16">
        <v>-11469894.517934442</v>
      </c>
      <c r="K25" s="17">
        <v>-1.4671247715632944E-2</v>
      </c>
      <c r="L25" s="16">
        <v>262816.00000000006</v>
      </c>
      <c r="M25" s="16">
        <v>-43.642299243327798</v>
      </c>
    </row>
    <row r="26" spans="6:16" x14ac:dyDescent="0.25">
      <c r="F26">
        <f t="shared" si="1"/>
        <v>20</v>
      </c>
      <c r="G26" t="s">
        <v>14</v>
      </c>
      <c r="H26" s="16">
        <v>346552505.75430322</v>
      </c>
      <c r="I26" s="16">
        <v>342162169.89546925</v>
      </c>
      <c r="J26" s="16">
        <v>-4390335.8588339686</v>
      </c>
      <c r="K26" s="17">
        <v>-1.2668602263538685E-2</v>
      </c>
      <c r="L26" s="16">
        <v>184386.40000000002</v>
      </c>
      <c r="M26" s="16">
        <v>-23.810518882270969</v>
      </c>
    </row>
    <row r="27" spans="6:16" x14ac:dyDescent="0.25">
      <c r="F27">
        <f t="shared" si="1"/>
        <v>21</v>
      </c>
      <c r="G27" t="s">
        <v>15</v>
      </c>
      <c r="H27" s="16">
        <v>165270693.77660066</v>
      </c>
      <c r="I27" s="16">
        <v>165940463.00840038</v>
      </c>
      <c r="J27" s="16">
        <v>669769.23179972172</v>
      </c>
      <c r="K27" s="17">
        <v>4.0525589655057703E-3</v>
      </c>
      <c r="L27" s="16">
        <v>93852</v>
      </c>
      <c r="M27" s="16">
        <v>7.1364406917244354</v>
      </c>
    </row>
    <row r="28" spans="6:16" x14ac:dyDescent="0.25">
      <c r="F28">
        <f t="shared" si="1"/>
        <v>22</v>
      </c>
      <c r="G28" t="s">
        <v>16</v>
      </c>
      <c r="H28" s="16">
        <v>167656596.17427707</v>
      </c>
      <c r="I28" s="16">
        <v>171924354.66221589</v>
      </c>
      <c r="J28" s="16">
        <v>4267758.4879388213</v>
      </c>
      <c r="K28" s="17">
        <v>2.5455356874253467E-2</v>
      </c>
      <c r="L28" s="16">
        <v>87410.859999999986</v>
      </c>
      <c r="M28" s="16">
        <v>48.824121944788345</v>
      </c>
    </row>
    <row r="29" spans="6:16" x14ac:dyDescent="0.25">
      <c r="F29">
        <f t="shared" si="1"/>
        <v>23</v>
      </c>
      <c r="G29" t="s">
        <v>17</v>
      </c>
      <c r="H29" s="16">
        <v>0</v>
      </c>
      <c r="I29" s="16">
        <v>0</v>
      </c>
      <c r="J29" s="16">
        <v>0</v>
      </c>
      <c r="K29" s="17">
        <v>0</v>
      </c>
      <c r="L29" s="16">
        <v>41777</v>
      </c>
      <c r="M29" s="16">
        <v>0</v>
      </c>
    </row>
    <row r="30" spans="6:16" s="30" customFormat="1" ht="15.75" thickBot="1" x14ac:dyDescent="0.3">
      <c r="F30" s="30">
        <f t="shared" si="1"/>
        <v>24</v>
      </c>
      <c r="G30" s="30" t="s">
        <v>18</v>
      </c>
      <c r="H30" s="31">
        <v>659887.43999999831</v>
      </c>
      <c r="I30" s="31">
        <v>-63144.780000000494</v>
      </c>
      <c r="J30" s="31">
        <v>-723032.21999999881</v>
      </c>
      <c r="K30" s="32">
        <v>-1.0956902286244463</v>
      </c>
      <c r="L30" s="31">
        <v>0</v>
      </c>
      <c r="M30" s="31">
        <v>0</v>
      </c>
    </row>
    <row r="31" spans="6:16" x14ac:dyDescent="0.25">
      <c r="F31">
        <v>25</v>
      </c>
      <c r="H31" s="16"/>
      <c r="I31" s="16"/>
      <c r="J31" s="16"/>
    </row>
    <row r="32" spans="6:16" ht="15.75" x14ac:dyDescent="0.25">
      <c r="F32">
        <v>26</v>
      </c>
      <c r="G32" s="15" t="s">
        <v>20</v>
      </c>
      <c r="H32" s="33"/>
      <c r="I32" s="34"/>
      <c r="J32" s="34"/>
      <c r="K32" s="34"/>
      <c r="P32" s="16"/>
    </row>
    <row r="33" spans="6:16" hidden="1" x14ac:dyDescent="0.25">
      <c r="K33"/>
    </row>
    <row r="34" spans="6:16" x14ac:dyDescent="0.25">
      <c r="F34">
        <v>27</v>
      </c>
      <c r="G34" t="s">
        <v>21</v>
      </c>
      <c r="H34" s="16">
        <v>5000822727.2799978</v>
      </c>
      <c r="I34" s="16">
        <v>5520204270</v>
      </c>
      <c r="J34" s="16">
        <v>519381542.72000217</v>
      </c>
      <c r="K34" s="17">
        <v>0.10385921898145337</v>
      </c>
      <c r="L34" s="16">
        <v>830024.43</v>
      </c>
      <c r="M34" s="16">
        <v>625.74247690517029</v>
      </c>
      <c r="O34" s="16"/>
      <c r="P34" s="16"/>
    </row>
    <row r="35" spans="6:16" x14ac:dyDescent="0.25">
      <c r="F35">
        <f t="shared" ref="F35:F69" si="2">F34+1</f>
        <v>28</v>
      </c>
      <c r="G35" t="s">
        <v>22</v>
      </c>
      <c r="H35" s="16">
        <v>0</v>
      </c>
      <c r="I35" s="16">
        <v>9507183.839999998</v>
      </c>
      <c r="J35" s="16">
        <v>9507183.839999998</v>
      </c>
      <c r="K35" s="17">
        <v>0</v>
      </c>
      <c r="L35" s="16">
        <v>830024.43</v>
      </c>
      <c r="M35" s="16">
        <v>11.454101224466365</v>
      </c>
      <c r="O35" s="16"/>
      <c r="P35" s="16"/>
    </row>
    <row r="36" spans="6:16" x14ac:dyDescent="0.25">
      <c r="F36">
        <f t="shared" si="2"/>
        <v>29</v>
      </c>
      <c r="G36" t="s">
        <v>23</v>
      </c>
      <c r="H36" s="16">
        <v>11487341.640000001</v>
      </c>
      <c r="I36" s="16">
        <v>0</v>
      </c>
      <c r="J36" s="16">
        <v>-11487341.640000001</v>
      </c>
      <c r="K36" s="17">
        <v>-1</v>
      </c>
      <c r="L36" s="16">
        <v>830024.43</v>
      </c>
      <c r="M36" s="16">
        <v>-13.839763294677965</v>
      </c>
      <c r="O36" s="16"/>
      <c r="P36" s="16"/>
    </row>
    <row r="37" spans="6:16" x14ac:dyDescent="0.25">
      <c r="F37">
        <f t="shared" si="2"/>
        <v>30</v>
      </c>
      <c r="G37" t="s">
        <v>24</v>
      </c>
      <c r="H37" s="16">
        <v>72139677.129999995</v>
      </c>
      <c r="I37" s="16">
        <v>0</v>
      </c>
      <c r="J37" s="16">
        <v>-72139677.129999995</v>
      </c>
      <c r="K37" s="17">
        <v>-1</v>
      </c>
      <c r="L37" s="16">
        <v>830024.43</v>
      </c>
      <c r="M37" s="16">
        <v>-86.912715484771923</v>
      </c>
      <c r="O37" s="16"/>
      <c r="P37" s="16"/>
    </row>
    <row r="38" spans="6:16" x14ac:dyDescent="0.25">
      <c r="F38">
        <f t="shared" si="2"/>
        <v>31</v>
      </c>
      <c r="G38" t="s">
        <v>25</v>
      </c>
      <c r="H38" s="16">
        <v>456359810.03999972</v>
      </c>
      <c r="I38" s="16">
        <v>546096797.55999959</v>
      </c>
      <c r="J38" s="16">
        <v>89736987.519999862</v>
      </c>
      <c r="K38" s="17">
        <v>0.19663648188506008</v>
      </c>
      <c r="L38" s="16">
        <v>830024.43</v>
      </c>
      <c r="M38" s="16">
        <v>108.11367024462142</v>
      </c>
      <c r="N38" s="16"/>
      <c r="O38" s="16"/>
      <c r="P38" s="16"/>
    </row>
    <row r="39" spans="6:16" x14ac:dyDescent="0.25">
      <c r="F39">
        <f t="shared" si="2"/>
        <v>32</v>
      </c>
      <c r="G39" t="s">
        <v>26</v>
      </c>
      <c r="H39" s="16">
        <v>33577243</v>
      </c>
      <c r="I39" s="16">
        <v>36962037</v>
      </c>
      <c r="J39" s="16">
        <v>3384794</v>
      </c>
      <c r="K39" s="17">
        <v>0.10080619186036209</v>
      </c>
      <c r="L39" s="16">
        <v>830024.43</v>
      </c>
      <c r="M39" s="16">
        <v>4.07794503108782</v>
      </c>
      <c r="O39" s="16"/>
      <c r="P39" s="16"/>
    </row>
    <row r="40" spans="6:16" x14ac:dyDescent="0.25">
      <c r="F40">
        <f t="shared" si="2"/>
        <v>33</v>
      </c>
      <c r="G40" t="s">
        <v>27</v>
      </c>
      <c r="H40" s="16">
        <v>8953592.5</v>
      </c>
      <c r="I40" s="16">
        <v>12976505.648453899</v>
      </c>
      <c r="J40" s="16">
        <v>4022913.1484538987</v>
      </c>
      <c r="K40" s="17">
        <v>0.44930715223569745</v>
      </c>
      <c r="L40" s="16">
        <v>830024.43</v>
      </c>
      <c r="M40" s="16">
        <v>4.8467406537105164</v>
      </c>
      <c r="O40" s="16"/>
      <c r="P40" s="16"/>
    </row>
    <row r="41" spans="6:16" x14ac:dyDescent="0.25">
      <c r="F41">
        <f t="shared" si="2"/>
        <v>34</v>
      </c>
      <c r="G41" t="s">
        <v>28</v>
      </c>
      <c r="H41" s="16">
        <v>25040627.069999989</v>
      </c>
      <c r="I41" s="16">
        <v>26138900.240000002</v>
      </c>
      <c r="J41" s="16">
        <v>1098273.170000013</v>
      </c>
      <c r="K41" s="17">
        <v>4.3859651235164276E-2</v>
      </c>
      <c r="L41" s="16">
        <v>830024.43</v>
      </c>
      <c r="M41" s="16">
        <v>1.3231817405663746</v>
      </c>
      <c r="O41" s="16"/>
      <c r="P41" s="16"/>
    </row>
    <row r="42" spans="6:16" x14ac:dyDescent="0.25">
      <c r="F42">
        <f t="shared" si="2"/>
        <v>35</v>
      </c>
      <c r="G42" t="s">
        <v>29</v>
      </c>
      <c r="H42" s="16">
        <v>15727607.199999994</v>
      </c>
      <c r="I42" s="16">
        <v>15733460.299730526</v>
      </c>
      <c r="J42" s="16">
        <v>5853.0997305326164</v>
      </c>
      <c r="K42" s="17">
        <v>3.7215449598287389E-4</v>
      </c>
      <c r="L42" s="16">
        <v>830024.43</v>
      </c>
      <c r="M42" s="16">
        <v>7.0517198277315956E-3</v>
      </c>
      <c r="O42" s="16"/>
      <c r="P42" s="16"/>
    </row>
    <row r="43" spans="6:16" x14ac:dyDescent="0.25">
      <c r="F43">
        <f t="shared" si="2"/>
        <v>36</v>
      </c>
      <c r="G43" t="s">
        <v>30</v>
      </c>
      <c r="H43" s="16">
        <v>61050313.880000047</v>
      </c>
      <c r="I43" s="16">
        <v>63959705.920000039</v>
      </c>
      <c r="J43" s="16">
        <v>2909392.0399999917</v>
      </c>
      <c r="K43" s="17">
        <v>4.76556442562878E-2</v>
      </c>
      <c r="L43" s="16">
        <v>830024.43</v>
      </c>
      <c r="M43" s="16">
        <v>3.5051884436702561</v>
      </c>
      <c r="O43" s="16"/>
      <c r="P43" s="16"/>
    </row>
    <row r="44" spans="6:16" x14ac:dyDescent="0.25">
      <c r="F44">
        <f t="shared" si="2"/>
        <v>37</v>
      </c>
      <c r="G44" t="s">
        <v>31</v>
      </c>
      <c r="H44" s="16">
        <v>93683394.519999981</v>
      </c>
      <c r="I44" s="16">
        <v>54232545.360000081</v>
      </c>
      <c r="J44" s="16">
        <v>-39450849.1599999</v>
      </c>
      <c r="K44" s="17">
        <v>-0.42110823761384675</v>
      </c>
      <c r="L44" s="16">
        <v>830024.43</v>
      </c>
      <c r="M44" s="16">
        <v>-47.52974458836097</v>
      </c>
      <c r="O44" s="16"/>
      <c r="P44" s="16"/>
    </row>
    <row r="45" spans="6:16" x14ac:dyDescent="0.25">
      <c r="F45">
        <f t="shared" si="2"/>
        <v>38</v>
      </c>
      <c r="G45" t="s">
        <v>32</v>
      </c>
      <c r="H45" s="16">
        <v>29777252.139999993</v>
      </c>
      <c r="I45" s="20">
        <v>793606.66916242987</v>
      </c>
      <c r="J45" s="16">
        <v>-28983645.470837563</v>
      </c>
      <c r="K45" s="17">
        <v>-0.97334855931530462</v>
      </c>
      <c r="L45" s="16">
        <v>830024.43</v>
      </c>
      <c r="M45" s="16">
        <v>-34.919026986756961</v>
      </c>
      <c r="O45" s="20"/>
      <c r="P45" s="16"/>
    </row>
    <row r="46" spans="6:16" x14ac:dyDescent="0.25">
      <c r="F46">
        <f t="shared" si="2"/>
        <v>39</v>
      </c>
      <c r="G46" t="s">
        <v>33</v>
      </c>
      <c r="H46" s="16">
        <v>197413824.88999996</v>
      </c>
      <c r="I46" s="16">
        <v>197438688.42235181</v>
      </c>
      <c r="J46" s="16">
        <v>24863.532351851463</v>
      </c>
      <c r="K46" s="17">
        <v>1.259462571362748E-4</v>
      </c>
      <c r="L46" s="16">
        <v>830024.43</v>
      </c>
      <c r="M46" s="16">
        <v>2.9955181381650972E-2</v>
      </c>
      <c r="O46" s="16"/>
      <c r="P46" s="16"/>
    </row>
    <row r="47" spans="6:16" x14ac:dyDescent="0.25">
      <c r="F47">
        <f t="shared" si="2"/>
        <v>40</v>
      </c>
      <c r="G47" t="s">
        <v>34</v>
      </c>
      <c r="H47" s="16">
        <v>63679791.170000017</v>
      </c>
      <c r="I47" s="16">
        <v>63679791.170000017</v>
      </c>
      <c r="J47" s="16">
        <v>0</v>
      </c>
      <c r="K47" s="17">
        <v>0</v>
      </c>
      <c r="L47" s="16">
        <v>830024.43</v>
      </c>
      <c r="M47" s="16">
        <v>0</v>
      </c>
      <c r="O47" s="16"/>
      <c r="P47" s="16"/>
    </row>
    <row r="48" spans="6:16" x14ac:dyDescent="0.25">
      <c r="F48">
        <f t="shared" si="2"/>
        <v>41</v>
      </c>
      <c r="G48" s="35" t="s">
        <v>35</v>
      </c>
      <c r="H48" s="36">
        <v>524829.87</v>
      </c>
      <c r="I48" s="36">
        <v>2553241.3967680046</v>
      </c>
      <c r="J48" s="16">
        <v>2028411.5267680045</v>
      </c>
      <c r="K48" s="17">
        <v>3.8648934496963836</v>
      </c>
      <c r="L48" s="16">
        <v>830024.43</v>
      </c>
      <c r="M48" s="16">
        <v>2.4437973792747334</v>
      </c>
      <c r="O48" s="16"/>
      <c r="P48" s="16"/>
    </row>
    <row r="49" spans="6:17" x14ac:dyDescent="0.25">
      <c r="F49">
        <f t="shared" si="2"/>
        <v>42</v>
      </c>
      <c r="G49" t="s">
        <v>36</v>
      </c>
      <c r="H49" s="16">
        <v>-299052.71999999968</v>
      </c>
      <c r="I49" s="16">
        <v>-299052.71999999968</v>
      </c>
      <c r="J49" s="16">
        <v>0</v>
      </c>
      <c r="K49" s="17">
        <v>0</v>
      </c>
      <c r="L49" s="16">
        <v>830024.43</v>
      </c>
      <c r="M49" s="16">
        <v>0</v>
      </c>
      <c r="P49" s="16"/>
    </row>
    <row r="50" spans="6:17" x14ac:dyDescent="0.25">
      <c r="F50">
        <f t="shared" si="2"/>
        <v>43</v>
      </c>
      <c r="G50" t="s">
        <v>37</v>
      </c>
      <c r="H50" s="16">
        <v>-1173414.8799999994</v>
      </c>
      <c r="I50" s="16">
        <v>-1173414.8799999994</v>
      </c>
      <c r="J50" s="16">
        <v>0</v>
      </c>
      <c r="K50" s="17">
        <v>0</v>
      </c>
      <c r="L50" s="16">
        <v>830024.43</v>
      </c>
      <c r="M50" s="16">
        <v>0</v>
      </c>
      <c r="O50" s="16"/>
      <c r="P50" s="16"/>
    </row>
    <row r="51" spans="6:17" x14ac:dyDescent="0.25">
      <c r="F51">
        <f t="shared" si="2"/>
        <v>44</v>
      </c>
      <c r="G51" t="s">
        <v>38</v>
      </c>
      <c r="H51" s="16">
        <v>-31058527.499999948</v>
      </c>
      <c r="I51" s="16">
        <v>7069609.6100000031</v>
      </c>
      <c r="J51" s="16">
        <v>38128137.109999955</v>
      </c>
      <c r="K51" s="17">
        <v>-1.2276221759064405</v>
      </c>
      <c r="L51" s="16">
        <v>830024.43</v>
      </c>
      <c r="M51" s="16">
        <v>45.936162517529695</v>
      </c>
      <c r="O51" s="16"/>
      <c r="P51" s="16"/>
    </row>
    <row r="52" spans="6:17" x14ac:dyDescent="0.25">
      <c r="F52">
        <f t="shared" si="2"/>
        <v>45</v>
      </c>
      <c r="G52" t="s">
        <v>39</v>
      </c>
      <c r="H52" s="16">
        <v>97376461.788623184</v>
      </c>
      <c r="I52" s="20">
        <v>101487855.80000001</v>
      </c>
      <c r="J52" s="16">
        <v>4111394.011376828</v>
      </c>
      <c r="K52" s="17">
        <v>4.222164099884327E-2</v>
      </c>
      <c r="L52" s="16">
        <v>830024.43</v>
      </c>
      <c r="M52" s="16">
        <v>4.9533409653699323</v>
      </c>
      <c r="O52" s="16"/>
      <c r="P52" s="16"/>
    </row>
    <row r="53" spans="6:17" x14ac:dyDescent="0.25">
      <c r="F53">
        <f t="shared" si="2"/>
        <v>46</v>
      </c>
      <c r="G53" t="s">
        <v>40</v>
      </c>
      <c r="H53">
        <v>0</v>
      </c>
      <c r="I53" s="16">
        <v>62999080.449235655</v>
      </c>
      <c r="J53" s="16">
        <v>62999080.449235655</v>
      </c>
      <c r="K53" s="17">
        <v>0</v>
      </c>
      <c r="L53" s="16">
        <v>830024.43</v>
      </c>
      <c r="M53" s="16">
        <v>75.900272536840447</v>
      </c>
      <c r="O53" s="16"/>
      <c r="P53" s="16"/>
    </row>
    <row r="54" spans="6:17" x14ac:dyDescent="0.25">
      <c r="F54">
        <f t="shared" si="2"/>
        <v>47</v>
      </c>
      <c r="G54" t="s">
        <v>41</v>
      </c>
      <c r="H54" s="16">
        <v>48584999.989999995</v>
      </c>
      <c r="I54" s="16">
        <v>48584999.989999995</v>
      </c>
      <c r="J54" s="16">
        <v>0</v>
      </c>
      <c r="K54" s="17">
        <v>0</v>
      </c>
      <c r="L54" s="16">
        <v>830024.43</v>
      </c>
      <c r="M54" s="16">
        <v>0</v>
      </c>
      <c r="O54" s="16"/>
      <c r="P54" s="16"/>
    </row>
    <row r="55" spans="6:17" x14ac:dyDescent="0.25">
      <c r="F55">
        <f t="shared" si="2"/>
        <v>48</v>
      </c>
      <c r="G55" t="s">
        <v>42</v>
      </c>
      <c r="H55" s="16">
        <v>29454100</v>
      </c>
      <c r="I55">
        <v>0</v>
      </c>
      <c r="J55" s="16">
        <v>-29454100</v>
      </c>
      <c r="K55" s="17">
        <v>-1</v>
      </c>
      <c r="L55" s="16">
        <v>830024.43</v>
      </c>
      <c r="M55" s="16">
        <v>-35.485822989571524</v>
      </c>
      <c r="P55" s="16"/>
    </row>
    <row r="56" spans="6:17" x14ac:dyDescent="0.25">
      <c r="F56">
        <f t="shared" si="2"/>
        <v>49</v>
      </c>
      <c r="G56" t="s">
        <v>43</v>
      </c>
      <c r="H56" s="16">
        <v>965892143.29287446</v>
      </c>
      <c r="I56" s="20">
        <v>1160457477.4129117</v>
      </c>
      <c r="J56" s="16">
        <v>194565334.1200372</v>
      </c>
      <c r="K56" s="17">
        <v>0.20143588025960552</v>
      </c>
      <c r="L56" s="16">
        <v>830024.43</v>
      </c>
      <c r="M56" s="16">
        <v>234.40916566761436</v>
      </c>
      <c r="O56" s="16"/>
      <c r="P56" s="16"/>
    </row>
    <row r="57" spans="6:17" x14ac:dyDescent="0.25">
      <c r="F57">
        <f t="shared" si="2"/>
        <v>50</v>
      </c>
      <c r="G57" t="s">
        <v>44</v>
      </c>
      <c r="H57" s="16">
        <v>49975642.529999979</v>
      </c>
      <c r="I57" s="16">
        <v>49967709.239999995</v>
      </c>
      <c r="J57" s="16">
        <v>-7933.2899999842048</v>
      </c>
      <c r="K57" s="17">
        <v>-1.5874313162100745E-4</v>
      </c>
      <c r="L57" s="16">
        <v>830024.43</v>
      </c>
      <c r="M57" s="16">
        <v>-9.5578993981950671E-3</v>
      </c>
      <c r="O57" s="16"/>
      <c r="P57" s="16"/>
    </row>
    <row r="58" spans="6:17" x14ac:dyDescent="0.25">
      <c r="F58">
        <f t="shared" si="2"/>
        <v>51</v>
      </c>
      <c r="G58" t="s">
        <v>45</v>
      </c>
      <c r="H58" s="16">
        <v>858977106.26999986</v>
      </c>
      <c r="I58" s="16">
        <v>448805001.1600005</v>
      </c>
      <c r="J58" s="16">
        <v>-410172105.10999936</v>
      </c>
      <c r="K58" s="17">
        <v>-0.47751226676007719</v>
      </c>
      <c r="L58" s="16">
        <v>830024.43</v>
      </c>
      <c r="M58" s="16">
        <v>-494.16871393773232</v>
      </c>
      <c r="O58" s="16"/>
      <c r="P58" s="16"/>
    </row>
    <row r="59" spans="6:17" x14ac:dyDescent="0.25">
      <c r="F59">
        <f t="shared" si="2"/>
        <v>52</v>
      </c>
      <c r="G59" t="s">
        <v>46</v>
      </c>
      <c r="H59" s="16">
        <v>0</v>
      </c>
      <c r="I59" s="16">
        <v>206134987.91999996</v>
      </c>
      <c r="J59" s="16">
        <v>206134987.91999996</v>
      </c>
      <c r="K59" s="17">
        <v>0</v>
      </c>
      <c r="L59" s="16">
        <v>830024.43</v>
      </c>
      <c r="M59" s="16">
        <v>248.34809732046074</v>
      </c>
      <c r="O59" s="16"/>
      <c r="P59" s="16"/>
    </row>
    <row r="60" spans="6:17" x14ac:dyDescent="0.25">
      <c r="F60" s="19">
        <f>F69+1</f>
        <v>62</v>
      </c>
      <c r="G60" s="19" t="s">
        <v>47</v>
      </c>
      <c r="H60">
        <v>0</v>
      </c>
      <c r="I60" s="16">
        <v>53144144.141928025</v>
      </c>
      <c r="J60" s="16">
        <v>53144144.141928025</v>
      </c>
      <c r="K60" s="17">
        <v>0</v>
      </c>
      <c r="L60" s="16">
        <v>830024.43</v>
      </c>
      <c r="M60" s="16">
        <v>64.027204767850051</v>
      </c>
      <c r="O60" s="16"/>
      <c r="P60" s="16"/>
    </row>
    <row r="61" spans="6:17" x14ac:dyDescent="0.25">
      <c r="F61">
        <f>F59+1</f>
        <v>53</v>
      </c>
      <c r="G61" t="s">
        <v>48</v>
      </c>
      <c r="H61" s="16">
        <v>1809300</v>
      </c>
      <c r="I61" s="16">
        <v>1809300</v>
      </c>
      <c r="J61" s="16">
        <v>0</v>
      </c>
      <c r="K61" s="17">
        <v>0</v>
      </c>
      <c r="L61" s="16">
        <v>830024.43</v>
      </c>
      <c r="M61" s="16">
        <v>0</v>
      </c>
      <c r="O61" s="16"/>
      <c r="P61" s="16"/>
    </row>
    <row r="62" spans="6:17" x14ac:dyDescent="0.25">
      <c r="F62">
        <f t="shared" si="2"/>
        <v>54</v>
      </c>
      <c r="G62" t="s">
        <v>49</v>
      </c>
      <c r="H62" s="16">
        <v>536000</v>
      </c>
      <c r="I62" s="16">
        <v>536000</v>
      </c>
      <c r="J62" s="16">
        <v>0</v>
      </c>
      <c r="K62" s="17">
        <v>0</v>
      </c>
      <c r="L62" s="16">
        <v>830024.43</v>
      </c>
      <c r="M62" s="16">
        <v>0</v>
      </c>
      <c r="O62" s="16"/>
      <c r="P62" s="16"/>
    </row>
    <row r="63" spans="6:17" x14ac:dyDescent="0.25">
      <c r="F63">
        <f t="shared" si="2"/>
        <v>55</v>
      </c>
      <c r="G63" t="s">
        <v>50</v>
      </c>
      <c r="H63" s="16">
        <v>631700</v>
      </c>
      <c r="I63" s="16">
        <v>631700</v>
      </c>
      <c r="J63" s="16">
        <v>0</v>
      </c>
      <c r="K63" s="17">
        <v>0</v>
      </c>
      <c r="L63" s="16">
        <v>830024.43</v>
      </c>
      <c r="M63" s="16">
        <v>0</v>
      </c>
      <c r="O63" s="16"/>
      <c r="P63" s="16"/>
      <c r="Q63">
        <f>O63/[1]Details!AQ27</f>
        <v>0</v>
      </c>
    </row>
    <row r="64" spans="6:17" x14ac:dyDescent="0.25">
      <c r="F64">
        <f t="shared" si="2"/>
        <v>56</v>
      </c>
      <c r="G64" t="s">
        <v>51</v>
      </c>
      <c r="H64" s="16">
        <v>44557360.239999995</v>
      </c>
      <c r="I64" s="16">
        <v>44557360.239999995</v>
      </c>
      <c r="J64" s="16">
        <v>0</v>
      </c>
      <c r="K64" s="17">
        <v>0</v>
      </c>
      <c r="L64" s="16">
        <v>830024.43</v>
      </c>
      <c r="M64" s="16">
        <v>0</v>
      </c>
      <c r="P64" s="16"/>
    </row>
    <row r="65" spans="6:16" x14ac:dyDescent="0.25">
      <c r="F65">
        <f t="shared" si="2"/>
        <v>57</v>
      </c>
      <c r="G65" t="s">
        <v>52</v>
      </c>
      <c r="H65" s="16">
        <v>56294162.224000052</v>
      </c>
      <c r="I65" s="16">
        <v>0</v>
      </c>
      <c r="J65" s="16">
        <v>-56294162.224000052</v>
      </c>
      <c r="K65" s="17">
        <v>-1</v>
      </c>
      <c r="L65" s="16">
        <v>830024.43</v>
      </c>
      <c r="M65" s="16">
        <v>-67.822295572673738</v>
      </c>
      <c r="O65" s="16"/>
      <c r="P65" s="16"/>
    </row>
    <row r="66" spans="6:16" x14ac:dyDescent="0.25">
      <c r="F66">
        <f t="shared" si="2"/>
        <v>58</v>
      </c>
      <c r="G66" t="s">
        <v>53</v>
      </c>
      <c r="H66" s="16">
        <v>640075676.76999998</v>
      </c>
      <c r="I66" s="16">
        <v>640075676.76999998</v>
      </c>
      <c r="J66" s="16">
        <v>0</v>
      </c>
      <c r="K66" s="17">
        <v>0</v>
      </c>
      <c r="L66" s="16">
        <v>830024.43</v>
      </c>
      <c r="M66" s="16">
        <v>0</v>
      </c>
      <c r="P66" s="16"/>
    </row>
    <row r="67" spans="6:16" x14ac:dyDescent="0.25">
      <c r="F67">
        <f t="shared" si="2"/>
        <v>59</v>
      </c>
      <c r="G67" s="35" t="s">
        <v>54</v>
      </c>
      <c r="H67" s="16">
        <v>26096486.46411429</v>
      </c>
      <c r="I67" s="16">
        <v>93437342.826171428</v>
      </c>
      <c r="J67" s="16">
        <v>67340856.362057135</v>
      </c>
      <c r="K67" s="17">
        <v>2.580456815696575</v>
      </c>
      <c r="L67" s="16">
        <v>830024.43</v>
      </c>
      <c r="M67" s="16">
        <v>81.131173888528963</v>
      </c>
      <c r="O67" s="16"/>
      <c r="P67" s="16"/>
    </row>
    <row r="68" spans="6:16" x14ac:dyDescent="0.25">
      <c r="F68">
        <f t="shared" si="2"/>
        <v>60</v>
      </c>
      <c r="G68" t="s">
        <v>55</v>
      </c>
      <c r="H68" s="16">
        <v>62373415.034000002</v>
      </c>
      <c r="I68" s="16">
        <v>85711116.633999988</v>
      </c>
      <c r="J68" s="16">
        <v>23337701.599999987</v>
      </c>
      <c r="K68" s="17">
        <v>0.37416103619271945</v>
      </c>
      <c r="L68" s="16">
        <v>830024.43</v>
      </c>
      <c r="M68" s="16">
        <v>28.116885186138418</v>
      </c>
    </row>
    <row r="69" spans="6:16" x14ac:dyDescent="0.25">
      <c r="F69">
        <f t="shared" si="2"/>
        <v>61</v>
      </c>
      <c r="G69" t="s">
        <v>56</v>
      </c>
      <c r="H69" s="16">
        <v>131348154</v>
      </c>
      <c r="I69" s="16">
        <v>131348154</v>
      </c>
      <c r="J69" s="16">
        <v>0</v>
      </c>
      <c r="K69" s="17">
        <v>0</v>
      </c>
      <c r="L69" s="16">
        <v>830024.43</v>
      </c>
      <c r="M69" s="16">
        <v>0</v>
      </c>
    </row>
    <row r="70" spans="6:16" s="30" customFormat="1" ht="15.75" thickBot="1" x14ac:dyDescent="0.3">
      <c r="F70" s="30">
        <f>F69+1</f>
        <v>62</v>
      </c>
      <c r="G70" s="30" t="s">
        <v>57</v>
      </c>
      <c r="H70" s="31">
        <v>9051689745.8336105</v>
      </c>
      <c r="I70" s="31">
        <v>9685561782.1207123</v>
      </c>
      <c r="J70" s="31">
        <v>633872036.28710437</v>
      </c>
      <c r="K70" s="32">
        <v>7.002803389045327E-2</v>
      </c>
      <c r="L70" s="31">
        <v>830024.43</v>
      </c>
      <c r="M70" s="31">
        <v>763.67877062016635</v>
      </c>
    </row>
    <row r="71" spans="6:16" ht="21.75" customHeight="1" x14ac:dyDescent="0.25">
      <c r="H71" s="16"/>
      <c r="I71" s="16"/>
      <c r="J71" s="16"/>
      <c r="K71" s="17"/>
      <c r="L71" s="16"/>
      <c r="M71" s="16"/>
    </row>
    <row r="72" spans="6:16" ht="15.75" x14ac:dyDescent="0.25">
      <c r="G72" s="15" t="s">
        <v>81</v>
      </c>
      <c r="H72" s="16"/>
      <c r="K72" s="17"/>
      <c r="L72" s="16"/>
      <c r="M72" s="16"/>
    </row>
    <row r="73" spans="6:16" x14ac:dyDescent="0.25">
      <c r="F73">
        <f>F70+1</f>
        <v>63</v>
      </c>
      <c r="G73" t="s">
        <v>82</v>
      </c>
      <c r="H73">
        <v>0</v>
      </c>
      <c r="I73" s="16">
        <v>292936061.86758554</v>
      </c>
      <c r="J73" s="16">
        <v>292936061.86758554</v>
      </c>
      <c r="K73" s="17">
        <v>0</v>
      </c>
      <c r="L73" s="16">
        <v>830024.43</v>
      </c>
      <c r="M73" s="16">
        <v>352.92462640838841</v>
      </c>
    </row>
    <row r="74" spans="6:16" x14ac:dyDescent="0.25">
      <c r="F74">
        <f>F73+1</f>
        <v>64</v>
      </c>
      <c r="G74" t="s">
        <v>45</v>
      </c>
      <c r="H74" s="16">
        <v>764418983.1031847</v>
      </c>
      <c r="I74" s="16">
        <v>364330417.68559909</v>
      </c>
      <c r="J74" s="16">
        <v>-400088565.41758561</v>
      </c>
      <c r="K74" s="17">
        <v>-0.52338910239174408</v>
      </c>
      <c r="L74" s="16">
        <v>830024.43</v>
      </c>
      <c r="M74" s="16">
        <v>-482.02022851012418</v>
      </c>
    </row>
    <row r="75" spans="6:16" x14ac:dyDescent="0.25">
      <c r="F75">
        <f>F74+1</f>
        <v>65</v>
      </c>
      <c r="G75" t="s">
        <v>31</v>
      </c>
      <c r="H75" s="16">
        <v>73599985.800000042</v>
      </c>
      <c r="I75" s="16">
        <v>35711823.660000011</v>
      </c>
      <c r="J75" s="16">
        <v>-37888162.14000003</v>
      </c>
      <c r="K75" s="17">
        <v>-0.51478491100469759</v>
      </c>
      <c r="L75" s="16">
        <v>830024.43</v>
      </c>
      <c r="M75" s="16">
        <v>-45.647044557471673</v>
      </c>
    </row>
    <row r="76" spans="6:16" x14ac:dyDescent="0.25">
      <c r="F76">
        <f>F75+1</f>
        <v>66</v>
      </c>
      <c r="G76" t="s">
        <v>32</v>
      </c>
      <c r="H76" s="16">
        <v>23474332.020000003</v>
      </c>
      <c r="I76">
        <v>0</v>
      </c>
      <c r="J76" s="16">
        <v>-23474332.020000003</v>
      </c>
      <c r="K76" s="17">
        <v>-1</v>
      </c>
      <c r="L76" s="16">
        <v>830024.43</v>
      </c>
      <c r="M76" s="16">
        <v>-28.281495304903256</v>
      </c>
    </row>
    <row r="77" spans="6:16" s="30" customFormat="1" ht="15.75" thickBot="1" x14ac:dyDescent="0.3">
      <c r="F77" s="30">
        <f>F76+1</f>
        <v>67</v>
      </c>
      <c r="G77" s="30" t="s">
        <v>83</v>
      </c>
      <c r="H77" s="31">
        <v>0</v>
      </c>
      <c r="I77" s="31">
        <v>168514997.70999992</v>
      </c>
      <c r="J77" s="31">
        <v>168514997.70999992</v>
      </c>
      <c r="K77" s="32">
        <v>0</v>
      </c>
      <c r="L77" s="31">
        <v>830024.43</v>
      </c>
      <c r="M77" s="31">
        <v>203.0241419641105</v>
      </c>
    </row>
    <row r="78" spans="6:16" x14ac:dyDescent="0.25">
      <c r="I78" s="16"/>
      <c r="J78" s="16"/>
      <c r="K78" s="17"/>
      <c r="L78" s="16"/>
      <c r="M78" s="16"/>
    </row>
    <row r="79" spans="6:16" x14ac:dyDescent="0.25">
      <c r="J79" s="16"/>
      <c r="K79" s="17"/>
      <c r="L79" s="16"/>
      <c r="M79" s="16"/>
    </row>
    <row r="80" spans="6:16" ht="15.75" x14ac:dyDescent="0.25">
      <c r="G80" s="15" t="s">
        <v>84</v>
      </c>
      <c r="J80" s="16"/>
      <c r="K80" s="17"/>
      <c r="L80" s="16"/>
      <c r="M80" s="16"/>
    </row>
    <row r="81" spans="5:15" x14ac:dyDescent="0.25">
      <c r="F81">
        <f>F77+1</f>
        <v>68</v>
      </c>
      <c r="G81" t="s">
        <v>82</v>
      </c>
      <c r="H81">
        <v>0</v>
      </c>
      <c r="I81" s="16">
        <v>184623432.00000656</v>
      </c>
      <c r="J81" s="16">
        <v>184623432.00000656</v>
      </c>
      <c r="K81" s="17">
        <v>0</v>
      </c>
      <c r="L81" s="16">
        <v>830024.43</v>
      </c>
      <c r="M81" s="16">
        <v>222.43132289492556</v>
      </c>
      <c r="O81" s="16">
        <f>SUM(J82:J94)</f>
        <v>-184623432.00000659</v>
      </c>
    </row>
    <row r="82" spans="5:15" x14ac:dyDescent="0.25">
      <c r="F82">
        <f t="shared" ref="F82:F94" si="3">F81+1</f>
        <v>69</v>
      </c>
      <c r="G82" t="s">
        <v>33</v>
      </c>
      <c r="H82" s="16">
        <v>114050288.88933878</v>
      </c>
      <c r="I82" s="16">
        <v>0</v>
      </c>
      <c r="J82" s="16">
        <v>-114050288.88933878</v>
      </c>
      <c r="K82" s="17">
        <v>-1</v>
      </c>
      <c r="L82" s="16">
        <v>830024.43</v>
      </c>
      <c r="M82" s="16">
        <v>-137.40594224357801</v>
      </c>
    </row>
    <row r="83" spans="5:15" x14ac:dyDescent="0.25">
      <c r="F83">
        <f t="shared" si="3"/>
        <v>70</v>
      </c>
      <c r="G83" t="s">
        <v>39</v>
      </c>
      <c r="H83" s="16">
        <v>29788451.626586959</v>
      </c>
      <c r="I83">
        <v>0</v>
      </c>
      <c r="J83" s="16">
        <v>-29788451.626586959</v>
      </c>
      <c r="K83" s="17">
        <v>-1</v>
      </c>
      <c r="L83" s="16">
        <v>830024.43</v>
      </c>
      <c r="M83" s="16">
        <v>-35.888644418076893</v>
      </c>
    </row>
    <row r="84" spans="5:15" x14ac:dyDescent="0.25">
      <c r="F84">
        <f t="shared" si="3"/>
        <v>71</v>
      </c>
      <c r="G84" t="s">
        <v>34</v>
      </c>
      <c r="H84" s="16">
        <v>17053253.68</v>
      </c>
      <c r="I84" s="16">
        <v>17135584.82</v>
      </c>
      <c r="J84" s="16">
        <v>82331.140000000596</v>
      </c>
      <c r="K84" s="17">
        <v>4.8278845518235792E-3</v>
      </c>
      <c r="L84" s="16">
        <v>830024.43</v>
      </c>
      <c r="M84" s="16">
        <v>9.9191225010088674E-2</v>
      </c>
    </row>
    <row r="85" spans="5:15" x14ac:dyDescent="0.25">
      <c r="F85">
        <f t="shared" si="3"/>
        <v>72</v>
      </c>
      <c r="G85" t="s">
        <v>85</v>
      </c>
      <c r="H85" s="16">
        <v>29454100</v>
      </c>
      <c r="I85" s="16">
        <v>0</v>
      </c>
      <c r="J85" s="16">
        <v>-29454100</v>
      </c>
      <c r="K85" s="17">
        <v>-1</v>
      </c>
      <c r="L85" s="16">
        <v>830024.43</v>
      </c>
      <c r="M85" s="16">
        <v>-35.485822989571524</v>
      </c>
    </row>
    <row r="86" spans="5:15" x14ac:dyDescent="0.25">
      <c r="F86">
        <f t="shared" si="3"/>
        <v>73</v>
      </c>
      <c r="G86" t="s">
        <v>86</v>
      </c>
      <c r="H86" s="16">
        <v>1809300</v>
      </c>
      <c r="I86" s="16">
        <v>1809300</v>
      </c>
      <c r="J86" s="16">
        <v>0</v>
      </c>
      <c r="K86" s="17">
        <v>0</v>
      </c>
      <c r="L86" s="16">
        <v>830024.43</v>
      </c>
      <c r="M86" s="16">
        <v>0</v>
      </c>
    </row>
    <row r="87" spans="5:15" x14ac:dyDescent="0.25">
      <c r="F87">
        <f t="shared" si="3"/>
        <v>74</v>
      </c>
      <c r="G87" t="s">
        <v>87</v>
      </c>
      <c r="H87" s="16">
        <v>536000</v>
      </c>
      <c r="I87" s="16">
        <v>536000</v>
      </c>
      <c r="J87" s="16">
        <v>0</v>
      </c>
      <c r="K87" s="17">
        <v>0</v>
      </c>
      <c r="L87" s="16">
        <v>830024.43</v>
      </c>
      <c r="M87" s="16">
        <v>0</v>
      </c>
    </row>
    <row r="88" spans="5:15" x14ac:dyDescent="0.25">
      <c r="F88">
        <f t="shared" si="3"/>
        <v>75</v>
      </c>
      <c r="G88" t="s">
        <v>88</v>
      </c>
      <c r="H88" s="16">
        <v>631700</v>
      </c>
      <c r="I88" s="16">
        <v>631700</v>
      </c>
      <c r="J88" s="16">
        <v>0</v>
      </c>
      <c r="K88" s="17">
        <v>0</v>
      </c>
      <c r="L88" s="16">
        <v>830024.43</v>
      </c>
      <c r="M88" s="16">
        <v>0</v>
      </c>
    </row>
    <row r="89" spans="5:15" x14ac:dyDescent="0.25">
      <c r="F89">
        <f t="shared" si="3"/>
        <v>76</v>
      </c>
      <c r="G89" t="s">
        <v>51</v>
      </c>
      <c r="H89" s="16">
        <v>44557360.239999995</v>
      </c>
      <c r="I89" s="16">
        <v>44557360.239999995</v>
      </c>
      <c r="J89" s="16">
        <v>0</v>
      </c>
      <c r="K89" s="17">
        <v>0</v>
      </c>
      <c r="L89" s="16">
        <v>830024.43</v>
      </c>
      <c r="M89" s="16">
        <v>0</v>
      </c>
    </row>
    <row r="90" spans="5:15" x14ac:dyDescent="0.25">
      <c r="F90">
        <f t="shared" si="3"/>
        <v>77</v>
      </c>
      <c r="G90" t="s">
        <v>89</v>
      </c>
      <c r="H90" s="16">
        <v>56201199.644000053</v>
      </c>
      <c r="I90" s="16">
        <v>0</v>
      </c>
      <c r="J90" s="16">
        <v>-56201199.644000053</v>
      </c>
      <c r="K90" s="17">
        <v>-1</v>
      </c>
      <c r="L90" s="16">
        <v>830024.43</v>
      </c>
      <c r="M90" s="16">
        <v>-67.710295760812784</v>
      </c>
    </row>
    <row r="91" spans="5:15" x14ac:dyDescent="0.25">
      <c r="F91">
        <f t="shared" si="3"/>
        <v>78</v>
      </c>
      <c r="G91" t="s">
        <v>90</v>
      </c>
      <c r="H91" s="16">
        <v>621206113.18263495</v>
      </c>
      <c r="I91" s="16">
        <v>610810629.52255416</v>
      </c>
      <c r="J91" s="16">
        <v>-10395483.660080791</v>
      </c>
      <c r="K91" s="17">
        <v>-1.6734355054591216E-2</v>
      </c>
      <c r="L91" s="16">
        <v>830024.43</v>
      </c>
      <c r="M91" s="16">
        <v>-12.524310471296356</v>
      </c>
    </row>
    <row r="92" spans="5:15" x14ac:dyDescent="0.25">
      <c r="F92">
        <f t="shared" si="3"/>
        <v>79</v>
      </c>
      <c r="G92" s="35" t="s">
        <v>54</v>
      </c>
      <c r="H92" s="16">
        <v>22581198.310000021</v>
      </c>
      <c r="I92" s="16">
        <v>54427257.390000001</v>
      </c>
      <c r="J92" s="16">
        <v>31846059.07999998</v>
      </c>
      <c r="K92" s="17">
        <v>1.4102909262302985</v>
      </c>
      <c r="L92" s="16">
        <v>830024.43</v>
      </c>
      <c r="M92" s="16">
        <v>38.367616577261437</v>
      </c>
    </row>
    <row r="93" spans="5:15" x14ac:dyDescent="0.25">
      <c r="F93">
        <f t="shared" si="3"/>
        <v>80</v>
      </c>
      <c r="G93" t="s">
        <v>55</v>
      </c>
      <c r="H93" s="16">
        <v>59543588.034000002</v>
      </c>
      <c r="I93" s="16">
        <v>82881289.634000003</v>
      </c>
      <c r="J93" s="16">
        <v>23337701.600000001</v>
      </c>
      <c r="K93" s="17">
        <v>0.39194315241254751</v>
      </c>
      <c r="L93" s="16">
        <v>830024.43</v>
      </c>
      <c r="M93" s="16">
        <v>28.116885186138436</v>
      </c>
    </row>
    <row r="94" spans="5:15" s="30" customFormat="1" ht="15.75" thickBot="1" x14ac:dyDescent="0.3">
      <c r="E94" s="31"/>
      <c r="F94" s="30">
        <f t="shared" si="3"/>
        <v>81</v>
      </c>
      <c r="G94" s="30" t="s">
        <v>56</v>
      </c>
      <c r="H94" s="31">
        <v>114891917</v>
      </c>
      <c r="I94" s="31">
        <v>114891917</v>
      </c>
      <c r="J94" s="31">
        <v>0</v>
      </c>
      <c r="K94" s="32">
        <v>0</v>
      </c>
      <c r="L94" s="31">
        <v>830024.43</v>
      </c>
      <c r="M94" s="31">
        <v>0</v>
      </c>
    </row>
    <row r="95" spans="5:15" x14ac:dyDescent="0.25">
      <c r="E95" s="16"/>
      <c r="H95" s="16"/>
      <c r="I95" s="16"/>
      <c r="J95" s="16"/>
    </row>
    <row r="96" spans="5:15" x14ac:dyDescent="0.25">
      <c r="E96" s="16"/>
      <c r="F96">
        <f>F94+1</f>
        <v>82</v>
      </c>
      <c r="G96" t="s">
        <v>91</v>
      </c>
      <c r="H96" s="16">
        <v>861493300.92318475</v>
      </c>
      <c r="I96" s="16">
        <v>861493300.92318451</v>
      </c>
      <c r="J96" s="16">
        <v>0</v>
      </c>
      <c r="K96" s="17">
        <v>0</v>
      </c>
      <c r="L96" s="16">
        <v>830024.43</v>
      </c>
      <c r="M96" s="16">
        <v>0</v>
      </c>
    </row>
    <row r="97" spans="5:13" x14ac:dyDescent="0.25">
      <c r="E97" s="16"/>
      <c r="F97">
        <f>F96+1</f>
        <v>83</v>
      </c>
      <c r="G97" t="s">
        <v>92</v>
      </c>
      <c r="H97" s="16">
        <v>1112304470.6065607</v>
      </c>
      <c r="I97" s="16">
        <v>1112304470.6065607</v>
      </c>
      <c r="J97" s="16">
        <v>0</v>
      </c>
      <c r="K97" s="17">
        <v>0</v>
      </c>
      <c r="L97" s="16">
        <v>830024.43</v>
      </c>
      <c r="M97" s="16">
        <v>0</v>
      </c>
    </row>
    <row r="98" spans="5:13" ht="15.75" x14ac:dyDescent="0.25">
      <c r="E98" s="16"/>
      <c r="F98">
        <f>F97+1</f>
        <v>84</v>
      </c>
      <c r="G98" s="15" t="str">
        <f>+"LEVY TOTAL, COMBINED = ("&amp;+F96&amp;")+("&amp;+F97&amp;") ="</f>
        <v>LEVY TOTAL, COMBINED = (82)+(83) =</v>
      </c>
      <c r="H98" s="16">
        <v>1973797771.5297456</v>
      </c>
      <c r="I98" s="16">
        <v>1973797771.5297451</v>
      </c>
      <c r="J98" s="16">
        <v>0</v>
      </c>
      <c r="K98" s="17">
        <v>0</v>
      </c>
      <c r="L98" s="16">
        <v>830024.43</v>
      </c>
      <c r="M98" s="16">
        <v>0</v>
      </c>
    </row>
    <row r="99" spans="5:13" x14ac:dyDescent="0.25">
      <c r="E99" s="16"/>
      <c r="J99" s="16"/>
      <c r="K99"/>
      <c r="L99" s="16"/>
      <c r="M99" s="16"/>
    </row>
    <row r="100" spans="5:13" hidden="1" x14ac:dyDescent="0.25">
      <c r="E100" s="16"/>
      <c r="F100">
        <f>F98+1</f>
        <v>85</v>
      </c>
      <c r="G100" t="s">
        <v>93</v>
      </c>
      <c r="H100" s="16">
        <v>528499487.16999972</v>
      </c>
      <c r="I100" s="16">
        <v>546096797.55999959</v>
      </c>
      <c r="J100" s="16">
        <v>17597310.389999866</v>
      </c>
      <c r="K100" s="17">
        <v>3.3296740710628978E-2</v>
      </c>
      <c r="L100" s="16">
        <v>830024.43</v>
      </c>
      <c r="M100" s="16">
        <v>21.200954759849498</v>
      </c>
    </row>
    <row r="101" spans="5:13" x14ac:dyDescent="0.25">
      <c r="E101" s="16"/>
      <c r="G101" t="s">
        <v>94</v>
      </c>
      <c r="H101" s="16"/>
      <c r="J101" s="16"/>
      <c r="K101" s="17"/>
      <c r="L101" s="16"/>
      <c r="M101" s="16"/>
    </row>
    <row r="102" spans="5:13" x14ac:dyDescent="0.25">
      <c r="E102" s="16"/>
      <c r="H102" s="16"/>
      <c r="J102" s="16"/>
      <c r="K102" s="17"/>
      <c r="L102" s="16"/>
      <c r="M102" s="16"/>
    </row>
    <row r="103" spans="5:13" x14ac:dyDescent="0.25">
      <c r="E103" s="16"/>
      <c r="F103">
        <f>F98+1</f>
        <v>85</v>
      </c>
      <c r="G103" t="str">
        <f>+"REFERENDUM = ("&amp;+F58&amp;")-("&amp;+F74&amp;") ="</f>
        <v>REFERENDUM = (51)-(64) =</v>
      </c>
      <c r="H103" s="16">
        <v>94558123.166815162</v>
      </c>
      <c r="I103" s="16">
        <v>84474583.474401414</v>
      </c>
      <c r="J103" s="16">
        <v>-10083539.692413747</v>
      </c>
      <c r="K103" s="17">
        <v>-0.10663853463572688</v>
      </c>
      <c r="L103" s="16">
        <v>830024.43</v>
      </c>
      <c r="M103" s="16">
        <v>-12.148485427608133</v>
      </c>
    </row>
    <row r="104" spans="5:13" x14ac:dyDescent="0.25">
      <c r="E104" s="16"/>
      <c r="F104">
        <f>F103+1</f>
        <v>86</v>
      </c>
      <c r="G104" t="str">
        <f>+"EQUITY = ("&amp;+F44&amp;")-("&amp;+F75&amp;") ="</f>
        <v>EQUITY = (37)-(65) =</v>
      </c>
      <c r="H104" s="16">
        <v>20083408.719999939</v>
      </c>
      <c r="I104" s="16">
        <v>18520721.70000007</v>
      </c>
      <c r="J104" s="16">
        <v>-1562687.0199998692</v>
      </c>
      <c r="K104" s="17">
        <v>-7.7809850000397432E-2</v>
      </c>
      <c r="L104" s="16">
        <v>830024.43</v>
      </c>
      <c r="M104" s="16">
        <v>-1.8827000308892945</v>
      </c>
    </row>
    <row r="105" spans="5:13" x14ac:dyDescent="0.25">
      <c r="E105" s="16"/>
      <c r="F105">
        <f t="shared" ref="F105:F112" si="4">F104+1</f>
        <v>87</v>
      </c>
      <c r="G105" t="str">
        <f>+"TRANSITION = ("&amp;+F45&amp;")-("&amp;+F76&amp;") ="</f>
        <v>TRANSITION = (38)-(66) =</v>
      </c>
      <c r="H105" s="16">
        <v>6302920.1199999899</v>
      </c>
      <c r="I105" s="16">
        <v>793606.66916242987</v>
      </c>
      <c r="J105" s="16">
        <v>-5509313.45083756</v>
      </c>
      <c r="K105" s="17">
        <v>-0.87408904855953795</v>
      </c>
      <c r="L105" s="16">
        <v>830024.43</v>
      </c>
      <c r="M105" s="16">
        <v>-6.6375316818537016</v>
      </c>
    </row>
    <row r="106" spans="5:13" x14ac:dyDescent="0.25">
      <c r="E106" s="16"/>
      <c r="F106">
        <f t="shared" si="4"/>
        <v>88</v>
      </c>
      <c r="G106" t="str">
        <f>+"REGIONAL COST ADJUSTMENT = ("&amp;+F59&amp;")-("&amp;+F77&amp;") ="</f>
        <v>REGIONAL COST ADJUSTMENT = (52)-(67) =</v>
      </c>
      <c r="H106" s="16">
        <v>0</v>
      </c>
      <c r="I106" s="16">
        <v>37619990.210000038</v>
      </c>
      <c r="J106" s="16">
        <v>37619990.210000038</v>
      </c>
      <c r="K106" s="17">
        <v>0</v>
      </c>
      <c r="L106" s="16">
        <v>830024.43</v>
      </c>
      <c r="M106" s="16">
        <v>45.323955356350218</v>
      </c>
    </row>
    <row r="107" spans="5:13" x14ac:dyDescent="0.25">
      <c r="E107" s="16"/>
      <c r="F107">
        <f t="shared" si="4"/>
        <v>89</v>
      </c>
      <c r="G107" t="str">
        <f>+"OPERATING CAPITAL = ("&amp;+F46&amp;")-("&amp;+F82&amp;") ="</f>
        <v>OPERATING CAPITAL = (39)-(69) =</v>
      </c>
      <c r="H107" s="16">
        <v>83363536.000661179</v>
      </c>
      <c r="I107" s="16">
        <v>197438688.42235181</v>
      </c>
      <c r="J107" s="16">
        <v>114075152.42169063</v>
      </c>
      <c r="K107" s="17">
        <v>1.3684058749713528</v>
      </c>
      <c r="L107" s="16">
        <v>830024.43</v>
      </c>
      <c r="M107" s="16">
        <v>137.43589742495968</v>
      </c>
    </row>
    <row r="108" spans="5:13" x14ac:dyDescent="0.25">
      <c r="E108" s="16"/>
      <c r="F108">
        <f t="shared" si="4"/>
        <v>90</v>
      </c>
      <c r="G108" t="str">
        <f>+"INTEGRATION = ("&amp;+F52&amp;")-("&amp;+F83&amp;") ="</f>
        <v>INTEGRATION = (45)-(70) =</v>
      </c>
      <c r="H108" s="16">
        <v>67588010.162036225</v>
      </c>
      <c r="I108" s="16">
        <v>101487855.80000001</v>
      </c>
      <c r="J108" s="16">
        <v>33899845.637963787</v>
      </c>
      <c r="K108" s="17">
        <v>0.5015659664590203</v>
      </c>
      <c r="L108" s="16">
        <v>830024.43</v>
      </c>
      <c r="M108" s="16">
        <v>40.841985383446826</v>
      </c>
    </row>
    <row r="109" spans="5:13" x14ac:dyDescent="0.25">
      <c r="E109" s="16"/>
      <c r="F109">
        <f t="shared" si="4"/>
        <v>91</v>
      </c>
      <c r="G109" t="str">
        <f>+"Q COMP = ("&amp;+F47&amp;")-("&amp;+F84&amp;") ="</f>
        <v>Q COMP = (40)-(71) =</v>
      </c>
      <c r="H109" s="16">
        <v>46626537.490000017</v>
      </c>
      <c r="I109" s="16">
        <v>46544206.350000016</v>
      </c>
      <c r="J109" s="16">
        <v>-82331.140000000596</v>
      </c>
      <c r="K109" s="17">
        <v>-1.7657571081202016E-3</v>
      </c>
      <c r="L109" s="16">
        <v>830024.43</v>
      </c>
      <c r="M109" s="16">
        <v>-9.9191225010088674E-2</v>
      </c>
    </row>
    <row r="110" spans="5:13" x14ac:dyDescent="0.25">
      <c r="E110" s="16"/>
      <c r="F110">
        <f t="shared" si="4"/>
        <v>92</v>
      </c>
      <c r="G110" t="str">
        <f>+"DEBT AID = ("&amp;+F66&amp;")-("&amp;+F91&amp;") ="</f>
        <v>DEBT AID = (58)-(78) =</v>
      </c>
      <c r="H110" s="16">
        <v>18869563.587365031</v>
      </c>
      <c r="I110" s="16">
        <v>29265047.247445822</v>
      </c>
      <c r="J110" s="16">
        <v>10395483.660080791</v>
      </c>
      <c r="K110" s="17">
        <v>0.55091277611961076</v>
      </c>
      <c r="L110" s="16">
        <v>830024.43</v>
      </c>
      <c r="M110" s="16">
        <v>12.524310471296356</v>
      </c>
    </row>
    <row r="111" spans="5:13" x14ac:dyDescent="0.25">
      <c r="E111" s="16"/>
      <c r="F111">
        <f t="shared" si="4"/>
        <v>93</v>
      </c>
      <c r="G111" t="str">
        <f>+"DEFERRED MAINTENANCE = ("&amp;+F67&amp;")-("&amp;+F92&amp;") ="</f>
        <v>DEFERRED MAINTENANCE = (59)-(79) =</v>
      </c>
      <c r="H111" s="16">
        <v>3515288.1541142687</v>
      </c>
      <c r="I111" s="16">
        <v>39010085.436171427</v>
      </c>
      <c r="J111" s="16">
        <v>35494797.282057159</v>
      </c>
      <c r="K111" s="17">
        <v>10.097265352347943</v>
      </c>
      <c r="L111" s="16">
        <v>830024.43</v>
      </c>
      <c r="M111" s="16">
        <v>42.763557311267519</v>
      </c>
    </row>
    <row r="112" spans="5:13" x14ac:dyDescent="0.25">
      <c r="E112" s="16"/>
      <c r="F112">
        <f t="shared" si="4"/>
        <v>94</v>
      </c>
      <c r="G112" t="str">
        <f>+"ALTERNATIVE FACILITIES = [("&amp;+F68&amp;")+("&amp;+F69&amp;")]-[("&amp;+F93&amp;")+("&amp;+F94&amp;")] ="</f>
        <v>ALTERNATIVE FACILITIES = [(60)+(61)]-[(80)+(81)] =</v>
      </c>
      <c r="H112" s="16">
        <v>19286064</v>
      </c>
      <c r="I112" s="16">
        <v>19286064</v>
      </c>
      <c r="J112" s="16">
        <v>0</v>
      </c>
      <c r="K112" s="17">
        <v>0</v>
      </c>
      <c r="L112" s="16">
        <v>830024.43</v>
      </c>
      <c r="M112" s="16">
        <v>0</v>
      </c>
    </row>
    <row r="113" spans="5:13" x14ac:dyDescent="0.25">
      <c r="E113" s="16"/>
      <c r="H113" s="16"/>
      <c r="I113" s="16"/>
      <c r="J113" s="16"/>
      <c r="K113" s="17"/>
      <c r="L113" s="16"/>
      <c r="M113" s="16"/>
    </row>
    <row r="114" spans="5:13" ht="15.75" x14ac:dyDescent="0.25">
      <c r="E114" s="16"/>
      <c r="F114" t="s">
        <v>95</v>
      </c>
      <c r="H114" s="103"/>
      <c r="I114" s="104"/>
      <c r="J114" s="104"/>
    </row>
    <row r="115" spans="5:13" x14ac:dyDescent="0.25">
      <c r="H115" s="105"/>
      <c r="I115" s="104"/>
      <c r="J115" s="104"/>
    </row>
    <row r="116" spans="5:13" x14ac:dyDescent="0.25">
      <c r="F116" t="s">
        <v>97</v>
      </c>
      <c r="H116" s="34" t="s">
        <v>2</v>
      </c>
      <c r="I116" s="34" t="s">
        <v>3</v>
      </c>
    </row>
    <row r="118" spans="5:13" x14ac:dyDescent="0.25">
      <c r="F118" s="19">
        <v>1</v>
      </c>
      <c r="G118" s="19" t="s">
        <v>98</v>
      </c>
      <c r="H118" s="106">
        <v>1.25</v>
      </c>
      <c r="I118" s="106">
        <v>1</v>
      </c>
    </row>
    <row r="119" spans="5:13" x14ac:dyDescent="0.25">
      <c r="F119" s="19">
        <f>F118+1</f>
        <v>2</v>
      </c>
      <c r="G119" s="19" t="s">
        <v>99</v>
      </c>
      <c r="H119" s="106">
        <v>1</v>
      </c>
      <c r="I119" s="106">
        <v>1</v>
      </c>
    </row>
    <row r="120" spans="5:13" x14ac:dyDescent="0.25">
      <c r="F120" s="19">
        <f>F119+1</f>
        <v>3</v>
      </c>
      <c r="G120" s="19" t="s">
        <v>100</v>
      </c>
      <c r="H120" s="106">
        <v>0.61199999999999999</v>
      </c>
      <c r="I120" s="106">
        <v>0.5</v>
      </c>
    </row>
    <row r="121" spans="5:13" hidden="1" x14ac:dyDescent="0.25">
      <c r="F121" s="19"/>
      <c r="G121" s="19"/>
      <c r="H121" s="106"/>
      <c r="I121" s="106"/>
    </row>
    <row r="122" spans="5:13" hidden="1" x14ac:dyDescent="0.25">
      <c r="F122" s="19"/>
      <c r="G122" s="19"/>
      <c r="H122" s="106"/>
      <c r="I122" s="106"/>
    </row>
    <row r="123" spans="5:13" x14ac:dyDescent="0.25">
      <c r="F123" s="19">
        <f>F120+1</f>
        <v>4</v>
      </c>
      <c r="G123" s="19" t="s">
        <v>101</v>
      </c>
      <c r="H123" s="106">
        <v>1.115</v>
      </c>
      <c r="I123" s="106">
        <v>1</v>
      </c>
    </row>
    <row r="124" spans="5:13" x14ac:dyDescent="0.25">
      <c r="F124" s="19">
        <f t="shared" ref="F124:F134" si="5">F123+1</f>
        <v>5</v>
      </c>
      <c r="G124" s="19" t="s">
        <v>102</v>
      </c>
      <c r="H124" s="106">
        <v>1.06</v>
      </c>
      <c r="I124" s="106">
        <v>1</v>
      </c>
    </row>
    <row r="125" spans="5:13" x14ac:dyDescent="0.25">
      <c r="F125" s="19">
        <f t="shared" si="5"/>
        <v>6</v>
      </c>
      <c r="G125" s="19" t="s">
        <v>103</v>
      </c>
      <c r="H125" s="106">
        <v>1.3</v>
      </c>
      <c r="I125" s="106">
        <v>1.2</v>
      </c>
      <c r="K125"/>
    </row>
    <row r="126" spans="5:13" x14ac:dyDescent="0.25">
      <c r="F126" s="19">
        <f t="shared" si="5"/>
        <v>7</v>
      </c>
      <c r="G126" s="97" t="s">
        <v>104</v>
      </c>
      <c r="H126" s="107">
        <v>5224</v>
      </c>
      <c r="I126" s="107">
        <v>6300</v>
      </c>
      <c r="K126"/>
    </row>
    <row r="127" spans="5:13" x14ac:dyDescent="0.25">
      <c r="F127" s="19">
        <f t="shared" si="5"/>
        <v>8</v>
      </c>
      <c r="G127" s="19" t="s">
        <v>105</v>
      </c>
      <c r="H127" s="108" t="s">
        <v>106</v>
      </c>
      <c r="I127" s="109">
        <v>0.28000000000000003</v>
      </c>
      <c r="K127"/>
    </row>
    <row r="128" spans="5:13" x14ac:dyDescent="0.25">
      <c r="F128" s="19">
        <f t="shared" si="5"/>
        <v>9</v>
      </c>
      <c r="G128" s="19" t="s">
        <v>107</v>
      </c>
      <c r="H128" s="106">
        <v>0.115</v>
      </c>
      <c r="I128" s="110">
        <v>0.16</v>
      </c>
      <c r="K128"/>
    </row>
    <row r="129" spans="6:11" x14ac:dyDescent="0.25">
      <c r="F129" s="19">
        <f t="shared" si="5"/>
        <v>10</v>
      </c>
      <c r="G129" s="19" t="s">
        <v>108</v>
      </c>
      <c r="H129" s="111">
        <v>250</v>
      </c>
      <c r="I129" s="109">
        <v>350</v>
      </c>
      <c r="K129"/>
    </row>
    <row r="130" spans="6:11" x14ac:dyDescent="0.25">
      <c r="F130" s="19">
        <f t="shared" si="5"/>
        <v>11</v>
      </c>
      <c r="G130" s="19" t="s">
        <v>109</v>
      </c>
      <c r="H130" s="108">
        <v>1.0483</v>
      </c>
      <c r="I130" s="112">
        <v>1.0438596491228069</v>
      </c>
      <c r="K130"/>
    </row>
    <row r="131" spans="6:11" x14ac:dyDescent="0.25">
      <c r="F131" s="19">
        <f t="shared" si="5"/>
        <v>12</v>
      </c>
      <c r="G131" s="19" t="s">
        <v>110</v>
      </c>
      <c r="H131" s="19">
        <v>0.1469</v>
      </c>
      <c r="I131" s="19">
        <v>0.13239999999999999</v>
      </c>
      <c r="K131"/>
    </row>
    <row r="132" spans="6:11" x14ac:dyDescent="0.25">
      <c r="F132" s="19">
        <f t="shared" si="5"/>
        <v>13</v>
      </c>
      <c r="G132" s="19" t="s">
        <v>111</v>
      </c>
      <c r="H132" s="19">
        <v>4.8500000000000001E-2</v>
      </c>
      <c r="I132" s="19">
        <v>4.3700000000000003E-2</v>
      </c>
      <c r="K132"/>
    </row>
    <row r="133" spans="6:11" x14ac:dyDescent="0.25">
      <c r="F133" s="19">
        <f t="shared" si="5"/>
        <v>14</v>
      </c>
      <c r="G133" s="19" t="s">
        <v>112</v>
      </c>
      <c r="H133" s="109">
        <v>73</v>
      </c>
      <c r="I133" s="109">
        <v>80</v>
      </c>
      <c r="K133"/>
    </row>
    <row r="134" spans="6:11" x14ac:dyDescent="0.25">
      <c r="F134" s="19">
        <f t="shared" si="5"/>
        <v>15</v>
      </c>
      <c r="G134" s="19" t="s">
        <v>113</v>
      </c>
      <c r="H134" s="109">
        <v>100</v>
      </c>
      <c r="I134" s="109">
        <v>109</v>
      </c>
      <c r="K134"/>
    </row>
    <row r="135" spans="6:11" hidden="1" x14ac:dyDescent="0.25">
      <c r="F135" s="19"/>
      <c r="G135" s="19"/>
      <c r="H135" s="109"/>
      <c r="I135" s="109"/>
      <c r="K135"/>
    </row>
    <row r="136" spans="6:11" hidden="1" x14ac:dyDescent="0.25">
      <c r="F136" s="19"/>
      <c r="G136" s="19"/>
      <c r="H136" s="109"/>
      <c r="I136" s="109"/>
      <c r="K136"/>
    </row>
    <row r="137" spans="6:11" x14ac:dyDescent="0.25">
      <c r="F137" s="19">
        <f>F134+1</f>
        <v>16</v>
      </c>
      <c r="G137" s="19" t="s">
        <v>114</v>
      </c>
      <c r="H137" s="109">
        <v>30</v>
      </c>
      <c r="I137" s="109">
        <v>33</v>
      </c>
      <c r="K137"/>
    </row>
    <row r="138" spans="6:11" x14ac:dyDescent="0.25">
      <c r="F138" s="19">
        <f t="shared" ref="F138:F186" si="6">F137+1</f>
        <v>17</v>
      </c>
      <c r="G138" s="19" t="s">
        <v>115</v>
      </c>
      <c r="H138" s="113" t="s">
        <v>106</v>
      </c>
      <c r="I138" s="109">
        <v>6300</v>
      </c>
      <c r="K138"/>
    </row>
    <row r="139" spans="6:11" x14ac:dyDescent="0.25">
      <c r="F139" s="19">
        <f t="shared" si="6"/>
        <v>18</v>
      </c>
      <c r="G139" s="19" t="s">
        <v>116</v>
      </c>
      <c r="H139" s="113" t="s">
        <v>106</v>
      </c>
      <c r="I139" s="110">
        <v>0.9</v>
      </c>
      <c r="K139"/>
    </row>
    <row r="140" spans="6:11" x14ac:dyDescent="0.25">
      <c r="F140" s="19">
        <f t="shared" si="6"/>
        <v>19</v>
      </c>
      <c r="G140" s="19" t="s">
        <v>117</v>
      </c>
      <c r="H140" s="113" t="s">
        <v>106</v>
      </c>
      <c r="I140" s="20">
        <v>2</v>
      </c>
      <c r="K140"/>
    </row>
    <row r="141" spans="6:11" x14ac:dyDescent="0.25">
      <c r="F141" s="19">
        <f t="shared" si="6"/>
        <v>20</v>
      </c>
      <c r="G141" s="19" t="s">
        <v>118</v>
      </c>
      <c r="H141" s="113" t="s">
        <v>106</v>
      </c>
      <c r="I141" s="110">
        <v>0.6</v>
      </c>
      <c r="K141"/>
    </row>
    <row r="142" spans="6:11" x14ac:dyDescent="0.25">
      <c r="F142" s="19">
        <f t="shared" si="6"/>
        <v>21</v>
      </c>
      <c r="G142" s="19" t="s">
        <v>119</v>
      </c>
      <c r="H142" s="113" t="s">
        <v>106</v>
      </c>
      <c r="I142" s="110">
        <v>0.7</v>
      </c>
      <c r="K142"/>
    </row>
    <row r="143" spans="6:11" x14ac:dyDescent="0.25">
      <c r="F143" s="19">
        <f t="shared" si="6"/>
        <v>22</v>
      </c>
      <c r="G143" s="19" t="s">
        <v>120</v>
      </c>
      <c r="H143" s="113" t="s">
        <v>106</v>
      </c>
      <c r="I143" s="110">
        <v>5.0999999999999997E-2</v>
      </c>
      <c r="K143"/>
    </row>
    <row r="144" spans="6:11" x14ac:dyDescent="0.25">
      <c r="F144" s="19">
        <f t="shared" si="6"/>
        <v>23</v>
      </c>
      <c r="G144" s="19" t="s">
        <v>121</v>
      </c>
      <c r="H144" s="113" t="s">
        <v>106</v>
      </c>
      <c r="I144" s="110">
        <v>0.75</v>
      </c>
      <c r="K144"/>
    </row>
    <row r="145" spans="6:11" x14ac:dyDescent="0.25">
      <c r="F145" s="19">
        <f t="shared" si="6"/>
        <v>24</v>
      </c>
      <c r="G145" s="19" t="s">
        <v>122</v>
      </c>
      <c r="H145" s="113" t="s">
        <v>106</v>
      </c>
      <c r="I145" s="110">
        <v>0.1</v>
      </c>
      <c r="K145"/>
    </row>
    <row r="146" spans="6:11" x14ac:dyDescent="0.25">
      <c r="F146" s="19">
        <f t="shared" si="6"/>
        <v>25</v>
      </c>
      <c r="G146" s="114" t="s">
        <v>123</v>
      </c>
      <c r="H146" s="115" t="s">
        <v>106</v>
      </c>
      <c r="I146" s="116">
        <v>0.9</v>
      </c>
      <c r="K146"/>
    </row>
    <row r="147" spans="6:11" x14ac:dyDescent="0.25">
      <c r="F147" s="19">
        <f t="shared" si="6"/>
        <v>26</v>
      </c>
      <c r="G147" s="114" t="s">
        <v>124</v>
      </c>
      <c r="H147" s="115" t="s">
        <v>106</v>
      </c>
      <c r="I147" s="117">
        <v>1314</v>
      </c>
      <c r="K147"/>
    </row>
    <row r="148" spans="6:11" hidden="1" x14ac:dyDescent="0.25">
      <c r="F148" s="19">
        <f t="shared" si="6"/>
        <v>27</v>
      </c>
      <c r="G148" s="19" t="s">
        <v>125</v>
      </c>
      <c r="H148" s="113" t="s">
        <v>106</v>
      </c>
      <c r="I148" s="110">
        <v>1</v>
      </c>
      <c r="K148"/>
    </row>
    <row r="149" spans="6:11" hidden="1" x14ac:dyDescent="0.25">
      <c r="F149" s="19">
        <f t="shared" si="6"/>
        <v>28</v>
      </c>
      <c r="G149" s="19" t="s">
        <v>125</v>
      </c>
      <c r="H149" s="113" t="s">
        <v>106</v>
      </c>
      <c r="I149" s="110">
        <v>1.0841623</v>
      </c>
      <c r="K149"/>
    </row>
    <row r="150" spans="6:11" x14ac:dyDescent="0.25">
      <c r="F150" s="19">
        <f t="shared" si="6"/>
        <v>29</v>
      </c>
      <c r="G150" s="97" t="s">
        <v>126</v>
      </c>
      <c r="H150" s="118" t="s">
        <v>106</v>
      </c>
      <c r="I150" s="107">
        <v>0</v>
      </c>
      <c r="K150"/>
    </row>
    <row r="151" spans="6:11" x14ac:dyDescent="0.25">
      <c r="F151" s="19">
        <f t="shared" si="6"/>
        <v>30</v>
      </c>
      <c r="G151" s="97" t="s">
        <v>127</v>
      </c>
      <c r="H151" s="118" t="s">
        <v>106</v>
      </c>
      <c r="I151" s="107">
        <v>500</v>
      </c>
      <c r="K151"/>
    </row>
    <row r="152" spans="6:11" x14ac:dyDescent="0.25">
      <c r="F152" s="19">
        <f t="shared" si="6"/>
        <v>31</v>
      </c>
      <c r="G152" s="97" t="s">
        <v>128</v>
      </c>
      <c r="H152" s="118" t="s">
        <v>106</v>
      </c>
      <c r="I152" s="107">
        <v>0.6</v>
      </c>
      <c r="K152"/>
    </row>
    <row r="153" spans="6:11" x14ac:dyDescent="0.25">
      <c r="F153" s="19">
        <f t="shared" si="6"/>
        <v>32</v>
      </c>
      <c r="G153" s="97" t="s">
        <v>129</v>
      </c>
      <c r="H153" s="118" t="s">
        <v>106</v>
      </c>
      <c r="I153" s="107">
        <v>0</v>
      </c>
      <c r="K153"/>
    </row>
    <row r="154" spans="6:11" x14ac:dyDescent="0.25">
      <c r="F154" s="19">
        <f t="shared" si="6"/>
        <v>33</v>
      </c>
      <c r="G154" s="97" t="s">
        <v>130</v>
      </c>
      <c r="H154" s="118" t="s">
        <v>106</v>
      </c>
      <c r="I154" s="107">
        <v>0</v>
      </c>
      <c r="K154"/>
    </row>
    <row r="155" spans="6:11" x14ac:dyDescent="0.25">
      <c r="F155" s="19">
        <f t="shared" si="6"/>
        <v>34</v>
      </c>
      <c r="G155" s="81" t="s">
        <v>131</v>
      </c>
      <c r="H155" s="119" t="s">
        <v>106</v>
      </c>
      <c r="I155" s="120">
        <v>1400</v>
      </c>
      <c r="K155"/>
    </row>
    <row r="156" spans="6:11" x14ac:dyDescent="0.25">
      <c r="F156" s="19">
        <f t="shared" si="6"/>
        <v>35</v>
      </c>
      <c r="G156" s="81" t="s">
        <v>132</v>
      </c>
      <c r="H156" s="119" t="s">
        <v>106</v>
      </c>
      <c r="I156" s="120">
        <v>100</v>
      </c>
      <c r="K156"/>
    </row>
    <row r="157" spans="6:11" x14ac:dyDescent="0.25">
      <c r="F157" s="19">
        <f t="shared" si="6"/>
        <v>36</v>
      </c>
      <c r="G157" s="97" t="s">
        <v>133</v>
      </c>
      <c r="H157" s="118" t="s">
        <v>106</v>
      </c>
      <c r="I157" s="107">
        <v>300</v>
      </c>
      <c r="K157"/>
    </row>
    <row r="158" spans="6:11" x14ac:dyDescent="0.25">
      <c r="F158" s="19">
        <f t="shared" si="6"/>
        <v>37</v>
      </c>
      <c r="G158" s="97" t="s">
        <v>134</v>
      </c>
      <c r="H158" s="118" t="s">
        <v>106</v>
      </c>
      <c r="I158" s="107">
        <v>400</v>
      </c>
      <c r="K158"/>
    </row>
    <row r="159" spans="6:11" x14ac:dyDescent="0.25">
      <c r="F159" s="19">
        <f t="shared" si="6"/>
        <v>38</v>
      </c>
      <c r="G159" s="97" t="s">
        <v>135</v>
      </c>
      <c r="H159" s="118" t="s">
        <v>106</v>
      </c>
      <c r="I159" s="107">
        <v>200</v>
      </c>
      <c r="K159"/>
    </row>
    <row r="160" spans="6:11" x14ac:dyDescent="0.25">
      <c r="F160" s="19">
        <f t="shared" si="6"/>
        <v>39</v>
      </c>
      <c r="G160" s="81" t="s">
        <v>136</v>
      </c>
      <c r="H160" s="119" t="s">
        <v>106</v>
      </c>
      <c r="I160" s="121">
        <v>1.4999999999999999E-2</v>
      </c>
      <c r="K160"/>
    </row>
    <row r="161" spans="6:11" x14ac:dyDescent="0.25">
      <c r="F161" s="19">
        <f t="shared" si="6"/>
        <v>40</v>
      </c>
      <c r="G161" s="81" t="s">
        <v>137</v>
      </c>
      <c r="H161" s="119" t="s">
        <v>106</v>
      </c>
      <c r="I161" s="121">
        <v>5.0000000000000001E-3</v>
      </c>
      <c r="K161"/>
    </row>
    <row r="162" spans="6:11" x14ac:dyDescent="0.25">
      <c r="F162" s="19">
        <f t="shared" si="6"/>
        <v>41</v>
      </c>
      <c r="G162" s="79" t="s">
        <v>138</v>
      </c>
      <c r="H162" s="122" t="s">
        <v>106</v>
      </c>
      <c r="I162" s="123">
        <v>669768.23502575036</v>
      </c>
      <c r="K162"/>
    </row>
    <row r="163" spans="6:11" x14ac:dyDescent="0.25">
      <c r="F163" s="19">
        <f t="shared" si="6"/>
        <v>42</v>
      </c>
      <c r="G163" s="79" t="s">
        <v>139</v>
      </c>
      <c r="H163" s="122" t="s">
        <v>106</v>
      </c>
      <c r="I163" s="123">
        <v>401860.94101545017</v>
      </c>
      <c r="K163"/>
    </row>
    <row r="164" spans="6:11" x14ac:dyDescent="0.25">
      <c r="F164" s="19">
        <f t="shared" si="6"/>
        <v>43</v>
      </c>
      <c r="G164" s="19" t="s">
        <v>140</v>
      </c>
      <c r="H164" s="113" t="s">
        <v>106</v>
      </c>
      <c r="I164" s="123">
        <v>11156.185442455244</v>
      </c>
      <c r="K164"/>
    </row>
    <row r="165" spans="6:11" x14ac:dyDescent="0.25">
      <c r="F165" s="19">
        <f t="shared" si="6"/>
        <v>44</v>
      </c>
      <c r="G165" s="19" t="s">
        <v>141</v>
      </c>
      <c r="H165" s="113" t="s">
        <v>106</v>
      </c>
      <c r="I165" s="123">
        <v>700</v>
      </c>
      <c r="K165"/>
    </row>
    <row r="166" spans="6:11" x14ac:dyDescent="0.25">
      <c r="F166" s="19">
        <f t="shared" si="6"/>
        <v>45</v>
      </c>
      <c r="G166" s="19" t="s">
        <v>142</v>
      </c>
      <c r="H166" s="113" t="s">
        <v>106</v>
      </c>
      <c r="I166" s="123">
        <v>1400</v>
      </c>
      <c r="K166"/>
    </row>
    <row r="167" spans="6:11" x14ac:dyDescent="0.25">
      <c r="F167" s="19">
        <f t="shared" si="6"/>
        <v>46</v>
      </c>
      <c r="G167" s="19" t="s">
        <v>143</v>
      </c>
      <c r="H167" s="113" t="s">
        <v>106</v>
      </c>
      <c r="I167" s="123">
        <v>1</v>
      </c>
      <c r="K167"/>
    </row>
    <row r="168" spans="6:11" hidden="1" x14ac:dyDescent="0.25">
      <c r="F168" s="19">
        <f t="shared" si="6"/>
        <v>47</v>
      </c>
      <c r="G168" s="19" t="s">
        <v>144</v>
      </c>
      <c r="H168" s="113" t="s">
        <v>106</v>
      </c>
      <c r="I168" s="123">
        <v>1</v>
      </c>
      <c r="K168"/>
    </row>
    <row r="169" spans="6:11" hidden="1" x14ac:dyDescent="0.25">
      <c r="F169" s="19">
        <f t="shared" si="6"/>
        <v>48</v>
      </c>
      <c r="G169" s="19" t="s">
        <v>145</v>
      </c>
      <c r="H169" s="113" t="s">
        <v>106</v>
      </c>
      <c r="I169" s="123">
        <v>1</v>
      </c>
      <c r="K169"/>
    </row>
    <row r="170" spans="6:11" hidden="1" x14ac:dyDescent="0.25">
      <c r="F170" s="19">
        <f t="shared" si="6"/>
        <v>49</v>
      </c>
      <c r="G170" s="19" t="s">
        <v>146</v>
      </c>
      <c r="H170" s="113" t="s">
        <v>106</v>
      </c>
      <c r="I170" s="123">
        <v>1</v>
      </c>
      <c r="K170"/>
    </row>
    <row r="171" spans="6:11" hidden="1" x14ac:dyDescent="0.25">
      <c r="F171" s="19">
        <f t="shared" si="6"/>
        <v>50</v>
      </c>
      <c r="G171" s="19" t="s">
        <v>147</v>
      </c>
      <c r="H171" s="113" t="s">
        <v>106</v>
      </c>
      <c r="I171" s="124">
        <v>0</v>
      </c>
      <c r="K171"/>
    </row>
    <row r="172" spans="6:11" x14ac:dyDescent="0.25">
      <c r="F172" s="19">
        <f>F171+1</f>
        <v>51</v>
      </c>
      <c r="G172" s="79" t="s">
        <v>148</v>
      </c>
      <c r="H172" s="122" t="s">
        <v>106</v>
      </c>
      <c r="I172" s="125">
        <v>0.65</v>
      </c>
      <c r="K172"/>
    </row>
    <row r="173" spans="6:11" x14ac:dyDescent="0.25">
      <c r="F173" s="19">
        <f t="shared" si="6"/>
        <v>52</v>
      </c>
      <c r="G173" s="79" t="s">
        <v>149</v>
      </c>
      <c r="H173" s="122" t="s">
        <v>106</v>
      </c>
      <c r="I173" s="123">
        <v>7321.2466966112534</v>
      </c>
      <c r="K173"/>
    </row>
    <row r="174" spans="6:11" hidden="1" x14ac:dyDescent="0.25">
      <c r="F174" s="19">
        <f t="shared" si="6"/>
        <v>53</v>
      </c>
      <c r="G174" s="19" t="s">
        <v>150</v>
      </c>
      <c r="H174" s="113" t="s">
        <v>106</v>
      </c>
      <c r="I174" s="124">
        <v>0</v>
      </c>
      <c r="K174"/>
    </row>
    <row r="175" spans="6:11" x14ac:dyDescent="0.25">
      <c r="F175" s="79">
        <f t="shared" si="6"/>
        <v>54</v>
      </c>
      <c r="G175" s="126" t="s">
        <v>151</v>
      </c>
      <c r="H175" s="122" t="s">
        <v>106</v>
      </c>
      <c r="I175" s="125">
        <v>0.15</v>
      </c>
      <c r="K175"/>
    </row>
    <row r="176" spans="6:11" x14ac:dyDescent="0.25">
      <c r="F176" s="79">
        <f t="shared" si="6"/>
        <v>55</v>
      </c>
      <c r="G176" s="126" t="s">
        <v>152</v>
      </c>
      <c r="H176" s="122" t="s">
        <v>106</v>
      </c>
      <c r="I176" s="127">
        <v>0.25</v>
      </c>
      <c r="K176"/>
    </row>
    <row r="177" spans="6:11" x14ac:dyDescent="0.25">
      <c r="F177" s="79">
        <f t="shared" si="6"/>
        <v>56</v>
      </c>
      <c r="G177" s="126" t="s">
        <v>153</v>
      </c>
      <c r="H177" s="122" t="s">
        <v>106</v>
      </c>
      <c r="I177" s="124">
        <v>5229.4619261508951</v>
      </c>
      <c r="K177"/>
    </row>
    <row r="178" spans="6:11" x14ac:dyDescent="0.25">
      <c r="F178" s="79">
        <f t="shared" si="6"/>
        <v>57</v>
      </c>
      <c r="G178" s="126" t="s">
        <v>154</v>
      </c>
      <c r="H178" s="122" t="s">
        <v>106</v>
      </c>
      <c r="I178" s="124">
        <v>8715.7698769181588</v>
      </c>
      <c r="K178"/>
    </row>
    <row r="179" spans="6:11" x14ac:dyDescent="0.25">
      <c r="F179" s="81">
        <f t="shared" si="6"/>
        <v>58</v>
      </c>
      <c r="G179" s="128" t="s">
        <v>155</v>
      </c>
      <c r="H179" s="119" t="s">
        <v>106</v>
      </c>
      <c r="I179" s="109">
        <v>230</v>
      </c>
      <c r="K179"/>
    </row>
    <row r="180" spans="6:11" x14ac:dyDescent="0.25">
      <c r="F180" s="79">
        <f t="shared" si="6"/>
        <v>59</v>
      </c>
      <c r="G180" s="126" t="s">
        <v>156</v>
      </c>
      <c r="H180" s="122" t="s">
        <v>106</v>
      </c>
      <c r="I180" s="124">
        <v>11156.185442455244</v>
      </c>
      <c r="K180"/>
    </row>
    <row r="181" spans="6:11" hidden="1" x14ac:dyDescent="0.25">
      <c r="F181" s="19">
        <f t="shared" si="6"/>
        <v>60</v>
      </c>
      <c r="G181" s="129" t="s">
        <v>157</v>
      </c>
      <c r="H181" s="113" t="s">
        <v>106</v>
      </c>
      <c r="I181" s="19">
        <v>1</v>
      </c>
      <c r="K181"/>
    </row>
    <row r="182" spans="6:11" x14ac:dyDescent="0.25">
      <c r="F182" s="19">
        <f t="shared" si="6"/>
        <v>61</v>
      </c>
      <c r="G182" s="129" t="s">
        <v>158</v>
      </c>
      <c r="H182" s="113" t="s">
        <v>106</v>
      </c>
      <c r="I182" s="19">
        <v>0</v>
      </c>
      <c r="K182"/>
    </row>
    <row r="183" spans="6:11" x14ac:dyDescent="0.25">
      <c r="F183" s="19">
        <f t="shared" si="6"/>
        <v>62</v>
      </c>
      <c r="G183" s="129" t="s">
        <v>159</v>
      </c>
      <c r="H183" s="113">
        <v>1000</v>
      </c>
      <c r="I183" s="109">
        <v>950</v>
      </c>
      <c r="K183"/>
    </row>
    <row r="184" spans="6:11" x14ac:dyDescent="0.25">
      <c r="F184" s="19">
        <f t="shared" si="6"/>
        <v>63</v>
      </c>
      <c r="G184" s="129" t="s">
        <v>160</v>
      </c>
      <c r="H184" s="113">
        <v>522.4</v>
      </c>
      <c r="I184" s="109">
        <v>535</v>
      </c>
      <c r="K184"/>
    </row>
    <row r="185" spans="6:11" x14ac:dyDescent="0.25">
      <c r="F185" s="19">
        <f t="shared" si="6"/>
        <v>64</v>
      </c>
      <c r="G185" s="129" t="s">
        <v>161</v>
      </c>
      <c r="H185" s="108" t="s">
        <v>106</v>
      </c>
      <c r="I185" s="109">
        <v>0.5</v>
      </c>
      <c r="K185"/>
    </row>
    <row r="186" spans="6:11" x14ac:dyDescent="0.25">
      <c r="F186" s="19">
        <f t="shared" si="6"/>
        <v>65</v>
      </c>
      <c r="G186" s="129" t="s">
        <v>162</v>
      </c>
      <c r="H186" s="108" t="s">
        <v>106</v>
      </c>
      <c r="I186" s="109">
        <v>260</v>
      </c>
      <c r="K186"/>
    </row>
    <row r="187" spans="6:11" x14ac:dyDescent="0.25">
      <c r="F187" s="19">
        <f>F186+1</f>
        <v>66</v>
      </c>
      <c r="G187" s="129" t="s">
        <v>181</v>
      </c>
      <c r="H187" s="130">
        <v>0</v>
      </c>
      <c r="I187" s="109">
        <v>0</v>
      </c>
    </row>
    <row r="188" spans="6:11" x14ac:dyDescent="0.25">
      <c r="K188"/>
    </row>
    <row r="189" spans="6:11" x14ac:dyDescent="0.25">
      <c r="K189"/>
    </row>
    <row r="190" spans="6:11" x14ac:dyDescent="0.25">
      <c r="K190"/>
    </row>
    <row r="191" spans="6:11" x14ac:dyDescent="0.25">
      <c r="G191" s="131" t="s">
        <v>163</v>
      </c>
      <c r="H191" s="16">
        <v>535814.58802060026</v>
      </c>
      <c r="I191" s="16"/>
      <c r="K191"/>
    </row>
    <row r="192" spans="6:11" x14ac:dyDescent="0.25">
      <c r="G192" s="131" t="s">
        <v>164</v>
      </c>
      <c r="H192" s="16">
        <v>6972.6159015345265</v>
      </c>
    </row>
    <row r="193" spans="6:11" x14ac:dyDescent="0.25">
      <c r="G193" t="s">
        <v>165</v>
      </c>
      <c r="H193" s="16">
        <v>957278.46999999974</v>
      </c>
      <c r="I193" s="16">
        <v>876222.89999999956</v>
      </c>
      <c r="K193"/>
    </row>
    <row r="194" spans="6:11" x14ac:dyDescent="0.25">
      <c r="I194">
        <v>1.0925056512446778</v>
      </c>
    </row>
    <row r="195" spans="6:11" x14ac:dyDescent="0.25">
      <c r="G195" t="s">
        <v>166</v>
      </c>
      <c r="K195"/>
    </row>
    <row r="196" spans="6:11" x14ac:dyDescent="0.25">
      <c r="F196" t="s">
        <v>167</v>
      </c>
      <c r="G196" t="s">
        <v>168</v>
      </c>
      <c r="K196"/>
    </row>
    <row r="197" spans="6:11" x14ac:dyDescent="0.25">
      <c r="K197"/>
    </row>
    <row r="198" spans="6:11" x14ac:dyDescent="0.25">
      <c r="F198" t="s">
        <v>167</v>
      </c>
      <c r="G198" t="s">
        <v>169</v>
      </c>
    </row>
    <row r="199" spans="6:11" x14ac:dyDescent="0.25">
      <c r="G199" t="s">
        <v>170</v>
      </c>
    </row>
    <row r="200" spans="6:11" x14ac:dyDescent="0.25">
      <c r="G200" t="s">
        <v>171</v>
      </c>
    </row>
  </sheetData>
  <printOptions gridLines="1"/>
  <pageMargins left="0.75" right="0.25" top="0.75" bottom="0.75" header="0.3" footer="0.3"/>
  <pageSetup scale="65" fitToHeight="0" orientation="portrait" r:id="rId1"/>
  <headerFooter>
    <oddHeader>&amp;LMDE / School Finance Division&amp;C&amp;"-,Bold"&amp;12REPORT #2:  SUMMARY:  CURRENT LAW VS WORKING GROUP RECOMMENDATION&amp;R12/10/2012</oddHeader>
    <oddFooter xml:space="preserve">&amp;R&amp;P OF &amp;N
</oddFooter>
  </headerFooter>
  <rowBreaks count="2" manualBreakCount="2">
    <brk id="70" max="16383" man="1"/>
    <brk id="11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32"/>
  <sheetViews>
    <sheetView tabSelected="1" topLeftCell="A29" zoomScale="75" zoomScaleNormal="75" workbookViewId="0">
      <selection activeCell="E48" sqref="E48"/>
    </sheetView>
  </sheetViews>
  <sheetFormatPr defaultColWidth="8.7109375" defaultRowHeight="15" x14ac:dyDescent="0.25"/>
  <cols>
    <col min="1" max="1" width="6.5703125" customWidth="1"/>
    <col min="2" max="2" width="0" hidden="1" customWidth="1"/>
    <col min="3" max="3" width="22.85546875" customWidth="1"/>
    <col min="4" max="4" width="10.28515625" hidden="1" customWidth="1"/>
    <col min="5" max="5" width="8.5703125" customWidth="1"/>
    <col min="7" max="7" width="6.85546875" customWidth="1"/>
    <col min="8" max="8" width="8.7109375" customWidth="1"/>
    <col min="18" max="18" width="7.7109375" customWidth="1"/>
    <col min="20" max="20" width="0" hidden="1" customWidth="1"/>
  </cols>
  <sheetData>
    <row r="1" spans="1:34" ht="16.5" hidden="1" x14ac:dyDescent="0.3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</row>
    <row r="2" spans="1:34" ht="16.5" hidden="1" x14ac:dyDescent="0.3">
      <c r="A2" s="132" t="s">
        <v>182</v>
      </c>
      <c r="B2" s="132"/>
      <c r="C2" s="132"/>
      <c r="D2" s="132">
        <v>1</v>
      </c>
      <c r="E2" s="132">
        <v>1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</row>
    <row r="3" spans="1:34" ht="16.5" hidden="1" x14ac:dyDescent="0.3">
      <c r="A3" s="132" t="s">
        <v>183</v>
      </c>
      <c r="B3" s="132"/>
      <c r="C3" s="132"/>
      <c r="D3" s="132">
        <f>D2+1</f>
        <v>2</v>
      </c>
      <c r="E3" s="132">
        <v>2</v>
      </c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</row>
    <row r="4" spans="1:34" ht="16.5" hidden="1" x14ac:dyDescent="0.3">
      <c r="A4" s="132" t="s">
        <v>184</v>
      </c>
      <c r="B4" s="132"/>
      <c r="C4" s="132"/>
      <c r="D4" s="132">
        <f t="shared" ref="D4:D13" si="0">D3+1</f>
        <v>3</v>
      </c>
      <c r="E4" s="132">
        <v>3</v>
      </c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</row>
    <row r="5" spans="1:34" ht="16.5" hidden="1" x14ac:dyDescent="0.3">
      <c r="A5" s="132" t="s">
        <v>185</v>
      </c>
      <c r="B5" s="132"/>
      <c r="C5" s="132"/>
      <c r="D5" s="132">
        <f t="shared" si="0"/>
        <v>4</v>
      </c>
      <c r="E5" s="132">
        <v>4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</row>
    <row r="6" spans="1:34" ht="16.5" hidden="1" x14ac:dyDescent="0.3">
      <c r="A6" s="132" t="s">
        <v>186</v>
      </c>
      <c r="B6" s="132"/>
      <c r="C6" s="132"/>
      <c r="D6" s="132">
        <f t="shared" si="0"/>
        <v>5</v>
      </c>
      <c r="E6" s="132">
        <v>5</v>
      </c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</row>
    <row r="7" spans="1:34" ht="16.5" hidden="1" x14ac:dyDescent="0.3">
      <c r="A7" s="132" t="s">
        <v>187</v>
      </c>
      <c r="B7" s="132"/>
      <c r="C7" s="132"/>
      <c r="D7" s="132">
        <f t="shared" si="0"/>
        <v>6</v>
      </c>
      <c r="E7" s="132">
        <v>6</v>
      </c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</row>
    <row r="8" spans="1:34" ht="16.5" hidden="1" x14ac:dyDescent="0.3">
      <c r="A8" s="132" t="s">
        <v>188</v>
      </c>
      <c r="B8" s="132"/>
      <c r="C8" s="132"/>
      <c r="D8" s="132">
        <f t="shared" si="0"/>
        <v>7</v>
      </c>
      <c r="E8" s="132">
        <v>7</v>
      </c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</row>
    <row r="9" spans="1:34" ht="16.5" hidden="1" x14ac:dyDescent="0.3">
      <c r="A9" s="132" t="s">
        <v>189</v>
      </c>
      <c r="B9" s="132"/>
      <c r="C9" s="132"/>
      <c r="D9" s="132">
        <f t="shared" si="0"/>
        <v>8</v>
      </c>
      <c r="E9" s="132">
        <v>8</v>
      </c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</row>
    <row r="10" spans="1:34" ht="16.5" hidden="1" x14ac:dyDescent="0.3">
      <c r="A10" s="132" t="s">
        <v>190</v>
      </c>
      <c r="B10" s="132"/>
      <c r="C10" s="132"/>
      <c r="D10" s="132">
        <f t="shared" si="0"/>
        <v>9</v>
      </c>
      <c r="E10" s="132">
        <v>9</v>
      </c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</row>
    <row r="11" spans="1:34" ht="16.5" hidden="1" x14ac:dyDescent="0.3">
      <c r="A11" s="132" t="s">
        <v>191</v>
      </c>
      <c r="B11" s="132"/>
      <c r="C11" s="132"/>
      <c r="D11" s="132">
        <f t="shared" si="0"/>
        <v>10</v>
      </c>
      <c r="E11" s="132">
        <v>10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</row>
    <row r="12" spans="1:34" ht="16.5" hidden="1" x14ac:dyDescent="0.3">
      <c r="A12" s="132" t="s">
        <v>192</v>
      </c>
      <c r="B12" s="132"/>
      <c r="C12" s="132"/>
      <c r="D12" s="132">
        <f t="shared" si="0"/>
        <v>11</v>
      </c>
      <c r="E12" s="132">
        <v>11</v>
      </c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</row>
    <row r="13" spans="1:34" ht="16.5" hidden="1" x14ac:dyDescent="0.3">
      <c r="A13" s="132" t="s">
        <v>193</v>
      </c>
      <c r="B13" s="132"/>
      <c r="C13" s="132"/>
      <c r="D13" s="132">
        <f t="shared" si="0"/>
        <v>12</v>
      </c>
      <c r="E13" s="132">
        <v>12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</row>
    <row r="14" spans="1:34" ht="16.5" hidden="1" x14ac:dyDescent="0.3">
      <c r="A14" s="132" t="s">
        <v>194</v>
      </c>
      <c r="B14" s="132"/>
      <c r="C14" s="132"/>
      <c r="D14" s="132">
        <v>13</v>
      </c>
      <c r="E14" s="132">
        <v>13</v>
      </c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</row>
    <row r="15" spans="1:34" ht="16.5" hidden="1" x14ac:dyDescent="0.3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</row>
    <row r="16" spans="1:34" ht="16.5" hidden="1" x14ac:dyDescent="0.3">
      <c r="A16" s="132" t="s">
        <v>195</v>
      </c>
      <c r="B16" s="132"/>
      <c r="C16" s="132"/>
      <c r="D16" s="132"/>
      <c r="E16" s="132"/>
      <c r="F16" s="132">
        <v>11</v>
      </c>
      <c r="G16" s="132">
        <v>21</v>
      </c>
      <c r="H16" s="132">
        <v>31</v>
      </c>
      <c r="I16" s="132">
        <v>41</v>
      </c>
      <c r="J16" s="132">
        <v>51</v>
      </c>
      <c r="K16" s="132">
        <v>61</v>
      </c>
      <c r="L16" s="132">
        <v>71</v>
      </c>
      <c r="M16" s="132">
        <v>81</v>
      </c>
      <c r="N16" s="132">
        <v>91</v>
      </c>
      <c r="O16" s="132">
        <v>101</v>
      </c>
      <c r="P16" s="132">
        <v>111</v>
      </c>
      <c r="Q16" s="132">
        <v>121</v>
      </c>
      <c r="R16" s="132">
        <v>131</v>
      </c>
      <c r="S16" s="133" t="s">
        <v>196</v>
      </c>
      <c r="T16" s="133"/>
      <c r="U16" s="132">
        <v>11</v>
      </c>
      <c r="V16" s="132">
        <v>21</v>
      </c>
      <c r="W16" s="132">
        <v>31</v>
      </c>
      <c r="X16" s="132">
        <v>41</v>
      </c>
      <c r="Y16" s="132">
        <v>51</v>
      </c>
      <c r="Z16" s="132">
        <v>61</v>
      </c>
      <c r="AA16" s="132">
        <v>71</v>
      </c>
      <c r="AB16" s="132">
        <v>81</v>
      </c>
      <c r="AC16" s="132">
        <v>91</v>
      </c>
      <c r="AD16" s="132">
        <v>101</v>
      </c>
      <c r="AE16" s="132">
        <v>111</v>
      </c>
      <c r="AF16" s="132">
        <v>121</v>
      </c>
      <c r="AG16" s="132">
        <v>131</v>
      </c>
      <c r="AH16" s="133" t="s">
        <v>196</v>
      </c>
    </row>
    <row r="17" spans="1:53" ht="16.5" hidden="1" x14ac:dyDescent="0.3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</row>
    <row r="18" spans="1:53" ht="16.5" hidden="1" x14ac:dyDescent="0.3">
      <c r="A18" s="132" t="s">
        <v>197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</row>
    <row r="19" spans="1:53" ht="16.5" hidden="1" x14ac:dyDescent="0.3">
      <c r="A19" s="132" t="s">
        <v>198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</row>
    <row r="20" spans="1:53" ht="16.5" hidden="1" x14ac:dyDescent="0.3">
      <c r="A20" s="132" t="s">
        <v>199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</row>
    <row r="21" spans="1:53" ht="16.5" hidden="1" x14ac:dyDescent="0.3">
      <c r="A21" s="132" t="s">
        <v>200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</row>
    <row r="22" spans="1:53" ht="16.5" hidden="1" x14ac:dyDescent="0.3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</row>
    <row r="23" spans="1:53" ht="16.5" hidden="1" x14ac:dyDescent="0.3">
      <c r="A23" s="133"/>
      <c r="B23" s="133"/>
      <c r="C23" s="133"/>
      <c r="D23" s="133"/>
      <c r="E23" s="133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</row>
    <row r="24" spans="1:53" ht="16.5" hidden="1" x14ac:dyDescent="0.3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</row>
    <row r="25" spans="1:53" ht="16.5" hidden="1" x14ac:dyDescent="0.3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</row>
    <row r="26" spans="1:53" ht="16.5" hidden="1" x14ac:dyDescent="0.3">
      <c r="A26" s="133"/>
      <c r="B26" s="133"/>
      <c r="C26" s="133"/>
      <c r="D26" s="133"/>
      <c r="E26" s="133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</row>
    <row r="27" spans="1:53" ht="16.5" hidden="1" x14ac:dyDescent="0.3">
      <c r="A27" s="137"/>
      <c r="B27" s="133"/>
      <c r="C27" s="133"/>
      <c r="D27" s="133"/>
      <c r="E27" s="133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</row>
    <row r="28" spans="1:53" ht="16.5" hidden="1" x14ac:dyDescent="0.3">
      <c r="A28" s="138" t="s">
        <v>202</v>
      </c>
      <c r="B28" s="133"/>
      <c r="C28" s="133"/>
      <c r="D28" s="133"/>
      <c r="E28" s="133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</row>
    <row r="29" spans="1:53" ht="19.5" customHeight="1" x14ac:dyDescent="0.3">
      <c r="A29" s="139"/>
      <c r="B29" s="133"/>
      <c r="C29" s="133"/>
      <c r="D29" s="133"/>
      <c r="E29" s="133"/>
      <c r="F29" s="141" t="s">
        <v>205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33"/>
      <c r="U29" s="141" t="s">
        <v>206</v>
      </c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1" t="s">
        <v>207</v>
      </c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33"/>
      <c r="AX29" s="133"/>
      <c r="AY29" s="133"/>
      <c r="AZ29" s="133"/>
      <c r="BA29" s="133"/>
    </row>
    <row r="30" spans="1:53" ht="16.5" x14ac:dyDescent="0.3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2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2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</row>
    <row r="31" spans="1:53" ht="16.5" x14ac:dyDescent="0.3">
      <c r="A31" s="140"/>
      <c r="B31" s="140"/>
      <c r="C31" s="140"/>
      <c r="D31" s="140"/>
      <c r="E31" s="143"/>
      <c r="F31" s="144"/>
      <c r="G31" s="145" t="s">
        <v>224</v>
      </c>
      <c r="H31" s="145" t="s">
        <v>225</v>
      </c>
      <c r="I31" s="145" t="s">
        <v>214</v>
      </c>
      <c r="J31" s="145"/>
      <c r="K31" s="145" t="s">
        <v>226</v>
      </c>
      <c r="L31" s="145" t="s">
        <v>227</v>
      </c>
      <c r="M31" s="145" t="s">
        <v>228</v>
      </c>
      <c r="N31" s="146" t="s">
        <v>215</v>
      </c>
      <c r="O31" s="145"/>
      <c r="P31" s="145"/>
      <c r="Q31" s="145" t="s">
        <v>216</v>
      </c>
      <c r="R31" s="145"/>
      <c r="S31" s="147"/>
      <c r="T31" s="133"/>
      <c r="U31" s="144"/>
      <c r="V31" s="145" t="s">
        <v>224</v>
      </c>
      <c r="W31" s="145" t="s">
        <v>225</v>
      </c>
      <c r="X31" s="145" t="s">
        <v>214</v>
      </c>
      <c r="Y31" s="145"/>
      <c r="Z31" s="145" t="s">
        <v>226</v>
      </c>
      <c r="AA31" s="145" t="s">
        <v>227</v>
      </c>
      <c r="AB31" s="145" t="s">
        <v>228</v>
      </c>
      <c r="AC31" s="146" t="s">
        <v>215</v>
      </c>
      <c r="AD31" s="145"/>
      <c r="AE31" s="145"/>
      <c r="AF31" s="145" t="s">
        <v>216</v>
      </c>
      <c r="AG31" s="145"/>
      <c r="AH31" s="147"/>
      <c r="AI31" s="144"/>
      <c r="AJ31" s="145" t="s">
        <v>224</v>
      </c>
      <c r="AK31" s="145" t="s">
        <v>225</v>
      </c>
      <c r="AL31" s="145" t="s">
        <v>214</v>
      </c>
      <c r="AM31" s="145"/>
      <c r="AN31" s="145" t="s">
        <v>226</v>
      </c>
      <c r="AO31" s="145" t="s">
        <v>227</v>
      </c>
      <c r="AP31" s="145" t="s">
        <v>228</v>
      </c>
      <c r="AQ31" s="146" t="s">
        <v>215</v>
      </c>
      <c r="AR31" s="145"/>
      <c r="AS31" s="145"/>
      <c r="AT31" s="145" t="s">
        <v>216</v>
      </c>
      <c r="AU31" s="145"/>
      <c r="AV31" s="147"/>
      <c r="AW31" s="133"/>
      <c r="AX31" s="133"/>
      <c r="AY31" s="133"/>
      <c r="AZ31" s="133"/>
      <c r="BA31" s="133"/>
    </row>
    <row r="32" spans="1:53" ht="16.5" x14ac:dyDescent="0.3">
      <c r="A32" s="140"/>
      <c r="B32" s="140"/>
      <c r="C32" s="140"/>
      <c r="D32" s="140" t="s">
        <v>229</v>
      </c>
      <c r="E32" s="148" t="s">
        <v>5</v>
      </c>
      <c r="F32" s="149" t="s">
        <v>182</v>
      </c>
      <c r="G32" s="150" t="s">
        <v>237</v>
      </c>
      <c r="H32" s="150" t="s">
        <v>238</v>
      </c>
      <c r="I32" s="150" t="s">
        <v>223</v>
      </c>
      <c r="J32" s="150" t="s">
        <v>186</v>
      </c>
      <c r="K32" s="151" t="s">
        <v>239</v>
      </c>
      <c r="L32" s="150" t="s">
        <v>240</v>
      </c>
      <c r="M32" s="150" t="s">
        <v>241</v>
      </c>
      <c r="N32" s="150" t="s">
        <v>230</v>
      </c>
      <c r="O32" s="150" t="s">
        <v>231</v>
      </c>
      <c r="P32" s="150" t="s">
        <v>232</v>
      </c>
      <c r="Q32" s="150" t="s">
        <v>233</v>
      </c>
      <c r="R32" s="150" t="s">
        <v>194</v>
      </c>
      <c r="S32" s="152" t="s">
        <v>196</v>
      </c>
      <c r="T32" s="133"/>
      <c r="U32" s="149" t="s">
        <v>182</v>
      </c>
      <c r="V32" s="150" t="s">
        <v>237</v>
      </c>
      <c r="W32" s="150" t="s">
        <v>238</v>
      </c>
      <c r="X32" s="150" t="s">
        <v>223</v>
      </c>
      <c r="Y32" s="150" t="s">
        <v>186</v>
      </c>
      <c r="Z32" s="151" t="s">
        <v>239</v>
      </c>
      <c r="AA32" s="150" t="s">
        <v>240</v>
      </c>
      <c r="AB32" s="150" t="s">
        <v>241</v>
      </c>
      <c r="AC32" s="150" t="s">
        <v>230</v>
      </c>
      <c r="AD32" s="150" t="s">
        <v>231</v>
      </c>
      <c r="AE32" s="150" t="s">
        <v>232</v>
      </c>
      <c r="AF32" s="150" t="s">
        <v>233</v>
      </c>
      <c r="AG32" s="150" t="s">
        <v>194</v>
      </c>
      <c r="AH32" s="152" t="s">
        <v>196</v>
      </c>
      <c r="AI32" s="149" t="s">
        <v>182</v>
      </c>
      <c r="AJ32" s="150" t="s">
        <v>237</v>
      </c>
      <c r="AK32" s="150" t="s">
        <v>238</v>
      </c>
      <c r="AL32" s="150" t="s">
        <v>223</v>
      </c>
      <c r="AM32" s="150" t="s">
        <v>186</v>
      </c>
      <c r="AN32" s="151" t="s">
        <v>239</v>
      </c>
      <c r="AO32" s="150" t="s">
        <v>240</v>
      </c>
      <c r="AP32" s="150" t="s">
        <v>241</v>
      </c>
      <c r="AQ32" s="150" t="s">
        <v>230</v>
      </c>
      <c r="AR32" s="150" t="s">
        <v>231</v>
      </c>
      <c r="AS32" s="150" t="s">
        <v>232</v>
      </c>
      <c r="AT32" s="150" t="s">
        <v>233</v>
      </c>
      <c r="AU32" s="150" t="s">
        <v>194</v>
      </c>
      <c r="AV32" s="152" t="s">
        <v>196</v>
      </c>
      <c r="AW32" s="133"/>
      <c r="AX32" s="133"/>
      <c r="AY32" s="133"/>
      <c r="AZ32" s="133"/>
      <c r="BA32" s="133"/>
    </row>
    <row r="33" spans="1:54" ht="16.5" x14ac:dyDescent="0.3">
      <c r="A33" s="140"/>
      <c r="B33" s="140"/>
      <c r="C33" s="140"/>
      <c r="D33" s="140"/>
      <c r="E33" s="140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</row>
    <row r="34" spans="1:54" ht="16.5" x14ac:dyDescent="0.3">
      <c r="A34" s="153" t="s">
        <v>242</v>
      </c>
      <c r="B34" s="153"/>
      <c r="C34" s="132"/>
      <c r="D34" s="153"/>
      <c r="E34" s="154">
        <v>830024.42999999993</v>
      </c>
      <c r="F34" s="135">
        <v>6024.9102876164716</v>
      </c>
      <c r="G34" s="135">
        <v>35.87515145789142</v>
      </c>
      <c r="H34" s="135">
        <v>1035.5140223282342</v>
      </c>
      <c r="I34" s="135">
        <v>0</v>
      </c>
      <c r="J34" s="135">
        <v>112.86823752886404</v>
      </c>
      <c r="K34" s="135">
        <v>687.96809109582443</v>
      </c>
      <c r="L34" s="135">
        <v>117.31758520483932</v>
      </c>
      <c r="M34" s="135">
        <v>1163.6912220678548</v>
      </c>
      <c r="N34" s="135">
        <v>0</v>
      </c>
      <c r="O34" s="135">
        <v>-37.418811275229515</v>
      </c>
      <c r="P34" s="135">
        <v>1458.3667400634395</v>
      </c>
      <c r="Q34" s="135">
        <v>122.66933896150508</v>
      </c>
      <c r="R34" s="135">
        <v>183.56744656298855</v>
      </c>
      <c r="S34" s="135">
        <v>10905.329311612682</v>
      </c>
      <c r="T34" s="135"/>
      <c r="U34" s="135">
        <v>6662.1068657461083</v>
      </c>
      <c r="V34" s="135">
        <v>0</v>
      </c>
      <c r="W34" s="135">
        <v>543.7891057697766</v>
      </c>
      <c r="X34" s="135">
        <v>312.37530208831106</v>
      </c>
      <c r="Y34" s="135">
        <v>65.338492940503073</v>
      </c>
      <c r="Z34" s="135">
        <v>718.09373154047228</v>
      </c>
      <c r="AA34" s="135">
        <v>122.27092617020925</v>
      </c>
      <c r="AB34" s="135">
        <v>1398.1003877354692</v>
      </c>
      <c r="AC34" s="135">
        <v>75.900272536840461</v>
      </c>
      <c r="AD34" s="135">
        <v>8.5173512423001867</v>
      </c>
      <c r="AE34" s="135">
        <v>1499.8129008474166</v>
      </c>
      <c r="AF34" s="135">
        <v>127.50476086556944</v>
      </c>
      <c r="AG34" s="135">
        <v>134.24186027873907</v>
      </c>
      <c r="AH34" s="135">
        <v>11668.051957761716</v>
      </c>
      <c r="AI34" s="135">
        <v>637.19657812963669</v>
      </c>
      <c r="AJ34" s="135">
        <v>-35.87515145789142</v>
      </c>
      <c r="AK34" s="135">
        <v>-491.72491655845761</v>
      </c>
      <c r="AL34" s="135">
        <v>312.37530208831106</v>
      </c>
      <c r="AM34" s="135">
        <v>-47.52974458836097</v>
      </c>
      <c r="AN34" s="135">
        <v>30.125640444647843</v>
      </c>
      <c r="AO34" s="135">
        <v>4.9533409653699323</v>
      </c>
      <c r="AP34" s="135">
        <v>234.40916566761439</v>
      </c>
      <c r="AQ34" s="135">
        <v>75.900272536840461</v>
      </c>
      <c r="AR34" s="135">
        <v>45.936162517529702</v>
      </c>
      <c r="AS34" s="135">
        <v>41.44616078397712</v>
      </c>
      <c r="AT34" s="135">
        <v>4.8354219040643613</v>
      </c>
      <c r="AU34" s="135">
        <v>-49.325586284249482</v>
      </c>
      <c r="AV34" s="135">
        <v>762.72264614903361</v>
      </c>
      <c r="AW34" s="135"/>
      <c r="AX34" s="132"/>
      <c r="AY34" s="132"/>
      <c r="AZ34" s="132"/>
      <c r="BA34" s="132"/>
      <c r="BB34" s="132"/>
    </row>
    <row r="35" spans="1:54" ht="16.5" x14ac:dyDescent="0.3">
      <c r="A35" s="153"/>
      <c r="B35" s="153"/>
      <c r="C35" s="153"/>
      <c r="D35" s="153"/>
      <c r="E35" s="153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2"/>
      <c r="AY35" s="132"/>
      <c r="AZ35" s="132"/>
      <c r="BA35" s="132"/>
      <c r="BB35" s="132"/>
    </row>
    <row r="36" spans="1:54" ht="16.5" x14ac:dyDescent="0.3">
      <c r="A36" s="153" t="s">
        <v>11</v>
      </c>
      <c r="B36" s="153"/>
      <c r="C36" s="132"/>
      <c r="D36" s="153">
        <v>1</v>
      </c>
      <c r="E36" s="154">
        <v>72789.149999999994</v>
      </c>
      <c r="F36" s="135">
        <v>5947.0218130037247</v>
      </c>
      <c r="G36" s="135">
        <v>231.28637262559053</v>
      </c>
      <c r="H36" s="135">
        <v>1379.1882864410422</v>
      </c>
      <c r="I36" s="135">
        <v>0</v>
      </c>
      <c r="J36" s="135">
        <v>52.366577985867409</v>
      </c>
      <c r="K36" s="135">
        <v>2162.3077682594185</v>
      </c>
      <c r="L36" s="135">
        <v>512.3219744975728</v>
      </c>
      <c r="M36" s="135">
        <v>1629.9803462508569</v>
      </c>
      <c r="N36" s="135">
        <v>0</v>
      </c>
      <c r="O36" s="135">
        <v>20.94917113333512</v>
      </c>
      <c r="P36" s="135">
        <v>1596.7826456003404</v>
      </c>
      <c r="Q36" s="135">
        <v>0.28460107035183135</v>
      </c>
      <c r="R36" s="135">
        <v>98.946517853278962</v>
      </c>
      <c r="S36" s="135">
        <v>13631.436074721381</v>
      </c>
      <c r="T36" s="135"/>
      <c r="U36" s="135">
        <v>6559.0447614788745</v>
      </c>
      <c r="V36" s="135">
        <v>0</v>
      </c>
      <c r="W36" s="135">
        <v>881.69250348437924</v>
      </c>
      <c r="X36" s="135">
        <v>546.62115752897239</v>
      </c>
      <c r="Y36" s="135">
        <v>41.133785598540449</v>
      </c>
      <c r="Z36" s="135">
        <v>2119.2133109124093</v>
      </c>
      <c r="AA36" s="135">
        <v>454.85609970716797</v>
      </c>
      <c r="AB36" s="135">
        <v>1997.2488939372622</v>
      </c>
      <c r="AC36" s="135">
        <v>140.86003347051201</v>
      </c>
      <c r="AD36" s="135">
        <v>57.855196138435467</v>
      </c>
      <c r="AE36" s="135">
        <v>1596.5418177221056</v>
      </c>
      <c r="AF36" s="135">
        <v>0.353980229196247</v>
      </c>
      <c r="AG36" s="135">
        <v>52.745133443651973</v>
      </c>
      <c r="AH36" s="135">
        <v>14448.166673651504</v>
      </c>
      <c r="AI36" s="135">
        <v>612.02294847514986</v>
      </c>
      <c r="AJ36" s="135">
        <v>-231.28637262559053</v>
      </c>
      <c r="AK36" s="135">
        <v>-497.49578295666299</v>
      </c>
      <c r="AL36" s="135">
        <v>546.62115752897239</v>
      </c>
      <c r="AM36" s="135">
        <v>-11.23279238732696</v>
      </c>
      <c r="AN36" s="135">
        <v>-43.094457347009211</v>
      </c>
      <c r="AO36" s="135">
        <v>-57.465874790404825</v>
      </c>
      <c r="AP36" s="135">
        <v>367.26854768640533</v>
      </c>
      <c r="AQ36" s="135">
        <v>140.86003347051201</v>
      </c>
      <c r="AR36" s="135">
        <v>36.906025005100346</v>
      </c>
      <c r="AS36" s="135">
        <v>-0.24082787823476792</v>
      </c>
      <c r="AT36" s="135">
        <v>6.9379158844415645E-2</v>
      </c>
      <c r="AU36" s="135">
        <v>-46.201384409626989</v>
      </c>
      <c r="AV36" s="135">
        <v>816.73059893012214</v>
      </c>
      <c r="AW36" s="135"/>
      <c r="AX36" s="132"/>
      <c r="AY36" s="132"/>
      <c r="AZ36" s="132"/>
      <c r="BA36" s="132"/>
      <c r="BB36" s="132"/>
    </row>
    <row r="37" spans="1:54" ht="16.5" x14ac:dyDescent="0.3">
      <c r="A37" s="153" t="s">
        <v>12</v>
      </c>
      <c r="B37" s="153"/>
      <c r="C37" s="132"/>
      <c r="D37" s="153">
        <v>2</v>
      </c>
      <c r="E37" s="154">
        <v>86993.020000000019</v>
      </c>
      <c r="F37" s="135">
        <v>6049.2168222232067</v>
      </c>
      <c r="G37" s="135">
        <v>11.863302021242621</v>
      </c>
      <c r="H37" s="135">
        <v>1506.9788241631338</v>
      </c>
      <c r="I37" s="135">
        <v>0</v>
      </c>
      <c r="J37" s="135">
        <v>106.88802745323703</v>
      </c>
      <c r="K37" s="135">
        <v>685.08499900336801</v>
      </c>
      <c r="L37" s="135">
        <v>149.9701431907985</v>
      </c>
      <c r="M37" s="135">
        <v>947.0747561574459</v>
      </c>
      <c r="N37" s="135">
        <v>0</v>
      </c>
      <c r="O37" s="135">
        <v>-44.664197081558946</v>
      </c>
      <c r="P37" s="135">
        <v>1710.117368923884</v>
      </c>
      <c r="Q37" s="135">
        <v>0.28949184658723182</v>
      </c>
      <c r="R37" s="135">
        <v>296.84286141577786</v>
      </c>
      <c r="S37" s="135">
        <v>11419.662399317125</v>
      </c>
      <c r="T37" s="135"/>
      <c r="U37" s="135">
        <v>6692.5240411242175</v>
      </c>
      <c r="V37" s="135">
        <v>0</v>
      </c>
      <c r="W37" s="135">
        <v>802.165245326579</v>
      </c>
      <c r="X37" s="135">
        <v>526.35097693386433</v>
      </c>
      <c r="Y37" s="135">
        <v>48.9838682459811</v>
      </c>
      <c r="Z37" s="135">
        <v>714.20774787617654</v>
      </c>
      <c r="AA37" s="135">
        <v>210.93115390177272</v>
      </c>
      <c r="AB37" s="135">
        <v>1240.6007325023197</v>
      </c>
      <c r="AC37" s="135">
        <v>67.316333734320949</v>
      </c>
      <c r="AD37" s="135">
        <v>3.3011558858400352</v>
      </c>
      <c r="AE37" s="135">
        <v>1725.8649521087286</v>
      </c>
      <c r="AF37" s="135">
        <v>0.53313277318111263</v>
      </c>
      <c r="AG37" s="135">
        <v>239.37832587028242</v>
      </c>
      <c r="AH37" s="135">
        <v>12272.157666283265</v>
      </c>
      <c r="AI37" s="135">
        <v>643.30721890101086</v>
      </c>
      <c r="AJ37" s="135">
        <v>-11.863302021242621</v>
      </c>
      <c r="AK37" s="135">
        <v>-704.81357883655483</v>
      </c>
      <c r="AL37" s="135">
        <v>526.35097693386433</v>
      </c>
      <c r="AM37" s="135">
        <v>-57.90415920725593</v>
      </c>
      <c r="AN37" s="135">
        <v>29.122748872808529</v>
      </c>
      <c r="AO37" s="135">
        <v>60.961010710974222</v>
      </c>
      <c r="AP37" s="135">
        <v>293.52597634487381</v>
      </c>
      <c r="AQ37" s="135">
        <v>67.316333734320949</v>
      </c>
      <c r="AR37" s="135">
        <v>47.965352967398978</v>
      </c>
      <c r="AS37" s="135">
        <v>15.747583184844643</v>
      </c>
      <c r="AT37" s="135">
        <v>0.24364092659388081</v>
      </c>
      <c r="AU37" s="135">
        <v>-57.464535545495437</v>
      </c>
      <c r="AV37" s="135">
        <v>852.49526696613975</v>
      </c>
      <c r="AW37" s="135"/>
      <c r="AX37" s="132"/>
      <c r="AY37" s="132"/>
      <c r="AZ37" s="132"/>
      <c r="BA37" s="132"/>
      <c r="BB37" s="132"/>
    </row>
    <row r="38" spans="1:54" ht="16.5" x14ac:dyDescent="0.3">
      <c r="A38" s="153" t="s">
        <v>13</v>
      </c>
      <c r="B38" s="153"/>
      <c r="C38" s="132"/>
      <c r="D38" s="153">
        <v>3</v>
      </c>
      <c r="E38" s="154">
        <v>262815.99999999994</v>
      </c>
      <c r="F38" s="135">
        <v>6051.2173468890796</v>
      </c>
      <c r="G38" s="135">
        <v>14.64933398271034</v>
      </c>
      <c r="H38" s="135">
        <v>1383.960960329661</v>
      </c>
      <c r="I38" s="135">
        <v>0</v>
      </c>
      <c r="J38" s="135">
        <v>116.84737093632052</v>
      </c>
      <c r="K38" s="135">
        <v>354.86809478874972</v>
      </c>
      <c r="L38" s="135">
        <v>106.36150727885672</v>
      </c>
      <c r="M38" s="135">
        <v>1090.2649935832223</v>
      </c>
      <c r="N38" s="135">
        <v>0</v>
      </c>
      <c r="O38" s="135">
        <v>-38.290186822720095</v>
      </c>
      <c r="P38" s="135">
        <v>1558.6255333236945</v>
      </c>
      <c r="Q38" s="135">
        <v>15.592638842384027</v>
      </c>
      <c r="R38" s="135">
        <v>233.25921549677344</v>
      </c>
      <c r="S38" s="135">
        <v>10887.356808628732</v>
      </c>
      <c r="T38" s="135"/>
      <c r="U38" s="135">
        <v>6694.977418422015</v>
      </c>
      <c r="V38" s="135">
        <v>0</v>
      </c>
      <c r="W38" s="135">
        <v>680.87900280043857</v>
      </c>
      <c r="X38" s="135">
        <v>511.43875254582684</v>
      </c>
      <c r="Y38" s="135">
        <v>57.498129794228674</v>
      </c>
      <c r="Z38" s="135">
        <v>356.28425879571796</v>
      </c>
      <c r="AA38" s="135">
        <v>120.55569101576774</v>
      </c>
      <c r="AB38" s="135">
        <v>1350.2130099545643</v>
      </c>
      <c r="AC38" s="135">
        <v>55.096468227983358</v>
      </c>
      <c r="AD38" s="135">
        <v>4.793844971386827</v>
      </c>
      <c r="AE38" s="135">
        <v>1583.5880128152255</v>
      </c>
      <c r="AF38" s="135">
        <v>17.801011093428588</v>
      </c>
      <c r="AG38" s="135">
        <v>179.54756662455864</v>
      </c>
      <c r="AH38" s="135">
        <v>11612.673167061143</v>
      </c>
      <c r="AI38" s="135">
        <v>643.7600715329354</v>
      </c>
      <c r="AJ38" s="135">
        <v>-14.64933398271034</v>
      </c>
      <c r="AK38" s="135">
        <v>-703.08195752922245</v>
      </c>
      <c r="AL38" s="135">
        <v>511.43875254582684</v>
      </c>
      <c r="AM38" s="135">
        <v>-59.349241142091842</v>
      </c>
      <c r="AN38" s="135">
        <v>1.4161640069682448</v>
      </c>
      <c r="AO38" s="135">
        <v>14.194183736911015</v>
      </c>
      <c r="AP38" s="135">
        <v>259.94801637134196</v>
      </c>
      <c r="AQ38" s="135">
        <v>55.096468227983358</v>
      </c>
      <c r="AR38" s="135">
        <v>43.08403179410692</v>
      </c>
      <c r="AS38" s="135">
        <v>24.962479491530985</v>
      </c>
      <c r="AT38" s="135">
        <v>2.2083722510445618</v>
      </c>
      <c r="AU38" s="135">
        <v>-53.711648872214795</v>
      </c>
      <c r="AV38" s="135">
        <v>725.3163584324102</v>
      </c>
      <c r="AW38" s="135"/>
      <c r="AX38" s="132"/>
      <c r="AY38" s="132"/>
      <c r="AZ38" s="132"/>
      <c r="BA38" s="132"/>
      <c r="BB38" s="132"/>
    </row>
    <row r="39" spans="1:54" ht="16.5" x14ac:dyDescent="0.3">
      <c r="A39" s="153" t="s">
        <v>14</v>
      </c>
      <c r="B39" s="153"/>
      <c r="C39" s="132"/>
      <c r="D39" s="153">
        <v>4</v>
      </c>
      <c r="E39" s="154">
        <v>184386.40000000002</v>
      </c>
      <c r="F39" s="135">
        <v>6022.4271681642467</v>
      </c>
      <c r="G39" s="135">
        <v>17.502577847390047</v>
      </c>
      <c r="H39" s="135">
        <v>662.09161483710284</v>
      </c>
      <c r="I39" s="135">
        <v>0</v>
      </c>
      <c r="J39" s="135">
        <v>119.45888303041876</v>
      </c>
      <c r="K39" s="135">
        <v>553.28547468793795</v>
      </c>
      <c r="L39" s="135">
        <v>66.666778420208857</v>
      </c>
      <c r="M39" s="135">
        <v>1028.114747053977</v>
      </c>
      <c r="N39" s="135">
        <v>0</v>
      </c>
      <c r="O39" s="135">
        <v>-39.578890308612763</v>
      </c>
      <c r="P39" s="135">
        <v>1326.9640299895066</v>
      </c>
      <c r="Q39" s="135">
        <v>87.286968615906588</v>
      </c>
      <c r="R39" s="135">
        <v>146.53051819440043</v>
      </c>
      <c r="S39" s="135">
        <v>9990.7498705324833</v>
      </c>
      <c r="T39" s="135"/>
      <c r="U39" s="135">
        <v>6658.1754443928612</v>
      </c>
      <c r="V39" s="135">
        <v>0</v>
      </c>
      <c r="W39" s="135">
        <v>222.4245532208449</v>
      </c>
      <c r="X39" s="135">
        <v>213.07371032173103</v>
      </c>
      <c r="Y39" s="135">
        <v>89.736736494665507</v>
      </c>
      <c r="Z39" s="135">
        <v>575.12424003813794</v>
      </c>
      <c r="AA39" s="135">
        <v>68.706051205511898</v>
      </c>
      <c r="AB39" s="135">
        <v>1274.929797206644</v>
      </c>
      <c r="AC39" s="135">
        <v>74.476327395553128</v>
      </c>
      <c r="AD39" s="135">
        <v>6.033470039005044</v>
      </c>
      <c r="AE39" s="135">
        <v>1392.4213437213311</v>
      </c>
      <c r="AF39" s="135">
        <v>93.491056281808198</v>
      </c>
      <c r="AG39" s="135">
        <v>98.989784712972323</v>
      </c>
      <c r="AH39" s="135">
        <v>10767.582515031065</v>
      </c>
      <c r="AI39" s="135">
        <v>635.74827622861449</v>
      </c>
      <c r="AJ39" s="135">
        <v>-17.502577847390047</v>
      </c>
      <c r="AK39" s="135">
        <v>-439.66706161625791</v>
      </c>
      <c r="AL39" s="135">
        <v>213.07371032173103</v>
      </c>
      <c r="AM39" s="135">
        <v>-29.722146535753254</v>
      </c>
      <c r="AN39" s="135">
        <v>21.838765350199992</v>
      </c>
      <c r="AO39" s="135">
        <v>2.0392727853030408</v>
      </c>
      <c r="AP39" s="135">
        <v>246.81505015266703</v>
      </c>
      <c r="AQ39" s="135">
        <v>74.476327395553128</v>
      </c>
      <c r="AR39" s="135">
        <v>45.612360347617809</v>
      </c>
      <c r="AS39" s="135">
        <v>65.45731373182457</v>
      </c>
      <c r="AT39" s="135">
        <v>6.2040876659016106</v>
      </c>
      <c r="AU39" s="135">
        <v>-47.540733481428106</v>
      </c>
      <c r="AV39" s="135">
        <v>776.83264449858143</v>
      </c>
      <c r="AW39" s="135"/>
      <c r="AX39" s="132"/>
      <c r="AY39" s="132"/>
      <c r="AZ39" s="132"/>
      <c r="BA39" s="132"/>
      <c r="BB39" s="132"/>
    </row>
    <row r="40" spans="1:54" ht="16.5" x14ac:dyDescent="0.3">
      <c r="A40" s="153" t="s">
        <v>15</v>
      </c>
      <c r="B40" s="153"/>
      <c r="C40" s="132"/>
      <c r="D40" s="153">
        <v>5</v>
      </c>
      <c r="E40" s="154">
        <v>93852.000000000029</v>
      </c>
      <c r="F40" s="135">
        <v>6037.4354455951898</v>
      </c>
      <c r="G40" s="135">
        <v>18.885206814985288</v>
      </c>
      <c r="H40" s="135">
        <v>645.09281261986951</v>
      </c>
      <c r="I40" s="135">
        <v>0</v>
      </c>
      <c r="J40" s="135">
        <v>132.38943261731237</v>
      </c>
      <c r="K40" s="135">
        <v>505.86286205941258</v>
      </c>
      <c r="L40" s="135">
        <v>35.734450023688346</v>
      </c>
      <c r="M40" s="135">
        <v>821.61770261088668</v>
      </c>
      <c r="N40" s="135">
        <v>0</v>
      </c>
      <c r="O40" s="135">
        <v>-51.366995695350091</v>
      </c>
      <c r="P40" s="135">
        <v>1302.8341311024651</v>
      </c>
      <c r="Q40" s="135">
        <v>224.51172122064523</v>
      </c>
      <c r="R40" s="135">
        <v>148.17553477816131</v>
      </c>
      <c r="S40" s="135">
        <v>9821.1723037472693</v>
      </c>
      <c r="T40" s="135"/>
      <c r="U40" s="135">
        <v>6678.9448791714594</v>
      </c>
      <c r="V40" s="135">
        <v>0</v>
      </c>
      <c r="W40" s="135">
        <v>395.09346012871322</v>
      </c>
      <c r="X40" s="135">
        <v>0</v>
      </c>
      <c r="Y40" s="135">
        <v>77.593539189361962</v>
      </c>
      <c r="Z40" s="135">
        <v>575.32699750166489</v>
      </c>
      <c r="AA40" s="135">
        <v>29.257323658526179</v>
      </c>
      <c r="AB40" s="135">
        <v>994.45153847832955</v>
      </c>
      <c r="AC40" s="135">
        <v>70.652511217794185</v>
      </c>
      <c r="AD40" s="135">
        <v>1.3432246515790816</v>
      </c>
      <c r="AE40" s="135">
        <v>1390.5626324105613</v>
      </c>
      <c r="AF40" s="135">
        <v>232.52860599667557</v>
      </c>
      <c r="AG40" s="135">
        <v>101.95950613732256</v>
      </c>
      <c r="AH40" s="135">
        <v>10547.714218541985</v>
      </c>
      <c r="AI40" s="135">
        <v>641.50943357626966</v>
      </c>
      <c r="AJ40" s="135">
        <v>-18.885206814985288</v>
      </c>
      <c r="AK40" s="135">
        <v>-249.99935249115629</v>
      </c>
      <c r="AL40" s="135">
        <v>0</v>
      </c>
      <c r="AM40" s="135">
        <v>-54.795893427950404</v>
      </c>
      <c r="AN40" s="135">
        <v>69.464135442252314</v>
      </c>
      <c r="AO40" s="135">
        <v>-6.4771263651621673</v>
      </c>
      <c r="AP40" s="135">
        <v>172.83383586744287</v>
      </c>
      <c r="AQ40" s="135">
        <v>70.652511217794185</v>
      </c>
      <c r="AR40" s="135">
        <v>52.710220346929177</v>
      </c>
      <c r="AS40" s="135">
        <v>87.728501308096156</v>
      </c>
      <c r="AT40" s="135">
        <v>8.0168847760303379</v>
      </c>
      <c r="AU40" s="135">
        <v>-46.216028640838744</v>
      </c>
      <c r="AV40" s="135">
        <v>726.54191479471592</v>
      </c>
      <c r="AW40" s="135"/>
      <c r="AX40" s="132"/>
      <c r="AY40" s="132"/>
      <c r="AZ40" s="132"/>
      <c r="BA40" s="132"/>
      <c r="BB40" s="132"/>
    </row>
    <row r="41" spans="1:54" ht="16.5" x14ac:dyDescent="0.3">
      <c r="A41" s="153" t="s">
        <v>16</v>
      </c>
      <c r="B41" s="153"/>
      <c r="C41" s="132"/>
      <c r="D41" s="153">
        <v>6</v>
      </c>
      <c r="E41" s="154">
        <v>87410.860000000044</v>
      </c>
      <c r="F41" s="135">
        <v>6047.1301886287356</v>
      </c>
      <c r="G41" s="135">
        <v>16.691604910419581</v>
      </c>
      <c r="H41" s="135">
        <v>903.9269447755114</v>
      </c>
      <c r="I41" s="135">
        <v>0</v>
      </c>
      <c r="J41" s="135">
        <v>122.95166207036512</v>
      </c>
      <c r="K41" s="135">
        <v>588.21202971804598</v>
      </c>
      <c r="L41" s="135">
        <v>39.342048568106968</v>
      </c>
      <c r="M41" s="135">
        <v>842.89340951737893</v>
      </c>
      <c r="N41" s="135">
        <v>0</v>
      </c>
      <c r="O41" s="135">
        <v>-56.923379772261683</v>
      </c>
      <c r="P41" s="135">
        <v>1249.9291862531231</v>
      </c>
      <c r="Q41" s="135">
        <v>664.8398395805732</v>
      </c>
      <c r="R41" s="135">
        <v>127.95427467479433</v>
      </c>
      <c r="S41" s="135">
        <v>10546.947808924791</v>
      </c>
      <c r="T41" s="135"/>
      <c r="U41" s="135">
        <v>6690.1856844790191</v>
      </c>
      <c r="V41" s="135">
        <v>0</v>
      </c>
      <c r="W41" s="135">
        <v>661.31720909735895</v>
      </c>
      <c r="X41" s="135">
        <v>0</v>
      </c>
      <c r="Y41" s="135">
        <v>61.519882083301709</v>
      </c>
      <c r="Z41" s="135">
        <v>694.61954913872751</v>
      </c>
      <c r="AA41" s="135">
        <v>33.536388613497209</v>
      </c>
      <c r="AB41" s="135">
        <v>989.39051048545855</v>
      </c>
      <c r="AC41" s="135">
        <v>79.672445955555943</v>
      </c>
      <c r="AD41" s="135">
        <v>0.8322563123163409</v>
      </c>
      <c r="AE41" s="135">
        <v>1320.8000825641291</v>
      </c>
      <c r="AF41" s="135">
        <v>681.50069977803651</v>
      </c>
      <c r="AG41" s="135">
        <v>81.364337680695456</v>
      </c>
      <c r="AH41" s="135">
        <v>11294.739046188097</v>
      </c>
      <c r="AI41" s="135">
        <v>643.05549585028348</v>
      </c>
      <c r="AJ41" s="135">
        <v>-16.691604910419581</v>
      </c>
      <c r="AK41" s="135">
        <v>-242.60973567815245</v>
      </c>
      <c r="AL41" s="135">
        <v>0</v>
      </c>
      <c r="AM41" s="135">
        <v>-61.431779987063408</v>
      </c>
      <c r="AN41" s="135">
        <v>106.40751942068152</v>
      </c>
      <c r="AO41" s="135">
        <v>-5.8056599546097587</v>
      </c>
      <c r="AP41" s="135">
        <v>146.49710096807962</v>
      </c>
      <c r="AQ41" s="135">
        <v>79.672445955555943</v>
      </c>
      <c r="AR41" s="135">
        <v>57.755636084578022</v>
      </c>
      <c r="AS41" s="135">
        <v>70.870896311005936</v>
      </c>
      <c r="AT41" s="135">
        <v>16.660860197463307</v>
      </c>
      <c r="AU41" s="135">
        <v>-46.589936994098878</v>
      </c>
      <c r="AV41" s="135">
        <v>747.79123726330545</v>
      </c>
      <c r="AW41" s="135"/>
      <c r="AX41" s="132"/>
      <c r="AY41" s="132"/>
      <c r="AZ41" s="132"/>
      <c r="BA41" s="132"/>
      <c r="BB41" s="132"/>
    </row>
    <row r="42" spans="1:54" s="157" customFormat="1" ht="17.25" thickBot="1" x14ac:dyDescent="0.35">
      <c r="A42" s="156" t="s">
        <v>17</v>
      </c>
      <c r="B42" s="156"/>
      <c r="D42" s="156">
        <v>7</v>
      </c>
      <c r="E42" s="158">
        <v>41777</v>
      </c>
      <c r="F42" s="159">
        <v>5880.8382526270425</v>
      </c>
      <c r="G42" s="159">
        <v>38.330434210211351</v>
      </c>
      <c r="H42" s="159">
        <v>63.46311941977639</v>
      </c>
      <c r="I42" s="159">
        <v>0</v>
      </c>
      <c r="J42" s="159">
        <v>111.66163032290494</v>
      </c>
      <c r="K42" s="159">
        <v>1432.9529262512867</v>
      </c>
      <c r="L42" s="159">
        <v>0</v>
      </c>
      <c r="M42" s="159">
        <v>1096.5326930541437</v>
      </c>
      <c r="N42" s="159">
        <v>0</v>
      </c>
      <c r="O42" s="159">
        <v>-36.867816501902965</v>
      </c>
      <c r="P42" s="159">
        <v>1427.7325894631015</v>
      </c>
      <c r="Q42" s="159">
        <v>57.328851521171956</v>
      </c>
      <c r="R42" s="159">
        <v>126.06278239222539</v>
      </c>
      <c r="S42" s="159">
        <v>10198.035462759961</v>
      </c>
      <c r="T42" s="159"/>
      <c r="U42" s="159">
        <v>6492.3253962706749</v>
      </c>
      <c r="V42" s="159">
        <v>1.689313477809107</v>
      </c>
      <c r="W42" s="159">
        <v>61.115958464418334</v>
      </c>
      <c r="X42" s="159">
        <v>0</v>
      </c>
      <c r="Y42" s="159">
        <v>63.664708571702114</v>
      </c>
      <c r="Z42" s="159">
        <v>1561.9441864597384</v>
      </c>
      <c r="AA42" s="159">
        <v>0</v>
      </c>
      <c r="AB42" s="159">
        <v>1072.3055364602947</v>
      </c>
      <c r="AC42" s="159">
        <v>114.38359705445717</v>
      </c>
      <c r="AD42" s="159">
        <v>0</v>
      </c>
      <c r="AE42" s="159">
        <v>1427.5067971611172</v>
      </c>
      <c r="AF42" s="159">
        <v>58.625915934605167</v>
      </c>
      <c r="AG42" s="159">
        <v>112.55396557914642</v>
      </c>
      <c r="AH42" s="159">
        <v>10966.115375433963</v>
      </c>
      <c r="AI42" s="159">
        <v>611.48714364363241</v>
      </c>
      <c r="AJ42" s="159">
        <v>-36.641120732402243</v>
      </c>
      <c r="AK42" s="159">
        <v>-2.3471609553580564</v>
      </c>
      <c r="AL42" s="159">
        <v>0</v>
      </c>
      <c r="AM42" s="159">
        <v>-47.996921751202827</v>
      </c>
      <c r="AN42" s="159">
        <v>128.99126020845165</v>
      </c>
      <c r="AO42" s="159">
        <v>0</v>
      </c>
      <c r="AP42" s="159">
        <v>-24.227156593849031</v>
      </c>
      <c r="AQ42" s="159">
        <v>114.38359705445717</v>
      </c>
      <c r="AR42" s="159">
        <v>36.867816501902965</v>
      </c>
      <c r="AS42" s="159">
        <v>-0.22579230198425648</v>
      </c>
      <c r="AT42" s="159">
        <v>1.2970644134332119</v>
      </c>
      <c r="AU42" s="159">
        <v>-13.508816813078965</v>
      </c>
      <c r="AV42" s="159">
        <v>768.07991267400212</v>
      </c>
      <c r="AW42" s="159"/>
    </row>
    <row r="43" spans="1:54" ht="16.5" x14ac:dyDescent="0.3">
      <c r="A43" s="153" t="s">
        <v>243</v>
      </c>
      <c r="B43" s="153"/>
      <c r="C43" s="132"/>
      <c r="D43" s="153">
        <v>8</v>
      </c>
      <c r="E43" s="154">
        <v>0</v>
      </c>
      <c r="F43" s="135">
        <v>0</v>
      </c>
      <c r="G43" s="135">
        <v>0</v>
      </c>
      <c r="H43" s="135">
        <v>0</v>
      </c>
      <c r="I43" s="135">
        <v>0</v>
      </c>
      <c r="J43" s="135">
        <v>0</v>
      </c>
      <c r="K43" s="135">
        <v>0</v>
      </c>
      <c r="L43" s="135">
        <v>0</v>
      </c>
      <c r="M43" s="135">
        <v>0</v>
      </c>
      <c r="N43" s="135">
        <v>0</v>
      </c>
      <c r="O43" s="135">
        <v>0</v>
      </c>
      <c r="P43" s="135">
        <v>0</v>
      </c>
      <c r="Q43" s="135">
        <v>0</v>
      </c>
      <c r="R43" s="135">
        <v>0</v>
      </c>
      <c r="S43" s="135">
        <v>0</v>
      </c>
      <c r="T43" s="135"/>
      <c r="U43" s="135">
        <v>0</v>
      </c>
      <c r="V43" s="135">
        <v>0</v>
      </c>
      <c r="W43" s="135">
        <v>0</v>
      </c>
      <c r="X43" s="135">
        <v>0</v>
      </c>
      <c r="Y43" s="135">
        <v>0</v>
      </c>
      <c r="Z43" s="135">
        <v>0</v>
      </c>
      <c r="AA43" s="135">
        <v>0</v>
      </c>
      <c r="AB43" s="135">
        <v>0</v>
      </c>
      <c r="AC43" s="135">
        <v>0</v>
      </c>
      <c r="AD43" s="135">
        <v>0</v>
      </c>
      <c r="AE43" s="135">
        <v>0</v>
      </c>
      <c r="AF43" s="135">
        <v>0</v>
      </c>
      <c r="AG43" s="135">
        <v>0</v>
      </c>
      <c r="AH43" s="135">
        <v>0</v>
      </c>
      <c r="AI43" s="135">
        <v>0</v>
      </c>
      <c r="AJ43" s="135">
        <v>0</v>
      </c>
      <c r="AK43" s="135">
        <v>0</v>
      </c>
      <c r="AL43" s="135">
        <v>0</v>
      </c>
      <c r="AM43" s="135">
        <v>0</v>
      </c>
      <c r="AN43" s="135">
        <v>0</v>
      </c>
      <c r="AO43" s="135">
        <v>0</v>
      </c>
      <c r="AP43" s="135">
        <v>0</v>
      </c>
      <c r="AQ43" s="135">
        <v>0</v>
      </c>
      <c r="AR43" s="135">
        <v>0</v>
      </c>
      <c r="AS43" s="135">
        <v>0</v>
      </c>
      <c r="AT43" s="135">
        <v>0</v>
      </c>
      <c r="AU43" s="135">
        <v>0</v>
      </c>
      <c r="AV43" s="135">
        <v>0</v>
      </c>
      <c r="AW43" s="135"/>
      <c r="AX43" s="132"/>
      <c r="AY43" s="132"/>
      <c r="AZ43" s="132"/>
      <c r="BA43" s="132"/>
      <c r="BB43" s="132"/>
    </row>
    <row r="44" spans="1:54" ht="16.5" x14ac:dyDescent="0.3">
      <c r="A44" s="153"/>
      <c r="B44" s="153"/>
      <c r="C44" s="153"/>
      <c r="D44" s="153"/>
      <c r="E44" s="153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2"/>
      <c r="AY44" s="132"/>
      <c r="AZ44" s="132"/>
      <c r="BA44" s="132"/>
      <c r="BB44" s="132"/>
    </row>
    <row r="45" spans="1:54" ht="16.5" x14ac:dyDescent="0.3">
      <c r="A45" s="160">
        <v>1</v>
      </c>
      <c r="B45" s="160">
        <v>1</v>
      </c>
      <c r="C45" s="161" t="s">
        <v>244</v>
      </c>
      <c r="D45" s="162">
        <v>5</v>
      </c>
      <c r="E45" s="163">
        <v>1226.43</v>
      </c>
      <c r="F45" s="135">
        <v>6094.6453690793596</v>
      </c>
      <c r="G45" s="135">
        <v>47.28483484585341</v>
      </c>
      <c r="H45" s="135">
        <v>6.7985942940078106E-2</v>
      </c>
      <c r="I45" s="135">
        <v>0</v>
      </c>
      <c r="J45" s="135">
        <v>237.87025757686942</v>
      </c>
      <c r="K45" s="135">
        <v>649.88693198959584</v>
      </c>
      <c r="L45" s="135">
        <v>0</v>
      </c>
      <c r="M45" s="135">
        <v>743.32649314457399</v>
      </c>
      <c r="N45" s="135">
        <v>0</v>
      </c>
      <c r="O45" s="135">
        <v>-49.438842820218028</v>
      </c>
      <c r="P45" s="135">
        <v>366.61059987117073</v>
      </c>
      <c r="Q45" s="135">
        <v>434.89175900785204</v>
      </c>
      <c r="R45" s="135">
        <v>106.36898966920249</v>
      </c>
      <c r="S45" s="135">
        <v>8631.5143783071999</v>
      </c>
      <c r="T45" s="135"/>
      <c r="U45" s="135">
        <v>6754.4827181331175</v>
      </c>
      <c r="V45" s="135">
        <v>0</v>
      </c>
      <c r="W45" s="135">
        <v>0</v>
      </c>
      <c r="X45" s="135">
        <v>0</v>
      </c>
      <c r="Y45" s="135">
        <v>106.20010926021052</v>
      </c>
      <c r="Z45" s="135">
        <v>766.40944232838592</v>
      </c>
      <c r="AA45" s="135">
        <v>0</v>
      </c>
      <c r="AB45" s="135">
        <v>940.45486344034066</v>
      </c>
      <c r="AC45" s="135">
        <v>116.08291136728141</v>
      </c>
      <c r="AD45" s="135">
        <v>0</v>
      </c>
      <c r="AE45" s="135">
        <v>492.28280374746214</v>
      </c>
      <c r="AF45" s="135">
        <v>444.62666438361748</v>
      </c>
      <c r="AG45" s="135">
        <v>56.921030959777568</v>
      </c>
      <c r="AH45" s="135">
        <v>9677.4605436201928</v>
      </c>
      <c r="AI45" s="135">
        <v>659.83734905375786</v>
      </c>
      <c r="AJ45" s="135">
        <v>-47.28483484585341</v>
      </c>
      <c r="AK45" s="135">
        <v>-6.7985942940078106E-2</v>
      </c>
      <c r="AL45" s="135">
        <v>0</v>
      </c>
      <c r="AM45" s="135">
        <v>-131.6701483166589</v>
      </c>
      <c r="AN45" s="135">
        <v>116.52251033879008</v>
      </c>
      <c r="AO45" s="135">
        <v>0</v>
      </c>
      <c r="AP45" s="135">
        <v>197.12837029576667</v>
      </c>
      <c r="AQ45" s="135">
        <v>116.08291136728141</v>
      </c>
      <c r="AR45" s="135">
        <v>49.438842820218028</v>
      </c>
      <c r="AS45" s="135">
        <v>125.67220387629141</v>
      </c>
      <c r="AT45" s="135">
        <v>9.734905375765436</v>
      </c>
      <c r="AU45" s="135">
        <v>-49.447958709424924</v>
      </c>
      <c r="AV45" s="135">
        <v>1045.9461751022886</v>
      </c>
      <c r="AW45" s="135"/>
      <c r="AX45" s="164"/>
      <c r="AY45" s="132"/>
      <c r="AZ45" s="135"/>
      <c r="BA45" s="135"/>
      <c r="BB45" s="132"/>
    </row>
    <row r="46" spans="1:54" ht="16.5" x14ac:dyDescent="0.3">
      <c r="A46" s="160">
        <v>1.2</v>
      </c>
      <c r="B46" s="165">
        <v>3</v>
      </c>
      <c r="C46" s="166" t="s">
        <v>246</v>
      </c>
      <c r="D46" s="167">
        <v>1</v>
      </c>
      <c r="E46" s="163">
        <v>34128.01</v>
      </c>
      <c r="F46" s="135">
        <v>5907.1578073260052</v>
      </c>
      <c r="G46" s="135">
        <v>201.27085786718885</v>
      </c>
      <c r="H46" s="135">
        <v>1957.5097765735534</v>
      </c>
      <c r="I46" s="135">
        <v>0</v>
      </c>
      <c r="J46" s="135">
        <v>52.015554964968651</v>
      </c>
      <c r="K46" s="135">
        <v>2055.2737305808341</v>
      </c>
      <c r="L46" s="135">
        <v>537.43162874131826</v>
      </c>
      <c r="M46" s="135">
        <v>1755.3290065553929</v>
      </c>
      <c r="N46" s="135">
        <v>0</v>
      </c>
      <c r="O46" s="135">
        <v>39.276702040347502</v>
      </c>
      <c r="P46" s="135">
        <v>1991.3034687343327</v>
      </c>
      <c r="Q46" s="135">
        <v>0.28269330675887633</v>
      </c>
      <c r="R46" s="135">
        <v>102.46679252613907</v>
      </c>
      <c r="S46" s="135">
        <v>14599.318019216842</v>
      </c>
      <c r="T46" s="135"/>
      <c r="U46" s="135">
        <v>6509.77288157147</v>
      </c>
      <c r="V46" s="135">
        <v>0</v>
      </c>
      <c r="W46" s="135">
        <v>1435.4772510908194</v>
      </c>
      <c r="X46" s="135">
        <v>540.47472424849843</v>
      </c>
      <c r="Y46" s="135">
        <v>0.79563883156386783</v>
      </c>
      <c r="Z46" s="135">
        <v>1967.2811939518301</v>
      </c>
      <c r="AA46" s="135">
        <v>456.88724481738024</v>
      </c>
      <c r="AB46" s="135">
        <v>2098.4375668901343</v>
      </c>
      <c r="AC46" s="135">
        <v>148.93077574686322</v>
      </c>
      <c r="AD46" s="135">
        <v>75.906018253042006</v>
      </c>
      <c r="AE46" s="135">
        <v>1990.8268396998242</v>
      </c>
      <c r="AF46" s="135">
        <v>0.3513210995894574</v>
      </c>
      <c r="AG46" s="135">
        <v>56.320047960604789</v>
      </c>
      <c r="AH46" s="135">
        <v>15281.46150416162</v>
      </c>
      <c r="AI46" s="135">
        <v>602.61507424546471</v>
      </c>
      <c r="AJ46" s="135">
        <v>-201.27085786718885</v>
      </c>
      <c r="AK46" s="135">
        <v>-522.03252548273394</v>
      </c>
      <c r="AL46" s="135">
        <v>540.47472424849843</v>
      </c>
      <c r="AM46" s="135">
        <v>-51.21991613340478</v>
      </c>
      <c r="AN46" s="135">
        <v>-87.992536629004007</v>
      </c>
      <c r="AO46" s="135">
        <v>-80.544383923938028</v>
      </c>
      <c r="AP46" s="135">
        <v>343.10856033474147</v>
      </c>
      <c r="AQ46" s="135">
        <v>148.93077574686322</v>
      </c>
      <c r="AR46" s="135">
        <v>36.629316212694505</v>
      </c>
      <c r="AS46" s="135">
        <v>-0.47662903450850536</v>
      </c>
      <c r="AT46" s="135">
        <v>6.8627792830581069E-2</v>
      </c>
      <c r="AU46" s="135">
        <v>-46.146744565534284</v>
      </c>
      <c r="AV46" s="135">
        <v>682.14349491412372</v>
      </c>
      <c r="AW46" s="135"/>
      <c r="AX46" s="132"/>
      <c r="AY46" s="132"/>
      <c r="AZ46" s="155"/>
      <c r="BA46" s="155"/>
      <c r="BB46" s="134"/>
    </row>
    <row r="47" spans="1:54" ht="16.5" x14ac:dyDescent="0.3">
      <c r="A47" s="165">
        <v>2</v>
      </c>
      <c r="B47" s="165">
        <v>1</v>
      </c>
      <c r="C47" s="166" t="s">
        <v>248</v>
      </c>
      <c r="D47" s="167">
        <v>6</v>
      </c>
      <c r="E47" s="163">
        <v>276.11</v>
      </c>
      <c r="F47" s="135">
        <v>6091.292600775053</v>
      </c>
      <c r="G47" s="135">
        <v>55.665821592843429</v>
      </c>
      <c r="H47" s="135">
        <v>0</v>
      </c>
      <c r="I47" s="135">
        <v>0</v>
      </c>
      <c r="J47" s="135">
        <v>159.27282604758972</v>
      </c>
      <c r="K47" s="135">
        <v>1169.8979754445693</v>
      </c>
      <c r="L47" s="135">
        <v>0</v>
      </c>
      <c r="M47" s="135">
        <v>1190.278415384412</v>
      </c>
      <c r="N47" s="135">
        <v>0</v>
      </c>
      <c r="O47" s="135">
        <v>-73.402375864691606</v>
      </c>
      <c r="P47" s="135">
        <v>1144.1858617424732</v>
      </c>
      <c r="Q47" s="135">
        <v>1926.5935677809568</v>
      </c>
      <c r="R47" s="135">
        <v>95.676034913621379</v>
      </c>
      <c r="S47" s="135">
        <v>11759.46072781683</v>
      </c>
      <c r="T47" s="135"/>
      <c r="U47" s="135">
        <v>6731.9165549961963</v>
      </c>
      <c r="V47" s="135">
        <v>0</v>
      </c>
      <c r="W47" s="135">
        <v>0</v>
      </c>
      <c r="X47" s="135">
        <v>0</v>
      </c>
      <c r="Y47" s="135">
        <v>106.84871971315779</v>
      </c>
      <c r="Z47" s="135">
        <v>1372.8155445293542</v>
      </c>
      <c r="AA47" s="135">
        <v>0</v>
      </c>
      <c r="AB47" s="135">
        <v>1381.1181434593682</v>
      </c>
      <c r="AC47" s="135">
        <v>116.30972403535448</v>
      </c>
      <c r="AD47" s="135">
        <v>0</v>
      </c>
      <c r="AE47" s="135">
        <v>1240.5319659597365</v>
      </c>
      <c r="AF47" s="135">
        <v>1940.7015635873574</v>
      </c>
      <c r="AG47" s="135">
        <v>47.911375900909057</v>
      </c>
      <c r="AH47" s="135">
        <v>12938.153592181434</v>
      </c>
      <c r="AI47" s="135">
        <v>640.62395422114332</v>
      </c>
      <c r="AJ47" s="135">
        <v>-55.665821592843429</v>
      </c>
      <c r="AK47" s="135">
        <v>0</v>
      </c>
      <c r="AL47" s="135">
        <v>0</v>
      </c>
      <c r="AM47" s="135">
        <v>-52.424106334431926</v>
      </c>
      <c r="AN47" s="135">
        <v>202.91756908478487</v>
      </c>
      <c r="AO47" s="135">
        <v>0</v>
      </c>
      <c r="AP47" s="135">
        <v>190.83972807495616</v>
      </c>
      <c r="AQ47" s="135">
        <v>116.30972403535448</v>
      </c>
      <c r="AR47" s="135">
        <v>73.402375864691606</v>
      </c>
      <c r="AS47" s="135">
        <v>96.346104217263246</v>
      </c>
      <c r="AT47" s="135">
        <v>14.107995806400595</v>
      </c>
      <c r="AU47" s="135">
        <v>-47.764659012712322</v>
      </c>
      <c r="AV47" s="135">
        <v>1178.6928740976414</v>
      </c>
      <c r="AW47" s="135"/>
      <c r="AX47" s="132"/>
      <c r="AY47" s="132"/>
      <c r="AZ47" s="155"/>
      <c r="BA47" s="155"/>
      <c r="BB47" s="134"/>
    </row>
    <row r="48" spans="1:54" ht="16.5" x14ac:dyDescent="0.3">
      <c r="A48" s="165">
        <v>4</v>
      </c>
      <c r="B48" s="165">
        <v>1</v>
      </c>
      <c r="C48" s="166" t="s">
        <v>250</v>
      </c>
      <c r="D48" s="167">
        <v>6</v>
      </c>
      <c r="E48" s="163">
        <v>399.46000000000004</v>
      </c>
      <c r="F48" s="135">
        <v>5907.8305712712154</v>
      </c>
      <c r="G48" s="135">
        <v>0</v>
      </c>
      <c r="H48" s="135">
        <v>0</v>
      </c>
      <c r="I48" s="135">
        <v>0</v>
      </c>
      <c r="J48" s="135">
        <v>174.41193110699442</v>
      </c>
      <c r="K48" s="135">
        <v>1409.7762229009161</v>
      </c>
      <c r="L48" s="135">
        <v>0</v>
      </c>
      <c r="M48" s="135">
        <v>444.94823922658333</v>
      </c>
      <c r="N48" s="135">
        <v>0</v>
      </c>
      <c r="O48" s="135">
        <v>-79.288138987633289</v>
      </c>
      <c r="P48" s="135">
        <v>2393.6623641916585</v>
      </c>
      <c r="Q48" s="135">
        <v>2192.7227757472583</v>
      </c>
      <c r="R48" s="135">
        <v>111.53725028788864</v>
      </c>
      <c r="S48" s="135">
        <v>12555.601215744882</v>
      </c>
      <c r="T48" s="135"/>
      <c r="U48" s="135">
        <v>6538.3042106844232</v>
      </c>
      <c r="V48" s="135">
        <v>0</v>
      </c>
      <c r="W48" s="135">
        <v>0</v>
      </c>
      <c r="X48" s="135">
        <v>0</v>
      </c>
      <c r="Y48" s="135">
        <v>103.78260651880038</v>
      </c>
      <c r="Z48" s="135">
        <v>1621.6667501126519</v>
      </c>
      <c r="AA48" s="135">
        <v>0</v>
      </c>
      <c r="AB48" s="135">
        <v>741.27016009783745</v>
      </c>
      <c r="AC48" s="135">
        <v>105.13091218487831</v>
      </c>
      <c r="AD48" s="135">
        <v>0</v>
      </c>
      <c r="AE48" s="135">
        <v>2394.1758538426875</v>
      </c>
      <c r="AF48" s="135">
        <v>2261.5377472179543</v>
      </c>
      <c r="AG48" s="135">
        <v>65.946202373203818</v>
      </c>
      <c r="AH48" s="135">
        <v>13831.814443032437</v>
      </c>
      <c r="AI48" s="135">
        <v>630.47363941320782</v>
      </c>
      <c r="AJ48" s="135">
        <v>0</v>
      </c>
      <c r="AK48" s="135">
        <v>0</v>
      </c>
      <c r="AL48" s="135">
        <v>0</v>
      </c>
      <c r="AM48" s="135">
        <v>-70.629324588194038</v>
      </c>
      <c r="AN48" s="135">
        <v>211.89052721173584</v>
      </c>
      <c r="AO48" s="135">
        <v>0</v>
      </c>
      <c r="AP48" s="135">
        <v>296.32192087125412</v>
      </c>
      <c r="AQ48" s="135">
        <v>105.13091218487831</v>
      </c>
      <c r="AR48" s="135">
        <v>79.288138987633289</v>
      </c>
      <c r="AS48" s="135">
        <v>0.51348965102897637</v>
      </c>
      <c r="AT48" s="135">
        <v>68.814971470696037</v>
      </c>
      <c r="AU48" s="135">
        <v>-45.591047914684822</v>
      </c>
      <c r="AV48" s="135">
        <v>1276.2132281585727</v>
      </c>
      <c r="AW48" s="135"/>
      <c r="AX48" s="132"/>
      <c r="AY48" s="132"/>
      <c r="AZ48" s="155"/>
      <c r="BA48" s="155"/>
      <c r="BB48" s="132"/>
    </row>
    <row r="49" spans="1:54" ht="16.5" x14ac:dyDescent="0.3">
      <c r="A49" s="165">
        <v>6</v>
      </c>
      <c r="B49" s="165">
        <v>3</v>
      </c>
      <c r="C49" s="166" t="s">
        <v>252</v>
      </c>
      <c r="D49" s="167">
        <v>2</v>
      </c>
      <c r="E49" s="163">
        <v>3308.17</v>
      </c>
      <c r="F49" s="135">
        <v>5993.4108102062464</v>
      </c>
      <c r="G49" s="135">
        <v>31.733870992119506</v>
      </c>
      <c r="H49" s="135">
        <v>1071.3358866080039</v>
      </c>
      <c r="I49" s="135">
        <v>0</v>
      </c>
      <c r="J49" s="135">
        <v>137.40158153903818</v>
      </c>
      <c r="K49" s="135">
        <v>671.07207005685916</v>
      </c>
      <c r="L49" s="135">
        <v>145.72774993425367</v>
      </c>
      <c r="M49" s="135">
        <v>887.40397000580163</v>
      </c>
      <c r="N49" s="135">
        <v>0</v>
      </c>
      <c r="O49" s="135">
        <v>-39.222648775607055</v>
      </c>
      <c r="P49" s="135">
        <v>917.0426713258388</v>
      </c>
      <c r="Q49" s="135">
        <v>0.28682020573307904</v>
      </c>
      <c r="R49" s="135">
        <v>376.15451140660849</v>
      </c>
      <c r="S49" s="135">
        <v>10192.347293504894</v>
      </c>
      <c r="T49" s="135"/>
      <c r="U49" s="135">
        <v>6625.2133596520125</v>
      </c>
      <c r="V49" s="135">
        <v>0</v>
      </c>
      <c r="W49" s="135">
        <v>368.47343697572978</v>
      </c>
      <c r="X49" s="135">
        <v>529.78722307689713</v>
      </c>
      <c r="Y49" s="135">
        <v>78.622779361399196</v>
      </c>
      <c r="Z49" s="135">
        <v>723.16684181483993</v>
      </c>
      <c r="AA49" s="135">
        <v>174.90385016489481</v>
      </c>
      <c r="AB49" s="135">
        <v>1226.7047009243058</v>
      </c>
      <c r="AC49" s="135">
        <v>84.523090041670557</v>
      </c>
      <c r="AD49" s="135">
        <v>0</v>
      </c>
      <c r="AE49" s="135">
        <v>969.45895570844311</v>
      </c>
      <c r="AF49" s="135">
        <v>0.35680451730110602</v>
      </c>
      <c r="AG49" s="135">
        <v>319.39354688543818</v>
      </c>
      <c r="AH49" s="135">
        <v>11100.604589122931</v>
      </c>
      <c r="AI49" s="135">
        <v>631.80254944576609</v>
      </c>
      <c r="AJ49" s="135">
        <v>-31.733870992119506</v>
      </c>
      <c r="AK49" s="135">
        <v>-702.86244963227409</v>
      </c>
      <c r="AL49" s="135">
        <v>529.78722307689713</v>
      </c>
      <c r="AM49" s="135">
        <v>-58.77880217763898</v>
      </c>
      <c r="AN49" s="135">
        <v>52.094771757980766</v>
      </c>
      <c r="AO49" s="135">
        <v>29.17610023064114</v>
      </c>
      <c r="AP49" s="135">
        <v>339.3007309185042</v>
      </c>
      <c r="AQ49" s="135">
        <v>84.523090041670557</v>
      </c>
      <c r="AR49" s="135">
        <v>39.222648775607055</v>
      </c>
      <c r="AS49" s="135">
        <v>52.416284382604317</v>
      </c>
      <c r="AT49" s="135">
        <v>6.998431156802698E-2</v>
      </c>
      <c r="AU49" s="135">
        <v>-56.760964521170308</v>
      </c>
      <c r="AV49" s="135">
        <v>908.25730191002481</v>
      </c>
      <c r="AW49" s="135"/>
      <c r="AX49" s="132"/>
      <c r="AY49" s="132"/>
      <c r="AZ49" s="155"/>
      <c r="BA49" s="155"/>
      <c r="BB49" s="132"/>
    </row>
    <row r="50" spans="1:54" s="134" customFormat="1" ht="16.5" x14ac:dyDescent="0.3">
      <c r="A50" s="160">
        <v>11</v>
      </c>
      <c r="B50" s="160">
        <v>1</v>
      </c>
      <c r="C50" s="161" t="s">
        <v>254</v>
      </c>
      <c r="D50" s="162">
        <v>3</v>
      </c>
      <c r="E50" s="163">
        <v>37509.620000000003</v>
      </c>
      <c r="F50" s="155">
        <v>6076.4802032118696</v>
      </c>
      <c r="G50" s="155">
        <v>34.058066703954871</v>
      </c>
      <c r="H50" s="155">
        <v>1526.7649293701188</v>
      </c>
      <c r="I50" s="155">
        <v>0</v>
      </c>
      <c r="J50" s="155">
        <v>106.99851131523059</v>
      </c>
      <c r="K50" s="155">
        <v>492.69643360823164</v>
      </c>
      <c r="L50" s="155">
        <v>143.29749065706341</v>
      </c>
      <c r="M50" s="155">
        <v>1266.3077009780379</v>
      </c>
      <c r="N50" s="155">
        <v>0</v>
      </c>
      <c r="O50" s="155">
        <v>-43.091876164034716</v>
      </c>
      <c r="P50" s="155">
        <v>1002.8190242929679</v>
      </c>
      <c r="Q50" s="155">
        <v>0.29079633438035363</v>
      </c>
      <c r="R50" s="155">
        <v>107.74766526560387</v>
      </c>
      <c r="S50" s="155">
        <v>10714.368945573424</v>
      </c>
      <c r="T50" s="155"/>
      <c r="U50" s="155">
        <v>6722.6815776859366</v>
      </c>
      <c r="V50" s="135">
        <v>0</v>
      </c>
      <c r="W50" s="155">
        <v>815.15941003934449</v>
      </c>
      <c r="X50" s="155">
        <v>533.53623019027998</v>
      </c>
      <c r="Y50" s="155">
        <v>48.297694298156038</v>
      </c>
      <c r="Z50" s="155">
        <v>451.87884364940726</v>
      </c>
      <c r="AA50" s="155">
        <v>132.88776585846509</v>
      </c>
      <c r="AB50" s="155">
        <v>1506.1641042699789</v>
      </c>
      <c r="AC50" s="155">
        <v>72.248165745278939</v>
      </c>
      <c r="AD50" s="155">
        <v>0</v>
      </c>
      <c r="AE50" s="155">
        <v>1002.891401440777</v>
      </c>
      <c r="AF50" s="155">
        <v>0.36217935558931275</v>
      </c>
      <c r="AG50" s="155">
        <v>58.622470715512449</v>
      </c>
      <c r="AH50" s="155">
        <v>11344.729843248724</v>
      </c>
      <c r="AI50" s="155">
        <v>646.20137447406705</v>
      </c>
      <c r="AJ50" s="155">
        <v>-34.058066703954871</v>
      </c>
      <c r="AK50" s="155">
        <v>-711.60551933077431</v>
      </c>
      <c r="AL50" s="155">
        <v>533.53623019027998</v>
      </c>
      <c r="AM50" s="155">
        <v>-58.700817017074549</v>
      </c>
      <c r="AN50" s="155">
        <v>-40.817589958824385</v>
      </c>
      <c r="AO50" s="155">
        <v>-10.409724798598319</v>
      </c>
      <c r="AP50" s="155">
        <v>239.85640329194098</v>
      </c>
      <c r="AQ50" s="155">
        <v>72.248165745278939</v>
      </c>
      <c r="AR50" s="155">
        <v>43.091876164034716</v>
      </c>
      <c r="AS50" s="155">
        <v>7.2377147809106646E-2</v>
      </c>
      <c r="AT50" s="155">
        <v>7.1383021208959119E-2</v>
      </c>
      <c r="AU50" s="155">
        <v>-49.125194550091422</v>
      </c>
      <c r="AV50" s="135">
        <v>630.36090542209627</v>
      </c>
      <c r="AW50" s="155"/>
      <c r="AX50" s="132"/>
      <c r="AY50" s="132"/>
      <c r="AZ50" s="155"/>
      <c r="BA50" s="155"/>
      <c r="BB50" s="132"/>
    </row>
    <row r="51" spans="1:54" ht="16.5" x14ac:dyDescent="0.3">
      <c r="A51" s="165">
        <v>12</v>
      </c>
      <c r="B51" s="165">
        <v>1</v>
      </c>
      <c r="C51" s="166" t="s">
        <v>256</v>
      </c>
      <c r="D51" s="167">
        <v>3</v>
      </c>
      <c r="E51" s="163">
        <v>6410.17</v>
      </c>
      <c r="F51" s="135">
        <v>6064.2185901465946</v>
      </c>
      <c r="G51" s="135">
        <v>0</v>
      </c>
      <c r="H51" s="135">
        <v>1023.4068690845952</v>
      </c>
      <c r="I51" s="135">
        <v>0</v>
      </c>
      <c r="J51" s="135">
        <v>143.23291893974729</v>
      </c>
      <c r="K51" s="135">
        <v>148.91559350220044</v>
      </c>
      <c r="L51" s="135">
        <v>0</v>
      </c>
      <c r="M51" s="135">
        <v>1274.2179556566866</v>
      </c>
      <c r="N51" s="135">
        <v>0</v>
      </c>
      <c r="O51" s="135">
        <v>-39.655207272194026</v>
      </c>
      <c r="P51" s="135">
        <v>1555.9070497394873</v>
      </c>
      <c r="Q51" s="135">
        <v>0.2902091520193692</v>
      </c>
      <c r="R51" s="135">
        <v>292.01329917927291</v>
      </c>
      <c r="S51" s="135">
        <v>10462.54727812841</v>
      </c>
      <c r="T51" s="135"/>
      <c r="U51" s="135">
        <v>6712.7497211462414</v>
      </c>
      <c r="V51" s="135">
        <v>0</v>
      </c>
      <c r="W51" s="135">
        <v>280.53359115280875</v>
      </c>
      <c r="X51" s="135">
        <v>527.45099168236277</v>
      </c>
      <c r="Y51" s="135">
        <v>86.087933705346359</v>
      </c>
      <c r="Z51" s="135">
        <v>177.17942324495206</v>
      </c>
      <c r="AA51" s="135">
        <v>0</v>
      </c>
      <c r="AB51" s="135">
        <v>1566.918115813023</v>
      </c>
      <c r="AC51" s="135">
        <v>44.212819317343488</v>
      </c>
      <c r="AD51" s="135">
        <v>0</v>
      </c>
      <c r="AE51" s="135">
        <v>1698.2127913283778</v>
      </c>
      <c r="AF51" s="135">
        <v>0.3608281839639198</v>
      </c>
      <c r="AG51" s="135">
        <v>232.676875964288</v>
      </c>
      <c r="AH51" s="135">
        <v>11326.383091538708</v>
      </c>
      <c r="AI51" s="135">
        <v>648.53113099964685</v>
      </c>
      <c r="AJ51" s="135">
        <v>0</v>
      </c>
      <c r="AK51" s="135">
        <v>-742.87327793178645</v>
      </c>
      <c r="AL51" s="135">
        <v>527.45099168236277</v>
      </c>
      <c r="AM51" s="135">
        <v>-57.144985234400934</v>
      </c>
      <c r="AN51" s="135">
        <v>28.263829742751625</v>
      </c>
      <c r="AO51" s="135">
        <v>0</v>
      </c>
      <c r="AP51" s="135">
        <v>292.70016015633632</v>
      </c>
      <c r="AQ51" s="135">
        <v>44.212819317343488</v>
      </c>
      <c r="AR51" s="135">
        <v>39.655207272194026</v>
      </c>
      <c r="AS51" s="135">
        <v>142.30574158889044</v>
      </c>
      <c r="AT51" s="135">
        <v>7.0619031944550603E-2</v>
      </c>
      <c r="AU51" s="135">
        <v>-59.336423214984904</v>
      </c>
      <c r="AV51" s="135">
        <v>863.83581692386656</v>
      </c>
      <c r="AW51" s="135"/>
      <c r="AX51" s="132"/>
      <c r="AY51" s="132"/>
      <c r="AZ51" s="155"/>
      <c r="BA51" s="155"/>
      <c r="BB51" s="132"/>
    </row>
    <row r="52" spans="1:54" ht="16.5" x14ac:dyDescent="0.3">
      <c r="A52" s="165">
        <v>13</v>
      </c>
      <c r="B52" s="165">
        <v>1</v>
      </c>
      <c r="C52" s="166" t="s">
        <v>258</v>
      </c>
      <c r="D52" s="167">
        <v>2</v>
      </c>
      <c r="E52" s="163">
        <v>3035.96</v>
      </c>
      <c r="F52" s="135">
        <v>5968.1717018669542</v>
      </c>
      <c r="G52" s="135">
        <v>0</v>
      </c>
      <c r="H52" s="135">
        <v>1149.657828166379</v>
      </c>
      <c r="I52" s="135">
        <v>0</v>
      </c>
      <c r="J52" s="135">
        <v>129.39702433497146</v>
      </c>
      <c r="K52" s="135">
        <v>1973.2724146563191</v>
      </c>
      <c r="L52" s="135">
        <v>184.6571351401204</v>
      </c>
      <c r="M52" s="135">
        <v>1122.1153438363242</v>
      </c>
      <c r="N52" s="135">
        <v>0</v>
      </c>
      <c r="O52" s="135">
        <v>-48.669541100673264</v>
      </c>
      <c r="P52" s="135">
        <v>1454.7615739337805</v>
      </c>
      <c r="Q52" s="135">
        <v>0.28561311743237722</v>
      </c>
      <c r="R52" s="135">
        <v>104.29889063097011</v>
      </c>
      <c r="S52" s="135">
        <v>12037.947984582575</v>
      </c>
      <c r="T52" s="135"/>
      <c r="U52" s="135">
        <v>6587.6332362745225</v>
      </c>
      <c r="V52" s="135">
        <v>0</v>
      </c>
      <c r="W52" s="135">
        <v>417.69777269792752</v>
      </c>
      <c r="X52" s="135">
        <v>551.13548594184374</v>
      </c>
      <c r="Y52" s="135">
        <v>74.730052438108544</v>
      </c>
      <c r="Z52" s="135">
        <v>2270.570646517082</v>
      </c>
      <c r="AA52" s="135">
        <v>368.48574091885268</v>
      </c>
      <c r="AB52" s="135">
        <v>1486.6012897735832</v>
      </c>
      <c r="AC52" s="135">
        <v>160.31860683952303</v>
      </c>
      <c r="AD52" s="135">
        <v>0</v>
      </c>
      <c r="AE52" s="135">
        <v>1457.2870325784922</v>
      </c>
      <c r="AF52" s="135">
        <v>0.35552181188157944</v>
      </c>
      <c r="AG52" s="135">
        <v>50.85978734897693</v>
      </c>
      <c r="AH52" s="135">
        <v>13425.675173140793</v>
      </c>
      <c r="AI52" s="135">
        <v>619.46153440756825</v>
      </c>
      <c r="AJ52" s="135">
        <v>0</v>
      </c>
      <c r="AK52" s="135">
        <v>-731.9600554684514</v>
      </c>
      <c r="AL52" s="135">
        <v>551.13548594184374</v>
      </c>
      <c r="AM52" s="135">
        <v>-54.666971896862918</v>
      </c>
      <c r="AN52" s="135">
        <v>297.29823186076283</v>
      </c>
      <c r="AO52" s="135">
        <v>183.82860577873228</v>
      </c>
      <c r="AP52" s="135">
        <v>364.48594593725898</v>
      </c>
      <c r="AQ52" s="135">
        <v>160.31860683952303</v>
      </c>
      <c r="AR52" s="135">
        <v>48.669541100673264</v>
      </c>
      <c r="AS52" s="135">
        <v>2.5254586447117617</v>
      </c>
      <c r="AT52" s="135">
        <v>6.9908694449202224E-2</v>
      </c>
      <c r="AU52" s="135">
        <v>-53.439103281993177</v>
      </c>
      <c r="AV52" s="135">
        <v>1387.7271890492063</v>
      </c>
      <c r="AW52" s="135"/>
      <c r="AX52" s="132"/>
      <c r="AY52" s="132"/>
      <c r="AZ52" s="155"/>
      <c r="BA52" s="155"/>
      <c r="BB52" s="132"/>
    </row>
    <row r="53" spans="1:54" ht="16.5" x14ac:dyDescent="0.3">
      <c r="A53" s="165">
        <v>14</v>
      </c>
      <c r="B53" s="165">
        <v>1</v>
      </c>
      <c r="C53" s="166" t="s">
        <v>260</v>
      </c>
      <c r="D53" s="167">
        <v>3</v>
      </c>
      <c r="E53" s="163">
        <v>2997.43</v>
      </c>
      <c r="F53" s="135">
        <v>6037.6907684249518</v>
      </c>
      <c r="G53" s="135">
        <v>0</v>
      </c>
      <c r="H53" s="135">
        <v>963.06626676853182</v>
      </c>
      <c r="I53" s="135">
        <v>0</v>
      </c>
      <c r="J53" s="135">
        <v>147.1282598759604</v>
      </c>
      <c r="K53" s="135">
        <v>1125.3868614112757</v>
      </c>
      <c r="L53" s="135">
        <v>147.82754342887074</v>
      </c>
      <c r="M53" s="135">
        <v>1394.4570395910791</v>
      </c>
      <c r="N53" s="135">
        <v>0</v>
      </c>
      <c r="O53" s="135">
        <v>-48.86046379731971</v>
      </c>
      <c r="P53" s="135">
        <v>1361.6959922333467</v>
      </c>
      <c r="Q53" s="135">
        <v>0.2889408593361647</v>
      </c>
      <c r="R53" s="135">
        <v>353.18641969954263</v>
      </c>
      <c r="S53" s="135">
        <v>11481.867628495576</v>
      </c>
      <c r="T53" s="135"/>
      <c r="U53" s="135">
        <v>6673.1326503037608</v>
      </c>
      <c r="V53" s="135">
        <v>0</v>
      </c>
      <c r="W53" s="135">
        <v>221.6115572340305</v>
      </c>
      <c r="X53" s="135">
        <v>542.16457691870892</v>
      </c>
      <c r="Y53" s="135">
        <v>90.093343297424795</v>
      </c>
      <c r="Z53" s="135">
        <v>1225.1083493402759</v>
      </c>
      <c r="AA53" s="135">
        <v>228.19136059891309</v>
      </c>
      <c r="AB53" s="135">
        <v>1695.7448920279926</v>
      </c>
      <c r="AC53" s="135">
        <v>109.00763319394444</v>
      </c>
      <c r="AD53" s="135">
        <v>0</v>
      </c>
      <c r="AE53" s="135">
        <v>1402.5022307910444</v>
      </c>
      <c r="AF53" s="135">
        <v>0.36013851866432245</v>
      </c>
      <c r="AG53" s="135">
        <v>305.80278772148142</v>
      </c>
      <c r="AH53" s="135">
        <v>12493.719519946242</v>
      </c>
      <c r="AI53" s="135">
        <v>635.441881878809</v>
      </c>
      <c r="AJ53" s="135">
        <v>0</v>
      </c>
      <c r="AK53" s="135">
        <v>-741.45470953450126</v>
      </c>
      <c r="AL53" s="135">
        <v>542.16457691870892</v>
      </c>
      <c r="AM53" s="135">
        <v>-57.034916578535601</v>
      </c>
      <c r="AN53" s="135">
        <v>99.721487929000205</v>
      </c>
      <c r="AO53" s="135">
        <v>80.363817170042353</v>
      </c>
      <c r="AP53" s="135">
        <v>301.28785243691345</v>
      </c>
      <c r="AQ53" s="135">
        <v>109.00763319394444</v>
      </c>
      <c r="AR53" s="135">
        <v>48.86046379731971</v>
      </c>
      <c r="AS53" s="135">
        <v>40.806238557697725</v>
      </c>
      <c r="AT53" s="135">
        <v>7.1197659328157747E-2</v>
      </c>
      <c r="AU53" s="135">
        <v>-47.383631978061203</v>
      </c>
      <c r="AV53" s="135">
        <v>1011.8518997909209</v>
      </c>
      <c r="AW53" s="135"/>
      <c r="AX53" s="132"/>
      <c r="AY53" s="132"/>
      <c r="AZ53" s="155"/>
      <c r="BA53" s="155"/>
      <c r="BB53" s="132"/>
    </row>
    <row r="54" spans="1:54" ht="16.5" x14ac:dyDescent="0.3">
      <c r="A54" s="165">
        <v>15</v>
      </c>
      <c r="B54" s="165">
        <v>1</v>
      </c>
      <c r="C54" s="166" t="s">
        <v>262</v>
      </c>
      <c r="D54" s="167">
        <v>3</v>
      </c>
      <c r="E54" s="163">
        <v>4908.5599999999995</v>
      </c>
      <c r="F54" s="135">
        <v>6114.4797007676389</v>
      </c>
      <c r="G54" s="135">
        <v>12.008913000961586</v>
      </c>
      <c r="H54" s="135">
        <v>476.32344720243822</v>
      </c>
      <c r="I54" s="135">
        <v>0</v>
      </c>
      <c r="J54" s="135">
        <v>180.54335691119189</v>
      </c>
      <c r="K54" s="135">
        <v>289.14575354075328</v>
      </c>
      <c r="L54" s="135">
        <v>0</v>
      </c>
      <c r="M54" s="135">
        <v>1154.4632377608407</v>
      </c>
      <c r="N54" s="135">
        <v>0</v>
      </c>
      <c r="O54" s="135">
        <v>-42.859745016868494</v>
      </c>
      <c r="P54" s="135">
        <v>1556.6395266694453</v>
      </c>
      <c r="Q54" s="135">
        <v>68.600622178398567</v>
      </c>
      <c r="R54" s="135">
        <v>389.91425794937823</v>
      </c>
      <c r="S54" s="135">
        <v>10199.259070964179</v>
      </c>
      <c r="T54" s="135"/>
      <c r="U54" s="135">
        <v>6773.4846798246326</v>
      </c>
      <c r="V54" s="135">
        <v>0</v>
      </c>
      <c r="W54" s="135">
        <v>0</v>
      </c>
      <c r="X54" s="135">
        <v>274.5629777276485</v>
      </c>
      <c r="Y54" s="135">
        <v>106.7604348322115</v>
      </c>
      <c r="Z54" s="135">
        <v>374.85114378183516</v>
      </c>
      <c r="AA54" s="135">
        <v>0</v>
      </c>
      <c r="AB54" s="135">
        <v>1397.7211266711372</v>
      </c>
      <c r="AC54" s="135">
        <v>67.092414513589986</v>
      </c>
      <c r="AD54" s="135">
        <v>0</v>
      </c>
      <c r="AE54" s="135">
        <v>1676.1311939690199</v>
      </c>
      <c r="AF54" s="135">
        <v>79.290975357334958</v>
      </c>
      <c r="AG54" s="135">
        <v>340.22214050556579</v>
      </c>
      <c r="AH54" s="135">
        <v>11090.117087182976</v>
      </c>
      <c r="AI54" s="135">
        <v>659.00497905699376</v>
      </c>
      <c r="AJ54" s="135">
        <v>-12.008913000961586</v>
      </c>
      <c r="AK54" s="135">
        <v>-476.32344720243822</v>
      </c>
      <c r="AL54" s="135">
        <v>274.5629777276485</v>
      </c>
      <c r="AM54" s="135">
        <v>-73.782922078980391</v>
      </c>
      <c r="AN54" s="135">
        <v>85.705390241081886</v>
      </c>
      <c r="AO54" s="135">
        <v>0</v>
      </c>
      <c r="AP54" s="135">
        <v>243.25788891029651</v>
      </c>
      <c r="AQ54" s="135">
        <v>67.092414513589986</v>
      </c>
      <c r="AR54" s="135">
        <v>42.859745016868494</v>
      </c>
      <c r="AS54" s="135">
        <v>119.4916672995746</v>
      </c>
      <c r="AT54" s="135">
        <v>10.690353178936391</v>
      </c>
      <c r="AU54" s="135">
        <v>-49.692117443812435</v>
      </c>
      <c r="AV54" s="135">
        <v>890.85802495433961</v>
      </c>
      <c r="AW54" s="135"/>
      <c r="AX54" s="164"/>
      <c r="AY54" s="132"/>
      <c r="AZ54" s="135"/>
      <c r="BA54" s="135"/>
      <c r="BB54" s="132"/>
    </row>
    <row r="55" spans="1:54" ht="16.5" x14ac:dyDescent="0.3">
      <c r="A55" s="165">
        <v>16</v>
      </c>
      <c r="B55" s="165">
        <v>1</v>
      </c>
      <c r="C55" s="166" t="s">
        <v>264</v>
      </c>
      <c r="D55" s="167">
        <v>3</v>
      </c>
      <c r="E55" s="163">
        <v>5097.1000000000004</v>
      </c>
      <c r="F55" s="135">
        <v>5980.0456573345618</v>
      </c>
      <c r="G55" s="135">
        <v>51.718694944183945</v>
      </c>
      <c r="H55" s="135">
        <v>964.52253045849591</v>
      </c>
      <c r="I55" s="135">
        <v>0</v>
      </c>
      <c r="J55" s="135">
        <v>143.37685939063388</v>
      </c>
      <c r="K55" s="135">
        <v>630.37450903454896</v>
      </c>
      <c r="L55" s="135">
        <v>96.013218889172265</v>
      </c>
      <c r="M55" s="135">
        <v>717.94604906997608</v>
      </c>
      <c r="N55" s="135">
        <v>0</v>
      </c>
      <c r="O55" s="135">
        <v>-33.887657687704774</v>
      </c>
      <c r="P55" s="135">
        <v>2302.8012869278609</v>
      </c>
      <c r="Q55" s="135">
        <v>0.28618233897706535</v>
      </c>
      <c r="R55" s="135">
        <v>379.63511408447937</v>
      </c>
      <c r="S55" s="135">
        <v>11232.832444785186</v>
      </c>
      <c r="T55" s="135"/>
      <c r="U55" s="135">
        <v>6606.8486001844185</v>
      </c>
      <c r="V55" s="135">
        <v>0</v>
      </c>
      <c r="W55" s="135">
        <v>282.15438386533521</v>
      </c>
      <c r="X55" s="135">
        <v>527.61023297577481</v>
      </c>
      <c r="Y55" s="135">
        <v>84.716729120480267</v>
      </c>
      <c r="Z55" s="135">
        <v>601.67021117657862</v>
      </c>
      <c r="AA55" s="135">
        <v>166.41383728002197</v>
      </c>
      <c r="AB55" s="135">
        <v>908.64129805167693</v>
      </c>
      <c r="AC55" s="135">
        <v>63.685914442562151</v>
      </c>
      <c r="AD55" s="135">
        <v>3.2929371603460789</v>
      </c>
      <c r="AE55" s="135">
        <v>2360.81261432669</v>
      </c>
      <c r="AF55" s="135">
        <v>0.35655961232857897</v>
      </c>
      <c r="AG55" s="135">
        <v>325.59675894135876</v>
      </c>
      <c r="AH55" s="135">
        <v>11931.800077137572</v>
      </c>
      <c r="AI55" s="135">
        <v>626.80294284985666</v>
      </c>
      <c r="AJ55" s="135">
        <v>-51.718694944183945</v>
      </c>
      <c r="AK55" s="135">
        <v>-682.36814659316065</v>
      </c>
      <c r="AL55" s="135">
        <v>527.61023297577481</v>
      </c>
      <c r="AM55" s="135">
        <v>-58.660130270153616</v>
      </c>
      <c r="AN55" s="135">
        <v>-28.704297857970346</v>
      </c>
      <c r="AO55" s="135">
        <v>70.400618390849701</v>
      </c>
      <c r="AP55" s="135">
        <v>190.69524898170084</v>
      </c>
      <c r="AQ55" s="135">
        <v>63.685914442562151</v>
      </c>
      <c r="AR55" s="135">
        <v>37.180594848050852</v>
      </c>
      <c r="AS55" s="135">
        <v>58.011327398829053</v>
      </c>
      <c r="AT55" s="135">
        <v>7.0377273351513614E-2</v>
      </c>
      <c r="AU55" s="135">
        <v>-54.038355143120612</v>
      </c>
      <c r="AV55" s="135">
        <v>698.96764062634998</v>
      </c>
      <c r="AW55" s="135"/>
      <c r="AX55" s="164"/>
      <c r="AY55" s="132"/>
      <c r="AZ55" s="135"/>
      <c r="BA55" s="135"/>
      <c r="BB55" s="132"/>
    </row>
    <row r="56" spans="1:54" ht="16.5" x14ac:dyDescent="0.3">
      <c r="A56" s="165">
        <v>22</v>
      </c>
      <c r="B56" s="165">
        <v>1</v>
      </c>
      <c r="C56" s="166" t="s">
        <v>266</v>
      </c>
      <c r="D56" s="167">
        <v>4</v>
      </c>
      <c r="E56" s="163">
        <v>2862.5</v>
      </c>
      <c r="F56" s="135">
        <v>6030.1658550218344</v>
      </c>
      <c r="G56" s="135">
        <v>9.6270253275109177</v>
      </c>
      <c r="H56" s="135">
        <v>515.27145851528383</v>
      </c>
      <c r="I56" s="135">
        <v>0</v>
      </c>
      <c r="J56" s="135">
        <v>134.45515458515283</v>
      </c>
      <c r="K56" s="135">
        <v>679.19845240174675</v>
      </c>
      <c r="L56" s="135">
        <v>99.960257816593867</v>
      </c>
      <c r="M56" s="135">
        <v>1144.5240812827471</v>
      </c>
      <c r="N56" s="135">
        <v>0</v>
      </c>
      <c r="O56" s="135">
        <v>-52.84739563318778</v>
      </c>
      <c r="P56" s="135">
        <v>673.47151580786033</v>
      </c>
      <c r="Q56" s="135">
        <v>140.12286113537118</v>
      </c>
      <c r="R56" s="135">
        <v>106.52377641921399</v>
      </c>
      <c r="S56" s="135">
        <v>9480.473042680127</v>
      </c>
      <c r="T56" s="135"/>
      <c r="U56" s="135">
        <v>6668.5802620087334</v>
      </c>
      <c r="V56" s="135">
        <v>0</v>
      </c>
      <c r="W56" s="135">
        <v>0</v>
      </c>
      <c r="X56" s="135">
        <v>243.25634578530023</v>
      </c>
      <c r="Y56" s="135">
        <v>105.85048034934498</v>
      </c>
      <c r="Z56" s="135">
        <v>512.58793435262612</v>
      </c>
      <c r="AA56" s="135">
        <v>92.22345502183407</v>
      </c>
      <c r="AB56" s="135">
        <v>1347.4723509890848</v>
      </c>
      <c r="AC56" s="135">
        <v>67.610385003650023</v>
      </c>
      <c r="AD56" s="135">
        <v>0</v>
      </c>
      <c r="AE56" s="135">
        <v>795.18933888978154</v>
      </c>
      <c r="AF56" s="135">
        <v>143.16277379912663</v>
      </c>
      <c r="AG56" s="135">
        <v>59.011259388646295</v>
      </c>
      <c r="AH56" s="135">
        <v>10034.944585588126</v>
      </c>
      <c r="AI56" s="135">
        <v>638.41440698689894</v>
      </c>
      <c r="AJ56" s="135">
        <v>-9.6270253275109177</v>
      </c>
      <c r="AK56" s="135">
        <v>-515.27145851528383</v>
      </c>
      <c r="AL56" s="135">
        <v>243.25634578530023</v>
      </c>
      <c r="AM56" s="135">
        <v>-28.604674235807849</v>
      </c>
      <c r="AN56" s="135">
        <v>-166.61051804912063</v>
      </c>
      <c r="AO56" s="135">
        <v>-7.7368027947597966</v>
      </c>
      <c r="AP56" s="135">
        <v>202.94826970633767</v>
      </c>
      <c r="AQ56" s="135">
        <v>67.610385003650023</v>
      </c>
      <c r="AR56" s="135">
        <v>52.84739563318778</v>
      </c>
      <c r="AS56" s="135">
        <v>121.71782308192121</v>
      </c>
      <c r="AT56" s="135">
        <v>3.0399126637554446</v>
      </c>
      <c r="AU56" s="135">
        <v>-47.512517030567693</v>
      </c>
      <c r="AV56" s="135">
        <v>554.47154892007018</v>
      </c>
      <c r="AW56" s="135"/>
      <c r="AX56" s="164"/>
      <c r="AY56" s="132"/>
      <c r="AZ56" s="135"/>
      <c r="BA56" s="135"/>
      <c r="BB56" s="132"/>
    </row>
    <row r="57" spans="1:54" ht="16.5" x14ac:dyDescent="0.3">
      <c r="A57" s="165">
        <v>23</v>
      </c>
      <c r="B57" s="165">
        <v>1</v>
      </c>
      <c r="C57" s="166" t="s">
        <v>268</v>
      </c>
      <c r="D57" s="167">
        <v>6</v>
      </c>
      <c r="E57" s="163">
        <v>914.6400000000001</v>
      </c>
      <c r="F57" s="135">
        <v>6014.9336132248745</v>
      </c>
      <c r="G57" s="135">
        <v>36.649184378553301</v>
      </c>
      <c r="H57" s="135">
        <v>1352.8051583136532</v>
      </c>
      <c r="I57" s="135">
        <v>0</v>
      </c>
      <c r="J57" s="135">
        <v>98.767416688533189</v>
      </c>
      <c r="K57" s="135">
        <v>583.56333639464697</v>
      </c>
      <c r="L57" s="135">
        <v>98.971919006385008</v>
      </c>
      <c r="M57" s="135">
        <v>622.59728419872295</v>
      </c>
      <c r="N57" s="135">
        <v>0</v>
      </c>
      <c r="O57" s="135">
        <v>-70.712269308143078</v>
      </c>
      <c r="P57" s="135">
        <v>1264.7827742999586</v>
      </c>
      <c r="Q57" s="135">
        <v>208.96828260299131</v>
      </c>
      <c r="R57" s="135">
        <v>114.38523353450537</v>
      </c>
      <c r="S57" s="135">
        <v>10325.71193333468</v>
      </c>
      <c r="T57" s="135"/>
      <c r="U57" s="135">
        <v>6657.34715297822</v>
      </c>
      <c r="V57" s="135">
        <v>0</v>
      </c>
      <c r="W57" s="135">
        <v>1072.4352204145894</v>
      </c>
      <c r="X57" s="135">
        <v>0</v>
      </c>
      <c r="Y57" s="135">
        <v>29.069666754132768</v>
      </c>
      <c r="Z57" s="135">
        <v>709.94733855133211</v>
      </c>
      <c r="AA57" s="135">
        <v>88.678408991515781</v>
      </c>
      <c r="AB57" s="135">
        <v>750.18472188481974</v>
      </c>
      <c r="AC57" s="135">
        <v>81.34139889439912</v>
      </c>
      <c r="AD57" s="135">
        <v>0</v>
      </c>
      <c r="AE57" s="135">
        <v>1372.8013086410265</v>
      </c>
      <c r="AF57" s="135">
        <v>247.52650223038572</v>
      </c>
      <c r="AG57" s="135">
        <v>67.282504591970607</v>
      </c>
      <c r="AH57" s="135">
        <v>11076.614223932393</v>
      </c>
      <c r="AI57" s="135">
        <v>642.4135397533455</v>
      </c>
      <c r="AJ57" s="135">
        <v>-36.649184378553301</v>
      </c>
      <c r="AK57" s="135">
        <v>-280.36993789906387</v>
      </c>
      <c r="AL57" s="135">
        <v>0</v>
      </c>
      <c r="AM57" s="135">
        <v>-69.69774993440042</v>
      </c>
      <c r="AN57" s="135">
        <v>126.38400215668514</v>
      </c>
      <c r="AO57" s="135">
        <v>-10.293510014869227</v>
      </c>
      <c r="AP57" s="135">
        <v>127.58743768609679</v>
      </c>
      <c r="AQ57" s="135">
        <v>81.34139889439912</v>
      </c>
      <c r="AR57" s="135">
        <v>70.712269308143078</v>
      </c>
      <c r="AS57" s="135">
        <v>108.01853434106783</v>
      </c>
      <c r="AT57" s="135">
        <v>38.558219627394408</v>
      </c>
      <c r="AU57" s="135">
        <v>-47.102728942534767</v>
      </c>
      <c r="AV57" s="135">
        <v>750.90229571153691</v>
      </c>
      <c r="AW57" s="135"/>
      <c r="AX57" s="164"/>
      <c r="AY57" s="132"/>
      <c r="AZ57" s="135"/>
      <c r="BA57" s="135"/>
      <c r="BB57" s="132"/>
    </row>
    <row r="58" spans="1:54" ht="16.5" x14ac:dyDescent="0.3">
      <c r="A58" s="165">
        <v>25</v>
      </c>
      <c r="B58" s="165">
        <v>1</v>
      </c>
      <c r="C58" s="166" t="s">
        <v>270</v>
      </c>
      <c r="D58" s="167">
        <v>6</v>
      </c>
      <c r="E58" s="163">
        <v>64.12</v>
      </c>
      <c r="F58" s="135">
        <v>5442.3456019962568</v>
      </c>
      <c r="G58" s="135">
        <v>198.54553961322517</v>
      </c>
      <c r="H58" s="135">
        <v>0</v>
      </c>
      <c r="I58" s="135">
        <v>0</v>
      </c>
      <c r="J58" s="135">
        <v>168.58109794135993</v>
      </c>
      <c r="K58" s="135">
        <v>2655</v>
      </c>
      <c r="L58" s="135">
        <v>0</v>
      </c>
      <c r="M58" s="135">
        <v>2421.5363707548345</v>
      </c>
      <c r="N58" s="135">
        <v>0</v>
      </c>
      <c r="O58" s="135">
        <v>-27.623206487835308</v>
      </c>
      <c r="P58" s="135">
        <v>326.83601283308082</v>
      </c>
      <c r="Q58" s="135">
        <v>2497.2568621334995</v>
      </c>
      <c r="R58" s="135">
        <v>74.053805364940729</v>
      </c>
      <c r="S58" s="135">
        <v>13756.532084149363</v>
      </c>
      <c r="T58" s="135"/>
      <c r="U58" s="135">
        <v>5972.8165938864622</v>
      </c>
      <c r="V58" s="135">
        <v>0</v>
      </c>
      <c r="W58" s="135">
        <v>0</v>
      </c>
      <c r="X58" s="135">
        <v>0</v>
      </c>
      <c r="Y58" s="135">
        <v>94.806612601372422</v>
      </c>
      <c r="Z58" s="135">
        <v>3010.6863693075479</v>
      </c>
      <c r="AA58" s="135">
        <v>0</v>
      </c>
      <c r="AB58" s="135">
        <v>2668.7448982327815</v>
      </c>
      <c r="AC58" s="135">
        <v>308.21323387304307</v>
      </c>
      <c r="AD58" s="135">
        <v>5.9822208359326252</v>
      </c>
      <c r="AE58" s="135">
        <v>325.7056478923447</v>
      </c>
      <c r="AF58" s="135">
        <v>2556.9064682421117</v>
      </c>
      <c r="AG58" s="135">
        <v>61.552245789145346</v>
      </c>
      <c r="AH58" s="135">
        <v>15005.414290660743</v>
      </c>
      <c r="AI58" s="135">
        <v>530.47099189020537</v>
      </c>
      <c r="AJ58" s="135">
        <v>-198.54553961322517</v>
      </c>
      <c r="AK58" s="135">
        <v>0</v>
      </c>
      <c r="AL58" s="135">
        <v>0</v>
      </c>
      <c r="AM58" s="135">
        <v>-73.774485339987507</v>
      </c>
      <c r="AN58" s="135">
        <v>355.68636930754792</v>
      </c>
      <c r="AO58" s="135">
        <v>0</v>
      </c>
      <c r="AP58" s="135">
        <v>247.20852747794697</v>
      </c>
      <c r="AQ58" s="135">
        <v>308.21323387304307</v>
      </c>
      <c r="AR58" s="135">
        <v>33.605427323767934</v>
      </c>
      <c r="AS58" s="135">
        <v>-1.1303649407361149</v>
      </c>
      <c r="AT58" s="135">
        <v>59.649606108612261</v>
      </c>
      <c r="AU58" s="135">
        <v>-12.501559575795383</v>
      </c>
      <c r="AV58" s="135">
        <v>1248.8822126915279</v>
      </c>
      <c r="AW58" s="135"/>
      <c r="AX58" s="164"/>
      <c r="AY58" s="132"/>
      <c r="AZ58" s="135"/>
      <c r="BA58" s="135"/>
      <c r="BB58" s="132"/>
    </row>
    <row r="59" spans="1:54" ht="16.5" x14ac:dyDescent="0.3">
      <c r="A59" s="165">
        <v>31</v>
      </c>
      <c r="B59" s="165">
        <v>1</v>
      </c>
      <c r="C59" s="166" t="s">
        <v>272</v>
      </c>
      <c r="D59" s="167">
        <v>4</v>
      </c>
      <c r="E59" s="163">
        <v>5095.26</v>
      </c>
      <c r="F59" s="135">
        <v>5986.3575008929865</v>
      </c>
      <c r="G59" s="135">
        <v>0.68514658722027921</v>
      </c>
      <c r="H59" s="135">
        <v>614.88272237334309</v>
      </c>
      <c r="I59" s="135">
        <v>0</v>
      </c>
      <c r="J59" s="135">
        <v>128.66543218599244</v>
      </c>
      <c r="K59" s="135">
        <v>959.43120665088725</v>
      </c>
      <c r="L59" s="135">
        <v>0</v>
      </c>
      <c r="M59" s="135">
        <v>1222.6435490006236</v>
      </c>
      <c r="N59" s="135">
        <v>0</v>
      </c>
      <c r="O59" s="135">
        <v>-48.179718012427237</v>
      </c>
      <c r="P59" s="135">
        <v>1121.1388051640151</v>
      </c>
      <c r="Q59" s="135">
        <v>152.74149896178017</v>
      </c>
      <c r="R59" s="135">
        <v>142.95518187491905</v>
      </c>
      <c r="S59" s="135">
        <v>10281.321325679342</v>
      </c>
      <c r="T59" s="135"/>
      <c r="U59" s="135">
        <v>6617.0240576535834</v>
      </c>
      <c r="V59" s="135">
        <v>0</v>
      </c>
      <c r="W59" s="135">
        <v>90.401153228687051</v>
      </c>
      <c r="X59" s="135">
        <v>248.25446108407775</v>
      </c>
      <c r="Y59" s="135">
        <v>98.574902949015353</v>
      </c>
      <c r="Z59" s="135">
        <v>1021.0169994566676</v>
      </c>
      <c r="AA59" s="135">
        <v>0</v>
      </c>
      <c r="AB59" s="135">
        <v>1519.8540033909039</v>
      </c>
      <c r="AC59" s="135">
        <v>92.542679259859952</v>
      </c>
      <c r="AD59" s="135">
        <v>0</v>
      </c>
      <c r="AE59" s="135">
        <v>1185.4946092215116</v>
      </c>
      <c r="AF59" s="135">
        <v>162.92583695434578</v>
      </c>
      <c r="AG59" s="135">
        <v>95.323488889673939</v>
      </c>
      <c r="AH59" s="135">
        <v>11131.412192088324</v>
      </c>
      <c r="AI59" s="135">
        <v>630.6665567605969</v>
      </c>
      <c r="AJ59" s="135">
        <v>-0.68514658722027921</v>
      </c>
      <c r="AK59" s="135">
        <v>-524.48156914465608</v>
      </c>
      <c r="AL59" s="135">
        <v>248.25446108407775</v>
      </c>
      <c r="AM59" s="135">
        <v>-30.09052923697709</v>
      </c>
      <c r="AN59" s="135">
        <v>61.585792805780329</v>
      </c>
      <c r="AO59" s="135">
        <v>0</v>
      </c>
      <c r="AP59" s="135">
        <v>297.21045439028035</v>
      </c>
      <c r="AQ59" s="135">
        <v>92.542679259859952</v>
      </c>
      <c r="AR59" s="135">
        <v>48.179718012427237</v>
      </c>
      <c r="AS59" s="135">
        <v>64.355804057496471</v>
      </c>
      <c r="AT59" s="135">
        <v>10.184337992565617</v>
      </c>
      <c r="AU59" s="135">
        <v>-47.63169298524511</v>
      </c>
      <c r="AV59" s="135">
        <v>850.09087525178529</v>
      </c>
      <c r="AW59" s="135"/>
      <c r="AX59" s="132"/>
      <c r="AY59" s="132"/>
      <c r="AZ59" s="155"/>
      <c r="BA59" s="155"/>
      <c r="BB59" s="132"/>
    </row>
    <row r="60" spans="1:54" ht="16.5" x14ac:dyDescent="0.3">
      <c r="A60" s="165">
        <v>32</v>
      </c>
      <c r="B60" s="165">
        <v>1</v>
      </c>
      <c r="C60" s="166" t="s">
        <v>274</v>
      </c>
      <c r="D60" s="167">
        <v>6</v>
      </c>
      <c r="E60" s="163">
        <v>611.96</v>
      </c>
      <c r="F60" s="135">
        <v>6056.0532060919004</v>
      </c>
      <c r="G60" s="135">
        <v>48.735930452970777</v>
      </c>
      <c r="H60" s="135">
        <v>0</v>
      </c>
      <c r="I60" s="135">
        <v>0</v>
      </c>
      <c r="J60" s="135">
        <v>161.85157526635726</v>
      </c>
      <c r="K60" s="135">
        <v>1052.7840545133668</v>
      </c>
      <c r="L60" s="135">
        <v>0</v>
      </c>
      <c r="M60" s="135">
        <v>1378.029505009886</v>
      </c>
      <c r="N60" s="135">
        <v>0</v>
      </c>
      <c r="O60" s="135">
        <v>-69.307846918099216</v>
      </c>
      <c r="P60" s="135">
        <v>1260.3135614839439</v>
      </c>
      <c r="Q60" s="135">
        <v>1062.6249428067192</v>
      </c>
      <c r="R60" s="135">
        <v>112.15483038107065</v>
      </c>
      <c r="S60" s="135">
        <v>11063.239759088114</v>
      </c>
      <c r="T60" s="135"/>
      <c r="U60" s="135">
        <v>6677.8188116870379</v>
      </c>
      <c r="V60" s="135">
        <v>0</v>
      </c>
      <c r="W60" s="135">
        <v>0</v>
      </c>
      <c r="X60" s="135">
        <v>0</v>
      </c>
      <c r="Y60" s="135">
        <v>105.99712399503235</v>
      </c>
      <c r="Z60" s="135">
        <v>1260.3479138634455</v>
      </c>
      <c r="AA60" s="135">
        <v>0</v>
      </c>
      <c r="AB60" s="135">
        <v>1688.3578327472937</v>
      </c>
      <c r="AC60" s="135">
        <v>114.15934692755791</v>
      </c>
      <c r="AD60" s="135">
        <v>0</v>
      </c>
      <c r="AE60" s="135">
        <v>1387.9150119923802</v>
      </c>
      <c r="AF60" s="135">
        <v>1079.8342200797438</v>
      </c>
      <c r="AG60" s="135">
        <v>62.637770442512583</v>
      </c>
      <c r="AH60" s="135">
        <v>12377.068031735003</v>
      </c>
      <c r="AI60" s="135">
        <v>621.76560559513746</v>
      </c>
      <c r="AJ60" s="135">
        <v>-48.735930452970777</v>
      </c>
      <c r="AK60" s="135">
        <v>0</v>
      </c>
      <c r="AL60" s="135">
        <v>0</v>
      </c>
      <c r="AM60" s="135">
        <v>-55.854451271324905</v>
      </c>
      <c r="AN60" s="135">
        <v>207.5638593500787</v>
      </c>
      <c r="AO60" s="135">
        <v>0</v>
      </c>
      <c r="AP60" s="135">
        <v>310.32832773740779</v>
      </c>
      <c r="AQ60" s="135">
        <v>114.15934692755791</v>
      </c>
      <c r="AR60" s="135">
        <v>69.307846918099216</v>
      </c>
      <c r="AS60" s="135">
        <v>127.6014505084363</v>
      </c>
      <c r="AT60" s="135">
        <v>17.209277273024554</v>
      </c>
      <c r="AU60" s="135">
        <v>-49.51705993855807</v>
      </c>
      <c r="AV60" s="135">
        <v>1313.8282770963876</v>
      </c>
      <c r="AW60" s="135"/>
      <c r="AX60" s="164"/>
      <c r="AY60" s="132"/>
      <c r="AZ60" s="135"/>
      <c r="BA60" s="135"/>
      <c r="BB60" s="132"/>
    </row>
    <row r="61" spans="1:54" ht="16.5" x14ac:dyDescent="0.3">
      <c r="A61" s="165">
        <v>36</v>
      </c>
      <c r="B61" s="165">
        <v>1</v>
      </c>
      <c r="C61" s="166" t="s">
        <v>276</v>
      </c>
      <c r="D61" s="167">
        <v>6</v>
      </c>
      <c r="E61" s="163">
        <v>259.77999999999997</v>
      </c>
      <c r="F61" s="135">
        <v>6024.5521595195942</v>
      </c>
      <c r="G61" s="135">
        <v>171.33763184232814</v>
      </c>
      <c r="H61" s="135">
        <v>80.518053737778132</v>
      </c>
      <c r="I61" s="135">
        <v>0</v>
      </c>
      <c r="J61" s="135">
        <v>137.03298945261378</v>
      </c>
      <c r="K61" s="135">
        <v>2084.6157902840869</v>
      </c>
      <c r="L61" s="135">
        <v>0</v>
      </c>
      <c r="M61" s="135">
        <v>782.24783715821104</v>
      </c>
      <c r="N61" s="135">
        <v>0</v>
      </c>
      <c r="O61" s="135">
        <v>-49.462660712910932</v>
      </c>
      <c r="P61" s="135">
        <v>1298.5404942643777</v>
      </c>
      <c r="Q61" s="135">
        <v>3208.8199630456547</v>
      </c>
      <c r="R61" s="135">
        <v>60.615674801755333</v>
      </c>
      <c r="S61" s="135">
        <v>13798.81793339349</v>
      </c>
      <c r="T61" s="135"/>
      <c r="U61" s="135">
        <v>6657.4640080067757</v>
      </c>
      <c r="V61" s="135">
        <v>0</v>
      </c>
      <c r="W61" s="135">
        <v>0</v>
      </c>
      <c r="X61" s="135">
        <v>0</v>
      </c>
      <c r="Y61" s="135">
        <v>105.67403187312343</v>
      </c>
      <c r="Z61" s="135">
        <v>2370.7110247132196</v>
      </c>
      <c r="AA61" s="135">
        <v>0</v>
      </c>
      <c r="AB61" s="135">
        <v>927.7243685836562</v>
      </c>
      <c r="AC61" s="135">
        <v>142.63967989216496</v>
      </c>
      <c r="AD61" s="135">
        <v>0</v>
      </c>
      <c r="AE61" s="135">
        <v>1629.8908954192009</v>
      </c>
      <c r="AF61" s="135">
        <v>3202.5350994809373</v>
      </c>
      <c r="AG61" s="135">
        <v>46.776734159673573</v>
      </c>
      <c r="AH61" s="135">
        <v>15083.415842128754</v>
      </c>
      <c r="AI61" s="135">
        <v>632.91184848718149</v>
      </c>
      <c r="AJ61" s="135">
        <v>-171.33763184232814</v>
      </c>
      <c r="AK61" s="135">
        <v>-80.518053737778132</v>
      </c>
      <c r="AL61" s="135">
        <v>0</v>
      </c>
      <c r="AM61" s="135">
        <v>-31.358957579490351</v>
      </c>
      <c r="AN61" s="135">
        <v>286.09523442913269</v>
      </c>
      <c r="AO61" s="135">
        <v>0</v>
      </c>
      <c r="AP61" s="135">
        <v>145.47653142544516</v>
      </c>
      <c r="AQ61" s="135">
        <v>142.63967989216496</v>
      </c>
      <c r="AR61" s="135">
        <v>49.462660712910932</v>
      </c>
      <c r="AS61" s="135">
        <v>331.3504011548232</v>
      </c>
      <c r="AT61" s="135">
        <v>-6.2848635647173978</v>
      </c>
      <c r="AU61" s="135">
        <v>-13.838940642081759</v>
      </c>
      <c r="AV61" s="135">
        <v>1284.5979119839276</v>
      </c>
      <c r="AW61" s="135"/>
      <c r="AX61" s="164"/>
      <c r="AY61" s="132"/>
      <c r="AZ61" s="135"/>
      <c r="BA61" s="135"/>
      <c r="BB61" s="132"/>
    </row>
    <row r="62" spans="1:54" ht="16.5" x14ac:dyDescent="0.3">
      <c r="A62" s="165">
        <v>38</v>
      </c>
      <c r="B62" s="165">
        <v>1</v>
      </c>
      <c r="C62" s="166" t="s">
        <v>278</v>
      </c>
      <c r="D62" s="167">
        <v>5</v>
      </c>
      <c r="E62" s="163">
        <v>1375.5900000000001</v>
      </c>
      <c r="F62" s="135">
        <v>5808.0015702353166</v>
      </c>
      <c r="G62" s="135">
        <v>219.99028780377873</v>
      </c>
      <c r="H62" s="135">
        <v>1510.4193255257744</v>
      </c>
      <c r="I62" s="135">
        <v>0</v>
      </c>
      <c r="J62" s="135">
        <v>76.235578915229084</v>
      </c>
      <c r="K62" s="135">
        <v>2582.3833191575977</v>
      </c>
      <c r="L62" s="135">
        <v>0</v>
      </c>
      <c r="M62" s="135">
        <v>949.01937713882774</v>
      </c>
      <c r="N62" s="135">
        <v>0</v>
      </c>
      <c r="O62" s="135">
        <v>-34.23392871422444</v>
      </c>
      <c r="P62" s="135">
        <v>298.26408940371556</v>
      </c>
      <c r="Q62" s="135">
        <v>308.46670156078483</v>
      </c>
      <c r="R62" s="135">
        <v>51.413735197260806</v>
      </c>
      <c r="S62" s="135">
        <v>11769.960056224059</v>
      </c>
      <c r="T62" s="135"/>
      <c r="U62" s="135">
        <v>6400.9399603079401</v>
      </c>
      <c r="V62" s="135">
        <v>0</v>
      </c>
      <c r="W62" s="135">
        <v>1425.6112504452633</v>
      </c>
      <c r="X62" s="135">
        <v>0</v>
      </c>
      <c r="Y62" s="135">
        <v>0</v>
      </c>
      <c r="Z62" s="135">
        <v>2680.0060337745981</v>
      </c>
      <c r="AA62" s="135">
        <v>0</v>
      </c>
      <c r="AB62" s="135">
        <v>1455.2889183945495</v>
      </c>
      <c r="AC62" s="135">
        <v>158.08126625363832</v>
      </c>
      <c r="AD62" s="135">
        <v>1.7881999723754896</v>
      </c>
      <c r="AE62" s="135">
        <v>348.13367842255735</v>
      </c>
      <c r="AF62" s="135">
        <v>352.77307191823138</v>
      </c>
      <c r="AG62" s="135">
        <v>38.072230824591628</v>
      </c>
      <c r="AH62" s="135">
        <v>12860.694610313745</v>
      </c>
      <c r="AI62" s="135">
        <v>592.93839007262341</v>
      </c>
      <c r="AJ62" s="135">
        <v>-219.99028780377873</v>
      </c>
      <c r="AK62" s="135">
        <v>-84.808075080511117</v>
      </c>
      <c r="AL62" s="135">
        <v>0</v>
      </c>
      <c r="AM62" s="135">
        <v>-76.235578915229084</v>
      </c>
      <c r="AN62" s="135">
        <v>97.622714617000383</v>
      </c>
      <c r="AO62" s="135">
        <v>0</v>
      </c>
      <c r="AP62" s="135">
        <v>506.26954125572172</v>
      </c>
      <c r="AQ62" s="135">
        <v>158.08126625363832</v>
      </c>
      <c r="AR62" s="135">
        <v>36.022128686599928</v>
      </c>
      <c r="AS62" s="135">
        <v>49.869589018841793</v>
      </c>
      <c r="AT62" s="135">
        <v>44.306370357446553</v>
      </c>
      <c r="AU62" s="135">
        <v>-13.341504372669178</v>
      </c>
      <c r="AV62" s="135">
        <v>1090.7345608034952</v>
      </c>
      <c r="AW62" s="135"/>
      <c r="AX62" s="164"/>
      <c r="AY62" s="132"/>
      <c r="AZ62" s="135"/>
      <c r="BA62" s="135"/>
      <c r="BB62" s="132"/>
    </row>
    <row r="63" spans="1:54" ht="16.5" x14ac:dyDescent="0.3">
      <c r="A63" s="165">
        <v>47</v>
      </c>
      <c r="B63" s="165">
        <v>1</v>
      </c>
      <c r="C63" s="166" t="s">
        <v>280</v>
      </c>
      <c r="D63" s="167">
        <v>4</v>
      </c>
      <c r="E63" s="163">
        <v>3875.49</v>
      </c>
      <c r="F63" s="135">
        <v>6018.4463487197754</v>
      </c>
      <c r="G63" s="135">
        <v>7.7649948780670321</v>
      </c>
      <c r="H63" s="135">
        <v>0</v>
      </c>
      <c r="I63" s="135">
        <v>0</v>
      </c>
      <c r="J63" s="135">
        <v>93.775687719488374</v>
      </c>
      <c r="K63" s="135">
        <v>308.79754044004756</v>
      </c>
      <c r="L63" s="135">
        <v>94.742024879434609</v>
      </c>
      <c r="M63" s="135">
        <v>982.90843519035593</v>
      </c>
      <c r="N63" s="135">
        <v>0</v>
      </c>
      <c r="O63" s="135">
        <v>-23.749265254200115</v>
      </c>
      <c r="P63" s="135">
        <v>1699.3028412480928</v>
      </c>
      <c r="Q63" s="135">
        <v>79.41261621111137</v>
      </c>
      <c r="R63" s="135">
        <v>103.87180201729331</v>
      </c>
      <c r="S63" s="135">
        <v>9365.2730260494664</v>
      </c>
      <c r="T63" s="135"/>
      <c r="U63" s="135">
        <v>6661.5011263091901</v>
      </c>
      <c r="V63" s="135">
        <v>0</v>
      </c>
      <c r="W63" s="135">
        <v>0</v>
      </c>
      <c r="X63" s="135">
        <v>35.293816444527842</v>
      </c>
      <c r="Y63" s="135">
        <v>105.73811311601888</v>
      </c>
      <c r="Z63" s="135">
        <v>397.26216259638011</v>
      </c>
      <c r="AA63" s="135">
        <v>77.359159744961289</v>
      </c>
      <c r="AB63" s="135">
        <v>1165.428905915411</v>
      </c>
      <c r="AC63" s="135">
        <v>59.986306961925479</v>
      </c>
      <c r="AD63" s="135">
        <v>13.7353805583294</v>
      </c>
      <c r="AE63" s="135">
        <v>1790.0423165333932</v>
      </c>
      <c r="AF63" s="135">
        <v>82.179662442684673</v>
      </c>
      <c r="AG63" s="135">
        <v>58.660713871020185</v>
      </c>
      <c r="AH63" s="135">
        <v>10447.187664493844</v>
      </c>
      <c r="AI63" s="135">
        <v>643.0547775894147</v>
      </c>
      <c r="AJ63" s="135">
        <v>-7.7649948780670321</v>
      </c>
      <c r="AK63" s="135">
        <v>0</v>
      </c>
      <c r="AL63" s="135">
        <v>35.293816444527842</v>
      </c>
      <c r="AM63" s="135">
        <v>11.962425396530506</v>
      </c>
      <c r="AN63" s="135">
        <v>88.464622156332553</v>
      </c>
      <c r="AO63" s="135">
        <v>-17.38286513447332</v>
      </c>
      <c r="AP63" s="135">
        <v>182.52047072505502</v>
      </c>
      <c r="AQ63" s="135">
        <v>59.986306961925479</v>
      </c>
      <c r="AR63" s="135">
        <v>37.484645812529514</v>
      </c>
      <c r="AS63" s="135">
        <v>90.739475285300387</v>
      </c>
      <c r="AT63" s="135">
        <v>2.7670462315733033</v>
      </c>
      <c r="AU63" s="135">
        <v>-45.21108814627312</v>
      </c>
      <c r="AV63" s="135">
        <v>1081.9146472976324</v>
      </c>
      <c r="AW63" s="135"/>
      <c r="AX63" s="164"/>
      <c r="AY63" s="132"/>
      <c r="AZ63" s="135"/>
      <c r="BA63" s="135"/>
      <c r="BB63" s="132"/>
    </row>
    <row r="64" spans="1:54" ht="16.5" x14ac:dyDescent="0.3">
      <c r="A64" s="165">
        <v>51</v>
      </c>
      <c r="B64" s="165">
        <v>1</v>
      </c>
      <c r="C64" s="166" t="s">
        <v>282</v>
      </c>
      <c r="D64" s="167">
        <v>5</v>
      </c>
      <c r="E64" s="163">
        <v>1766.12</v>
      </c>
      <c r="F64" s="135">
        <v>6048.6319389395967</v>
      </c>
      <c r="G64" s="135">
        <v>10.30490566892397</v>
      </c>
      <c r="H64" s="135">
        <v>321.30062509908731</v>
      </c>
      <c r="I64" s="135">
        <v>0</v>
      </c>
      <c r="J64" s="135">
        <v>142.78661699091793</v>
      </c>
      <c r="K64" s="135">
        <v>299.13977532670486</v>
      </c>
      <c r="L64" s="135">
        <v>102.07487826421759</v>
      </c>
      <c r="M64" s="135">
        <v>717.92420632120707</v>
      </c>
      <c r="N64" s="135">
        <v>0</v>
      </c>
      <c r="O64" s="135">
        <v>-44.815584444998073</v>
      </c>
      <c r="P64" s="135">
        <v>1433.1739580549454</v>
      </c>
      <c r="Q64" s="135">
        <v>158.03556383484704</v>
      </c>
      <c r="R64" s="135">
        <v>111.25411636808371</v>
      </c>
      <c r="S64" s="135">
        <v>9299.8110004235314</v>
      </c>
      <c r="T64" s="135"/>
      <c r="U64" s="135">
        <v>6692.5881820034883</v>
      </c>
      <c r="V64" s="135">
        <v>0</v>
      </c>
      <c r="W64" s="135">
        <v>14.107705025706069</v>
      </c>
      <c r="X64" s="135">
        <v>0</v>
      </c>
      <c r="Y64" s="135">
        <v>104.82656331393112</v>
      </c>
      <c r="Z64" s="135">
        <v>389.25357846578947</v>
      </c>
      <c r="AA64" s="135">
        <v>65.831823432156369</v>
      </c>
      <c r="AB64" s="135">
        <v>910.73151162965451</v>
      </c>
      <c r="AC64" s="135">
        <v>51.804772208712059</v>
      </c>
      <c r="AD64" s="135">
        <v>0</v>
      </c>
      <c r="AE64" s="135">
        <v>1490.1976030235771</v>
      </c>
      <c r="AF64" s="135">
        <v>159.42872511494124</v>
      </c>
      <c r="AG64" s="135">
        <v>64.402192376508964</v>
      </c>
      <c r="AH64" s="135">
        <v>9943.1726565944646</v>
      </c>
      <c r="AI64" s="135">
        <v>643.95624306389163</v>
      </c>
      <c r="AJ64" s="135">
        <v>-10.30490566892397</v>
      </c>
      <c r="AK64" s="135">
        <v>-307.19292007338123</v>
      </c>
      <c r="AL64" s="135">
        <v>0</v>
      </c>
      <c r="AM64" s="135">
        <v>-37.960053676986817</v>
      </c>
      <c r="AN64" s="135">
        <v>90.113803139084609</v>
      </c>
      <c r="AO64" s="135">
        <v>-36.243054832061219</v>
      </c>
      <c r="AP64" s="135">
        <v>192.80730530844744</v>
      </c>
      <c r="AQ64" s="135">
        <v>51.804772208712059</v>
      </c>
      <c r="AR64" s="135">
        <v>44.815584444998073</v>
      </c>
      <c r="AS64" s="135">
        <v>57.023644968631743</v>
      </c>
      <c r="AT64" s="135">
        <v>1.3931612800942048</v>
      </c>
      <c r="AU64" s="135">
        <v>-46.851923991574751</v>
      </c>
      <c r="AV64" s="135">
        <v>643.36165703407926</v>
      </c>
      <c r="AW64" s="135"/>
      <c r="AX64" s="132"/>
      <c r="AY64" s="132"/>
      <c r="AZ64" s="155"/>
      <c r="BA64" s="155"/>
      <c r="BB64" s="132"/>
    </row>
    <row r="65" spans="1:53" ht="16.5" x14ac:dyDescent="0.3">
      <c r="A65" s="165">
        <v>75</v>
      </c>
      <c r="B65" s="165">
        <v>1</v>
      </c>
      <c r="C65" s="166" t="s">
        <v>284</v>
      </c>
      <c r="D65" s="167">
        <v>6</v>
      </c>
      <c r="E65" s="163">
        <v>622.03</v>
      </c>
      <c r="F65" s="135">
        <v>5988.4140636303719</v>
      </c>
      <c r="G65" s="135">
        <v>6.0526019645354729</v>
      </c>
      <c r="H65" s="135">
        <v>537.00540166872986</v>
      </c>
      <c r="I65" s="135">
        <v>0</v>
      </c>
      <c r="J65" s="135">
        <v>135.70223301126956</v>
      </c>
      <c r="K65" s="135">
        <v>107.30820056910439</v>
      </c>
      <c r="L65" s="135">
        <v>0</v>
      </c>
      <c r="M65" s="135">
        <v>489.61573270931467</v>
      </c>
      <c r="N65" s="135">
        <v>0</v>
      </c>
      <c r="O65" s="135">
        <v>-38.474398340916032</v>
      </c>
      <c r="P65" s="135">
        <v>1926.0407169153532</v>
      </c>
      <c r="Q65" s="135">
        <v>336.98585277237436</v>
      </c>
      <c r="R65" s="135">
        <v>97.381428548462296</v>
      </c>
      <c r="S65" s="135">
        <v>9586.0318334486001</v>
      </c>
      <c r="T65" s="135"/>
      <c r="U65" s="135">
        <v>6619.2386219314176</v>
      </c>
      <c r="V65" s="135">
        <v>0</v>
      </c>
      <c r="W65" s="135">
        <v>227.85941192546986</v>
      </c>
      <c r="X65" s="135">
        <v>0</v>
      </c>
      <c r="Y65" s="135">
        <v>88.791601691236764</v>
      </c>
      <c r="Z65" s="135">
        <v>155.48526598395577</v>
      </c>
      <c r="AA65" s="135">
        <v>0</v>
      </c>
      <c r="AB65" s="135">
        <v>554.94660641318387</v>
      </c>
      <c r="AC65" s="135">
        <v>27.799790181256665</v>
      </c>
      <c r="AD65" s="135">
        <v>0</v>
      </c>
      <c r="AE65" s="135">
        <v>2000.5271369697373</v>
      </c>
      <c r="AF65" s="135">
        <v>321.44089287028805</v>
      </c>
      <c r="AG65" s="135">
        <v>50.791071170200794</v>
      </c>
      <c r="AH65" s="135">
        <v>10046.880399136748</v>
      </c>
      <c r="AI65" s="135">
        <v>630.82455830104573</v>
      </c>
      <c r="AJ65" s="135">
        <v>-6.0526019645354729</v>
      </c>
      <c r="AK65" s="135">
        <v>-309.14598974325997</v>
      </c>
      <c r="AL65" s="135">
        <v>0</v>
      </c>
      <c r="AM65" s="135">
        <v>-46.910631320032792</v>
      </c>
      <c r="AN65" s="135">
        <v>48.177065414851384</v>
      </c>
      <c r="AO65" s="135">
        <v>0</v>
      </c>
      <c r="AP65" s="135">
        <v>65.330873703869202</v>
      </c>
      <c r="AQ65" s="135">
        <v>27.799790181256665</v>
      </c>
      <c r="AR65" s="135">
        <v>38.474398340916032</v>
      </c>
      <c r="AS65" s="135">
        <v>74.486420054384098</v>
      </c>
      <c r="AT65" s="135">
        <v>-15.544959902086305</v>
      </c>
      <c r="AU65" s="135">
        <v>-46.590357378261501</v>
      </c>
      <c r="AV65" s="135">
        <v>460.84857485000032</v>
      </c>
      <c r="AW65" s="135"/>
      <c r="AX65" s="164"/>
      <c r="AY65" s="132"/>
      <c r="AZ65" s="135"/>
      <c r="BA65" s="135"/>
    </row>
    <row r="66" spans="1:53" ht="16.5" x14ac:dyDescent="0.3">
      <c r="A66" s="165">
        <v>77</v>
      </c>
      <c r="B66" s="165">
        <v>1</v>
      </c>
      <c r="C66" s="166" t="s">
        <v>286</v>
      </c>
      <c r="D66" s="167">
        <v>4</v>
      </c>
      <c r="E66" s="163">
        <v>7933.4800000000005</v>
      </c>
      <c r="F66" s="135">
        <v>5942.2581868234365</v>
      </c>
      <c r="G66" s="135">
        <v>29.950164366709185</v>
      </c>
      <c r="H66" s="135">
        <v>753.31428956775585</v>
      </c>
      <c r="I66" s="135">
        <v>0</v>
      </c>
      <c r="J66" s="135">
        <v>122.78088556346016</v>
      </c>
      <c r="K66" s="135">
        <v>561.04718484196076</v>
      </c>
      <c r="L66" s="135">
        <v>0</v>
      </c>
      <c r="M66" s="135">
        <v>1091.466728015844</v>
      </c>
      <c r="N66" s="135">
        <v>0</v>
      </c>
      <c r="O66" s="135">
        <v>-39.1767005147804</v>
      </c>
      <c r="P66" s="135">
        <v>1155.3524397868273</v>
      </c>
      <c r="Q66" s="135">
        <v>46.261799361692468</v>
      </c>
      <c r="R66" s="135">
        <v>103.25291927376132</v>
      </c>
      <c r="S66" s="135">
        <v>9766.5078970866689</v>
      </c>
      <c r="T66" s="135"/>
      <c r="U66" s="135">
        <v>6569.6535442201894</v>
      </c>
      <c r="V66" s="135">
        <v>0</v>
      </c>
      <c r="W66" s="135">
        <v>261.85804842263423</v>
      </c>
      <c r="X66" s="135">
        <v>243.99170572232396</v>
      </c>
      <c r="Y66" s="135">
        <v>85.576068761753987</v>
      </c>
      <c r="Z66" s="135">
        <v>516.60160519577221</v>
      </c>
      <c r="AA66" s="135">
        <v>0</v>
      </c>
      <c r="AB66" s="135">
        <v>1246.3535656044228</v>
      </c>
      <c r="AC66" s="135">
        <v>61.918047761011032</v>
      </c>
      <c r="AD66" s="135">
        <v>0</v>
      </c>
      <c r="AE66" s="135">
        <v>1254.0512361971037</v>
      </c>
      <c r="AF66" s="135">
        <v>48.646719976605475</v>
      </c>
      <c r="AG66" s="135">
        <v>57.6698661873478</v>
      </c>
      <c r="AH66" s="135">
        <v>10346.320408049163</v>
      </c>
      <c r="AI66" s="135">
        <v>627.39535739675284</v>
      </c>
      <c r="AJ66" s="135">
        <v>-29.950164366709185</v>
      </c>
      <c r="AK66" s="135">
        <v>-491.45624114512162</v>
      </c>
      <c r="AL66" s="135">
        <v>243.99170572232396</v>
      </c>
      <c r="AM66" s="135">
        <v>-37.204816801706173</v>
      </c>
      <c r="AN66" s="135">
        <v>-44.445579646188548</v>
      </c>
      <c r="AO66" s="135">
        <v>0</v>
      </c>
      <c r="AP66" s="135">
        <v>154.88683758857883</v>
      </c>
      <c r="AQ66" s="135">
        <v>61.918047761011032</v>
      </c>
      <c r="AR66" s="135">
        <v>39.1767005147804</v>
      </c>
      <c r="AS66" s="135">
        <v>98.698796410276373</v>
      </c>
      <c r="AT66" s="135">
        <v>2.3849206149130069</v>
      </c>
      <c r="AU66" s="135">
        <v>-45.583053086413521</v>
      </c>
      <c r="AV66" s="135">
        <v>579.81251554925461</v>
      </c>
      <c r="AW66" s="135"/>
      <c r="AX66" s="164"/>
      <c r="AY66" s="132"/>
      <c r="AZ66" s="135"/>
      <c r="BA66" s="135"/>
    </row>
    <row r="67" spans="1:53" ht="16.5" x14ac:dyDescent="0.3">
      <c r="A67" s="165">
        <v>81</v>
      </c>
      <c r="B67" s="165">
        <v>1</v>
      </c>
      <c r="C67" s="166" t="s">
        <v>288</v>
      </c>
      <c r="D67" s="167">
        <v>6</v>
      </c>
      <c r="E67" s="163">
        <v>167.57</v>
      </c>
      <c r="F67" s="135">
        <v>6018.9632989198553</v>
      </c>
      <c r="G67" s="135">
        <v>105.93101390463687</v>
      </c>
      <c r="H67" s="135">
        <v>1813.3851524735931</v>
      </c>
      <c r="I67" s="135">
        <v>0</v>
      </c>
      <c r="J67" s="135">
        <v>82.138568956257089</v>
      </c>
      <c r="K67" s="135">
        <v>722.68807065703891</v>
      </c>
      <c r="L67" s="135">
        <v>100.06900996598438</v>
      </c>
      <c r="M67" s="135">
        <v>769.07735781575457</v>
      </c>
      <c r="N67" s="135">
        <v>0</v>
      </c>
      <c r="O67" s="135">
        <v>-70.432475980187391</v>
      </c>
      <c r="P67" s="135">
        <v>405.5029539893776</v>
      </c>
      <c r="Q67" s="135">
        <v>816.20093095422806</v>
      </c>
      <c r="R67" s="135">
        <v>106.83624753834219</v>
      </c>
      <c r="S67" s="135">
        <v>10870.36012919488</v>
      </c>
      <c r="T67" s="135"/>
      <c r="U67" s="135">
        <v>6667.5106522647256</v>
      </c>
      <c r="V67" s="135">
        <v>0</v>
      </c>
      <c r="W67" s="135">
        <v>1605.3754251954408</v>
      </c>
      <c r="X67" s="135">
        <v>0</v>
      </c>
      <c r="Y67" s="135">
        <v>0</v>
      </c>
      <c r="Z67" s="135">
        <v>860.87875124234074</v>
      </c>
      <c r="AA67" s="135">
        <v>73.272841200692255</v>
      </c>
      <c r="AB67" s="135">
        <v>1018.8557622399229</v>
      </c>
      <c r="AC67" s="135">
        <v>103.19450669240965</v>
      </c>
      <c r="AD67" s="135">
        <v>0</v>
      </c>
      <c r="AE67" s="135">
        <v>479.97613243420665</v>
      </c>
      <c r="AF67" s="135">
        <v>814.25624272652749</v>
      </c>
      <c r="AG67" s="135">
        <v>58.822641284239424</v>
      </c>
      <c r="AH67" s="135">
        <v>11682.142955280506</v>
      </c>
      <c r="AI67" s="135">
        <v>648.54735334487032</v>
      </c>
      <c r="AJ67" s="135">
        <v>-105.93101390463687</v>
      </c>
      <c r="AK67" s="135">
        <v>-208.00972727815224</v>
      </c>
      <c r="AL67" s="135">
        <v>0</v>
      </c>
      <c r="AM67" s="135">
        <v>-82.138568956257089</v>
      </c>
      <c r="AN67" s="135">
        <v>138.19068058530183</v>
      </c>
      <c r="AO67" s="135">
        <v>-26.796168765292123</v>
      </c>
      <c r="AP67" s="135">
        <v>249.77840442416834</v>
      </c>
      <c r="AQ67" s="135">
        <v>103.19450669240965</v>
      </c>
      <c r="AR67" s="135">
        <v>70.432475980187391</v>
      </c>
      <c r="AS67" s="135">
        <v>74.473178444829045</v>
      </c>
      <c r="AT67" s="135">
        <v>-1.944688227700567</v>
      </c>
      <c r="AU67" s="135">
        <v>-48.013606254102768</v>
      </c>
      <c r="AV67" s="135">
        <v>811.78282762886863</v>
      </c>
      <c r="AW67" s="135"/>
      <c r="AX67" s="164"/>
      <c r="AY67" s="132"/>
      <c r="AZ67" s="135"/>
      <c r="BA67" s="135"/>
    </row>
    <row r="68" spans="1:53" ht="16.5" x14ac:dyDescent="0.3">
      <c r="A68" s="165">
        <v>84</v>
      </c>
      <c r="B68" s="165">
        <v>1</v>
      </c>
      <c r="C68" s="166" t="s">
        <v>289</v>
      </c>
      <c r="D68" s="167">
        <v>6</v>
      </c>
      <c r="E68" s="163">
        <v>523.91999999999996</v>
      </c>
      <c r="F68" s="135">
        <v>6287.5055733699801</v>
      </c>
      <c r="G68" s="135">
        <v>12.336711711711713</v>
      </c>
      <c r="H68" s="135">
        <v>0</v>
      </c>
      <c r="I68" s="135">
        <v>0</v>
      </c>
      <c r="J68" s="135">
        <v>192.07795083218812</v>
      </c>
      <c r="K68" s="135">
        <v>1082.9853412734769</v>
      </c>
      <c r="L68" s="135">
        <v>144.90943369216674</v>
      </c>
      <c r="M68" s="135">
        <v>916.24401642402097</v>
      </c>
      <c r="N68" s="135">
        <v>0</v>
      </c>
      <c r="O68" s="135">
        <v>-58.190258054664838</v>
      </c>
      <c r="P68" s="135">
        <v>1139.9239578561615</v>
      </c>
      <c r="Q68" s="135">
        <v>576.1184722858452</v>
      </c>
      <c r="R68" s="135">
        <v>116.74482745457323</v>
      </c>
      <c r="S68" s="135">
        <v>10410.65602684546</v>
      </c>
      <c r="T68" s="135"/>
      <c r="U68" s="135">
        <v>7003.942510306917</v>
      </c>
      <c r="V68" s="135">
        <v>0</v>
      </c>
      <c r="W68" s="135">
        <v>0</v>
      </c>
      <c r="X68" s="135">
        <v>0</v>
      </c>
      <c r="Y68" s="135">
        <v>107.69774011299435</v>
      </c>
      <c r="Z68" s="135">
        <v>1208.4131361295147</v>
      </c>
      <c r="AA68" s="135">
        <v>183.76994579325088</v>
      </c>
      <c r="AB68" s="135">
        <v>1048.8660962779386</v>
      </c>
      <c r="AC68" s="135">
        <v>113.10022610196452</v>
      </c>
      <c r="AD68" s="135">
        <v>0</v>
      </c>
      <c r="AE68" s="135">
        <v>1162.3071727553825</v>
      </c>
      <c r="AF68" s="135">
        <v>606.69045005364433</v>
      </c>
      <c r="AG68" s="135">
        <v>65.926458237898927</v>
      </c>
      <c r="AH68" s="135">
        <v>11500.713735769505</v>
      </c>
      <c r="AI68" s="135">
        <v>716.43693693693695</v>
      </c>
      <c r="AJ68" s="135">
        <v>-12.336711711711713</v>
      </c>
      <c r="AK68" s="135">
        <v>0</v>
      </c>
      <c r="AL68" s="135">
        <v>0</v>
      </c>
      <c r="AM68" s="135">
        <v>-84.380210719193769</v>
      </c>
      <c r="AN68" s="135">
        <v>125.42779485603774</v>
      </c>
      <c r="AO68" s="135">
        <v>38.86051210108414</v>
      </c>
      <c r="AP68" s="135">
        <v>132.62207985391763</v>
      </c>
      <c r="AQ68" s="135">
        <v>113.10022610196452</v>
      </c>
      <c r="AR68" s="135">
        <v>58.190258054664838</v>
      </c>
      <c r="AS68" s="135">
        <v>22.383214899221002</v>
      </c>
      <c r="AT68" s="135">
        <v>30.571977767799126</v>
      </c>
      <c r="AU68" s="135">
        <v>-50.818369216674299</v>
      </c>
      <c r="AV68" s="135">
        <v>1090.0577166976877</v>
      </c>
      <c r="AW68" s="135"/>
      <c r="AX68" s="132"/>
      <c r="AY68" s="132"/>
      <c r="AZ68" s="155"/>
      <c r="BA68" s="155"/>
    </row>
    <row r="69" spans="1:53" ht="16.5" x14ac:dyDescent="0.3">
      <c r="A69" s="165">
        <v>85</v>
      </c>
      <c r="B69" s="165">
        <v>1</v>
      </c>
      <c r="C69" s="166" t="s">
        <v>291</v>
      </c>
      <c r="D69" s="167">
        <v>6</v>
      </c>
      <c r="E69" s="163">
        <v>605.19000000000005</v>
      </c>
      <c r="F69" s="135">
        <v>6029.6245476627173</v>
      </c>
      <c r="G69" s="135">
        <v>13.977560766040416</v>
      </c>
      <c r="H69" s="135">
        <v>640.92410647895701</v>
      </c>
      <c r="I69" s="135">
        <v>0</v>
      </c>
      <c r="J69" s="135">
        <v>132.03076719707857</v>
      </c>
      <c r="K69" s="135">
        <v>495.3476263652737</v>
      </c>
      <c r="L69" s="135">
        <v>93.687936020092849</v>
      </c>
      <c r="M69" s="135">
        <v>520.18040538574814</v>
      </c>
      <c r="N69" s="135">
        <v>0</v>
      </c>
      <c r="O69" s="135">
        <v>-54.602207571175988</v>
      </c>
      <c r="P69" s="135">
        <v>1125.9341658463811</v>
      </c>
      <c r="Q69" s="135">
        <v>393.63383400254463</v>
      </c>
      <c r="R69" s="135">
        <v>108.66689799897551</v>
      </c>
      <c r="S69" s="135">
        <v>9499.4056401526323</v>
      </c>
      <c r="T69" s="135"/>
      <c r="U69" s="135">
        <v>6659.247509046746</v>
      </c>
      <c r="V69" s="135">
        <v>0</v>
      </c>
      <c r="W69" s="135">
        <v>337.7929741073051</v>
      </c>
      <c r="X69" s="135">
        <v>0</v>
      </c>
      <c r="Y69" s="135">
        <v>81.574265933012768</v>
      </c>
      <c r="Z69" s="135">
        <v>583.59086863741447</v>
      </c>
      <c r="AA69" s="135">
        <v>69.00363522199639</v>
      </c>
      <c r="AB69" s="135">
        <v>639.36755199373113</v>
      </c>
      <c r="AC69" s="135">
        <v>94.689507267803037</v>
      </c>
      <c r="AD69" s="135">
        <v>0</v>
      </c>
      <c r="AE69" s="135">
        <v>1265.2228310920063</v>
      </c>
      <c r="AF69" s="135">
        <v>382.34428570061942</v>
      </c>
      <c r="AG69" s="135">
        <v>62.025942266065201</v>
      </c>
      <c r="AH69" s="135">
        <v>10174.859371266701</v>
      </c>
      <c r="AI69" s="135">
        <v>629.62296138402871</v>
      </c>
      <c r="AJ69" s="135">
        <v>-13.977560766040416</v>
      </c>
      <c r="AK69" s="135">
        <v>-303.13113237165192</v>
      </c>
      <c r="AL69" s="135">
        <v>0</v>
      </c>
      <c r="AM69" s="135">
        <v>-50.456501264065807</v>
      </c>
      <c r="AN69" s="135">
        <v>88.243242272140776</v>
      </c>
      <c r="AO69" s="135">
        <v>-24.684300798096459</v>
      </c>
      <c r="AP69" s="135">
        <v>119.18714660798298</v>
      </c>
      <c r="AQ69" s="135">
        <v>94.689507267803037</v>
      </c>
      <c r="AR69" s="135">
        <v>54.602207571175988</v>
      </c>
      <c r="AS69" s="135">
        <v>139.28866524562522</v>
      </c>
      <c r="AT69" s="135">
        <v>-11.289548301925208</v>
      </c>
      <c r="AU69" s="135">
        <v>-46.640955732910314</v>
      </c>
      <c r="AV69" s="135">
        <v>675.45373725624268</v>
      </c>
      <c r="AW69" s="135"/>
      <c r="AX69" s="164"/>
      <c r="AY69" s="132"/>
      <c r="AZ69" s="135"/>
      <c r="BA69" s="135"/>
    </row>
    <row r="70" spans="1:53" ht="16.5" x14ac:dyDescent="0.3">
      <c r="A70" s="165">
        <v>88</v>
      </c>
      <c r="B70" s="165">
        <v>1</v>
      </c>
      <c r="C70" s="166" t="s">
        <v>293</v>
      </c>
      <c r="D70" s="167">
        <v>4</v>
      </c>
      <c r="E70" s="163">
        <v>1974.0200000000002</v>
      </c>
      <c r="F70" s="135">
        <v>6065.0448931621759</v>
      </c>
      <c r="G70" s="135">
        <v>0</v>
      </c>
      <c r="H70" s="135">
        <v>928.12193392164204</v>
      </c>
      <c r="I70" s="135">
        <v>0</v>
      </c>
      <c r="J70" s="135">
        <v>119.02534422143646</v>
      </c>
      <c r="K70" s="135">
        <v>261.93119117334169</v>
      </c>
      <c r="L70" s="135">
        <v>104.89133443430154</v>
      </c>
      <c r="M70" s="135">
        <v>1106.263757195627</v>
      </c>
      <c r="N70" s="135">
        <v>0</v>
      </c>
      <c r="O70" s="135">
        <v>-71.987801542030965</v>
      </c>
      <c r="P70" s="135">
        <v>1324.5596761937568</v>
      </c>
      <c r="Q70" s="135">
        <v>157.11763305336316</v>
      </c>
      <c r="R70" s="135">
        <v>106.08563743021853</v>
      </c>
      <c r="S70" s="135">
        <v>10101.053599243833</v>
      </c>
      <c r="T70" s="135"/>
      <c r="U70" s="135">
        <v>6708.8575597005092</v>
      </c>
      <c r="V70" s="135">
        <v>0</v>
      </c>
      <c r="W70" s="135">
        <v>395.67350888035583</v>
      </c>
      <c r="X70" s="135">
        <v>247.96480770257631</v>
      </c>
      <c r="Y70" s="135">
        <v>78.227409043474722</v>
      </c>
      <c r="Z70" s="135">
        <v>288.18296684326975</v>
      </c>
      <c r="AA70" s="135">
        <v>74.155611391981836</v>
      </c>
      <c r="AB70" s="135">
        <v>1367.236193063959</v>
      </c>
      <c r="AC70" s="135">
        <v>52.797533383243362</v>
      </c>
      <c r="AD70" s="135">
        <v>0</v>
      </c>
      <c r="AE70" s="135">
        <v>1365.4618102298862</v>
      </c>
      <c r="AF70" s="135">
        <v>163.69612263300269</v>
      </c>
      <c r="AG70" s="135">
        <v>56.787018368608216</v>
      </c>
      <c r="AH70" s="135">
        <v>10799.040541240867</v>
      </c>
      <c r="AI70" s="135">
        <v>643.81266653833336</v>
      </c>
      <c r="AJ70" s="135">
        <v>0</v>
      </c>
      <c r="AK70" s="135">
        <v>-532.44842504128621</v>
      </c>
      <c r="AL70" s="135">
        <v>247.96480770257631</v>
      </c>
      <c r="AM70" s="135">
        <v>-40.797935177961733</v>
      </c>
      <c r="AN70" s="135">
        <v>26.251775669928065</v>
      </c>
      <c r="AO70" s="135">
        <v>-30.735723042319705</v>
      </c>
      <c r="AP70" s="135">
        <v>260.97243586833201</v>
      </c>
      <c r="AQ70" s="135">
        <v>52.797533383243362</v>
      </c>
      <c r="AR70" s="135">
        <v>71.987801542030965</v>
      </c>
      <c r="AS70" s="135">
        <v>40.902134036129382</v>
      </c>
      <c r="AT70" s="135">
        <v>6.5784895796395233</v>
      </c>
      <c r="AU70" s="135">
        <v>-49.29861906161031</v>
      </c>
      <c r="AV70" s="135">
        <v>697.98695177734612</v>
      </c>
      <c r="AW70" s="135"/>
      <c r="AX70" s="164"/>
      <c r="AY70" s="132"/>
      <c r="AZ70" s="135"/>
      <c r="BA70" s="135"/>
    </row>
    <row r="71" spans="1:53" ht="16.5" x14ac:dyDescent="0.3">
      <c r="A71" s="165">
        <v>91</v>
      </c>
      <c r="B71" s="165">
        <v>1</v>
      </c>
      <c r="C71" s="166" t="s">
        <v>295</v>
      </c>
      <c r="D71" s="167">
        <v>6</v>
      </c>
      <c r="E71" s="163">
        <v>796.46</v>
      </c>
      <c r="F71" s="135">
        <v>5983.0102202244934</v>
      </c>
      <c r="G71" s="135">
        <v>17.843658187479598</v>
      </c>
      <c r="H71" s="135">
        <v>5.1131506918112644</v>
      </c>
      <c r="I71" s="135">
        <v>0</v>
      </c>
      <c r="J71" s="135">
        <v>152.2905607312357</v>
      </c>
      <c r="K71" s="135">
        <v>1365.2554302789845</v>
      </c>
      <c r="L71" s="135">
        <v>0</v>
      </c>
      <c r="M71" s="135">
        <v>898.32668816513069</v>
      </c>
      <c r="N71" s="135">
        <v>0</v>
      </c>
      <c r="O71" s="135">
        <v>-45.125442583431685</v>
      </c>
      <c r="P71" s="135">
        <v>1487.7013692015742</v>
      </c>
      <c r="Q71" s="135">
        <v>266.83034929563314</v>
      </c>
      <c r="R71" s="135">
        <v>111.27435150541143</v>
      </c>
      <c r="S71" s="135">
        <v>10242.52033569832</v>
      </c>
      <c r="T71" s="135"/>
      <c r="U71" s="135">
        <v>6622.0952715767271</v>
      </c>
      <c r="V71" s="135">
        <v>0</v>
      </c>
      <c r="W71" s="135">
        <v>0</v>
      </c>
      <c r="X71" s="135">
        <v>0</v>
      </c>
      <c r="Y71" s="135">
        <v>105.11262335836074</v>
      </c>
      <c r="Z71" s="135">
        <v>1569.1431208095823</v>
      </c>
      <c r="AA71" s="135">
        <v>0</v>
      </c>
      <c r="AB71" s="135">
        <v>979.396920679755</v>
      </c>
      <c r="AC71" s="135">
        <v>68.235993683089788</v>
      </c>
      <c r="AD71" s="135">
        <v>0</v>
      </c>
      <c r="AE71" s="135">
        <v>1596.4688679445833</v>
      </c>
      <c r="AF71" s="135">
        <v>264.63729234229891</v>
      </c>
      <c r="AG71" s="135">
        <v>65.751086055796904</v>
      </c>
      <c r="AH71" s="135">
        <v>11270.841176450194</v>
      </c>
      <c r="AI71" s="135">
        <v>639.08505135223368</v>
      </c>
      <c r="AJ71" s="135">
        <v>-17.843658187479598</v>
      </c>
      <c r="AK71" s="135">
        <v>-5.1131506918112644</v>
      </c>
      <c r="AL71" s="135">
        <v>0</v>
      </c>
      <c r="AM71" s="135">
        <v>-47.177937372874965</v>
      </c>
      <c r="AN71" s="135">
        <v>203.88769053059787</v>
      </c>
      <c r="AO71" s="135">
        <v>0</v>
      </c>
      <c r="AP71" s="135">
        <v>81.070232514624308</v>
      </c>
      <c r="AQ71" s="135">
        <v>68.235993683089788</v>
      </c>
      <c r="AR71" s="135">
        <v>45.125442583431685</v>
      </c>
      <c r="AS71" s="135">
        <v>108.76749874300913</v>
      </c>
      <c r="AT71" s="135">
        <v>-2.193056953334235</v>
      </c>
      <c r="AU71" s="135">
        <v>-45.523265449614527</v>
      </c>
      <c r="AV71" s="135">
        <v>1028.3208442272812</v>
      </c>
      <c r="AW71" s="135"/>
      <c r="AX71" s="132"/>
      <c r="AY71" s="132"/>
      <c r="AZ71" s="155"/>
      <c r="BA71" s="155"/>
    </row>
    <row r="72" spans="1:53" ht="16.5" x14ac:dyDescent="0.3">
      <c r="A72" s="165">
        <v>93</v>
      </c>
      <c r="B72" s="165">
        <v>1</v>
      </c>
      <c r="C72" s="166" t="s">
        <v>297</v>
      </c>
      <c r="D72" s="167">
        <v>6</v>
      </c>
      <c r="E72" s="163">
        <v>455.61</v>
      </c>
      <c r="F72" s="135">
        <v>5991.6451350936104</v>
      </c>
      <c r="G72" s="135">
        <v>2.3875024692170936</v>
      </c>
      <c r="H72" s="135">
        <v>1859.2197273984327</v>
      </c>
      <c r="I72" s="135">
        <v>0</v>
      </c>
      <c r="J72" s="135">
        <v>76.306314611180611</v>
      </c>
      <c r="K72" s="135">
        <v>415.55349970369389</v>
      </c>
      <c r="L72" s="135">
        <v>0</v>
      </c>
      <c r="M72" s="135">
        <v>810.22589769662216</v>
      </c>
      <c r="N72" s="135">
        <v>0</v>
      </c>
      <c r="O72" s="135">
        <v>-75.715173064682503</v>
      </c>
      <c r="P72" s="135">
        <v>432.68258378876669</v>
      </c>
      <c r="Q72" s="135">
        <v>441.23006518733121</v>
      </c>
      <c r="R72" s="135">
        <v>131.70356225719365</v>
      </c>
      <c r="S72" s="135">
        <v>10085.239115141367</v>
      </c>
      <c r="T72" s="135"/>
      <c r="U72" s="135">
        <v>6637.2334233225783</v>
      </c>
      <c r="V72" s="135">
        <v>0</v>
      </c>
      <c r="W72" s="135">
        <v>1547.3981036412722</v>
      </c>
      <c r="X72" s="135">
        <v>0</v>
      </c>
      <c r="Y72" s="135">
        <v>0</v>
      </c>
      <c r="Z72" s="135">
        <v>523.08836504905514</v>
      </c>
      <c r="AA72" s="135">
        <v>0</v>
      </c>
      <c r="AB72" s="135">
        <v>988.46806369396666</v>
      </c>
      <c r="AC72" s="135">
        <v>75.908357966010769</v>
      </c>
      <c r="AD72" s="135">
        <v>0</v>
      </c>
      <c r="AE72" s="135">
        <v>515.76141962862971</v>
      </c>
      <c r="AF72" s="135">
        <v>472.89234002418959</v>
      </c>
      <c r="AG72" s="135">
        <v>82.18924079805096</v>
      </c>
      <c r="AH72" s="135">
        <v>10842.939314123754</v>
      </c>
      <c r="AI72" s="135">
        <v>645.58828822896794</v>
      </c>
      <c r="AJ72" s="135">
        <v>-2.3875024692170936</v>
      </c>
      <c r="AK72" s="135">
        <v>-311.82162375716052</v>
      </c>
      <c r="AL72" s="135">
        <v>0</v>
      </c>
      <c r="AM72" s="135">
        <v>-76.306314611180611</v>
      </c>
      <c r="AN72" s="135">
        <v>107.53486534536125</v>
      </c>
      <c r="AO72" s="135">
        <v>0</v>
      </c>
      <c r="AP72" s="135">
        <v>178.2421659973445</v>
      </c>
      <c r="AQ72" s="135">
        <v>75.908357966010769</v>
      </c>
      <c r="AR72" s="135">
        <v>75.715173064682503</v>
      </c>
      <c r="AS72" s="135">
        <v>83.078835839863018</v>
      </c>
      <c r="AT72" s="135">
        <v>31.662274836858387</v>
      </c>
      <c r="AU72" s="135">
        <v>-49.514321459142693</v>
      </c>
      <c r="AV72" s="135">
        <v>757.70020319097137</v>
      </c>
      <c r="AW72" s="135"/>
      <c r="AX72" s="164"/>
      <c r="AY72" s="132"/>
      <c r="AZ72" s="135"/>
      <c r="BA72" s="135"/>
    </row>
    <row r="73" spans="1:53" ht="16.5" x14ac:dyDescent="0.3">
      <c r="A73" s="165">
        <v>94</v>
      </c>
      <c r="B73" s="165">
        <v>1</v>
      </c>
      <c r="C73" s="166" t="s">
        <v>299</v>
      </c>
      <c r="D73" s="167">
        <v>4</v>
      </c>
      <c r="E73" s="163">
        <v>2646.26</v>
      </c>
      <c r="F73" s="135">
        <v>5979.4906925245432</v>
      </c>
      <c r="G73" s="135">
        <v>1.7535502936219418</v>
      </c>
      <c r="H73" s="135">
        <v>106.87084413474111</v>
      </c>
      <c r="I73" s="135">
        <v>0</v>
      </c>
      <c r="J73" s="135">
        <v>149.29268099128581</v>
      </c>
      <c r="K73" s="135">
        <v>684.22915737682627</v>
      </c>
      <c r="L73" s="135">
        <v>0</v>
      </c>
      <c r="M73" s="135">
        <v>1136.3883410125352</v>
      </c>
      <c r="N73" s="135">
        <v>0</v>
      </c>
      <c r="O73" s="135">
        <v>-45.601520636672127</v>
      </c>
      <c r="P73" s="135">
        <v>831.48189142412298</v>
      </c>
      <c r="Q73" s="135">
        <v>82.996338228292004</v>
      </c>
      <c r="R73" s="135">
        <v>105.01985443607204</v>
      </c>
      <c r="S73" s="135">
        <v>9031.9218297853677</v>
      </c>
      <c r="T73" s="135"/>
      <c r="U73" s="135">
        <v>6607.1650555878859</v>
      </c>
      <c r="V73" s="135">
        <v>0</v>
      </c>
      <c r="W73" s="135">
        <v>0</v>
      </c>
      <c r="X73" s="135">
        <v>37.005656849780181</v>
      </c>
      <c r="Y73" s="135">
        <v>104.85288671559105</v>
      </c>
      <c r="Z73" s="135">
        <v>795.39950687379883</v>
      </c>
      <c r="AA73" s="135">
        <v>0</v>
      </c>
      <c r="AB73" s="135">
        <v>1310.5321390664367</v>
      </c>
      <c r="AC73" s="135">
        <v>87.521425842856686</v>
      </c>
      <c r="AD73" s="135">
        <v>0</v>
      </c>
      <c r="AE73" s="135">
        <v>916.15425923378643</v>
      </c>
      <c r="AF73" s="135">
        <v>83.399987151678204</v>
      </c>
      <c r="AG73" s="135">
        <v>57.698155132148763</v>
      </c>
      <c r="AH73" s="135">
        <v>9999.7290724539653</v>
      </c>
      <c r="AI73" s="135">
        <v>627.67436306334275</v>
      </c>
      <c r="AJ73" s="135">
        <v>-1.7535502936219418</v>
      </c>
      <c r="AK73" s="135">
        <v>-106.87084413474111</v>
      </c>
      <c r="AL73" s="135">
        <v>37.005656849780181</v>
      </c>
      <c r="AM73" s="135">
        <v>-44.439794275694751</v>
      </c>
      <c r="AN73" s="135">
        <v>111.17034949697256</v>
      </c>
      <c r="AO73" s="135">
        <v>0</v>
      </c>
      <c r="AP73" s="135">
        <v>174.14379805390149</v>
      </c>
      <c r="AQ73" s="135">
        <v>87.521425842856686</v>
      </c>
      <c r="AR73" s="135">
        <v>45.601520636672127</v>
      </c>
      <c r="AS73" s="135">
        <v>84.672367809663456</v>
      </c>
      <c r="AT73" s="135">
        <v>0.40364892338619995</v>
      </c>
      <c r="AU73" s="135">
        <v>-47.321699303923275</v>
      </c>
      <c r="AV73" s="135">
        <v>967.80724548981914</v>
      </c>
      <c r="AW73" s="135"/>
      <c r="AX73" s="132"/>
      <c r="AY73" s="132"/>
      <c r="AZ73" s="155"/>
      <c r="BA73" s="155"/>
    </row>
    <row r="74" spans="1:53" ht="16.5" x14ac:dyDescent="0.3">
      <c r="A74" s="165">
        <v>95</v>
      </c>
      <c r="B74" s="165">
        <v>1</v>
      </c>
      <c r="C74" s="166" t="s">
        <v>301</v>
      </c>
      <c r="D74" s="167">
        <v>6</v>
      </c>
      <c r="E74" s="163">
        <v>323.02</v>
      </c>
      <c r="F74" s="135">
        <v>5968.5760634016469</v>
      </c>
      <c r="G74" s="135">
        <v>37.337873815862793</v>
      </c>
      <c r="H74" s="135">
        <v>3.5195034363197322</v>
      </c>
      <c r="I74" s="135">
        <v>0</v>
      </c>
      <c r="J74" s="135">
        <v>151.35205250448888</v>
      </c>
      <c r="K74" s="135">
        <v>492.18481827750611</v>
      </c>
      <c r="L74" s="135">
        <v>0</v>
      </c>
      <c r="M74" s="135">
        <v>407.82797808284323</v>
      </c>
      <c r="N74" s="135">
        <v>0</v>
      </c>
      <c r="O74" s="135">
        <v>-37.263729800012385</v>
      </c>
      <c r="P74" s="135">
        <v>1944.34376464969</v>
      </c>
      <c r="Q74" s="135">
        <v>1848.9796607021237</v>
      </c>
      <c r="R74" s="135">
        <v>91.412729861928057</v>
      </c>
      <c r="S74" s="135">
        <v>10908.270714932396</v>
      </c>
      <c r="T74" s="135"/>
      <c r="U74" s="135">
        <v>6578.7041050089783</v>
      </c>
      <c r="V74" s="135">
        <v>0</v>
      </c>
      <c r="W74" s="135">
        <v>0</v>
      </c>
      <c r="X74" s="135">
        <v>0</v>
      </c>
      <c r="Y74" s="135">
        <v>104.4238746826822</v>
      </c>
      <c r="Z74" s="135">
        <v>606.73825150145501</v>
      </c>
      <c r="AA74" s="135">
        <v>0</v>
      </c>
      <c r="AB74" s="135">
        <v>524.26453184674472</v>
      </c>
      <c r="AC74" s="135">
        <v>76.83295367136526</v>
      </c>
      <c r="AD74" s="135">
        <v>0</v>
      </c>
      <c r="AE74" s="135">
        <v>2019.0294263181406</v>
      </c>
      <c r="AF74" s="135">
        <v>1860.7336410210874</v>
      </c>
      <c r="AG74" s="135">
        <v>50.809918890471174</v>
      </c>
      <c r="AH74" s="135">
        <v>11821.536702940924</v>
      </c>
      <c r="AI74" s="135">
        <v>610.1280416073314</v>
      </c>
      <c r="AJ74" s="135">
        <v>-37.337873815862793</v>
      </c>
      <c r="AK74" s="135">
        <v>-3.5195034363197322</v>
      </c>
      <c r="AL74" s="135">
        <v>0</v>
      </c>
      <c r="AM74" s="135">
        <v>-46.928177821806685</v>
      </c>
      <c r="AN74" s="135">
        <v>114.5534332239489</v>
      </c>
      <c r="AO74" s="135">
        <v>0</v>
      </c>
      <c r="AP74" s="135">
        <v>116.43655376390149</v>
      </c>
      <c r="AQ74" s="135">
        <v>76.83295367136526</v>
      </c>
      <c r="AR74" s="135">
        <v>37.263729800012385</v>
      </c>
      <c r="AS74" s="135">
        <v>74.685661668450621</v>
      </c>
      <c r="AT74" s="135">
        <v>11.753980318963613</v>
      </c>
      <c r="AU74" s="135">
        <v>-40.602810971456883</v>
      </c>
      <c r="AV74" s="135">
        <v>913.26598843797365</v>
      </c>
      <c r="AW74" s="135"/>
      <c r="AX74" s="164"/>
      <c r="AY74" s="132"/>
      <c r="AZ74" s="135"/>
      <c r="BA74" s="135"/>
    </row>
    <row r="75" spans="1:53" ht="16.5" x14ac:dyDescent="0.3">
      <c r="A75" s="165">
        <v>97</v>
      </c>
      <c r="B75" s="165">
        <v>1</v>
      </c>
      <c r="C75" s="166" t="s">
        <v>303</v>
      </c>
      <c r="D75" s="167">
        <v>6</v>
      </c>
      <c r="E75" s="163">
        <v>645.76</v>
      </c>
      <c r="F75" s="135">
        <v>6134.7376114965318</v>
      </c>
      <c r="G75" s="135">
        <v>0</v>
      </c>
      <c r="H75" s="135">
        <v>509.70888565411298</v>
      </c>
      <c r="I75" s="135">
        <v>0</v>
      </c>
      <c r="J75" s="135">
        <v>137.43268396927652</v>
      </c>
      <c r="K75" s="135">
        <v>368.7029082011893</v>
      </c>
      <c r="L75" s="135">
        <v>0</v>
      </c>
      <c r="M75" s="135">
        <v>971.90866617673737</v>
      </c>
      <c r="N75" s="135">
        <v>0</v>
      </c>
      <c r="O75" s="135">
        <v>-59.517684588701684</v>
      </c>
      <c r="P75" s="135">
        <v>449.33308040138758</v>
      </c>
      <c r="Q75" s="135">
        <v>343.5758331268583</v>
      </c>
      <c r="R75" s="135">
        <v>104.37081888007928</v>
      </c>
      <c r="S75" s="135">
        <v>8960.2528033174731</v>
      </c>
      <c r="T75" s="135"/>
      <c r="U75" s="135">
        <v>6800.74931863231</v>
      </c>
      <c r="V75" s="135">
        <v>0</v>
      </c>
      <c r="W75" s="135">
        <v>188.71229249256692</v>
      </c>
      <c r="X75" s="135">
        <v>0</v>
      </c>
      <c r="Y75" s="135">
        <v>93.518505327056502</v>
      </c>
      <c r="Z75" s="135">
        <v>468.01643025272551</v>
      </c>
      <c r="AA75" s="135">
        <v>0</v>
      </c>
      <c r="AB75" s="135">
        <v>1048.9138401400078</v>
      </c>
      <c r="AC75" s="135">
        <v>88.891266923986777</v>
      </c>
      <c r="AD75" s="135">
        <v>0</v>
      </c>
      <c r="AE75" s="135">
        <v>552.62670732160552</v>
      </c>
      <c r="AF75" s="135">
        <v>355.22898300574434</v>
      </c>
      <c r="AG75" s="135">
        <v>51.291222745292373</v>
      </c>
      <c r="AH75" s="135">
        <v>9647.9485668412945</v>
      </c>
      <c r="AI75" s="135">
        <v>666.01170713577812</v>
      </c>
      <c r="AJ75" s="135">
        <v>0</v>
      </c>
      <c r="AK75" s="135">
        <v>-320.99659316154606</v>
      </c>
      <c r="AL75" s="135">
        <v>0</v>
      </c>
      <c r="AM75" s="135">
        <v>-43.914178642220023</v>
      </c>
      <c r="AN75" s="135">
        <v>99.313522051536211</v>
      </c>
      <c r="AO75" s="135">
        <v>0</v>
      </c>
      <c r="AP75" s="135">
        <v>77.005173963270408</v>
      </c>
      <c r="AQ75" s="135">
        <v>88.891266923986777</v>
      </c>
      <c r="AR75" s="135">
        <v>59.517684588701684</v>
      </c>
      <c r="AS75" s="135">
        <v>103.29362692021795</v>
      </c>
      <c r="AT75" s="135">
        <v>11.65314987888604</v>
      </c>
      <c r="AU75" s="135">
        <v>-53.079596134786911</v>
      </c>
      <c r="AV75" s="135">
        <v>687.69577190773555</v>
      </c>
      <c r="AW75" s="135"/>
      <c r="AX75" s="132"/>
      <c r="AY75" s="132"/>
      <c r="AZ75" s="155"/>
      <c r="BA75" s="155"/>
    </row>
    <row r="76" spans="1:53" ht="16.5" x14ac:dyDescent="0.3">
      <c r="A76" s="165">
        <v>99</v>
      </c>
      <c r="B76" s="165">
        <v>1</v>
      </c>
      <c r="C76" s="166" t="s">
        <v>305</v>
      </c>
      <c r="D76" s="167">
        <v>5</v>
      </c>
      <c r="E76" s="163">
        <v>1238.6299999999999</v>
      </c>
      <c r="F76" s="135">
        <v>6036.6400297102455</v>
      </c>
      <c r="G76" s="135">
        <v>3.3508069399255631</v>
      </c>
      <c r="H76" s="135">
        <v>0</v>
      </c>
      <c r="I76" s="135">
        <v>0</v>
      </c>
      <c r="J76" s="135">
        <v>148.9123386321985</v>
      </c>
      <c r="K76" s="135">
        <v>48.382850407304851</v>
      </c>
      <c r="L76" s="135">
        <v>0</v>
      </c>
      <c r="M76" s="135">
        <v>510.3518750746793</v>
      </c>
      <c r="N76" s="135">
        <v>0</v>
      </c>
      <c r="O76" s="135">
        <v>-38.940393822206794</v>
      </c>
      <c r="P76" s="135">
        <v>1022.1581171363291</v>
      </c>
      <c r="Q76" s="135">
        <v>85.338026690779344</v>
      </c>
      <c r="R76" s="135">
        <v>108.82597708758873</v>
      </c>
      <c r="S76" s="135">
        <v>7925.0196278568446</v>
      </c>
      <c r="T76" s="135"/>
      <c r="U76" s="135">
        <v>6677.6551512558244</v>
      </c>
      <c r="V76" s="135">
        <v>0</v>
      </c>
      <c r="W76" s="135">
        <v>0</v>
      </c>
      <c r="X76" s="135">
        <v>0</v>
      </c>
      <c r="Y76" s="135">
        <v>105.9945262104099</v>
      </c>
      <c r="Z76" s="135">
        <v>75.827332496819793</v>
      </c>
      <c r="AA76" s="135">
        <v>0</v>
      </c>
      <c r="AB76" s="135">
        <v>626.7031885688441</v>
      </c>
      <c r="AC76" s="135">
        <v>19.159661582096323</v>
      </c>
      <c r="AD76" s="135">
        <v>0</v>
      </c>
      <c r="AE76" s="135">
        <v>1137.2922054481853</v>
      </c>
      <c r="AF76" s="135">
        <v>80.566440341344872</v>
      </c>
      <c r="AG76" s="135">
        <v>60.958559053147439</v>
      </c>
      <c r="AH76" s="135">
        <v>8784.1570649566729</v>
      </c>
      <c r="AI76" s="135">
        <v>641.01512154557895</v>
      </c>
      <c r="AJ76" s="135">
        <v>-3.3508069399255631</v>
      </c>
      <c r="AK76" s="135">
        <v>0</v>
      </c>
      <c r="AL76" s="135">
        <v>0</v>
      </c>
      <c r="AM76" s="135">
        <v>-42.917812421788597</v>
      </c>
      <c r="AN76" s="135">
        <v>27.444482089514942</v>
      </c>
      <c r="AO76" s="135">
        <v>0</v>
      </c>
      <c r="AP76" s="135">
        <v>116.3513134941648</v>
      </c>
      <c r="AQ76" s="135">
        <v>19.159661582096323</v>
      </c>
      <c r="AR76" s="135">
        <v>38.940393822206794</v>
      </c>
      <c r="AS76" s="135">
        <v>115.1340883118562</v>
      </c>
      <c r="AT76" s="135">
        <v>-4.7715863494344717</v>
      </c>
      <c r="AU76" s="135">
        <v>-47.867418034441286</v>
      </c>
      <c r="AV76" s="135">
        <v>859.13743894848653</v>
      </c>
      <c r="AW76" s="135"/>
      <c r="AX76" s="164"/>
      <c r="AY76" s="132"/>
      <c r="AZ76" s="135"/>
      <c r="BA76" s="135"/>
    </row>
    <row r="77" spans="1:53" ht="16.5" x14ac:dyDescent="0.3">
      <c r="A77" s="165">
        <v>100</v>
      </c>
      <c r="B77" s="165">
        <v>1</v>
      </c>
      <c r="C77" s="166" t="s">
        <v>307</v>
      </c>
      <c r="D77" s="167">
        <v>6</v>
      </c>
      <c r="E77" s="163">
        <v>323.81</v>
      </c>
      <c r="F77" s="135">
        <v>6245.8589913838368</v>
      </c>
      <c r="G77" s="135">
        <v>16.487446341990672</v>
      </c>
      <c r="H77" s="135">
        <v>627.75856211976156</v>
      </c>
      <c r="I77" s="135">
        <v>0</v>
      </c>
      <c r="J77" s="135">
        <v>140.62746672431365</v>
      </c>
      <c r="K77" s="135">
        <v>667.26898489855159</v>
      </c>
      <c r="L77" s="135">
        <v>0</v>
      </c>
      <c r="M77" s="135">
        <v>534.47184280959823</v>
      </c>
      <c r="N77" s="135">
        <v>0</v>
      </c>
      <c r="O77" s="135">
        <v>-61.598684413699395</v>
      </c>
      <c r="P77" s="135">
        <v>1538.1957832414953</v>
      </c>
      <c r="Q77" s="135">
        <v>710.62187702665142</v>
      </c>
      <c r="R77" s="135">
        <v>126.8227973194157</v>
      </c>
      <c r="S77" s="135">
        <v>10546.515067451914</v>
      </c>
      <c r="T77" s="135"/>
      <c r="U77" s="135">
        <v>6944.6813872332541</v>
      </c>
      <c r="V77" s="135">
        <v>0</v>
      </c>
      <c r="W77" s="135">
        <v>317.18489237515826</v>
      </c>
      <c r="X77" s="135">
        <v>0</v>
      </c>
      <c r="Y77" s="135">
        <v>86.364658287267233</v>
      </c>
      <c r="Z77" s="135">
        <v>812.55998888236923</v>
      </c>
      <c r="AA77" s="135">
        <v>0</v>
      </c>
      <c r="AB77" s="135">
        <v>661.33656254883783</v>
      </c>
      <c r="AC77" s="135">
        <v>61.031569611622629</v>
      </c>
      <c r="AD77" s="135">
        <v>0</v>
      </c>
      <c r="AE77" s="135">
        <v>1588.9166263531965</v>
      </c>
      <c r="AF77" s="135">
        <v>630.49299243383462</v>
      </c>
      <c r="AG77" s="135">
        <v>76.993576480034591</v>
      </c>
      <c r="AH77" s="135">
        <v>11179.562254205575</v>
      </c>
      <c r="AI77" s="135">
        <v>698.82239584941726</v>
      </c>
      <c r="AJ77" s="135">
        <v>-16.487446341990672</v>
      </c>
      <c r="AK77" s="135">
        <v>-310.57366974460331</v>
      </c>
      <c r="AL77" s="135">
        <v>0</v>
      </c>
      <c r="AM77" s="135">
        <v>-54.262808437046417</v>
      </c>
      <c r="AN77" s="135">
        <v>145.29100398381763</v>
      </c>
      <c r="AO77" s="135">
        <v>0</v>
      </c>
      <c r="AP77" s="135">
        <v>126.8647197392396</v>
      </c>
      <c r="AQ77" s="135">
        <v>61.031569611622629</v>
      </c>
      <c r="AR77" s="135">
        <v>61.598684413699395</v>
      </c>
      <c r="AS77" s="135">
        <v>50.720843111701242</v>
      </c>
      <c r="AT77" s="135">
        <v>-80.128884592816803</v>
      </c>
      <c r="AU77" s="135">
        <v>-49.829220839381108</v>
      </c>
      <c r="AV77" s="135">
        <v>633.04718774875937</v>
      </c>
      <c r="AW77" s="135"/>
      <c r="AX77" s="164"/>
      <c r="AY77" s="132"/>
      <c r="AZ77" s="135"/>
      <c r="BA77" s="135"/>
    </row>
    <row r="78" spans="1:53" ht="16.5" x14ac:dyDescent="0.3">
      <c r="A78" s="165">
        <v>108</v>
      </c>
      <c r="B78" s="165">
        <v>1</v>
      </c>
      <c r="C78" s="166" t="s">
        <v>309</v>
      </c>
      <c r="D78" s="167">
        <v>3</v>
      </c>
      <c r="E78" s="163">
        <v>1015.12</v>
      </c>
      <c r="F78" s="135">
        <v>6039.3108203956181</v>
      </c>
      <c r="G78" s="135">
        <v>0</v>
      </c>
      <c r="H78" s="135">
        <v>643.35099298605098</v>
      </c>
      <c r="I78" s="135">
        <v>0</v>
      </c>
      <c r="J78" s="135">
        <v>167.21110804633935</v>
      </c>
      <c r="K78" s="135">
        <v>144.28345417290569</v>
      </c>
      <c r="L78" s="135">
        <v>0</v>
      </c>
      <c r="M78" s="135">
        <v>954.2236918106862</v>
      </c>
      <c r="N78" s="135">
        <v>0</v>
      </c>
      <c r="O78" s="135">
        <v>-56.245104027110095</v>
      </c>
      <c r="P78" s="135">
        <v>1297.4377177082511</v>
      </c>
      <c r="Q78" s="135">
        <v>130.90183426589959</v>
      </c>
      <c r="R78" s="135">
        <v>154.54398494759241</v>
      </c>
      <c r="S78" s="135">
        <v>9475.0185003062325</v>
      </c>
      <c r="T78" s="135"/>
      <c r="U78" s="135">
        <v>6674.9763574749786</v>
      </c>
      <c r="V78" s="135">
        <v>0</v>
      </c>
      <c r="W78" s="135">
        <v>0</v>
      </c>
      <c r="X78" s="135">
        <v>428.59585374871972</v>
      </c>
      <c r="Y78" s="135">
        <v>105.95200567420601</v>
      </c>
      <c r="Z78" s="135">
        <v>198.40367361496658</v>
      </c>
      <c r="AA78" s="135">
        <v>0</v>
      </c>
      <c r="AB78" s="135">
        <v>1167.8516173866078</v>
      </c>
      <c r="AC78" s="135">
        <v>43.390725139295583</v>
      </c>
      <c r="AD78" s="135">
        <v>0</v>
      </c>
      <c r="AE78" s="135">
        <v>1428.9353983410829</v>
      </c>
      <c r="AF78" s="135">
        <v>141.53068602726771</v>
      </c>
      <c r="AG78" s="135">
        <v>104.77617424540941</v>
      </c>
      <c r="AH78" s="135">
        <v>10294.412491652536</v>
      </c>
      <c r="AI78" s="135">
        <v>635.66553707936055</v>
      </c>
      <c r="AJ78" s="135">
        <v>0</v>
      </c>
      <c r="AK78" s="135">
        <v>-643.35099298605098</v>
      </c>
      <c r="AL78" s="135">
        <v>428.59585374871972</v>
      </c>
      <c r="AM78" s="135">
        <v>-61.259102372133341</v>
      </c>
      <c r="AN78" s="135">
        <v>54.120219442060886</v>
      </c>
      <c r="AO78" s="135">
        <v>0</v>
      </c>
      <c r="AP78" s="135">
        <v>213.62792557592161</v>
      </c>
      <c r="AQ78" s="135">
        <v>43.390725139295583</v>
      </c>
      <c r="AR78" s="135">
        <v>56.245104027110095</v>
      </c>
      <c r="AS78" s="135">
        <v>131.49768063283182</v>
      </c>
      <c r="AT78" s="135">
        <v>10.628851761368111</v>
      </c>
      <c r="AU78" s="135">
        <v>-49.767810702182999</v>
      </c>
      <c r="AV78" s="135">
        <v>819.39399311560294</v>
      </c>
      <c r="AW78" s="135"/>
      <c r="AX78" s="164"/>
      <c r="AY78" s="132"/>
      <c r="AZ78" s="135"/>
      <c r="BA78" s="135"/>
    </row>
    <row r="79" spans="1:53" ht="16.5" x14ac:dyDescent="0.3">
      <c r="A79" s="165">
        <v>110</v>
      </c>
      <c r="B79" s="165">
        <v>1</v>
      </c>
      <c r="C79" s="166" t="s">
        <v>311</v>
      </c>
      <c r="D79" s="167">
        <v>3</v>
      </c>
      <c r="E79" s="163">
        <v>3642.46</v>
      </c>
      <c r="F79" s="135">
        <v>5995.0091970810936</v>
      </c>
      <c r="G79" s="135">
        <v>0</v>
      </c>
      <c r="H79" s="135">
        <v>785.75774339320128</v>
      </c>
      <c r="I79" s="135">
        <v>0</v>
      </c>
      <c r="J79" s="135">
        <v>155.7853181640979</v>
      </c>
      <c r="K79" s="135">
        <v>55.996214097066272</v>
      </c>
      <c r="L79" s="135">
        <v>0</v>
      </c>
      <c r="M79" s="135">
        <v>690.7416501735014</v>
      </c>
      <c r="N79" s="135">
        <v>0</v>
      </c>
      <c r="O79" s="135">
        <v>-14.442321947255426</v>
      </c>
      <c r="P79" s="135">
        <v>1932.013027459464</v>
      </c>
      <c r="Q79" s="135">
        <v>62.302649857513877</v>
      </c>
      <c r="R79" s="135">
        <v>111.3561494155049</v>
      </c>
      <c r="S79" s="135">
        <v>9774.5196276941897</v>
      </c>
      <c r="T79" s="135"/>
      <c r="U79" s="135">
        <v>6629.0045738319704</v>
      </c>
      <c r="V79" s="135">
        <v>0</v>
      </c>
      <c r="W79" s="135">
        <v>49.20194593763555</v>
      </c>
      <c r="X79" s="135">
        <v>521.25801658506487</v>
      </c>
      <c r="Y79" s="135">
        <v>101.7078705050982</v>
      </c>
      <c r="Z79" s="135">
        <v>62.251245777770308</v>
      </c>
      <c r="AA79" s="135">
        <v>0</v>
      </c>
      <c r="AB79" s="135">
        <v>796.39908343888749</v>
      </c>
      <c r="AC79" s="135">
        <v>26.629292730277378</v>
      </c>
      <c r="AD79" s="135">
        <v>22.854282545312781</v>
      </c>
      <c r="AE79" s="135">
        <v>1932.3376848591338</v>
      </c>
      <c r="AF79" s="135">
        <v>69.583504005534721</v>
      </c>
      <c r="AG79" s="135">
        <v>65.10984883842238</v>
      </c>
      <c r="AH79" s="135">
        <v>10276.337349055109</v>
      </c>
      <c r="AI79" s="135">
        <v>633.99537675087686</v>
      </c>
      <c r="AJ79" s="135">
        <v>0</v>
      </c>
      <c r="AK79" s="135">
        <v>-736.55579745556577</v>
      </c>
      <c r="AL79" s="135">
        <v>521.25801658506487</v>
      </c>
      <c r="AM79" s="135">
        <v>-54.077447658999702</v>
      </c>
      <c r="AN79" s="135">
        <v>6.255031680704036</v>
      </c>
      <c r="AO79" s="135">
        <v>0</v>
      </c>
      <c r="AP79" s="135">
        <v>105.65743326538609</v>
      </c>
      <c r="AQ79" s="135">
        <v>26.629292730277378</v>
      </c>
      <c r="AR79" s="135">
        <v>37.296604492568207</v>
      </c>
      <c r="AS79" s="135">
        <v>0.32465739966983165</v>
      </c>
      <c r="AT79" s="135">
        <v>7.2808541480208433</v>
      </c>
      <c r="AU79" s="135">
        <v>-46.246300577082522</v>
      </c>
      <c r="AV79" s="135">
        <v>501.81772315684378</v>
      </c>
      <c r="AW79" s="135"/>
      <c r="AX79" s="164"/>
      <c r="AY79" s="132"/>
      <c r="AZ79" s="135"/>
      <c r="BA79" s="135"/>
    </row>
    <row r="80" spans="1:53" ht="16.5" x14ac:dyDescent="0.3">
      <c r="A80" s="165">
        <v>111</v>
      </c>
      <c r="B80" s="165">
        <v>1</v>
      </c>
      <c r="C80" s="166" t="s">
        <v>313</v>
      </c>
      <c r="D80" s="167">
        <v>3</v>
      </c>
      <c r="E80" s="163">
        <v>1608.71</v>
      </c>
      <c r="F80" s="135">
        <v>6020.7630213027824</v>
      </c>
      <c r="G80" s="135">
        <v>0</v>
      </c>
      <c r="H80" s="135">
        <v>598.31860932051143</v>
      </c>
      <c r="I80" s="135">
        <v>0</v>
      </c>
      <c r="J80" s="135">
        <v>169.80936899751975</v>
      </c>
      <c r="K80" s="135">
        <v>135.76412156324011</v>
      </c>
      <c r="L80" s="135">
        <v>0</v>
      </c>
      <c r="M80" s="135">
        <v>846.18281383409055</v>
      </c>
      <c r="N80" s="135">
        <v>0</v>
      </c>
      <c r="O80" s="135">
        <v>-32.034592934711661</v>
      </c>
      <c r="P80" s="135">
        <v>2815.5126065338955</v>
      </c>
      <c r="Q80" s="135">
        <v>103.4962734116155</v>
      </c>
      <c r="R80" s="135">
        <v>116.23394521075893</v>
      </c>
      <c r="S80" s="135">
        <v>10774.046167239703</v>
      </c>
      <c r="T80" s="135"/>
      <c r="U80" s="135">
        <v>6652.6912868074414</v>
      </c>
      <c r="V80" s="135">
        <v>0</v>
      </c>
      <c r="W80" s="135">
        <v>0</v>
      </c>
      <c r="X80" s="135">
        <v>384.15257893299923</v>
      </c>
      <c r="Y80" s="135">
        <v>105.59827439376892</v>
      </c>
      <c r="Z80" s="135">
        <v>189.14742268878788</v>
      </c>
      <c r="AA80" s="135">
        <v>0</v>
      </c>
      <c r="AB80" s="135">
        <v>991.82274010670426</v>
      </c>
      <c r="AC80" s="135">
        <v>25.4967182990871</v>
      </c>
      <c r="AD80" s="135">
        <v>5.3960688999260267</v>
      </c>
      <c r="AE80" s="135">
        <v>2848.9072922920495</v>
      </c>
      <c r="AF80" s="135">
        <v>109.90668299444897</v>
      </c>
      <c r="AG80" s="135">
        <v>65.094622399313735</v>
      </c>
      <c r="AH80" s="135">
        <v>11378.213687814528</v>
      </c>
      <c r="AI80" s="135">
        <v>631.92826550465907</v>
      </c>
      <c r="AJ80" s="135">
        <v>0</v>
      </c>
      <c r="AK80" s="135">
        <v>-598.31860932051143</v>
      </c>
      <c r="AL80" s="135">
        <v>384.15257893299923</v>
      </c>
      <c r="AM80" s="135">
        <v>-64.211094603750837</v>
      </c>
      <c r="AN80" s="135">
        <v>53.383301125547774</v>
      </c>
      <c r="AO80" s="135">
        <v>0</v>
      </c>
      <c r="AP80" s="135">
        <v>145.63992627261371</v>
      </c>
      <c r="AQ80" s="135">
        <v>25.4967182990871</v>
      </c>
      <c r="AR80" s="135">
        <v>37.430661834637689</v>
      </c>
      <c r="AS80" s="135">
        <v>33.394685758154083</v>
      </c>
      <c r="AT80" s="135">
        <v>6.4104095828334664</v>
      </c>
      <c r="AU80" s="135">
        <v>-51.139322811445197</v>
      </c>
      <c r="AV80" s="135">
        <v>604.16752560143732</v>
      </c>
      <c r="AW80" s="135"/>
      <c r="AX80" s="164"/>
      <c r="AY80" s="132"/>
      <c r="AZ80" s="135"/>
      <c r="BA80" s="135"/>
    </row>
    <row r="81" spans="1:54" ht="16.5" x14ac:dyDescent="0.3">
      <c r="A81" s="165">
        <v>112</v>
      </c>
      <c r="B81" s="165">
        <v>1</v>
      </c>
      <c r="C81" s="166" t="s">
        <v>315</v>
      </c>
      <c r="D81" s="167">
        <v>3</v>
      </c>
      <c r="E81" s="163">
        <v>8986.91</v>
      </c>
      <c r="F81" s="135">
        <v>6044.8569040971815</v>
      </c>
      <c r="G81" s="135">
        <v>4.5475285721121059</v>
      </c>
      <c r="H81" s="135">
        <v>1398.9763333559588</v>
      </c>
      <c r="I81" s="135">
        <v>0</v>
      </c>
      <c r="J81" s="135">
        <v>115.72765166225099</v>
      </c>
      <c r="K81" s="135">
        <v>212.24064778661409</v>
      </c>
      <c r="L81" s="135">
        <v>0</v>
      </c>
      <c r="M81" s="135">
        <v>898.50084119936867</v>
      </c>
      <c r="N81" s="135">
        <v>0</v>
      </c>
      <c r="O81" s="135">
        <v>-18.875542316547065</v>
      </c>
      <c r="P81" s="135">
        <v>2573.9336770925715</v>
      </c>
      <c r="Q81" s="135">
        <v>14.533576056731402</v>
      </c>
      <c r="R81" s="135">
        <v>116.45465905411315</v>
      </c>
      <c r="S81" s="135">
        <v>11360.896276560356</v>
      </c>
      <c r="T81" s="135"/>
      <c r="U81" s="135">
        <v>6696.3775090659637</v>
      </c>
      <c r="V81" s="135">
        <v>0</v>
      </c>
      <c r="W81" s="135">
        <v>666.08100782137581</v>
      </c>
      <c r="X81" s="135">
        <v>523.55409143333463</v>
      </c>
      <c r="Y81" s="135">
        <v>57.772009511611884</v>
      </c>
      <c r="Z81" s="135">
        <v>173.47838758927767</v>
      </c>
      <c r="AA81" s="135">
        <v>0</v>
      </c>
      <c r="AB81" s="135">
        <v>1012.9971645347186</v>
      </c>
      <c r="AC81" s="135">
        <v>47.529787338541901</v>
      </c>
      <c r="AD81" s="135">
        <v>18.467719160423329</v>
      </c>
      <c r="AE81" s="135">
        <v>2572.6899218503358</v>
      </c>
      <c r="AF81" s="135">
        <v>22.913456349290247</v>
      </c>
      <c r="AG81" s="135">
        <v>66.456552919746613</v>
      </c>
      <c r="AH81" s="135">
        <v>11858.317607574621</v>
      </c>
      <c r="AI81" s="135">
        <v>651.52060496878221</v>
      </c>
      <c r="AJ81" s="135">
        <v>-4.5475285721121059</v>
      </c>
      <c r="AK81" s="135">
        <v>-732.89532553458298</v>
      </c>
      <c r="AL81" s="135">
        <v>523.55409143333463</v>
      </c>
      <c r="AM81" s="135">
        <v>-57.955642150639108</v>
      </c>
      <c r="AN81" s="135">
        <v>-38.762260197336417</v>
      </c>
      <c r="AO81" s="135">
        <v>0</v>
      </c>
      <c r="AP81" s="135">
        <v>114.49632333534998</v>
      </c>
      <c r="AQ81" s="135">
        <v>47.529787338541901</v>
      </c>
      <c r="AR81" s="135">
        <v>37.343261476970397</v>
      </c>
      <c r="AS81" s="135">
        <v>-1.243755242235693</v>
      </c>
      <c r="AT81" s="135">
        <v>8.3798802925588447</v>
      </c>
      <c r="AU81" s="135">
        <v>-49.998106134366537</v>
      </c>
      <c r="AV81" s="135">
        <v>497.42133734149706</v>
      </c>
      <c r="AW81" s="135"/>
      <c r="AX81" s="164"/>
      <c r="AY81" s="132"/>
      <c r="AZ81" s="135"/>
      <c r="BA81" s="135"/>
      <c r="BB81" s="132"/>
    </row>
    <row r="82" spans="1:54" ht="16.5" x14ac:dyDescent="0.3">
      <c r="A82" s="165">
        <v>113</v>
      </c>
      <c r="B82" s="165">
        <v>1</v>
      </c>
      <c r="C82" s="166" t="s">
        <v>317</v>
      </c>
      <c r="D82" s="167">
        <v>6</v>
      </c>
      <c r="E82" s="163">
        <v>771.52</v>
      </c>
      <c r="F82" s="135">
        <v>6045.6668394856906</v>
      </c>
      <c r="G82" s="135">
        <v>36.477680423060967</v>
      </c>
      <c r="H82" s="135">
        <v>0</v>
      </c>
      <c r="I82" s="135">
        <v>0</v>
      </c>
      <c r="J82" s="135">
        <v>188.70346847781005</v>
      </c>
      <c r="K82" s="135">
        <v>866.5209845499794</v>
      </c>
      <c r="L82" s="135">
        <v>0</v>
      </c>
      <c r="M82" s="135">
        <v>1005.5277498353742</v>
      </c>
      <c r="N82" s="135">
        <v>0</v>
      </c>
      <c r="O82" s="135">
        <v>-62.862440377436748</v>
      </c>
      <c r="P82" s="135">
        <v>2156.0241238075487</v>
      </c>
      <c r="Q82" s="135">
        <v>553.61863593944418</v>
      </c>
      <c r="R82" s="135">
        <v>125.08900611779346</v>
      </c>
      <c r="S82" s="135">
        <v>10914.766048259267</v>
      </c>
      <c r="T82" s="135"/>
      <c r="U82" s="135">
        <v>6706.1814599751142</v>
      </c>
      <c r="V82" s="135">
        <v>0</v>
      </c>
      <c r="W82" s="135">
        <v>0</v>
      </c>
      <c r="X82" s="135">
        <v>0</v>
      </c>
      <c r="Y82" s="135">
        <v>105.83653048527582</v>
      </c>
      <c r="Z82" s="135">
        <v>1022.3017509447365</v>
      </c>
      <c r="AA82" s="135">
        <v>0</v>
      </c>
      <c r="AB82" s="135">
        <v>1107.7693318989743</v>
      </c>
      <c r="AC82" s="135">
        <v>83.249372416532893</v>
      </c>
      <c r="AD82" s="135">
        <v>0</v>
      </c>
      <c r="AE82" s="135">
        <v>2264.8992975360329</v>
      </c>
      <c r="AF82" s="135">
        <v>612.30254038848807</v>
      </c>
      <c r="AG82" s="135">
        <v>77.794133658233093</v>
      </c>
      <c r="AH82" s="135">
        <v>11980.334417303387</v>
      </c>
      <c r="AI82" s="135">
        <v>660.51462048942358</v>
      </c>
      <c r="AJ82" s="135">
        <v>-36.477680423060967</v>
      </c>
      <c r="AK82" s="135">
        <v>0</v>
      </c>
      <c r="AL82" s="135">
        <v>0</v>
      </c>
      <c r="AM82" s="135">
        <v>-82.866937992534233</v>
      </c>
      <c r="AN82" s="135">
        <v>155.78076639475705</v>
      </c>
      <c r="AO82" s="135">
        <v>0</v>
      </c>
      <c r="AP82" s="135">
        <v>102.24158206360016</v>
      </c>
      <c r="AQ82" s="135">
        <v>83.249372416532893</v>
      </c>
      <c r="AR82" s="135">
        <v>62.862440377436748</v>
      </c>
      <c r="AS82" s="135">
        <v>108.87517372848424</v>
      </c>
      <c r="AT82" s="135">
        <v>58.683904449043894</v>
      </c>
      <c r="AU82" s="135">
        <v>-47.294872459560366</v>
      </c>
      <c r="AV82" s="135">
        <v>1065.5683716790372</v>
      </c>
      <c r="AW82" s="135"/>
      <c r="AX82" s="132"/>
      <c r="AY82" s="132"/>
      <c r="AZ82" s="155"/>
      <c r="BA82" s="155"/>
      <c r="BB82" s="132"/>
    </row>
    <row r="83" spans="1:54" ht="16.5" x14ac:dyDescent="0.3">
      <c r="A83" s="165">
        <v>115</v>
      </c>
      <c r="B83" s="165">
        <v>1</v>
      </c>
      <c r="C83" s="166" t="s">
        <v>319</v>
      </c>
      <c r="D83" s="167">
        <v>5</v>
      </c>
      <c r="E83" s="163">
        <v>1098.4100000000001</v>
      </c>
      <c r="F83" s="135">
        <v>5903.2945439316827</v>
      </c>
      <c r="G83" s="135">
        <v>377.78146593712728</v>
      </c>
      <c r="H83" s="135">
        <v>11.68540890924154</v>
      </c>
      <c r="I83" s="135">
        <v>0</v>
      </c>
      <c r="J83" s="135">
        <v>147.76915723636893</v>
      </c>
      <c r="K83" s="135">
        <v>2222.0324377964512</v>
      </c>
      <c r="L83" s="135">
        <v>0</v>
      </c>
      <c r="M83" s="135">
        <v>1933.2398481534215</v>
      </c>
      <c r="N83" s="135">
        <v>0</v>
      </c>
      <c r="O83" s="135">
        <v>-41.589142487777785</v>
      </c>
      <c r="P83" s="135">
        <v>2067.7946584608662</v>
      </c>
      <c r="Q83" s="135">
        <v>473.57865460074106</v>
      </c>
      <c r="R83" s="135">
        <v>111.24292386267422</v>
      </c>
      <c r="S83" s="135">
        <v>13206.829956400796</v>
      </c>
      <c r="T83" s="135"/>
      <c r="U83" s="135">
        <v>6524.0310994983656</v>
      </c>
      <c r="V83" s="135">
        <v>0</v>
      </c>
      <c r="W83" s="135">
        <v>78.795795741116692</v>
      </c>
      <c r="X83" s="135">
        <v>0</v>
      </c>
      <c r="Y83" s="135">
        <v>97.92777742373066</v>
      </c>
      <c r="Z83" s="135">
        <v>2440.3338735080706</v>
      </c>
      <c r="AA83" s="135">
        <v>0</v>
      </c>
      <c r="AB83" s="135">
        <v>2248.2327999841946</v>
      </c>
      <c r="AC83" s="135">
        <v>187.29714111112659</v>
      </c>
      <c r="AD83" s="135">
        <v>0</v>
      </c>
      <c r="AE83" s="135">
        <v>2190.6983959624754</v>
      </c>
      <c r="AF83" s="135">
        <v>459.27576223814418</v>
      </c>
      <c r="AG83" s="135">
        <v>65.446745750675973</v>
      </c>
      <c r="AH83" s="135">
        <v>14292.039391217901</v>
      </c>
      <c r="AI83" s="135">
        <v>620.73655556668291</v>
      </c>
      <c r="AJ83" s="135">
        <v>-377.78146593712728</v>
      </c>
      <c r="AK83" s="135">
        <v>67.110386831875147</v>
      </c>
      <c r="AL83" s="135">
        <v>0</v>
      </c>
      <c r="AM83" s="135">
        <v>-49.841379812638266</v>
      </c>
      <c r="AN83" s="135">
        <v>218.30143571161943</v>
      </c>
      <c r="AO83" s="135">
        <v>0</v>
      </c>
      <c r="AP83" s="135">
        <v>314.99295183077311</v>
      </c>
      <c r="AQ83" s="135">
        <v>187.29714111112659</v>
      </c>
      <c r="AR83" s="135">
        <v>41.589142487777785</v>
      </c>
      <c r="AS83" s="135">
        <v>122.90373750160916</v>
      </c>
      <c r="AT83" s="135">
        <v>-14.302892362596879</v>
      </c>
      <c r="AU83" s="135">
        <v>-45.796178111998245</v>
      </c>
      <c r="AV83" s="135">
        <v>1085.2094400964868</v>
      </c>
      <c r="AW83" s="135"/>
      <c r="AX83" s="164"/>
      <c r="AY83" s="132"/>
      <c r="AZ83" s="135"/>
      <c r="BA83" s="135"/>
      <c r="BB83" s="132"/>
    </row>
    <row r="84" spans="1:54" ht="16.5" x14ac:dyDescent="0.3">
      <c r="A84" s="165">
        <v>116</v>
      </c>
      <c r="B84" s="165">
        <v>1</v>
      </c>
      <c r="C84" s="166" t="s">
        <v>320</v>
      </c>
      <c r="D84" s="167">
        <v>6</v>
      </c>
      <c r="E84" s="163">
        <v>882.06</v>
      </c>
      <c r="F84" s="135">
        <v>5978.1118744756604</v>
      </c>
      <c r="G84" s="135">
        <v>54.745958324830518</v>
      </c>
      <c r="H84" s="135">
        <v>0</v>
      </c>
      <c r="I84" s="135">
        <v>0</v>
      </c>
      <c r="J84" s="135">
        <v>171.91607146906108</v>
      </c>
      <c r="K84" s="135">
        <v>721.39224089064237</v>
      </c>
      <c r="L84" s="135">
        <v>0</v>
      </c>
      <c r="M84" s="135">
        <v>887.38298701385395</v>
      </c>
      <c r="N84" s="135">
        <v>0</v>
      </c>
      <c r="O84" s="135">
        <v>-28.39049497766592</v>
      </c>
      <c r="P84" s="135">
        <v>1725.669416204275</v>
      </c>
      <c r="Q84" s="135">
        <v>185.21517810579778</v>
      </c>
      <c r="R84" s="135">
        <v>114.09511824592431</v>
      </c>
      <c r="S84" s="135">
        <v>9810.1383497523802</v>
      </c>
      <c r="T84" s="135"/>
      <c r="U84" s="135">
        <v>6591.0516291408749</v>
      </c>
      <c r="V84" s="135">
        <v>0</v>
      </c>
      <c r="W84" s="135">
        <v>0</v>
      </c>
      <c r="X84" s="135">
        <v>0</v>
      </c>
      <c r="Y84" s="135">
        <v>104.61986712922024</v>
      </c>
      <c r="Z84" s="135">
        <v>861.36638097181594</v>
      </c>
      <c r="AA84" s="135">
        <v>0</v>
      </c>
      <c r="AB84" s="135">
        <v>1072.9581460629317</v>
      </c>
      <c r="AC84" s="135">
        <v>82.600383132426742</v>
      </c>
      <c r="AD84" s="135">
        <v>8.6939097113575041</v>
      </c>
      <c r="AE84" s="135">
        <v>1776.1042631011496</v>
      </c>
      <c r="AF84" s="135">
        <v>207.38582360013703</v>
      </c>
      <c r="AG84" s="135">
        <v>67.981724599233615</v>
      </c>
      <c r="AH84" s="135">
        <v>10772.76212744915</v>
      </c>
      <c r="AI84" s="135">
        <v>612.93975466521442</v>
      </c>
      <c r="AJ84" s="135">
        <v>-54.745958324830518</v>
      </c>
      <c r="AK84" s="135">
        <v>0</v>
      </c>
      <c r="AL84" s="135">
        <v>0</v>
      </c>
      <c r="AM84" s="135">
        <v>-67.296204339840841</v>
      </c>
      <c r="AN84" s="135">
        <v>139.97414008117357</v>
      </c>
      <c r="AO84" s="135">
        <v>0</v>
      </c>
      <c r="AP84" s="135">
        <v>185.5751590490778</v>
      </c>
      <c r="AQ84" s="135">
        <v>82.600383132426742</v>
      </c>
      <c r="AR84" s="135">
        <v>37.084404689023422</v>
      </c>
      <c r="AS84" s="135">
        <v>50.43484689687466</v>
      </c>
      <c r="AT84" s="135">
        <v>22.170645494339254</v>
      </c>
      <c r="AU84" s="135">
        <v>-46.113393646690696</v>
      </c>
      <c r="AV84" s="135">
        <v>962.62377992086977</v>
      </c>
      <c r="AW84" s="135"/>
      <c r="AX84" s="132"/>
      <c r="AY84" s="132"/>
      <c r="AZ84" s="155"/>
      <c r="BA84" s="155"/>
      <c r="BB84" s="132"/>
    </row>
    <row r="85" spans="1:54" ht="16.5" x14ac:dyDescent="0.3">
      <c r="A85" s="165">
        <v>118</v>
      </c>
      <c r="B85" s="165">
        <v>1</v>
      </c>
      <c r="C85" s="166" t="s">
        <v>322</v>
      </c>
      <c r="D85" s="167">
        <v>6</v>
      </c>
      <c r="E85" s="163">
        <v>360.24</v>
      </c>
      <c r="F85" s="135">
        <v>6092.2014212747063</v>
      </c>
      <c r="G85" s="135">
        <v>0</v>
      </c>
      <c r="H85" s="135">
        <v>813.52917499444811</v>
      </c>
      <c r="I85" s="135">
        <v>0</v>
      </c>
      <c r="J85" s="135">
        <v>124.25805018876305</v>
      </c>
      <c r="K85" s="135">
        <v>1668.4122251832109</v>
      </c>
      <c r="L85" s="135">
        <v>0</v>
      </c>
      <c r="M85" s="135">
        <v>2280.3970119118198</v>
      </c>
      <c r="N85" s="135">
        <v>0</v>
      </c>
      <c r="O85" s="135">
        <v>-83.63177326226959</v>
      </c>
      <c r="P85" s="135">
        <v>861.20936597823675</v>
      </c>
      <c r="Q85" s="135">
        <v>2669.0174050632909</v>
      </c>
      <c r="R85" s="135">
        <v>112.39115589606929</v>
      </c>
      <c r="S85" s="135">
        <v>14537.784037228275</v>
      </c>
      <c r="T85" s="135"/>
      <c r="U85" s="135">
        <v>6739.9856762158561</v>
      </c>
      <c r="V85" s="135">
        <v>0</v>
      </c>
      <c r="W85" s="135">
        <v>496.29605263157896</v>
      </c>
      <c r="X85" s="135">
        <v>0</v>
      </c>
      <c r="Y85" s="135">
        <v>70.293665334221629</v>
      </c>
      <c r="Z85" s="135">
        <v>1927.075644015101</v>
      </c>
      <c r="AA85" s="135">
        <v>0</v>
      </c>
      <c r="AB85" s="135">
        <v>2741.2333070374948</v>
      </c>
      <c r="AC85" s="135">
        <v>127.11458541767691</v>
      </c>
      <c r="AD85" s="135">
        <v>0</v>
      </c>
      <c r="AE85" s="135">
        <v>896.12645977126363</v>
      </c>
      <c r="AF85" s="135">
        <v>2782.5858675459049</v>
      </c>
      <c r="AG85" s="135">
        <v>61.885326449033982</v>
      </c>
      <c r="AH85" s="135">
        <v>15842.596584418132</v>
      </c>
      <c r="AI85" s="135">
        <v>647.78425494114981</v>
      </c>
      <c r="AJ85" s="135">
        <v>0</v>
      </c>
      <c r="AK85" s="135">
        <v>-317.23312236286915</v>
      </c>
      <c r="AL85" s="135">
        <v>0</v>
      </c>
      <c r="AM85" s="135">
        <v>-53.964384854541422</v>
      </c>
      <c r="AN85" s="135">
        <v>258.66341883189011</v>
      </c>
      <c r="AO85" s="135">
        <v>0</v>
      </c>
      <c r="AP85" s="135">
        <v>460.83629512567495</v>
      </c>
      <c r="AQ85" s="135">
        <v>127.11458541767691</v>
      </c>
      <c r="AR85" s="135">
        <v>83.63177326226959</v>
      </c>
      <c r="AS85" s="135">
        <v>34.917093793026879</v>
      </c>
      <c r="AT85" s="135">
        <v>113.568462482614</v>
      </c>
      <c r="AU85" s="135">
        <v>-50.50582944703531</v>
      </c>
      <c r="AV85" s="135">
        <v>1304.8125558023289</v>
      </c>
      <c r="AW85" s="135"/>
      <c r="AX85" s="164"/>
      <c r="AY85" s="132"/>
      <c r="AZ85" s="135"/>
      <c r="BA85" s="135"/>
      <c r="BB85" s="132"/>
    </row>
    <row r="86" spans="1:54" ht="16.5" x14ac:dyDescent="0.3">
      <c r="A86" s="165">
        <v>129</v>
      </c>
      <c r="B86" s="165">
        <v>1</v>
      </c>
      <c r="C86" s="166" t="s">
        <v>324</v>
      </c>
      <c r="D86" s="167">
        <v>5</v>
      </c>
      <c r="E86" s="163">
        <v>1423.7600000000002</v>
      </c>
      <c r="F86" s="135">
        <v>6072.5661066471876</v>
      </c>
      <c r="G86" s="135">
        <v>8.2067974939596553</v>
      </c>
      <c r="H86" s="135">
        <v>978.45136118446919</v>
      </c>
      <c r="I86" s="135">
        <v>0</v>
      </c>
      <c r="J86" s="135">
        <v>119.34731274933975</v>
      </c>
      <c r="K86" s="135">
        <v>596.63803590492762</v>
      </c>
      <c r="L86" s="135">
        <v>108.48941816036407</v>
      </c>
      <c r="M86" s="135">
        <v>1071.8418838431546</v>
      </c>
      <c r="N86" s="135">
        <v>0</v>
      </c>
      <c r="O86" s="135">
        <v>-53.104055458785176</v>
      </c>
      <c r="P86" s="135">
        <v>1219.4667514187781</v>
      </c>
      <c r="Q86" s="135">
        <v>154.48775776816314</v>
      </c>
      <c r="R86" s="135">
        <v>95.715710513007792</v>
      </c>
      <c r="S86" s="135">
        <v>10372.107080224569</v>
      </c>
      <c r="T86" s="135"/>
      <c r="U86" s="135">
        <v>6707.6220711355836</v>
      </c>
      <c r="V86" s="135">
        <v>0</v>
      </c>
      <c r="W86" s="135">
        <v>667.24869360004482</v>
      </c>
      <c r="X86" s="135">
        <v>0</v>
      </c>
      <c r="Y86" s="135">
        <v>58.809567623756806</v>
      </c>
      <c r="Z86" s="135">
        <v>511.90648100091556</v>
      </c>
      <c r="AA86" s="135">
        <v>93.826234758667184</v>
      </c>
      <c r="AB86" s="135">
        <v>1248.5481432389377</v>
      </c>
      <c r="AC86" s="135">
        <v>67.789352636824447</v>
      </c>
      <c r="AD86" s="135">
        <v>0</v>
      </c>
      <c r="AE86" s="135">
        <v>1332.3527174636172</v>
      </c>
      <c r="AF86" s="135">
        <v>151.85843119626901</v>
      </c>
      <c r="AG86" s="135">
        <v>48.085800977692863</v>
      </c>
      <c r="AH86" s="135">
        <v>10888.04749363231</v>
      </c>
      <c r="AI86" s="135">
        <v>635.05596448839606</v>
      </c>
      <c r="AJ86" s="135">
        <v>-8.2067974939596553</v>
      </c>
      <c r="AK86" s="135">
        <v>-311.20266758442438</v>
      </c>
      <c r="AL86" s="135">
        <v>0</v>
      </c>
      <c r="AM86" s="135">
        <v>-60.537745125582944</v>
      </c>
      <c r="AN86" s="135">
        <v>-84.731554904012057</v>
      </c>
      <c r="AO86" s="135">
        <v>-14.663183401696884</v>
      </c>
      <c r="AP86" s="135">
        <v>176.70625939578304</v>
      </c>
      <c r="AQ86" s="135">
        <v>67.789352636824447</v>
      </c>
      <c r="AR86" s="135">
        <v>53.104055458785176</v>
      </c>
      <c r="AS86" s="135">
        <v>112.88596604483905</v>
      </c>
      <c r="AT86" s="135">
        <v>-2.6293265718941257</v>
      </c>
      <c r="AU86" s="135">
        <v>-47.62990953531493</v>
      </c>
      <c r="AV86" s="135">
        <v>515.94041444668403</v>
      </c>
      <c r="AW86" s="135"/>
      <c r="AX86" s="164"/>
      <c r="AY86" s="132"/>
      <c r="AZ86" s="135"/>
      <c r="BA86" s="135"/>
      <c r="BB86" s="132"/>
    </row>
    <row r="87" spans="1:54" s="134" customFormat="1" ht="16.5" x14ac:dyDescent="0.3">
      <c r="A87" s="160">
        <v>138</v>
      </c>
      <c r="B87" s="160">
        <v>1</v>
      </c>
      <c r="C87" s="161" t="s">
        <v>325</v>
      </c>
      <c r="D87" s="162">
        <v>4</v>
      </c>
      <c r="E87" s="163">
        <v>3103.42</v>
      </c>
      <c r="F87" s="155">
        <v>6096.0357541035373</v>
      </c>
      <c r="G87" s="155">
        <v>20.281222006689394</v>
      </c>
      <c r="H87" s="155">
        <v>0</v>
      </c>
      <c r="I87" s="155">
        <v>0</v>
      </c>
      <c r="J87" s="155">
        <v>101.07131164972836</v>
      </c>
      <c r="K87" s="155">
        <v>321.43552919037705</v>
      </c>
      <c r="L87" s="155">
        <v>0</v>
      </c>
      <c r="M87" s="155">
        <v>1042.1762236554819</v>
      </c>
      <c r="N87" s="155">
        <v>0</v>
      </c>
      <c r="O87" s="155">
        <v>-36.113152586501343</v>
      </c>
      <c r="P87" s="155">
        <v>1876.9044349229468</v>
      </c>
      <c r="Q87" s="155">
        <v>95.688156936540963</v>
      </c>
      <c r="R87" s="155">
        <v>387.9276926745332</v>
      </c>
      <c r="S87" s="155">
        <v>9905.407172553334</v>
      </c>
      <c r="T87" s="155"/>
      <c r="U87" s="155">
        <v>6759.2803165539954</v>
      </c>
      <c r="V87" s="135">
        <v>0</v>
      </c>
      <c r="W87" s="155">
        <v>0</v>
      </c>
      <c r="X87" s="155">
        <v>35.050973400424965</v>
      </c>
      <c r="Y87" s="155">
        <v>106.31142417075355</v>
      </c>
      <c r="Z87" s="155">
        <v>312.57495732751784</v>
      </c>
      <c r="AA87" s="155">
        <v>0</v>
      </c>
      <c r="AB87" s="155">
        <v>1240.6529236940037</v>
      </c>
      <c r="AC87" s="155">
        <v>74.27856986209585</v>
      </c>
      <c r="AD87" s="155">
        <v>1.5734093355072789</v>
      </c>
      <c r="AE87" s="155">
        <v>1946.2908508716653</v>
      </c>
      <c r="AF87" s="155">
        <v>105.86491676924167</v>
      </c>
      <c r="AG87" s="155">
        <v>335.5553615044048</v>
      </c>
      <c r="AH87" s="155">
        <v>10917.433703489611</v>
      </c>
      <c r="AI87" s="155">
        <v>663.24456245045803</v>
      </c>
      <c r="AJ87" s="155">
        <v>-20.281222006689394</v>
      </c>
      <c r="AK87" s="155">
        <v>0</v>
      </c>
      <c r="AL87" s="155">
        <v>35.050973400424965</v>
      </c>
      <c r="AM87" s="155">
        <v>5.2401125210251962</v>
      </c>
      <c r="AN87" s="155">
        <v>-8.8605718628592172</v>
      </c>
      <c r="AO87" s="155">
        <v>0</v>
      </c>
      <c r="AP87" s="155">
        <v>198.47670003852181</v>
      </c>
      <c r="AQ87" s="155">
        <v>74.27856986209585</v>
      </c>
      <c r="AR87" s="155">
        <v>37.686561922008622</v>
      </c>
      <c r="AS87" s="155">
        <v>69.386415948718422</v>
      </c>
      <c r="AT87" s="155">
        <v>10.176759832700711</v>
      </c>
      <c r="AU87" s="155">
        <v>-52.372331170128405</v>
      </c>
      <c r="AV87" s="135">
        <v>1012.0265389958322</v>
      </c>
      <c r="AW87" s="155"/>
      <c r="AX87" s="132"/>
      <c r="AY87" s="132"/>
      <c r="AZ87" s="155"/>
      <c r="BA87" s="155"/>
      <c r="BB87" s="132"/>
    </row>
    <row r="88" spans="1:54" ht="16.5" x14ac:dyDescent="0.3">
      <c r="A88" s="165">
        <v>139</v>
      </c>
      <c r="B88" s="165">
        <v>1</v>
      </c>
      <c r="C88" s="166" t="s">
        <v>327</v>
      </c>
      <c r="D88" s="167">
        <v>6</v>
      </c>
      <c r="E88" s="163">
        <v>911.26</v>
      </c>
      <c r="F88" s="135">
        <v>6029.1607664113426</v>
      </c>
      <c r="G88" s="135">
        <v>0</v>
      </c>
      <c r="H88" s="135">
        <v>0</v>
      </c>
      <c r="I88" s="135">
        <v>0</v>
      </c>
      <c r="J88" s="135">
        <v>163.29530540131248</v>
      </c>
      <c r="K88" s="135">
        <v>351.02484472049696</v>
      </c>
      <c r="L88" s="135">
        <v>0</v>
      </c>
      <c r="M88" s="135">
        <v>561.82111295151765</v>
      </c>
      <c r="N88" s="135">
        <v>0</v>
      </c>
      <c r="O88" s="135">
        <v>-43.158692360028972</v>
      </c>
      <c r="P88" s="135">
        <v>2021.7125122828361</v>
      </c>
      <c r="Q88" s="135">
        <v>146.57416105173058</v>
      </c>
      <c r="R88" s="135">
        <v>100.0790224524285</v>
      </c>
      <c r="S88" s="135">
        <v>9330.5090329116356</v>
      </c>
      <c r="T88" s="135"/>
      <c r="U88" s="135">
        <v>6672.1539406974962</v>
      </c>
      <c r="V88" s="135">
        <v>0</v>
      </c>
      <c r="W88" s="135">
        <v>0</v>
      </c>
      <c r="X88" s="135">
        <v>0</v>
      </c>
      <c r="Y88" s="135">
        <v>105.90720540789675</v>
      </c>
      <c r="Z88" s="135">
        <v>444.84989140747905</v>
      </c>
      <c r="AA88" s="135">
        <v>0</v>
      </c>
      <c r="AB88" s="135">
        <v>719.30835698414251</v>
      </c>
      <c r="AC88" s="135">
        <v>56.649374691494735</v>
      </c>
      <c r="AD88" s="135">
        <v>0</v>
      </c>
      <c r="AE88" s="135">
        <v>2022.2193050423118</v>
      </c>
      <c r="AF88" s="135">
        <v>144.98696310602904</v>
      </c>
      <c r="AG88" s="135">
        <v>53.910508526655398</v>
      </c>
      <c r="AH88" s="135">
        <v>10219.985545863505</v>
      </c>
      <c r="AI88" s="135">
        <v>642.99317428615359</v>
      </c>
      <c r="AJ88" s="135">
        <v>0</v>
      </c>
      <c r="AK88" s="135">
        <v>0</v>
      </c>
      <c r="AL88" s="135">
        <v>0</v>
      </c>
      <c r="AM88" s="135">
        <v>-57.388099993415722</v>
      </c>
      <c r="AN88" s="135">
        <v>93.825046686982091</v>
      </c>
      <c r="AO88" s="135">
        <v>0</v>
      </c>
      <c r="AP88" s="135">
        <v>157.48724403262486</v>
      </c>
      <c r="AQ88" s="135">
        <v>56.649374691494735</v>
      </c>
      <c r="AR88" s="135">
        <v>43.158692360028972</v>
      </c>
      <c r="AS88" s="135">
        <v>0.50679275947572933</v>
      </c>
      <c r="AT88" s="135">
        <v>-1.587197945701547</v>
      </c>
      <c r="AU88" s="135">
        <v>-46.168513925773105</v>
      </c>
      <c r="AV88" s="135">
        <v>889.47651441872642</v>
      </c>
      <c r="AW88" s="135"/>
      <c r="AX88" s="164"/>
      <c r="AY88" s="132"/>
      <c r="AZ88" s="135"/>
      <c r="BA88" s="135"/>
      <c r="BB88" s="132"/>
    </row>
    <row r="89" spans="1:54" ht="16.5" x14ac:dyDescent="0.3">
      <c r="A89" s="165">
        <v>146</v>
      </c>
      <c r="B89" s="165">
        <v>1</v>
      </c>
      <c r="C89" s="166" t="s">
        <v>329</v>
      </c>
      <c r="D89" s="167">
        <v>6</v>
      </c>
      <c r="E89" s="163">
        <v>873.91000000000008</v>
      </c>
      <c r="F89" s="135">
        <v>6019.9948278426828</v>
      </c>
      <c r="G89" s="135">
        <v>12.249716790058471</v>
      </c>
      <c r="H89" s="135">
        <v>1087.9894039431977</v>
      </c>
      <c r="I89" s="135">
        <v>0</v>
      </c>
      <c r="J89" s="135">
        <v>111.7916719112952</v>
      </c>
      <c r="K89" s="135">
        <v>115.21312263276538</v>
      </c>
      <c r="L89" s="135">
        <v>94.83876600565273</v>
      </c>
      <c r="M89" s="135">
        <v>601.16945490694457</v>
      </c>
      <c r="N89" s="135">
        <v>0</v>
      </c>
      <c r="O89" s="135">
        <v>-46.220411712876611</v>
      </c>
      <c r="P89" s="135">
        <v>380.33404126283028</v>
      </c>
      <c r="Q89" s="135">
        <v>257.43428957215275</v>
      </c>
      <c r="R89" s="135">
        <v>109.0385852090032</v>
      </c>
      <c r="S89" s="135">
        <v>8743.8334683637058</v>
      </c>
      <c r="T89" s="135"/>
      <c r="U89" s="135">
        <v>6657.2770651440078</v>
      </c>
      <c r="V89" s="135">
        <v>0</v>
      </c>
      <c r="W89" s="135">
        <v>783.22336396196397</v>
      </c>
      <c r="X89" s="135">
        <v>0</v>
      </c>
      <c r="Y89" s="135">
        <v>49.726539346156919</v>
      </c>
      <c r="Z89" s="135">
        <v>165.40118547676533</v>
      </c>
      <c r="AA89" s="135">
        <v>58.155290590564235</v>
      </c>
      <c r="AB89" s="135">
        <v>667.34365242192416</v>
      </c>
      <c r="AC89" s="135">
        <v>48.648486893812276</v>
      </c>
      <c r="AD89" s="135">
        <v>0</v>
      </c>
      <c r="AE89" s="135">
        <v>490.95100813928201</v>
      </c>
      <c r="AF89" s="135">
        <v>283.56332624701201</v>
      </c>
      <c r="AG89" s="135">
        <v>63.205673353091271</v>
      </c>
      <c r="AH89" s="135">
        <v>9267.4955915745795</v>
      </c>
      <c r="AI89" s="135">
        <v>637.28223730132504</v>
      </c>
      <c r="AJ89" s="135">
        <v>-12.249716790058471</v>
      </c>
      <c r="AK89" s="135">
        <v>-304.76603998123369</v>
      </c>
      <c r="AL89" s="135">
        <v>0</v>
      </c>
      <c r="AM89" s="135">
        <v>-62.065132565138278</v>
      </c>
      <c r="AN89" s="135">
        <v>50.188062843999958</v>
      </c>
      <c r="AO89" s="135">
        <v>-36.683475415088495</v>
      </c>
      <c r="AP89" s="135">
        <v>66.174197514979596</v>
      </c>
      <c r="AQ89" s="135">
        <v>48.648486893812276</v>
      </c>
      <c r="AR89" s="135">
        <v>46.220411712876611</v>
      </c>
      <c r="AS89" s="135">
        <v>110.61696687645173</v>
      </c>
      <c r="AT89" s="135">
        <v>26.129036674859265</v>
      </c>
      <c r="AU89" s="135">
        <v>-45.832911855911931</v>
      </c>
      <c r="AV89" s="135">
        <v>523.66213254260924</v>
      </c>
      <c r="AW89" s="135"/>
      <c r="AX89" s="132"/>
      <c r="AY89" s="132"/>
      <c r="AZ89" s="155"/>
      <c r="BA89" s="155"/>
      <c r="BB89" s="132"/>
    </row>
    <row r="90" spans="1:54" ht="16.5" x14ac:dyDescent="0.3">
      <c r="A90" s="165">
        <v>150</v>
      </c>
      <c r="B90" s="165">
        <v>1</v>
      </c>
      <c r="C90" s="166" t="s">
        <v>331</v>
      </c>
      <c r="D90" s="167">
        <v>6</v>
      </c>
      <c r="E90" s="163">
        <v>922.47</v>
      </c>
      <c r="F90" s="135">
        <v>6073.6850412479544</v>
      </c>
      <c r="G90" s="135">
        <v>0</v>
      </c>
      <c r="H90" s="135">
        <v>539.68831506715662</v>
      </c>
      <c r="I90" s="135">
        <v>0</v>
      </c>
      <c r="J90" s="135">
        <v>136.44863247585286</v>
      </c>
      <c r="K90" s="135">
        <v>100.59850184829858</v>
      </c>
      <c r="L90" s="135">
        <v>96.371463570631022</v>
      </c>
      <c r="M90" s="135">
        <v>446.75644014118615</v>
      </c>
      <c r="N90" s="135">
        <v>0</v>
      </c>
      <c r="O90" s="135">
        <v>-37.037648920832119</v>
      </c>
      <c r="P90" s="135">
        <v>1322.3123648465532</v>
      </c>
      <c r="Q90" s="135">
        <v>170.25850163148934</v>
      </c>
      <c r="R90" s="135">
        <v>363.48026494086531</v>
      </c>
      <c r="S90" s="135">
        <v>9212.5618768491549</v>
      </c>
      <c r="T90" s="135"/>
      <c r="U90" s="135">
        <v>6735.0385378386291</v>
      </c>
      <c r="V90" s="135">
        <v>0</v>
      </c>
      <c r="W90" s="135">
        <v>218.97427558619793</v>
      </c>
      <c r="X90" s="135">
        <v>0</v>
      </c>
      <c r="Y90" s="135">
        <v>91.264355480395025</v>
      </c>
      <c r="Z90" s="135">
        <v>142.46348993033902</v>
      </c>
      <c r="AA90" s="135">
        <v>63.645614491528178</v>
      </c>
      <c r="AB90" s="135">
        <v>547.94920229495904</v>
      </c>
      <c r="AC90" s="135">
        <v>32.822795141207074</v>
      </c>
      <c r="AD90" s="135">
        <v>0.855247325116264</v>
      </c>
      <c r="AE90" s="135">
        <v>1462.432804587683</v>
      </c>
      <c r="AF90" s="135">
        <v>164.01422268474857</v>
      </c>
      <c r="AG90" s="135">
        <v>316.6620269493859</v>
      </c>
      <c r="AH90" s="135">
        <v>9776.1225723101907</v>
      </c>
      <c r="AI90" s="135">
        <v>661.35349659067469</v>
      </c>
      <c r="AJ90" s="135">
        <v>0</v>
      </c>
      <c r="AK90" s="135">
        <v>-320.71403948095872</v>
      </c>
      <c r="AL90" s="135">
        <v>0</v>
      </c>
      <c r="AM90" s="135">
        <v>-45.184276995457836</v>
      </c>
      <c r="AN90" s="135">
        <v>41.864988082040441</v>
      </c>
      <c r="AO90" s="135">
        <v>-32.725849079102844</v>
      </c>
      <c r="AP90" s="135">
        <v>101.19276215377289</v>
      </c>
      <c r="AQ90" s="135">
        <v>32.822795141207074</v>
      </c>
      <c r="AR90" s="135">
        <v>37.892896245948386</v>
      </c>
      <c r="AS90" s="135">
        <v>140.12043974112976</v>
      </c>
      <c r="AT90" s="135">
        <v>-6.2442789467407636</v>
      </c>
      <c r="AU90" s="135">
        <v>-46.818237991479407</v>
      </c>
      <c r="AV90" s="135">
        <v>563.56070526269195</v>
      </c>
      <c r="AW90" s="135"/>
      <c r="AX90" s="164"/>
      <c r="AY90" s="132"/>
      <c r="AZ90" s="135"/>
      <c r="BA90" s="135"/>
      <c r="BB90" s="132"/>
    </row>
    <row r="91" spans="1:54" ht="16.5" x14ac:dyDescent="0.3">
      <c r="A91" s="165">
        <v>152</v>
      </c>
      <c r="B91" s="165">
        <v>1</v>
      </c>
      <c r="C91" s="166" t="s">
        <v>333</v>
      </c>
      <c r="D91" s="167">
        <v>4</v>
      </c>
      <c r="E91" s="163">
        <v>5587.8</v>
      </c>
      <c r="F91" s="135">
        <v>6026.1015498049328</v>
      </c>
      <c r="G91" s="135">
        <v>57.19259458105158</v>
      </c>
      <c r="H91" s="135">
        <v>1020.7940620637818</v>
      </c>
      <c r="I91" s="135">
        <v>0</v>
      </c>
      <c r="J91" s="135">
        <v>113.93530906617988</v>
      </c>
      <c r="K91" s="135">
        <v>560.2734940405885</v>
      </c>
      <c r="L91" s="135">
        <v>0</v>
      </c>
      <c r="M91" s="135">
        <v>1426.6355993823688</v>
      </c>
      <c r="N91" s="135">
        <v>0</v>
      </c>
      <c r="O91" s="135">
        <v>-50.628096925444716</v>
      </c>
      <c r="P91" s="135">
        <v>1399.3535468597404</v>
      </c>
      <c r="Q91" s="135">
        <v>77.010440602741681</v>
      </c>
      <c r="R91" s="135">
        <v>104.75840402305022</v>
      </c>
      <c r="S91" s="135">
        <v>10735.426903498992</v>
      </c>
      <c r="T91" s="135"/>
      <c r="U91" s="135">
        <v>6662.5335552453562</v>
      </c>
      <c r="V91" s="135">
        <v>0</v>
      </c>
      <c r="W91" s="135">
        <v>549.21485020938474</v>
      </c>
      <c r="X91" s="135">
        <v>247.86452133439013</v>
      </c>
      <c r="Y91" s="135">
        <v>66.524868463438196</v>
      </c>
      <c r="Z91" s="135">
        <v>608.57036086850906</v>
      </c>
      <c r="AA91" s="135">
        <v>0</v>
      </c>
      <c r="AB91" s="135">
        <v>1639.5295950156553</v>
      </c>
      <c r="AC91" s="135">
        <v>81.206542048650491</v>
      </c>
      <c r="AD91" s="135">
        <v>0</v>
      </c>
      <c r="AE91" s="135">
        <v>1530.4583696498239</v>
      </c>
      <c r="AF91" s="135">
        <v>83.440302086688845</v>
      </c>
      <c r="AG91" s="135">
        <v>57.692345824832664</v>
      </c>
      <c r="AH91" s="135">
        <v>11527.035310746729</v>
      </c>
      <c r="AI91" s="135">
        <v>636.43200544042338</v>
      </c>
      <c r="AJ91" s="135">
        <v>-57.19259458105158</v>
      </c>
      <c r="AK91" s="135">
        <v>-471.57921185439704</v>
      </c>
      <c r="AL91" s="135">
        <v>247.86452133439013</v>
      </c>
      <c r="AM91" s="135">
        <v>-47.410440602741687</v>
      </c>
      <c r="AN91" s="135">
        <v>48.296866827920553</v>
      </c>
      <c r="AO91" s="135">
        <v>0</v>
      </c>
      <c r="AP91" s="135">
        <v>212.89399563328652</v>
      </c>
      <c r="AQ91" s="135">
        <v>81.206542048650491</v>
      </c>
      <c r="AR91" s="135">
        <v>50.628096925444716</v>
      </c>
      <c r="AS91" s="135">
        <v>131.10482279008352</v>
      </c>
      <c r="AT91" s="135">
        <v>6.4298614839471639</v>
      </c>
      <c r="AU91" s="135">
        <v>-47.066058198217554</v>
      </c>
      <c r="AV91" s="135">
        <v>791.60841285612082</v>
      </c>
      <c r="AW91" s="135"/>
      <c r="AX91" s="164"/>
      <c r="AY91" s="132"/>
      <c r="AZ91" s="135"/>
      <c r="BA91" s="135"/>
      <c r="BB91" s="132"/>
    </row>
    <row r="92" spans="1:54" ht="16.5" x14ac:dyDescent="0.3">
      <c r="A92" s="165">
        <v>162</v>
      </c>
      <c r="B92" s="165">
        <v>1</v>
      </c>
      <c r="C92" s="166" t="s">
        <v>335</v>
      </c>
      <c r="D92" s="167">
        <v>6</v>
      </c>
      <c r="E92" s="163">
        <v>982.47</v>
      </c>
      <c r="F92" s="135">
        <v>5943.737640843995</v>
      </c>
      <c r="G92" s="135">
        <v>50.005221533481937</v>
      </c>
      <c r="H92" s="135">
        <v>0</v>
      </c>
      <c r="I92" s="135">
        <v>0</v>
      </c>
      <c r="J92" s="135">
        <v>168.07512697588729</v>
      </c>
      <c r="K92" s="135">
        <v>873.72176249656479</v>
      </c>
      <c r="L92" s="135">
        <v>0</v>
      </c>
      <c r="M92" s="135">
        <v>1251.3722700859057</v>
      </c>
      <c r="N92" s="135">
        <v>0</v>
      </c>
      <c r="O92" s="135">
        <v>-63.88730444695512</v>
      </c>
      <c r="P92" s="135">
        <v>1376.0879224810935</v>
      </c>
      <c r="Q92" s="135">
        <v>310.0892546337293</v>
      </c>
      <c r="R92" s="135">
        <v>93.749549604568074</v>
      </c>
      <c r="S92" s="135">
        <v>10002.951444208273</v>
      </c>
      <c r="T92" s="135"/>
      <c r="U92" s="135">
        <v>6567.5872851079421</v>
      </c>
      <c r="V92" s="135">
        <v>0</v>
      </c>
      <c r="W92" s="135">
        <v>0</v>
      </c>
      <c r="X92" s="135">
        <v>0</v>
      </c>
      <c r="Y92" s="135">
        <v>103.76805398638126</v>
      </c>
      <c r="Z92" s="135">
        <v>1037.1697659979441</v>
      </c>
      <c r="AA92" s="135">
        <v>0</v>
      </c>
      <c r="AB92" s="135">
        <v>1412.8317121297373</v>
      </c>
      <c r="AC92" s="135">
        <v>84.802854258916909</v>
      </c>
      <c r="AD92" s="135">
        <v>0</v>
      </c>
      <c r="AE92" s="135">
        <v>1480.8559009596802</v>
      </c>
      <c r="AF92" s="135">
        <v>318.84809714291532</v>
      </c>
      <c r="AG92" s="135">
        <v>46.454609301047363</v>
      </c>
      <c r="AH92" s="135">
        <v>11052.318278884562</v>
      </c>
      <c r="AI92" s="135">
        <v>623.84964426394708</v>
      </c>
      <c r="AJ92" s="135">
        <v>-50.005221533481937</v>
      </c>
      <c r="AK92" s="135">
        <v>0</v>
      </c>
      <c r="AL92" s="135">
        <v>0</v>
      </c>
      <c r="AM92" s="135">
        <v>-64.307072989506025</v>
      </c>
      <c r="AN92" s="135">
        <v>163.44800350137928</v>
      </c>
      <c r="AO92" s="135">
        <v>0</v>
      </c>
      <c r="AP92" s="135">
        <v>161.45944204383159</v>
      </c>
      <c r="AQ92" s="135">
        <v>84.802854258916909</v>
      </c>
      <c r="AR92" s="135">
        <v>63.88730444695512</v>
      </c>
      <c r="AS92" s="135">
        <v>104.76797847858666</v>
      </c>
      <c r="AT92" s="135">
        <v>8.7588425091860245</v>
      </c>
      <c r="AU92" s="135">
        <v>-47.294940303520711</v>
      </c>
      <c r="AV92" s="135">
        <v>1049.3668384455498</v>
      </c>
      <c r="AW92" s="135"/>
      <c r="AX92" s="164"/>
      <c r="AY92" s="132"/>
      <c r="AZ92" s="135"/>
      <c r="BA92" s="135"/>
      <c r="BB92" s="132"/>
    </row>
    <row r="93" spans="1:54" ht="16.5" x14ac:dyDescent="0.3">
      <c r="A93" s="165">
        <v>166</v>
      </c>
      <c r="B93" s="165">
        <v>1</v>
      </c>
      <c r="C93" s="166" t="s">
        <v>337</v>
      </c>
      <c r="D93" s="167">
        <v>6</v>
      </c>
      <c r="E93" s="163">
        <v>460.97</v>
      </c>
      <c r="F93" s="135">
        <v>6181.1534807037324</v>
      </c>
      <c r="G93" s="135">
        <v>0</v>
      </c>
      <c r="H93" s="135">
        <v>1009.5678677571208</v>
      </c>
      <c r="I93" s="135">
        <v>0</v>
      </c>
      <c r="J93" s="135">
        <v>118.81918563030132</v>
      </c>
      <c r="K93" s="135">
        <v>320.09408421372319</v>
      </c>
      <c r="L93" s="135">
        <v>0</v>
      </c>
      <c r="M93" s="135">
        <v>819.46554002304492</v>
      </c>
      <c r="N93" s="135">
        <v>0</v>
      </c>
      <c r="O93" s="135">
        <v>-83.659565698418547</v>
      </c>
      <c r="P93" s="135">
        <v>1209.3304512534128</v>
      </c>
      <c r="Q93" s="135">
        <v>1877.3924333470723</v>
      </c>
      <c r="R93" s="135">
        <v>194.14471657591599</v>
      </c>
      <c r="S93" s="135">
        <v>11646.308193805904</v>
      </c>
      <c r="T93" s="135"/>
      <c r="U93" s="135">
        <v>6855.6934290734753</v>
      </c>
      <c r="V93" s="135">
        <v>0</v>
      </c>
      <c r="W93" s="135">
        <v>683.11000715881721</v>
      </c>
      <c r="X93" s="135">
        <v>0</v>
      </c>
      <c r="Y93" s="135">
        <v>60.02696487840857</v>
      </c>
      <c r="Z93" s="135">
        <v>376.26136191075341</v>
      </c>
      <c r="AA93" s="135">
        <v>0</v>
      </c>
      <c r="AB93" s="135">
        <v>1110.6436643074153</v>
      </c>
      <c r="AC93" s="135">
        <v>42.871841022061133</v>
      </c>
      <c r="AD93" s="135">
        <v>0</v>
      </c>
      <c r="AE93" s="135">
        <v>1284.6256994545661</v>
      </c>
      <c r="AF93" s="135">
        <v>2002.4898858779484</v>
      </c>
      <c r="AG93" s="135">
        <v>145.58242401891664</v>
      </c>
      <c r="AH93" s="135">
        <v>12561.30527770236</v>
      </c>
      <c r="AI93" s="135">
        <v>674.53994836974289</v>
      </c>
      <c r="AJ93" s="135">
        <v>0</v>
      </c>
      <c r="AK93" s="135">
        <v>-326.45786059830357</v>
      </c>
      <c r="AL93" s="135">
        <v>0</v>
      </c>
      <c r="AM93" s="135">
        <v>-58.792220751892749</v>
      </c>
      <c r="AN93" s="135">
        <v>56.167277697030215</v>
      </c>
      <c r="AO93" s="135">
        <v>0</v>
      </c>
      <c r="AP93" s="135">
        <v>291.17812428437037</v>
      </c>
      <c r="AQ93" s="135">
        <v>42.871841022061133</v>
      </c>
      <c r="AR93" s="135">
        <v>83.659565698418547</v>
      </c>
      <c r="AS93" s="135">
        <v>75.295248201153299</v>
      </c>
      <c r="AT93" s="135">
        <v>125.09745253087613</v>
      </c>
      <c r="AU93" s="135">
        <v>-48.562292556999353</v>
      </c>
      <c r="AV93" s="135">
        <v>914.99708847275122</v>
      </c>
      <c r="AW93" s="135"/>
      <c r="AX93" s="164"/>
      <c r="AY93" s="132"/>
      <c r="AZ93" s="135"/>
      <c r="BA93" s="135"/>
      <c r="BB93" s="132"/>
    </row>
    <row r="94" spans="1:54" ht="16.5" x14ac:dyDescent="0.3">
      <c r="A94" s="165">
        <v>173</v>
      </c>
      <c r="B94" s="165">
        <v>1</v>
      </c>
      <c r="C94" s="166" t="s">
        <v>338</v>
      </c>
      <c r="D94" s="167">
        <v>6</v>
      </c>
      <c r="E94" s="163">
        <v>460.65</v>
      </c>
      <c r="F94" s="135">
        <v>6106.1772712471511</v>
      </c>
      <c r="G94" s="135">
        <v>0</v>
      </c>
      <c r="H94" s="135">
        <v>1879.228590035819</v>
      </c>
      <c r="I94" s="135">
        <v>0</v>
      </c>
      <c r="J94" s="135">
        <v>82.066362748290473</v>
      </c>
      <c r="K94" s="135">
        <v>829.28746336698146</v>
      </c>
      <c r="L94" s="135">
        <v>146.03309671116898</v>
      </c>
      <c r="M94" s="135">
        <v>813.57313887859777</v>
      </c>
      <c r="N94" s="135">
        <v>0</v>
      </c>
      <c r="O94" s="135">
        <v>-59.744556604797573</v>
      </c>
      <c r="P94" s="135">
        <v>414.2086920655596</v>
      </c>
      <c r="Q94" s="135">
        <v>494.35022251166833</v>
      </c>
      <c r="R94" s="135">
        <v>114.04148485835233</v>
      </c>
      <c r="S94" s="135">
        <v>10819.221765818793</v>
      </c>
      <c r="T94" s="135"/>
      <c r="U94" s="135">
        <v>6770.5422338000653</v>
      </c>
      <c r="V94" s="135">
        <v>0</v>
      </c>
      <c r="W94" s="135">
        <v>1558.4647780310434</v>
      </c>
      <c r="X94" s="135">
        <v>0</v>
      </c>
      <c r="Y94" s="135">
        <v>0</v>
      </c>
      <c r="Z94" s="135">
        <v>987.37749143721521</v>
      </c>
      <c r="AA94" s="135">
        <v>171.07304895256704</v>
      </c>
      <c r="AB94" s="135">
        <v>949.07250747024534</v>
      </c>
      <c r="AC94" s="135">
        <v>85.803245656960925</v>
      </c>
      <c r="AD94" s="135">
        <v>0</v>
      </c>
      <c r="AE94" s="135">
        <v>503.78692738304568</v>
      </c>
      <c r="AF94" s="135">
        <v>502.01155122567081</v>
      </c>
      <c r="AG94" s="135">
        <v>64.026115271898405</v>
      </c>
      <c r="AH94" s="135">
        <v>11592.157899228712</v>
      </c>
      <c r="AI94" s="135">
        <v>664.36496255291422</v>
      </c>
      <c r="AJ94" s="135">
        <v>0</v>
      </c>
      <c r="AK94" s="135">
        <v>-320.76381200477567</v>
      </c>
      <c r="AL94" s="135">
        <v>0</v>
      </c>
      <c r="AM94" s="135">
        <v>-82.066362748290473</v>
      </c>
      <c r="AN94" s="135">
        <v>158.09002807023376</v>
      </c>
      <c r="AO94" s="135">
        <v>25.039952241398055</v>
      </c>
      <c r="AP94" s="135">
        <v>135.49936859164757</v>
      </c>
      <c r="AQ94" s="135">
        <v>85.803245656960925</v>
      </c>
      <c r="AR94" s="135">
        <v>59.744556604797573</v>
      </c>
      <c r="AS94" s="135">
        <v>89.578235317486076</v>
      </c>
      <c r="AT94" s="135">
        <v>7.6613287140024795</v>
      </c>
      <c r="AU94" s="135">
        <v>-50.015369586453929</v>
      </c>
      <c r="AV94" s="135">
        <v>772.93613957263415</v>
      </c>
      <c r="AW94" s="135"/>
      <c r="AX94" s="164"/>
      <c r="AY94" s="132"/>
      <c r="AZ94" s="135"/>
      <c r="BA94" s="135"/>
      <c r="BB94" s="132"/>
    </row>
    <row r="95" spans="1:54" ht="16.5" x14ac:dyDescent="0.3">
      <c r="A95" s="165">
        <v>177</v>
      </c>
      <c r="B95" s="165">
        <v>1</v>
      </c>
      <c r="C95" s="166" t="s">
        <v>340</v>
      </c>
      <c r="D95" s="167">
        <v>6</v>
      </c>
      <c r="E95" s="163">
        <v>949.81999999999994</v>
      </c>
      <c r="F95" s="135">
        <v>5966.8835779410847</v>
      </c>
      <c r="G95" s="135">
        <v>0</v>
      </c>
      <c r="H95" s="135">
        <v>1464.5366490492936</v>
      </c>
      <c r="I95" s="135">
        <v>0</v>
      </c>
      <c r="J95" s="135">
        <v>96.173738181971331</v>
      </c>
      <c r="K95" s="135">
        <v>596.80943757764624</v>
      </c>
      <c r="L95" s="135">
        <v>105.19617190625593</v>
      </c>
      <c r="M95" s="135">
        <v>992.65768894962832</v>
      </c>
      <c r="N95" s="135">
        <v>0</v>
      </c>
      <c r="O95" s="135">
        <v>-74.213103535406717</v>
      </c>
      <c r="P95" s="135">
        <v>1550.6491103577521</v>
      </c>
      <c r="Q95" s="135">
        <v>178.5267840222358</v>
      </c>
      <c r="R95" s="135">
        <v>113.49766271504075</v>
      </c>
      <c r="S95" s="135">
        <v>10990.7177171655</v>
      </c>
      <c r="T95" s="135"/>
      <c r="U95" s="135">
        <v>6600.8999178791773</v>
      </c>
      <c r="V95" s="135">
        <v>0</v>
      </c>
      <c r="W95" s="135">
        <v>1152.0281421743068</v>
      </c>
      <c r="X95" s="135">
        <v>0</v>
      </c>
      <c r="Y95" s="135">
        <v>21.88148280726875</v>
      </c>
      <c r="Z95" s="135">
        <v>715.6174046234986</v>
      </c>
      <c r="AA95" s="135">
        <v>102.95670758670065</v>
      </c>
      <c r="AB95" s="135">
        <v>1301.2983000576367</v>
      </c>
      <c r="AC95" s="135">
        <v>80.626014565144629</v>
      </c>
      <c r="AD95" s="135">
        <v>0</v>
      </c>
      <c r="AE95" s="135">
        <v>1598.6025002926872</v>
      </c>
      <c r="AF95" s="135">
        <v>180.29606662314967</v>
      </c>
      <c r="AG95" s="135">
        <v>65.72905392600704</v>
      </c>
      <c r="AH95" s="135">
        <v>11819.935590535577</v>
      </c>
      <c r="AI95" s="135">
        <v>634.01633993809264</v>
      </c>
      <c r="AJ95" s="135">
        <v>0</v>
      </c>
      <c r="AK95" s="135">
        <v>-312.50850687498678</v>
      </c>
      <c r="AL95" s="135">
        <v>0</v>
      </c>
      <c r="AM95" s="135">
        <v>-74.292255374702577</v>
      </c>
      <c r="AN95" s="135">
        <v>118.80796704585237</v>
      </c>
      <c r="AO95" s="135">
        <v>-2.2394643195552817</v>
      </c>
      <c r="AP95" s="135">
        <v>308.64061110800833</v>
      </c>
      <c r="AQ95" s="135">
        <v>80.626014565144629</v>
      </c>
      <c r="AR95" s="135">
        <v>74.213103535406717</v>
      </c>
      <c r="AS95" s="135">
        <v>47.953389934935103</v>
      </c>
      <c r="AT95" s="135">
        <v>1.7692826009138685</v>
      </c>
      <c r="AU95" s="135">
        <v>-47.768608789033706</v>
      </c>
      <c r="AV95" s="135">
        <v>829.21787640656362</v>
      </c>
      <c r="AW95" s="135"/>
      <c r="AX95" s="132"/>
      <c r="AY95" s="132"/>
      <c r="AZ95" s="155"/>
      <c r="BA95" s="155"/>
      <c r="BB95" s="132"/>
    </row>
    <row r="96" spans="1:54" ht="16.5" x14ac:dyDescent="0.3">
      <c r="A96" s="165">
        <v>181</v>
      </c>
      <c r="B96" s="165">
        <v>1</v>
      </c>
      <c r="C96" s="166" t="s">
        <v>342</v>
      </c>
      <c r="D96" s="167">
        <v>4</v>
      </c>
      <c r="E96" s="163">
        <v>6476.18</v>
      </c>
      <c r="F96" s="135">
        <v>6032.2213280050892</v>
      </c>
      <c r="G96" s="135">
        <v>10.819662208277101</v>
      </c>
      <c r="H96" s="135">
        <v>455.84900666751082</v>
      </c>
      <c r="I96" s="135">
        <v>0</v>
      </c>
      <c r="J96" s="135">
        <v>136.78731597948172</v>
      </c>
      <c r="K96" s="135">
        <v>672.34328415825371</v>
      </c>
      <c r="L96" s="135">
        <v>0</v>
      </c>
      <c r="M96" s="135">
        <v>1442.8502443116629</v>
      </c>
      <c r="N96" s="135">
        <v>0</v>
      </c>
      <c r="O96" s="135">
        <v>-48.988602849210494</v>
      </c>
      <c r="P96" s="135">
        <v>1499.2535087042052</v>
      </c>
      <c r="Q96" s="135">
        <v>120.44812528373207</v>
      </c>
      <c r="R96" s="135">
        <v>381.69680737718829</v>
      </c>
      <c r="S96" s="135">
        <v>10703.280679846188</v>
      </c>
      <c r="T96" s="135"/>
      <c r="U96" s="135">
        <v>6670.9756368723538</v>
      </c>
      <c r="V96" s="135">
        <v>0</v>
      </c>
      <c r="W96" s="135">
        <v>0</v>
      </c>
      <c r="X96" s="135">
        <v>185.80620310121088</v>
      </c>
      <c r="Y96" s="135">
        <v>105.88850217257703</v>
      </c>
      <c r="Z96" s="135">
        <v>689.00498133158726</v>
      </c>
      <c r="AA96" s="135">
        <v>0</v>
      </c>
      <c r="AB96" s="135">
        <v>1687.1958923258503</v>
      </c>
      <c r="AC96" s="135">
        <v>83.0973567660063</v>
      </c>
      <c r="AD96" s="135">
        <v>0</v>
      </c>
      <c r="AE96" s="135">
        <v>1608.6335172093734</v>
      </c>
      <c r="AF96" s="135">
        <v>123.85778035817411</v>
      </c>
      <c r="AG96" s="135">
        <v>331.59916339570543</v>
      </c>
      <c r="AH96" s="135">
        <v>11486.059033532838</v>
      </c>
      <c r="AI96" s="135">
        <v>638.75430886726463</v>
      </c>
      <c r="AJ96" s="135">
        <v>-10.819662208277101</v>
      </c>
      <c r="AK96" s="135">
        <v>-455.84900666751082</v>
      </c>
      <c r="AL96" s="135">
        <v>185.80620310121088</v>
      </c>
      <c r="AM96" s="135">
        <v>-30.898813806904684</v>
      </c>
      <c r="AN96" s="135">
        <v>16.66169717333355</v>
      </c>
      <c r="AO96" s="135">
        <v>0</v>
      </c>
      <c r="AP96" s="135">
        <v>244.34564801418742</v>
      </c>
      <c r="AQ96" s="135">
        <v>83.0973567660063</v>
      </c>
      <c r="AR96" s="135">
        <v>48.988602849210494</v>
      </c>
      <c r="AS96" s="135">
        <v>109.38000850516823</v>
      </c>
      <c r="AT96" s="135">
        <v>3.4096550744420426</v>
      </c>
      <c r="AU96" s="135">
        <v>-50.097643981482861</v>
      </c>
      <c r="AV96" s="135">
        <v>782.77836325220846</v>
      </c>
      <c r="AW96" s="135"/>
      <c r="AX96" s="164"/>
      <c r="AY96" s="132"/>
      <c r="AZ96" s="135"/>
      <c r="BA96" s="135"/>
      <c r="BB96" s="132"/>
    </row>
    <row r="97" spans="1:53" ht="16.5" x14ac:dyDescent="0.3">
      <c r="A97" s="165">
        <v>182</v>
      </c>
      <c r="B97" s="165">
        <v>1</v>
      </c>
      <c r="C97" s="166" t="s">
        <v>344</v>
      </c>
      <c r="D97" s="167">
        <v>5</v>
      </c>
      <c r="E97" s="163">
        <v>1177.8499999999999</v>
      </c>
      <c r="F97" s="135">
        <v>6047.1730695759225</v>
      </c>
      <c r="G97" s="135">
        <v>0</v>
      </c>
      <c r="H97" s="135">
        <v>553.67739525406466</v>
      </c>
      <c r="I97" s="135">
        <v>0</v>
      </c>
      <c r="J97" s="135">
        <v>133.32951564290872</v>
      </c>
      <c r="K97" s="135">
        <v>790.84876682090248</v>
      </c>
      <c r="L97" s="135">
        <v>0</v>
      </c>
      <c r="M97" s="135">
        <v>1165.7415877218239</v>
      </c>
      <c r="N97" s="135">
        <v>0</v>
      </c>
      <c r="O97" s="135">
        <v>-64.47136732181518</v>
      </c>
      <c r="P97" s="135">
        <v>1789.5809078284283</v>
      </c>
      <c r="Q97" s="135">
        <v>183.44094748906909</v>
      </c>
      <c r="R97" s="135">
        <v>124.58580464405486</v>
      </c>
      <c r="S97" s="135">
        <v>10723.906627655359</v>
      </c>
      <c r="T97" s="135"/>
      <c r="U97" s="135">
        <v>6685.5320796366268</v>
      </c>
      <c r="V97" s="135">
        <v>0</v>
      </c>
      <c r="W97" s="135">
        <v>235.4352167084094</v>
      </c>
      <c r="X97" s="135">
        <v>0</v>
      </c>
      <c r="Y97" s="135">
        <v>89.263768731162713</v>
      </c>
      <c r="Z97" s="135">
        <v>947.2331026870994</v>
      </c>
      <c r="AA97" s="135">
        <v>0</v>
      </c>
      <c r="AB97" s="135">
        <v>1454.6194749618564</v>
      </c>
      <c r="AC97" s="135">
        <v>71.952268364605473</v>
      </c>
      <c r="AD97" s="135">
        <v>0</v>
      </c>
      <c r="AE97" s="135">
        <v>1863.6354542486006</v>
      </c>
      <c r="AF97" s="135">
        <v>214.38883559027045</v>
      </c>
      <c r="AG97" s="135">
        <v>76.694052723182082</v>
      </c>
      <c r="AH97" s="135">
        <v>11638.754253651814</v>
      </c>
      <c r="AI97" s="135">
        <v>638.35901006070435</v>
      </c>
      <c r="AJ97" s="135">
        <v>0</v>
      </c>
      <c r="AK97" s="135">
        <v>-318.24217854565529</v>
      </c>
      <c r="AL97" s="135">
        <v>0</v>
      </c>
      <c r="AM97" s="135">
        <v>-44.065746911746004</v>
      </c>
      <c r="AN97" s="135">
        <v>156.38433586619692</v>
      </c>
      <c r="AO97" s="135">
        <v>0</v>
      </c>
      <c r="AP97" s="135">
        <v>288.87788724003258</v>
      </c>
      <c r="AQ97" s="135">
        <v>71.952268364605473</v>
      </c>
      <c r="AR97" s="135">
        <v>64.47136732181518</v>
      </c>
      <c r="AS97" s="135">
        <v>74.054546420172301</v>
      </c>
      <c r="AT97" s="135">
        <v>30.947888101201357</v>
      </c>
      <c r="AU97" s="135">
        <v>-47.891751920872778</v>
      </c>
      <c r="AV97" s="135">
        <v>914.84763522071592</v>
      </c>
      <c r="AW97" s="135"/>
      <c r="AX97" s="132"/>
      <c r="AY97" s="132"/>
      <c r="AZ97" s="155"/>
      <c r="BA97" s="155"/>
    </row>
    <row r="98" spans="1:53" ht="16.5" x14ac:dyDescent="0.3">
      <c r="A98" s="165">
        <v>186</v>
      </c>
      <c r="B98" s="165">
        <v>1</v>
      </c>
      <c r="C98" s="166" t="s">
        <v>346</v>
      </c>
      <c r="D98" s="167">
        <v>5</v>
      </c>
      <c r="E98" s="163">
        <v>1651.1999999999998</v>
      </c>
      <c r="F98" s="135">
        <v>6016.2687015503889</v>
      </c>
      <c r="G98" s="135">
        <v>0</v>
      </c>
      <c r="H98" s="135">
        <v>1.0994428294573646</v>
      </c>
      <c r="I98" s="135">
        <v>0</v>
      </c>
      <c r="J98" s="135">
        <v>214.83831153100778</v>
      </c>
      <c r="K98" s="135">
        <v>199.15178052325584</v>
      </c>
      <c r="L98" s="135">
        <v>0</v>
      </c>
      <c r="M98" s="135">
        <v>730.72539010471803</v>
      </c>
      <c r="N98" s="135">
        <v>0</v>
      </c>
      <c r="O98" s="135">
        <v>-19.557346172480621</v>
      </c>
      <c r="P98" s="135">
        <v>2558.7779067344964</v>
      </c>
      <c r="Q98" s="135">
        <v>130.72486070736437</v>
      </c>
      <c r="R98" s="135">
        <v>107.69350169573646</v>
      </c>
      <c r="S98" s="135">
        <v>9939.7225495039438</v>
      </c>
      <c r="T98" s="135"/>
      <c r="U98" s="135">
        <v>6651.6279069767452</v>
      </c>
      <c r="V98" s="135">
        <v>0</v>
      </c>
      <c r="W98" s="135">
        <v>0</v>
      </c>
      <c r="X98" s="135">
        <v>0</v>
      </c>
      <c r="Y98" s="135">
        <v>105.58139534883722</v>
      </c>
      <c r="Z98" s="135">
        <v>268.82400678294579</v>
      </c>
      <c r="AA98" s="135">
        <v>0</v>
      </c>
      <c r="AB98" s="135">
        <v>829.00977345815522</v>
      </c>
      <c r="AC98" s="135">
        <v>41.89027007375747</v>
      </c>
      <c r="AD98" s="135">
        <v>17.8749273255814</v>
      </c>
      <c r="AE98" s="135">
        <v>2587.0622816389814</v>
      </c>
      <c r="AF98" s="135">
        <v>132.05065406976746</v>
      </c>
      <c r="AG98" s="135">
        <v>64.325805474806216</v>
      </c>
      <c r="AH98" s="135">
        <v>10698.247021149577</v>
      </c>
      <c r="AI98" s="135">
        <v>635.35920542635631</v>
      </c>
      <c r="AJ98" s="135">
        <v>0</v>
      </c>
      <c r="AK98" s="135">
        <v>-1.0994428294573646</v>
      </c>
      <c r="AL98" s="135">
        <v>0</v>
      </c>
      <c r="AM98" s="135">
        <v>-109.25691618217056</v>
      </c>
      <c r="AN98" s="135">
        <v>69.67222625968995</v>
      </c>
      <c r="AO98" s="135">
        <v>0</v>
      </c>
      <c r="AP98" s="135">
        <v>98.284383353437192</v>
      </c>
      <c r="AQ98" s="135">
        <v>41.89027007375747</v>
      </c>
      <c r="AR98" s="135">
        <v>37.432273498062017</v>
      </c>
      <c r="AS98" s="135">
        <v>28.284374904485048</v>
      </c>
      <c r="AT98" s="135">
        <v>1.3257933624030898</v>
      </c>
      <c r="AU98" s="135">
        <v>-43.367696220930242</v>
      </c>
      <c r="AV98" s="135">
        <v>758.52447167653247</v>
      </c>
      <c r="AW98" s="135"/>
      <c r="AX98" s="132"/>
      <c r="AY98" s="132"/>
      <c r="AZ98" s="155"/>
      <c r="BA98" s="155"/>
    </row>
    <row r="99" spans="1:53" ht="16.5" x14ac:dyDescent="0.3">
      <c r="A99" s="165">
        <v>191</v>
      </c>
      <c r="B99" s="165">
        <v>1</v>
      </c>
      <c r="C99" s="166" t="s">
        <v>348</v>
      </c>
      <c r="D99" s="167">
        <v>3</v>
      </c>
      <c r="E99" s="163">
        <v>9349.66</v>
      </c>
      <c r="F99" s="135">
        <v>6034.2076096884812</v>
      </c>
      <c r="G99" s="135">
        <v>36.755070237848216</v>
      </c>
      <c r="H99" s="135">
        <v>1912.8221571693516</v>
      </c>
      <c r="I99" s="135">
        <v>0</v>
      </c>
      <c r="J99" s="135">
        <v>79.975775589700589</v>
      </c>
      <c r="K99" s="135">
        <v>748.16226258494964</v>
      </c>
      <c r="L99" s="135">
        <v>143.08213138231767</v>
      </c>
      <c r="M99" s="135">
        <v>1459.1569527520949</v>
      </c>
      <c r="N99" s="135">
        <v>0</v>
      </c>
      <c r="O99" s="135">
        <v>-59.105981393975817</v>
      </c>
      <c r="P99" s="135">
        <v>1187.8260505729622</v>
      </c>
      <c r="Q99" s="135">
        <v>0.28877306768374461</v>
      </c>
      <c r="R99" s="135">
        <v>112.64715508371427</v>
      </c>
      <c r="S99" s="135">
        <v>11655.817956735129</v>
      </c>
      <c r="T99" s="135"/>
      <c r="U99" s="135">
        <v>6671.5836041096682</v>
      </c>
      <c r="V99" s="135">
        <v>0</v>
      </c>
      <c r="W99" s="135">
        <v>1215.2631143806298</v>
      </c>
      <c r="X99" s="135">
        <v>531.12820319331024</v>
      </c>
      <c r="Y99" s="135">
        <v>18.097915860041969</v>
      </c>
      <c r="Z99" s="135">
        <v>825.71434874540694</v>
      </c>
      <c r="AA99" s="135">
        <v>219.53075940729394</v>
      </c>
      <c r="AB99" s="135">
        <v>1780.1995619557824</v>
      </c>
      <c r="AC99" s="135">
        <v>88.988611504867833</v>
      </c>
      <c r="AD99" s="135">
        <v>0</v>
      </c>
      <c r="AE99" s="135">
        <v>1185.8917670456467</v>
      </c>
      <c r="AF99" s="135">
        <v>0.35666858473997987</v>
      </c>
      <c r="AG99" s="135">
        <v>58.306248569466696</v>
      </c>
      <c r="AH99" s="135">
        <v>12595.060803356855</v>
      </c>
      <c r="AI99" s="135">
        <v>637.37599442118699</v>
      </c>
      <c r="AJ99" s="135">
        <v>-36.755070237848216</v>
      </c>
      <c r="AK99" s="135">
        <v>-697.55904278872185</v>
      </c>
      <c r="AL99" s="135">
        <v>531.12820319331024</v>
      </c>
      <c r="AM99" s="135">
        <v>-61.877859729658624</v>
      </c>
      <c r="AN99" s="135">
        <v>77.552086160457293</v>
      </c>
      <c r="AO99" s="135">
        <v>76.448628024976273</v>
      </c>
      <c r="AP99" s="135">
        <v>321.04260920368756</v>
      </c>
      <c r="AQ99" s="135">
        <v>88.988611504867833</v>
      </c>
      <c r="AR99" s="135">
        <v>59.105981393975817</v>
      </c>
      <c r="AS99" s="135">
        <v>-1.9342835273155288</v>
      </c>
      <c r="AT99" s="135">
        <v>6.7895517056235255E-2</v>
      </c>
      <c r="AU99" s="135">
        <v>-54.340906514247571</v>
      </c>
      <c r="AV99" s="135">
        <v>939.24285131077727</v>
      </c>
      <c r="AW99" s="135"/>
      <c r="AX99" s="164"/>
      <c r="AY99" s="132"/>
      <c r="AZ99" s="135"/>
      <c r="BA99" s="135"/>
    </row>
    <row r="100" spans="1:53" ht="16.5" x14ac:dyDescent="0.3">
      <c r="A100" s="165">
        <v>192</v>
      </c>
      <c r="B100" s="165">
        <v>1</v>
      </c>
      <c r="C100" s="166" t="s">
        <v>349</v>
      </c>
      <c r="D100" s="167">
        <v>3</v>
      </c>
      <c r="E100" s="163">
        <v>6555.1900000000005</v>
      </c>
      <c r="F100" s="135">
        <v>5973.4848021186262</v>
      </c>
      <c r="G100" s="135">
        <v>6.1404307121532709</v>
      </c>
      <c r="H100" s="135">
        <v>758.63174217680955</v>
      </c>
      <c r="I100" s="135">
        <v>0</v>
      </c>
      <c r="J100" s="135">
        <v>156.3980449079279</v>
      </c>
      <c r="K100" s="135">
        <v>164.14436652484517</v>
      </c>
      <c r="L100" s="135">
        <v>0</v>
      </c>
      <c r="M100" s="135">
        <v>806.225183204274</v>
      </c>
      <c r="N100" s="135">
        <v>0</v>
      </c>
      <c r="O100" s="135">
        <v>-14.451843501103705</v>
      </c>
      <c r="P100" s="135">
        <v>2955.0711895242002</v>
      </c>
      <c r="Q100" s="135">
        <v>26.791490406837937</v>
      </c>
      <c r="R100" s="135">
        <v>392.30974083131076</v>
      </c>
      <c r="S100" s="135">
        <v>11224.745146905883</v>
      </c>
      <c r="T100" s="135"/>
      <c r="U100" s="135">
        <v>6604.1207775823423</v>
      </c>
      <c r="V100" s="135">
        <v>0</v>
      </c>
      <c r="W100" s="135">
        <v>33.902106575095459</v>
      </c>
      <c r="X100" s="135">
        <v>518.40813753099314</v>
      </c>
      <c r="Y100" s="135">
        <v>101.98897209691862</v>
      </c>
      <c r="Z100" s="135">
        <v>139.86417949534186</v>
      </c>
      <c r="AA100" s="135">
        <v>0</v>
      </c>
      <c r="AB100" s="135">
        <v>1033.2878066991882</v>
      </c>
      <c r="AC100" s="135">
        <v>49.62852631171706</v>
      </c>
      <c r="AD100" s="135">
        <v>22.563120214669595</v>
      </c>
      <c r="AE100" s="135">
        <v>3012.6266691033688</v>
      </c>
      <c r="AF100" s="135">
        <v>32.388153508899052</v>
      </c>
      <c r="AG100" s="135">
        <v>334.1771512343654</v>
      </c>
      <c r="AH100" s="135">
        <v>11882.9556003529</v>
      </c>
      <c r="AI100" s="135">
        <v>630.63597546371602</v>
      </c>
      <c r="AJ100" s="135">
        <v>-6.1404307121532709</v>
      </c>
      <c r="AK100" s="135">
        <v>-724.72963560171411</v>
      </c>
      <c r="AL100" s="135">
        <v>518.40813753099314</v>
      </c>
      <c r="AM100" s="135">
        <v>-54.409072811009281</v>
      </c>
      <c r="AN100" s="135">
        <v>-24.28018702950331</v>
      </c>
      <c r="AO100" s="135">
        <v>0</v>
      </c>
      <c r="AP100" s="135">
        <v>227.06262349491419</v>
      </c>
      <c r="AQ100" s="135">
        <v>49.62852631171706</v>
      </c>
      <c r="AR100" s="135">
        <v>37.014963715773298</v>
      </c>
      <c r="AS100" s="135">
        <v>57.555479579168605</v>
      </c>
      <c r="AT100" s="135">
        <v>5.5966631020611146</v>
      </c>
      <c r="AU100" s="135">
        <v>-58.132589596945365</v>
      </c>
      <c r="AV100" s="135">
        <v>658.21045673074639</v>
      </c>
      <c r="AW100" s="135"/>
      <c r="AX100" s="164"/>
      <c r="AY100" s="132"/>
      <c r="AZ100" s="135"/>
      <c r="BA100" s="135"/>
    </row>
    <row r="101" spans="1:53" ht="16.5" x14ac:dyDescent="0.3">
      <c r="A101" s="165">
        <v>194</v>
      </c>
      <c r="B101" s="165">
        <v>1</v>
      </c>
      <c r="C101" s="166" t="s">
        <v>351</v>
      </c>
      <c r="D101" s="167">
        <v>3</v>
      </c>
      <c r="E101" s="163">
        <v>10747.029999999999</v>
      </c>
      <c r="F101" s="135">
        <v>6115.0864043368265</v>
      </c>
      <c r="G101" s="135">
        <v>1.2408097865177636</v>
      </c>
      <c r="H101" s="135">
        <v>1030.5354902703352</v>
      </c>
      <c r="I101" s="135">
        <v>0</v>
      </c>
      <c r="J101" s="135">
        <v>143.38086615557975</v>
      </c>
      <c r="K101" s="135">
        <v>128.84004138817889</v>
      </c>
      <c r="L101" s="135">
        <v>105.02698643253066</v>
      </c>
      <c r="M101" s="135">
        <v>1005.9571354338233</v>
      </c>
      <c r="N101" s="135">
        <v>0</v>
      </c>
      <c r="O101" s="135">
        <v>-20.366573834817622</v>
      </c>
      <c r="P101" s="135">
        <v>1819.3526150015402</v>
      </c>
      <c r="Q101" s="135">
        <v>10.582002655617414</v>
      </c>
      <c r="R101" s="135">
        <v>114.47870248803625</v>
      </c>
      <c r="S101" s="135">
        <v>10454.114480114171</v>
      </c>
      <c r="T101" s="135"/>
      <c r="U101" s="135">
        <v>6775.3426127962803</v>
      </c>
      <c r="V101" s="135">
        <v>0</v>
      </c>
      <c r="W101" s="135">
        <v>281.7459670253084</v>
      </c>
      <c r="X101" s="135">
        <v>531.28445844923988</v>
      </c>
      <c r="Y101" s="135">
        <v>87.023402744758329</v>
      </c>
      <c r="Z101" s="135">
        <v>95.802179688921228</v>
      </c>
      <c r="AA101" s="135">
        <v>90.529565842842175</v>
      </c>
      <c r="AB101" s="135">
        <v>1301.1774516241264</v>
      </c>
      <c r="AC101" s="135">
        <v>37.777524460095506</v>
      </c>
      <c r="AD101" s="135">
        <v>17.615150418301614</v>
      </c>
      <c r="AE101" s="135">
        <v>1819.3215549564859</v>
      </c>
      <c r="AF101" s="135">
        <v>15.997213183549317</v>
      </c>
      <c r="AG101" s="135">
        <v>59.154124441822546</v>
      </c>
      <c r="AH101" s="135">
        <v>11112.771205631732</v>
      </c>
      <c r="AI101" s="135">
        <v>660.25620845945377</v>
      </c>
      <c r="AJ101" s="135">
        <v>-1.2408097865177636</v>
      </c>
      <c r="AK101" s="135">
        <v>-748.78952324502688</v>
      </c>
      <c r="AL101" s="135">
        <v>531.28445844923988</v>
      </c>
      <c r="AM101" s="135">
        <v>-56.357463410821424</v>
      </c>
      <c r="AN101" s="135">
        <v>-33.037861699257661</v>
      </c>
      <c r="AO101" s="135">
        <v>-14.497420589688488</v>
      </c>
      <c r="AP101" s="135">
        <v>295.22031619030315</v>
      </c>
      <c r="AQ101" s="135">
        <v>37.777524460095506</v>
      </c>
      <c r="AR101" s="135">
        <v>37.981724253119239</v>
      </c>
      <c r="AS101" s="135">
        <v>-3.1060045054346119E-2</v>
      </c>
      <c r="AT101" s="135">
        <v>5.4152105279319027</v>
      </c>
      <c r="AU101" s="135">
        <v>-55.324578046213702</v>
      </c>
      <c r="AV101" s="135">
        <v>658.65673066657109</v>
      </c>
      <c r="AW101" s="135"/>
      <c r="AX101" s="164"/>
      <c r="AY101" s="132"/>
      <c r="AZ101" s="135"/>
      <c r="BA101" s="135"/>
    </row>
    <row r="102" spans="1:53" ht="16.5" x14ac:dyDescent="0.3">
      <c r="A102" s="165">
        <v>195</v>
      </c>
      <c r="B102" s="165">
        <v>1</v>
      </c>
      <c r="C102" s="166" t="s">
        <v>353</v>
      </c>
      <c r="D102" s="167">
        <v>3</v>
      </c>
      <c r="E102" s="163">
        <v>585.88000000000011</v>
      </c>
      <c r="F102" s="135">
        <v>5979.941011811291</v>
      </c>
      <c r="G102" s="135">
        <v>0</v>
      </c>
      <c r="H102" s="135">
        <v>528.00153615074748</v>
      </c>
      <c r="I102" s="135">
        <v>0</v>
      </c>
      <c r="J102" s="135">
        <v>179.37533283266194</v>
      </c>
      <c r="K102" s="135">
        <v>113.26913361097833</v>
      </c>
      <c r="L102" s="135">
        <v>0</v>
      </c>
      <c r="M102" s="135">
        <v>301.37596841530001</v>
      </c>
      <c r="N102" s="135">
        <v>0</v>
      </c>
      <c r="O102" s="135">
        <v>-45.639021642657191</v>
      </c>
      <c r="P102" s="135">
        <v>1336.5353465848684</v>
      </c>
      <c r="Q102" s="135">
        <v>360.00984843312619</v>
      </c>
      <c r="R102" s="135">
        <v>115.48108827746294</v>
      </c>
      <c r="S102" s="135">
        <v>8868.3502444737805</v>
      </c>
      <c r="T102" s="135"/>
      <c r="U102" s="135">
        <v>6606.0319519355489</v>
      </c>
      <c r="V102" s="135">
        <v>0</v>
      </c>
      <c r="W102" s="135">
        <v>0</v>
      </c>
      <c r="X102" s="135">
        <v>314.97569579094687</v>
      </c>
      <c r="Y102" s="135">
        <v>104.85765003072299</v>
      </c>
      <c r="Z102" s="135">
        <v>163.86411893220452</v>
      </c>
      <c r="AA102" s="135">
        <v>0</v>
      </c>
      <c r="AB102" s="135">
        <v>444.4655554960961</v>
      </c>
      <c r="AC102" s="135">
        <v>41.041125174019662</v>
      </c>
      <c r="AD102" s="135">
        <v>0</v>
      </c>
      <c r="AE102" s="135">
        <v>1421.2276632528358</v>
      </c>
      <c r="AF102" s="135">
        <v>341.79356102021961</v>
      </c>
      <c r="AG102" s="135">
        <v>63.494196763842417</v>
      </c>
      <c r="AH102" s="135">
        <v>9501.7515183964369</v>
      </c>
      <c r="AI102" s="135">
        <v>626.09094012425794</v>
      </c>
      <c r="AJ102" s="135">
        <v>0</v>
      </c>
      <c r="AK102" s="135">
        <v>-528.00153615074748</v>
      </c>
      <c r="AL102" s="135">
        <v>314.97569579094687</v>
      </c>
      <c r="AM102" s="135">
        <v>-74.517682801938946</v>
      </c>
      <c r="AN102" s="135">
        <v>50.59498532122619</v>
      </c>
      <c r="AO102" s="135">
        <v>0</v>
      </c>
      <c r="AP102" s="135">
        <v>143.08958708079609</v>
      </c>
      <c r="AQ102" s="135">
        <v>41.041125174019662</v>
      </c>
      <c r="AR102" s="135">
        <v>45.639021642657191</v>
      </c>
      <c r="AS102" s="135">
        <v>84.692316667967361</v>
      </c>
      <c r="AT102" s="135">
        <v>-18.216287412906581</v>
      </c>
      <c r="AU102" s="135">
        <v>-51.986891513620527</v>
      </c>
      <c r="AV102" s="135">
        <v>633.40127502759947</v>
      </c>
      <c r="AW102" s="135"/>
      <c r="AX102" s="132"/>
      <c r="AY102" s="132"/>
      <c r="AZ102" s="155"/>
      <c r="BA102" s="155"/>
    </row>
    <row r="103" spans="1:53" ht="16.5" x14ac:dyDescent="0.3">
      <c r="A103" s="165">
        <v>196</v>
      </c>
      <c r="B103" s="165">
        <v>1</v>
      </c>
      <c r="C103" s="166" t="s">
        <v>355</v>
      </c>
      <c r="D103" s="167">
        <v>3</v>
      </c>
      <c r="E103" s="163">
        <v>27304.16</v>
      </c>
      <c r="F103" s="135">
        <v>6062.1252761483956</v>
      </c>
      <c r="G103" s="135">
        <v>13.031712749998533</v>
      </c>
      <c r="H103" s="135">
        <v>1234.4859940756282</v>
      </c>
      <c r="I103" s="135">
        <v>0</v>
      </c>
      <c r="J103" s="135">
        <v>127.53207643084424</v>
      </c>
      <c r="K103" s="135">
        <v>241.28743275749923</v>
      </c>
      <c r="L103" s="135">
        <v>142.44361199905069</v>
      </c>
      <c r="M103" s="135">
        <v>1332.1268112809764</v>
      </c>
      <c r="N103" s="135">
        <v>0</v>
      </c>
      <c r="O103" s="135">
        <v>-34.30258685855928</v>
      </c>
      <c r="P103" s="135">
        <v>1230.6921803124505</v>
      </c>
      <c r="Q103" s="135">
        <v>0.29010927272620729</v>
      </c>
      <c r="R103" s="135">
        <v>369.1478042173793</v>
      </c>
      <c r="S103" s="135">
        <v>10718.860422386389</v>
      </c>
      <c r="T103" s="135"/>
      <c r="U103" s="135">
        <v>6706.124268243374</v>
      </c>
      <c r="V103" s="135">
        <v>0</v>
      </c>
      <c r="W103" s="135">
        <v>502.38450953993822</v>
      </c>
      <c r="X103" s="135">
        <v>529.8360248345648</v>
      </c>
      <c r="Y103" s="135">
        <v>70.561809262764356</v>
      </c>
      <c r="Z103" s="135">
        <v>230.56619906253573</v>
      </c>
      <c r="AA103" s="135">
        <v>141.78340992727848</v>
      </c>
      <c r="AB103" s="135">
        <v>1610.8521370194494</v>
      </c>
      <c r="AC103" s="135">
        <v>48.958156853914723</v>
      </c>
      <c r="AD103" s="135">
        <v>3.4275747724888808</v>
      </c>
      <c r="AE103" s="135">
        <v>1231.1353795678021</v>
      </c>
      <c r="AF103" s="135">
        <v>0.36191774440231822</v>
      </c>
      <c r="AG103" s="135">
        <v>320.78727453985033</v>
      </c>
      <c r="AH103" s="135">
        <v>11396.778661368364</v>
      </c>
      <c r="AI103" s="135">
        <v>643.99899209497835</v>
      </c>
      <c r="AJ103" s="135">
        <v>-13.031712749998533</v>
      </c>
      <c r="AK103" s="135">
        <v>-732.10148453569002</v>
      </c>
      <c r="AL103" s="135">
        <v>529.8360248345648</v>
      </c>
      <c r="AM103" s="135">
        <v>-56.970267168079886</v>
      </c>
      <c r="AN103" s="135">
        <v>-10.721233694963502</v>
      </c>
      <c r="AO103" s="135">
        <v>-0.66020207177220414</v>
      </c>
      <c r="AP103" s="135">
        <v>278.72532573847297</v>
      </c>
      <c r="AQ103" s="135">
        <v>48.958156853914723</v>
      </c>
      <c r="AR103" s="135">
        <v>37.730161631048162</v>
      </c>
      <c r="AS103" s="135">
        <v>0.4431992553516011</v>
      </c>
      <c r="AT103" s="135">
        <v>7.180847167611093E-2</v>
      </c>
      <c r="AU103" s="135">
        <v>-48.360529677528973</v>
      </c>
      <c r="AV103" s="135">
        <v>677.91824802369399</v>
      </c>
      <c r="AW103" s="135"/>
      <c r="AX103" s="164"/>
      <c r="AY103" s="132"/>
      <c r="AZ103" s="135"/>
      <c r="BA103" s="135"/>
    </row>
    <row r="104" spans="1:53" ht="16.5" x14ac:dyDescent="0.3">
      <c r="A104" s="165">
        <v>197</v>
      </c>
      <c r="B104" s="165">
        <v>1</v>
      </c>
      <c r="C104" s="166" t="s">
        <v>357</v>
      </c>
      <c r="D104" s="167">
        <v>2</v>
      </c>
      <c r="E104" s="163">
        <v>4687.7100000000009</v>
      </c>
      <c r="F104" s="135">
        <v>6011.3482958630111</v>
      </c>
      <c r="G104" s="135">
        <v>0</v>
      </c>
      <c r="H104" s="135">
        <v>1869.9072489552464</v>
      </c>
      <c r="I104" s="135">
        <v>0</v>
      </c>
      <c r="J104" s="135">
        <v>82.132463398973044</v>
      </c>
      <c r="K104" s="135">
        <v>754.06444297962105</v>
      </c>
      <c r="L104" s="135">
        <v>142.05863843966452</v>
      </c>
      <c r="M104" s="135">
        <v>1022.881063030619</v>
      </c>
      <c r="N104" s="135">
        <v>0</v>
      </c>
      <c r="O104" s="135">
        <v>-47.033933413116415</v>
      </c>
      <c r="P104" s="135">
        <v>2130.5669228685219</v>
      </c>
      <c r="Q104" s="135">
        <v>0.28767991193994502</v>
      </c>
      <c r="R104" s="135">
        <v>366.84772095543445</v>
      </c>
      <c r="S104" s="135">
        <v>12333.060542989917</v>
      </c>
      <c r="T104" s="135"/>
      <c r="U104" s="135">
        <v>6645.8360265460096</v>
      </c>
      <c r="V104" s="135">
        <v>0</v>
      </c>
      <c r="W104" s="135">
        <v>1131.4799550313478</v>
      </c>
      <c r="X104" s="135">
        <v>532.78865507327487</v>
      </c>
      <c r="Y104" s="135">
        <v>24.669463341375632</v>
      </c>
      <c r="Z104" s="135">
        <v>742.88478131883596</v>
      </c>
      <c r="AA104" s="135">
        <v>219.09873051020645</v>
      </c>
      <c r="AB104" s="135">
        <v>1379.5356153221101</v>
      </c>
      <c r="AC104" s="135">
        <v>77.40507438439974</v>
      </c>
      <c r="AD104" s="135">
        <v>0</v>
      </c>
      <c r="AE104" s="135">
        <v>2162.0346188531284</v>
      </c>
      <c r="AF104" s="135">
        <v>3.5549938029442938</v>
      </c>
      <c r="AG104" s="135">
        <v>313.36720914903009</v>
      </c>
      <c r="AH104" s="135">
        <v>13232.655123332661</v>
      </c>
      <c r="AI104" s="135">
        <v>634.48773068299852</v>
      </c>
      <c r="AJ104" s="135">
        <v>0</v>
      </c>
      <c r="AK104" s="135">
        <v>-738.42729392389856</v>
      </c>
      <c r="AL104" s="135">
        <v>532.78865507327487</v>
      </c>
      <c r="AM104" s="135">
        <v>-57.463000057597412</v>
      </c>
      <c r="AN104" s="135">
        <v>-11.179661660785086</v>
      </c>
      <c r="AO104" s="135">
        <v>77.040092070541931</v>
      </c>
      <c r="AP104" s="135">
        <v>356.65455229149109</v>
      </c>
      <c r="AQ104" s="135">
        <v>77.40507438439974</v>
      </c>
      <c r="AR104" s="135">
        <v>47.033933413116415</v>
      </c>
      <c r="AS104" s="135">
        <v>31.467695984606507</v>
      </c>
      <c r="AT104" s="135">
        <v>3.2673138910043487</v>
      </c>
      <c r="AU104" s="135">
        <v>-53.480511806404365</v>
      </c>
      <c r="AV104" s="135">
        <v>899.59458482301795</v>
      </c>
      <c r="AW104" s="135"/>
      <c r="AX104" s="164"/>
      <c r="AY104" s="132"/>
      <c r="AZ104" s="135"/>
      <c r="BA104" s="135"/>
    </row>
    <row r="105" spans="1:53" ht="16.5" x14ac:dyDescent="0.3">
      <c r="A105" s="165">
        <v>199</v>
      </c>
      <c r="B105" s="165">
        <v>1</v>
      </c>
      <c r="C105" s="166" t="s">
        <v>359</v>
      </c>
      <c r="D105" s="167">
        <v>3</v>
      </c>
      <c r="E105" s="163">
        <v>3811.75</v>
      </c>
      <c r="F105" s="135">
        <v>6024.0014481537346</v>
      </c>
      <c r="G105" s="135">
        <v>0</v>
      </c>
      <c r="H105" s="135">
        <v>1090.4824922935659</v>
      </c>
      <c r="I105" s="135">
        <v>0</v>
      </c>
      <c r="J105" s="135">
        <v>136.24344985898864</v>
      </c>
      <c r="K105" s="135">
        <v>553.09861612120415</v>
      </c>
      <c r="L105" s="135">
        <v>102.42887702498849</v>
      </c>
      <c r="M105" s="135">
        <v>1012.3991504595915</v>
      </c>
      <c r="N105" s="135">
        <v>0</v>
      </c>
      <c r="O105" s="135">
        <v>-51.936409785531573</v>
      </c>
      <c r="P105" s="135">
        <v>1598.7971406459349</v>
      </c>
      <c r="Q105" s="135">
        <v>0.28828490850659144</v>
      </c>
      <c r="R105" s="135">
        <v>115.7909411687545</v>
      </c>
      <c r="S105" s="135">
        <v>10581.593990849737</v>
      </c>
      <c r="T105" s="135"/>
      <c r="U105" s="135">
        <v>6662.7695940184958</v>
      </c>
      <c r="V105" s="135">
        <v>0</v>
      </c>
      <c r="W105" s="135">
        <v>350.17613432150586</v>
      </c>
      <c r="X105" s="135">
        <v>530.90755221780455</v>
      </c>
      <c r="Y105" s="135">
        <v>80.745665376795429</v>
      </c>
      <c r="Z105" s="135">
        <v>528.86788074098229</v>
      </c>
      <c r="AA105" s="135">
        <v>170.62293434774054</v>
      </c>
      <c r="AB105" s="135">
        <v>1353.4339405211674</v>
      </c>
      <c r="AC105" s="135">
        <v>72.802017622161543</v>
      </c>
      <c r="AD105" s="135">
        <v>0</v>
      </c>
      <c r="AE105" s="135">
        <v>1599.1748548611902</v>
      </c>
      <c r="AF105" s="135">
        <v>2.9929586148094707</v>
      </c>
      <c r="AG105" s="135">
        <v>62.151576047747092</v>
      </c>
      <c r="AH105" s="135">
        <v>11414.6451086904</v>
      </c>
      <c r="AI105" s="135">
        <v>638.76814586476121</v>
      </c>
      <c r="AJ105" s="135">
        <v>0</v>
      </c>
      <c r="AK105" s="135">
        <v>-740.30635797206003</v>
      </c>
      <c r="AL105" s="135">
        <v>530.90755221780455</v>
      </c>
      <c r="AM105" s="135">
        <v>-55.497784482193211</v>
      </c>
      <c r="AN105" s="135">
        <v>-24.230735380221859</v>
      </c>
      <c r="AO105" s="135">
        <v>68.194057322752045</v>
      </c>
      <c r="AP105" s="135">
        <v>341.0347900615759</v>
      </c>
      <c r="AQ105" s="135">
        <v>72.802017622161543</v>
      </c>
      <c r="AR105" s="135">
        <v>51.936409785531573</v>
      </c>
      <c r="AS105" s="135">
        <v>0.37771421525530968</v>
      </c>
      <c r="AT105" s="135">
        <v>2.7046737063028794</v>
      </c>
      <c r="AU105" s="135">
        <v>-53.639365121007408</v>
      </c>
      <c r="AV105" s="135">
        <v>833.05112182150526</v>
      </c>
      <c r="AW105" s="135"/>
      <c r="AX105" s="164"/>
      <c r="AY105" s="132"/>
      <c r="AZ105" s="135"/>
      <c r="BA105" s="135"/>
    </row>
    <row r="106" spans="1:53" ht="16.5" x14ac:dyDescent="0.3">
      <c r="A106" s="165">
        <v>200</v>
      </c>
      <c r="B106" s="165">
        <v>1</v>
      </c>
      <c r="C106" s="166" t="s">
        <v>361</v>
      </c>
      <c r="D106" s="167">
        <v>3</v>
      </c>
      <c r="E106" s="163">
        <v>4595.7</v>
      </c>
      <c r="F106" s="135">
        <v>6113.376991535566</v>
      </c>
      <c r="G106" s="135">
        <v>5.1373892986922565</v>
      </c>
      <c r="H106" s="135">
        <v>1767.0203929760432</v>
      </c>
      <c r="I106" s="135">
        <v>0</v>
      </c>
      <c r="J106" s="135">
        <v>92.698291881541437</v>
      </c>
      <c r="K106" s="135">
        <v>221.81740104880652</v>
      </c>
      <c r="L106" s="135">
        <v>0</v>
      </c>
      <c r="M106" s="135">
        <v>955.71792753174498</v>
      </c>
      <c r="N106" s="135">
        <v>0</v>
      </c>
      <c r="O106" s="135">
        <v>-52.304062493200171</v>
      </c>
      <c r="P106" s="135">
        <v>1562.7325839495927</v>
      </c>
      <c r="Q106" s="135">
        <v>80.044981178057753</v>
      </c>
      <c r="R106" s="135">
        <v>113.07658463346172</v>
      </c>
      <c r="S106" s="135">
        <v>10859.318481540307</v>
      </c>
      <c r="T106" s="135"/>
      <c r="U106" s="135">
        <v>6771.8015536262174</v>
      </c>
      <c r="V106" s="135">
        <v>0</v>
      </c>
      <c r="W106" s="135">
        <v>1021.1808930086821</v>
      </c>
      <c r="X106" s="135">
        <v>533.49240071190354</v>
      </c>
      <c r="Y106" s="135">
        <v>34.34118415040146</v>
      </c>
      <c r="Z106" s="135">
        <v>198.63743574348516</v>
      </c>
      <c r="AA106" s="135">
        <v>0</v>
      </c>
      <c r="AB106" s="135">
        <v>1240.765024200319</v>
      </c>
      <c r="AC106" s="135">
        <v>48.301180092459894</v>
      </c>
      <c r="AD106" s="135">
        <v>0</v>
      </c>
      <c r="AE106" s="135">
        <v>1646.7862477561014</v>
      </c>
      <c r="AF106" s="135">
        <v>87.113534390843611</v>
      </c>
      <c r="AG106" s="135">
        <v>55.096174685031663</v>
      </c>
      <c r="AH106" s="135">
        <v>11637.515628365445</v>
      </c>
      <c r="AI106" s="135">
        <v>658.42456209065131</v>
      </c>
      <c r="AJ106" s="135">
        <v>-5.1373892986922565</v>
      </c>
      <c r="AK106" s="135">
        <v>-745.83949996736112</v>
      </c>
      <c r="AL106" s="135">
        <v>533.49240071190354</v>
      </c>
      <c r="AM106" s="135">
        <v>-58.357107731139976</v>
      </c>
      <c r="AN106" s="135">
        <v>-23.17996530532136</v>
      </c>
      <c r="AO106" s="135">
        <v>0</v>
      </c>
      <c r="AP106" s="135">
        <v>285.047096668574</v>
      </c>
      <c r="AQ106" s="135">
        <v>48.301180092459894</v>
      </c>
      <c r="AR106" s="135">
        <v>52.304062493200171</v>
      </c>
      <c r="AS106" s="135">
        <v>84.053663806508666</v>
      </c>
      <c r="AT106" s="135">
        <v>7.0685532127858579</v>
      </c>
      <c r="AU106" s="135">
        <v>-57.980409948430058</v>
      </c>
      <c r="AV106" s="135">
        <v>778.19715140178334</v>
      </c>
      <c r="AW106" s="135"/>
      <c r="AX106" s="164"/>
      <c r="AY106" s="132"/>
      <c r="AZ106" s="135"/>
      <c r="BA106" s="135"/>
    </row>
    <row r="107" spans="1:53" ht="16.5" x14ac:dyDescent="0.3">
      <c r="A107" s="165">
        <v>203</v>
      </c>
      <c r="B107" s="165">
        <v>1</v>
      </c>
      <c r="C107" s="166" t="s">
        <v>363</v>
      </c>
      <c r="D107" s="167">
        <v>6</v>
      </c>
      <c r="E107" s="163">
        <v>775.19</v>
      </c>
      <c r="F107" s="135">
        <v>6014.8882209522826</v>
      </c>
      <c r="G107" s="135">
        <v>0</v>
      </c>
      <c r="H107" s="135">
        <v>1135.7528863891432</v>
      </c>
      <c r="I107" s="135">
        <v>0</v>
      </c>
      <c r="J107" s="135">
        <v>107.40213367045497</v>
      </c>
      <c r="K107" s="135">
        <v>263.14973103368209</v>
      </c>
      <c r="L107" s="135">
        <v>101.54743740244325</v>
      </c>
      <c r="M107" s="135">
        <v>779.41916793351174</v>
      </c>
      <c r="N107" s="135">
        <v>0</v>
      </c>
      <c r="O107" s="135">
        <v>-56.119906087539817</v>
      </c>
      <c r="P107" s="135">
        <v>1219.2797610908292</v>
      </c>
      <c r="Q107" s="135">
        <v>242.72560275545351</v>
      </c>
      <c r="R107" s="135">
        <v>108.46179646280265</v>
      </c>
      <c r="S107" s="135">
        <v>9916.5068316030629</v>
      </c>
      <c r="T107" s="135"/>
      <c r="U107" s="135">
        <v>6649.9568363884982</v>
      </c>
      <c r="V107" s="135">
        <v>0</v>
      </c>
      <c r="W107" s="135">
        <v>819.93449347901799</v>
      </c>
      <c r="X107" s="135">
        <v>0</v>
      </c>
      <c r="Y107" s="135">
        <v>46.704214450650802</v>
      </c>
      <c r="Z107" s="135">
        <v>338.50616462607843</v>
      </c>
      <c r="AA107" s="135">
        <v>77.642423147873416</v>
      </c>
      <c r="AB107" s="135">
        <v>865.52714508771305</v>
      </c>
      <c r="AC107" s="135">
        <v>60.569749585742194</v>
      </c>
      <c r="AD107" s="135">
        <v>0</v>
      </c>
      <c r="AE107" s="135">
        <v>1279.048676369664</v>
      </c>
      <c r="AF107" s="135">
        <v>283.18416355990144</v>
      </c>
      <c r="AG107" s="135">
        <v>59.397309046814321</v>
      </c>
      <c r="AH107" s="135">
        <v>10480.471175741952</v>
      </c>
      <c r="AI107" s="135">
        <v>635.06861543621562</v>
      </c>
      <c r="AJ107" s="135">
        <v>0</v>
      </c>
      <c r="AK107" s="135">
        <v>-315.81839291012523</v>
      </c>
      <c r="AL107" s="135">
        <v>0</v>
      </c>
      <c r="AM107" s="135">
        <v>-60.69791921980417</v>
      </c>
      <c r="AN107" s="135">
        <v>75.356433592396343</v>
      </c>
      <c r="AO107" s="135">
        <v>-23.905014254569835</v>
      </c>
      <c r="AP107" s="135">
        <v>86.107977154201308</v>
      </c>
      <c r="AQ107" s="135">
        <v>60.569749585742194</v>
      </c>
      <c r="AR107" s="135">
        <v>56.119906087539817</v>
      </c>
      <c r="AS107" s="135">
        <v>59.768915278834811</v>
      </c>
      <c r="AT107" s="135">
        <v>40.458560804447927</v>
      </c>
      <c r="AU107" s="135">
        <v>-49.064487415988332</v>
      </c>
      <c r="AV107" s="135">
        <v>563.96435296271363</v>
      </c>
      <c r="AW107" s="135"/>
      <c r="AX107" s="164"/>
      <c r="AY107" s="132"/>
      <c r="AZ107" s="135"/>
      <c r="BA107" s="135"/>
    </row>
    <row r="108" spans="1:53" ht="16.5" x14ac:dyDescent="0.3">
      <c r="A108" s="165">
        <v>204</v>
      </c>
      <c r="B108" s="165">
        <v>1</v>
      </c>
      <c r="C108" s="166" t="s">
        <v>336</v>
      </c>
      <c r="D108" s="167">
        <v>4</v>
      </c>
      <c r="E108" s="163">
        <v>2156.2799999999997</v>
      </c>
      <c r="F108" s="135">
        <v>6049.9195651770651</v>
      </c>
      <c r="G108" s="135">
        <v>0</v>
      </c>
      <c r="H108" s="135">
        <v>409.07981338230661</v>
      </c>
      <c r="I108" s="135">
        <v>0</v>
      </c>
      <c r="J108" s="135">
        <v>138.94895839130356</v>
      </c>
      <c r="K108" s="135">
        <v>182.45149516760347</v>
      </c>
      <c r="L108" s="135">
        <v>0</v>
      </c>
      <c r="M108" s="135">
        <v>490.34109121612232</v>
      </c>
      <c r="N108" s="135">
        <v>0</v>
      </c>
      <c r="O108" s="135">
        <v>-28.111098744133418</v>
      </c>
      <c r="P108" s="135">
        <v>1484.2277526109783</v>
      </c>
      <c r="Q108" s="135">
        <v>88.235716140760957</v>
      </c>
      <c r="R108" s="135">
        <v>116.77930046190663</v>
      </c>
      <c r="S108" s="135">
        <v>8931.8725938039152</v>
      </c>
      <c r="T108" s="135"/>
      <c r="U108" s="135">
        <v>6692.0919361121942</v>
      </c>
      <c r="V108" s="135">
        <v>0</v>
      </c>
      <c r="W108" s="135">
        <v>0</v>
      </c>
      <c r="X108" s="135">
        <v>124.70692396543156</v>
      </c>
      <c r="Y108" s="135">
        <v>106.22368152559038</v>
      </c>
      <c r="Z108" s="135">
        <v>167.89804739465055</v>
      </c>
      <c r="AA108" s="135">
        <v>0</v>
      </c>
      <c r="AB108" s="135">
        <v>603.93695161736468</v>
      </c>
      <c r="AC108" s="135">
        <v>40.056320022126549</v>
      </c>
      <c r="AD108" s="135">
        <v>9.5495111952065592</v>
      </c>
      <c r="AE108" s="135">
        <v>1536.1215032147961</v>
      </c>
      <c r="AF108" s="135">
        <v>93.264390524421714</v>
      </c>
      <c r="AG108" s="135">
        <v>68.588861372363525</v>
      </c>
      <c r="AH108" s="135">
        <v>9442.4381269441474</v>
      </c>
      <c r="AI108" s="135">
        <v>642.17237093512904</v>
      </c>
      <c r="AJ108" s="135">
        <v>0</v>
      </c>
      <c r="AK108" s="135">
        <v>-409.07981338230661</v>
      </c>
      <c r="AL108" s="135">
        <v>124.70692396543156</v>
      </c>
      <c r="AM108" s="135">
        <v>-32.725276865713184</v>
      </c>
      <c r="AN108" s="135">
        <v>-14.553447772952921</v>
      </c>
      <c r="AO108" s="135">
        <v>0</v>
      </c>
      <c r="AP108" s="135">
        <v>113.59586040124236</v>
      </c>
      <c r="AQ108" s="135">
        <v>40.056320022126549</v>
      </c>
      <c r="AR108" s="135">
        <v>37.660609939339977</v>
      </c>
      <c r="AS108" s="135">
        <v>51.893750603817807</v>
      </c>
      <c r="AT108" s="135">
        <v>5.028674383660757</v>
      </c>
      <c r="AU108" s="135">
        <v>-48.190439089543105</v>
      </c>
      <c r="AV108" s="135">
        <v>510.56553627682757</v>
      </c>
      <c r="AW108" s="135"/>
      <c r="AX108" s="164"/>
      <c r="AY108" s="132"/>
      <c r="AZ108" s="135"/>
      <c r="BA108" s="135"/>
    </row>
    <row r="109" spans="1:53" ht="16.5" x14ac:dyDescent="0.3">
      <c r="A109" s="165">
        <v>206</v>
      </c>
      <c r="B109" s="165">
        <v>1</v>
      </c>
      <c r="C109" s="166" t="s">
        <v>366</v>
      </c>
      <c r="D109" s="167">
        <v>4</v>
      </c>
      <c r="E109" s="163">
        <v>3968.7799999999997</v>
      </c>
      <c r="F109" s="135">
        <v>6056.7930900679812</v>
      </c>
      <c r="G109" s="135">
        <v>16.510093781968262</v>
      </c>
      <c r="H109" s="135">
        <v>471.92124531972047</v>
      </c>
      <c r="I109" s="135">
        <v>0</v>
      </c>
      <c r="J109" s="135">
        <v>136.78798774434463</v>
      </c>
      <c r="K109" s="135">
        <v>348.63483740595348</v>
      </c>
      <c r="L109" s="135">
        <v>0</v>
      </c>
      <c r="M109" s="135">
        <v>1228.6681623045956</v>
      </c>
      <c r="N109" s="135">
        <v>0</v>
      </c>
      <c r="O109" s="135">
        <v>-36.362312851808362</v>
      </c>
      <c r="P109" s="135">
        <v>1094.0256725312495</v>
      </c>
      <c r="Q109" s="135">
        <v>121.84310543794315</v>
      </c>
      <c r="R109" s="135">
        <v>107.27908324472509</v>
      </c>
      <c r="S109" s="135">
        <v>9546.1009649866737</v>
      </c>
      <c r="T109" s="135"/>
      <c r="U109" s="135">
        <v>6699.3554694389704</v>
      </c>
      <c r="V109" s="135">
        <v>0</v>
      </c>
      <c r="W109" s="135">
        <v>0</v>
      </c>
      <c r="X109" s="135">
        <v>204.99685118587018</v>
      </c>
      <c r="Y109" s="135">
        <v>106.33897570538051</v>
      </c>
      <c r="Z109" s="135">
        <v>416.16330708468496</v>
      </c>
      <c r="AA109" s="135">
        <v>0</v>
      </c>
      <c r="AB109" s="135">
        <v>1386.8300555545529</v>
      </c>
      <c r="AC109" s="135">
        <v>62.123910018137032</v>
      </c>
      <c r="AD109" s="135">
        <v>1.3398701868080367</v>
      </c>
      <c r="AE109" s="135">
        <v>1222.6628942477466</v>
      </c>
      <c r="AF109" s="135">
        <v>128.59572211107695</v>
      </c>
      <c r="AG109" s="135">
        <v>59.710021719520867</v>
      </c>
      <c r="AH109" s="135">
        <v>10288.117077252748</v>
      </c>
      <c r="AI109" s="135">
        <v>642.56237937098922</v>
      </c>
      <c r="AJ109" s="135">
        <v>-16.510093781968262</v>
      </c>
      <c r="AK109" s="135">
        <v>-471.92124531972047</v>
      </c>
      <c r="AL109" s="135">
        <v>204.99685118587018</v>
      </c>
      <c r="AM109" s="135">
        <v>-30.449012038964128</v>
      </c>
      <c r="AN109" s="135">
        <v>67.528469678731483</v>
      </c>
      <c r="AO109" s="135">
        <v>0</v>
      </c>
      <c r="AP109" s="135">
        <v>158.1618932499573</v>
      </c>
      <c r="AQ109" s="135">
        <v>62.123910018137032</v>
      </c>
      <c r="AR109" s="135">
        <v>37.702183038616397</v>
      </c>
      <c r="AS109" s="135">
        <v>128.63722171649715</v>
      </c>
      <c r="AT109" s="135">
        <v>6.7526166731338009</v>
      </c>
      <c r="AU109" s="135">
        <v>-47.569061525204219</v>
      </c>
      <c r="AV109" s="135">
        <v>742.01611476517201</v>
      </c>
      <c r="AW109" s="135"/>
      <c r="AX109" s="132"/>
      <c r="AY109" s="132"/>
      <c r="AZ109" s="155"/>
      <c r="BA109" s="155"/>
    </row>
    <row r="110" spans="1:53" ht="16.5" x14ac:dyDescent="0.3">
      <c r="A110" s="165">
        <v>207</v>
      </c>
      <c r="B110" s="165">
        <v>1</v>
      </c>
      <c r="C110" s="166" t="s">
        <v>362</v>
      </c>
      <c r="D110" s="167">
        <v>6</v>
      </c>
      <c r="E110" s="163">
        <v>274.36</v>
      </c>
      <c r="F110" s="135">
        <v>6005.0485493512178</v>
      </c>
      <c r="G110" s="135">
        <v>15.185048840938911</v>
      </c>
      <c r="H110" s="135">
        <v>856.31414929289974</v>
      </c>
      <c r="I110" s="135">
        <v>0</v>
      </c>
      <c r="J110" s="135">
        <v>119.84808281090537</v>
      </c>
      <c r="K110" s="135">
        <v>368.96577489429944</v>
      </c>
      <c r="L110" s="135">
        <v>0</v>
      </c>
      <c r="M110" s="135">
        <v>541.13193614579382</v>
      </c>
      <c r="N110" s="135">
        <v>0</v>
      </c>
      <c r="O110" s="135">
        <v>-54.178160081644549</v>
      </c>
      <c r="P110" s="135">
        <v>422.18716285172763</v>
      </c>
      <c r="Q110" s="135">
        <v>630.90946202070268</v>
      </c>
      <c r="R110" s="135">
        <v>299.50382708849685</v>
      </c>
      <c r="S110" s="135">
        <v>9204.9158332153365</v>
      </c>
      <c r="T110" s="135"/>
      <c r="U110" s="135">
        <v>6642.8765126111666</v>
      </c>
      <c r="V110" s="135">
        <v>0</v>
      </c>
      <c r="W110" s="135">
        <v>558.73640472372063</v>
      </c>
      <c r="X110" s="135">
        <v>0</v>
      </c>
      <c r="Y110" s="135">
        <v>64.343781892404138</v>
      </c>
      <c r="Z110" s="135">
        <v>468.54257180346985</v>
      </c>
      <c r="AA110" s="135">
        <v>0</v>
      </c>
      <c r="AB110" s="135">
        <v>586.04933670370804</v>
      </c>
      <c r="AC110" s="135">
        <v>64.288429386379505</v>
      </c>
      <c r="AD110" s="135">
        <v>0</v>
      </c>
      <c r="AE110" s="135">
        <v>481.75412799970832</v>
      </c>
      <c r="AF110" s="135">
        <v>629.92066097750933</v>
      </c>
      <c r="AG110" s="135">
        <v>251.28338679107742</v>
      </c>
      <c r="AH110" s="135">
        <v>9747.7952128891448</v>
      </c>
      <c r="AI110" s="135">
        <v>637.82796325994877</v>
      </c>
      <c r="AJ110" s="135">
        <v>-15.185048840938911</v>
      </c>
      <c r="AK110" s="135">
        <v>-297.57774456917912</v>
      </c>
      <c r="AL110" s="135">
        <v>0</v>
      </c>
      <c r="AM110" s="135">
        <v>-55.504300918501229</v>
      </c>
      <c r="AN110" s="135">
        <v>99.576796909170412</v>
      </c>
      <c r="AO110" s="135">
        <v>0</v>
      </c>
      <c r="AP110" s="135">
        <v>44.91740055791422</v>
      </c>
      <c r="AQ110" s="135">
        <v>64.288429386379505</v>
      </c>
      <c r="AR110" s="135">
        <v>54.178160081644549</v>
      </c>
      <c r="AS110" s="135">
        <v>59.566965147980682</v>
      </c>
      <c r="AT110" s="135">
        <v>-0.98880104319334805</v>
      </c>
      <c r="AU110" s="135">
        <v>-48.220440297419429</v>
      </c>
      <c r="AV110" s="135">
        <v>542.87938369396909</v>
      </c>
      <c r="AW110" s="135"/>
      <c r="AX110" s="132"/>
      <c r="AY110" s="132"/>
      <c r="AZ110" s="155"/>
      <c r="BA110" s="155"/>
    </row>
    <row r="111" spans="1:53" ht="16.5" x14ac:dyDescent="0.3">
      <c r="A111" s="165">
        <v>208</v>
      </c>
      <c r="B111" s="165">
        <v>1</v>
      </c>
      <c r="C111" s="166" t="s">
        <v>369</v>
      </c>
      <c r="D111" s="167">
        <v>6</v>
      </c>
      <c r="E111" s="163">
        <v>173.57</v>
      </c>
      <c r="F111" s="135">
        <v>6053.7844097482293</v>
      </c>
      <c r="G111" s="135">
        <v>0</v>
      </c>
      <c r="H111" s="135">
        <v>1910.2068905916922</v>
      </c>
      <c r="I111" s="135">
        <v>0</v>
      </c>
      <c r="J111" s="135">
        <v>77.897274874690325</v>
      </c>
      <c r="K111" s="135">
        <v>652.32857060551942</v>
      </c>
      <c r="L111" s="135">
        <v>0</v>
      </c>
      <c r="M111" s="135">
        <v>227.52682323442991</v>
      </c>
      <c r="N111" s="135">
        <v>0</v>
      </c>
      <c r="O111" s="135">
        <v>-62.171285360373339</v>
      </c>
      <c r="P111" s="135">
        <v>604.31421328570605</v>
      </c>
      <c r="Q111" s="135">
        <v>791.25649593823823</v>
      </c>
      <c r="R111" s="135">
        <v>79.186668203030479</v>
      </c>
      <c r="S111" s="135">
        <v>10334.330061121162</v>
      </c>
      <c r="T111" s="135"/>
      <c r="U111" s="135">
        <v>6695.2699199170365</v>
      </c>
      <c r="V111" s="135">
        <v>0</v>
      </c>
      <c r="W111" s="135">
        <v>1591.3806533387108</v>
      </c>
      <c r="X111" s="135">
        <v>0</v>
      </c>
      <c r="Y111" s="135">
        <v>0</v>
      </c>
      <c r="Z111" s="135">
        <v>774.01367363791746</v>
      </c>
      <c r="AA111" s="135">
        <v>0</v>
      </c>
      <c r="AB111" s="135">
        <v>325.64634169954871</v>
      </c>
      <c r="AC111" s="135">
        <v>115.23661051130428</v>
      </c>
      <c r="AD111" s="135">
        <v>0</v>
      </c>
      <c r="AE111" s="135">
        <v>623.49826558737118</v>
      </c>
      <c r="AF111" s="135">
        <v>813.15633913209604</v>
      </c>
      <c r="AG111" s="135">
        <v>36.860344529584609</v>
      </c>
      <c r="AH111" s="135">
        <v>10975.062148353571</v>
      </c>
      <c r="AI111" s="135">
        <v>641.4855101688072</v>
      </c>
      <c r="AJ111" s="135">
        <v>0</v>
      </c>
      <c r="AK111" s="135">
        <v>-318.8262372529814</v>
      </c>
      <c r="AL111" s="135">
        <v>0</v>
      </c>
      <c r="AM111" s="135">
        <v>-77.897274874690325</v>
      </c>
      <c r="AN111" s="135">
        <v>121.68510303239805</v>
      </c>
      <c r="AO111" s="135">
        <v>0</v>
      </c>
      <c r="AP111" s="135">
        <v>98.119518465118801</v>
      </c>
      <c r="AQ111" s="135">
        <v>115.23661051130428</v>
      </c>
      <c r="AR111" s="135">
        <v>62.171285360373339</v>
      </c>
      <c r="AS111" s="135">
        <v>19.184052301665133</v>
      </c>
      <c r="AT111" s="135">
        <v>21.899843193857805</v>
      </c>
      <c r="AU111" s="135">
        <v>-42.32632367344587</v>
      </c>
      <c r="AV111" s="135">
        <v>640.73208957087411</v>
      </c>
      <c r="AW111" s="135"/>
      <c r="AX111" s="164"/>
      <c r="AY111" s="132"/>
      <c r="AZ111" s="135"/>
      <c r="BA111" s="135"/>
    </row>
    <row r="112" spans="1:53" ht="16.5" x14ac:dyDescent="0.3">
      <c r="A112" s="165">
        <v>213</v>
      </c>
      <c r="B112" s="165">
        <v>1</v>
      </c>
      <c r="C112" s="166" t="s">
        <v>370</v>
      </c>
      <c r="D112" s="167">
        <v>6</v>
      </c>
      <c r="E112" s="163">
        <v>856.28</v>
      </c>
      <c r="F112" s="135">
        <v>6091.5959265660767</v>
      </c>
      <c r="G112" s="135">
        <v>0</v>
      </c>
      <c r="H112" s="135">
        <v>22.524816648759753</v>
      </c>
      <c r="I112" s="135">
        <v>0</v>
      </c>
      <c r="J112" s="135">
        <v>148.27788807399449</v>
      </c>
      <c r="K112" s="135">
        <v>374.82209090484417</v>
      </c>
      <c r="L112" s="135">
        <v>97.077201382725264</v>
      </c>
      <c r="M112" s="135">
        <v>647.31327148467551</v>
      </c>
      <c r="N112" s="135">
        <v>0</v>
      </c>
      <c r="O112" s="135">
        <v>-25.369925725230065</v>
      </c>
      <c r="P112" s="135">
        <v>1752.9264260689097</v>
      </c>
      <c r="Q112" s="135">
        <v>185.65142243191482</v>
      </c>
      <c r="R112" s="135">
        <v>100.04309338066987</v>
      </c>
      <c r="S112" s="135">
        <v>9394.862211217338</v>
      </c>
      <c r="T112" s="135"/>
      <c r="U112" s="135">
        <v>6723.8601859204937</v>
      </c>
      <c r="V112" s="135">
        <v>0</v>
      </c>
      <c r="W112" s="135">
        <v>0</v>
      </c>
      <c r="X112" s="135">
        <v>0</v>
      </c>
      <c r="Y112" s="135">
        <v>106.72793945905545</v>
      </c>
      <c r="Z112" s="135">
        <v>473.85146213855285</v>
      </c>
      <c r="AA112" s="135">
        <v>65.878836361937687</v>
      </c>
      <c r="AB112" s="135">
        <v>736.1903693631748</v>
      </c>
      <c r="AC112" s="135">
        <v>101.0042646532805</v>
      </c>
      <c r="AD112" s="135">
        <v>12.46582893446069</v>
      </c>
      <c r="AE112" s="135">
        <v>1857.5594179844377</v>
      </c>
      <c r="AF112" s="135">
        <v>192.99147515261853</v>
      </c>
      <c r="AG112" s="135">
        <v>52.373546036343249</v>
      </c>
      <c r="AH112" s="135">
        <v>10322.903326004356</v>
      </c>
      <c r="AI112" s="135">
        <v>632.26425935441694</v>
      </c>
      <c r="AJ112" s="135">
        <v>0</v>
      </c>
      <c r="AK112" s="135">
        <v>-22.524816648759753</v>
      </c>
      <c r="AL112" s="135">
        <v>0</v>
      </c>
      <c r="AM112" s="135">
        <v>-41.549948614939041</v>
      </c>
      <c r="AN112" s="135">
        <v>99.029371233708673</v>
      </c>
      <c r="AO112" s="135">
        <v>-31.198365020787577</v>
      </c>
      <c r="AP112" s="135">
        <v>88.877097878499285</v>
      </c>
      <c r="AQ112" s="135">
        <v>101.0042646532805</v>
      </c>
      <c r="AR112" s="135">
        <v>37.835754659690757</v>
      </c>
      <c r="AS112" s="135">
        <v>104.63299191552801</v>
      </c>
      <c r="AT112" s="135">
        <v>7.3400527207037101</v>
      </c>
      <c r="AU112" s="135">
        <v>-47.669547344326624</v>
      </c>
      <c r="AV112" s="135">
        <v>928.04111922903894</v>
      </c>
      <c r="AW112" s="135"/>
      <c r="AX112" s="132"/>
      <c r="AY112" s="132"/>
      <c r="AZ112" s="155"/>
      <c r="BA112" s="155"/>
    </row>
    <row r="113" spans="1:53" ht="16.5" x14ac:dyDescent="0.3">
      <c r="A113" s="165">
        <v>227</v>
      </c>
      <c r="B113" s="165">
        <v>1</v>
      </c>
      <c r="C113" s="166" t="s">
        <v>275</v>
      </c>
      <c r="D113" s="167">
        <v>6</v>
      </c>
      <c r="E113" s="163">
        <v>902.67000000000007</v>
      </c>
      <c r="F113" s="135">
        <v>5917.8943356929985</v>
      </c>
      <c r="G113" s="135">
        <v>0</v>
      </c>
      <c r="H113" s="135">
        <v>686.51986883357142</v>
      </c>
      <c r="I113" s="135">
        <v>0</v>
      </c>
      <c r="J113" s="135">
        <v>124.67906322354791</v>
      </c>
      <c r="K113" s="135">
        <v>158.1743161952873</v>
      </c>
      <c r="L113" s="135">
        <v>101.99522970742352</v>
      </c>
      <c r="M113" s="135">
        <v>491.48852666199156</v>
      </c>
      <c r="N113" s="135">
        <v>0</v>
      </c>
      <c r="O113" s="135">
        <v>-39.521929387262233</v>
      </c>
      <c r="P113" s="135">
        <v>1883.7360400969187</v>
      </c>
      <c r="Q113" s="135">
        <v>162.9120165730555</v>
      </c>
      <c r="R113" s="135">
        <v>106.62900063146</v>
      </c>
      <c r="S113" s="135">
        <v>9594.5064682289903</v>
      </c>
      <c r="T113" s="135"/>
      <c r="U113" s="135">
        <v>6531.1542424141708</v>
      </c>
      <c r="V113" s="135">
        <v>0</v>
      </c>
      <c r="W113" s="135">
        <v>375.52063323252128</v>
      </c>
      <c r="X113" s="135">
        <v>0</v>
      </c>
      <c r="Y113" s="135">
        <v>76.846211793900309</v>
      </c>
      <c r="Z113" s="135">
        <v>217.53404898800224</v>
      </c>
      <c r="AA113" s="135">
        <v>69.162672959110196</v>
      </c>
      <c r="AB113" s="135">
        <v>572.60018555198849</v>
      </c>
      <c r="AC113" s="135">
        <v>50.036080939182085</v>
      </c>
      <c r="AD113" s="135">
        <v>0</v>
      </c>
      <c r="AE113" s="135">
        <v>1903.5545281590012</v>
      </c>
      <c r="AF113" s="135">
        <v>176.33336086160764</v>
      </c>
      <c r="AG113" s="135">
        <v>60.004719332646474</v>
      </c>
      <c r="AH113" s="135">
        <v>10032.74668423213</v>
      </c>
      <c r="AI113" s="135">
        <v>613.25990672117223</v>
      </c>
      <c r="AJ113" s="135">
        <v>0</v>
      </c>
      <c r="AK113" s="135">
        <v>-310.99923560105015</v>
      </c>
      <c r="AL113" s="135">
        <v>0</v>
      </c>
      <c r="AM113" s="135">
        <v>-47.832851429647604</v>
      </c>
      <c r="AN113" s="135">
        <v>59.359732792714937</v>
      </c>
      <c r="AO113" s="135">
        <v>-32.832556748313323</v>
      </c>
      <c r="AP113" s="135">
        <v>81.111658889996932</v>
      </c>
      <c r="AQ113" s="135">
        <v>50.036080939182085</v>
      </c>
      <c r="AR113" s="135">
        <v>39.521929387262233</v>
      </c>
      <c r="AS113" s="135">
        <v>19.818488062082452</v>
      </c>
      <c r="AT113" s="135">
        <v>13.421344288552149</v>
      </c>
      <c r="AU113" s="135">
        <v>-46.624281298813528</v>
      </c>
      <c r="AV113" s="135">
        <v>438.2402255183282</v>
      </c>
      <c r="AW113" s="135"/>
      <c r="AX113" s="164"/>
      <c r="AY113" s="132"/>
      <c r="AZ113" s="135"/>
      <c r="BA113" s="135"/>
    </row>
    <row r="114" spans="1:53" ht="16.5" x14ac:dyDescent="0.3">
      <c r="A114" s="165">
        <v>229</v>
      </c>
      <c r="B114" s="165">
        <v>1</v>
      </c>
      <c r="C114" s="166" t="s">
        <v>373</v>
      </c>
      <c r="D114" s="167">
        <v>6</v>
      </c>
      <c r="E114" s="163">
        <v>333.90999999999997</v>
      </c>
      <c r="F114" s="135">
        <v>6021.5787487646385</v>
      </c>
      <c r="G114" s="135">
        <v>41.726872510556746</v>
      </c>
      <c r="H114" s="135">
        <v>74.275583240993086</v>
      </c>
      <c r="I114" s="135">
        <v>0</v>
      </c>
      <c r="J114" s="135">
        <v>138.2438980563625</v>
      </c>
      <c r="K114" s="135">
        <v>404.89967356473306</v>
      </c>
      <c r="L114" s="135">
        <v>0</v>
      </c>
      <c r="M114" s="135">
        <v>688.69942170620823</v>
      </c>
      <c r="N114" s="135">
        <v>0</v>
      </c>
      <c r="O114" s="135">
        <v>-59.940522895390984</v>
      </c>
      <c r="P114" s="135">
        <v>1149.2010601659131</v>
      </c>
      <c r="Q114" s="135">
        <v>645.85579946692224</v>
      </c>
      <c r="R114" s="135">
        <v>95.69961965799169</v>
      </c>
      <c r="S114" s="135">
        <v>9200.2401542389289</v>
      </c>
      <c r="T114" s="135"/>
      <c r="U114" s="135">
        <v>6665.4607528974884</v>
      </c>
      <c r="V114" s="135">
        <v>0</v>
      </c>
      <c r="W114" s="135">
        <v>0</v>
      </c>
      <c r="X114" s="135">
        <v>0</v>
      </c>
      <c r="Y114" s="135">
        <v>105.80096433170615</v>
      </c>
      <c r="Z114" s="135">
        <v>443.92947201341678</v>
      </c>
      <c r="AA114" s="135">
        <v>0</v>
      </c>
      <c r="AB114" s="135">
        <v>759.69380468375095</v>
      </c>
      <c r="AC114" s="135">
        <v>66.583695083800933</v>
      </c>
      <c r="AD114" s="135">
        <v>0</v>
      </c>
      <c r="AE114" s="135">
        <v>1272.0818444730617</v>
      </c>
      <c r="AF114" s="135">
        <v>586.85423823942483</v>
      </c>
      <c r="AG114" s="135">
        <v>48.590877781438117</v>
      </c>
      <c r="AH114" s="135">
        <v>9948.9956495040879</v>
      </c>
      <c r="AI114" s="135">
        <v>643.88200413284994</v>
      </c>
      <c r="AJ114" s="135">
        <v>-41.726872510556746</v>
      </c>
      <c r="AK114" s="135">
        <v>-74.275583240993086</v>
      </c>
      <c r="AL114" s="135">
        <v>0</v>
      </c>
      <c r="AM114" s="135">
        <v>-32.442933724656342</v>
      </c>
      <c r="AN114" s="135">
        <v>39.029798448683721</v>
      </c>
      <c r="AO114" s="135">
        <v>0</v>
      </c>
      <c r="AP114" s="135">
        <v>70.994382977542728</v>
      </c>
      <c r="AQ114" s="135">
        <v>66.583695083800933</v>
      </c>
      <c r="AR114" s="135">
        <v>59.940522895390984</v>
      </c>
      <c r="AS114" s="135">
        <v>122.88078430714859</v>
      </c>
      <c r="AT114" s="135">
        <v>-59.001561227497405</v>
      </c>
      <c r="AU114" s="135">
        <v>-47.108741876553573</v>
      </c>
      <c r="AV114" s="135">
        <v>748.75550279746335</v>
      </c>
      <c r="AW114" s="135"/>
      <c r="AX114" s="164"/>
      <c r="AY114" s="132"/>
      <c r="AZ114" s="135"/>
      <c r="BA114" s="135"/>
    </row>
    <row r="115" spans="1:53" ht="16.5" x14ac:dyDescent="0.3">
      <c r="A115" s="165">
        <v>238</v>
      </c>
      <c r="B115" s="165">
        <v>1</v>
      </c>
      <c r="C115" s="166" t="s">
        <v>281</v>
      </c>
      <c r="D115" s="167">
        <v>6</v>
      </c>
      <c r="E115" s="163">
        <v>255.39000000000001</v>
      </c>
      <c r="F115" s="135">
        <v>5984.5165433258935</v>
      </c>
      <c r="G115" s="135">
        <v>12.76177610713027</v>
      </c>
      <c r="H115" s="135">
        <v>1544.1115548768548</v>
      </c>
      <c r="I115" s="135">
        <v>0</v>
      </c>
      <c r="J115" s="135">
        <v>91.955793100747869</v>
      </c>
      <c r="K115" s="135">
        <v>348.54375660754135</v>
      </c>
      <c r="L115" s="135">
        <v>0</v>
      </c>
      <c r="M115" s="135">
        <v>762.15370591287831</v>
      </c>
      <c r="N115" s="135">
        <v>0</v>
      </c>
      <c r="O115" s="135">
        <v>-79.987861701711097</v>
      </c>
      <c r="P115" s="135">
        <v>2033.5726849132698</v>
      </c>
      <c r="Q115" s="135">
        <v>676.76357727397306</v>
      </c>
      <c r="R115" s="135">
        <v>115.22303144210814</v>
      </c>
      <c r="S115" s="135">
        <v>11489.614561858685</v>
      </c>
      <c r="T115" s="135"/>
      <c r="U115" s="135">
        <v>6625.4321625748853</v>
      </c>
      <c r="V115" s="135">
        <v>0</v>
      </c>
      <c r="W115" s="135">
        <v>1242.63992325463</v>
      </c>
      <c r="X115" s="135">
        <v>0</v>
      </c>
      <c r="Y115" s="135">
        <v>15.985708132659854</v>
      </c>
      <c r="Z115" s="135">
        <v>444.25678374251146</v>
      </c>
      <c r="AA115" s="135">
        <v>0</v>
      </c>
      <c r="AB115" s="135">
        <v>762.15370591287831</v>
      </c>
      <c r="AC115" s="135">
        <v>58.036627968811011</v>
      </c>
      <c r="AD115" s="135">
        <v>0</v>
      </c>
      <c r="AE115" s="135">
        <v>2033.208888249344</v>
      </c>
      <c r="AF115" s="135">
        <v>685.10971433370219</v>
      </c>
      <c r="AG115" s="135">
        <v>66.534202592114013</v>
      </c>
      <c r="AH115" s="135">
        <v>11933.357716761539</v>
      </c>
      <c r="AI115" s="135">
        <v>640.91561924899179</v>
      </c>
      <c r="AJ115" s="135">
        <v>-12.76177610713027</v>
      </c>
      <c r="AK115" s="135">
        <v>-301.47163162222478</v>
      </c>
      <c r="AL115" s="135">
        <v>0</v>
      </c>
      <c r="AM115" s="135">
        <v>-75.970084968088017</v>
      </c>
      <c r="AN115" s="135">
        <v>95.713027134970105</v>
      </c>
      <c r="AO115" s="135">
        <v>0</v>
      </c>
      <c r="AP115" s="135">
        <v>0</v>
      </c>
      <c r="AQ115" s="135">
        <v>58.036627968811011</v>
      </c>
      <c r="AR115" s="135">
        <v>79.987861701711097</v>
      </c>
      <c r="AS115" s="135">
        <v>-0.36379666392576837</v>
      </c>
      <c r="AT115" s="135">
        <v>8.3461370597291307</v>
      </c>
      <c r="AU115" s="135">
        <v>-48.688828849994124</v>
      </c>
      <c r="AV115" s="135">
        <v>443.74316298796344</v>
      </c>
      <c r="AW115" s="135"/>
      <c r="AX115" s="164"/>
      <c r="AY115" s="132"/>
      <c r="AZ115" s="135"/>
      <c r="BA115" s="135"/>
    </row>
    <row r="116" spans="1:53" ht="16.5" x14ac:dyDescent="0.3">
      <c r="A116" s="165">
        <v>239</v>
      </c>
      <c r="B116" s="165">
        <v>1</v>
      </c>
      <c r="C116" s="166" t="s">
        <v>376</v>
      </c>
      <c r="D116" s="167">
        <v>6</v>
      </c>
      <c r="E116" s="163">
        <v>674.14</v>
      </c>
      <c r="F116" s="135">
        <v>6044.7880855608628</v>
      </c>
      <c r="G116" s="135">
        <v>24.889622333639899</v>
      </c>
      <c r="H116" s="135">
        <v>1141.3569436615539</v>
      </c>
      <c r="I116" s="135">
        <v>0</v>
      </c>
      <c r="J116" s="135">
        <v>109.97255762897913</v>
      </c>
      <c r="K116" s="135">
        <v>464.82101640608778</v>
      </c>
      <c r="L116" s="135">
        <v>0</v>
      </c>
      <c r="M116" s="135">
        <v>728.20710193239393</v>
      </c>
      <c r="N116" s="135">
        <v>0</v>
      </c>
      <c r="O116" s="135">
        <v>-52.467217491915626</v>
      </c>
      <c r="P116" s="135">
        <v>452.29572789034921</v>
      </c>
      <c r="Q116" s="135">
        <v>328.7258432966446</v>
      </c>
      <c r="R116" s="135">
        <v>354.36019224493435</v>
      </c>
      <c r="S116" s="135">
        <v>9596.949873463529</v>
      </c>
      <c r="T116" s="135"/>
      <c r="U116" s="135">
        <v>6679.6970955587858</v>
      </c>
      <c r="V116" s="135">
        <v>0</v>
      </c>
      <c r="W116" s="135">
        <v>848.1624885038716</v>
      </c>
      <c r="X116" s="135">
        <v>0</v>
      </c>
      <c r="Y116" s="135">
        <v>45.443898893404928</v>
      </c>
      <c r="Z116" s="135">
        <v>575.64906399264248</v>
      </c>
      <c r="AA116" s="135">
        <v>0</v>
      </c>
      <c r="AB116" s="135">
        <v>859.67255489110278</v>
      </c>
      <c r="AC116" s="135">
        <v>73.288310128235693</v>
      </c>
      <c r="AD116" s="135">
        <v>0</v>
      </c>
      <c r="AE116" s="135">
        <v>500.47736515412225</v>
      </c>
      <c r="AF116" s="135">
        <v>348.42746032527998</v>
      </c>
      <c r="AG116" s="135">
        <v>308.69561218737948</v>
      </c>
      <c r="AH116" s="135">
        <v>10239.513849634825</v>
      </c>
      <c r="AI116" s="135">
        <v>634.90900999792302</v>
      </c>
      <c r="AJ116" s="135">
        <v>-24.889622333639899</v>
      </c>
      <c r="AK116" s="135">
        <v>-293.19445515768234</v>
      </c>
      <c r="AL116" s="135">
        <v>0</v>
      </c>
      <c r="AM116" s="135">
        <v>-64.528658735574197</v>
      </c>
      <c r="AN116" s="135">
        <v>110.8280475865547</v>
      </c>
      <c r="AO116" s="135">
        <v>0</v>
      </c>
      <c r="AP116" s="135">
        <v>131.46545295870885</v>
      </c>
      <c r="AQ116" s="135">
        <v>73.288310128235693</v>
      </c>
      <c r="AR116" s="135">
        <v>52.467217491915626</v>
      </c>
      <c r="AS116" s="135">
        <v>48.181637263773041</v>
      </c>
      <c r="AT116" s="135">
        <v>19.701617028635383</v>
      </c>
      <c r="AU116" s="135">
        <v>-45.664580057554872</v>
      </c>
      <c r="AV116" s="135">
        <v>642.56398595059068</v>
      </c>
      <c r="AW116" s="135"/>
      <c r="AX116" s="164"/>
      <c r="AY116" s="132"/>
      <c r="AZ116" s="135"/>
      <c r="BA116" s="135"/>
    </row>
    <row r="117" spans="1:53" ht="16.5" x14ac:dyDescent="0.3">
      <c r="A117" s="165">
        <v>241</v>
      </c>
      <c r="B117" s="165">
        <v>1</v>
      </c>
      <c r="C117" s="166" t="s">
        <v>378</v>
      </c>
      <c r="D117" s="167">
        <v>4</v>
      </c>
      <c r="E117" s="163">
        <v>3233.6800000000003</v>
      </c>
      <c r="F117" s="135">
        <v>6023.6063432374258</v>
      </c>
      <c r="G117" s="135">
        <v>51.196042898493353</v>
      </c>
      <c r="H117" s="135">
        <v>1244.2454015239603</v>
      </c>
      <c r="I117" s="135">
        <v>0</v>
      </c>
      <c r="J117" s="135">
        <v>104.76739504218104</v>
      </c>
      <c r="K117" s="135">
        <v>881.78828146260594</v>
      </c>
      <c r="L117" s="135">
        <v>137.6610689678632</v>
      </c>
      <c r="M117" s="135">
        <v>1564.0749030785187</v>
      </c>
      <c r="N117" s="135">
        <v>0</v>
      </c>
      <c r="O117" s="135">
        <v>-63.781675985255184</v>
      </c>
      <c r="P117" s="135">
        <v>1334.9592959105414</v>
      </c>
      <c r="Q117" s="135">
        <v>109.3796510477227</v>
      </c>
      <c r="R117" s="135">
        <v>365.71210200143491</v>
      </c>
      <c r="S117" s="135">
        <v>11753.608809185491</v>
      </c>
      <c r="T117" s="135"/>
      <c r="U117" s="135">
        <v>6657.5613542465544</v>
      </c>
      <c r="V117" s="135">
        <v>0</v>
      </c>
      <c r="W117" s="135">
        <v>767.05674340070743</v>
      </c>
      <c r="X117" s="135">
        <v>248.81817717821062</v>
      </c>
      <c r="Y117" s="135">
        <v>50.885811211993762</v>
      </c>
      <c r="Z117" s="135">
        <v>835.84326078252741</v>
      </c>
      <c r="AA117" s="135">
        <v>131.54858551248114</v>
      </c>
      <c r="AB117" s="135">
        <v>1957.7862329477491</v>
      </c>
      <c r="AC117" s="135">
        <v>86.831864205539333</v>
      </c>
      <c r="AD117" s="135">
        <v>0</v>
      </c>
      <c r="AE117" s="135">
        <v>1434.0244462964793</v>
      </c>
      <c r="AF117" s="135">
        <v>117.10967380816902</v>
      </c>
      <c r="AG117" s="135">
        <v>317.70302874743328</v>
      </c>
      <c r="AH117" s="135">
        <v>12605.169178337845</v>
      </c>
      <c r="AI117" s="135">
        <v>633.95501100912861</v>
      </c>
      <c r="AJ117" s="135">
        <v>-51.196042898493353</v>
      </c>
      <c r="AK117" s="135">
        <v>-477.18865812325282</v>
      </c>
      <c r="AL117" s="135">
        <v>248.81817717821062</v>
      </c>
      <c r="AM117" s="135">
        <v>-53.881583830187274</v>
      </c>
      <c r="AN117" s="135">
        <v>-45.945020680078528</v>
      </c>
      <c r="AO117" s="135">
        <v>-6.1124834553820619</v>
      </c>
      <c r="AP117" s="135">
        <v>393.71132986923044</v>
      </c>
      <c r="AQ117" s="135">
        <v>86.831864205539333</v>
      </c>
      <c r="AR117" s="135">
        <v>63.781675985255184</v>
      </c>
      <c r="AS117" s="135">
        <v>99.065150385937841</v>
      </c>
      <c r="AT117" s="135">
        <v>7.7300227604463174</v>
      </c>
      <c r="AU117" s="135">
        <v>-48.009073254001635</v>
      </c>
      <c r="AV117" s="135">
        <v>851.56037765344229</v>
      </c>
      <c r="AW117" s="135"/>
      <c r="AX117" s="164"/>
      <c r="AY117" s="132"/>
      <c r="AZ117" s="135"/>
      <c r="BA117" s="135"/>
    </row>
    <row r="118" spans="1:53" ht="16.5" x14ac:dyDescent="0.3">
      <c r="A118" s="165">
        <v>242</v>
      </c>
      <c r="B118" s="165">
        <v>1</v>
      </c>
      <c r="C118" s="166" t="s">
        <v>316</v>
      </c>
      <c r="D118" s="167">
        <v>6</v>
      </c>
      <c r="E118" s="163">
        <v>509.46999999999997</v>
      </c>
      <c r="F118" s="135">
        <v>6027.2821559660042</v>
      </c>
      <c r="G118" s="135">
        <v>7.4302706734449533</v>
      </c>
      <c r="H118" s="135">
        <v>644.35167919602736</v>
      </c>
      <c r="I118" s="135">
        <v>0</v>
      </c>
      <c r="J118" s="135">
        <v>144.12866312049778</v>
      </c>
      <c r="K118" s="135">
        <v>501.03385871592047</v>
      </c>
      <c r="L118" s="135">
        <v>0</v>
      </c>
      <c r="M118" s="135">
        <v>593.20413265384025</v>
      </c>
      <c r="N118" s="135">
        <v>0</v>
      </c>
      <c r="O118" s="135">
        <v>-28.841678607180011</v>
      </c>
      <c r="P118" s="135">
        <v>1206.309804530759</v>
      </c>
      <c r="Q118" s="135">
        <v>484.44397118574204</v>
      </c>
      <c r="R118" s="135">
        <v>261.58313541523546</v>
      </c>
      <c r="S118" s="135">
        <v>9840.9259928502906</v>
      </c>
      <c r="T118" s="135"/>
      <c r="U118" s="135">
        <v>6676.9093371542986</v>
      </c>
      <c r="V118" s="135">
        <v>0</v>
      </c>
      <c r="W118" s="135">
        <v>333.83486760751373</v>
      </c>
      <c r="X118" s="135">
        <v>0</v>
      </c>
      <c r="Y118" s="135">
        <v>82.137338803069866</v>
      </c>
      <c r="Z118" s="135">
        <v>619.20703868726321</v>
      </c>
      <c r="AA118" s="135">
        <v>0</v>
      </c>
      <c r="AB118" s="135">
        <v>667.46110380171137</v>
      </c>
      <c r="AC118" s="135">
        <v>33.941750223658083</v>
      </c>
      <c r="AD118" s="135">
        <v>8.7329774078944791</v>
      </c>
      <c r="AE118" s="135">
        <v>1289.2297149937331</v>
      </c>
      <c r="AF118" s="135">
        <v>411.16290853859482</v>
      </c>
      <c r="AG118" s="135">
        <v>212.9535399532848</v>
      </c>
      <c r="AH118" s="135">
        <v>10335.570577171022</v>
      </c>
      <c r="AI118" s="135">
        <v>649.62718118829434</v>
      </c>
      <c r="AJ118" s="135">
        <v>-7.4302706734449533</v>
      </c>
      <c r="AK118" s="135">
        <v>-310.51681158851363</v>
      </c>
      <c r="AL118" s="135">
        <v>0</v>
      </c>
      <c r="AM118" s="135">
        <v>-61.99132431742791</v>
      </c>
      <c r="AN118" s="135">
        <v>118.17317997134273</v>
      </c>
      <c r="AO118" s="135">
        <v>0</v>
      </c>
      <c r="AP118" s="135">
        <v>74.256971147871127</v>
      </c>
      <c r="AQ118" s="135">
        <v>33.941750223658083</v>
      </c>
      <c r="AR118" s="135">
        <v>37.574656015074488</v>
      </c>
      <c r="AS118" s="135">
        <v>82.91991046297403</v>
      </c>
      <c r="AT118" s="135">
        <v>-73.281062647147223</v>
      </c>
      <c r="AU118" s="135">
        <v>-48.629595461950657</v>
      </c>
      <c r="AV118" s="135">
        <v>494.64459138361821</v>
      </c>
      <c r="AW118" s="135"/>
      <c r="AX118" s="164"/>
      <c r="AY118" s="132"/>
      <c r="AZ118" s="135"/>
      <c r="BA118" s="135"/>
    </row>
    <row r="119" spans="1:53" ht="16.5" x14ac:dyDescent="0.3">
      <c r="A119" s="165">
        <v>252</v>
      </c>
      <c r="B119" s="165">
        <v>1</v>
      </c>
      <c r="C119" s="166" t="s">
        <v>379</v>
      </c>
      <c r="D119" s="167">
        <v>5</v>
      </c>
      <c r="E119" s="163">
        <v>1210.8499999999999</v>
      </c>
      <c r="F119" s="135">
        <v>6079.962010158154</v>
      </c>
      <c r="G119" s="135">
        <v>0</v>
      </c>
      <c r="H119" s="135">
        <v>595.73440145352447</v>
      </c>
      <c r="I119" s="135">
        <v>0</v>
      </c>
      <c r="J119" s="135">
        <v>132.51617458809926</v>
      </c>
      <c r="K119" s="135">
        <v>150.89849279431803</v>
      </c>
      <c r="L119" s="135">
        <v>0</v>
      </c>
      <c r="M119" s="135">
        <v>689.2171008749425</v>
      </c>
      <c r="N119" s="135">
        <v>0</v>
      </c>
      <c r="O119" s="135">
        <v>-53.736201841681471</v>
      </c>
      <c r="P119" s="135">
        <v>1481.8091435178358</v>
      </c>
      <c r="Q119" s="135">
        <v>136.43835322294257</v>
      </c>
      <c r="R119" s="135">
        <v>75.584490234133042</v>
      </c>
      <c r="S119" s="135">
        <v>9288.4239650022682</v>
      </c>
      <c r="T119" s="135"/>
      <c r="U119" s="135">
        <v>6728.4114465045222</v>
      </c>
      <c r="V119" s="135">
        <v>0</v>
      </c>
      <c r="W119" s="135">
        <v>275.33086674650042</v>
      </c>
      <c r="X119" s="135">
        <v>0</v>
      </c>
      <c r="Y119" s="135">
        <v>87.13369120865508</v>
      </c>
      <c r="Z119" s="135">
        <v>199.85622888528817</v>
      </c>
      <c r="AA119" s="135">
        <v>0</v>
      </c>
      <c r="AB119" s="135">
        <v>837.05047193092093</v>
      </c>
      <c r="AC119" s="135">
        <v>43.673529546074199</v>
      </c>
      <c r="AD119" s="135">
        <v>0</v>
      </c>
      <c r="AE119" s="135">
        <v>1581.5500403715218</v>
      </c>
      <c r="AF119" s="135">
        <v>142.03356319940539</v>
      </c>
      <c r="AG119" s="135">
        <v>61.618268158731468</v>
      </c>
      <c r="AH119" s="135">
        <v>9956.6581065516202</v>
      </c>
      <c r="AI119" s="135">
        <v>648.4494363463682</v>
      </c>
      <c r="AJ119" s="135">
        <v>0</v>
      </c>
      <c r="AK119" s="135">
        <v>-320.40353470702405</v>
      </c>
      <c r="AL119" s="135">
        <v>0</v>
      </c>
      <c r="AM119" s="135">
        <v>-45.382483379444182</v>
      </c>
      <c r="AN119" s="135">
        <v>48.957736090970144</v>
      </c>
      <c r="AO119" s="135">
        <v>0</v>
      </c>
      <c r="AP119" s="135">
        <v>147.83337105597843</v>
      </c>
      <c r="AQ119" s="135">
        <v>43.673529546074199</v>
      </c>
      <c r="AR119" s="135">
        <v>53.736201841681471</v>
      </c>
      <c r="AS119" s="135">
        <v>99.740896853686081</v>
      </c>
      <c r="AT119" s="135">
        <v>5.5952099764628258</v>
      </c>
      <c r="AU119" s="135">
        <v>-13.966222075401575</v>
      </c>
      <c r="AV119" s="135">
        <v>668.23415009286327</v>
      </c>
      <c r="AW119" s="135"/>
      <c r="AX119" s="164"/>
      <c r="AY119" s="132"/>
      <c r="AZ119" s="135"/>
      <c r="BA119" s="135"/>
    </row>
    <row r="120" spans="1:53" ht="16.5" x14ac:dyDescent="0.3">
      <c r="A120" s="165">
        <v>253</v>
      </c>
      <c r="B120" s="165">
        <v>1</v>
      </c>
      <c r="C120" s="166" t="s">
        <v>381</v>
      </c>
      <c r="D120" s="167">
        <v>6</v>
      </c>
      <c r="E120" s="163">
        <v>655.68000000000006</v>
      </c>
      <c r="F120" s="135">
        <v>5982.0090287945332</v>
      </c>
      <c r="G120" s="135">
        <v>2.4276171303074667</v>
      </c>
      <c r="H120" s="135">
        <v>583.625381283553</v>
      </c>
      <c r="I120" s="135">
        <v>0</v>
      </c>
      <c r="J120" s="135">
        <v>130.07204734016591</v>
      </c>
      <c r="K120" s="135">
        <v>121.70770802830647</v>
      </c>
      <c r="L120" s="135">
        <v>0</v>
      </c>
      <c r="M120" s="135">
        <v>388.08251474835271</v>
      </c>
      <c r="N120" s="135">
        <v>0</v>
      </c>
      <c r="O120" s="135">
        <v>-34.866596510492926</v>
      </c>
      <c r="P120" s="135">
        <v>1068.4003446803317</v>
      </c>
      <c r="Q120" s="135">
        <v>312.97907515861391</v>
      </c>
      <c r="R120" s="135">
        <v>105.77405136652024</v>
      </c>
      <c r="S120" s="135">
        <v>8660.2111720201901</v>
      </c>
      <c r="T120" s="135"/>
      <c r="U120" s="135">
        <v>6607.0827232796482</v>
      </c>
      <c r="V120" s="135">
        <v>0</v>
      </c>
      <c r="W120" s="135">
        <v>271.4252531722791</v>
      </c>
      <c r="X120" s="135">
        <v>0</v>
      </c>
      <c r="Y120" s="135">
        <v>85.486807589067823</v>
      </c>
      <c r="Z120" s="135">
        <v>165.120297102282</v>
      </c>
      <c r="AA120" s="135">
        <v>0</v>
      </c>
      <c r="AB120" s="135">
        <v>521.38446010412065</v>
      </c>
      <c r="AC120" s="135">
        <v>42.498413501123785</v>
      </c>
      <c r="AD120" s="135">
        <v>2.3072382869692531</v>
      </c>
      <c r="AE120" s="135">
        <v>1215.9577834736456</v>
      </c>
      <c r="AF120" s="135">
        <v>325.58246764146827</v>
      </c>
      <c r="AG120" s="135">
        <v>57.914058687164463</v>
      </c>
      <c r="AH120" s="135">
        <v>9294.7595028377691</v>
      </c>
      <c r="AI120" s="135">
        <v>625.07369448511508</v>
      </c>
      <c r="AJ120" s="135">
        <v>-2.4276171303074667</v>
      </c>
      <c r="AK120" s="135">
        <v>-312.2001281112739</v>
      </c>
      <c r="AL120" s="135">
        <v>0</v>
      </c>
      <c r="AM120" s="135">
        <v>-44.585239751098086</v>
      </c>
      <c r="AN120" s="135">
        <v>43.412589073975525</v>
      </c>
      <c r="AO120" s="135">
        <v>0</v>
      </c>
      <c r="AP120" s="135">
        <v>133.30194535576794</v>
      </c>
      <c r="AQ120" s="135">
        <v>42.498413501123785</v>
      </c>
      <c r="AR120" s="135">
        <v>37.173834797462177</v>
      </c>
      <c r="AS120" s="135">
        <v>147.55743879331385</v>
      </c>
      <c r="AT120" s="135">
        <v>12.60339248285436</v>
      </c>
      <c r="AU120" s="135">
        <v>-47.859992679355777</v>
      </c>
      <c r="AV120" s="135">
        <v>634.54833285388577</v>
      </c>
      <c r="AW120" s="135"/>
      <c r="AX120" s="164"/>
      <c r="AY120" s="132"/>
      <c r="AZ120" s="135"/>
      <c r="BA120" s="135"/>
    </row>
    <row r="121" spans="1:53" ht="16.5" x14ac:dyDescent="0.3">
      <c r="A121" s="165">
        <v>255</v>
      </c>
      <c r="B121" s="165">
        <v>1</v>
      </c>
      <c r="C121" s="166" t="s">
        <v>332</v>
      </c>
      <c r="D121" s="167">
        <v>5</v>
      </c>
      <c r="E121" s="163">
        <v>1206.69</v>
      </c>
      <c r="F121" s="135">
        <v>6022.8669169380701</v>
      </c>
      <c r="G121" s="135">
        <v>0</v>
      </c>
      <c r="H121" s="135">
        <v>781.98988141113284</v>
      </c>
      <c r="I121" s="135">
        <v>0</v>
      </c>
      <c r="J121" s="135">
        <v>124.06598214951643</v>
      </c>
      <c r="K121" s="135">
        <v>161.86788653258088</v>
      </c>
      <c r="L121" s="135">
        <v>105.22563375846323</v>
      </c>
      <c r="M121" s="135">
        <v>502.98383876234976</v>
      </c>
      <c r="N121" s="135">
        <v>0</v>
      </c>
      <c r="O121" s="135">
        <v>-39.003820368114425</v>
      </c>
      <c r="P121" s="135">
        <v>1046.0220586894727</v>
      </c>
      <c r="Q121" s="135">
        <v>117.28680108395693</v>
      </c>
      <c r="R121" s="135">
        <v>104.44521791015092</v>
      </c>
      <c r="S121" s="135">
        <v>8927.750396867581</v>
      </c>
      <c r="T121" s="135"/>
      <c r="U121" s="135">
        <v>6651.8360142207193</v>
      </c>
      <c r="V121" s="135">
        <v>0</v>
      </c>
      <c r="W121" s="135">
        <v>465.23785727900287</v>
      </c>
      <c r="X121" s="135">
        <v>0</v>
      </c>
      <c r="Y121" s="135">
        <v>72.353421342681216</v>
      </c>
      <c r="Z121" s="135">
        <v>215.90557641150585</v>
      </c>
      <c r="AA121" s="135">
        <v>72.709809478822223</v>
      </c>
      <c r="AB121" s="135">
        <v>600.52658455192773</v>
      </c>
      <c r="AC121" s="135">
        <v>49.62431074164342</v>
      </c>
      <c r="AD121" s="135">
        <v>0</v>
      </c>
      <c r="AE121" s="135">
        <v>1134.9138888165146</v>
      </c>
      <c r="AF121" s="135">
        <v>119.25792042695306</v>
      </c>
      <c r="AG121" s="135">
        <v>54.52432687765706</v>
      </c>
      <c r="AH121" s="135">
        <v>9436.8897101474286</v>
      </c>
      <c r="AI121" s="135">
        <v>628.96909728264927</v>
      </c>
      <c r="AJ121" s="135">
        <v>0</v>
      </c>
      <c r="AK121" s="135">
        <v>-316.75202413212997</v>
      </c>
      <c r="AL121" s="135">
        <v>0</v>
      </c>
      <c r="AM121" s="135">
        <v>-51.712560806835214</v>
      </c>
      <c r="AN121" s="135">
        <v>54.037689878924965</v>
      </c>
      <c r="AO121" s="135">
        <v>-32.515824279641009</v>
      </c>
      <c r="AP121" s="135">
        <v>97.542745789577964</v>
      </c>
      <c r="AQ121" s="135">
        <v>49.62431074164342</v>
      </c>
      <c r="AR121" s="135">
        <v>39.003820368114425</v>
      </c>
      <c r="AS121" s="135">
        <v>88.891830127041885</v>
      </c>
      <c r="AT121" s="135">
        <v>1.9711193429961327</v>
      </c>
      <c r="AU121" s="135">
        <v>-49.920891032493856</v>
      </c>
      <c r="AV121" s="135">
        <v>509.1393217040569</v>
      </c>
      <c r="AW121" s="135"/>
      <c r="AX121" s="164"/>
      <c r="AY121" s="132"/>
      <c r="AZ121" s="135"/>
      <c r="BA121" s="135"/>
    </row>
    <row r="122" spans="1:53" ht="16.5" x14ac:dyDescent="0.3">
      <c r="A122" s="165">
        <v>256</v>
      </c>
      <c r="B122" s="165">
        <v>1</v>
      </c>
      <c r="C122" s="166" t="s">
        <v>384</v>
      </c>
      <c r="D122" s="167">
        <v>4</v>
      </c>
      <c r="E122" s="163">
        <v>2849.96</v>
      </c>
      <c r="F122" s="135">
        <v>6027.9023986301554</v>
      </c>
      <c r="G122" s="135">
        <v>0</v>
      </c>
      <c r="H122" s="135">
        <v>1352.4645644149391</v>
      </c>
      <c r="I122" s="135">
        <v>0</v>
      </c>
      <c r="J122" s="135">
        <v>101.39199497536808</v>
      </c>
      <c r="K122" s="135">
        <v>373.95176072646632</v>
      </c>
      <c r="L122" s="135">
        <v>0</v>
      </c>
      <c r="M122" s="135">
        <v>1246.7806680052281</v>
      </c>
      <c r="N122" s="135">
        <v>0</v>
      </c>
      <c r="O122" s="135">
        <v>-65.170237477017224</v>
      </c>
      <c r="P122" s="135">
        <v>937.3361737006835</v>
      </c>
      <c r="Q122" s="135">
        <v>103.21513635279092</v>
      </c>
      <c r="R122" s="135">
        <v>104.77115819169391</v>
      </c>
      <c r="S122" s="135">
        <v>10182.643617520307</v>
      </c>
      <c r="T122" s="135"/>
      <c r="U122" s="135">
        <v>6660.9398026638974</v>
      </c>
      <c r="V122" s="135">
        <v>0</v>
      </c>
      <c r="W122" s="135">
        <v>823.82080450251931</v>
      </c>
      <c r="X122" s="135">
        <v>246.75037344880647</v>
      </c>
      <c r="Y122" s="135">
        <v>46.884861541916379</v>
      </c>
      <c r="Z122" s="135">
        <v>397.45360034249393</v>
      </c>
      <c r="AA122" s="135">
        <v>0</v>
      </c>
      <c r="AB122" s="135">
        <v>1556.5349849289507</v>
      </c>
      <c r="AC122" s="135">
        <v>68.494446263438135</v>
      </c>
      <c r="AD122" s="135">
        <v>0</v>
      </c>
      <c r="AE122" s="135">
        <v>996.70217970758483</v>
      </c>
      <c r="AF122" s="135">
        <v>110.15925837555613</v>
      </c>
      <c r="AG122" s="135">
        <v>57.094152198627341</v>
      </c>
      <c r="AH122" s="135">
        <v>10964.83446397379</v>
      </c>
      <c r="AI122" s="135">
        <v>633.03740403374195</v>
      </c>
      <c r="AJ122" s="135">
        <v>0</v>
      </c>
      <c r="AK122" s="135">
        <v>-528.6437599124198</v>
      </c>
      <c r="AL122" s="135">
        <v>246.75037344880647</v>
      </c>
      <c r="AM122" s="135">
        <v>-54.507133433451699</v>
      </c>
      <c r="AN122" s="135">
        <v>23.50183961602761</v>
      </c>
      <c r="AO122" s="135">
        <v>0</v>
      </c>
      <c r="AP122" s="135">
        <v>309.75431692372263</v>
      </c>
      <c r="AQ122" s="135">
        <v>68.494446263438135</v>
      </c>
      <c r="AR122" s="135">
        <v>65.170237477017224</v>
      </c>
      <c r="AS122" s="135">
        <v>59.36600600690133</v>
      </c>
      <c r="AT122" s="135">
        <v>6.9441220227652138</v>
      </c>
      <c r="AU122" s="135">
        <v>-47.677005993066572</v>
      </c>
      <c r="AV122" s="135">
        <v>782.1908478867457</v>
      </c>
      <c r="AW122" s="135"/>
      <c r="AX122" s="132"/>
      <c r="AY122" s="132"/>
      <c r="AZ122" s="155"/>
      <c r="BA122" s="155"/>
    </row>
    <row r="123" spans="1:53" ht="16.5" x14ac:dyDescent="0.3">
      <c r="A123" s="165">
        <v>261</v>
      </c>
      <c r="B123" s="165">
        <v>1</v>
      </c>
      <c r="C123" s="166" t="s">
        <v>386</v>
      </c>
      <c r="D123" s="167">
        <v>6</v>
      </c>
      <c r="E123" s="163">
        <v>251.51999999999998</v>
      </c>
      <c r="F123" s="135">
        <v>6059.7735368956746</v>
      </c>
      <c r="G123" s="135">
        <v>8.7463024809160306</v>
      </c>
      <c r="H123" s="135">
        <v>1316.2094465648859</v>
      </c>
      <c r="I123" s="135">
        <v>0</v>
      </c>
      <c r="J123" s="135">
        <v>97.520117684478379</v>
      </c>
      <c r="K123" s="135">
        <v>258.88144083969468</v>
      </c>
      <c r="L123" s="135">
        <v>0</v>
      </c>
      <c r="M123" s="135">
        <v>538.82012256060762</v>
      </c>
      <c r="N123" s="135">
        <v>0</v>
      </c>
      <c r="O123" s="135">
        <v>-48.24061704834606</v>
      </c>
      <c r="P123" s="135">
        <v>2426.263244274809</v>
      </c>
      <c r="Q123" s="135">
        <v>692.59359096692117</v>
      </c>
      <c r="R123" s="135">
        <v>113.70475508905852</v>
      </c>
      <c r="S123" s="135">
        <v>11464.271940308699</v>
      </c>
      <c r="T123" s="135"/>
      <c r="U123" s="135">
        <v>6727.5644083969464</v>
      </c>
      <c r="V123" s="135">
        <v>0</v>
      </c>
      <c r="W123" s="135">
        <v>1183.9872773536895</v>
      </c>
      <c r="X123" s="135">
        <v>0</v>
      </c>
      <c r="Y123" s="135">
        <v>22.216205470737915</v>
      </c>
      <c r="Z123" s="135">
        <v>338.97793416030532</v>
      </c>
      <c r="AA123" s="135">
        <v>0</v>
      </c>
      <c r="AB123" s="135">
        <v>623.47863843446555</v>
      </c>
      <c r="AC123" s="135">
        <v>78.572807553830799</v>
      </c>
      <c r="AD123" s="135">
        <v>0</v>
      </c>
      <c r="AE123" s="135">
        <v>2500.5260556416983</v>
      </c>
      <c r="AF123" s="135">
        <v>671.1882088125252</v>
      </c>
      <c r="AG123" s="135">
        <v>65.192827608142494</v>
      </c>
      <c r="AH123" s="135">
        <v>12211.70436343234</v>
      </c>
      <c r="AI123" s="135">
        <v>667.79087150127179</v>
      </c>
      <c r="AJ123" s="135">
        <v>-8.7463024809160306</v>
      </c>
      <c r="AK123" s="135">
        <v>-132.22216921119639</v>
      </c>
      <c r="AL123" s="135">
        <v>0</v>
      </c>
      <c r="AM123" s="135">
        <v>-75.30391221374046</v>
      </c>
      <c r="AN123" s="135">
        <v>80.096493320610648</v>
      </c>
      <c r="AO123" s="135">
        <v>0</v>
      </c>
      <c r="AP123" s="135">
        <v>84.658515873857937</v>
      </c>
      <c r="AQ123" s="135">
        <v>78.572807553830799</v>
      </c>
      <c r="AR123" s="135">
        <v>48.24061704834606</v>
      </c>
      <c r="AS123" s="135">
        <v>74.262811366889309</v>
      </c>
      <c r="AT123" s="135">
        <v>-21.405382154395966</v>
      </c>
      <c r="AU123" s="135">
        <v>-48.511927480916029</v>
      </c>
      <c r="AV123" s="135">
        <v>747.43242725693244</v>
      </c>
      <c r="AW123" s="135"/>
      <c r="AX123" s="164"/>
      <c r="AY123" s="132"/>
      <c r="AZ123" s="135"/>
      <c r="BA123" s="135"/>
    </row>
    <row r="124" spans="1:53" ht="16.5" x14ac:dyDescent="0.3">
      <c r="A124" s="165">
        <v>264</v>
      </c>
      <c r="B124" s="165">
        <v>1</v>
      </c>
      <c r="C124" s="166" t="s">
        <v>388</v>
      </c>
      <c r="D124" s="167">
        <v>6</v>
      </c>
      <c r="E124" s="163">
        <v>95.34</v>
      </c>
      <c r="F124" s="135">
        <v>5912.7526746381363</v>
      </c>
      <c r="G124" s="135">
        <v>44.719110551709676</v>
      </c>
      <c r="H124" s="135">
        <v>4343.2676735892592</v>
      </c>
      <c r="I124" s="135">
        <v>0</v>
      </c>
      <c r="J124" s="135">
        <v>52.064820641913151</v>
      </c>
      <c r="K124" s="135">
        <v>341.98678414096918</v>
      </c>
      <c r="L124" s="135">
        <v>0</v>
      </c>
      <c r="M124" s="135">
        <v>721.7746485856934</v>
      </c>
      <c r="N124" s="135">
        <v>0</v>
      </c>
      <c r="O124" s="135">
        <v>-109.07279211243969</v>
      </c>
      <c r="P124" s="135">
        <v>465.89758758128795</v>
      </c>
      <c r="Q124" s="135">
        <v>3250.1408642752253</v>
      </c>
      <c r="R124" s="135">
        <v>98.088105726872243</v>
      </c>
      <c r="S124" s="135">
        <v>15121.619477618628</v>
      </c>
      <c r="T124" s="135"/>
      <c r="U124" s="135">
        <v>6522.687224669603</v>
      </c>
      <c r="V124" s="135">
        <v>0</v>
      </c>
      <c r="W124" s="135">
        <v>4077.3835745752044</v>
      </c>
      <c r="X124" s="135">
        <v>0</v>
      </c>
      <c r="Y124" s="135">
        <v>0</v>
      </c>
      <c r="Z124" s="135">
        <v>433.3444514369624</v>
      </c>
      <c r="AA124" s="135">
        <v>0</v>
      </c>
      <c r="AB124" s="135">
        <v>904.27288316089357</v>
      </c>
      <c r="AC124" s="135">
        <v>129.55365373885255</v>
      </c>
      <c r="AD124" s="135">
        <v>0</v>
      </c>
      <c r="AE124" s="135">
        <v>487.99111746381368</v>
      </c>
      <c r="AF124" s="135">
        <v>3428.3727568535878</v>
      </c>
      <c r="AG124" s="135">
        <v>44.276274386406548</v>
      </c>
      <c r="AH124" s="135">
        <v>16027.881936285323</v>
      </c>
      <c r="AI124" s="135">
        <v>609.93455003146664</v>
      </c>
      <c r="AJ124" s="135">
        <v>-44.719110551709676</v>
      </c>
      <c r="AK124" s="135">
        <v>-265.88409901405475</v>
      </c>
      <c r="AL124" s="135">
        <v>0</v>
      </c>
      <c r="AM124" s="135">
        <v>-52.064820641913151</v>
      </c>
      <c r="AN124" s="135">
        <v>91.357667295993224</v>
      </c>
      <c r="AO124" s="135">
        <v>0</v>
      </c>
      <c r="AP124" s="135">
        <v>182.49823457520017</v>
      </c>
      <c r="AQ124" s="135">
        <v>129.55365373885255</v>
      </c>
      <c r="AR124" s="135">
        <v>109.07279211243969</v>
      </c>
      <c r="AS124" s="135">
        <v>22.093529882525729</v>
      </c>
      <c r="AT124" s="135">
        <v>178.23189257836248</v>
      </c>
      <c r="AU124" s="135">
        <v>-53.811831340465694</v>
      </c>
      <c r="AV124" s="135">
        <v>906.26246531411903</v>
      </c>
      <c r="AW124" s="135"/>
      <c r="AX124" s="164"/>
      <c r="AY124" s="132"/>
      <c r="AZ124" s="135"/>
      <c r="BA124" s="135"/>
    </row>
    <row r="125" spans="1:53" ht="16.5" x14ac:dyDescent="0.3">
      <c r="A125" s="165">
        <v>270</v>
      </c>
      <c r="B125" s="165">
        <v>1</v>
      </c>
      <c r="C125" s="166" t="s">
        <v>390</v>
      </c>
      <c r="D125" s="167">
        <v>2</v>
      </c>
      <c r="E125" s="163">
        <v>7076.84</v>
      </c>
      <c r="F125" s="135">
        <v>6085.7174332046507</v>
      </c>
      <c r="G125" s="135">
        <v>0.31658197726668968</v>
      </c>
      <c r="H125" s="135">
        <v>2117.8187962423904</v>
      </c>
      <c r="I125" s="135">
        <v>0</v>
      </c>
      <c r="J125" s="135">
        <v>53.587864074926095</v>
      </c>
      <c r="K125" s="135">
        <v>532.76032805602495</v>
      </c>
      <c r="L125" s="135">
        <v>159.38430973428819</v>
      </c>
      <c r="M125" s="135">
        <v>1130.7228929018709</v>
      </c>
      <c r="N125" s="135">
        <v>0</v>
      </c>
      <c r="O125" s="135">
        <v>-70.421869082810971</v>
      </c>
      <c r="P125" s="135">
        <v>2482.2862079685283</v>
      </c>
      <c r="Q125" s="135">
        <v>0.29123874497657148</v>
      </c>
      <c r="R125" s="135">
        <v>381.97677494474931</v>
      </c>
      <c r="S125" s="135">
        <v>12874.440558766863</v>
      </c>
      <c r="T125" s="135"/>
      <c r="U125" s="135">
        <v>6740.0980211506821</v>
      </c>
      <c r="V125" s="135">
        <v>0</v>
      </c>
      <c r="W125" s="135">
        <v>1373.1326609051498</v>
      </c>
      <c r="X125" s="135">
        <v>534.93262118003281</v>
      </c>
      <c r="Y125" s="135">
        <v>8.3478120177932524</v>
      </c>
      <c r="Z125" s="135">
        <v>576.17444953494862</v>
      </c>
      <c r="AA125" s="135">
        <v>197.84921094725894</v>
      </c>
      <c r="AB125" s="135">
        <v>1397.3567252247783</v>
      </c>
      <c r="AC125" s="135">
        <v>72.871094640653212</v>
      </c>
      <c r="AD125" s="135">
        <v>0</v>
      </c>
      <c r="AE125" s="135">
        <v>2481.7084902377333</v>
      </c>
      <c r="AF125" s="135">
        <v>0.3618578348528439</v>
      </c>
      <c r="AG125" s="135">
        <v>321.10137292916045</v>
      </c>
      <c r="AH125" s="135">
        <v>13703.934316603043</v>
      </c>
      <c r="AI125" s="135">
        <v>654.38058794603148</v>
      </c>
      <c r="AJ125" s="135">
        <v>-0.31658197726668968</v>
      </c>
      <c r="AK125" s="135">
        <v>-744.68613533724056</v>
      </c>
      <c r="AL125" s="135">
        <v>534.93262118003281</v>
      </c>
      <c r="AM125" s="135">
        <v>-45.240052057132843</v>
      </c>
      <c r="AN125" s="135">
        <v>43.414121478923676</v>
      </c>
      <c r="AO125" s="135">
        <v>38.464901212970744</v>
      </c>
      <c r="AP125" s="135">
        <v>266.63383232290744</v>
      </c>
      <c r="AQ125" s="135">
        <v>72.871094640653212</v>
      </c>
      <c r="AR125" s="135">
        <v>70.421869082810971</v>
      </c>
      <c r="AS125" s="135">
        <v>-0.57771773079502964</v>
      </c>
      <c r="AT125" s="135">
        <v>7.0619089876272412E-2</v>
      </c>
      <c r="AU125" s="135">
        <v>-60.875402015588861</v>
      </c>
      <c r="AV125" s="135">
        <v>829.493760058318</v>
      </c>
      <c r="AW125" s="135"/>
      <c r="AX125" s="164"/>
      <c r="AY125" s="132"/>
      <c r="AZ125" s="135"/>
      <c r="BA125" s="135"/>
    </row>
    <row r="126" spans="1:53" ht="16.5" x14ac:dyDescent="0.3">
      <c r="A126" s="165">
        <v>271</v>
      </c>
      <c r="B126" s="165">
        <v>1</v>
      </c>
      <c r="C126" s="166" t="s">
        <v>392</v>
      </c>
      <c r="D126" s="167">
        <v>3</v>
      </c>
      <c r="E126" s="163">
        <v>10078.790000000001</v>
      </c>
      <c r="F126" s="135">
        <v>6112.0103901361172</v>
      </c>
      <c r="G126" s="135">
        <v>0</v>
      </c>
      <c r="H126" s="135">
        <v>1975.00661885008</v>
      </c>
      <c r="I126" s="135">
        <v>0</v>
      </c>
      <c r="J126" s="135">
        <v>78.418356767032549</v>
      </c>
      <c r="K126" s="135">
        <v>728.65292262265598</v>
      </c>
      <c r="L126" s="135">
        <v>144.43483964841016</v>
      </c>
      <c r="M126" s="135">
        <v>1182.1551580958303</v>
      </c>
      <c r="N126" s="135">
        <v>0</v>
      </c>
      <c r="O126" s="135">
        <v>-56.360914355790712</v>
      </c>
      <c r="P126" s="135">
        <v>1688.160359725721</v>
      </c>
      <c r="Q126" s="135">
        <v>0.2924964207012945</v>
      </c>
      <c r="R126" s="135">
        <v>117.87500086815976</v>
      </c>
      <c r="S126" s="135">
        <v>11970.645228778916</v>
      </c>
      <c r="T126" s="135"/>
      <c r="U126" s="135">
        <v>6779.1362653651868</v>
      </c>
      <c r="V126" s="135">
        <v>0</v>
      </c>
      <c r="W126" s="135">
        <v>1228.4297996088815</v>
      </c>
      <c r="X126" s="135">
        <v>539.31436806392628</v>
      </c>
      <c r="Y126" s="135">
        <v>18.908988082894869</v>
      </c>
      <c r="Z126" s="135">
        <v>794.0313251823552</v>
      </c>
      <c r="AA126" s="135">
        <v>230.08621769081404</v>
      </c>
      <c r="AB126" s="135">
        <v>1494.8590379839927</v>
      </c>
      <c r="AC126" s="135">
        <v>72.829533436416241</v>
      </c>
      <c r="AD126" s="135">
        <v>0</v>
      </c>
      <c r="AE126" s="135">
        <v>1687.0218371171538</v>
      </c>
      <c r="AF126" s="135">
        <v>0.36262388639906173</v>
      </c>
      <c r="AG126" s="135">
        <v>57.528848204992855</v>
      </c>
      <c r="AH126" s="135">
        <v>12902.508844623015</v>
      </c>
      <c r="AI126" s="135">
        <v>667.12587522906961</v>
      </c>
      <c r="AJ126" s="135">
        <v>0</v>
      </c>
      <c r="AK126" s="135">
        <v>-746.57681924119856</v>
      </c>
      <c r="AL126" s="135">
        <v>539.31436806392628</v>
      </c>
      <c r="AM126" s="135">
        <v>-59.509368684137684</v>
      </c>
      <c r="AN126" s="135">
        <v>65.378402559699225</v>
      </c>
      <c r="AO126" s="135">
        <v>85.651378042403877</v>
      </c>
      <c r="AP126" s="135">
        <v>312.70387988816242</v>
      </c>
      <c r="AQ126" s="135">
        <v>72.829533436416241</v>
      </c>
      <c r="AR126" s="135">
        <v>56.360914355790712</v>
      </c>
      <c r="AS126" s="135">
        <v>-1.1385226085672002</v>
      </c>
      <c r="AT126" s="135">
        <v>7.0127465697767233E-2</v>
      </c>
      <c r="AU126" s="135">
        <v>-60.346152663166905</v>
      </c>
      <c r="AV126" s="135">
        <v>931.86361654145696</v>
      </c>
      <c r="AW126" s="135"/>
      <c r="AX126" s="164"/>
      <c r="AY126" s="132"/>
      <c r="AZ126" s="135"/>
      <c r="BA126" s="135"/>
    </row>
    <row r="127" spans="1:53" ht="16.5" x14ac:dyDescent="0.3">
      <c r="A127" s="165">
        <v>272</v>
      </c>
      <c r="B127" s="165">
        <v>1</v>
      </c>
      <c r="C127" s="166" t="s">
        <v>394</v>
      </c>
      <c r="D127" s="167">
        <v>3</v>
      </c>
      <c r="E127" s="163">
        <v>9263.83</v>
      </c>
      <c r="F127" s="135">
        <v>6094.677005083211</v>
      </c>
      <c r="G127" s="135">
        <v>6.136676730898559</v>
      </c>
      <c r="H127" s="135">
        <v>1463.4115695128257</v>
      </c>
      <c r="I127" s="135">
        <v>0</v>
      </c>
      <c r="J127" s="135">
        <v>113.0501919832294</v>
      </c>
      <c r="K127" s="135">
        <v>246.04320027461642</v>
      </c>
      <c r="L127" s="135">
        <v>109.93213670803544</v>
      </c>
      <c r="M127" s="135">
        <v>1013.302209918089</v>
      </c>
      <c r="N127" s="135">
        <v>0</v>
      </c>
      <c r="O127" s="135">
        <v>-40.344564829017806</v>
      </c>
      <c r="P127" s="135">
        <v>1736.239897105193</v>
      </c>
      <c r="Q127" s="135">
        <v>0.29166770115600138</v>
      </c>
      <c r="R127" s="135">
        <v>389.06648653958462</v>
      </c>
      <c r="S127" s="135">
        <v>11131.806476727823</v>
      </c>
      <c r="T127" s="135"/>
      <c r="U127" s="135">
        <v>6749.0140816487337</v>
      </c>
      <c r="V127" s="135">
        <v>0</v>
      </c>
      <c r="W127" s="135">
        <v>723.0918766859927</v>
      </c>
      <c r="X127" s="135">
        <v>530.70361745143998</v>
      </c>
      <c r="Y127" s="135">
        <v>54.987144625926859</v>
      </c>
      <c r="Z127" s="135">
        <v>225.72058896570709</v>
      </c>
      <c r="AA127" s="135">
        <v>149.90099451306858</v>
      </c>
      <c r="AB127" s="135">
        <v>1226.7911401577837</v>
      </c>
      <c r="AC127" s="135">
        <v>47.550694772685553</v>
      </c>
      <c r="AD127" s="135">
        <v>0</v>
      </c>
      <c r="AE127" s="135">
        <v>1735.83748083255</v>
      </c>
      <c r="AF127" s="135">
        <v>0.36256386397418777</v>
      </c>
      <c r="AG127" s="135">
        <v>326.40697745964678</v>
      </c>
      <c r="AH127" s="135">
        <v>11770.367160977512</v>
      </c>
      <c r="AI127" s="135">
        <v>654.33707656552269</v>
      </c>
      <c r="AJ127" s="135">
        <v>-6.136676730898559</v>
      </c>
      <c r="AK127" s="135">
        <v>-740.31969282683303</v>
      </c>
      <c r="AL127" s="135">
        <v>530.70361745143998</v>
      </c>
      <c r="AM127" s="135">
        <v>-58.063047357302537</v>
      </c>
      <c r="AN127" s="135">
        <v>-20.32261130890933</v>
      </c>
      <c r="AO127" s="135">
        <v>39.968857805033139</v>
      </c>
      <c r="AP127" s="135">
        <v>213.4889302396947</v>
      </c>
      <c r="AQ127" s="135">
        <v>47.550694772685553</v>
      </c>
      <c r="AR127" s="135">
        <v>40.344564829017806</v>
      </c>
      <c r="AS127" s="135">
        <v>-0.40241627264299495</v>
      </c>
      <c r="AT127" s="135">
        <v>7.0896162818186392E-2</v>
      </c>
      <c r="AU127" s="135">
        <v>-62.659509079937834</v>
      </c>
      <c r="AV127" s="135">
        <v>638.56068673359198</v>
      </c>
      <c r="AW127" s="135"/>
      <c r="AX127" s="164"/>
      <c r="AY127" s="132"/>
      <c r="AZ127" s="135"/>
      <c r="BA127" s="135"/>
    </row>
    <row r="128" spans="1:53" ht="16.5" x14ac:dyDescent="0.3">
      <c r="A128" s="165">
        <v>273</v>
      </c>
      <c r="B128" s="165">
        <v>1</v>
      </c>
      <c r="C128" s="166" t="s">
        <v>396</v>
      </c>
      <c r="D128" s="167">
        <v>2</v>
      </c>
      <c r="E128" s="163">
        <v>8429.0600000000013</v>
      </c>
      <c r="F128" s="135">
        <v>6068.6966280937604</v>
      </c>
      <c r="G128" s="135">
        <v>0</v>
      </c>
      <c r="H128" s="135">
        <v>1897.0909282885634</v>
      </c>
      <c r="I128" s="135">
        <v>0</v>
      </c>
      <c r="J128" s="135">
        <v>82.277074786512358</v>
      </c>
      <c r="K128" s="135">
        <v>71.47435419845155</v>
      </c>
      <c r="L128" s="135">
        <v>156.4303907553155</v>
      </c>
      <c r="M128" s="135">
        <v>942.85257187367847</v>
      </c>
      <c r="N128" s="135">
        <v>0</v>
      </c>
      <c r="O128" s="135">
        <v>-33.829886132024207</v>
      </c>
      <c r="P128" s="135">
        <v>1774.9118952765787</v>
      </c>
      <c r="Q128" s="135">
        <v>0.29042384322807047</v>
      </c>
      <c r="R128" s="135">
        <v>384.19032015432322</v>
      </c>
      <c r="S128" s="135">
        <v>11344.384701138386</v>
      </c>
      <c r="T128" s="135"/>
      <c r="U128" s="135">
        <v>6716.6610511729659</v>
      </c>
      <c r="V128" s="135">
        <v>0</v>
      </c>
      <c r="W128" s="135">
        <v>1209.6706548535658</v>
      </c>
      <c r="X128" s="135">
        <v>528.24643073158848</v>
      </c>
      <c r="Y128" s="135">
        <v>20.208621127385495</v>
      </c>
      <c r="Z128" s="135">
        <v>69.456336550006895</v>
      </c>
      <c r="AA128" s="135">
        <v>131.32466846837011</v>
      </c>
      <c r="AB128" s="135">
        <v>1165.2522899327696</v>
      </c>
      <c r="AC128" s="135">
        <v>22.232361904202296</v>
      </c>
      <c r="AD128" s="135">
        <v>3.9660282403969118</v>
      </c>
      <c r="AE128" s="135">
        <v>1775.4540375773806</v>
      </c>
      <c r="AF128" s="135">
        <v>0.36248644570094407</v>
      </c>
      <c r="AG128" s="135">
        <v>324.19421145418346</v>
      </c>
      <c r="AH128" s="135">
        <v>11967.029178458519</v>
      </c>
      <c r="AI128" s="135">
        <v>647.96442307920552</v>
      </c>
      <c r="AJ128" s="135">
        <v>0</v>
      </c>
      <c r="AK128" s="135">
        <v>-687.42027343499763</v>
      </c>
      <c r="AL128" s="135">
        <v>528.24643073158848</v>
      </c>
      <c r="AM128" s="135">
        <v>-62.06845365912686</v>
      </c>
      <c r="AN128" s="135">
        <v>-2.0180176484446548</v>
      </c>
      <c r="AO128" s="135">
        <v>-25.105722286945394</v>
      </c>
      <c r="AP128" s="135">
        <v>222.39971805909113</v>
      </c>
      <c r="AQ128" s="135">
        <v>22.232361904202296</v>
      </c>
      <c r="AR128" s="135">
        <v>37.795914372421116</v>
      </c>
      <c r="AS128" s="135">
        <v>0.54214230080197012</v>
      </c>
      <c r="AT128" s="135">
        <v>7.2062602472873605E-2</v>
      </c>
      <c r="AU128" s="135">
        <v>-59.996108700139757</v>
      </c>
      <c r="AV128" s="135">
        <v>622.64448629652009</v>
      </c>
      <c r="AW128" s="135"/>
      <c r="AX128" s="164"/>
      <c r="AY128" s="132"/>
      <c r="AZ128" s="135"/>
      <c r="BA128" s="135"/>
    </row>
    <row r="129" spans="1:53" ht="16.5" x14ac:dyDescent="0.3">
      <c r="A129" s="165">
        <v>276</v>
      </c>
      <c r="B129" s="165">
        <v>1</v>
      </c>
      <c r="C129" s="166" t="s">
        <v>397</v>
      </c>
      <c r="D129" s="167">
        <v>3</v>
      </c>
      <c r="E129" s="163">
        <v>9534.64</v>
      </c>
      <c r="F129" s="135">
        <v>5969.7534715521515</v>
      </c>
      <c r="G129" s="135">
        <v>1.6798505239841255</v>
      </c>
      <c r="H129" s="135">
        <v>1728.1213700779476</v>
      </c>
      <c r="I129" s="135">
        <v>0</v>
      </c>
      <c r="J129" s="135">
        <v>90.777621388956476</v>
      </c>
      <c r="K129" s="135">
        <v>25.330515887332929</v>
      </c>
      <c r="L129" s="135">
        <v>93.060268872238467</v>
      </c>
      <c r="M129" s="135">
        <v>834.52183690797517</v>
      </c>
      <c r="N129" s="135">
        <v>0</v>
      </c>
      <c r="O129" s="135">
        <v>-36.406050988815522</v>
      </c>
      <c r="P129" s="135">
        <v>929.47850490422297</v>
      </c>
      <c r="Q129" s="135">
        <v>0.285688814679946</v>
      </c>
      <c r="R129" s="135">
        <v>368.74721751424283</v>
      </c>
      <c r="S129" s="135">
        <v>10005.350295454917</v>
      </c>
      <c r="T129" s="135"/>
      <c r="U129" s="135">
        <v>6595.6519595915524</v>
      </c>
      <c r="V129" s="135">
        <v>0</v>
      </c>
      <c r="W129" s="135">
        <v>1073.0183499324569</v>
      </c>
      <c r="X129" s="135">
        <v>518.34445683253557</v>
      </c>
      <c r="Y129" s="135">
        <v>28.048720245337005</v>
      </c>
      <c r="Z129" s="135">
        <v>42.541629914825187</v>
      </c>
      <c r="AA129" s="135">
        <v>78.771843509560938</v>
      </c>
      <c r="AB129" s="135">
        <v>984.36398332584906</v>
      </c>
      <c r="AC129" s="135">
        <v>28.405798761154482</v>
      </c>
      <c r="AD129" s="135">
        <v>0.71191151422602217</v>
      </c>
      <c r="AE129" s="135">
        <v>929.59240525714665</v>
      </c>
      <c r="AF129" s="135">
        <v>0.35595575711301108</v>
      </c>
      <c r="AG129" s="135">
        <v>313.21619379441699</v>
      </c>
      <c r="AH129" s="135">
        <v>10593.023208436176</v>
      </c>
      <c r="AI129" s="135">
        <v>625.89848803940095</v>
      </c>
      <c r="AJ129" s="135">
        <v>-1.6798505239841255</v>
      </c>
      <c r="AK129" s="135">
        <v>-655.10302014549075</v>
      </c>
      <c r="AL129" s="135">
        <v>518.34445683253557</v>
      </c>
      <c r="AM129" s="135">
        <v>-62.728901143619467</v>
      </c>
      <c r="AN129" s="135">
        <v>17.211114027492258</v>
      </c>
      <c r="AO129" s="135">
        <v>-14.288425362677529</v>
      </c>
      <c r="AP129" s="135">
        <v>149.84214641787389</v>
      </c>
      <c r="AQ129" s="135">
        <v>28.405798761154482</v>
      </c>
      <c r="AR129" s="135">
        <v>37.117962503041547</v>
      </c>
      <c r="AS129" s="135">
        <v>0.11390035292367884</v>
      </c>
      <c r="AT129" s="135">
        <v>7.0266942433065083E-2</v>
      </c>
      <c r="AU129" s="135">
        <v>-55.531023719825839</v>
      </c>
      <c r="AV129" s="135">
        <v>587.67292008010008</v>
      </c>
      <c r="AW129" s="135"/>
      <c r="AX129" s="164"/>
      <c r="AY129" s="132"/>
      <c r="AZ129" s="135"/>
      <c r="BA129" s="135"/>
    </row>
    <row r="130" spans="1:53" ht="16.5" x14ac:dyDescent="0.3">
      <c r="A130" s="165">
        <v>277</v>
      </c>
      <c r="B130" s="165">
        <v>1</v>
      </c>
      <c r="C130" s="166" t="s">
        <v>399</v>
      </c>
      <c r="D130" s="167">
        <v>3</v>
      </c>
      <c r="E130" s="163">
        <v>2228.08</v>
      </c>
      <c r="F130" s="135">
        <v>6039.083551757567</v>
      </c>
      <c r="G130" s="135">
        <v>4.7397086280564436</v>
      </c>
      <c r="H130" s="135">
        <v>1994.2417597213744</v>
      </c>
      <c r="I130" s="135">
        <v>0</v>
      </c>
      <c r="J130" s="135">
        <v>74.549275609493378</v>
      </c>
      <c r="K130" s="135">
        <v>256.23046748770241</v>
      </c>
      <c r="L130" s="135">
        <v>0</v>
      </c>
      <c r="M130" s="135">
        <v>1108.3462345072726</v>
      </c>
      <c r="N130" s="135">
        <v>0</v>
      </c>
      <c r="O130" s="135">
        <v>-52.53661897238878</v>
      </c>
      <c r="P130" s="135">
        <v>993.96721841226531</v>
      </c>
      <c r="Q130" s="135">
        <v>25.363227532225057</v>
      </c>
      <c r="R130" s="135">
        <v>127.10261750026929</v>
      </c>
      <c r="S130" s="135">
        <v>10571.087442183838</v>
      </c>
      <c r="T130" s="135"/>
      <c r="U130" s="135">
        <v>6676.2073354637178</v>
      </c>
      <c r="V130" s="135">
        <v>0</v>
      </c>
      <c r="W130" s="135">
        <v>1258.6824440774121</v>
      </c>
      <c r="X130" s="135">
        <v>527.04761312138396</v>
      </c>
      <c r="Y130" s="135">
        <v>15.850638217658252</v>
      </c>
      <c r="Z130" s="135">
        <v>272.10620335275701</v>
      </c>
      <c r="AA130" s="135">
        <v>0</v>
      </c>
      <c r="AB130" s="135">
        <v>1428.5364352351514</v>
      </c>
      <c r="AC130" s="135">
        <v>45.968714325913247</v>
      </c>
      <c r="AD130" s="135">
        <v>0</v>
      </c>
      <c r="AE130" s="135">
        <v>1114.5617048526087</v>
      </c>
      <c r="AF130" s="135">
        <v>35.005408243869162</v>
      </c>
      <c r="AG130" s="135">
        <v>66.753509748303472</v>
      </c>
      <c r="AH130" s="135">
        <v>11440.720006638776</v>
      </c>
      <c r="AI130" s="135">
        <v>637.12378370615079</v>
      </c>
      <c r="AJ130" s="135">
        <v>-4.7397086280564436</v>
      </c>
      <c r="AK130" s="135">
        <v>-735.55931564396224</v>
      </c>
      <c r="AL130" s="135">
        <v>527.04761312138396</v>
      </c>
      <c r="AM130" s="135">
        <v>-58.698637391835128</v>
      </c>
      <c r="AN130" s="135">
        <v>15.875735865054594</v>
      </c>
      <c r="AO130" s="135">
        <v>0</v>
      </c>
      <c r="AP130" s="135">
        <v>320.19020072787885</v>
      </c>
      <c r="AQ130" s="135">
        <v>45.968714325913247</v>
      </c>
      <c r="AR130" s="135">
        <v>52.53661897238878</v>
      </c>
      <c r="AS130" s="135">
        <v>120.59448644034342</v>
      </c>
      <c r="AT130" s="135">
        <v>9.6421807116441052</v>
      </c>
      <c r="AU130" s="135">
        <v>-60.349107751965818</v>
      </c>
      <c r="AV130" s="135">
        <v>869.632569831654</v>
      </c>
      <c r="AW130" s="135"/>
      <c r="AX130" s="132"/>
      <c r="AY130" s="132"/>
      <c r="AZ130" s="155"/>
      <c r="BA130" s="155"/>
    </row>
    <row r="131" spans="1:53" ht="16.5" x14ac:dyDescent="0.3">
      <c r="A131" s="165">
        <v>278</v>
      </c>
      <c r="B131" s="165">
        <v>1</v>
      </c>
      <c r="C131" s="166" t="s">
        <v>401</v>
      </c>
      <c r="D131" s="167">
        <v>3</v>
      </c>
      <c r="E131" s="163">
        <v>2716.12</v>
      </c>
      <c r="F131" s="135">
        <v>6092.7689792792662</v>
      </c>
      <c r="G131" s="135">
        <v>0.95636790716168663</v>
      </c>
      <c r="H131" s="135">
        <v>1510.4164690808948</v>
      </c>
      <c r="I131" s="135">
        <v>0</v>
      </c>
      <c r="J131" s="135">
        <v>110.23024755901803</v>
      </c>
      <c r="K131" s="135">
        <v>30.711949398406553</v>
      </c>
      <c r="L131" s="135">
        <v>0</v>
      </c>
      <c r="M131" s="135">
        <v>836.78283547798867</v>
      </c>
      <c r="N131" s="135">
        <v>0</v>
      </c>
      <c r="O131" s="135">
        <v>-49.330541360470086</v>
      </c>
      <c r="P131" s="135">
        <v>1920.8964007481263</v>
      </c>
      <c r="Q131" s="135">
        <v>56.577378760879498</v>
      </c>
      <c r="R131" s="135">
        <v>384.83665301974878</v>
      </c>
      <c r="S131" s="135">
        <v>10894.84673987102</v>
      </c>
      <c r="T131" s="135"/>
      <c r="U131" s="135">
        <v>6748.6116224614525</v>
      </c>
      <c r="V131" s="135">
        <v>0</v>
      </c>
      <c r="W131" s="135">
        <v>941.89194144588612</v>
      </c>
      <c r="X131" s="135">
        <v>530.40981618301726</v>
      </c>
      <c r="Y131" s="135">
        <v>39.842823586586753</v>
      </c>
      <c r="Z131" s="135">
        <v>46.490948633024793</v>
      </c>
      <c r="AA131" s="135">
        <v>0</v>
      </c>
      <c r="AB131" s="135">
        <v>960.63135675416447</v>
      </c>
      <c r="AC131" s="135">
        <v>19.248642170778229</v>
      </c>
      <c r="AD131" s="135">
        <v>0</v>
      </c>
      <c r="AE131" s="135">
        <v>1953.6251817949872</v>
      </c>
      <c r="AF131" s="135">
        <v>50.528890476120353</v>
      </c>
      <c r="AG131" s="135">
        <v>324.60063988336304</v>
      </c>
      <c r="AH131" s="135">
        <v>11615.881863389381</v>
      </c>
      <c r="AI131" s="135">
        <v>655.84264318218629</v>
      </c>
      <c r="AJ131" s="135">
        <v>-0.95636790716168663</v>
      </c>
      <c r="AK131" s="135">
        <v>-568.52452763500867</v>
      </c>
      <c r="AL131" s="135">
        <v>530.40981618301726</v>
      </c>
      <c r="AM131" s="135">
        <v>-70.387423972431264</v>
      </c>
      <c r="AN131" s="135">
        <v>15.77899923461824</v>
      </c>
      <c r="AO131" s="135">
        <v>0</v>
      </c>
      <c r="AP131" s="135">
        <v>123.8485212761758</v>
      </c>
      <c r="AQ131" s="135">
        <v>19.248642170778229</v>
      </c>
      <c r="AR131" s="135">
        <v>49.330541360470086</v>
      </c>
      <c r="AS131" s="135">
        <v>32.728781046860831</v>
      </c>
      <c r="AT131" s="135">
        <v>-6.048488284759145</v>
      </c>
      <c r="AU131" s="135">
        <v>-60.236013136385736</v>
      </c>
      <c r="AV131" s="135">
        <v>721.03512475051696</v>
      </c>
      <c r="AW131" s="135"/>
      <c r="AX131" s="164"/>
      <c r="AY131" s="132"/>
      <c r="AZ131" s="135"/>
      <c r="BA131" s="135"/>
    </row>
    <row r="132" spans="1:53" ht="16.5" x14ac:dyDescent="0.3">
      <c r="A132" s="165">
        <v>279</v>
      </c>
      <c r="B132" s="165">
        <v>1</v>
      </c>
      <c r="C132" s="166" t="s">
        <v>403</v>
      </c>
      <c r="D132" s="167">
        <v>3</v>
      </c>
      <c r="E132" s="163">
        <v>20420.77</v>
      </c>
      <c r="F132" s="135">
        <v>6020.1336737057418</v>
      </c>
      <c r="G132" s="135">
        <v>35.689804547037163</v>
      </c>
      <c r="H132" s="135">
        <v>1651.3309125953626</v>
      </c>
      <c r="I132" s="135">
        <v>0</v>
      </c>
      <c r="J132" s="135">
        <v>97.492976023920733</v>
      </c>
      <c r="K132" s="135">
        <v>738.74839195583706</v>
      </c>
      <c r="L132" s="135">
        <v>145.30640186437631</v>
      </c>
      <c r="M132" s="135">
        <v>1385.8346854018537</v>
      </c>
      <c r="N132" s="135">
        <v>0</v>
      </c>
      <c r="O132" s="135">
        <v>-43.447230932036355</v>
      </c>
      <c r="P132" s="135">
        <v>1432.1335541216124</v>
      </c>
      <c r="Q132" s="135">
        <v>0.28809981210306956</v>
      </c>
      <c r="R132" s="135">
        <v>382.92169492139624</v>
      </c>
      <c r="S132" s="135">
        <v>11846.432964017204</v>
      </c>
      <c r="T132" s="135"/>
      <c r="U132" s="135">
        <v>6655.6309071597198</v>
      </c>
      <c r="V132" s="135">
        <v>0</v>
      </c>
      <c r="W132" s="135">
        <v>949.71721977183029</v>
      </c>
      <c r="X132" s="135">
        <v>532.56647842400582</v>
      </c>
      <c r="Y132" s="135">
        <v>37.491747862592838</v>
      </c>
      <c r="Z132" s="135">
        <v>781.07299775861168</v>
      </c>
      <c r="AA132" s="135">
        <v>251.73791683663248</v>
      </c>
      <c r="AB132" s="135">
        <v>1749.8953752509874</v>
      </c>
      <c r="AC132" s="135">
        <v>77.573066321839178</v>
      </c>
      <c r="AD132" s="135">
        <v>0</v>
      </c>
      <c r="AE132" s="135">
        <v>1431.7059010360529</v>
      </c>
      <c r="AF132" s="135">
        <v>0.35811773992851392</v>
      </c>
      <c r="AG132" s="135">
        <v>322.53724516754266</v>
      </c>
      <c r="AH132" s="135">
        <v>12790.286973329745</v>
      </c>
      <c r="AI132" s="135">
        <v>635.49723345397797</v>
      </c>
      <c r="AJ132" s="135">
        <v>-35.689804547037163</v>
      </c>
      <c r="AK132" s="135">
        <v>-701.61369282353235</v>
      </c>
      <c r="AL132" s="135">
        <v>532.56647842400582</v>
      </c>
      <c r="AM132" s="135">
        <v>-60.001228161327894</v>
      </c>
      <c r="AN132" s="135">
        <v>42.324605802774613</v>
      </c>
      <c r="AO132" s="135">
        <v>106.43151497225617</v>
      </c>
      <c r="AP132" s="135">
        <v>364.06068984913372</v>
      </c>
      <c r="AQ132" s="135">
        <v>77.573066321839178</v>
      </c>
      <c r="AR132" s="135">
        <v>43.447230932036355</v>
      </c>
      <c r="AS132" s="135">
        <v>-0.42765308555954107</v>
      </c>
      <c r="AT132" s="135">
        <v>7.0017927825444359E-2</v>
      </c>
      <c r="AU132" s="135">
        <v>-60.384449753853573</v>
      </c>
      <c r="AV132" s="135">
        <v>943.85401334216317</v>
      </c>
      <c r="AW132" s="135"/>
      <c r="AX132" s="164"/>
      <c r="AY132" s="132"/>
      <c r="AZ132" s="135"/>
      <c r="BA132" s="135"/>
    </row>
    <row r="133" spans="1:53" ht="16.5" x14ac:dyDescent="0.3">
      <c r="A133" s="165">
        <v>280</v>
      </c>
      <c r="B133" s="165">
        <v>1</v>
      </c>
      <c r="C133" s="166" t="s">
        <v>405</v>
      </c>
      <c r="D133" s="167">
        <v>2</v>
      </c>
      <c r="E133" s="163">
        <v>4373.8500000000004</v>
      </c>
      <c r="F133" s="135">
        <v>5958.0246419058712</v>
      </c>
      <c r="G133" s="135">
        <v>0</v>
      </c>
      <c r="H133" s="135">
        <v>1387.3167049624469</v>
      </c>
      <c r="I133" s="135">
        <v>0</v>
      </c>
      <c r="J133" s="135">
        <v>113.49501011694502</v>
      </c>
      <c r="K133" s="135">
        <v>1593.1347348445877</v>
      </c>
      <c r="L133" s="135">
        <v>148.30194325365522</v>
      </c>
      <c r="M133" s="135">
        <v>1015.3720968788871</v>
      </c>
      <c r="N133" s="135">
        <v>0</v>
      </c>
      <c r="O133" s="135">
        <v>-52.37865038810201</v>
      </c>
      <c r="P133" s="135">
        <v>1420.17625295792</v>
      </c>
      <c r="Q133" s="135">
        <v>0.28512866239125706</v>
      </c>
      <c r="R133" s="135">
        <v>121.98048401294054</v>
      </c>
      <c r="S133" s="135">
        <v>11705.708347207543</v>
      </c>
      <c r="T133" s="135"/>
      <c r="U133" s="135">
        <v>6576.2214067697787</v>
      </c>
      <c r="V133" s="135">
        <v>0</v>
      </c>
      <c r="W133" s="135">
        <v>656.63048801399214</v>
      </c>
      <c r="X133" s="135">
        <v>542.16317077631822</v>
      </c>
      <c r="Y133" s="135">
        <v>57.482289058838319</v>
      </c>
      <c r="Z133" s="135">
        <v>1732.1321718851812</v>
      </c>
      <c r="AA133" s="135">
        <v>355.40076591561206</v>
      </c>
      <c r="AB133" s="135">
        <v>1392.836591115278</v>
      </c>
      <c r="AC133" s="135">
        <v>111.33822042640716</v>
      </c>
      <c r="AD133" s="135">
        <v>0</v>
      </c>
      <c r="AE133" s="135">
        <v>1471.9190509176124</v>
      </c>
      <c r="AF133" s="135">
        <v>0.35490700412679899</v>
      </c>
      <c r="AG133" s="135">
        <v>66.00374955702641</v>
      </c>
      <c r="AH133" s="135">
        <v>12962.48281144017</v>
      </c>
      <c r="AI133" s="135">
        <v>618.19676486390745</v>
      </c>
      <c r="AJ133" s="135">
        <v>0</v>
      </c>
      <c r="AK133" s="135">
        <v>-730.68621694845478</v>
      </c>
      <c r="AL133" s="135">
        <v>542.16317077631822</v>
      </c>
      <c r="AM133" s="135">
        <v>-56.012721058106706</v>
      </c>
      <c r="AN133" s="135">
        <v>138.99743704059347</v>
      </c>
      <c r="AO133" s="135">
        <v>207.09882266195683</v>
      </c>
      <c r="AP133" s="135">
        <v>377.46449423639092</v>
      </c>
      <c r="AQ133" s="135">
        <v>111.33822042640716</v>
      </c>
      <c r="AR133" s="135">
        <v>52.37865038810201</v>
      </c>
      <c r="AS133" s="135">
        <v>51.742797959692325</v>
      </c>
      <c r="AT133" s="135">
        <v>6.9778341735541927E-2</v>
      </c>
      <c r="AU133" s="135">
        <v>-55.976734455914126</v>
      </c>
      <c r="AV133" s="135">
        <v>1256.7744714824166</v>
      </c>
      <c r="AW133" s="135"/>
      <c r="AX133" s="164"/>
      <c r="AY133" s="132"/>
      <c r="AZ133" s="135"/>
      <c r="BA133" s="135"/>
    </row>
    <row r="134" spans="1:53" ht="16.5" x14ac:dyDescent="0.3">
      <c r="A134" s="165">
        <v>281</v>
      </c>
      <c r="B134" s="165">
        <v>1</v>
      </c>
      <c r="C134" s="166" t="s">
        <v>407</v>
      </c>
      <c r="D134" s="167">
        <v>2</v>
      </c>
      <c r="E134" s="163">
        <v>12342.789999999999</v>
      </c>
      <c r="F134" s="135">
        <v>6047.5039889684595</v>
      </c>
      <c r="G134" s="135">
        <v>21.133396096020434</v>
      </c>
      <c r="H134" s="135">
        <v>1874.658151844113</v>
      </c>
      <c r="I134" s="135">
        <v>0</v>
      </c>
      <c r="J134" s="135">
        <v>83.075039760054253</v>
      </c>
      <c r="K134" s="135">
        <v>916.08982490992719</v>
      </c>
      <c r="L134" s="135">
        <v>153.88007930135731</v>
      </c>
      <c r="M134" s="135">
        <v>971.46693978361543</v>
      </c>
      <c r="N134" s="135">
        <v>0</v>
      </c>
      <c r="O134" s="135">
        <v>-60.418580401999876</v>
      </c>
      <c r="P134" s="135">
        <v>1845.9803326476431</v>
      </c>
      <c r="Q134" s="135">
        <v>0.28940944470415525</v>
      </c>
      <c r="R134" s="135">
        <v>110.55358715493013</v>
      </c>
      <c r="S134" s="135">
        <v>11964.212169508824</v>
      </c>
      <c r="T134" s="135"/>
      <c r="U134" s="135">
        <v>6689.3428471196548</v>
      </c>
      <c r="V134" s="135">
        <v>0</v>
      </c>
      <c r="W134" s="135">
        <v>1152.5313004596208</v>
      </c>
      <c r="X134" s="135">
        <v>539.59553075660756</v>
      </c>
      <c r="Y134" s="135">
        <v>23.856380931701828</v>
      </c>
      <c r="Z134" s="135">
        <v>969.01381868739225</v>
      </c>
      <c r="AA134" s="135">
        <v>262.45714218584294</v>
      </c>
      <c r="AB134" s="135">
        <v>1307.051263121273</v>
      </c>
      <c r="AC134" s="135">
        <v>82.374368385489902</v>
      </c>
      <c r="AD134" s="135">
        <v>0</v>
      </c>
      <c r="AE134" s="135">
        <v>1846.37716796721</v>
      </c>
      <c r="AF134" s="135">
        <v>0.3610123805071625</v>
      </c>
      <c r="AG134" s="135">
        <v>52.500790339947457</v>
      </c>
      <c r="AH134" s="135">
        <v>12925.461622335248</v>
      </c>
      <c r="AI134" s="135">
        <v>641.83885815119538</v>
      </c>
      <c r="AJ134" s="135">
        <v>-21.133396096020434</v>
      </c>
      <c r="AK134" s="135">
        <v>-722.12685138449228</v>
      </c>
      <c r="AL134" s="135">
        <v>539.59553075660756</v>
      </c>
      <c r="AM134" s="135">
        <v>-59.218658828352424</v>
      </c>
      <c r="AN134" s="135">
        <v>52.923993777465057</v>
      </c>
      <c r="AO134" s="135">
        <v>108.57706288448563</v>
      </c>
      <c r="AP134" s="135">
        <v>335.58432333765757</v>
      </c>
      <c r="AQ134" s="135">
        <v>82.374368385489902</v>
      </c>
      <c r="AR134" s="135">
        <v>60.418580401999876</v>
      </c>
      <c r="AS134" s="135">
        <v>0.39683531956688967</v>
      </c>
      <c r="AT134" s="135">
        <v>7.160293580300725E-2</v>
      </c>
      <c r="AU134" s="135">
        <v>-58.052796814982671</v>
      </c>
      <c r="AV134" s="135">
        <v>961.24945937825998</v>
      </c>
      <c r="AW134" s="135"/>
      <c r="AX134" s="164"/>
      <c r="AY134" s="132"/>
      <c r="AZ134" s="135"/>
      <c r="BA134" s="135"/>
    </row>
    <row r="135" spans="1:53" ht="16.5" x14ac:dyDescent="0.3">
      <c r="A135" s="165">
        <v>282</v>
      </c>
      <c r="B135" s="165">
        <v>1</v>
      </c>
      <c r="C135" s="166" t="s">
        <v>409</v>
      </c>
      <c r="D135" s="167">
        <v>2</v>
      </c>
      <c r="E135" s="163">
        <v>1718.04</v>
      </c>
      <c r="F135" s="135">
        <v>6200.3605038299456</v>
      </c>
      <c r="G135" s="135">
        <v>3.2995797536727904</v>
      </c>
      <c r="H135" s="135">
        <v>1309.0232998067565</v>
      </c>
      <c r="I135" s="135">
        <v>0</v>
      </c>
      <c r="J135" s="135">
        <v>139.3716211496822</v>
      </c>
      <c r="K135" s="135">
        <v>146.80002211822776</v>
      </c>
      <c r="L135" s="135">
        <v>139.41414227841028</v>
      </c>
      <c r="M135" s="135">
        <v>688.66321283319144</v>
      </c>
      <c r="N135" s="135">
        <v>0</v>
      </c>
      <c r="O135" s="135">
        <v>-36.750320132243715</v>
      </c>
      <c r="P135" s="135">
        <v>1570.2688016577031</v>
      </c>
      <c r="Q135" s="135">
        <v>0.29672766641056086</v>
      </c>
      <c r="R135" s="135">
        <v>376.93108425880655</v>
      </c>
      <c r="S135" s="135">
        <v>10537.678675220566</v>
      </c>
      <c r="T135" s="135"/>
      <c r="U135" s="135">
        <v>6886.4378710623732</v>
      </c>
      <c r="V135" s="135">
        <v>0</v>
      </c>
      <c r="W135" s="135">
        <v>812.25504062769198</v>
      </c>
      <c r="X135" s="135">
        <v>538.68476651497645</v>
      </c>
      <c r="Y135" s="135">
        <v>50.312786663872792</v>
      </c>
      <c r="Z135" s="135">
        <v>199.1964200829664</v>
      </c>
      <c r="AA135" s="135">
        <v>133.87301226979582</v>
      </c>
      <c r="AB135" s="135">
        <v>848.57509351712645</v>
      </c>
      <c r="AC135" s="135">
        <v>35.645630049861431</v>
      </c>
      <c r="AD135" s="135">
        <v>1.6574643198062911</v>
      </c>
      <c r="AE135" s="135">
        <v>1672.1871405753068</v>
      </c>
      <c r="AF135" s="135">
        <v>0.36832669786500893</v>
      </c>
      <c r="AG135" s="135">
        <v>327.76198458708762</v>
      </c>
      <c r="AH135" s="135">
        <v>11506.95553696873</v>
      </c>
      <c r="AI135" s="135">
        <v>686.0773672324276</v>
      </c>
      <c r="AJ135" s="135">
        <v>-3.2995797536727904</v>
      </c>
      <c r="AK135" s="135">
        <v>-496.76825917906456</v>
      </c>
      <c r="AL135" s="135">
        <v>538.68476651497645</v>
      </c>
      <c r="AM135" s="135">
        <v>-89.058834485809399</v>
      </c>
      <c r="AN135" s="135">
        <v>52.39639796473864</v>
      </c>
      <c r="AO135" s="135">
        <v>-5.5411300086144593</v>
      </c>
      <c r="AP135" s="135">
        <v>159.91188068393501</v>
      </c>
      <c r="AQ135" s="135">
        <v>35.645630049861431</v>
      </c>
      <c r="AR135" s="135">
        <v>38.407784452050009</v>
      </c>
      <c r="AS135" s="135">
        <v>101.91833891760371</v>
      </c>
      <c r="AT135" s="135">
        <v>7.159903145444807E-2</v>
      </c>
      <c r="AU135" s="135">
        <v>-49.169099671718925</v>
      </c>
      <c r="AV135" s="135">
        <v>969.2768658911383</v>
      </c>
      <c r="AW135" s="135"/>
      <c r="AX135" s="164"/>
      <c r="AY135" s="132"/>
      <c r="AZ135" s="135"/>
      <c r="BA135" s="135"/>
    </row>
    <row r="136" spans="1:53" ht="16.5" x14ac:dyDescent="0.3">
      <c r="A136" s="165">
        <v>283</v>
      </c>
      <c r="B136" s="165">
        <v>1</v>
      </c>
      <c r="C136" s="166" t="s">
        <v>410</v>
      </c>
      <c r="D136" s="167">
        <v>2</v>
      </c>
      <c r="E136" s="163">
        <v>4510.8599999999997</v>
      </c>
      <c r="F136" s="135">
        <v>5992.5459358082499</v>
      </c>
      <c r="G136" s="135">
        <v>23.779762617327961</v>
      </c>
      <c r="H136" s="135">
        <v>2096.0504648780943</v>
      </c>
      <c r="I136" s="135">
        <v>0</v>
      </c>
      <c r="J136" s="135">
        <v>52.76744124180312</v>
      </c>
      <c r="K136" s="135">
        <v>525.65548032969321</v>
      </c>
      <c r="L136" s="135">
        <v>161.28102368506228</v>
      </c>
      <c r="M136" s="135">
        <v>925.31144169448487</v>
      </c>
      <c r="N136" s="135">
        <v>0</v>
      </c>
      <c r="O136" s="135">
        <v>-45.212207871669705</v>
      </c>
      <c r="P136" s="135">
        <v>1828.1277871625368</v>
      </c>
      <c r="Q136" s="135">
        <v>0.28677901774827858</v>
      </c>
      <c r="R136" s="135">
        <v>379.60008512789142</v>
      </c>
      <c r="S136" s="135">
        <v>11940.193993691222</v>
      </c>
      <c r="T136" s="135"/>
      <c r="U136" s="135">
        <v>6613.1941580984558</v>
      </c>
      <c r="V136" s="135">
        <v>0</v>
      </c>
      <c r="W136" s="135">
        <v>1506.2546920099494</v>
      </c>
      <c r="X136" s="135">
        <v>527.31597940664358</v>
      </c>
      <c r="Y136" s="135">
        <v>0</v>
      </c>
      <c r="Z136" s="135">
        <v>548.84824425574561</v>
      </c>
      <c r="AA136" s="135">
        <v>204.5535175110733</v>
      </c>
      <c r="AB136" s="135">
        <v>1183.7598339142571</v>
      </c>
      <c r="AC136" s="135">
        <v>64.830553730725825</v>
      </c>
      <c r="AD136" s="135">
        <v>0</v>
      </c>
      <c r="AE136" s="135">
        <v>1907.5041186042131</v>
      </c>
      <c r="AF136" s="135">
        <v>0.35690311825239535</v>
      </c>
      <c r="AG136" s="135">
        <v>321.32643442713811</v>
      </c>
      <c r="AH136" s="135">
        <v>12877.944435076452</v>
      </c>
      <c r="AI136" s="135">
        <v>620.64822229020592</v>
      </c>
      <c r="AJ136" s="135">
        <v>-23.779762617327961</v>
      </c>
      <c r="AK136" s="135">
        <v>-589.79577286814492</v>
      </c>
      <c r="AL136" s="135">
        <v>527.31597940664358</v>
      </c>
      <c r="AM136" s="135">
        <v>-52.76744124180312</v>
      </c>
      <c r="AN136" s="135">
        <v>23.192763926052407</v>
      </c>
      <c r="AO136" s="135">
        <v>43.272493826011015</v>
      </c>
      <c r="AP136" s="135">
        <v>258.44839221977224</v>
      </c>
      <c r="AQ136" s="135">
        <v>64.830553730725825</v>
      </c>
      <c r="AR136" s="135">
        <v>45.212207871669705</v>
      </c>
      <c r="AS136" s="135">
        <v>79.376331441676257</v>
      </c>
      <c r="AT136" s="135">
        <v>7.0124100504116771E-2</v>
      </c>
      <c r="AU136" s="135">
        <v>-58.273650700753308</v>
      </c>
      <c r="AV136" s="135">
        <v>937.75044331925585</v>
      </c>
      <c r="AW136" s="135"/>
      <c r="AX136" s="132"/>
      <c r="AY136" s="132"/>
      <c r="AZ136" s="155"/>
      <c r="BA136" s="155"/>
    </row>
    <row r="137" spans="1:53" ht="16.5" x14ac:dyDescent="0.3">
      <c r="A137" s="165">
        <v>284</v>
      </c>
      <c r="B137" s="165">
        <v>1</v>
      </c>
      <c r="C137" s="166" t="s">
        <v>412</v>
      </c>
      <c r="D137" s="167">
        <v>3</v>
      </c>
      <c r="E137" s="163">
        <v>10830.83</v>
      </c>
      <c r="F137" s="135">
        <v>6033.7013580676639</v>
      </c>
      <c r="G137" s="135">
        <v>1.2935961509875051</v>
      </c>
      <c r="H137" s="135">
        <v>1773.7725345148988</v>
      </c>
      <c r="I137" s="135">
        <v>0</v>
      </c>
      <c r="J137" s="135">
        <v>89.541098881618495</v>
      </c>
      <c r="K137" s="135">
        <v>138.81157676743152</v>
      </c>
      <c r="L137" s="135">
        <v>146.69542915916878</v>
      </c>
      <c r="M137" s="135">
        <v>722.96696678547028</v>
      </c>
      <c r="N137" s="135">
        <v>0</v>
      </c>
      <c r="O137" s="135">
        <v>-28.39497526967001</v>
      </c>
      <c r="P137" s="135">
        <v>1500.900232022846</v>
      </c>
      <c r="Q137" s="135">
        <v>0.28874887704820407</v>
      </c>
      <c r="R137" s="135">
        <v>374.02026991467875</v>
      </c>
      <c r="S137" s="135">
        <v>10753.596835872144</v>
      </c>
      <c r="T137" s="135"/>
      <c r="U137" s="135">
        <v>6675.3593214924431</v>
      </c>
      <c r="V137" s="135">
        <v>0</v>
      </c>
      <c r="W137" s="135">
        <v>1108.4275212518339</v>
      </c>
      <c r="X137" s="135">
        <v>526.1947689420017</v>
      </c>
      <c r="Y137" s="135">
        <v>26.784690554648165</v>
      </c>
      <c r="Z137" s="135">
        <v>148.80274980526292</v>
      </c>
      <c r="AA137" s="135">
        <v>140.61385230864116</v>
      </c>
      <c r="AB137" s="135">
        <v>977.31770263580142</v>
      </c>
      <c r="AC137" s="135">
        <v>31.126186959372792</v>
      </c>
      <c r="AD137" s="135">
        <v>9.1653742141645651</v>
      </c>
      <c r="AE137" s="135">
        <v>1501.3664736763481</v>
      </c>
      <c r="AF137" s="135">
        <v>0.36025770878132146</v>
      </c>
      <c r="AG137" s="135">
        <v>315.61757686160712</v>
      </c>
      <c r="AH137" s="135">
        <v>11461.136476410906</v>
      </c>
      <c r="AI137" s="135">
        <v>641.65796342477915</v>
      </c>
      <c r="AJ137" s="135">
        <v>-1.2935961509875051</v>
      </c>
      <c r="AK137" s="135">
        <v>-665.34501326306486</v>
      </c>
      <c r="AL137" s="135">
        <v>526.1947689420017</v>
      </c>
      <c r="AM137" s="135">
        <v>-62.75640832697033</v>
      </c>
      <c r="AN137" s="135">
        <v>9.9911730378314019</v>
      </c>
      <c r="AO137" s="135">
        <v>-6.0815768505276253</v>
      </c>
      <c r="AP137" s="135">
        <v>254.35073585033115</v>
      </c>
      <c r="AQ137" s="135">
        <v>31.126186959372792</v>
      </c>
      <c r="AR137" s="135">
        <v>37.560349483834571</v>
      </c>
      <c r="AS137" s="135">
        <v>0.46624165350203839</v>
      </c>
      <c r="AT137" s="135">
        <v>7.1508831733117395E-2</v>
      </c>
      <c r="AU137" s="135">
        <v>-58.40269305307163</v>
      </c>
      <c r="AV137" s="135">
        <v>707.53964647717328</v>
      </c>
      <c r="AW137" s="135"/>
      <c r="AX137" s="132"/>
      <c r="AY137" s="132"/>
      <c r="AZ137" s="155"/>
      <c r="BA137" s="155"/>
    </row>
    <row r="138" spans="1:53" ht="16.5" x14ac:dyDescent="0.3">
      <c r="A138" s="165">
        <v>286</v>
      </c>
      <c r="B138" s="165">
        <v>1</v>
      </c>
      <c r="C138" s="166" t="s">
        <v>414</v>
      </c>
      <c r="D138" s="167">
        <v>2</v>
      </c>
      <c r="E138" s="163">
        <v>2195.5500000000002</v>
      </c>
      <c r="F138" s="135">
        <v>6014.0659060372109</v>
      </c>
      <c r="G138" s="135">
        <v>15.979180615335562</v>
      </c>
      <c r="H138" s="135">
        <v>356.39700758352114</v>
      </c>
      <c r="I138" s="135">
        <v>0</v>
      </c>
      <c r="J138" s="135">
        <v>193.39354603630068</v>
      </c>
      <c r="K138" s="135">
        <v>1750.9895151556555</v>
      </c>
      <c r="L138" s="135">
        <v>145.44520120243217</v>
      </c>
      <c r="M138" s="135">
        <v>843.0550775661826</v>
      </c>
      <c r="N138" s="135">
        <v>0</v>
      </c>
      <c r="O138" s="135">
        <v>-25.614105804923593</v>
      </c>
      <c r="P138" s="135">
        <v>1439.1187006184587</v>
      </c>
      <c r="Q138" s="135">
        <v>0.28780943271617587</v>
      </c>
      <c r="R138" s="135">
        <v>363.98236888251233</v>
      </c>
      <c r="S138" s="135">
        <v>11097.100207325404</v>
      </c>
      <c r="T138" s="135"/>
      <c r="U138" s="135">
        <v>6650.7890961262556</v>
      </c>
      <c r="V138" s="135">
        <v>0</v>
      </c>
      <c r="W138" s="135">
        <v>0</v>
      </c>
      <c r="X138" s="135">
        <v>183.22895011339537</v>
      </c>
      <c r="Y138" s="135">
        <v>105.56808089089293</v>
      </c>
      <c r="Z138" s="135">
        <v>1852.7005813718711</v>
      </c>
      <c r="AA138" s="135">
        <v>370.16404090091322</v>
      </c>
      <c r="AB138" s="135">
        <v>1165.3074682366382</v>
      </c>
      <c r="AC138" s="135">
        <v>135.65228497169292</v>
      </c>
      <c r="AD138" s="135">
        <v>11.81306734075744</v>
      </c>
      <c r="AE138" s="135">
        <v>1556.3961121294046</v>
      </c>
      <c r="AF138" s="135">
        <v>0.35893056409555685</v>
      </c>
      <c r="AG138" s="135">
        <v>302.24039079046247</v>
      </c>
      <c r="AH138" s="135">
        <v>12334.219003436381</v>
      </c>
      <c r="AI138" s="135">
        <v>636.72319008904469</v>
      </c>
      <c r="AJ138" s="135">
        <v>-15.979180615335562</v>
      </c>
      <c r="AK138" s="135">
        <v>-356.39700758352114</v>
      </c>
      <c r="AL138" s="135">
        <v>183.22895011339537</v>
      </c>
      <c r="AM138" s="135">
        <v>-87.825465145407748</v>
      </c>
      <c r="AN138" s="135">
        <v>101.71106621621561</v>
      </c>
      <c r="AO138" s="135">
        <v>224.71883969848105</v>
      </c>
      <c r="AP138" s="135">
        <v>322.25239067045561</v>
      </c>
      <c r="AQ138" s="135">
        <v>135.65228497169292</v>
      </c>
      <c r="AR138" s="135">
        <v>37.427173145681031</v>
      </c>
      <c r="AS138" s="135">
        <v>117.27741151094597</v>
      </c>
      <c r="AT138" s="135">
        <v>7.1121131379380975E-2</v>
      </c>
      <c r="AU138" s="135">
        <v>-61.741978092049862</v>
      </c>
      <c r="AV138" s="135">
        <v>1237.1188059155413</v>
      </c>
      <c r="AW138" s="135"/>
      <c r="AX138" s="164"/>
      <c r="AY138" s="132"/>
      <c r="AZ138" s="135"/>
      <c r="BA138" s="135"/>
    </row>
    <row r="139" spans="1:53" ht="16.5" x14ac:dyDescent="0.3">
      <c r="A139" s="165">
        <v>294</v>
      </c>
      <c r="B139" s="165">
        <v>1</v>
      </c>
      <c r="C139" s="166" t="s">
        <v>294</v>
      </c>
      <c r="D139" s="167">
        <v>5</v>
      </c>
      <c r="E139" s="163">
        <v>2349.71</v>
      </c>
      <c r="F139" s="135">
        <v>6136.9121806520807</v>
      </c>
      <c r="G139" s="135">
        <v>21.016338186414494</v>
      </c>
      <c r="H139" s="135">
        <v>350.42803154431823</v>
      </c>
      <c r="I139" s="135">
        <v>0</v>
      </c>
      <c r="J139" s="135">
        <v>147.88971404981891</v>
      </c>
      <c r="K139" s="135">
        <v>186.30477378059419</v>
      </c>
      <c r="L139" s="135">
        <v>0</v>
      </c>
      <c r="M139" s="135">
        <v>391.04545298753038</v>
      </c>
      <c r="N139" s="135">
        <v>0</v>
      </c>
      <c r="O139" s="135">
        <v>-7.3975682105451304</v>
      </c>
      <c r="P139" s="135">
        <v>409.38355882215257</v>
      </c>
      <c r="Q139" s="135">
        <v>231.95507530716557</v>
      </c>
      <c r="R139" s="135">
        <v>337.48311919343234</v>
      </c>
      <c r="S139" s="135">
        <v>8205.0206763129645</v>
      </c>
      <c r="T139" s="135"/>
      <c r="U139" s="135">
        <v>6794.8389375710194</v>
      </c>
      <c r="V139" s="135">
        <v>0</v>
      </c>
      <c r="W139" s="135">
        <v>47.876652863544862</v>
      </c>
      <c r="X139" s="135">
        <v>0</v>
      </c>
      <c r="Y139" s="135">
        <v>104.43482387188206</v>
      </c>
      <c r="Z139" s="135">
        <v>246.13066293287253</v>
      </c>
      <c r="AA139" s="135">
        <v>0</v>
      </c>
      <c r="AB139" s="135">
        <v>451.34219758029349</v>
      </c>
      <c r="AC139" s="135">
        <v>24.822103378218458</v>
      </c>
      <c r="AD139" s="135">
        <v>30.835626524124251</v>
      </c>
      <c r="AE139" s="135">
        <v>567.08149608419762</v>
      </c>
      <c r="AF139" s="135">
        <v>113.93758378693542</v>
      </c>
      <c r="AG139" s="135">
        <v>296.38683071527976</v>
      </c>
      <c r="AH139" s="135">
        <v>8677.686915308368</v>
      </c>
      <c r="AI139" s="135">
        <v>657.92675691893874</v>
      </c>
      <c r="AJ139" s="135">
        <v>-21.016338186414494</v>
      </c>
      <c r="AK139" s="135">
        <v>-302.55137868077338</v>
      </c>
      <c r="AL139" s="135">
        <v>0</v>
      </c>
      <c r="AM139" s="135">
        <v>-43.454890177936846</v>
      </c>
      <c r="AN139" s="135">
        <v>59.825889152278336</v>
      </c>
      <c r="AO139" s="135">
        <v>0</v>
      </c>
      <c r="AP139" s="135">
        <v>60.296744592763105</v>
      </c>
      <c r="AQ139" s="135">
        <v>24.822103378218458</v>
      </c>
      <c r="AR139" s="135">
        <v>38.233194734669382</v>
      </c>
      <c r="AS139" s="135">
        <v>157.69793726204506</v>
      </c>
      <c r="AT139" s="135">
        <v>-118.01749152023015</v>
      </c>
      <c r="AU139" s="135">
        <v>-41.096288478152587</v>
      </c>
      <c r="AV139" s="135">
        <v>472.66624886484539</v>
      </c>
      <c r="AW139" s="135"/>
      <c r="AX139" s="164"/>
      <c r="AY139" s="132"/>
      <c r="AZ139" s="135"/>
      <c r="BA139" s="135"/>
    </row>
    <row r="140" spans="1:53" ht="16.5" x14ac:dyDescent="0.3">
      <c r="A140" s="165">
        <v>297</v>
      </c>
      <c r="B140" s="165">
        <v>1</v>
      </c>
      <c r="C140" s="166" t="s">
        <v>377</v>
      </c>
      <c r="D140" s="167">
        <v>6</v>
      </c>
      <c r="E140" s="163">
        <v>343.06</v>
      </c>
      <c r="F140" s="135">
        <v>5903.4580539847257</v>
      </c>
      <c r="G140" s="135">
        <v>0</v>
      </c>
      <c r="H140" s="135">
        <v>1593.5134087331662</v>
      </c>
      <c r="I140" s="135">
        <v>0</v>
      </c>
      <c r="J140" s="135">
        <v>88.506675217163178</v>
      </c>
      <c r="K140" s="135">
        <v>315.68437008103535</v>
      </c>
      <c r="L140" s="135">
        <v>0</v>
      </c>
      <c r="M140" s="135">
        <v>569.05896346971372</v>
      </c>
      <c r="N140" s="135">
        <v>0</v>
      </c>
      <c r="O140" s="135">
        <v>-60.594764764181193</v>
      </c>
      <c r="P140" s="135">
        <v>428.80603392992475</v>
      </c>
      <c r="Q140" s="135">
        <v>553.61869643794091</v>
      </c>
      <c r="R140" s="135">
        <v>335.7209817524631</v>
      </c>
      <c r="S140" s="135">
        <v>9727.7724188419525</v>
      </c>
      <c r="T140" s="135"/>
      <c r="U140" s="135">
        <v>6533.2245088322743</v>
      </c>
      <c r="V140" s="135">
        <v>0</v>
      </c>
      <c r="W140" s="135">
        <v>1282.3993762024136</v>
      </c>
      <c r="X140" s="135">
        <v>0</v>
      </c>
      <c r="Y140" s="135">
        <v>12.102022969742903</v>
      </c>
      <c r="Z140" s="135">
        <v>402.66606424532148</v>
      </c>
      <c r="AA140" s="135">
        <v>0</v>
      </c>
      <c r="AB140" s="135">
        <v>675.19798823641236</v>
      </c>
      <c r="AC140" s="135">
        <v>57.606927522706009</v>
      </c>
      <c r="AD140" s="135">
        <v>0</v>
      </c>
      <c r="AE140" s="135">
        <v>484.64237171340289</v>
      </c>
      <c r="AF140" s="135">
        <v>551.97548835710791</v>
      </c>
      <c r="AG140" s="135">
        <v>291.03649507374803</v>
      </c>
      <c r="AH140" s="135">
        <v>10290.851243153127</v>
      </c>
      <c r="AI140" s="135">
        <v>629.76645484754863</v>
      </c>
      <c r="AJ140" s="135">
        <v>0</v>
      </c>
      <c r="AK140" s="135">
        <v>-311.11403253075264</v>
      </c>
      <c r="AL140" s="135">
        <v>0</v>
      </c>
      <c r="AM140" s="135">
        <v>-76.404652247420273</v>
      </c>
      <c r="AN140" s="135">
        <v>86.981694164286125</v>
      </c>
      <c r="AO140" s="135">
        <v>0</v>
      </c>
      <c r="AP140" s="135">
        <v>106.13902476669864</v>
      </c>
      <c r="AQ140" s="135">
        <v>57.606927522706009</v>
      </c>
      <c r="AR140" s="135">
        <v>60.594764764181193</v>
      </c>
      <c r="AS140" s="135">
        <v>55.836337783478143</v>
      </c>
      <c r="AT140" s="135">
        <v>-1.6432080808330056</v>
      </c>
      <c r="AU140" s="135">
        <v>-44.684486678715075</v>
      </c>
      <c r="AV140" s="135">
        <v>563.07883033608437</v>
      </c>
      <c r="AW140" s="135"/>
      <c r="AX140" s="164"/>
      <c r="AY140" s="132"/>
      <c r="AZ140" s="135"/>
      <c r="BA140" s="135"/>
    </row>
    <row r="141" spans="1:53" ht="16.5" x14ac:dyDescent="0.3">
      <c r="A141" s="165">
        <v>299</v>
      </c>
      <c r="B141" s="165">
        <v>1</v>
      </c>
      <c r="C141" s="166" t="s">
        <v>418</v>
      </c>
      <c r="D141" s="167">
        <v>6</v>
      </c>
      <c r="E141" s="163">
        <v>684.04</v>
      </c>
      <c r="F141" s="135">
        <v>6160.8283726097889</v>
      </c>
      <c r="G141" s="135">
        <v>0</v>
      </c>
      <c r="H141" s="135">
        <v>899.65399684228998</v>
      </c>
      <c r="I141" s="135">
        <v>0</v>
      </c>
      <c r="J141" s="135">
        <v>122.13158587217123</v>
      </c>
      <c r="K141" s="135">
        <v>353.95352610958423</v>
      </c>
      <c r="L141" s="135">
        <v>0</v>
      </c>
      <c r="M141" s="135">
        <v>1274.0743645189054</v>
      </c>
      <c r="N141" s="135">
        <v>0</v>
      </c>
      <c r="O141" s="135">
        <v>-65.758859131044971</v>
      </c>
      <c r="P141" s="135">
        <v>2477.8552856558099</v>
      </c>
      <c r="Q141" s="135">
        <v>347.23061516870359</v>
      </c>
      <c r="R141" s="135">
        <v>101.70358458569675</v>
      </c>
      <c r="S141" s="135">
        <v>11671.672472231907</v>
      </c>
      <c r="T141" s="135"/>
      <c r="U141" s="135">
        <v>6818.9164961113393</v>
      </c>
      <c r="V141" s="135">
        <v>0</v>
      </c>
      <c r="W141" s="135">
        <v>578.54613765276895</v>
      </c>
      <c r="X141" s="135">
        <v>0</v>
      </c>
      <c r="Y141" s="135">
        <v>65.714344190398222</v>
      </c>
      <c r="Z141" s="135">
        <v>446.30993573684896</v>
      </c>
      <c r="AA141" s="135">
        <v>0</v>
      </c>
      <c r="AB141" s="135">
        <v>1442.8283053178484</v>
      </c>
      <c r="AC141" s="135">
        <v>70.470209812812669</v>
      </c>
      <c r="AD141" s="135">
        <v>0</v>
      </c>
      <c r="AE141" s="135">
        <v>2520.8501108941</v>
      </c>
      <c r="AF141" s="135">
        <v>377.61392006392362</v>
      </c>
      <c r="AG141" s="135">
        <v>50.967341091164258</v>
      </c>
      <c r="AH141" s="135">
        <v>12372.216800871203</v>
      </c>
      <c r="AI141" s="135">
        <v>658.0881235015504</v>
      </c>
      <c r="AJ141" s="135">
        <v>0</v>
      </c>
      <c r="AK141" s="135">
        <v>-321.10785918952104</v>
      </c>
      <c r="AL141" s="135">
        <v>0</v>
      </c>
      <c r="AM141" s="135">
        <v>-56.417241681773007</v>
      </c>
      <c r="AN141" s="135">
        <v>92.356409627264725</v>
      </c>
      <c r="AO141" s="135">
        <v>0</v>
      </c>
      <c r="AP141" s="135">
        <v>168.75394079894295</v>
      </c>
      <c r="AQ141" s="135">
        <v>70.470209812812669</v>
      </c>
      <c r="AR141" s="135">
        <v>65.758859131044971</v>
      </c>
      <c r="AS141" s="135">
        <v>42.994825238290105</v>
      </c>
      <c r="AT141" s="135">
        <v>30.383304895220022</v>
      </c>
      <c r="AU141" s="135">
        <v>-50.736243494532488</v>
      </c>
      <c r="AV141" s="135">
        <v>700.54433216536881</v>
      </c>
      <c r="AW141" s="135"/>
      <c r="AX141" s="132"/>
      <c r="AY141" s="132"/>
      <c r="AZ141" s="155"/>
      <c r="BA141" s="155"/>
    </row>
    <row r="142" spans="1:53" ht="16.5" x14ac:dyDescent="0.3">
      <c r="A142" s="165">
        <v>300</v>
      </c>
      <c r="B142" s="165">
        <v>1</v>
      </c>
      <c r="C142" s="166" t="s">
        <v>420</v>
      </c>
      <c r="D142" s="167">
        <v>5</v>
      </c>
      <c r="E142" s="163">
        <v>1230.3</v>
      </c>
      <c r="F142" s="135">
        <v>6169.3558969357064</v>
      </c>
      <c r="G142" s="135">
        <v>0</v>
      </c>
      <c r="H142" s="135">
        <v>679.11944241241974</v>
      </c>
      <c r="I142" s="135">
        <v>0</v>
      </c>
      <c r="J142" s="135">
        <v>131.67748516621961</v>
      </c>
      <c r="K142" s="135">
        <v>249.63363407299033</v>
      </c>
      <c r="L142" s="135">
        <v>0</v>
      </c>
      <c r="M142" s="135">
        <v>1219.6765542405915</v>
      </c>
      <c r="N142" s="135">
        <v>0</v>
      </c>
      <c r="O142" s="135">
        <v>-53.979939852068604</v>
      </c>
      <c r="P142" s="135">
        <v>902.77841827196619</v>
      </c>
      <c r="Q142" s="135">
        <v>123.72959440786799</v>
      </c>
      <c r="R142" s="135">
        <v>370.57012110867271</v>
      </c>
      <c r="S142" s="135">
        <v>9792.5612067643669</v>
      </c>
      <c r="T142" s="135"/>
      <c r="U142" s="135">
        <v>6832.2253108997802</v>
      </c>
      <c r="V142" s="135">
        <v>0</v>
      </c>
      <c r="W142" s="135">
        <v>355.82309192879791</v>
      </c>
      <c r="X142" s="135">
        <v>0</v>
      </c>
      <c r="Y142" s="135">
        <v>82.350467365683173</v>
      </c>
      <c r="Z142" s="135">
        <v>185.47096643095179</v>
      </c>
      <c r="AA142" s="135">
        <v>0</v>
      </c>
      <c r="AB142" s="135">
        <v>1528.5562307086559</v>
      </c>
      <c r="AC142" s="135">
        <v>40.158157676866466</v>
      </c>
      <c r="AD142" s="135">
        <v>0</v>
      </c>
      <c r="AE142" s="135">
        <v>1033.3930742705031</v>
      </c>
      <c r="AF142" s="135">
        <v>124.34086808095587</v>
      </c>
      <c r="AG142" s="135">
        <v>320.08789726083074</v>
      </c>
      <c r="AH142" s="135">
        <v>10502.406064623026</v>
      </c>
      <c r="AI142" s="135">
        <v>662.86941396407383</v>
      </c>
      <c r="AJ142" s="135">
        <v>0</v>
      </c>
      <c r="AK142" s="135">
        <v>-323.29635048362184</v>
      </c>
      <c r="AL142" s="135">
        <v>0</v>
      </c>
      <c r="AM142" s="135">
        <v>-49.327017800536439</v>
      </c>
      <c r="AN142" s="135">
        <v>-64.162667642038542</v>
      </c>
      <c r="AO142" s="135">
        <v>0</v>
      </c>
      <c r="AP142" s="135">
        <v>308.87967646806442</v>
      </c>
      <c r="AQ142" s="135">
        <v>40.158157676866466</v>
      </c>
      <c r="AR142" s="135">
        <v>53.979939852068604</v>
      </c>
      <c r="AS142" s="135">
        <v>130.61465599853693</v>
      </c>
      <c r="AT142" s="135">
        <v>0.61127367308787939</v>
      </c>
      <c r="AU142" s="135">
        <v>-50.482223847841965</v>
      </c>
      <c r="AV142" s="135">
        <v>709.84486147222788</v>
      </c>
      <c r="AW142" s="135"/>
      <c r="AX142" s="132"/>
      <c r="AY142" s="132"/>
      <c r="AZ142" s="155"/>
      <c r="BA142" s="155"/>
    </row>
    <row r="143" spans="1:53" ht="16.5" x14ac:dyDescent="0.3">
      <c r="A143" s="165">
        <v>306</v>
      </c>
      <c r="B143" s="165">
        <v>1</v>
      </c>
      <c r="C143" s="166" t="s">
        <v>422</v>
      </c>
      <c r="D143" s="167">
        <v>6</v>
      </c>
      <c r="E143" s="163">
        <v>273.95</v>
      </c>
      <c r="F143" s="135">
        <v>6014.2265376893602</v>
      </c>
      <c r="G143" s="135">
        <v>53.603066252965867</v>
      </c>
      <c r="H143" s="135">
        <v>0</v>
      </c>
      <c r="I143" s="135">
        <v>0</v>
      </c>
      <c r="J143" s="135">
        <v>154.86205511954736</v>
      </c>
      <c r="K143" s="135">
        <v>1478.5985398795401</v>
      </c>
      <c r="L143" s="135">
        <v>0</v>
      </c>
      <c r="M143" s="135">
        <v>1068.5840149492169</v>
      </c>
      <c r="N143" s="135">
        <v>0</v>
      </c>
      <c r="O143" s="135">
        <v>-50.157327979558318</v>
      </c>
      <c r="P143" s="135">
        <v>3428.4709772899123</v>
      </c>
      <c r="Q143" s="135">
        <v>848.90063880270122</v>
      </c>
      <c r="R143" s="135">
        <v>124.26358824603031</v>
      </c>
      <c r="S143" s="135">
        <v>13121.352090249718</v>
      </c>
      <c r="T143" s="135"/>
      <c r="U143" s="135">
        <v>6570.4435115897058</v>
      </c>
      <c r="V143" s="135">
        <v>0</v>
      </c>
      <c r="W143" s="135">
        <v>0</v>
      </c>
      <c r="X143" s="135">
        <v>0</v>
      </c>
      <c r="Y143" s="135">
        <v>104.29275415221757</v>
      </c>
      <c r="Z143" s="135">
        <v>1702.8945062967696</v>
      </c>
      <c r="AA143" s="135">
        <v>0</v>
      </c>
      <c r="AB143" s="135">
        <v>1183.9288655324242</v>
      </c>
      <c r="AC143" s="135">
        <v>117.22678555722477</v>
      </c>
      <c r="AD143" s="135">
        <v>0</v>
      </c>
      <c r="AE143" s="135">
        <v>3475.826836334576</v>
      </c>
      <c r="AF143" s="135">
        <v>814.8717507286193</v>
      </c>
      <c r="AG143" s="135">
        <v>77.810293849242569</v>
      </c>
      <c r="AH143" s="135">
        <v>14047.295304040781</v>
      </c>
      <c r="AI143" s="135">
        <v>556.21697390034569</v>
      </c>
      <c r="AJ143" s="135">
        <v>-53.603066252965867</v>
      </c>
      <c r="AK143" s="135">
        <v>0</v>
      </c>
      <c r="AL143" s="135">
        <v>0</v>
      </c>
      <c r="AM143" s="135">
        <v>-50.569300967329795</v>
      </c>
      <c r="AN143" s="135">
        <v>224.29596641722947</v>
      </c>
      <c r="AO143" s="135">
        <v>0</v>
      </c>
      <c r="AP143" s="135">
        <v>115.34485058320729</v>
      </c>
      <c r="AQ143" s="135">
        <v>117.22678555722477</v>
      </c>
      <c r="AR143" s="135">
        <v>50.157327979558318</v>
      </c>
      <c r="AS143" s="135">
        <v>47.355859044663703</v>
      </c>
      <c r="AT143" s="135">
        <v>-34.02888807408192</v>
      </c>
      <c r="AU143" s="135">
        <v>-46.45329439678774</v>
      </c>
      <c r="AV143" s="135">
        <v>925.94321594962378</v>
      </c>
      <c r="AW143" s="135"/>
      <c r="AX143" s="164"/>
      <c r="AY143" s="132"/>
      <c r="AZ143" s="135"/>
      <c r="BA143" s="135"/>
    </row>
    <row r="144" spans="1:53" ht="16.5" x14ac:dyDescent="0.3">
      <c r="A144" s="165">
        <v>308</v>
      </c>
      <c r="B144" s="165">
        <v>1</v>
      </c>
      <c r="C144" s="166" t="s">
        <v>364</v>
      </c>
      <c r="D144" s="167">
        <v>6</v>
      </c>
      <c r="E144" s="163">
        <v>530.67000000000007</v>
      </c>
      <c r="F144" s="135">
        <v>6061.3441875365097</v>
      </c>
      <c r="G144" s="135">
        <v>61.112367384626971</v>
      </c>
      <c r="H144" s="135">
        <v>390.968699945352</v>
      </c>
      <c r="I144" s="135">
        <v>0</v>
      </c>
      <c r="J144" s="135">
        <v>149.17822752369645</v>
      </c>
      <c r="K144" s="135">
        <v>867.51088246933114</v>
      </c>
      <c r="L144" s="135">
        <v>0</v>
      </c>
      <c r="M144" s="135">
        <v>657.59216969642148</v>
      </c>
      <c r="N144" s="135">
        <v>0</v>
      </c>
      <c r="O144" s="135">
        <v>-26.184521454010962</v>
      </c>
      <c r="P144" s="135">
        <v>851.13074210768593</v>
      </c>
      <c r="Q144" s="135">
        <v>498.12322158780404</v>
      </c>
      <c r="R144" s="135">
        <v>105.67052970772795</v>
      </c>
      <c r="S144" s="135">
        <v>9616.4465065051445</v>
      </c>
      <c r="T144" s="135"/>
      <c r="U144" s="135">
        <v>6704.5904234269874</v>
      </c>
      <c r="V144" s="135">
        <v>0</v>
      </c>
      <c r="W144" s="135">
        <v>132.81474362598223</v>
      </c>
      <c r="X144" s="135">
        <v>0</v>
      </c>
      <c r="Y144" s="135">
        <v>96.93530819530028</v>
      </c>
      <c r="Z144" s="135">
        <v>987.88885748205087</v>
      </c>
      <c r="AA144" s="135">
        <v>0</v>
      </c>
      <c r="AB144" s="135">
        <v>725.15959830777138</v>
      </c>
      <c r="AC144" s="135">
        <v>91.814587823612342</v>
      </c>
      <c r="AD144" s="135">
        <v>11.546799329149941</v>
      </c>
      <c r="AE144" s="135">
        <v>926.79742750404466</v>
      </c>
      <c r="AF144" s="135">
        <v>425.28024565271505</v>
      </c>
      <c r="AG144" s="135">
        <v>58.949290519531907</v>
      </c>
      <c r="AH144" s="135">
        <v>10161.777281867146</v>
      </c>
      <c r="AI144" s="135">
        <v>643.24623589047769</v>
      </c>
      <c r="AJ144" s="135">
        <v>-61.112367384626971</v>
      </c>
      <c r="AK144" s="135">
        <v>-258.15395631936974</v>
      </c>
      <c r="AL144" s="135">
        <v>0</v>
      </c>
      <c r="AM144" s="135">
        <v>-52.242919328396169</v>
      </c>
      <c r="AN144" s="135">
        <v>120.37797501271973</v>
      </c>
      <c r="AO144" s="135">
        <v>0</v>
      </c>
      <c r="AP144" s="135">
        <v>67.567428611349897</v>
      </c>
      <c r="AQ144" s="135">
        <v>91.814587823612342</v>
      </c>
      <c r="AR144" s="135">
        <v>37.731320783160903</v>
      </c>
      <c r="AS144" s="135">
        <v>75.66668539635873</v>
      </c>
      <c r="AT144" s="135">
        <v>-72.842975935088987</v>
      </c>
      <c r="AU144" s="135">
        <v>-46.721239188196044</v>
      </c>
      <c r="AV144" s="135">
        <v>545.33077987330523</v>
      </c>
      <c r="AW144" s="135"/>
      <c r="AX144" s="164"/>
      <c r="AY144" s="132"/>
      <c r="AZ144" s="135"/>
      <c r="BA144" s="135"/>
    </row>
    <row r="145" spans="1:53" ht="16.5" x14ac:dyDescent="0.3">
      <c r="A145" s="165">
        <v>309</v>
      </c>
      <c r="B145" s="165">
        <v>1</v>
      </c>
      <c r="C145" s="166" t="s">
        <v>425</v>
      </c>
      <c r="D145" s="167">
        <v>5</v>
      </c>
      <c r="E145" s="163">
        <v>1514.6599999999999</v>
      </c>
      <c r="F145" s="135">
        <v>6027.0210872407015</v>
      </c>
      <c r="G145" s="135">
        <v>0</v>
      </c>
      <c r="H145" s="135">
        <v>771.51571969947054</v>
      </c>
      <c r="I145" s="135">
        <v>0</v>
      </c>
      <c r="J145" s="135">
        <v>124.23231616336341</v>
      </c>
      <c r="K145" s="135">
        <v>798.46594615293202</v>
      </c>
      <c r="L145" s="135">
        <v>0</v>
      </c>
      <c r="M145" s="135">
        <v>969.74397124014627</v>
      </c>
      <c r="N145" s="135">
        <v>0</v>
      </c>
      <c r="O145" s="135">
        <v>-67.622166030660352</v>
      </c>
      <c r="P145" s="135">
        <v>2248.7323380824746</v>
      </c>
      <c r="Q145" s="135">
        <v>233.42016030000133</v>
      </c>
      <c r="R145" s="135">
        <v>110.21495913274268</v>
      </c>
      <c r="S145" s="135">
        <v>11215.724331981173</v>
      </c>
      <c r="T145" s="135"/>
      <c r="U145" s="135">
        <v>6660.3660227377768</v>
      </c>
      <c r="V145" s="135">
        <v>0</v>
      </c>
      <c r="W145" s="135">
        <v>454.35325419566107</v>
      </c>
      <c r="X145" s="135">
        <v>0</v>
      </c>
      <c r="Y145" s="135">
        <v>73.266290784730572</v>
      </c>
      <c r="Z145" s="135">
        <v>936.56878066453294</v>
      </c>
      <c r="AA145" s="135">
        <v>0</v>
      </c>
      <c r="AB145" s="135">
        <v>1319.4780327334411</v>
      </c>
      <c r="AC145" s="135">
        <v>95.69856669520658</v>
      </c>
      <c r="AD145" s="135">
        <v>0</v>
      </c>
      <c r="AE145" s="135">
        <v>2329.0970602181351</v>
      </c>
      <c r="AF145" s="135">
        <v>259.93399838907743</v>
      </c>
      <c r="AG145" s="135">
        <v>61.381108631640117</v>
      </c>
      <c r="AH145" s="135">
        <v>12190.143115050201</v>
      </c>
      <c r="AI145" s="135">
        <v>633.34493549707531</v>
      </c>
      <c r="AJ145" s="135">
        <v>0</v>
      </c>
      <c r="AK145" s="135">
        <v>-317.16246550380947</v>
      </c>
      <c r="AL145" s="135">
        <v>0</v>
      </c>
      <c r="AM145" s="135">
        <v>-50.966025378632835</v>
      </c>
      <c r="AN145" s="135">
        <v>138.10283451160092</v>
      </c>
      <c r="AO145" s="135">
        <v>0</v>
      </c>
      <c r="AP145" s="135">
        <v>349.7340614932948</v>
      </c>
      <c r="AQ145" s="135">
        <v>95.69856669520658</v>
      </c>
      <c r="AR145" s="135">
        <v>67.622166030660352</v>
      </c>
      <c r="AS145" s="135">
        <v>80.364722135660486</v>
      </c>
      <c r="AT145" s="135">
        <v>26.513838089076103</v>
      </c>
      <c r="AU145" s="135">
        <v>-48.83385050110256</v>
      </c>
      <c r="AV145" s="135">
        <v>974.41879015537904</v>
      </c>
      <c r="AW145" s="135"/>
      <c r="AX145" s="164"/>
      <c r="AY145" s="132"/>
      <c r="AZ145" s="135"/>
      <c r="BA145" s="135"/>
    </row>
    <row r="146" spans="1:53" ht="16.5" x14ac:dyDescent="0.3">
      <c r="A146" s="165">
        <v>314</v>
      </c>
      <c r="B146" s="165">
        <v>1</v>
      </c>
      <c r="C146" s="166" t="s">
        <v>427</v>
      </c>
      <c r="D146" s="167">
        <v>6</v>
      </c>
      <c r="E146" s="163">
        <v>886.17000000000007</v>
      </c>
      <c r="F146" s="135">
        <v>6021.3030005529408</v>
      </c>
      <c r="G146" s="135">
        <v>0</v>
      </c>
      <c r="H146" s="135">
        <v>618.01866459031555</v>
      </c>
      <c r="I146" s="135">
        <v>0</v>
      </c>
      <c r="J146" s="135">
        <v>128.14863965153413</v>
      </c>
      <c r="K146" s="135">
        <v>800.38386539828696</v>
      </c>
      <c r="L146" s="135">
        <v>0</v>
      </c>
      <c r="M146" s="135">
        <v>447.25383588871205</v>
      </c>
      <c r="N146" s="135">
        <v>0</v>
      </c>
      <c r="O146" s="135">
        <v>-51.54355259148921</v>
      </c>
      <c r="P146" s="135">
        <v>1243.06001660436</v>
      </c>
      <c r="Q146" s="135">
        <v>145.41493167225249</v>
      </c>
      <c r="R146" s="135">
        <v>119.32503921369488</v>
      </c>
      <c r="S146" s="135">
        <v>9471.3644409806075</v>
      </c>
      <c r="T146" s="135"/>
      <c r="U146" s="135">
        <v>6654.5380683164622</v>
      </c>
      <c r="V146" s="135">
        <v>0</v>
      </c>
      <c r="W146" s="135">
        <v>301.13368766715189</v>
      </c>
      <c r="X146" s="135">
        <v>0</v>
      </c>
      <c r="Y146" s="135">
        <v>84.118036042745743</v>
      </c>
      <c r="Z146" s="135">
        <v>896.87192885103821</v>
      </c>
      <c r="AA146" s="135">
        <v>0</v>
      </c>
      <c r="AB146" s="135">
        <v>588.00499197316719</v>
      </c>
      <c r="AC146" s="135">
        <v>91.119596708623376</v>
      </c>
      <c r="AD146" s="135">
        <v>0</v>
      </c>
      <c r="AE146" s="135">
        <v>1347.1364318990711</v>
      </c>
      <c r="AF146" s="135">
        <v>169.76643407971503</v>
      </c>
      <c r="AG146" s="135">
        <v>68.875870318336212</v>
      </c>
      <c r="AH146" s="135">
        <v>10201.56504585631</v>
      </c>
      <c r="AI146" s="135">
        <v>633.23506776352133</v>
      </c>
      <c r="AJ146" s="135">
        <v>0</v>
      </c>
      <c r="AK146" s="135">
        <v>-316.88497692316366</v>
      </c>
      <c r="AL146" s="135">
        <v>0</v>
      </c>
      <c r="AM146" s="135">
        <v>-44.030603608788383</v>
      </c>
      <c r="AN146" s="135">
        <v>96.488063452751248</v>
      </c>
      <c r="AO146" s="135">
        <v>0</v>
      </c>
      <c r="AP146" s="135">
        <v>140.75115608445515</v>
      </c>
      <c r="AQ146" s="135">
        <v>91.119596708623376</v>
      </c>
      <c r="AR146" s="135">
        <v>51.54355259148921</v>
      </c>
      <c r="AS146" s="135">
        <v>104.07641529471107</v>
      </c>
      <c r="AT146" s="135">
        <v>24.351502407462533</v>
      </c>
      <c r="AU146" s="135">
        <v>-50.449168895358667</v>
      </c>
      <c r="AV146" s="135">
        <v>730.20061264902688</v>
      </c>
      <c r="AW146" s="135"/>
      <c r="AX146" s="132"/>
      <c r="AY146" s="132"/>
      <c r="AZ146" s="155"/>
      <c r="BA146" s="155"/>
    </row>
    <row r="147" spans="1:53" ht="16.5" x14ac:dyDescent="0.3">
      <c r="A147" s="165">
        <v>316</v>
      </c>
      <c r="B147" s="165">
        <v>1</v>
      </c>
      <c r="C147" s="166" t="s">
        <v>429</v>
      </c>
      <c r="D147" s="167">
        <v>5</v>
      </c>
      <c r="E147" s="163">
        <v>1076.6199999999999</v>
      </c>
      <c r="F147" s="135">
        <v>6002.4420872731334</v>
      </c>
      <c r="G147" s="135">
        <v>28.472534413256305</v>
      </c>
      <c r="H147" s="135">
        <v>0</v>
      </c>
      <c r="I147" s="135">
        <v>0</v>
      </c>
      <c r="J147" s="135">
        <v>160.67502925823413</v>
      </c>
      <c r="K147" s="135">
        <v>750.37052070368384</v>
      </c>
      <c r="L147" s="135">
        <v>0</v>
      </c>
      <c r="M147" s="135">
        <v>1148.0980330830139</v>
      </c>
      <c r="N147" s="135">
        <v>0</v>
      </c>
      <c r="O147" s="135">
        <v>-64.713046385911468</v>
      </c>
      <c r="P147" s="135">
        <v>1328.8340528691647</v>
      </c>
      <c r="Q147" s="135">
        <v>161.20647953781278</v>
      </c>
      <c r="R147" s="135">
        <v>127.44624844420503</v>
      </c>
      <c r="S147" s="135">
        <v>9642.8319391965924</v>
      </c>
      <c r="T147" s="135"/>
      <c r="U147" s="135">
        <v>6639.2784826586912</v>
      </c>
      <c r="V147" s="135">
        <v>0</v>
      </c>
      <c r="W147" s="135">
        <v>0</v>
      </c>
      <c r="X147" s="135">
        <v>0</v>
      </c>
      <c r="Y147" s="135">
        <v>105.38537274061416</v>
      </c>
      <c r="Z147" s="135">
        <v>898.83760286823588</v>
      </c>
      <c r="AA147" s="135">
        <v>0</v>
      </c>
      <c r="AB147" s="135">
        <v>1505.7375026316358</v>
      </c>
      <c r="AC147" s="135">
        <v>106.47388498975256</v>
      </c>
      <c r="AD147" s="135">
        <v>0</v>
      </c>
      <c r="AE147" s="135">
        <v>1351.7091575300478</v>
      </c>
      <c r="AF147" s="135">
        <v>166.91988816852745</v>
      </c>
      <c r="AG147" s="135">
        <v>79.165425126785692</v>
      </c>
      <c r="AH147" s="135">
        <v>10853.507316714291</v>
      </c>
      <c r="AI147" s="135">
        <v>636.83639538555781</v>
      </c>
      <c r="AJ147" s="135">
        <v>-28.472534413256305</v>
      </c>
      <c r="AK147" s="135">
        <v>0</v>
      </c>
      <c r="AL147" s="135">
        <v>0</v>
      </c>
      <c r="AM147" s="135">
        <v>-55.289656517619974</v>
      </c>
      <c r="AN147" s="135">
        <v>148.46708216455204</v>
      </c>
      <c r="AO147" s="135">
        <v>0</v>
      </c>
      <c r="AP147" s="135">
        <v>357.63946954862195</v>
      </c>
      <c r="AQ147" s="135">
        <v>106.47388498975256</v>
      </c>
      <c r="AR147" s="135">
        <v>64.713046385911468</v>
      </c>
      <c r="AS147" s="135">
        <v>22.875104660883153</v>
      </c>
      <c r="AT147" s="135">
        <v>5.7134086307146674</v>
      </c>
      <c r="AU147" s="135">
        <v>-48.280823317419333</v>
      </c>
      <c r="AV147" s="135">
        <v>1210.6753810324778</v>
      </c>
      <c r="AW147" s="135"/>
      <c r="AX147" s="164"/>
      <c r="AY147" s="132"/>
      <c r="AZ147" s="135"/>
      <c r="BA147" s="135"/>
    </row>
    <row r="148" spans="1:53" ht="16.5" x14ac:dyDescent="0.3">
      <c r="A148" s="165">
        <v>317</v>
      </c>
      <c r="B148" s="165">
        <v>1</v>
      </c>
      <c r="C148" s="166" t="s">
        <v>431</v>
      </c>
      <c r="D148" s="167">
        <v>6</v>
      </c>
      <c r="E148" s="163">
        <v>876.56999999999994</v>
      </c>
      <c r="F148" s="135">
        <v>5964.2409847473673</v>
      </c>
      <c r="G148" s="135">
        <v>48.727757053059086</v>
      </c>
      <c r="H148" s="135">
        <v>0</v>
      </c>
      <c r="I148" s="135">
        <v>0</v>
      </c>
      <c r="J148" s="135">
        <v>176.77985785504868</v>
      </c>
      <c r="K148" s="135">
        <v>1388.7107361648243</v>
      </c>
      <c r="L148" s="135">
        <v>0</v>
      </c>
      <c r="M148" s="135">
        <v>1489.6632540701326</v>
      </c>
      <c r="N148" s="135">
        <v>0</v>
      </c>
      <c r="O148" s="135">
        <v>-70.727688604446882</v>
      </c>
      <c r="P148" s="135">
        <v>1460.6708076121377</v>
      </c>
      <c r="Q148" s="135">
        <v>446.37526951641058</v>
      </c>
      <c r="R148" s="135">
        <v>97.787193264656565</v>
      </c>
      <c r="S148" s="135">
        <v>11002.228171679188</v>
      </c>
      <c r="T148" s="135"/>
      <c r="U148" s="135">
        <v>6586.5498477018382</v>
      </c>
      <c r="V148" s="135">
        <v>0</v>
      </c>
      <c r="W148" s="135">
        <v>0</v>
      </c>
      <c r="X148" s="135">
        <v>0</v>
      </c>
      <c r="Y148" s="135">
        <v>104.54841028098156</v>
      </c>
      <c r="Z148" s="135">
        <v>1609.9371641739965</v>
      </c>
      <c r="AA148" s="135">
        <v>0</v>
      </c>
      <c r="AB148" s="135">
        <v>1655.1923854631277</v>
      </c>
      <c r="AC148" s="135">
        <v>136.05339666961282</v>
      </c>
      <c r="AD148" s="135">
        <v>0</v>
      </c>
      <c r="AE148" s="135">
        <v>1547.2112799707952</v>
      </c>
      <c r="AF148" s="135">
        <v>495.29651953697521</v>
      </c>
      <c r="AG148" s="135">
        <v>51.64591532906671</v>
      </c>
      <c r="AH148" s="135">
        <v>12186.434919126394</v>
      </c>
      <c r="AI148" s="135">
        <v>622.3088629544709</v>
      </c>
      <c r="AJ148" s="135">
        <v>-48.727757053059086</v>
      </c>
      <c r="AK148" s="135">
        <v>0</v>
      </c>
      <c r="AL148" s="135">
        <v>0</v>
      </c>
      <c r="AM148" s="135">
        <v>-72.231447574067118</v>
      </c>
      <c r="AN148" s="135">
        <v>221.2264280091722</v>
      </c>
      <c r="AO148" s="135">
        <v>0</v>
      </c>
      <c r="AP148" s="135">
        <v>165.52913139299517</v>
      </c>
      <c r="AQ148" s="135">
        <v>136.05339666961282</v>
      </c>
      <c r="AR148" s="135">
        <v>70.727688604446882</v>
      </c>
      <c r="AS148" s="135">
        <v>86.540472358657553</v>
      </c>
      <c r="AT148" s="135">
        <v>48.921250020564628</v>
      </c>
      <c r="AU148" s="135">
        <v>-46.141277935589855</v>
      </c>
      <c r="AV148" s="135">
        <v>1184.2067501904035</v>
      </c>
      <c r="AW148" s="135"/>
      <c r="AX148" s="164"/>
      <c r="AY148" s="132"/>
      <c r="AZ148" s="135"/>
      <c r="BA148" s="135"/>
    </row>
    <row r="149" spans="1:53" ht="16.5" x14ac:dyDescent="0.3">
      <c r="A149" s="165">
        <v>318</v>
      </c>
      <c r="B149" s="165">
        <v>1</v>
      </c>
      <c r="C149" s="166" t="s">
        <v>433</v>
      </c>
      <c r="D149" s="167">
        <v>4</v>
      </c>
      <c r="E149" s="163">
        <v>3887.68</v>
      </c>
      <c r="F149" s="135">
        <v>6001.1473989628776</v>
      </c>
      <c r="G149" s="135">
        <v>32.762773685076958</v>
      </c>
      <c r="H149" s="135">
        <v>0</v>
      </c>
      <c r="I149" s="135">
        <v>0</v>
      </c>
      <c r="J149" s="135">
        <v>93.499405815293443</v>
      </c>
      <c r="K149" s="135">
        <v>626.9339863363241</v>
      </c>
      <c r="L149" s="135">
        <v>0</v>
      </c>
      <c r="M149" s="135">
        <v>734.82258402978027</v>
      </c>
      <c r="N149" s="135">
        <v>0</v>
      </c>
      <c r="O149" s="135">
        <v>-67.96176125607046</v>
      </c>
      <c r="P149" s="135">
        <v>1397.5895217713394</v>
      </c>
      <c r="Q149" s="135">
        <v>427.96266668038527</v>
      </c>
      <c r="R149" s="135">
        <v>152.71137284961728</v>
      </c>
      <c r="S149" s="135">
        <v>9399.4679488746224</v>
      </c>
      <c r="T149" s="135"/>
      <c r="U149" s="135">
        <v>6630.0479977775949</v>
      </c>
      <c r="V149" s="135">
        <v>0</v>
      </c>
      <c r="W149" s="135">
        <v>0</v>
      </c>
      <c r="X149" s="135">
        <v>36.428603531502489</v>
      </c>
      <c r="Y149" s="135">
        <v>105.23885710758087</v>
      </c>
      <c r="Z149" s="135">
        <v>655.6727085229013</v>
      </c>
      <c r="AA149" s="135">
        <v>0</v>
      </c>
      <c r="AB149" s="135">
        <v>894.81107047135572</v>
      </c>
      <c r="AC149" s="135">
        <v>79.269345868891023</v>
      </c>
      <c r="AD149" s="135">
        <v>0</v>
      </c>
      <c r="AE149" s="135">
        <v>1530.4636130571448</v>
      </c>
      <c r="AF149" s="135">
        <v>447.93811990698822</v>
      </c>
      <c r="AG149" s="135">
        <v>105.68526473372295</v>
      </c>
      <c r="AH149" s="135">
        <v>10485.555580977685</v>
      </c>
      <c r="AI149" s="135">
        <v>628.90059881471734</v>
      </c>
      <c r="AJ149" s="135">
        <v>-32.762773685076958</v>
      </c>
      <c r="AK149" s="135">
        <v>0</v>
      </c>
      <c r="AL149" s="135">
        <v>36.428603531502489</v>
      </c>
      <c r="AM149" s="135">
        <v>11.739451292287427</v>
      </c>
      <c r="AN149" s="135">
        <v>28.738722186577206</v>
      </c>
      <c r="AO149" s="135">
        <v>0</v>
      </c>
      <c r="AP149" s="135">
        <v>159.98848644157545</v>
      </c>
      <c r="AQ149" s="135">
        <v>79.269345868891023</v>
      </c>
      <c r="AR149" s="135">
        <v>67.96176125607046</v>
      </c>
      <c r="AS149" s="135">
        <v>132.87409128580543</v>
      </c>
      <c r="AT149" s="135">
        <v>19.975453226602951</v>
      </c>
      <c r="AU149" s="135">
        <v>-47.026108115894331</v>
      </c>
      <c r="AV149" s="135">
        <v>1086.0876329711373</v>
      </c>
      <c r="AW149" s="135"/>
      <c r="AX149" s="164"/>
      <c r="AY149" s="132"/>
      <c r="AZ149" s="135"/>
      <c r="BA149" s="135"/>
    </row>
    <row r="150" spans="1:53" ht="16.5" x14ac:dyDescent="0.3">
      <c r="A150" s="165">
        <v>319</v>
      </c>
      <c r="B150" s="165">
        <v>1</v>
      </c>
      <c r="C150" s="166" t="s">
        <v>435</v>
      </c>
      <c r="D150" s="167">
        <v>6</v>
      </c>
      <c r="E150" s="163">
        <v>570.79999999999995</v>
      </c>
      <c r="F150" s="135">
        <v>6005.4950245269802</v>
      </c>
      <c r="G150" s="135">
        <v>45.926401541695874</v>
      </c>
      <c r="H150" s="135">
        <v>812.67375613174499</v>
      </c>
      <c r="I150" s="135">
        <v>0</v>
      </c>
      <c r="J150" s="135">
        <v>121.891783461808</v>
      </c>
      <c r="K150" s="135">
        <v>756.37796075683252</v>
      </c>
      <c r="L150" s="135">
        <v>0</v>
      </c>
      <c r="M150" s="135">
        <v>1485.3199989828945</v>
      </c>
      <c r="N150" s="135">
        <v>0</v>
      </c>
      <c r="O150" s="135">
        <v>-53.874789768745622</v>
      </c>
      <c r="P150" s="135">
        <v>679.96373160476537</v>
      </c>
      <c r="Q150" s="135">
        <v>700.39008409250187</v>
      </c>
      <c r="R150" s="135">
        <v>118.51301681850035</v>
      </c>
      <c r="S150" s="135">
        <v>10672.676968148975</v>
      </c>
      <c r="T150" s="135"/>
      <c r="U150" s="135">
        <v>6638.1779957953759</v>
      </c>
      <c r="V150" s="135">
        <v>0</v>
      </c>
      <c r="W150" s="135">
        <v>542.49719691660835</v>
      </c>
      <c r="X150" s="135">
        <v>0</v>
      </c>
      <c r="Y150" s="135">
        <v>66.618097407147872</v>
      </c>
      <c r="Z150" s="135">
        <v>898.1425893482832</v>
      </c>
      <c r="AA150" s="135">
        <v>0</v>
      </c>
      <c r="AB150" s="135">
        <v>1774.439865850992</v>
      </c>
      <c r="AC150" s="135">
        <v>112.94453092302723</v>
      </c>
      <c r="AD150" s="135">
        <v>0</v>
      </c>
      <c r="AE150" s="135">
        <v>680.18502873160492</v>
      </c>
      <c r="AF150" s="135">
        <v>724.5472201969535</v>
      </c>
      <c r="AG150" s="135">
        <v>72.132007708479335</v>
      </c>
      <c r="AH150" s="135">
        <v>11509.684532878471</v>
      </c>
      <c r="AI150" s="135">
        <v>632.6829712683957</v>
      </c>
      <c r="AJ150" s="135">
        <v>-45.926401541695874</v>
      </c>
      <c r="AK150" s="135">
        <v>-270.17655921513665</v>
      </c>
      <c r="AL150" s="135">
        <v>0</v>
      </c>
      <c r="AM150" s="135">
        <v>-55.273686054660132</v>
      </c>
      <c r="AN150" s="135">
        <v>141.76462859145067</v>
      </c>
      <c r="AO150" s="135">
        <v>0</v>
      </c>
      <c r="AP150" s="135">
        <v>289.11986686809746</v>
      </c>
      <c r="AQ150" s="135">
        <v>112.94453092302723</v>
      </c>
      <c r="AR150" s="135">
        <v>53.874789768745622</v>
      </c>
      <c r="AS150" s="135">
        <v>0.22129712683954494</v>
      </c>
      <c r="AT150" s="135">
        <v>24.157136104451638</v>
      </c>
      <c r="AU150" s="135">
        <v>-46.381009110021012</v>
      </c>
      <c r="AV150" s="135">
        <v>837.00757464100855</v>
      </c>
      <c r="AW150" s="135"/>
      <c r="AX150" s="164"/>
      <c r="AY150" s="132"/>
      <c r="AZ150" s="135"/>
      <c r="BA150" s="135"/>
    </row>
    <row r="151" spans="1:53" ht="16.5" x14ac:dyDescent="0.3">
      <c r="A151" s="165">
        <v>323</v>
      </c>
      <c r="B151" s="165">
        <v>2</v>
      </c>
      <c r="C151" s="166" t="s">
        <v>437</v>
      </c>
      <c r="D151" s="167">
        <v>6</v>
      </c>
      <c r="E151" s="163">
        <v>29.17</v>
      </c>
      <c r="F151" s="135">
        <v>6185.7031196434691</v>
      </c>
      <c r="G151" s="135">
        <v>0</v>
      </c>
      <c r="H151" s="135">
        <v>1737.2560850188547</v>
      </c>
      <c r="I151" s="135">
        <v>0</v>
      </c>
      <c r="J151" s="135">
        <v>90.358244772026055</v>
      </c>
      <c r="K151" s="135">
        <v>0</v>
      </c>
      <c r="L151" s="135">
        <v>0</v>
      </c>
      <c r="M151" s="135">
        <v>-1408.2392869386354</v>
      </c>
      <c r="N151" s="135">
        <v>0</v>
      </c>
      <c r="O151" s="135">
        <v>0</v>
      </c>
      <c r="P151" s="135">
        <v>204.84813164209802</v>
      </c>
      <c r="Q151" s="135">
        <v>767.52896811792925</v>
      </c>
      <c r="R151" s="135">
        <v>-218.60541652382582</v>
      </c>
      <c r="S151" s="135">
        <v>7358.8498457319165</v>
      </c>
      <c r="T151" s="135"/>
      <c r="U151" s="135">
        <v>6876.1357559136095</v>
      </c>
      <c r="V151" s="135">
        <v>0</v>
      </c>
      <c r="W151" s="135">
        <v>1523.0709633184779</v>
      </c>
      <c r="X151" s="135">
        <v>0</v>
      </c>
      <c r="Y151" s="135">
        <v>0</v>
      </c>
      <c r="Z151" s="135">
        <v>0</v>
      </c>
      <c r="AA151" s="135">
        <v>0</v>
      </c>
      <c r="AB151" s="135">
        <v>-495.07267742160366</v>
      </c>
      <c r="AC151" s="135">
        <v>0</v>
      </c>
      <c r="AD151" s="135">
        <v>37.528282482002055</v>
      </c>
      <c r="AE151" s="135">
        <v>200.07953376756939</v>
      </c>
      <c r="AF151" s="135">
        <v>707.42362181765691</v>
      </c>
      <c r="AG151" s="135">
        <v>-232.81453548165922</v>
      </c>
      <c r="AH151" s="135">
        <v>8616.350944396052</v>
      </c>
      <c r="AI151" s="135">
        <v>690.43263627014039</v>
      </c>
      <c r="AJ151" s="135">
        <v>0</v>
      </c>
      <c r="AK151" s="135">
        <v>-214.18512170037684</v>
      </c>
      <c r="AL151" s="135">
        <v>0</v>
      </c>
      <c r="AM151" s="135">
        <v>-90.358244772026055</v>
      </c>
      <c r="AN151" s="135">
        <v>0</v>
      </c>
      <c r="AO151" s="135">
        <v>0</v>
      </c>
      <c r="AP151" s="135">
        <v>913.1666095170317</v>
      </c>
      <c r="AQ151" s="135">
        <v>0</v>
      </c>
      <c r="AR151" s="135">
        <v>37.528282482002055</v>
      </c>
      <c r="AS151" s="135">
        <v>-4.7685978745286377</v>
      </c>
      <c r="AT151" s="135">
        <v>-60.105346300272345</v>
      </c>
      <c r="AU151" s="135">
        <v>-14.209118957833397</v>
      </c>
      <c r="AV151" s="135">
        <v>1257.5011036612195</v>
      </c>
      <c r="AW151" s="135"/>
      <c r="AX151" s="164"/>
      <c r="AY151" s="132"/>
      <c r="AZ151" s="135"/>
      <c r="BA151" s="135"/>
    </row>
    <row r="152" spans="1:53" ht="16.5" x14ac:dyDescent="0.3">
      <c r="A152" s="165">
        <v>330</v>
      </c>
      <c r="B152" s="165">
        <v>1</v>
      </c>
      <c r="C152" s="166" t="s">
        <v>438</v>
      </c>
      <c r="D152" s="167">
        <v>6</v>
      </c>
      <c r="E152" s="163">
        <v>324.74</v>
      </c>
      <c r="F152" s="135">
        <v>6263.5235573073842</v>
      </c>
      <c r="G152" s="135">
        <v>6.6783888649381034</v>
      </c>
      <c r="H152" s="135">
        <v>1970.9809693908974</v>
      </c>
      <c r="I152" s="135">
        <v>0</v>
      </c>
      <c r="J152" s="135">
        <v>85.991562480753842</v>
      </c>
      <c r="K152" s="135">
        <v>495.07729260331331</v>
      </c>
      <c r="L152" s="135">
        <v>0</v>
      </c>
      <c r="M152" s="135">
        <v>878.12165581549868</v>
      </c>
      <c r="N152" s="135">
        <v>0</v>
      </c>
      <c r="O152" s="135">
        <v>-68.242902013918822</v>
      </c>
      <c r="P152" s="135">
        <v>475.52119233848612</v>
      </c>
      <c r="Q152" s="135">
        <v>1206.2105376608979</v>
      </c>
      <c r="R152" s="135">
        <v>91.973240130565983</v>
      </c>
      <c r="S152" s="135">
        <v>11405.835494578818</v>
      </c>
      <c r="T152" s="135"/>
      <c r="U152" s="135">
        <v>6955.8953008560693</v>
      </c>
      <c r="V152" s="135">
        <v>0</v>
      </c>
      <c r="W152" s="135">
        <v>1651.6521216973579</v>
      </c>
      <c r="X152" s="135">
        <v>0</v>
      </c>
      <c r="Y152" s="135">
        <v>0</v>
      </c>
      <c r="Z152" s="135">
        <v>607.05761719886459</v>
      </c>
      <c r="AA152" s="135">
        <v>0</v>
      </c>
      <c r="AB152" s="135">
        <v>998.99691483900324</v>
      </c>
      <c r="AC152" s="135">
        <v>106.85808180836079</v>
      </c>
      <c r="AD152" s="135">
        <v>0</v>
      </c>
      <c r="AE152" s="135">
        <v>508.29113282010218</v>
      </c>
      <c r="AF152" s="135">
        <v>1172.9719342324061</v>
      </c>
      <c r="AG152" s="135">
        <v>46.328970869002895</v>
      </c>
      <c r="AH152" s="135">
        <v>12048.052074321167</v>
      </c>
      <c r="AI152" s="135">
        <v>692.37174354868512</v>
      </c>
      <c r="AJ152" s="135">
        <v>-6.6783888649381034</v>
      </c>
      <c r="AK152" s="135">
        <v>-319.3288476935395</v>
      </c>
      <c r="AL152" s="135">
        <v>0</v>
      </c>
      <c r="AM152" s="135">
        <v>-85.991562480753842</v>
      </c>
      <c r="AN152" s="135">
        <v>111.98032459555128</v>
      </c>
      <c r="AO152" s="135">
        <v>0</v>
      </c>
      <c r="AP152" s="135">
        <v>120.87525902350455</v>
      </c>
      <c r="AQ152" s="135">
        <v>106.85808180836079</v>
      </c>
      <c r="AR152" s="135">
        <v>68.242902013918822</v>
      </c>
      <c r="AS152" s="135">
        <v>32.769940481616061</v>
      </c>
      <c r="AT152" s="135">
        <v>-33.238603428491842</v>
      </c>
      <c r="AU152" s="135">
        <v>-45.644269261563089</v>
      </c>
      <c r="AV152" s="135">
        <v>642.21658158296486</v>
      </c>
      <c r="AW152" s="135"/>
      <c r="AX152" s="164"/>
      <c r="AY152" s="132"/>
      <c r="AZ152" s="135"/>
      <c r="BA152" s="135"/>
    </row>
    <row r="153" spans="1:53" ht="16.5" x14ac:dyDescent="0.3">
      <c r="A153" s="165">
        <v>332</v>
      </c>
      <c r="B153" s="165">
        <v>1</v>
      </c>
      <c r="C153" s="166" t="s">
        <v>440</v>
      </c>
      <c r="D153" s="167">
        <v>5</v>
      </c>
      <c r="E153" s="163">
        <v>1742.15</v>
      </c>
      <c r="F153" s="135">
        <v>5998.1169474499893</v>
      </c>
      <c r="G153" s="135">
        <v>0</v>
      </c>
      <c r="H153" s="135">
        <v>146.62847056797634</v>
      </c>
      <c r="I153" s="135">
        <v>0</v>
      </c>
      <c r="J153" s="135">
        <v>148.03545618919151</v>
      </c>
      <c r="K153" s="135">
        <v>587.90499095944665</v>
      </c>
      <c r="L153" s="135">
        <v>0</v>
      </c>
      <c r="M153" s="135">
        <v>728.90644073359454</v>
      </c>
      <c r="N153" s="135">
        <v>0</v>
      </c>
      <c r="O153" s="135">
        <v>-46.028539448382737</v>
      </c>
      <c r="P153" s="135">
        <v>810.26157793530967</v>
      </c>
      <c r="Q153" s="135">
        <v>152.85783084120197</v>
      </c>
      <c r="R153" s="135">
        <v>105.79033378296933</v>
      </c>
      <c r="S153" s="135">
        <v>8632.4735090112954</v>
      </c>
      <c r="T153" s="135"/>
      <c r="U153" s="135">
        <v>6636.1595959016149</v>
      </c>
      <c r="V153" s="135">
        <v>0</v>
      </c>
      <c r="W153" s="135">
        <v>0</v>
      </c>
      <c r="X153" s="135">
        <v>0</v>
      </c>
      <c r="Y153" s="135">
        <v>104.90256292512126</v>
      </c>
      <c r="Z153" s="135">
        <v>678.17753924748149</v>
      </c>
      <c r="AA153" s="135">
        <v>0</v>
      </c>
      <c r="AB153" s="135">
        <v>874.18796863407852</v>
      </c>
      <c r="AC153" s="135">
        <v>81.075622468271604</v>
      </c>
      <c r="AD153" s="135">
        <v>0</v>
      </c>
      <c r="AE153" s="135">
        <v>915.77429795826993</v>
      </c>
      <c r="AF153" s="135">
        <v>158.26649829233992</v>
      </c>
      <c r="AG153" s="135">
        <v>57.999661338001893</v>
      </c>
      <c r="AH153" s="135">
        <v>9506.5437467651809</v>
      </c>
      <c r="AI153" s="135">
        <v>638.04264845162561</v>
      </c>
      <c r="AJ153" s="135">
        <v>0</v>
      </c>
      <c r="AK153" s="135">
        <v>-146.62847056797634</v>
      </c>
      <c r="AL153" s="135">
        <v>0</v>
      </c>
      <c r="AM153" s="135">
        <v>-43.132893264070248</v>
      </c>
      <c r="AN153" s="135">
        <v>90.272548288034841</v>
      </c>
      <c r="AO153" s="135">
        <v>0</v>
      </c>
      <c r="AP153" s="135">
        <v>145.28152790048398</v>
      </c>
      <c r="AQ153" s="135">
        <v>81.075622468271604</v>
      </c>
      <c r="AR153" s="135">
        <v>46.028539448382737</v>
      </c>
      <c r="AS153" s="135">
        <v>105.51272002296025</v>
      </c>
      <c r="AT153" s="135">
        <v>5.4086674511379442</v>
      </c>
      <c r="AU153" s="135">
        <v>-47.790672444967434</v>
      </c>
      <c r="AV153" s="135">
        <v>874.07024139279156</v>
      </c>
      <c r="AW153" s="135"/>
      <c r="AX153" s="164"/>
      <c r="AY153" s="132"/>
      <c r="AZ153" s="135"/>
      <c r="BA153" s="135"/>
    </row>
    <row r="154" spans="1:53" ht="16.5" x14ac:dyDescent="0.3">
      <c r="A154" s="165">
        <v>333</v>
      </c>
      <c r="B154" s="165">
        <v>1</v>
      </c>
      <c r="C154" s="166" t="s">
        <v>442</v>
      </c>
      <c r="D154" s="167">
        <v>6</v>
      </c>
      <c r="E154" s="163">
        <v>542.14</v>
      </c>
      <c r="F154" s="135">
        <v>6021.6587597299595</v>
      </c>
      <c r="G154" s="135">
        <v>43.064540524587741</v>
      </c>
      <c r="H154" s="135">
        <v>0</v>
      </c>
      <c r="I154" s="135">
        <v>0</v>
      </c>
      <c r="J154" s="135">
        <v>192.61093075589332</v>
      </c>
      <c r="K154" s="135">
        <v>960.182720330542</v>
      </c>
      <c r="L154" s="135">
        <v>0</v>
      </c>
      <c r="M154" s="135">
        <v>776.6847797605526</v>
      </c>
      <c r="N154" s="135">
        <v>0</v>
      </c>
      <c r="O154" s="135">
        <v>-62.688327738222597</v>
      </c>
      <c r="P154" s="135">
        <v>1576.5999555201872</v>
      </c>
      <c r="Q154" s="135">
        <v>409.55116759508621</v>
      </c>
      <c r="R154" s="135">
        <v>99.487494005238517</v>
      </c>
      <c r="S154" s="135">
        <v>10017.152020483823</v>
      </c>
      <c r="T154" s="135"/>
      <c r="U154" s="135">
        <v>6669.8934592540672</v>
      </c>
      <c r="V154" s="135">
        <v>0</v>
      </c>
      <c r="W154" s="135">
        <v>0</v>
      </c>
      <c r="X154" s="135">
        <v>0</v>
      </c>
      <c r="Y154" s="135">
        <v>104.61319954255359</v>
      </c>
      <c r="Z154" s="135">
        <v>1109.5990067100649</v>
      </c>
      <c r="AA154" s="135">
        <v>0</v>
      </c>
      <c r="AB154" s="135">
        <v>975.53416795197313</v>
      </c>
      <c r="AC154" s="135">
        <v>51.626988775822483</v>
      </c>
      <c r="AD154" s="135">
        <v>0</v>
      </c>
      <c r="AE154" s="135">
        <v>1606.5496477346392</v>
      </c>
      <c r="AF154" s="135">
        <v>442.62368714723141</v>
      </c>
      <c r="AG154" s="135">
        <v>48.043697199985246</v>
      </c>
      <c r="AH154" s="135">
        <v>11008.483854316339</v>
      </c>
      <c r="AI154" s="135">
        <v>648.23469952410778</v>
      </c>
      <c r="AJ154" s="135">
        <v>-43.064540524587741</v>
      </c>
      <c r="AK154" s="135">
        <v>0</v>
      </c>
      <c r="AL154" s="135">
        <v>0</v>
      </c>
      <c r="AM154" s="135">
        <v>-87.997731213339733</v>
      </c>
      <c r="AN154" s="135">
        <v>149.41628637952294</v>
      </c>
      <c r="AO154" s="135">
        <v>0</v>
      </c>
      <c r="AP154" s="135">
        <v>198.84938819142053</v>
      </c>
      <c r="AQ154" s="135">
        <v>51.626988775822483</v>
      </c>
      <c r="AR154" s="135">
        <v>62.688327738222597</v>
      </c>
      <c r="AS154" s="135">
        <v>29.949692214451943</v>
      </c>
      <c r="AT154" s="135">
        <v>33.072519552145195</v>
      </c>
      <c r="AU154" s="135">
        <v>-51.443796805253271</v>
      </c>
      <c r="AV154" s="135">
        <v>991.33184172470271</v>
      </c>
      <c r="AW154" s="135"/>
      <c r="AX154" s="132"/>
      <c r="AY154" s="132"/>
      <c r="AZ154" s="155"/>
      <c r="BA154" s="155"/>
    </row>
    <row r="155" spans="1:53" ht="16.5" x14ac:dyDescent="0.3">
      <c r="A155" s="165">
        <v>345</v>
      </c>
      <c r="B155" s="165">
        <v>1</v>
      </c>
      <c r="C155" s="166" t="s">
        <v>382</v>
      </c>
      <c r="D155" s="167">
        <v>5</v>
      </c>
      <c r="E155" s="163">
        <v>1518.6799999999998</v>
      </c>
      <c r="F155" s="135">
        <v>6055.0627650327924</v>
      </c>
      <c r="G155" s="135">
        <v>0</v>
      </c>
      <c r="H155" s="135">
        <v>610.3026575710486</v>
      </c>
      <c r="I155" s="135">
        <v>0</v>
      </c>
      <c r="J155" s="135">
        <v>131.30120894460981</v>
      </c>
      <c r="K155" s="135">
        <v>263.19311507361658</v>
      </c>
      <c r="L155" s="135">
        <v>93.224633234124383</v>
      </c>
      <c r="M155" s="135">
        <v>641.75310853303131</v>
      </c>
      <c r="N155" s="135">
        <v>0</v>
      </c>
      <c r="O155" s="135">
        <v>-50.030302631232395</v>
      </c>
      <c r="P155" s="135">
        <v>1287.4789495388854</v>
      </c>
      <c r="Q155" s="135">
        <v>144.35251007453843</v>
      </c>
      <c r="R155" s="135">
        <v>104.00060578923802</v>
      </c>
      <c r="S155" s="135">
        <v>9280.6392511606537</v>
      </c>
      <c r="T155" s="135"/>
      <c r="U155" s="135">
        <v>6701.5177654278723</v>
      </c>
      <c r="V155" s="135">
        <v>0</v>
      </c>
      <c r="W155" s="135">
        <v>291.18626702136072</v>
      </c>
      <c r="X155" s="135">
        <v>0</v>
      </c>
      <c r="Y155" s="135">
        <v>85.574281612979703</v>
      </c>
      <c r="Z155" s="135">
        <v>297.9442637445872</v>
      </c>
      <c r="AA155" s="135">
        <v>70.591645376247797</v>
      </c>
      <c r="AB155" s="135">
        <v>782.32272374242768</v>
      </c>
      <c r="AC155" s="135">
        <v>55.305389129206283</v>
      </c>
      <c r="AD155" s="135">
        <v>0</v>
      </c>
      <c r="AE155" s="135">
        <v>1363.4291093445813</v>
      </c>
      <c r="AF155" s="135">
        <v>141.82752126847001</v>
      </c>
      <c r="AG155" s="135">
        <v>57.300537308715462</v>
      </c>
      <c r="AH155" s="135">
        <v>9846.9995039764472</v>
      </c>
      <c r="AI155" s="135">
        <v>646.45500039507988</v>
      </c>
      <c r="AJ155" s="135">
        <v>0</v>
      </c>
      <c r="AK155" s="135">
        <v>-319.11639054968788</v>
      </c>
      <c r="AL155" s="135">
        <v>0</v>
      </c>
      <c r="AM155" s="135">
        <v>-45.726927331630108</v>
      </c>
      <c r="AN155" s="135">
        <v>34.751148670970622</v>
      </c>
      <c r="AO155" s="135">
        <v>-22.632987857876586</v>
      </c>
      <c r="AP155" s="135">
        <v>140.56961520939637</v>
      </c>
      <c r="AQ155" s="135">
        <v>55.305389129206283</v>
      </c>
      <c r="AR155" s="135">
        <v>50.030302631232395</v>
      </c>
      <c r="AS155" s="135">
        <v>75.950159805695876</v>
      </c>
      <c r="AT155" s="135">
        <v>-2.5249888060684214</v>
      </c>
      <c r="AU155" s="135">
        <v>-46.70006848052256</v>
      </c>
      <c r="AV155" s="135">
        <v>566.36025566972035</v>
      </c>
      <c r="AW155" s="135"/>
      <c r="AX155" s="164"/>
      <c r="AY155" s="132"/>
      <c r="AZ155" s="135"/>
      <c r="BA155" s="135"/>
    </row>
    <row r="156" spans="1:53" ht="16.5" x14ac:dyDescent="0.3">
      <c r="A156" s="165">
        <v>347</v>
      </c>
      <c r="B156" s="165">
        <v>1</v>
      </c>
      <c r="C156" s="166" t="s">
        <v>445</v>
      </c>
      <c r="D156" s="167">
        <v>4</v>
      </c>
      <c r="E156" s="163">
        <v>4078.8100000000004</v>
      </c>
      <c r="F156" s="135">
        <v>5985.2615248074799</v>
      </c>
      <c r="G156" s="135">
        <v>35.093522375398706</v>
      </c>
      <c r="H156" s="135">
        <v>828.79462147047786</v>
      </c>
      <c r="I156" s="135">
        <v>0</v>
      </c>
      <c r="J156" s="135">
        <v>120.32392045719216</v>
      </c>
      <c r="K156" s="135">
        <v>1175.810025473116</v>
      </c>
      <c r="L156" s="135">
        <v>142.27308639039325</v>
      </c>
      <c r="M156" s="135">
        <v>1013.7741180675098</v>
      </c>
      <c r="N156" s="135">
        <v>0</v>
      </c>
      <c r="O156" s="135">
        <v>-68.948249612019183</v>
      </c>
      <c r="P156" s="135">
        <v>981.81423699559423</v>
      </c>
      <c r="Q156" s="135">
        <v>96.01166026365533</v>
      </c>
      <c r="R156" s="135">
        <v>99.788722691177071</v>
      </c>
      <c r="S156" s="135">
        <v>10409.997189379974</v>
      </c>
      <c r="T156" s="135"/>
      <c r="U156" s="135">
        <v>6610.9833505360621</v>
      </c>
      <c r="V156" s="135">
        <v>0</v>
      </c>
      <c r="W156" s="135">
        <v>339.20640824161944</v>
      </c>
      <c r="X156" s="135">
        <v>249.31596971910923</v>
      </c>
      <c r="Y156" s="135">
        <v>80.707213623581382</v>
      </c>
      <c r="Z156" s="135">
        <v>1277.7131295647505</v>
      </c>
      <c r="AA156" s="135">
        <v>219.20471166835424</v>
      </c>
      <c r="AB156" s="135">
        <v>1326.3828908372359</v>
      </c>
      <c r="AC156" s="135">
        <v>102.55467861330386</v>
      </c>
      <c r="AD156" s="135">
        <v>0</v>
      </c>
      <c r="AE156" s="135">
        <v>1096.0640429438977</v>
      </c>
      <c r="AF156" s="135">
        <v>102.60665978557471</v>
      </c>
      <c r="AG156" s="135">
        <v>52.134779506767899</v>
      </c>
      <c r="AH156" s="135">
        <v>11456.873835040256</v>
      </c>
      <c r="AI156" s="135">
        <v>625.72182572858219</v>
      </c>
      <c r="AJ156" s="135">
        <v>-35.093522375398706</v>
      </c>
      <c r="AK156" s="135">
        <v>-489.58821322885842</v>
      </c>
      <c r="AL156" s="135">
        <v>249.31596971910923</v>
      </c>
      <c r="AM156" s="135">
        <v>-39.616706833610777</v>
      </c>
      <c r="AN156" s="135">
        <v>101.90310409163453</v>
      </c>
      <c r="AO156" s="135">
        <v>76.93162527796099</v>
      </c>
      <c r="AP156" s="135">
        <v>312.6087727697261</v>
      </c>
      <c r="AQ156" s="135">
        <v>102.55467861330386</v>
      </c>
      <c r="AR156" s="135">
        <v>68.948249612019183</v>
      </c>
      <c r="AS156" s="135">
        <v>114.24980594830345</v>
      </c>
      <c r="AT156" s="135">
        <v>6.5949995219193767</v>
      </c>
      <c r="AU156" s="135">
        <v>-47.653943184409172</v>
      </c>
      <c r="AV156" s="135">
        <v>1046.8766513756275</v>
      </c>
      <c r="AW156" s="135"/>
      <c r="AX156" s="164"/>
      <c r="AY156" s="132"/>
      <c r="AZ156" s="135"/>
      <c r="BA156" s="135"/>
    </row>
    <row r="157" spans="1:53" ht="16.5" x14ac:dyDescent="0.3">
      <c r="A157" s="165">
        <v>356</v>
      </c>
      <c r="B157" s="165">
        <v>1</v>
      </c>
      <c r="C157" s="166" t="s">
        <v>447</v>
      </c>
      <c r="D157" s="167">
        <v>6</v>
      </c>
      <c r="E157" s="163">
        <v>153.19999999999999</v>
      </c>
      <c r="F157" s="135">
        <v>6201.2835509138386</v>
      </c>
      <c r="G157" s="135">
        <v>0</v>
      </c>
      <c r="H157" s="135">
        <v>2577.3579634464754</v>
      </c>
      <c r="I157" s="135">
        <v>0</v>
      </c>
      <c r="J157" s="135">
        <v>54.605483028720627</v>
      </c>
      <c r="K157" s="135">
        <v>496.59516971279379</v>
      </c>
      <c r="L157" s="135">
        <v>0</v>
      </c>
      <c r="M157" s="135">
        <v>1068.9910102236552</v>
      </c>
      <c r="N157" s="135">
        <v>0</v>
      </c>
      <c r="O157" s="135">
        <v>-64.300326370757176</v>
      </c>
      <c r="P157" s="135">
        <v>439.52109660574416</v>
      </c>
      <c r="Q157" s="135">
        <v>2354.4639686684077</v>
      </c>
      <c r="R157" s="135">
        <v>102.1054177545692</v>
      </c>
      <c r="S157" s="135">
        <v>13230.623333983445</v>
      </c>
      <c r="T157" s="135"/>
      <c r="U157" s="135">
        <v>6889.5845953002627</v>
      </c>
      <c r="V157" s="135">
        <v>0</v>
      </c>
      <c r="W157" s="135">
        <v>2255.9875979112271</v>
      </c>
      <c r="X157" s="135">
        <v>0</v>
      </c>
      <c r="Y157" s="135">
        <v>0</v>
      </c>
      <c r="Z157" s="135">
        <v>615.11194516971284</v>
      </c>
      <c r="AA157" s="135">
        <v>0</v>
      </c>
      <c r="AB157" s="135">
        <v>1175.5564076208868</v>
      </c>
      <c r="AC157" s="135">
        <v>104.27463718638802</v>
      </c>
      <c r="AD157" s="135">
        <v>0</v>
      </c>
      <c r="AE157" s="135">
        <v>492.44944037206272</v>
      </c>
      <c r="AF157" s="135">
        <v>2323.6494759275802</v>
      </c>
      <c r="AG157" s="135">
        <v>49.175783289817232</v>
      </c>
      <c r="AH157" s="135">
        <v>13905.789882777937</v>
      </c>
      <c r="AI157" s="135">
        <v>688.30104438642411</v>
      </c>
      <c r="AJ157" s="135">
        <v>0</v>
      </c>
      <c r="AK157" s="135">
        <v>-321.37036553524831</v>
      </c>
      <c r="AL157" s="135">
        <v>0</v>
      </c>
      <c r="AM157" s="135">
        <v>-54.605483028720627</v>
      </c>
      <c r="AN157" s="135">
        <v>118.51677545691905</v>
      </c>
      <c r="AO157" s="135">
        <v>0</v>
      </c>
      <c r="AP157" s="135">
        <v>106.56539739723166</v>
      </c>
      <c r="AQ157" s="135">
        <v>104.27463718638802</v>
      </c>
      <c r="AR157" s="135">
        <v>64.300326370757176</v>
      </c>
      <c r="AS157" s="135">
        <v>52.928343766318562</v>
      </c>
      <c r="AT157" s="135">
        <v>-30.814492740827518</v>
      </c>
      <c r="AU157" s="135">
        <v>-52.92963446475197</v>
      </c>
      <c r="AV157" s="135">
        <v>675.16655472664672</v>
      </c>
      <c r="AW157" s="135"/>
      <c r="AX157" s="164"/>
      <c r="AY157" s="132"/>
      <c r="AZ157" s="135"/>
      <c r="BA157" s="135"/>
    </row>
    <row r="158" spans="1:53" ht="16.5" x14ac:dyDescent="0.3">
      <c r="A158" s="165">
        <v>361</v>
      </c>
      <c r="B158" s="165">
        <v>1</v>
      </c>
      <c r="C158" s="166" t="s">
        <v>449</v>
      </c>
      <c r="D158" s="167">
        <v>5</v>
      </c>
      <c r="E158" s="163">
        <v>1179.6299999999999</v>
      </c>
      <c r="F158" s="135">
        <v>6079.720454718853</v>
      </c>
      <c r="G158" s="135">
        <v>2.6301976043335622</v>
      </c>
      <c r="H158" s="135">
        <v>823.12535286488151</v>
      </c>
      <c r="I158" s="135">
        <v>0</v>
      </c>
      <c r="J158" s="135">
        <v>121.72242991446471</v>
      </c>
      <c r="K158" s="135">
        <v>381.99609199494768</v>
      </c>
      <c r="L158" s="135">
        <v>0</v>
      </c>
      <c r="M158" s="135">
        <v>659.54131605213172</v>
      </c>
      <c r="N158" s="135">
        <v>0</v>
      </c>
      <c r="O158" s="135">
        <v>-73.94570331375094</v>
      </c>
      <c r="P158" s="135">
        <v>928.96010952586835</v>
      </c>
      <c r="Q158" s="135">
        <v>231.8999008163577</v>
      </c>
      <c r="R158" s="135">
        <v>201.53007298898808</v>
      </c>
      <c r="S158" s="135">
        <v>9357.1802231670754</v>
      </c>
      <c r="T158" s="135"/>
      <c r="U158" s="135">
        <v>6742.0355535210201</v>
      </c>
      <c r="V158" s="135">
        <v>0</v>
      </c>
      <c r="W158" s="135">
        <v>505.97444113832307</v>
      </c>
      <c r="X158" s="135">
        <v>0</v>
      </c>
      <c r="Y158" s="135">
        <v>70.451717911548542</v>
      </c>
      <c r="Z158" s="135">
        <v>473.32568149702053</v>
      </c>
      <c r="AA158" s="135">
        <v>0</v>
      </c>
      <c r="AB158" s="135">
        <v>944.7335723084251</v>
      </c>
      <c r="AC158" s="135">
        <v>69.107143166289902</v>
      </c>
      <c r="AD158" s="135">
        <v>0</v>
      </c>
      <c r="AE158" s="135">
        <v>967.23936474996412</v>
      </c>
      <c r="AF158" s="135">
        <v>265.47988776141671</v>
      </c>
      <c r="AG158" s="135">
        <v>152.1947559828082</v>
      </c>
      <c r="AH158" s="135">
        <v>10190.542118036818</v>
      </c>
      <c r="AI158" s="135">
        <v>662.31509880216709</v>
      </c>
      <c r="AJ158" s="135">
        <v>-2.6301976043335622</v>
      </c>
      <c r="AK158" s="135">
        <v>-317.15091172655843</v>
      </c>
      <c r="AL158" s="135">
        <v>0</v>
      </c>
      <c r="AM158" s="135">
        <v>-51.27071200291617</v>
      </c>
      <c r="AN158" s="135">
        <v>91.329589502072849</v>
      </c>
      <c r="AO158" s="135">
        <v>0</v>
      </c>
      <c r="AP158" s="135">
        <v>285.19225625629338</v>
      </c>
      <c r="AQ158" s="135">
        <v>69.107143166289902</v>
      </c>
      <c r="AR158" s="135">
        <v>73.94570331375094</v>
      </c>
      <c r="AS158" s="135">
        <v>38.279255224095778</v>
      </c>
      <c r="AT158" s="135">
        <v>33.579986945059005</v>
      </c>
      <c r="AU158" s="135">
        <v>-49.335317006179878</v>
      </c>
      <c r="AV158" s="135">
        <v>833.36189610324664</v>
      </c>
      <c r="AW158" s="135"/>
      <c r="AX158" s="164"/>
      <c r="AY158" s="132"/>
      <c r="AZ158" s="135"/>
      <c r="BA158" s="135"/>
    </row>
    <row r="159" spans="1:53" ht="16.5" x14ac:dyDescent="0.3">
      <c r="A159" s="165">
        <v>362</v>
      </c>
      <c r="B159" s="165">
        <v>1</v>
      </c>
      <c r="C159" s="166" t="s">
        <v>451</v>
      </c>
      <c r="D159" s="167">
        <v>6</v>
      </c>
      <c r="E159" s="163">
        <v>320.59000000000003</v>
      </c>
      <c r="F159" s="135">
        <v>6023.1046508000873</v>
      </c>
      <c r="G159" s="135">
        <v>5.2690664088087589</v>
      </c>
      <c r="H159" s="135">
        <v>104.97860195264978</v>
      </c>
      <c r="I159" s="135">
        <v>0</v>
      </c>
      <c r="J159" s="135">
        <v>135.36903833556877</v>
      </c>
      <c r="K159" s="135">
        <v>379.49886147415702</v>
      </c>
      <c r="L159" s="135">
        <v>0</v>
      </c>
      <c r="M159" s="135">
        <v>804.33287735939678</v>
      </c>
      <c r="N159" s="135">
        <v>0</v>
      </c>
      <c r="O159" s="135">
        <v>-56.78311862503508</v>
      </c>
      <c r="P159" s="135">
        <v>1476.7494396492182</v>
      </c>
      <c r="Q159" s="135">
        <v>2762.6997722948308</v>
      </c>
      <c r="R159" s="135">
        <v>258.27377647462492</v>
      </c>
      <c r="S159" s="135">
        <v>11893.492966124308</v>
      </c>
      <c r="T159" s="135"/>
      <c r="U159" s="135">
        <v>6671.2124520415473</v>
      </c>
      <c r="V159" s="135">
        <v>0</v>
      </c>
      <c r="W159" s="135">
        <v>0</v>
      </c>
      <c r="X159" s="135">
        <v>0</v>
      </c>
      <c r="Y159" s="135">
        <v>105.89226114351663</v>
      </c>
      <c r="Z159" s="135">
        <v>476.94438379238278</v>
      </c>
      <c r="AA159" s="135">
        <v>0</v>
      </c>
      <c r="AB159" s="135">
        <v>904.46506390870388</v>
      </c>
      <c r="AC159" s="135">
        <v>40.146137894077178</v>
      </c>
      <c r="AD159" s="135">
        <v>0</v>
      </c>
      <c r="AE159" s="135">
        <v>1515.370551616885</v>
      </c>
      <c r="AF159" s="135">
        <v>2728.9058227708451</v>
      </c>
      <c r="AG159" s="135">
        <v>244.43816089085749</v>
      </c>
      <c r="AH159" s="135">
        <v>12687.374834058814</v>
      </c>
      <c r="AI159" s="135">
        <v>648.10780124146004</v>
      </c>
      <c r="AJ159" s="135">
        <v>-5.2690664088087589</v>
      </c>
      <c r="AK159" s="135">
        <v>-104.97860195264978</v>
      </c>
      <c r="AL159" s="135">
        <v>0</v>
      </c>
      <c r="AM159" s="135">
        <v>-29.47677719205214</v>
      </c>
      <c r="AN159" s="135">
        <v>97.445522318225755</v>
      </c>
      <c r="AO159" s="135">
        <v>0</v>
      </c>
      <c r="AP159" s="135">
        <v>100.13218654930711</v>
      </c>
      <c r="AQ159" s="135">
        <v>40.146137894077178</v>
      </c>
      <c r="AR159" s="135">
        <v>56.78311862503508</v>
      </c>
      <c r="AS159" s="135">
        <v>38.62111196766682</v>
      </c>
      <c r="AT159" s="135">
        <v>-33.793949523985702</v>
      </c>
      <c r="AU159" s="135">
        <v>-13.835615583767435</v>
      </c>
      <c r="AV159" s="135">
        <v>793.88187063293401</v>
      </c>
      <c r="AW159" s="135"/>
      <c r="AX159" s="164"/>
      <c r="AY159" s="132"/>
      <c r="AZ159" s="135"/>
      <c r="BA159" s="135"/>
    </row>
    <row r="160" spans="1:53" ht="16.5" x14ac:dyDescent="0.3">
      <c r="A160" s="165">
        <v>363</v>
      </c>
      <c r="B160" s="165">
        <v>1</v>
      </c>
      <c r="C160" s="166" t="s">
        <v>453</v>
      </c>
      <c r="D160" s="167">
        <v>6</v>
      </c>
      <c r="E160" s="163">
        <v>346.91</v>
      </c>
      <c r="F160" s="135">
        <v>6180.3755440892446</v>
      </c>
      <c r="G160" s="135">
        <v>0</v>
      </c>
      <c r="H160" s="135">
        <v>348.42365455017148</v>
      </c>
      <c r="I160" s="135">
        <v>0</v>
      </c>
      <c r="J160" s="135">
        <v>209.69185091234036</v>
      </c>
      <c r="K160" s="135">
        <v>949.57337638004083</v>
      </c>
      <c r="L160" s="135">
        <v>0</v>
      </c>
      <c r="M160" s="135">
        <v>1442.6289558071255</v>
      </c>
      <c r="N160" s="135">
        <v>0</v>
      </c>
      <c r="O160" s="135">
        <v>-73.091320515407446</v>
      </c>
      <c r="P160" s="135">
        <v>827.14781223619138</v>
      </c>
      <c r="Q160" s="135">
        <v>4426.5778155717626</v>
      </c>
      <c r="R160" s="135">
        <v>256.82217289786973</v>
      </c>
      <c r="S160" s="135">
        <v>14568.14986192934</v>
      </c>
      <c r="T160" s="135"/>
      <c r="U160" s="135">
        <v>6874.0407598512575</v>
      </c>
      <c r="V160" s="135">
        <v>0</v>
      </c>
      <c r="W160" s="135">
        <v>27.886858262950042</v>
      </c>
      <c r="X160" s="135">
        <v>0</v>
      </c>
      <c r="Y160" s="135">
        <v>104.85422732120723</v>
      </c>
      <c r="Z160" s="135">
        <v>1129.1245279755556</v>
      </c>
      <c r="AA160" s="135">
        <v>0</v>
      </c>
      <c r="AB160" s="135">
        <v>1497.5558246318462</v>
      </c>
      <c r="AC160" s="135">
        <v>87.327709477744662</v>
      </c>
      <c r="AD160" s="135">
        <v>0</v>
      </c>
      <c r="AE160" s="135">
        <v>986.45544315899144</v>
      </c>
      <c r="AF160" s="135">
        <v>4344.2290870345551</v>
      </c>
      <c r="AG160" s="135">
        <v>242.62529186244268</v>
      </c>
      <c r="AH160" s="135">
        <v>15294.09972957655</v>
      </c>
      <c r="AI160" s="135">
        <v>693.66521576201285</v>
      </c>
      <c r="AJ160" s="135">
        <v>0</v>
      </c>
      <c r="AK160" s="135">
        <v>-320.53679628722142</v>
      </c>
      <c r="AL160" s="135">
        <v>0</v>
      </c>
      <c r="AM160" s="135">
        <v>-104.83762359113312</v>
      </c>
      <c r="AN160" s="135">
        <v>179.55115159551474</v>
      </c>
      <c r="AO160" s="135">
        <v>0</v>
      </c>
      <c r="AP160" s="135">
        <v>54.926868824720714</v>
      </c>
      <c r="AQ160" s="135">
        <v>87.327709477744662</v>
      </c>
      <c r="AR160" s="135">
        <v>73.091320515407446</v>
      </c>
      <c r="AS160" s="135">
        <v>159.30763092280006</v>
      </c>
      <c r="AT160" s="135">
        <v>-82.348728537207535</v>
      </c>
      <c r="AU160" s="135">
        <v>-14.196881035427054</v>
      </c>
      <c r="AV160" s="135">
        <v>725.94987395760984</v>
      </c>
      <c r="AW160" s="135"/>
      <c r="AX160" s="164"/>
      <c r="AY160" s="132"/>
      <c r="AZ160" s="135"/>
      <c r="BA160" s="135"/>
    </row>
    <row r="161" spans="1:53" ht="16.5" x14ac:dyDescent="0.3">
      <c r="A161" s="165">
        <v>378</v>
      </c>
      <c r="B161" s="165">
        <v>1</v>
      </c>
      <c r="C161" s="166" t="s">
        <v>350</v>
      </c>
      <c r="D161" s="167">
        <v>6</v>
      </c>
      <c r="E161" s="163">
        <v>510.19</v>
      </c>
      <c r="F161" s="135">
        <v>6051.4396597346085</v>
      </c>
      <c r="G161" s="135">
        <v>37.601403398733808</v>
      </c>
      <c r="H161" s="135">
        <v>1127.5130441600188</v>
      </c>
      <c r="I161" s="135">
        <v>0</v>
      </c>
      <c r="J161" s="135">
        <v>111.76165742174484</v>
      </c>
      <c r="K161" s="135">
        <v>543.30888492522399</v>
      </c>
      <c r="L161" s="135">
        <v>97.856684764499505</v>
      </c>
      <c r="M161" s="135">
        <v>1078.1259532027875</v>
      </c>
      <c r="N161" s="135">
        <v>0</v>
      </c>
      <c r="O161" s="135">
        <v>-68.883513984985981</v>
      </c>
      <c r="P161" s="135">
        <v>1538.5619553499678</v>
      </c>
      <c r="Q161" s="135">
        <v>534.63264666104783</v>
      </c>
      <c r="R161" s="135">
        <v>110.76357827476039</v>
      </c>
      <c r="S161" s="135">
        <v>11162.681953908406</v>
      </c>
      <c r="T161" s="135"/>
      <c r="U161" s="135">
        <v>6681.0697975264111</v>
      </c>
      <c r="V161" s="135">
        <v>0</v>
      </c>
      <c r="W161" s="135">
        <v>846.96875673768591</v>
      </c>
      <c r="X161" s="135">
        <v>0</v>
      </c>
      <c r="Y161" s="135">
        <v>45.550951606264334</v>
      </c>
      <c r="Z161" s="135">
        <v>693.70757847030563</v>
      </c>
      <c r="AA161" s="135">
        <v>73.744546149473734</v>
      </c>
      <c r="AB161" s="135">
        <v>1156.4472983612486</v>
      </c>
      <c r="AC161" s="135">
        <v>56.086447724214217</v>
      </c>
      <c r="AD161" s="135">
        <v>0</v>
      </c>
      <c r="AE161" s="135">
        <v>1538.5056655559692</v>
      </c>
      <c r="AF161" s="135">
        <v>537.68128728616068</v>
      </c>
      <c r="AG161" s="135">
        <v>61.914130029988833</v>
      </c>
      <c r="AH161" s="135">
        <v>11691.676459447721</v>
      </c>
      <c r="AI161" s="135">
        <v>629.63013779180255</v>
      </c>
      <c r="AJ161" s="135">
        <v>-37.601403398733808</v>
      </c>
      <c r="AK161" s="135">
        <v>-280.5442874223329</v>
      </c>
      <c r="AL161" s="135">
        <v>0</v>
      </c>
      <c r="AM161" s="135">
        <v>-66.210705815480509</v>
      </c>
      <c r="AN161" s="135">
        <v>150.39869354508164</v>
      </c>
      <c r="AO161" s="135">
        <v>-24.112138615025771</v>
      </c>
      <c r="AP161" s="135">
        <v>78.321345158461099</v>
      </c>
      <c r="AQ161" s="135">
        <v>56.086447724214217</v>
      </c>
      <c r="AR161" s="135">
        <v>68.883513984985981</v>
      </c>
      <c r="AS161" s="135">
        <v>-5.6289793998530513E-2</v>
      </c>
      <c r="AT161" s="135">
        <v>3.0486406251128528</v>
      </c>
      <c r="AU161" s="135">
        <v>-48.849448244771558</v>
      </c>
      <c r="AV161" s="135">
        <v>528.99451493744425</v>
      </c>
      <c r="AW161" s="135"/>
      <c r="AX161" s="164"/>
      <c r="AY161" s="132"/>
      <c r="AZ161" s="135"/>
      <c r="BA161" s="135"/>
    </row>
    <row r="162" spans="1:53" ht="16.5" x14ac:dyDescent="0.3">
      <c r="A162" s="165">
        <v>381</v>
      </c>
      <c r="B162" s="165">
        <v>1</v>
      </c>
      <c r="C162" s="166" t="s">
        <v>456</v>
      </c>
      <c r="D162" s="167">
        <v>5</v>
      </c>
      <c r="E162" s="163">
        <v>1374.37</v>
      </c>
      <c r="F162" s="135">
        <v>6132.3283831864792</v>
      </c>
      <c r="G162" s="135">
        <v>15.107787568122122</v>
      </c>
      <c r="H162" s="135">
        <v>0</v>
      </c>
      <c r="I162" s="135">
        <v>0</v>
      </c>
      <c r="J162" s="135">
        <v>142.0192961138558</v>
      </c>
      <c r="K162" s="135">
        <v>346.5744668466279</v>
      </c>
      <c r="L162" s="135">
        <v>0</v>
      </c>
      <c r="M162" s="135">
        <v>852.48848744061638</v>
      </c>
      <c r="N162" s="135">
        <v>0</v>
      </c>
      <c r="O162" s="135">
        <v>-74.171933322176713</v>
      </c>
      <c r="P162" s="135">
        <v>2565.8354579500847</v>
      </c>
      <c r="Q162" s="135">
        <v>850.20429724164546</v>
      </c>
      <c r="R162" s="135">
        <v>241.62192131667601</v>
      </c>
      <c r="S162" s="135">
        <v>11072.008164341933</v>
      </c>
      <c r="T162" s="135"/>
      <c r="U162" s="135">
        <v>6788.0956365461998</v>
      </c>
      <c r="V162" s="135">
        <v>0</v>
      </c>
      <c r="W162" s="135">
        <v>0</v>
      </c>
      <c r="X162" s="135">
        <v>0</v>
      </c>
      <c r="Y162" s="135">
        <v>107.74754978644762</v>
      </c>
      <c r="Z162" s="135">
        <v>440.20418082466875</v>
      </c>
      <c r="AA162" s="135">
        <v>0</v>
      </c>
      <c r="AB162" s="135">
        <v>1128.012779068079</v>
      </c>
      <c r="AC162" s="135">
        <v>54.618345719714092</v>
      </c>
      <c r="AD162" s="135">
        <v>0</v>
      </c>
      <c r="AE162" s="135">
        <v>2566.4138399396506</v>
      </c>
      <c r="AF162" s="135">
        <v>930.83526270218351</v>
      </c>
      <c r="AG162" s="135">
        <v>192.87967577872044</v>
      </c>
      <c r="AH162" s="135">
        <v>12208.807270365663</v>
      </c>
      <c r="AI162" s="135">
        <v>655.7672533597206</v>
      </c>
      <c r="AJ162" s="135">
        <v>-15.107787568122122</v>
      </c>
      <c r="AK162" s="135">
        <v>0</v>
      </c>
      <c r="AL162" s="135">
        <v>0</v>
      </c>
      <c r="AM162" s="135">
        <v>-34.271746327408181</v>
      </c>
      <c r="AN162" s="135">
        <v>93.629713978040854</v>
      </c>
      <c r="AO162" s="135">
        <v>0</v>
      </c>
      <c r="AP162" s="135">
        <v>275.52429162746262</v>
      </c>
      <c r="AQ162" s="135">
        <v>54.618345719714092</v>
      </c>
      <c r="AR162" s="135">
        <v>74.171933322176713</v>
      </c>
      <c r="AS162" s="135">
        <v>0.57838198956596898</v>
      </c>
      <c r="AT162" s="135">
        <v>80.63096546053805</v>
      </c>
      <c r="AU162" s="135">
        <v>-48.742245537955569</v>
      </c>
      <c r="AV162" s="135">
        <v>1136.7991110586693</v>
      </c>
      <c r="AW162" s="135"/>
      <c r="AX162" s="164"/>
      <c r="AY162" s="132"/>
      <c r="AZ162" s="135"/>
      <c r="BA162" s="135"/>
    </row>
    <row r="163" spans="1:53" ht="16.5" x14ac:dyDescent="0.3">
      <c r="A163" s="165">
        <v>390</v>
      </c>
      <c r="B163" s="165">
        <v>1</v>
      </c>
      <c r="C163" s="166" t="s">
        <v>458</v>
      </c>
      <c r="D163" s="167">
        <v>6</v>
      </c>
      <c r="E163" s="163">
        <v>489.80000000000007</v>
      </c>
      <c r="F163" s="135">
        <v>5990.3217639852992</v>
      </c>
      <c r="G163" s="135">
        <v>17.854001633319719</v>
      </c>
      <c r="H163" s="135">
        <v>815.18856676194343</v>
      </c>
      <c r="I163" s="135">
        <v>0</v>
      </c>
      <c r="J163" s="135">
        <v>121.41180073499386</v>
      </c>
      <c r="K163" s="135">
        <v>774.46696610861557</v>
      </c>
      <c r="L163" s="135">
        <v>0</v>
      </c>
      <c r="M163" s="135">
        <v>930.11136528517341</v>
      </c>
      <c r="N163" s="135">
        <v>0</v>
      </c>
      <c r="O163" s="135">
        <v>-76.617129440587988</v>
      </c>
      <c r="P163" s="135">
        <v>3438.8771492737555</v>
      </c>
      <c r="Q163" s="135">
        <v>1885.5810330747245</v>
      </c>
      <c r="R163" s="135">
        <v>108.37419354838708</v>
      </c>
      <c r="S163" s="135">
        <v>14005.569710965623</v>
      </c>
      <c r="T163" s="135"/>
      <c r="U163" s="135">
        <v>6606.099224173131</v>
      </c>
      <c r="V163" s="135">
        <v>0</v>
      </c>
      <c r="W163" s="135">
        <v>519.68419763168629</v>
      </c>
      <c r="X163" s="135">
        <v>0</v>
      </c>
      <c r="Y163" s="135">
        <v>67.332543895467538</v>
      </c>
      <c r="Z163" s="135">
        <v>927.34048591261728</v>
      </c>
      <c r="AA163" s="135">
        <v>0</v>
      </c>
      <c r="AB163" s="135">
        <v>1118.8899199318512</v>
      </c>
      <c r="AC163" s="135">
        <v>149.55819317125514</v>
      </c>
      <c r="AD163" s="135">
        <v>0</v>
      </c>
      <c r="AE163" s="135">
        <v>3437.7604760459076</v>
      </c>
      <c r="AF163" s="135">
        <v>1946.1811227493495</v>
      </c>
      <c r="AG163" s="135">
        <v>57.614291547570431</v>
      </c>
      <c r="AH163" s="135">
        <v>14830.460455058836</v>
      </c>
      <c r="AI163" s="135">
        <v>615.77746018783182</v>
      </c>
      <c r="AJ163" s="135">
        <v>-17.854001633319719</v>
      </c>
      <c r="AK163" s="135">
        <v>-295.50436913025715</v>
      </c>
      <c r="AL163" s="135">
        <v>0</v>
      </c>
      <c r="AM163" s="135">
        <v>-54.079256839526323</v>
      </c>
      <c r="AN163" s="135">
        <v>152.87351980400172</v>
      </c>
      <c r="AO163" s="135">
        <v>0</v>
      </c>
      <c r="AP163" s="135">
        <v>188.77855464667778</v>
      </c>
      <c r="AQ163" s="135">
        <v>149.55819317125514</v>
      </c>
      <c r="AR163" s="135">
        <v>76.617129440587988</v>
      </c>
      <c r="AS163" s="135">
        <v>-1.1166732278479685</v>
      </c>
      <c r="AT163" s="135">
        <v>60.600089674624996</v>
      </c>
      <c r="AU163" s="135">
        <v>-50.759902000816652</v>
      </c>
      <c r="AV163" s="135">
        <v>824.89074712417334</v>
      </c>
      <c r="AW163" s="135"/>
      <c r="AX163" s="132"/>
      <c r="AY163" s="132"/>
      <c r="AZ163" s="155"/>
      <c r="BA163" s="155"/>
    </row>
    <row r="164" spans="1:53" ht="16.5" x14ac:dyDescent="0.3">
      <c r="A164" s="165">
        <v>391</v>
      </c>
      <c r="B164" s="165">
        <v>1</v>
      </c>
      <c r="C164" s="166" t="s">
        <v>269</v>
      </c>
      <c r="D164" s="167">
        <v>6</v>
      </c>
      <c r="E164" s="163">
        <v>447.89</v>
      </c>
      <c r="F164" s="135">
        <v>5972.1019000200949</v>
      </c>
      <c r="G164" s="135">
        <v>12.495233204581481</v>
      </c>
      <c r="H164" s="135">
        <v>935.73685503136937</v>
      </c>
      <c r="I164" s="135">
        <v>0</v>
      </c>
      <c r="J164" s="135">
        <v>116.36680881466431</v>
      </c>
      <c r="K164" s="135">
        <v>172.86588224787334</v>
      </c>
      <c r="L164" s="135">
        <v>91.847176762151406</v>
      </c>
      <c r="M164" s="135">
        <v>471.78986034893154</v>
      </c>
      <c r="N164" s="135">
        <v>0</v>
      </c>
      <c r="O164" s="135">
        <v>-47.041081515550694</v>
      </c>
      <c r="P164" s="135">
        <v>602.68959342695757</v>
      </c>
      <c r="Q164" s="135">
        <v>450.4569872066802</v>
      </c>
      <c r="R164" s="135">
        <v>108.87546049253166</v>
      </c>
      <c r="S164" s="135">
        <v>8888.1846760402859</v>
      </c>
      <c r="T164" s="135"/>
      <c r="U164" s="135">
        <v>6603.5432807162479</v>
      </c>
      <c r="V164" s="135">
        <v>0</v>
      </c>
      <c r="W164" s="135">
        <v>633.77244412690618</v>
      </c>
      <c r="X164" s="135">
        <v>0</v>
      </c>
      <c r="Y164" s="135">
        <v>59.548683828618636</v>
      </c>
      <c r="Z164" s="135">
        <v>234.43419143093169</v>
      </c>
      <c r="AA164" s="135">
        <v>68.337783830851336</v>
      </c>
      <c r="AB164" s="135">
        <v>541.49264521607904</v>
      </c>
      <c r="AC164" s="135">
        <v>38.608371444879509</v>
      </c>
      <c r="AD164" s="135">
        <v>0</v>
      </c>
      <c r="AE164" s="135">
        <v>602.99348959789245</v>
      </c>
      <c r="AF164" s="135">
        <v>441.6452435301901</v>
      </c>
      <c r="AG164" s="135">
        <v>63.014289222800244</v>
      </c>
      <c r="AH164" s="135">
        <v>9287.3904229453983</v>
      </c>
      <c r="AI164" s="135">
        <v>631.44138069615292</v>
      </c>
      <c r="AJ164" s="135">
        <v>-12.495233204581481</v>
      </c>
      <c r="AK164" s="135">
        <v>-301.96441090446319</v>
      </c>
      <c r="AL164" s="135">
        <v>0</v>
      </c>
      <c r="AM164" s="135">
        <v>-56.818124986045675</v>
      </c>
      <c r="AN164" s="135">
        <v>61.568309183058346</v>
      </c>
      <c r="AO164" s="135">
        <v>-23.50939293130007</v>
      </c>
      <c r="AP164" s="135">
        <v>69.7027848671475</v>
      </c>
      <c r="AQ164" s="135">
        <v>38.608371444879509</v>
      </c>
      <c r="AR164" s="135">
        <v>47.041081515550694</v>
      </c>
      <c r="AS164" s="135">
        <v>0.30389617093487686</v>
      </c>
      <c r="AT164" s="135">
        <v>-8.8117436764900958</v>
      </c>
      <c r="AU164" s="135">
        <v>-45.861171269731415</v>
      </c>
      <c r="AV164" s="135">
        <v>399.20575076340111</v>
      </c>
      <c r="AW164" s="135"/>
      <c r="AX164" s="164"/>
      <c r="AY164" s="132"/>
      <c r="AZ164" s="135"/>
      <c r="BA164" s="135"/>
    </row>
    <row r="165" spans="1:53" ht="16.5" x14ac:dyDescent="0.3">
      <c r="A165" s="165">
        <v>402</v>
      </c>
      <c r="B165" s="165">
        <v>1</v>
      </c>
      <c r="C165" s="166" t="s">
        <v>461</v>
      </c>
      <c r="D165" s="167">
        <v>6</v>
      </c>
      <c r="E165" s="163">
        <v>101.92</v>
      </c>
      <c r="F165" s="135">
        <v>5799.091051805337</v>
      </c>
      <c r="G165" s="135">
        <v>0</v>
      </c>
      <c r="H165" s="135">
        <v>2023.5438579277866</v>
      </c>
      <c r="I165" s="135">
        <v>0</v>
      </c>
      <c r="J165" s="135">
        <v>51.063971742543167</v>
      </c>
      <c r="K165" s="135">
        <v>816.96036106750387</v>
      </c>
      <c r="L165" s="135">
        <v>131.92323390894819</v>
      </c>
      <c r="M165" s="135">
        <v>1756.319021433281</v>
      </c>
      <c r="N165" s="135">
        <v>0</v>
      </c>
      <c r="O165" s="135">
        <v>-78.16650313971742</v>
      </c>
      <c r="P165" s="135">
        <v>309.36999607535324</v>
      </c>
      <c r="Q165" s="135">
        <v>827.04758634222912</v>
      </c>
      <c r="R165" s="135">
        <v>122.29493720565149</v>
      </c>
      <c r="S165" s="135">
        <v>11759.447514368916</v>
      </c>
      <c r="T165" s="135"/>
      <c r="U165" s="135">
        <v>6397.6648351648355</v>
      </c>
      <c r="V165" s="135">
        <v>0</v>
      </c>
      <c r="W165" s="135">
        <v>1718.8901098901099</v>
      </c>
      <c r="X165" s="135">
        <v>0</v>
      </c>
      <c r="Y165" s="135">
        <v>0</v>
      </c>
      <c r="Z165" s="135">
        <v>951.35701879329622</v>
      </c>
      <c r="AA165" s="135">
        <v>79.1539442700157</v>
      </c>
      <c r="AB165" s="135">
        <v>1919.6969179021817</v>
      </c>
      <c r="AC165" s="135">
        <v>266.61714839498478</v>
      </c>
      <c r="AD165" s="135">
        <v>0</v>
      </c>
      <c r="AE165" s="135">
        <v>476.06963647959185</v>
      </c>
      <c r="AF165" s="135">
        <v>864.46989640998095</v>
      </c>
      <c r="AG165" s="135">
        <v>64.780416012558874</v>
      </c>
      <c r="AH165" s="135">
        <v>12738.699923317556</v>
      </c>
      <c r="AI165" s="135">
        <v>598.57378335949852</v>
      </c>
      <c r="AJ165" s="135">
        <v>0</v>
      </c>
      <c r="AK165" s="135">
        <v>-304.65374803767668</v>
      </c>
      <c r="AL165" s="135">
        <v>0</v>
      </c>
      <c r="AM165" s="135">
        <v>-51.063971742543167</v>
      </c>
      <c r="AN165" s="135">
        <v>134.39665772579235</v>
      </c>
      <c r="AO165" s="135">
        <v>-52.769289638932491</v>
      </c>
      <c r="AP165" s="135">
        <v>163.37789646890064</v>
      </c>
      <c r="AQ165" s="135">
        <v>266.61714839498478</v>
      </c>
      <c r="AR165" s="135">
        <v>78.16650313971742</v>
      </c>
      <c r="AS165" s="135">
        <v>166.69964040423861</v>
      </c>
      <c r="AT165" s="135">
        <v>37.422310067751823</v>
      </c>
      <c r="AU165" s="135">
        <v>-57.514521193092619</v>
      </c>
      <c r="AV165" s="135">
        <v>979.25241428762433</v>
      </c>
      <c r="AW165" s="135"/>
      <c r="AX165" s="164"/>
      <c r="AY165" s="132"/>
      <c r="AZ165" s="135"/>
      <c r="BA165" s="135"/>
    </row>
    <row r="166" spans="1:53" ht="16.5" x14ac:dyDescent="0.3">
      <c r="A166" s="165">
        <v>403</v>
      </c>
      <c r="B166" s="165">
        <v>1</v>
      </c>
      <c r="C166" s="166" t="s">
        <v>448</v>
      </c>
      <c r="D166" s="167">
        <v>6</v>
      </c>
      <c r="E166" s="163">
        <v>190.76999999999998</v>
      </c>
      <c r="F166" s="135">
        <v>6195.3019866855384</v>
      </c>
      <c r="G166" s="135">
        <v>0</v>
      </c>
      <c r="H166" s="135">
        <v>1375.145043769985</v>
      </c>
      <c r="I166" s="135">
        <v>0</v>
      </c>
      <c r="J166" s="135">
        <v>105.69015044294176</v>
      </c>
      <c r="K166" s="135">
        <v>232.6732190596006</v>
      </c>
      <c r="L166" s="135">
        <v>80.514105991508117</v>
      </c>
      <c r="M166" s="135">
        <v>180.63647324002733</v>
      </c>
      <c r="N166" s="135">
        <v>0</v>
      </c>
      <c r="O166" s="135">
        <v>-52.461865073124706</v>
      </c>
      <c r="P166" s="135">
        <v>3786.3298212507216</v>
      </c>
      <c r="Q166" s="135">
        <v>1658.4736069612625</v>
      </c>
      <c r="R166" s="135">
        <v>112.52665513445511</v>
      </c>
      <c r="S166" s="135">
        <v>13674.829197462916</v>
      </c>
      <c r="T166" s="135"/>
      <c r="U166" s="135">
        <v>6876.3887403679828</v>
      </c>
      <c r="V166" s="135">
        <v>0</v>
      </c>
      <c r="W166" s="135">
        <v>1055.0169838024847</v>
      </c>
      <c r="X166" s="135">
        <v>0</v>
      </c>
      <c r="Y166" s="135">
        <v>31.351313099543958</v>
      </c>
      <c r="Z166" s="135">
        <v>310.34161555800182</v>
      </c>
      <c r="AA166" s="135">
        <v>48.30848665932799</v>
      </c>
      <c r="AB166" s="135">
        <v>280.84006860528746</v>
      </c>
      <c r="AC166" s="135">
        <v>0</v>
      </c>
      <c r="AD166" s="135">
        <v>0</v>
      </c>
      <c r="AE166" s="135">
        <v>3956.0075951040526</v>
      </c>
      <c r="AF166" s="135">
        <v>1662.4975485966845</v>
      </c>
      <c r="AG166" s="135">
        <v>69.039314357603402</v>
      </c>
      <c r="AH166" s="135">
        <v>14289.79166615097</v>
      </c>
      <c r="AI166" s="135">
        <v>681.0867536824444</v>
      </c>
      <c r="AJ166" s="135">
        <v>0</v>
      </c>
      <c r="AK166" s="135">
        <v>-320.12805996750035</v>
      </c>
      <c r="AL166" s="135">
        <v>0</v>
      </c>
      <c r="AM166" s="135">
        <v>-74.338837343397799</v>
      </c>
      <c r="AN166" s="135">
        <v>77.668396498401222</v>
      </c>
      <c r="AO166" s="135">
        <v>-32.205619332180127</v>
      </c>
      <c r="AP166" s="135">
        <v>100.20359536526013</v>
      </c>
      <c r="AQ166" s="135">
        <v>0</v>
      </c>
      <c r="AR166" s="135">
        <v>52.461865073124706</v>
      </c>
      <c r="AS166" s="135">
        <v>169.67777385333102</v>
      </c>
      <c r="AT166" s="135">
        <v>4.0239416354220339</v>
      </c>
      <c r="AU166" s="135">
        <v>-43.48734077685171</v>
      </c>
      <c r="AV166" s="135">
        <v>614.96247520205202</v>
      </c>
      <c r="AW166" s="135"/>
      <c r="AX166" s="164"/>
      <c r="AY166" s="132"/>
      <c r="AZ166" s="135"/>
      <c r="BA166" s="135"/>
    </row>
    <row r="167" spans="1:53" ht="16.5" x14ac:dyDescent="0.3">
      <c r="A167" s="165">
        <v>404</v>
      </c>
      <c r="B167" s="165">
        <v>1</v>
      </c>
      <c r="C167" s="166" t="s">
        <v>263</v>
      </c>
      <c r="D167" s="167">
        <v>6</v>
      </c>
      <c r="E167" s="163">
        <v>166.14</v>
      </c>
      <c r="F167" s="135">
        <v>5870.7899361983873</v>
      </c>
      <c r="G167" s="135">
        <v>0</v>
      </c>
      <c r="H167" s="135">
        <v>2425.0329842301676</v>
      </c>
      <c r="I167" s="135">
        <v>0</v>
      </c>
      <c r="J167" s="135">
        <v>51.695317202359462</v>
      </c>
      <c r="K167" s="135">
        <v>286.27067533405562</v>
      </c>
      <c r="L167" s="135">
        <v>0</v>
      </c>
      <c r="M167" s="135">
        <v>735.66948430494779</v>
      </c>
      <c r="N167" s="135">
        <v>0</v>
      </c>
      <c r="O167" s="135">
        <v>-47.937883712531601</v>
      </c>
      <c r="P167" s="135">
        <v>2240.2758878054656</v>
      </c>
      <c r="Q167" s="135">
        <v>793.25340074635858</v>
      </c>
      <c r="R167" s="135">
        <v>120.71289274106178</v>
      </c>
      <c r="S167" s="135">
        <v>12475.762694850271</v>
      </c>
      <c r="T167" s="135"/>
      <c r="U167" s="135">
        <v>6441.4409534127853</v>
      </c>
      <c r="V167" s="135">
        <v>0</v>
      </c>
      <c r="W167" s="135">
        <v>2118.2934272300472</v>
      </c>
      <c r="X167" s="135">
        <v>0</v>
      </c>
      <c r="Y167" s="135">
        <v>0</v>
      </c>
      <c r="Z167" s="135">
        <v>355.94691224268689</v>
      </c>
      <c r="AA167" s="135">
        <v>0</v>
      </c>
      <c r="AB167" s="135">
        <v>754.4853673838071</v>
      </c>
      <c r="AC167" s="135">
        <v>29.737920663205013</v>
      </c>
      <c r="AD167" s="135">
        <v>0</v>
      </c>
      <c r="AE167" s="135">
        <v>2238.6939577163839</v>
      </c>
      <c r="AF167" s="135">
        <v>830.07306430531003</v>
      </c>
      <c r="AG167" s="135">
        <v>74.722643553629482</v>
      </c>
      <c r="AH167" s="135">
        <v>12843.394246507854</v>
      </c>
      <c r="AI167" s="135">
        <v>570.65101721439805</v>
      </c>
      <c r="AJ167" s="135">
        <v>0</v>
      </c>
      <c r="AK167" s="135">
        <v>-306.73955700012039</v>
      </c>
      <c r="AL167" s="135">
        <v>0</v>
      </c>
      <c r="AM167" s="135">
        <v>-51.695317202359462</v>
      </c>
      <c r="AN167" s="135">
        <v>69.676236908631267</v>
      </c>
      <c r="AO167" s="135">
        <v>0</v>
      </c>
      <c r="AP167" s="135">
        <v>18.815883078859315</v>
      </c>
      <c r="AQ167" s="135">
        <v>29.737920663205013</v>
      </c>
      <c r="AR167" s="135">
        <v>47.937883712531601</v>
      </c>
      <c r="AS167" s="135">
        <v>-1.5819300890816521</v>
      </c>
      <c r="AT167" s="135">
        <v>36.819663558951447</v>
      </c>
      <c r="AU167" s="135">
        <v>-45.990249187432298</v>
      </c>
      <c r="AV167" s="135">
        <v>367.63155934133169</v>
      </c>
      <c r="AW167" s="135"/>
      <c r="AX167" s="164"/>
      <c r="AY167" s="132"/>
      <c r="AZ167" s="135"/>
      <c r="BA167" s="135"/>
    </row>
    <row r="168" spans="1:53" ht="16.5" x14ac:dyDescent="0.3">
      <c r="A168" s="165">
        <v>413</v>
      </c>
      <c r="B168" s="165">
        <v>1</v>
      </c>
      <c r="C168" s="166" t="s">
        <v>464</v>
      </c>
      <c r="D168" s="167">
        <v>4</v>
      </c>
      <c r="E168" s="163">
        <v>2220.13</v>
      </c>
      <c r="F168" s="135">
        <v>6049.3436690644239</v>
      </c>
      <c r="G168" s="135">
        <v>7.4690401012553327</v>
      </c>
      <c r="H168" s="135">
        <v>775.2344592433775</v>
      </c>
      <c r="I168" s="135">
        <v>0</v>
      </c>
      <c r="J168" s="135">
        <v>124.72718264245786</v>
      </c>
      <c r="K168" s="135">
        <v>582.83233864683586</v>
      </c>
      <c r="L168" s="135">
        <v>143.75211654272496</v>
      </c>
      <c r="M168" s="135">
        <v>973.93272035393227</v>
      </c>
      <c r="N168" s="135">
        <v>0</v>
      </c>
      <c r="O168" s="135">
        <v>-41.783517181426312</v>
      </c>
      <c r="P168" s="135">
        <v>1713.8384489196576</v>
      </c>
      <c r="Q168" s="135">
        <v>115.84539644074896</v>
      </c>
      <c r="R168" s="135">
        <v>363.68880651133043</v>
      </c>
      <c r="S168" s="135">
        <v>10808.880661285319</v>
      </c>
      <c r="T168" s="135"/>
      <c r="U168" s="135">
        <v>6680.3898870786834</v>
      </c>
      <c r="V168" s="135">
        <v>0</v>
      </c>
      <c r="W168" s="135">
        <v>252.50813240666085</v>
      </c>
      <c r="X168" s="135">
        <v>248.44655617082125</v>
      </c>
      <c r="Y168" s="135">
        <v>88.001639543630318</v>
      </c>
      <c r="Z168" s="135">
        <v>593.74746087169262</v>
      </c>
      <c r="AA168" s="135">
        <v>134.91828406444668</v>
      </c>
      <c r="AB168" s="135">
        <v>1176.0357239827663</v>
      </c>
      <c r="AC168" s="135">
        <v>65.916264795786333</v>
      </c>
      <c r="AD168" s="135">
        <v>0</v>
      </c>
      <c r="AE168" s="135">
        <v>1807.679899283504</v>
      </c>
      <c r="AF168" s="135">
        <v>119.51535720881209</v>
      </c>
      <c r="AG168" s="135">
        <v>315.84301369739609</v>
      </c>
      <c r="AH168" s="135">
        <v>11483.002219104201</v>
      </c>
      <c r="AI168" s="135">
        <v>631.04621801425947</v>
      </c>
      <c r="AJ168" s="135">
        <v>-7.4690401012553327</v>
      </c>
      <c r="AK168" s="135">
        <v>-522.72632683671668</v>
      </c>
      <c r="AL168" s="135">
        <v>248.44655617082125</v>
      </c>
      <c r="AM168" s="135">
        <v>-36.725543098827544</v>
      </c>
      <c r="AN168" s="135">
        <v>10.915122224856759</v>
      </c>
      <c r="AO168" s="135">
        <v>-8.833832478278282</v>
      </c>
      <c r="AP168" s="135">
        <v>202.10300362883402</v>
      </c>
      <c r="AQ168" s="135">
        <v>65.916264795786333</v>
      </c>
      <c r="AR168" s="135">
        <v>41.783517181426312</v>
      </c>
      <c r="AS168" s="135">
        <v>93.841450363846434</v>
      </c>
      <c r="AT168" s="135">
        <v>3.6699607680631345</v>
      </c>
      <c r="AU168" s="135">
        <v>-47.845792813934338</v>
      </c>
      <c r="AV168" s="135">
        <v>674.12156482606838</v>
      </c>
      <c r="AW168" s="135"/>
      <c r="AX168" s="132"/>
      <c r="AY168" s="132"/>
      <c r="AZ168" s="155"/>
      <c r="BA168" s="155"/>
    </row>
    <row r="169" spans="1:53" ht="16.5" x14ac:dyDescent="0.3">
      <c r="A169" s="165">
        <v>414</v>
      </c>
      <c r="B169" s="165">
        <v>1</v>
      </c>
      <c r="C169" s="166" t="s">
        <v>298</v>
      </c>
      <c r="D169" s="167">
        <v>6</v>
      </c>
      <c r="E169" s="163">
        <v>436.59</v>
      </c>
      <c r="F169" s="135">
        <v>6140.9131679607872</v>
      </c>
      <c r="G169" s="135">
        <v>0</v>
      </c>
      <c r="H169" s="135">
        <v>782.79509379509386</v>
      </c>
      <c r="I169" s="135">
        <v>0</v>
      </c>
      <c r="J169" s="135">
        <v>128.34320529558624</v>
      </c>
      <c r="K169" s="135">
        <v>472.86014338395296</v>
      </c>
      <c r="L169" s="135">
        <v>111.74684257541402</v>
      </c>
      <c r="M169" s="135">
        <v>983.60562904528297</v>
      </c>
      <c r="N169" s="135">
        <v>0</v>
      </c>
      <c r="O169" s="135">
        <v>-51.746444032158323</v>
      </c>
      <c r="P169" s="135">
        <v>1599.0294143246524</v>
      </c>
      <c r="Q169" s="135">
        <v>720.809386380815</v>
      </c>
      <c r="R169" s="135">
        <v>362.40012368583797</v>
      </c>
      <c r="S169" s="135">
        <v>11250.756562415265</v>
      </c>
      <c r="T169" s="135"/>
      <c r="U169" s="135">
        <v>6778.4992784992792</v>
      </c>
      <c r="V169" s="135">
        <v>0</v>
      </c>
      <c r="W169" s="135">
        <v>460.01264344121495</v>
      </c>
      <c r="X169" s="135">
        <v>0</v>
      </c>
      <c r="Y169" s="135">
        <v>74.737190499095263</v>
      </c>
      <c r="Z169" s="135">
        <v>582.04906293510135</v>
      </c>
      <c r="AA169" s="135">
        <v>91.896882658787433</v>
      </c>
      <c r="AB169" s="135">
        <v>1010.2140447579446</v>
      </c>
      <c r="AC169" s="135">
        <v>96.190004767336632</v>
      </c>
      <c r="AD169" s="135">
        <v>0</v>
      </c>
      <c r="AE169" s="135">
        <v>1599.1626518587234</v>
      </c>
      <c r="AF169" s="135">
        <v>715.86815538726569</v>
      </c>
      <c r="AG169" s="135">
        <v>312.24084381227237</v>
      </c>
      <c r="AH169" s="135">
        <v>11720.87075861702</v>
      </c>
      <c r="AI169" s="135">
        <v>637.58611053849199</v>
      </c>
      <c r="AJ169" s="135">
        <v>0</v>
      </c>
      <c r="AK169" s="135">
        <v>-322.78245035387891</v>
      </c>
      <c r="AL169" s="135">
        <v>0</v>
      </c>
      <c r="AM169" s="135">
        <v>-53.606014796490982</v>
      </c>
      <c r="AN169" s="135">
        <v>109.18891955114839</v>
      </c>
      <c r="AO169" s="135">
        <v>-19.849959916626588</v>
      </c>
      <c r="AP169" s="135">
        <v>26.608415712661667</v>
      </c>
      <c r="AQ169" s="135">
        <v>96.190004767336632</v>
      </c>
      <c r="AR169" s="135">
        <v>51.746444032158323</v>
      </c>
      <c r="AS169" s="135">
        <v>0.13323753407098593</v>
      </c>
      <c r="AT169" s="135">
        <v>-4.9412309935493113</v>
      </c>
      <c r="AU169" s="135">
        <v>-50.159279873565595</v>
      </c>
      <c r="AV169" s="135">
        <v>470.1142056957292</v>
      </c>
      <c r="AW169" s="135"/>
      <c r="AX169" s="164"/>
      <c r="AY169" s="132"/>
      <c r="AZ169" s="135"/>
      <c r="BA169" s="135"/>
    </row>
    <row r="170" spans="1:53" ht="16.5" x14ac:dyDescent="0.3">
      <c r="A170" s="165">
        <v>415</v>
      </c>
      <c r="B170" s="165">
        <v>1</v>
      </c>
      <c r="C170" s="166" t="s">
        <v>423</v>
      </c>
      <c r="D170" s="167">
        <v>6</v>
      </c>
      <c r="E170" s="163">
        <v>159.94</v>
      </c>
      <c r="F170" s="135">
        <v>6014.7530323871451</v>
      </c>
      <c r="G170" s="135">
        <v>109.19588595723397</v>
      </c>
      <c r="H170" s="135">
        <v>1716.0948480680256</v>
      </c>
      <c r="I170" s="135">
        <v>0</v>
      </c>
      <c r="J170" s="135">
        <v>86.962923596348631</v>
      </c>
      <c r="K170" s="135">
        <v>1127.5621483056145</v>
      </c>
      <c r="L170" s="135">
        <v>142.5101569338502</v>
      </c>
      <c r="M170" s="135">
        <v>965.94688881980744</v>
      </c>
      <c r="N170" s="135">
        <v>0</v>
      </c>
      <c r="O170" s="135">
        <v>-16.748905839689886</v>
      </c>
      <c r="P170" s="135">
        <v>672.11694385394537</v>
      </c>
      <c r="Q170" s="135">
        <v>769.47161435538328</v>
      </c>
      <c r="R170" s="135">
        <v>113.25965987245218</v>
      </c>
      <c r="S170" s="135">
        <v>11701.125196310117</v>
      </c>
      <c r="T170" s="135"/>
      <c r="U170" s="135">
        <v>6650.1750656496188</v>
      </c>
      <c r="V170" s="135">
        <v>0</v>
      </c>
      <c r="W170" s="135">
        <v>1519.8817056396149</v>
      </c>
      <c r="X170" s="135">
        <v>0</v>
      </c>
      <c r="Y170" s="135">
        <v>0</v>
      </c>
      <c r="Z170" s="135">
        <v>1312.6643116168564</v>
      </c>
      <c r="AA170" s="135">
        <v>211.11666875078154</v>
      </c>
      <c r="AB170" s="135">
        <v>1068.8379884558062</v>
      </c>
      <c r="AC170" s="135">
        <v>154.45348690086536</v>
      </c>
      <c r="AD170" s="135">
        <v>20.668313117419032</v>
      </c>
      <c r="AE170" s="135">
        <v>672.3966092659748</v>
      </c>
      <c r="AF170" s="135">
        <v>741.48612070644913</v>
      </c>
      <c r="AG170" s="135">
        <v>64.887145179442285</v>
      </c>
      <c r="AH170" s="135">
        <v>12416.567415282831</v>
      </c>
      <c r="AI170" s="135">
        <v>635.42203326247363</v>
      </c>
      <c r="AJ170" s="135">
        <v>-109.19588595723397</v>
      </c>
      <c r="AK170" s="135">
        <v>-196.21314242841072</v>
      </c>
      <c r="AL170" s="135">
        <v>0</v>
      </c>
      <c r="AM170" s="135">
        <v>-86.962923596348631</v>
      </c>
      <c r="AN170" s="135">
        <v>185.10216331124184</v>
      </c>
      <c r="AO170" s="135">
        <v>68.606511816931345</v>
      </c>
      <c r="AP170" s="135">
        <v>102.89109963599878</v>
      </c>
      <c r="AQ170" s="135">
        <v>154.45348690086536</v>
      </c>
      <c r="AR170" s="135">
        <v>37.417218957108915</v>
      </c>
      <c r="AS170" s="135">
        <v>0.27966541202943063</v>
      </c>
      <c r="AT170" s="135">
        <v>-27.985493648934153</v>
      </c>
      <c r="AU170" s="135">
        <v>-48.37251469300989</v>
      </c>
      <c r="AV170" s="135">
        <v>715.44222107924361</v>
      </c>
      <c r="AW170" s="135"/>
      <c r="AX170" s="164"/>
      <c r="AY170" s="132"/>
      <c r="AZ170" s="135"/>
      <c r="BA170" s="135"/>
    </row>
    <row r="171" spans="1:53" ht="16.5" x14ac:dyDescent="0.3">
      <c r="A171" s="165">
        <v>423</v>
      </c>
      <c r="B171" s="165">
        <v>1</v>
      </c>
      <c r="C171" s="166" t="s">
        <v>468</v>
      </c>
      <c r="D171" s="167">
        <v>4</v>
      </c>
      <c r="E171" s="163">
        <v>2908.59</v>
      </c>
      <c r="F171" s="135">
        <v>6041.0453174906052</v>
      </c>
      <c r="G171" s="135">
        <v>0</v>
      </c>
      <c r="H171" s="135">
        <v>951.27617161580008</v>
      </c>
      <c r="I171" s="135">
        <v>0</v>
      </c>
      <c r="J171" s="135">
        <v>117.305443531058</v>
      </c>
      <c r="K171" s="135">
        <v>315.69732757109114</v>
      </c>
      <c r="L171" s="135">
        <v>0</v>
      </c>
      <c r="M171" s="135">
        <v>864.33263943877694</v>
      </c>
      <c r="N171" s="135">
        <v>0</v>
      </c>
      <c r="O171" s="135">
        <v>-38.916395916921942</v>
      </c>
      <c r="P171" s="135">
        <v>778.28237737185373</v>
      </c>
      <c r="Q171" s="135">
        <v>101.38178636383951</v>
      </c>
      <c r="R171" s="135">
        <v>154.22440082651732</v>
      </c>
      <c r="S171" s="135">
        <v>9284.6290682926192</v>
      </c>
      <c r="T171" s="135"/>
      <c r="U171" s="135">
        <v>6681.1073406702217</v>
      </c>
      <c r="V171" s="135">
        <v>0</v>
      </c>
      <c r="W171" s="135">
        <v>421.03702137461795</v>
      </c>
      <c r="X171" s="135">
        <v>247.27361841027349</v>
      </c>
      <c r="Y171" s="135">
        <v>75.975249175717437</v>
      </c>
      <c r="Z171" s="135">
        <v>353.88719427195764</v>
      </c>
      <c r="AA171" s="135">
        <v>0</v>
      </c>
      <c r="AB171" s="135">
        <v>1070.3369229720511</v>
      </c>
      <c r="AC171" s="135">
        <v>66.114153002460114</v>
      </c>
      <c r="AD171" s="135">
        <v>0</v>
      </c>
      <c r="AE171" s="135">
        <v>916.885984851079</v>
      </c>
      <c r="AF171" s="135">
        <v>106.89771676310514</v>
      </c>
      <c r="AG171" s="135">
        <v>106.14667244266121</v>
      </c>
      <c r="AH171" s="135">
        <v>10045.661873934143</v>
      </c>
      <c r="AI171" s="135">
        <v>640.06202317961652</v>
      </c>
      <c r="AJ171" s="135">
        <v>0</v>
      </c>
      <c r="AK171" s="135">
        <v>-530.23915024118219</v>
      </c>
      <c r="AL171" s="135">
        <v>247.27361841027349</v>
      </c>
      <c r="AM171" s="135">
        <v>-41.330194355340566</v>
      </c>
      <c r="AN171" s="135">
        <v>38.189866700866503</v>
      </c>
      <c r="AO171" s="135">
        <v>0</v>
      </c>
      <c r="AP171" s="135">
        <v>206.00428353327413</v>
      </c>
      <c r="AQ171" s="135">
        <v>66.114153002460114</v>
      </c>
      <c r="AR171" s="135">
        <v>38.916395916921942</v>
      </c>
      <c r="AS171" s="135">
        <v>138.60360747922527</v>
      </c>
      <c r="AT171" s="135">
        <v>5.5159303992656277</v>
      </c>
      <c r="AU171" s="135">
        <v>-48.077728383856112</v>
      </c>
      <c r="AV171" s="135">
        <v>761.03281132791551</v>
      </c>
      <c r="AW171" s="135"/>
      <c r="AX171" s="164"/>
      <c r="AY171" s="132"/>
      <c r="AZ171" s="135"/>
      <c r="BA171" s="135"/>
    </row>
    <row r="172" spans="1:53" ht="16.5" x14ac:dyDescent="0.3">
      <c r="A172" s="165">
        <v>424</v>
      </c>
      <c r="B172" s="165">
        <v>1</v>
      </c>
      <c r="C172" s="166" t="s">
        <v>463</v>
      </c>
      <c r="D172" s="167">
        <v>6</v>
      </c>
      <c r="E172" s="163">
        <v>405.18</v>
      </c>
      <c r="F172" s="135">
        <v>6012.1512414235649</v>
      </c>
      <c r="G172" s="135">
        <v>0</v>
      </c>
      <c r="H172" s="135">
        <v>1210.6393701564737</v>
      </c>
      <c r="I172" s="135">
        <v>0</v>
      </c>
      <c r="J172" s="135">
        <v>106.45559998025568</v>
      </c>
      <c r="K172" s="135">
        <v>431.02793820030598</v>
      </c>
      <c r="L172" s="135">
        <v>0</v>
      </c>
      <c r="M172" s="135">
        <v>380.78669754335351</v>
      </c>
      <c r="N172" s="135">
        <v>0</v>
      </c>
      <c r="O172" s="135">
        <v>-44.205686361617055</v>
      </c>
      <c r="P172" s="135">
        <v>383.31032627474207</v>
      </c>
      <c r="Q172" s="135">
        <v>452.70669825756454</v>
      </c>
      <c r="R172" s="135">
        <v>110.79976800434375</v>
      </c>
      <c r="S172" s="135">
        <v>9043.67195347899</v>
      </c>
      <c r="T172" s="135"/>
      <c r="U172" s="135">
        <v>6643.1585961794754</v>
      </c>
      <c r="V172" s="135">
        <v>0</v>
      </c>
      <c r="W172" s="135">
        <v>894.29569574016477</v>
      </c>
      <c r="X172" s="135">
        <v>0</v>
      </c>
      <c r="Y172" s="135">
        <v>41.568710202872801</v>
      </c>
      <c r="Z172" s="135">
        <v>533.18576711187097</v>
      </c>
      <c r="AA172" s="135">
        <v>0</v>
      </c>
      <c r="AB172" s="135">
        <v>495.91234533965115</v>
      </c>
      <c r="AC172" s="135">
        <v>60.968682301506504</v>
      </c>
      <c r="AD172" s="135">
        <v>0</v>
      </c>
      <c r="AE172" s="135">
        <v>485.74026981835232</v>
      </c>
      <c r="AF172" s="135">
        <v>447.69701071778366</v>
      </c>
      <c r="AG172" s="135">
        <v>62.552766671602747</v>
      </c>
      <c r="AH172" s="135">
        <v>9665.0798440832805</v>
      </c>
      <c r="AI172" s="135">
        <v>631.00735475591046</v>
      </c>
      <c r="AJ172" s="135">
        <v>0</v>
      </c>
      <c r="AK172" s="135">
        <v>-316.34367441630889</v>
      </c>
      <c r="AL172" s="135">
        <v>0</v>
      </c>
      <c r="AM172" s="135">
        <v>-64.886889777382891</v>
      </c>
      <c r="AN172" s="135">
        <v>102.15782891156499</v>
      </c>
      <c r="AO172" s="135">
        <v>0</v>
      </c>
      <c r="AP172" s="135">
        <v>115.12564779629764</v>
      </c>
      <c r="AQ172" s="135">
        <v>60.968682301506504</v>
      </c>
      <c r="AR172" s="135">
        <v>44.205686361617055</v>
      </c>
      <c r="AS172" s="135">
        <v>102.42994354361025</v>
      </c>
      <c r="AT172" s="135">
        <v>-5.0096875397808844</v>
      </c>
      <c r="AU172" s="135">
        <v>-48.247001332741</v>
      </c>
      <c r="AV172" s="135">
        <v>621.40789767516071</v>
      </c>
      <c r="AW172" s="135"/>
      <c r="AX172" s="132"/>
      <c r="AY172" s="132"/>
      <c r="AZ172" s="155"/>
      <c r="BA172" s="155"/>
    </row>
    <row r="173" spans="1:53" ht="16.5" x14ac:dyDescent="0.3">
      <c r="A173" s="165">
        <v>432</v>
      </c>
      <c r="B173" s="165">
        <v>1</v>
      </c>
      <c r="C173" s="166" t="s">
        <v>471</v>
      </c>
      <c r="D173" s="167">
        <v>6</v>
      </c>
      <c r="E173" s="163">
        <v>614.42999999999995</v>
      </c>
      <c r="F173" s="135">
        <v>6055.2590205556371</v>
      </c>
      <c r="G173" s="135">
        <v>112.40015949742038</v>
      </c>
      <c r="H173" s="135">
        <v>0</v>
      </c>
      <c r="I173" s="135">
        <v>0</v>
      </c>
      <c r="J173" s="135">
        <v>176.92119525413801</v>
      </c>
      <c r="K173" s="135">
        <v>1310.8724508894422</v>
      </c>
      <c r="L173" s="135">
        <v>0</v>
      </c>
      <c r="M173" s="135">
        <v>862.39587137503054</v>
      </c>
      <c r="N173" s="135">
        <v>0</v>
      </c>
      <c r="O173" s="135">
        <v>-78.767084940513982</v>
      </c>
      <c r="P173" s="135">
        <v>856.25284898198333</v>
      </c>
      <c r="Q173" s="135">
        <v>898.10049965008216</v>
      </c>
      <c r="R173" s="135">
        <v>162.623520986931</v>
      </c>
      <c r="S173" s="135">
        <v>10356.058482250151</v>
      </c>
      <c r="T173" s="135"/>
      <c r="U173" s="135">
        <v>6689.0142082906114</v>
      </c>
      <c r="V173" s="135">
        <v>0</v>
      </c>
      <c r="W173" s="135">
        <v>0</v>
      </c>
      <c r="X173" s="135">
        <v>0</v>
      </c>
      <c r="Y173" s="135">
        <v>106.17482870302558</v>
      </c>
      <c r="Z173" s="135">
        <v>1517.2785183015153</v>
      </c>
      <c r="AA173" s="135">
        <v>0</v>
      </c>
      <c r="AB173" s="135">
        <v>1094.1051779630263</v>
      </c>
      <c r="AC173" s="135">
        <v>108.55408244437267</v>
      </c>
      <c r="AD173" s="135">
        <v>0</v>
      </c>
      <c r="AE173" s="135">
        <v>1004.4743251289815</v>
      </c>
      <c r="AF173" s="135">
        <v>935.70334586270383</v>
      </c>
      <c r="AG173" s="135">
        <v>114.43251468841041</v>
      </c>
      <c r="AH173" s="135">
        <v>11569.737001382648</v>
      </c>
      <c r="AI173" s="135">
        <v>633.75518773497424</v>
      </c>
      <c r="AJ173" s="135">
        <v>-112.40015949742038</v>
      </c>
      <c r="AK173" s="135">
        <v>0</v>
      </c>
      <c r="AL173" s="135">
        <v>0</v>
      </c>
      <c r="AM173" s="135">
        <v>-70.74636655111243</v>
      </c>
      <c r="AN173" s="135">
        <v>206.40606741207307</v>
      </c>
      <c r="AO173" s="135">
        <v>0</v>
      </c>
      <c r="AP173" s="135">
        <v>231.7093065879958</v>
      </c>
      <c r="AQ173" s="135">
        <v>108.55408244437267</v>
      </c>
      <c r="AR173" s="135">
        <v>78.767084940513982</v>
      </c>
      <c r="AS173" s="135">
        <v>148.22147614699816</v>
      </c>
      <c r="AT173" s="135">
        <v>37.602846212621671</v>
      </c>
      <c r="AU173" s="135">
        <v>-48.191006298520591</v>
      </c>
      <c r="AV173" s="135">
        <v>1213.6785211709264</v>
      </c>
      <c r="AW173" s="135"/>
      <c r="AX173" s="164"/>
      <c r="AY173" s="132"/>
      <c r="AZ173" s="135"/>
      <c r="BA173" s="135"/>
    </row>
    <row r="174" spans="1:53" ht="16.5" x14ac:dyDescent="0.3">
      <c r="A174" s="165">
        <v>435</v>
      </c>
      <c r="B174" s="165">
        <v>1</v>
      </c>
      <c r="C174" s="166" t="s">
        <v>473</v>
      </c>
      <c r="D174" s="167">
        <v>6</v>
      </c>
      <c r="E174" s="163">
        <v>623.66000000000008</v>
      </c>
      <c r="F174" s="135">
        <v>6037.847032036686</v>
      </c>
      <c r="G174" s="135">
        <v>99.594426450309442</v>
      </c>
      <c r="H174" s="135">
        <v>0</v>
      </c>
      <c r="I174" s="135">
        <v>0</v>
      </c>
      <c r="J174" s="135">
        <v>173.28857069557128</v>
      </c>
      <c r="K174" s="135">
        <v>1346.3224994387965</v>
      </c>
      <c r="L174" s="135">
        <v>0</v>
      </c>
      <c r="M174" s="135">
        <v>846.46884116943511</v>
      </c>
      <c r="N174" s="135">
        <v>0</v>
      </c>
      <c r="O174" s="135">
        <v>-46.27949523778981</v>
      </c>
      <c r="P174" s="135">
        <v>1357.4825191381747</v>
      </c>
      <c r="Q174" s="135">
        <v>1085.1656190873232</v>
      </c>
      <c r="R174" s="135">
        <v>101.8709553282237</v>
      </c>
      <c r="S174" s="135">
        <v>11001.760968106732</v>
      </c>
      <c r="T174" s="135"/>
      <c r="U174" s="135">
        <v>6638.5065580604796</v>
      </c>
      <c r="V174" s="135">
        <v>0</v>
      </c>
      <c r="W174" s="135">
        <v>0</v>
      </c>
      <c r="X174" s="135">
        <v>0</v>
      </c>
      <c r="Y174" s="135">
        <v>105.37311996921397</v>
      </c>
      <c r="Z174" s="135">
        <v>1556.8634031363242</v>
      </c>
      <c r="AA174" s="135">
        <v>0</v>
      </c>
      <c r="AB174" s="135">
        <v>1011.2948048950509</v>
      </c>
      <c r="AC174" s="135">
        <v>176.76888792084264</v>
      </c>
      <c r="AD174" s="135">
        <v>0</v>
      </c>
      <c r="AE174" s="135">
        <v>1406.1029532531456</v>
      </c>
      <c r="AF174" s="135">
        <v>1130.7525148461457</v>
      </c>
      <c r="AG174" s="135">
        <v>50.205400378411305</v>
      </c>
      <c r="AH174" s="135">
        <v>12075.867642459616</v>
      </c>
      <c r="AI174" s="135">
        <v>600.65952602379366</v>
      </c>
      <c r="AJ174" s="135">
        <v>-99.594426450309442</v>
      </c>
      <c r="AK174" s="135">
        <v>0</v>
      </c>
      <c r="AL174" s="135">
        <v>0</v>
      </c>
      <c r="AM174" s="135">
        <v>-67.915450726357307</v>
      </c>
      <c r="AN174" s="135">
        <v>210.54090369752771</v>
      </c>
      <c r="AO174" s="135">
        <v>0</v>
      </c>
      <c r="AP174" s="135">
        <v>164.82596372561579</v>
      </c>
      <c r="AQ174" s="135">
        <v>176.76888792084264</v>
      </c>
      <c r="AR174" s="135">
        <v>46.27949523778981</v>
      </c>
      <c r="AS174" s="135">
        <v>48.620434114970976</v>
      </c>
      <c r="AT174" s="135">
        <v>45.586895758822493</v>
      </c>
      <c r="AU174" s="135">
        <v>-51.665554949812396</v>
      </c>
      <c r="AV174" s="135">
        <v>1074.1066819116943</v>
      </c>
      <c r="AW174" s="135"/>
      <c r="AX174" s="164"/>
      <c r="AY174" s="132"/>
      <c r="AZ174" s="135"/>
      <c r="BA174" s="135"/>
    </row>
    <row r="175" spans="1:53" ht="16.5" x14ac:dyDescent="0.3">
      <c r="A175" s="165">
        <v>441</v>
      </c>
      <c r="B175" s="165">
        <v>1</v>
      </c>
      <c r="C175" s="166" t="s">
        <v>475</v>
      </c>
      <c r="D175" s="167">
        <v>6</v>
      </c>
      <c r="E175" s="163">
        <v>409.53999999999996</v>
      </c>
      <c r="F175" s="135">
        <v>6079.9124871807398</v>
      </c>
      <c r="G175" s="135">
        <v>0</v>
      </c>
      <c r="H175" s="135">
        <v>1534.9429359769499</v>
      </c>
      <c r="I175" s="135">
        <v>0</v>
      </c>
      <c r="J175" s="135">
        <v>96.657103091273143</v>
      </c>
      <c r="K175" s="135">
        <v>1381.6314401523662</v>
      </c>
      <c r="L175" s="135">
        <v>0</v>
      </c>
      <c r="M175" s="135">
        <v>1054.6179639742641</v>
      </c>
      <c r="N175" s="135">
        <v>0</v>
      </c>
      <c r="O175" s="135">
        <v>-50.746789080431711</v>
      </c>
      <c r="P175" s="135">
        <v>385.46753360913641</v>
      </c>
      <c r="Q175" s="135">
        <v>1946.407457147043</v>
      </c>
      <c r="R175" s="135">
        <v>113.49445719587831</v>
      </c>
      <c r="S175" s="135">
        <v>12542.38458924722</v>
      </c>
      <c r="T175" s="135"/>
      <c r="U175" s="135">
        <v>6734.8805977438105</v>
      </c>
      <c r="V175" s="135">
        <v>0</v>
      </c>
      <c r="W175" s="135">
        <v>1214.2348244371735</v>
      </c>
      <c r="X175" s="135">
        <v>0</v>
      </c>
      <c r="Y175" s="135">
        <v>20.171802510133322</v>
      </c>
      <c r="Z175" s="135">
        <v>1589.3984958734191</v>
      </c>
      <c r="AA175" s="135">
        <v>0</v>
      </c>
      <c r="AB175" s="135">
        <v>1277.9286841630537</v>
      </c>
      <c r="AC175" s="135">
        <v>90.479406266510267</v>
      </c>
      <c r="AD175" s="135">
        <v>0</v>
      </c>
      <c r="AE175" s="135">
        <v>466.12669093442821</v>
      </c>
      <c r="AF175" s="135">
        <v>1965.5171863849816</v>
      </c>
      <c r="AG175" s="135">
        <v>66.896371538799642</v>
      </c>
      <c r="AH175" s="135">
        <v>13425.634059852307</v>
      </c>
      <c r="AI175" s="135">
        <v>654.9681105630707</v>
      </c>
      <c r="AJ175" s="135">
        <v>0</v>
      </c>
      <c r="AK175" s="135">
        <v>-320.70811153977638</v>
      </c>
      <c r="AL175" s="135">
        <v>0</v>
      </c>
      <c r="AM175" s="135">
        <v>-76.485300581139825</v>
      </c>
      <c r="AN175" s="135">
        <v>207.76705572105288</v>
      </c>
      <c r="AO175" s="135">
        <v>0</v>
      </c>
      <c r="AP175" s="135">
        <v>223.31072018878967</v>
      </c>
      <c r="AQ175" s="135">
        <v>90.479406266510267</v>
      </c>
      <c r="AR175" s="135">
        <v>50.746789080431711</v>
      </c>
      <c r="AS175" s="135">
        <v>80.659157325291801</v>
      </c>
      <c r="AT175" s="135">
        <v>19.109729237938609</v>
      </c>
      <c r="AU175" s="135">
        <v>-46.59808565707867</v>
      </c>
      <c r="AV175" s="135">
        <v>883.24947785402503</v>
      </c>
      <c r="AW175" s="135"/>
      <c r="AX175" s="132"/>
      <c r="AY175" s="132"/>
      <c r="AZ175" s="155"/>
      <c r="BA175" s="155"/>
    </row>
    <row r="176" spans="1:53" ht="16.5" x14ac:dyDescent="0.3">
      <c r="A176" s="165">
        <v>447</v>
      </c>
      <c r="B176" s="165">
        <v>1</v>
      </c>
      <c r="C176" s="166" t="s">
        <v>477</v>
      </c>
      <c r="D176" s="167">
        <v>6</v>
      </c>
      <c r="E176" s="163">
        <v>165.26</v>
      </c>
      <c r="F176" s="135">
        <v>6082.2330872564444</v>
      </c>
      <c r="G176" s="135">
        <v>9.7101536972044062</v>
      </c>
      <c r="H176" s="135">
        <v>1050.7800435677116</v>
      </c>
      <c r="I176" s="135">
        <v>0</v>
      </c>
      <c r="J176" s="135">
        <v>120.04961878252452</v>
      </c>
      <c r="K176" s="135">
        <v>669.87280648674812</v>
      </c>
      <c r="L176" s="135">
        <v>0</v>
      </c>
      <c r="M176" s="135">
        <v>1073.2970435626771</v>
      </c>
      <c r="N176" s="135">
        <v>0</v>
      </c>
      <c r="O176" s="135">
        <v>-89.185465327362948</v>
      </c>
      <c r="P176" s="135">
        <v>881.67572310298931</v>
      </c>
      <c r="Q176" s="135">
        <v>4681.1741498245192</v>
      </c>
      <c r="R176" s="135">
        <v>106.3424906208399</v>
      </c>
      <c r="S176" s="135">
        <v>14585.949651574298</v>
      </c>
      <c r="T176" s="135"/>
      <c r="U176" s="135">
        <v>6755.4328936221709</v>
      </c>
      <c r="V176" s="135">
        <v>0</v>
      </c>
      <c r="W176" s="135">
        <v>743.03364395498011</v>
      </c>
      <c r="X176" s="135">
        <v>0</v>
      </c>
      <c r="Y176" s="135">
        <v>52.747307273387392</v>
      </c>
      <c r="Z176" s="135">
        <v>812.52922667312123</v>
      </c>
      <c r="AA176" s="135">
        <v>0</v>
      </c>
      <c r="AB176" s="135">
        <v>1086.6183046753501</v>
      </c>
      <c r="AC176" s="135">
        <v>74.740683453117541</v>
      </c>
      <c r="AD176" s="135">
        <v>0</v>
      </c>
      <c r="AE176" s="135">
        <v>1015.450516858284</v>
      </c>
      <c r="AF176" s="135">
        <v>4742.511460703071</v>
      </c>
      <c r="AG176" s="135">
        <v>57.974343458792212</v>
      </c>
      <c r="AH176" s="135">
        <v>15341.038380672273</v>
      </c>
      <c r="AI176" s="135">
        <v>673.19980636572654</v>
      </c>
      <c r="AJ176" s="135">
        <v>-9.7101536972044062</v>
      </c>
      <c r="AK176" s="135">
        <v>-307.74639961273147</v>
      </c>
      <c r="AL176" s="135">
        <v>0</v>
      </c>
      <c r="AM176" s="135">
        <v>-67.302311509137127</v>
      </c>
      <c r="AN176" s="135">
        <v>142.65642018637311</v>
      </c>
      <c r="AO176" s="135">
        <v>0</v>
      </c>
      <c r="AP176" s="135">
        <v>13.321261112673028</v>
      </c>
      <c r="AQ176" s="135">
        <v>74.740683453117541</v>
      </c>
      <c r="AR176" s="135">
        <v>89.185465327362948</v>
      </c>
      <c r="AS176" s="135">
        <v>133.7747937552947</v>
      </c>
      <c r="AT176" s="135">
        <v>61.337310878551762</v>
      </c>
      <c r="AU176" s="135">
        <v>-48.368147162047684</v>
      </c>
      <c r="AV176" s="135">
        <v>755.08873114393714</v>
      </c>
      <c r="AW176" s="135"/>
      <c r="AX176" s="164"/>
      <c r="AY176" s="132"/>
      <c r="AZ176" s="135"/>
      <c r="BA176" s="135"/>
    </row>
    <row r="177" spans="1:54" ht="16.5" x14ac:dyDescent="0.3">
      <c r="A177" s="165">
        <v>458</v>
      </c>
      <c r="B177" s="165">
        <v>1</v>
      </c>
      <c r="C177" s="166" t="s">
        <v>479</v>
      </c>
      <c r="D177" s="167">
        <v>6</v>
      </c>
      <c r="E177" s="163">
        <v>270.64999999999998</v>
      </c>
      <c r="F177" s="135">
        <v>6102.2264917790517</v>
      </c>
      <c r="G177" s="135">
        <v>0</v>
      </c>
      <c r="H177" s="135">
        <v>2141.6217624237947</v>
      </c>
      <c r="I177" s="135">
        <v>0</v>
      </c>
      <c r="J177" s="135">
        <v>72.247847773877709</v>
      </c>
      <c r="K177" s="135">
        <v>572.05586550895998</v>
      </c>
      <c r="L177" s="135">
        <v>104.49248845372253</v>
      </c>
      <c r="M177" s="135">
        <v>819.99585040883778</v>
      </c>
      <c r="N177" s="135">
        <v>0</v>
      </c>
      <c r="O177" s="135">
        <v>-79.027969702567887</v>
      </c>
      <c r="P177" s="135">
        <v>947.0565010160725</v>
      </c>
      <c r="Q177" s="135">
        <v>689.16379087382234</v>
      </c>
      <c r="R177" s="135">
        <v>104.20509883613525</v>
      </c>
      <c r="S177" s="135">
        <v>11474.037727371708</v>
      </c>
      <c r="T177" s="135"/>
      <c r="U177" s="135">
        <v>6767.4639571402186</v>
      </c>
      <c r="V177" s="135">
        <v>0</v>
      </c>
      <c r="W177" s="135">
        <v>1821.7139848512841</v>
      </c>
      <c r="X177" s="135">
        <v>0</v>
      </c>
      <c r="Y177" s="135">
        <v>0</v>
      </c>
      <c r="Z177" s="135">
        <v>691.7394051357843</v>
      </c>
      <c r="AA177" s="135">
        <v>80.538961758728988</v>
      </c>
      <c r="AB177" s="135">
        <v>1032.2971777876135</v>
      </c>
      <c r="AC177" s="135">
        <v>100.40132926073103</v>
      </c>
      <c r="AD177" s="135">
        <v>0</v>
      </c>
      <c r="AE177" s="135">
        <v>946.22734096434522</v>
      </c>
      <c r="AF177" s="135">
        <v>711.85524060594878</v>
      </c>
      <c r="AG177" s="135">
        <v>53.715536670977286</v>
      </c>
      <c r="AH177" s="135">
        <v>12205.952934175632</v>
      </c>
      <c r="AI177" s="135">
        <v>665.23746536116687</v>
      </c>
      <c r="AJ177" s="135">
        <v>0</v>
      </c>
      <c r="AK177" s="135">
        <v>-319.90777757251067</v>
      </c>
      <c r="AL177" s="135">
        <v>0</v>
      </c>
      <c r="AM177" s="135">
        <v>-72.247847773877709</v>
      </c>
      <c r="AN177" s="135">
        <v>119.68353962682431</v>
      </c>
      <c r="AO177" s="135">
        <v>-23.953526694993542</v>
      </c>
      <c r="AP177" s="135">
        <v>212.30132737877568</v>
      </c>
      <c r="AQ177" s="135">
        <v>100.40132926073103</v>
      </c>
      <c r="AR177" s="135">
        <v>79.027969702567887</v>
      </c>
      <c r="AS177" s="135">
        <v>-0.82916005172728546</v>
      </c>
      <c r="AT177" s="135">
        <v>22.691449732126443</v>
      </c>
      <c r="AU177" s="135">
        <v>-50.489562165157963</v>
      </c>
      <c r="AV177" s="135">
        <v>731.91521539343682</v>
      </c>
      <c r="AW177" s="135"/>
      <c r="AX177" s="132"/>
      <c r="AY177" s="132"/>
      <c r="AZ177" s="155"/>
      <c r="BA177" s="155"/>
      <c r="BB177" s="132"/>
    </row>
    <row r="178" spans="1:54" ht="16.5" x14ac:dyDescent="0.3">
      <c r="A178" s="165">
        <v>463</v>
      </c>
      <c r="B178" s="165">
        <v>1</v>
      </c>
      <c r="C178" s="166" t="s">
        <v>469</v>
      </c>
      <c r="D178" s="167">
        <v>6</v>
      </c>
      <c r="E178" s="163">
        <v>969.47</v>
      </c>
      <c r="F178" s="135">
        <v>5969.2849907681511</v>
      </c>
      <c r="G178" s="135">
        <v>0</v>
      </c>
      <c r="H178" s="135">
        <v>837.42440715029863</v>
      </c>
      <c r="I178" s="135">
        <v>0</v>
      </c>
      <c r="J178" s="135">
        <v>119.99131484213022</v>
      </c>
      <c r="K178" s="135">
        <v>362.27740930611571</v>
      </c>
      <c r="L178" s="135">
        <v>0</v>
      </c>
      <c r="M178" s="135">
        <v>693.36242631105131</v>
      </c>
      <c r="N178" s="135">
        <v>0</v>
      </c>
      <c r="O178" s="135">
        <v>-35.891744974057993</v>
      </c>
      <c r="P178" s="135">
        <v>1774.7616842192126</v>
      </c>
      <c r="Q178" s="135">
        <v>132.86915531166514</v>
      </c>
      <c r="R178" s="135">
        <v>102.79464037051173</v>
      </c>
      <c r="S178" s="135">
        <v>9956.8742833050783</v>
      </c>
      <c r="T178" s="135"/>
      <c r="U178" s="135">
        <v>6580.2758208093082</v>
      </c>
      <c r="V178" s="135">
        <v>0</v>
      </c>
      <c r="W178" s="135">
        <v>524.08241616553369</v>
      </c>
      <c r="X178" s="135">
        <v>0</v>
      </c>
      <c r="Y178" s="135">
        <v>67.014368675668152</v>
      </c>
      <c r="Z178" s="135">
        <v>456.781637942494</v>
      </c>
      <c r="AA178" s="135">
        <v>0</v>
      </c>
      <c r="AB178" s="135">
        <v>780.22306658189336</v>
      </c>
      <c r="AC178" s="135">
        <v>81.539944736565431</v>
      </c>
      <c r="AD178" s="135">
        <v>1.1384880398568289</v>
      </c>
      <c r="AE178" s="135">
        <v>1895.30107885752</v>
      </c>
      <c r="AF178" s="135">
        <v>137.74710924525772</v>
      </c>
      <c r="AG178" s="135">
        <v>57.759456197716275</v>
      </c>
      <c r="AH178" s="135">
        <v>10581.863387251813</v>
      </c>
      <c r="AI178" s="135">
        <v>610.9908300411571</v>
      </c>
      <c r="AJ178" s="135">
        <v>0</v>
      </c>
      <c r="AK178" s="135">
        <v>-313.34199098476495</v>
      </c>
      <c r="AL178" s="135">
        <v>0</v>
      </c>
      <c r="AM178" s="135">
        <v>-52.976946166462071</v>
      </c>
      <c r="AN178" s="135">
        <v>94.504228636378286</v>
      </c>
      <c r="AO178" s="135">
        <v>0</v>
      </c>
      <c r="AP178" s="135">
        <v>86.860640270842055</v>
      </c>
      <c r="AQ178" s="135">
        <v>81.539944736565431</v>
      </c>
      <c r="AR178" s="135">
        <v>37.030233013914824</v>
      </c>
      <c r="AS178" s="135">
        <v>120.53939463830739</v>
      </c>
      <c r="AT178" s="135">
        <v>4.877953933592579</v>
      </c>
      <c r="AU178" s="135">
        <v>-45.035184172795454</v>
      </c>
      <c r="AV178" s="135">
        <v>624.98911387733631</v>
      </c>
      <c r="AW178" s="135"/>
      <c r="AX178" s="164"/>
      <c r="AY178" s="132"/>
      <c r="AZ178" s="135"/>
      <c r="BA178" s="135"/>
      <c r="BB178" s="132"/>
    </row>
    <row r="179" spans="1:54" ht="16.5" x14ac:dyDescent="0.3">
      <c r="A179" s="165">
        <v>465</v>
      </c>
      <c r="B179" s="165">
        <v>1</v>
      </c>
      <c r="C179" s="166" t="s">
        <v>358</v>
      </c>
      <c r="D179" s="167">
        <v>5</v>
      </c>
      <c r="E179" s="163">
        <v>1727.96</v>
      </c>
      <c r="F179" s="135">
        <v>5980.6812657700411</v>
      </c>
      <c r="G179" s="135">
        <v>12.158279126831639</v>
      </c>
      <c r="H179" s="135">
        <v>733.29423134794786</v>
      </c>
      <c r="I179" s="135">
        <v>0</v>
      </c>
      <c r="J179" s="135">
        <v>123.86100951410911</v>
      </c>
      <c r="K179" s="135">
        <v>485.84902428296954</v>
      </c>
      <c r="L179" s="135">
        <v>0</v>
      </c>
      <c r="M179" s="135">
        <v>933.32027229568405</v>
      </c>
      <c r="N179" s="135">
        <v>0</v>
      </c>
      <c r="O179" s="135">
        <v>-51.467661288455751</v>
      </c>
      <c r="P179" s="135">
        <v>1268.0609354383203</v>
      </c>
      <c r="Q179" s="135">
        <v>144.63998587930274</v>
      </c>
      <c r="R179" s="135">
        <v>107.16717400865761</v>
      </c>
      <c r="S179" s="135">
        <v>9737.564516375407</v>
      </c>
      <c r="T179" s="135"/>
      <c r="U179" s="135">
        <v>6606.803976943911</v>
      </c>
      <c r="V179" s="135">
        <v>0</v>
      </c>
      <c r="W179" s="135">
        <v>430.84751383133869</v>
      </c>
      <c r="X179" s="135">
        <v>0</v>
      </c>
      <c r="Y179" s="135">
        <v>74.095083219518969</v>
      </c>
      <c r="Z179" s="135">
        <v>580.48202224326155</v>
      </c>
      <c r="AA179" s="135">
        <v>0</v>
      </c>
      <c r="AB179" s="135">
        <v>1017.2285361230897</v>
      </c>
      <c r="AC179" s="135">
        <v>75.051311944822174</v>
      </c>
      <c r="AD179" s="135">
        <v>0</v>
      </c>
      <c r="AE179" s="135">
        <v>1282.6589551141228</v>
      </c>
      <c r="AF179" s="135">
        <v>154.14827310817378</v>
      </c>
      <c r="AG179" s="135">
        <v>57.842421120859278</v>
      </c>
      <c r="AH179" s="135">
        <v>10279.158093649097</v>
      </c>
      <c r="AI179" s="135">
        <v>626.1227111738699</v>
      </c>
      <c r="AJ179" s="135">
        <v>-12.158279126831639</v>
      </c>
      <c r="AK179" s="135">
        <v>-302.44671751660917</v>
      </c>
      <c r="AL179" s="135">
        <v>0</v>
      </c>
      <c r="AM179" s="135">
        <v>-49.765926294590145</v>
      </c>
      <c r="AN179" s="135">
        <v>94.632997960292016</v>
      </c>
      <c r="AO179" s="135">
        <v>0</v>
      </c>
      <c r="AP179" s="135">
        <v>83.908263827405676</v>
      </c>
      <c r="AQ179" s="135">
        <v>75.051311944822174</v>
      </c>
      <c r="AR179" s="135">
        <v>51.467661288455751</v>
      </c>
      <c r="AS179" s="135">
        <v>14.598019675802561</v>
      </c>
      <c r="AT179" s="135">
        <v>9.5082872288710405</v>
      </c>
      <c r="AU179" s="135">
        <v>-49.324752887798333</v>
      </c>
      <c r="AV179" s="135">
        <v>541.59358307205957</v>
      </c>
      <c r="AW179" s="135"/>
      <c r="AX179" s="164"/>
      <c r="AY179" s="132"/>
      <c r="AZ179" s="135"/>
      <c r="BA179" s="135"/>
      <c r="BB179" s="134"/>
    </row>
    <row r="180" spans="1:54" ht="16.5" x14ac:dyDescent="0.3">
      <c r="A180" s="165">
        <v>466</v>
      </c>
      <c r="B180" s="165">
        <v>1</v>
      </c>
      <c r="C180" s="166" t="s">
        <v>460</v>
      </c>
      <c r="D180" s="167">
        <v>4</v>
      </c>
      <c r="E180" s="163">
        <v>2252.15</v>
      </c>
      <c r="F180" s="135">
        <v>6016.4317296805275</v>
      </c>
      <c r="G180" s="135">
        <v>21.824536553959547</v>
      </c>
      <c r="H180" s="135">
        <v>509.0156295095797</v>
      </c>
      <c r="I180" s="135">
        <v>0</v>
      </c>
      <c r="J180" s="135">
        <v>134.85145305596873</v>
      </c>
      <c r="K180" s="135">
        <v>345.83241347157161</v>
      </c>
      <c r="L180" s="135">
        <v>0</v>
      </c>
      <c r="M180" s="135">
        <v>742.74282034086809</v>
      </c>
      <c r="N180" s="135">
        <v>0</v>
      </c>
      <c r="O180" s="135">
        <v>-37.261159336633881</v>
      </c>
      <c r="P180" s="135">
        <v>916.19778256332836</v>
      </c>
      <c r="Q180" s="135">
        <v>121.92948515862619</v>
      </c>
      <c r="R180" s="135">
        <v>113.46084852252292</v>
      </c>
      <c r="S180" s="135">
        <v>8885.0255395203185</v>
      </c>
      <c r="T180" s="135"/>
      <c r="U180" s="135">
        <v>6647.4839597717737</v>
      </c>
      <c r="V180" s="135">
        <v>0</v>
      </c>
      <c r="W180" s="135">
        <v>3.2604311435739177</v>
      </c>
      <c r="X180" s="135">
        <v>246.20022509764391</v>
      </c>
      <c r="Y180" s="135">
        <v>105.28272983593455</v>
      </c>
      <c r="Z180" s="135">
        <v>386.31369612669488</v>
      </c>
      <c r="AA180" s="135">
        <v>0</v>
      </c>
      <c r="AB180" s="135">
        <v>821.65722229711616</v>
      </c>
      <c r="AC180" s="135">
        <v>78.512206830631584</v>
      </c>
      <c r="AD180" s="135">
        <v>0.14772106653642075</v>
      </c>
      <c r="AE180" s="135">
        <v>1030.5018245849521</v>
      </c>
      <c r="AF180" s="135">
        <v>122.61970117443332</v>
      </c>
      <c r="AG180" s="135">
        <v>64.295934995448789</v>
      </c>
      <c r="AH180" s="135">
        <v>9506.2756529247381</v>
      </c>
      <c r="AI180" s="135">
        <v>631.0522300912462</v>
      </c>
      <c r="AJ180" s="135">
        <v>-21.824536553959547</v>
      </c>
      <c r="AK180" s="135">
        <v>-505.7551983660058</v>
      </c>
      <c r="AL180" s="135">
        <v>246.20022509764391</v>
      </c>
      <c r="AM180" s="135">
        <v>-29.568723220034187</v>
      </c>
      <c r="AN180" s="135">
        <v>40.481282655123266</v>
      </c>
      <c r="AO180" s="135">
        <v>0</v>
      </c>
      <c r="AP180" s="135">
        <v>78.914401956248071</v>
      </c>
      <c r="AQ180" s="135">
        <v>78.512206830631584</v>
      </c>
      <c r="AR180" s="135">
        <v>37.408880403170301</v>
      </c>
      <c r="AS180" s="135">
        <v>114.30404202162379</v>
      </c>
      <c r="AT180" s="135">
        <v>0.69021601580712399</v>
      </c>
      <c r="AU180" s="135">
        <v>-49.164913527074134</v>
      </c>
      <c r="AV180" s="135">
        <v>621.25011684253582</v>
      </c>
      <c r="AW180" s="135"/>
      <c r="AX180" s="164"/>
      <c r="AY180" s="132"/>
      <c r="AZ180" s="135"/>
      <c r="BA180" s="135"/>
      <c r="BB180" s="132"/>
    </row>
    <row r="181" spans="1:54" ht="16.5" x14ac:dyDescent="0.3">
      <c r="A181" s="165">
        <v>473</v>
      </c>
      <c r="B181" s="165">
        <v>1</v>
      </c>
      <c r="C181" s="166" t="s">
        <v>483</v>
      </c>
      <c r="D181" s="167">
        <v>6</v>
      </c>
      <c r="E181" s="163">
        <v>498.32</v>
      </c>
      <c r="F181" s="135">
        <v>6040.6431208861768</v>
      </c>
      <c r="G181" s="135">
        <v>38.748454808155408</v>
      </c>
      <c r="H181" s="135">
        <v>6.7888104029539251</v>
      </c>
      <c r="I181" s="135">
        <v>0</v>
      </c>
      <c r="J181" s="135">
        <v>153.9471022636057</v>
      </c>
      <c r="K181" s="135">
        <v>592.97692245946382</v>
      </c>
      <c r="L181" s="135">
        <v>0</v>
      </c>
      <c r="M181" s="135">
        <v>776.13871559696577</v>
      </c>
      <c r="N181" s="135">
        <v>0</v>
      </c>
      <c r="O181" s="135">
        <v>-44.07208219617916</v>
      </c>
      <c r="P181" s="135">
        <v>1603.6455329908492</v>
      </c>
      <c r="Q181" s="135">
        <v>632.86201637502006</v>
      </c>
      <c r="R181" s="135">
        <v>102.82535318670733</v>
      </c>
      <c r="S181" s="135">
        <v>9904.5039467737188</v>
      </c>
      <c r="T181" s="135"/>
      <c r="U181" s="135">
        <v>6691.6235350778616</v>
      </c>
      <c r="V181" s="135">
        <v>0</v>
      </c>
      <c r="W181" s="135">
        <v>0</v>
      </c>
      <c r="X181" s="135">
        <v>0</v>
      </c>
      <c r="Y181" s="135">
        <v>105.7774121046717</v>
      </c>
      <c r="Z181" s="135">
        <v>658.837674586611</v>
      </c>
      <c r="AA181" s="135">
        <v>0</v>
      </c>
      <c r="AB181" s="135">
        <v>968.39213629213782</v>
      </c>
      <c r="AC181" s="135">
        <v>74.359720746481401</v>
      </c>
      <c r="AD181" s="135">
        <v>0</v>
      </c>
      <c r="AE181" s="135">
        <v>1683.878590805105</v>
      </c>
      <c r="AF181" s="135">
        <v>610.34165137282321</v>
      </c>
      <c r="AG181" s="135">
        <v>53.562550168566382</v>
      </c>
      <c r="AH181" s="135">
        <v>10846.773271154256</v>
      </c>
      <c r="AI181" s="135">
        <v>650.98041419168476</v>
      </c>
      <c r="AJ181" s="135">
        <v>-38.748454808155408</v>
      </c>
      <c r="AK181" s="135">
        <v>-6.7888104029539251</v>
      </c>
      <c r="AL181" s="135">
        <v>0</v>
      </c>
      <c r="AM181" s="135">
        <v>-48.169690158934003</v>
      </c>
      <c r="AN181" s="135">
        <v>65.86075212714718</v>
      </c>
      <c r="AO181" s="135">
        <v>0</v>
      </c>
      <c r="AP181" s="135">
        <v>192.25342069517205</v>
      </c>
      <c r="AQ181" s="135">
        <v>74.359720746481401</v>
      </c>
      <c r="AR181" s="135">
        <v>44.07208219617916</v>
      </c>
      <c r="AS181" s="135">
        <v>80.233057814255744</v>
      </c>
      <c r="AT181" s="135">
        <v>-22.520365002196854</v>
      </c>
      <c r="AU181" s="135">
        <v>-49.26280301814095</v>
      </c>
      <c r="AV181" s="135">
        <v>942.26932663665309</v>
      </c>
      <c r="AW181" s="135"/>
      <c r="AX181" s="164"/>
      <c r="AY181" s="132"/>
      <c r="AZ181" s="135"/>
      <c r="BA181" s="135"/>
      <c r="BB181" s="132"/>
    </row>
    <row r="182" spans="1:54" ht="16.5" x14ac:dyDescent="0.3">
      <c r="A182" s="165">
        <v>477</v>
      </c>
      <c r="B182" s="165">
        <v>1</v>
      </c>
      <c r="C182" s="166" t="s">
        <v>485</v>
      </c>
      <c r="D182" s="167">
        <v>4</v>
      </c>
      <c r="E182" s="163">
        <v>3368.39</v>
      </c>
      <c r="F182" s="135">
        <v>6031.9512883009384</v>
      </c>
      <c r="G182" s="135">
        <v>6.5931171865490636</v>
      </c>
      <c r="H182" s="135">
        <v>395.08932160468356</v>
      </c>
      <c r="I182" s="135">
        <v>0</v>
      </c>
      <c r="J182" s="135">
        <v>138.75566368502462</v>
      </c>
      <c r="K182" s="135">
        <v>281.84494372682497</v>
      </c>
      <c r="L182" s="135">
        <v>0</v>
      </c>
      <c r="M182" s="135">
        <v>621.02669437983718</v>
      </c>
      <c r="N182" s="135">
        <v>0</v>
      </c>
      <c r="O182" s="135">
        <v>-33.256481583189597</v>
      </c>
      <c r="P182" s="135">
        <v>1119.1174636632254</v>
      </c>
      <c r="Q182" s="135">
        <v>108.33033585778369</v>
      </c>
      <c r="R182" s="135">
        <v>279.23937251921546</v>
      </c>
      <c r="S182" s="135">
        <v>8948.6917193408917</v>
      </c>
      <c r="T182" s="135"/>
      <c r="U182" s="135">
        <v>6678.012344176298</v>
      </c>
      <c r="V182" s="135">
        <v>0</v>
      </c>
      <c r="W182" s="135">
        <v>0</v>
      </c>
      <c r="X182" s="135">
        <v>118.89559450995725</v>
      </c>
      <c r="Y182" s="135">
        <v>106.00019593930632</v>
      </c>
      <c r="Z182" s="135">
        <v>365.79562291746782</v>
      </c>
      <c r="AA182" s="135">
        <v>0</v>
      </c>
      <c r="AB182" s="135">
        <v>793.28217669453886</v>
      </c>
      <c r="AC182" s="135">
        <v>61.981606899578388</v>
      </c>
      <c r="AD182" s="135">
        <v>4.3248079943236979</v>
      </c>
      <c r="AE182" s="135">
        <v>1199.801585859374</v>
      </c>
      <c r="AF182" s="135">
        <v>116.7592173115346</v>
      </c>
      <c r="AG182" s="135">
        <v>230.30807299629794</v>
      </c>
      <c r="AH182" s="135">
        <v>9675.1612252986797</v>
      </c>
      <c r="AI182" s="135">
        <v>646.06105587535967</v>
      </c>
      <c r="AJ182" s="135">
        <v>-6.5931171865490636</v>
      </c>
      <c r="AK182" s="135">
        <v>-395.08932160468356</v>
      </c>
      <c r="AL182" s="135">
        <v>118.89559450995725</v>
      </c>
      <c r="AM182" s="135">
        <v>-32.755467745718292</v>
      </c>
      <c r="AN182" s="135">
        <v>83.950679190642859</v>
      </c>
      <c r="AO182" s="135">
        <v>0</v>
      </c>
      <c r="AP182" s="135">
        <v>172.25548231470168</v>
      </c>
      <c r="AQ182" s="135">
        <v>61.981606899578388</v>
      </c>
      <c r="AR182" s="135">
        <v>37.581289577513296</v>
      </c>
      <c r="AS182" s="135">
        <v>80.684122196148564</v>
      </c>
      <c r="AT182" s="135">
        <v>8.428881453750904</v>
      </c>
      <c r="AU182" s="135">
        <v>-48.931299522917527</v>
      </c>
      <c r="AV182" s="135">
        <v>726.46950755838543</v>
      </c>
      <c r="AW182" s="135"/>
      <c r="AX182" s="164"/>
      <c r="AY182" s="132"/>
      <c r="AZ182" s="135"/>
      <c r="BA182" s="135"/>
      <c r="BB182" s="132"/>
    </row>
    <row r="183" spans="1:54" ht="16.5" x14ac:dyDescent="0.3">
      <c r="A183" s="165">
        <v>480</v>
      </c>
      <c r="B183" s="165">
        <v>1</v>
      </c>
      <c r="C183" s="166" t="s">
        <v>486</v>
      </c>
      <c r="D183" s="167">
        <v>6</v>
      </c>
      <c r="E183" s="163">
        <v>665</v>
      </c>
      <c r="F183" s="135">
        <v>6083.6425864661651</v>
      </c>
      <c r="G183" s="135">
        <v>51.496676691729327</v>
      </c>
      <c r="H183" s="135">
        <v>652.19792481203001</v>
      </c>
      <c r="I183" s="135">
        <v>0</v>
      </c>
      <c r="J183" s="135">
        <v>131.33867669172932</v>
      </c>
      <c r="K183" s="135">
        <v>1356.8867218045114</v>
      </c>
      <c r="L183" s="135">
        <v>0</v>
      </c>
      <c r="M183" s="135">
        <v>2345.9563357979368</v>
      </c>
      <c r="N183" s="135">
        <v>0</v>
      </c>
      <c r="O183" s="135">
        <v>-60.891729323308269</v>
      </c>
      <c r="P183" s="135">
        <v>839.39410406015031</v>
      </c>
      <c r="Q183" s="135">
        <v>780.12636090225556</v>
      </c>
      <c r="R183" s="135">
        <v>92.44375939849624</v>
      </c>
      <c r="S183" s="135">
        <v>12272.591417301697</v>
      </c>
      <c r="T183" s="135"/>
      <c r="U183" s="135">
        <v>6728.6842105263158</v>
      </c>
      <c r="V183" s="135">
        <v>0</v>
      </c>
      <c r="W183" s="135">
        <v>383.27867669172934</v>
      </c>
      <c r="X183" s="135">
        <v>0</v>
      </c>
      <c r="Y183" s="135">
        <v>79.427458646616543</v>
      </c>
      <c r="Z183" s="135">
        <v>1455.1425112781956</v>
      </c>
      <c r="AA183" s="135">
        <v>0</v>
      </c>
      <c r="AB183" s="135">
        <v>2820.389779138698</v>
      </c>
      <c r="AC183" s="135">
        <v>85.799330118546905</v>
      </c>
      <c r="AD183" s="135">
        <v>0</v>
      </c>
      <c r="AE183" s="135">
        <v>932.43970492481208</v>
      </c>
      <c r="AF183" s="135">
        <v>767.44586317768108</v>
      </c>
      <c r="AG183" s="135">
        <v>46.079007518796999</v>
      </c>
      <c r="AH183" s="135">
        <v>13298.686542021396</v>
      </c>
      <c r="AI183" s="135">
        <v>645.04162406015075</v>
      </c>
      <c r="AJ183" s="135">
        <v>-51.496676691729327</v>
      </c>
      <c r="AK183" s="135">
        <v>-268.91924812030067</v>
      </c>
      <c r="AL183" s="135">
        <v>0</v>
      </c>
      <c r="AM183" s="135">
        <v>-51.911218045112776</v>
      </c>
      <c r="AN183" s="135">
        <v>98.255789473684217</v>
      </c>
      <c r="AO183" s="135">
        <v>0</v>
      </c>
      <c r="AP183" s="135">
        <v>474.43344334076119</v>
      </c>
      <c r="AQ183" s="135">
        <v>85.799330118546905</v>
      </c>
      <c r="AR183" s="135">
        <v>60.891729323308269</v>
      </c>
      <c r="AS183" s="135">
        <v>93.045600864661765</v>
      </c>
      <c r="AT183" s="135">
        <v>-12.680497724574479</v>
      </c>
      <c r="AU183" s="135">
        <v>-46.364751879699241</v>
      </c>
      <c r="AV183" s="135">
        <v>1026.0951267618316</v>
      </c>
      <c r="AW183" s="135"/>
      <c r="AX183" s="164"/>
      <c r="AY183" s="132"/>
      <c r="AZ183" s="135"/>
      <c r="BA183" s="135"/>
      <c r="BB183" s="132"/>
    </row>
    <row r="184" spans="1:54" ht="16.5" x14ac:dyDescent="0.3">
      <c r="A184" s="165">
        <v>482</v>
      </c>
      <c r="B184" s="165">
        <v>1</v>
      </c>
      <c r="C184" s="166" t="s">
        <v>487</v>
      </c>
      <c r="D184" s="167">
        <v>4</v>
      </c>
      <c r="E184" s="163">
        <v>2240.6</v>
      </c>
      <c r="F184" s="135">
        <v>6190.5309292153888</v>
      </c>
      <c r="G184" s="135">
        <v>37.719102026242972</v>
      </c>
      <c r="H184" s="135">
        <v>1116.3169731321968</v>
      </c>
      <c r="I184" s="135">
        <v>0</v>
      </c>
      <c r="J184" s="135">
        <v>112.87290904222084</v>
      </c>
      <c r="K184" s="135">
        <v>583.6400740872981</v>
      </c>
      <c r="L184" s="135">
        <v>0</v>
      </c>
      <c r="M184" s="135">
        <v>1007.7707704761083</v>
      </c>
      <c r="N184" s="135">
        <v>0</v>
      </c>
      <c r="O184" s="135">
        <v>-62.585896634829957</v>
      </c>
      <c r="P184" s="135">
        <v>749.88874051593325</v>
      </c>
      <c r="Q184" s="135">
        <v>156.44599660805144</v>
      </c>
      <c r="R184" s="135">
        <v>102.64490761403195</v>
      </c>
      <c r="S184" s="135">
        <v>9995.2445060826431</v>
      </c>
      <c r="T184" s="135"/>
      <c r="U184" s="135">
        <v>6873.2713201820934</v>
      </c>
      <c r="V184" s="135">
        <v>0</v>
      </c>
      <c r="W184" s="135">
        <v>621.43014371150582</v>
      </c>
      <c r="X184" s="135">
        <v>250.13698996779064</v>
      </c>
      <c r="Y184" s="135">
        <v>62.1344907614032</v>
      </c>
      <c r="Z184" s="135">
        <v>707.54527553616515</v>
      </c>
      <c r="AA184" s="135">
        <v>0</v>
      </c>
      <c r="AB184" s="135">
        <v>1262.3849697004421</v>
      </c>
      <c r="AC184" s="135">
        <v>96.127011547330255</v>
      </c>
      <c r="AD184" s="135">
        <v>0</v>
      </c>
      <c r="AE184" s="135">
        <v>827.69292978844953</v>
      </c>
      <c r="AF184" s="135">
        <v>167.47445327144516</v>
      </c>
      <c r="AG184" s="135">
        <v>52.706542890297243</v>
      </c>
      <c r="AH184" s="135">
        <v>10920.904127356922</v>
      </c>
      <c r="AI184" s="135">
        <v>682.74039096670458</v>
      </c>
      <c r="AJ184" s="135">
        <v>-37.719102026242972</v>
      </c>
      <c r="AK184" s="135">
        <v>-494.88682942069102</v>
      </c>
      <c r="AL184" s="135">
        <v>250.13698996779064</v>
      </c>
      <c r="AM184" s="135">
        <v>-50.73841828081764</v>
      </c>
      <c r="AN184" s="135">
        <v>123.90520144886705</v>
      </c>
      <c r="AO184" s="135">
        <v>0</v>
      </c>
      <c r="AP184" s="135">
        <v>254.61419922433379</v>
      </c>
      <c r="AQ184" s="135">
        <v>96.127011547330255</v>
      </c>
      <c r="AR184" s="135">
        <v>62.585896634829957</v>
      </c>
      <c r="AS184" s="135">
        <v>77.804189272516282</v>
      </c>
      <c r="AT184" s="135">
        <v>11.028456663393712</v>
      </c>
      <c r="AU184" s="135">
        <v>-49.938364723734708</v>
      </c>
      <c r="AV184" s="135">
        <v>925.65962773335559</v>
      </c>
      <c r="AW184" s="135"/>
      <c r="AX184" s="164"/>
      <c r="AY184" s="132"/>
      <c r="AZ184" s="135"/>
      <c r="BA184" s="135"/>
      <c r="BB184" s="132"/>
    </row>
    <row r="185" spans="1:54" ht="16.5" x14ac:dyDescent="0.3">
      <c r="A185" s="165">
        <v>484</v>
      </c>
      <c r="B185" s="165">
        <v>1</v>
      </c>
      <c r="C185" s="166" t="s">
        <v>488</v>
      </c>
      <c r="D185" s="167">
        <v>5</v>
      </c>
      <c r="E185" s="163">
        <v>1087.54</v>
      </c>
      <c r="F185" s="135">
        <v>6149.9229453629296</v>
      </c>
      <c r="G185" s="135">
        <v>0</v>
      </c>
      <c r="H185" s="135">
        <v>736.10621218529889</v>
      </c>
      <c r="I185" s="135">
        <v>0</v>
      </c>
      <c r="J185" s="135">
        <v>131.94551005020506</v>
      </c>
      <c r="K185" s="135">
        <v>464.69094470088459</v>
      </c>
      <c r="L185" s="135">
        <v>0</v>
      </c>
      <c r="M185" s="135">
        <v>797.26787681568021</v>
      </c>
      <c r="N185" s="135">
        <v>0</v>
      </c>
      <c r="O185" s="135">
        <v>-42.879507880169925</v>
      </c>
      <c r="P185" s="135">
        <v>855.07932949592669</v>
      </c>
      <c r="Q185" s="135">
        <v>205.48795446604262</v>
      </c>
      <c r="R185" s="135">
        <v>66.853715725398615</v>
      </c>
      <c r="S185" s="135">
        <v>9364.4749809221976</v>
      </c>
      <c r="T185" s="135"/>
      <c r="U185" s="135">
        <v>6813.7112014270742</v>
      </c>
      <c r="V185" s="135">
        <v>0</v>
      </c>
      <c r="W185" s="135">
        <v>412.53941923975214</v>
      </c>
      <c r="X185" s="135">
        <v>0</v>
      </c>
      <c r="Y185" s="135">
        <v>78.389162697464016</v>
      </c>
      <c r="Z185" s="135">
        <v>588.85737396678348</v>
      </c>
      <c r="AA185" s="135">
        <v>0</v>
      </c>
      <c r="AB185" s="135">
        <v>983.87886804986192</v>
      </c>
      <c r="AC185" s="135">
        <v>82.038427553678829</v>
      </c>
      <c r="AD185" s="135">
        <v>0</v>
      </c>
      <c r="AE185" s="135">
        <v>991.54591477778172</v>
      </c>
      <c r="AF185" s="135">
        <v>184.60678227927249</v>
      </c>
      <c r="AG185" s="135">
        <v>52.726787060705817</v>
      </c>
      <c r="AH185" s="135">
        <v>10188.293937052375</v>
      </c>
      <c r="AI185" s="135">
        <v>663.78825606414466</v>
      </c>
      <c r="AJ185" s="135">
        <v>0</v>
      </c>
      <c r="AK185" s="135">
        <v>-323.56679294554675</v>
      </c>
      <c r="AL185" s="135">
        <v>0</v>
      </c>
      <c r="AM185" s="135">
        <v>-53.556347352741042</v>
      </c>
      <c r="AN185" s="135">
        <v>124.1664292658989</v>
      </c>
      <c r="AO185" s="135">
        <v>0</v>
      </c>
      <c r="AP185" s="135">
        <v>186.61099123418171</v>
      </c>
      <c r="AQ185" s="135">
        <v>82.038427553678829</v>
      </c>
      <c r="AR185" s="135">
        <v>42.879507880169925</v>
      </c>
      <c r="AS185" s="135">
        <v>136.46658528185503</v>
      </c>
      <c r="AT185" s="135">
        <v>-20.881172186770129</v>
      </c>
      <c r="AU185" s="135">
        <v>-14.126928664692798</v>
      </c>
      <c r="AV185" s="135">
        <v>823.81895911128311</v>
      </c>
      <c r="AW185" s="135"/>
      <c r="AX185" s="164"/>
      <c r="AY185" s="132"/>
      <c r="AZ185" s="135"/>
      <c r="BA185" s="135"/>
      <c r="BB185" s="132"/>
    </row>
    <row r="186" spans="1:54" ht="16.5" x14ac:dyDescent="0.3">
      <c r="A186" s="165">
        <v>485</v>
      </c>
      <c r="B186" s="165">
        <v>1</v>
      </c>
      <c r="C186" s="166" t="s">
        <v>490</v>
      </c>
      <c r="D186" s="167">
        <v>6</v>
      </c>
      <c r="E186" s="163">
        <v>850.49</v>
      </c>
      <c r="F186" s="135">
        <v>5931.7820080189067</v>
      </c>
      <c r="G186" s="135">
        <v>20.881597667227126</v>
      </c>
      <c r="H186" s="135">
        <v>4.2553939493703634</v>
      </c>
      <c r="I186" s="135">
        <v>0</v>
      </c>
      <c r="J186" s="135">
        <v>149.82921609895473</v>
      </c>
      <c r="K186" s="135">
        <v>318.0592952298087</v>
      </c>
      <c r="L186" s="135">
        <v>0</v>
      </c>
      <c r="M186" s="135">
        <v>620.25053833672337</v>
      </c>
      <c r="N186" s="135">
        <v>0</v>
      </c>
      <c r="O186" s="135">
        <v>-46.126233112676225</v>
      </c>
      <c r="P186" s="135">
        <v>1201.8834652964761</v>
      </c>
      <c r="Q186" s="135">
        <v>178.24869193053416</v>
      </c>
      <c r="R186" s="135">
        <v>108.24888005737868</v>
      </c>
      <c r="S186" s="135">
        <v>8487.312853472702</v>
      </c>
      <c r="T186" s="135"/>
      <c r="U186" s="135">
        <v>6544.6695434396643</v>
      </c>
      <c r="V186" s="135">
        <v>0</v>
      </c>
      <c r="W186" s="135">
        <v>0</v>
      </c>
      <c r="X186" s="135">
        <v>0</v>
      </c>
      <c r="Y186" s="135">
        <v>103.88364354666133</v>
      </c>
      <c r="Z186" s="135">
        <v>408.74150195769499</v>
      </c>
      <c r="AA186" s="135">
        <v>0</v>
      </c>
      <c r="AB186" s="135">
        <v>784.97032220842163</v>
      </c>
      <c r="AC186" s="135">
        <v>129.75221547262288</v>
      </c>
      <c r="AD186" s="135">
        <v>0</v>
      </c>
      <c r="AE186" s="135">
        <v>1300.3018414540861</v>
      </c>
      <c r="AF186" s="135">
        <v>189.32662673839417</v>
      </c>
      <c r="AG186" s="135">
        <v>56.966866159508051</v>
      </c>
      <c r="AH186" s="135">
        <v>9518.6125609770515</v>
      </c>
      <c r="AI186" s="135">
        <v>612.88753542075756</v>
      </c>
      <c r="AJ186" s="135">
        <v>-20.881597667227126</v>
      </c>
      <c r="AK186" s="135">
        <v>-4.2553939493703634</v>
      </c>
      <c r="AL186" s="135">
        <v>0</v>
      </c>
      <c r="AM186" s="135">
        <v>-45.945572552293399</v>
      </c>
      <c r="AN186" s="135">
        <v>90.682206727886296</v>
      </c>
      <c r="AO186" s="135">
        <v>0</v>
      </c>
      <c r="AP186" s="135">
        <v>164.71978387169827</v>
      </c>
      <c r="AQ186" s="135">
        <v>129.75221547262288</v>
      </c>
      <c r="AR186" s="135">
        <v>46.126233112676225</v>
      </c>
      <c r="AS186" s="135">
        <v>98.418376157610055</v>
      </c>
      <c r="AT186" s="135">
        <v>11.077934807860004</v>
      </c>
      <c r="AU186" s="135">
        <v>-51.282013897870634</v>
      </c>
      <c r="AV186" s="135">
        <v>1031.2997076410284</v>
      </c>
      <c r="AW186" s="135"/>
      <c r="AX186" s="132"/>
      <c r="AY186" s="132"/>
      <c r="AZ186" s="155"/>
      <c r="BA186" s="155"/>
      <c r="BB186" s="132"/>
    </row>
    <row r="187" spans="1:54" ht="16.5" x14ac:dyDescent="0.3">
      <c r="A187" s="165">
        <v>486</v>
      </c>
      <c r="B187" s="165">
        <v>1</v>
      </c>
      <c r="C187" s="166" t="s">
        <v>492</v>
      </c>
      <c r="D187" s="167">
        <v>6</v>
      </c>
      <c r="E187" s="163">
        <v>291.75</v>
      </c>
      <c r="F187" s="135">
        <v>6263.9654498714654</v>
      </c>
      <c r="G187" s="135">
        <v>0</v>
      </c>
      <c r="H187" s="135">
        <v>1024.2042159383034</v>
      </c>
      <c r="I187" s="135">
        <v>0</v>
      </c>
      <c r="J187" s="135">
        <v>118.3246615252785</v>
      </c>
      <c r="K187" s="135">
        <v>721.12685518423302</v>
      </c>
      <c r="L187" s="135">
        <v>102.57329905741216</v>
      </c>
      <c r="M187" s="135">
        <v>769.11361611105735</v>
      </c>
      <c r="N187" s="135">
        <v>0</v>
      </c>
      <c r="O187" s="135">
        <v>-60.998731790916885</v>
      </c>
      <c r="P187" s="135">
        <v>1906.3966930591259</v>
      </c>
      <c r="Q187" s="135">
        <v>616.00058269065983</v>
      </c>
      <c r="R187" s="135">
        <v>96.108517566409603</v>
      </c>
      <c r="S187" s="135">
        <v>11556.815159213029</v>
      </c>
      <c r="T187" s="135"/>
      <c r="U187" s="135">
        <v>6966.35969151671</v>
      </c>
      <c r="V187" s="135">
        <v>0</v>
      </c>
      <c r="W187" s="135">
        <v>704.91890317052264</v>
      </c>
      <c r="X187" s="135">
        <v>0</v>
      </c>
      <c r="Y187" s="135">
        <v>56.078800342759209</v>
      </c>
      <c r="Z187" s="135">
        <v>852.74735218508999</v>
      </c>
      <c r="AA187" s="135">
        <v>65.182622107969152</v>
      </c>
      <c r="AB187" s="135">
        <v>948.38739598461245</v>
      </c>
      <c r="AC187" s="135">
        <v>101.60736532616723</v>
      </c>
      <c r="AD187" s="135">
        <v>0</v>
      </c>
      <c r="AE187" s="135">
        <v>2016.12636902485</v>
      </c>
      <c r="AF187" s="135">
        <v>615.04270543994949</v>
      </c>
      <c r="AG187" s="135">
        <v>45.217823479005993</v>
      </c>
      <c r="AH187" s="135">
        <v>12371.669028577639</v>
      </c>
      <c r="AI187" s="135">
        <v>702.39424164524462</v>
      </c>
      <c r="AJ187" s="135">
        <v>0</v>
      </c>
      <c r="AK187" s="135">
        <v>-319.28531276778074</v>
      </c>
      <c r="AL187" s="135">
        <v>0</v>
      </c>
      <c r="AM187" s="135">
        <v>-62.245861182519292</v>
      </c>
      <c r="AN187" s="135">
        <v>131.62049700085697</v>
      </c>
      <c r="AO187" s="135">
        <v>-37.390676949443005</v>
      </c>
      <c r="AP187" s="135">
        <v>179.2737798735551</v>
      </c>
      <c r="AQ187" s="135">
        <v>101.60736532616723</v>
      </c>
      <c r="AR187" s="135">
        <v>60.998731790916885</v>
      </c>
      <c r="AS187" s="135">
        <v>109.72967596572403</v>
      </c>
      <c r="AT187" s="135">
        <v>-0.95787725071033947</v>
      </c>
      <c r="AU187" s="135">
        <v>-50.89069408740361</v>
      </c>
      <c r="AV187" s="135">
        <v>814.85387267251667</v>
      </c>
      <c r="AW187" s="135"/>
      <c r="AX187" s="164"/>
      <c r="AY187" s="132"/>
      <c r="AZ187" s="135"/>
      <c r="BA187" s="135"/>
      <c r="BB187" s="132"/>
    </row>
    <row r="188" spans="1:54" ht="16.5" x14ac:dyDescent="0.3">
      <c r="A188" s="165">
        <v>487</v>
      </c>
      <c r="B188" s="165">
        <v>1</v>
      </c>
      <c r="C188" s="166" t="s">
        <v>482</v>
      </c>
      <c r="D188" s="167">
        <v>6</v>
      </c>
      <c r="E188" s="163">
        <v>360.31</v>
      </c>
      <c r="F188" s="135">
        <v>6168.440509561211</v>
      </c>
      <c r="G188" s="135">
        <v>17.074213871388526</v>
      </c>
      <c r="H188" s="135">
        <v>969.02814243290504</v>
      </c>
      <c r="I188" s="135">
        <v>0</v>
      </c>
      <c r="J188" s="135">
        <v>122.19982792595265</v>
      </c>
      <c r="K188" s="135">
        <v>382.25350392717382</v>
      </c>
      <c r="L188" s="135">
        <v>101.48597596514112</v>
      </c>
      <c r="M188" s="135">
        <v>523.60432456309297</v>
      </c>
      <c r="N188" s="135">
        <v>0</v>
      </c>
      <c r="O188" s="135">
        <v>-48.774666259609781</v>
      </c>
      <c r="P188" s="135">
        <v>2654.3992918796116</v>
      </c>
      <c r="Q188" s="135">
        <v>545.55982348533212</v>
      </c>
      <c r="R188" s="135">
        <v>109.3403180594488</v>
      </c>
      <c r="S188" s="135">
        <v>11544.611265411648</v>
      </c>
      <c r="T188" s="135"/>
      <c r="U188" s="135">
        <v>6854.2377397241262</v>
      </c>
      <c r="V188" s="135">
        <v>0</v>
      </c>
      <c r="W188" s="135">
        <v>670.28522661041882</v>
      </c>
      <c r="X188" s="135">
        <v>0</v>
      </c>
      <c r="Y188" s="135">
        <v>57.395714801143463</v>
      </c>
      <c r="Z188" s="135">
        <v>487.41511476228806</v>
      </c>
      <c r="AA188" s="135">
        <v>65.628875135300163</v>
      </c>
      <c r="AB188" s="135">
        <v>655.67003357298677</v>
      </c>
      <c r="AC188" s="135">
        <v>87.393047192443404</v>
      </c>
      <c r="AD188" s="135">
        <v>0</v>
      </c>
      <c r="AE188" s="135">
        <v>2725.3313758386626</v>
      </c>
      <c r="AF188" s="135">
        <v>511.31062662853191</v>
      </c>
      <c r="AG188" s="135">
        <v>59.551525075629314</v>
      </c>
      <c r="AH188" s="135">
        <v>12174.219279341531</v>
      </c>
      <c r="AI188" s="135">
        <v>685.79723016291518</v>
      </c>
      <c r="AJ188" s="135">
        <v>-17.074213871388526</v>
      </c>
      <c r="AK188" s="135">
        <v>-298.74291582248622</v>
      </c>
      <c r="AL188" s="135">
        <v>0</v>
      </c>
      <c r="AM188" s="135">
        <v>-64.804113124809192</v>
      </c>
      <c r="AN188" s="135">
        <v>105.16161083511423</v>
      </c>
      <c r="AO188" s="135">
        <v>-35.857100829840959</v>
      </c>
      <c r="AP188" s="135">
        <v>132.06570900989379</v>
      </c>
      <c r="AQ188" s="135">
        <v>87.393047192443404</v>
      </c>
      <c r="AR188" s="135">
        <v>48.774666259609781</v>
      </c>
      <c r="AS188" s="135">
        <v>70.932083959050942</v>
      </c>
      <c r="AT188" s="135">
        <v>-34.249196856800211</v>
      </c>
      <c r="AU188" s="135">
        <v>-49.788792983819491</v>
      </c>
      <c r="AV188" s="135">
        <v>629.60801908566498</v>
      </c>
      <c r="AW188" s="135"/>
      <c r="AX188" s="132"/>
      <c r="AY188" s="132"/>
      <c r="AZ188" s="155"/>
      <c r="BA188" s="155"/>
      <c r="BB188" s="132"/>
    </row>
    <row r="189" spans="1:54" ht="16.5" x14ac:dyDescent="0.3">
      <c r="A189" s="165">
        <v>492</v>
      </c>
      <c r="B189" s="165">
        <v>1</v>
      </c>
      <c r="C189" s="166" t="s">
        <v>494</v>
      </c>
      <c r="D189" s="167">
        <v>4</v>
      </c>
      <c r="E189" s="163">
        <v>4546.1399999999994</v>
      </c>
      <c r="F189" s="135">
        <v>5943.6625532869648</v>
      </c>
      <c r="G189" s="135">
        <v>45.032572688038648</v>
      </c>
      <c r="H189" s="135">
        <v>837.94232909677237</v>
      </c>
      <c r="I189" s="135">
        <v>0</v>
      </c>
      <c r="J189" s="135">
        <v>118.75947507115927</v>
      </c>
      <c r="K189" s="135">
        <v>1189.2932047847185</v>
      </c>
      <c r="L189" s="135">
        <v>141.29639166413708</v>
      </c>
      <c r="M189" s="135">
        <v>1145.6478260738031</v>
      </c>
      <c r="N189" s="135">
        <v>0</v>
      </c>
      <c r="O189" s="135">
        <v>-44.371440386789679</v>
      </c>
      <c r="P189" s="135">
        <v>685.12694241708368</v>
      </c>
      <c r="Q189" s="135">
        <v>69.960914094154603</v>
      </c>
      <c r="R189" s="135">
        <v>104.36477319220263</v>
      </c>
      <c r="S189" s="135">
        <v>10236.715541982247</v>
      </c>
      <c r="T189" s="135"/>
      <c r="U189" s="135">
        <v>6566.9864984360365</v>
      </c>
      <c r="V189" s="135">
        <v>0</v>
      </c>
      <c r="W189" s="135">
        <v>361.77841421513642</v>
      </c>
      <c r="X189" s="135">
        <v>247.44298218590072</v>
      </c>
      <c r="Y189" s="135">
        <v>78.396564997998311</v>
      </c>
      <c r="Z189" s="135">
        <v>1226.4575677216494</v>
      </c>
      <c r="AA189" s="135">
        <v>186.33674281918289</v>
      </c>
      <c r="AB189" s="135">
        <v>1339.8993990369731</v>
      </c>
      <c r="AC189" s="135">
        <v>117.68775149762492</v>
      </c>
      <c r="AD189" s="135">
        <v>0</v>
      </c>
      <c r="AE189" s="135">
        <v>780.39830253357809</v>
      </c>
      <c r="AF189" s="135">
        <v>75.958144711777464</v>
      </c>
      <c r="AG189" s="135">
        <v>57.321404532196553</v>
      </c>
      <c r="AH189" s="135">
        <v>11038.663772688054</v>
      </c>
      <c r="AI189" s="135">
        <v>623.32394514907173</v>
      </c>
      <c r="AJ189" s="135">
        <v>-45.032572688038648</v>
      </c>
      <c r="AK189" s="135">
        <v>-476.16391488163595</v>
      </c>
      <c r="AL189" s="135">
        <v>247.44298218590072</v>
      </c>
      <c r="AM189" s="135">
        <v>-40.362910073160961</v>
      </c>
      <c r="AN189" s="135">
        <v>37.164362936930956</v>
      </c>
      <c r="AO189" s="135">
        <v>45.040351155045812</v>
      </c>
      <c r="AP189" s="135">
        <v>194.25157296317002</v>
      </c>
      <c r="AQ189" s="135">
        <v>117.68775149762492</v>
      </c>
      <c r="AR189" s="135">
        <v>44.371440386789679</v>
      </c>
      <c r="AS189" s="135">
        <v>95.271360116494407</v>
      </c>
      <c r="AT189" s="135">
        <v>5.9972306176228614</v>
      </c>
      <c r="AU189" s="135">
        <v>-47.043368660006081</v>
      </c>
      <c r="AV189" s="135">
        <v>801.94823176915645</v>
      </c>
      <c r="AW189" s="135"/>
      <c r="AX189" s="132"/>
      <c r="AY189" s="132"/>
      <c r="AZ189" s="155"/>
      <c r="BA189" s="155"/>
      <c r="BB189" s="132"/>
    </row>
    <row r="190" spans="1:54" ht="16.5" x14ac:dyDescent="0.3">
      <c r="A190" s="165">
        <v>495</v>
      </c>
      <c r="B190" s="165">
        <v>1</v>
      </c>
      <c r="C190" s="166" t="s">
        <v>395</v>
      </c>
      <c r="D190" s="167">
        <v>6</v>
      </c>
      <c r="E190" s="163">
        <v>392.39</v>
      </c>
      <c r="F190" s="135">
        <v>5894.5901781390967</v>
      </c>
      <c r="G190" s="135">
        <v>0</v>
      </c>
      <c r="H190" s="135">
        <v>1438.509161803308</v>
      </c>
      <c r="I190" s="135">
        <v>0</v>
      </c>
      <c r="J190" s="135">
        <v>94.545885471087445</v>
      </c>
      <c r="K190" s="135">
        <v>322.32396340375647</v>
      </c>
      <c r="L190" s="135">
        <v>0</v>
      </c>
      <c r="M190" s="135">
        <v>790.45234414430547</v>
      </c>
      <c r="N190" s="135">
        <v>0</v>
      </c>
      <c r="O190" s="135">
        <v>-48.604933866816182</v>
      </c>
      <c r="P190" s="135">
        <v>1865.6002053350712</v>
      </c>
      <c r="Q190" s="135">
        <v>514.7498407196922</v>
      </c>
      <c r="R190" s="135">
        <v>366.22447055225672</v>
      </c>
      <c r="S190" s="135">
        <v>11238.391115701759</v>
      </c>
      <c r="T190" s="135"/>
      <c r="U190" s="135">
        <v>6514.9825428782588</v>
      </c>
      <c r="V190" s="135">
        <v>0</v>
      </c>
      <c r="W190" s="135">
        <v>1128.2708784627539</v>
      </c>
      <c r="X190" s="135">
        <v>0</v>
      </c>
      <c r="Y190" s="135">
        <v>22.821657024898698</v>
      </c>
      <c r="Z190" s="135">
        <v>412.66066923214152</v>
      </c>
      <c r="AA190" s="135">
        <v>0</v>
      </c>
      <c r="AB190" s="135">
        <v>963.87923270697468</v>
      </c>
      <c r="AC190" s="135">
        <v>73.092575485930851</v>
      </c>
      <c r="AD190" s="135">
        <v>0</v>
      </c>
      <c r="AE190" s="135">
        <v>1865.8304405602298</v>
      </c>
      <c r="AF190" s="135">
        <v>513.6927050450613</v>
      </c>
      <c r="AG190" s="135">
        <v>319.61364968526215</v>
      </c>
      <c r="AH190" s="135">
        <v>11814.84435108151</v>
      </c>
      <c r="AI190" s="135">
        <v>620.39236473916208</v>
      </c>
      <c r="AJ190" s="135">
        <v>0</v>
      </c>
      <c r="AK190" s="135">
        <v>-310.23828334055406</v>
      </c>
      <c r="AL190" s="135">
        <v>0</v>
      </c>
      <c r="AM190" s="135">
        <v>-71.724228446188746</v>
      </c>
      <c r="AN190" s="135">
        <v>90.33670582838505</v>
      </c>
      <c r="AO190" s="135">
        <v>0</v>
      </c>
      <c r="AP190" s="135">
        <v>173.42688856266921</v>
      </c>
      <c r="AQ190" s="135">
        <v>73.092575485930851</v>
      </c>
      <c r="AR190" s="135">
        <v>48.604933866816182</v>
      </c>
      <c r="AS190" s="135">
        <v>0.2302352251585944</v>
      </c>
      <c r="AT190" s="135">
        <v>-1.0571356746308993</v>
      </c>
      <c r="AU190" s="135">
        <v>-46.610820866994572</v>
      </c>
      <c r="AV190" s="135">
        <v>576.45323542590268</v>
      </c>
      <c r="AW190" s="135"/>
      <c r="AX190" s="164"/>
      <c r="AY190" s="132"/>
      <c r="AZ190" s="135"/>
      <c r="BA190" s="135"/>
      <c r="BB190" s="132"/>
    </row>
    <row r="191" spans="1:54" ht="16.5" x14ac:dyDescent="0.3">
      <c r="A191" s="165">
        <v>497</v>
      </c>
      <c r="B191" s="165">
        <v>1</v>
      </c>
      <c r="C191" s="166" t="s">
        <v>426</v>
      </c>
      <c r="D191" s="167">
        <v>6</v>
      </c>
      <c r="E191" s="163">
        <v>230.04</v>
      </c>
      <c r="F191" s="135">
        <v>6011.3242914275779</v>
      </c>
      <c r="G191" s="135">
        <v>35.948269866110245</v>
      </c>
      <c r="H191" s="135">
        <v>808.09515736393666</v>
      </c>
      <c r="I191" s="135">
        <v>0</v>
      </c>
      <c r="J191" s="135">
        <v>122.38984524430535</v>
      </c>
      <c r="K191" s="135">
        <v>745.68348982785608</v>
      </c>
      <c r="L191" s="135">
        <v>101.67031820552947</v>
      </c>
      <c r="M191" s="135">
        <v>1469.7790231501697</v>
      </c>
      <c r="N191" s="135">
        <v>0</v>
      </c>
      <c r="O191" s="135">
        <v>-41.34641801425839</v>
      </c>
      <c r="P191" s="135">
        <v>2695.6281950965049</v>
      </c>
      <c r="Q191" s="135">
        <v>670.84263606329341</v>
      </c>
      <c r="R191" s="135">
        <v>68.339723526343249</v>
      </c>
      <c r="S191" s="135">
        <v>12688.354531757368</v>
      </c>
      <c r="T191" s="135"/>
      <c r="U191" s="135">
        <v>6654.3818466353678</v>
      </c>
      <c r="V191" s="135">
        <v>0</v>
      </c>
      <c r="W191" s="135">
        <v>527.16436271952705</v>
      </c>
      <c r="X191" s="135">
        <v>0</v>
      </c>
      <c r="Y191" s="135">
        <v>67.97052686489306</v>
      </c>
      <c r="Z191" s="135">
        <v>892.54294905233871</v>
      </c>
      <c r="AA191" s="135">
        <v>68.546861415406028</v>
      </c>
      <c r="AB191" s="135">
        <v>1587.3592000219185</v>
      </c>
      <c r="AC191" s="135">
        <v>103.20004154033874</v>
      </c>
      <c r="AD191" s="135">
        <v>0</v>
      </c>
      <c r="AE191" s="135">
        <v>2696.1899200139105</v>
      </c>
      <c r="AF191" s="135">
        <v>636.46932334879966</v>
      </c>
      <c r="AG191" s="135">
        <v>54.531168492436102</v>
      </c>
      <c r="AH191" s="135">
        <v>13288.356200104934</v>
      </c>
      <c r="AI191" s="135">
        <v>643.05755520778985</v>
      </c>
      <c r="AJ191" s="135">
        <v>-35.948269866110245</v>
      </c>
      <c r="AK191" s="135">
        <v>-280.93079464440962</v>
      </c>
      <c r="AL191" s="135">
        <v>0</v>
      </c>
      <c r="AM191" s="135">
        <v>-54.419318379412289</v>
      </c>
      <c r="AN191" s="135">
        <v>146.85945922448263</v>
      </c>
      <c r="AO191" s="135">
        <v>-33.123456790123441</v>
      </c>
      <c r="AP191" s="135">
        <v>117.58017687174879</v>
      </c>
      <c r="AQ191" s="135">
        <v>103.20004154033874</v>
      </c>
      <c r="AR191" s="135">
        <v>41.34641801425839</v>
      </c>
      <c r="AS191" s="135">
        <v>0.56172491740562691</v>
      </c>
      <c r="AT191" s="135">
        <v>-34.37331271449375</v>
      </c>
      <c r="AU191" s="135">
        <v>-13.808555033907147</v>
      </c>
      <c r="AV191" s="135">
        <v>600.0016782195512</v>
      </c>
      <c r="AW191" s="135"/>
      <c r="AX191" s="164"/>
      <c r="AY191" s="132"/>
      <c r="AZ191" s="135"/>
      <c r="BA191" s="135"/>
      <c r="BB191" s="132"/>
    </row>
    <row r="192" spans="1:54" ht="16.5" x14ac:dyDescent="0.3">
      <c r="A192" s="165">
        <v>499</v>
      </c>
      <c r="B192" s="165">
        <v>1</v>
      </c>
      <c r="C192" s="166" t="s">
        <v>496</v>
      </c>
      <c r="D192" s="167">
        <v>6</v>
      </c>
      <c r="E192" s="163">
        <v>291.14</v>
      </c>
      <c r="F192" s="135">
        <v>5996.6366696434707</v>
      </c>
      <c r="G192" s="135">
        <v>0</v>
      </c>
      <c r="H192" s="135">
        <v>2099.8605825376112</v>
      </c>
      <c r="I192" s="135">
        <v>0</v>
      </c>
      <c r="J192" s="135">
        <v>70.963247921961951</v>
      </c>
      <c r="K192" s="135">
        <v>482.76530191660373</v>
      </c>
      <c r="L192" s="135">
        <v>0</v>
      </c>
      <c r="M192" s="135">
        <v>798.03342913832535</v>
      </c>
      <c r="N192" s="135">
        <v>0</v>
      </c>
      <c r="O192" s="135">
        <v>-72.706326853060389</v>
      </c>
      <c r="P192" s="135">
        <v>1345.7089166723913</v>
      </c>
      <c r="Q192" s="135">
        <v>631.9885622037508</v>
      </c>
      <c r="R192" s="135">
        <v>110.52005907810675</v>
      </c>
      <c r="S192" s="135">
        <v>11463.770442259161</v>
      </c>
      <c r="T192" s="135"/>
      <c r="U192" s="135">
        <v>6618.397334615649</v>
      </c>
      <c r="V192" s="135">
        <v>0</v>
      </c>
      <c r="W192" s="135">
        <v>1786.6588926289758</v>
      </c>
      <c r="X192" s="135">
        <v>0</v>
      </c>
      <c r="Y192" s="135">
        <v>0</v>
      </c>
      <c r="Z192" s="135">
        <v>593.36169362521707</v>
      </c>
      <c r="AA192" s="135">
        <v>0</v>
      </c>
      <c r="AB192" s="135">
        <v>1056.5957903242045</v>
      </c>
      <c r="AC192" s="135">
        <v>84.85021190810059</v>
      </c>
      <c r="AD192" s="135">
        <v>0</v>
      </c>
      <c r="AE192" s="135">
        <v>1344.0621654358729</v>
      </c>
      <c r="AF192" s="135">
        <v>647.08981449510634</v>
      </c>
      <c r="AG192" s="135">
        <v>59.913478051796389</v>
      </c>
      <c r="AH192" s="135">
        <v>12190.929381084921</v>
      </c>
      <c r="AI192" s="135">
        <v>621.76066497217835</v>
      </c>
      <c r="AJ192" s="135">
        <v>0</v>
      </c>
      <c r="AK192" s="135">
        <v>-313.20168990863544</v>
      </c>
      <c r="AL192" s="135">
        <v>0</v>
      </c>
      <c r="AM192" s="135">
        <v>-70.963247921961951</v>
      </c>
      <c r="AN192" s="135">
        <v>110.59639170861334</v>
      </c>
      <c r="AO192" s="135">
        <v>0</v>
      </c>
      <c r="AP192" s="135">
        <v>258.56236118587913</v>
      </c>
      <c r="AQ192" s="135">
        <v>84.85021190810059</v>
      </c>
      <c r="AR192" s="135">
        <v>72.706326853060389</v>
      </c>
      <c r="AS192" s="135">
        <v>-1.646751236518412</v>
      </c>
      <c r="AT192" s="135">
        <v>15.101252291355536</v>
      </c>
      <c r="AU192" s="135">
        <v>-50.606581026310366</v>
      </c>
      <c r="AV192" s="135">
        <v>727.15894230825381</v>
      </c>
      <c r="AW192" s="135"/>
      <c r="AX192" s="164"/>
      <c r="AY192" s="132"/>
      <c r="AZ192" s="135"/>
      <c r="BA192" s="135"/>
      <c r="BB192" s="132"/>
    </row>
    <row r="193" spans="1:53" ht="16.5" x14ac:dyDescent="0.3">
      <c r="A193" s="165">
        <v>500</v>
      </c>
      <c r="B193" s="165">
        <v>1</v>
      </c>
      <c r="C193" s="166" t="s">
        <v>497</v>
      </c>
      <c r="D193" s="167">
        <v>6</v>
      </c>
      <c r="E193" s="163">
        <v>484.37</v>
      </c>
      <c r="F193" s="135">
        <v>6206.7422837913164</v>
      </c>
      <c r="G193" s="135">
        <v>8.2693189090984163</v>
      </c>
      <c r="H193" s="135">
        <v>764.7752338088651</v>
      </c>
      <c r="I193" s="135">
        <v>0</v>
      </c>
      <c r="J193" s="135">
        <v>129.13683754154883</v>
      </c>
      <c r="K193" s="135">
        <v>188.63885046555319</v>
      </c>
      <c r="L193" s="135">
        <v>105.74178417325595</v>
      </c>
      <c r="M193" s="135">
        <v>1255.4776619123397</v>
      </c>
      <c r="N193" s="135">
        <v>0</v>
      </c>
      <c r="O193" s="135">
        <v>-69.395668600450065</v>
      </c>
      <c r="P193" s="135">
        <v>770.35433243181865</v>
      </c>
      <c r="Q193" s="135">
        <v>525.49387864648929</v>
      </c>
      <c r="R193" s="135">
        <v>102.19284844230651</v>
      </c>
      <c r="S193" s="135">
        <v>9987.4273615221427</v>
      </c>
      <c r="T193" s="135"/>
      <c r="U193" s="135">
        <v>6878.8659082932463</v>
      </c>
      <c r="V193" s="135">
        <v>0</v>
      </c>
      <c r="W193" s="135">
        <v>446.22443586514441</v>
      </c>
      <c r="X193" s="135">
        <v>0</v>
      </c>
      <c r="Y193" s="135">
        <v>77.068336189276778</v>
      </c>
      <c r="Z193" s="135">
        <v>254.61630571670418</v>
      </c>
      <c r="AA193" s="135">
        <v>77.999132894275036</v>
      </c>
      <c r="AB193" s="135">
        <v>1499.3886956643807</v>
      </c>
      <c r="AC193" s="135">
        <v>45.900781686380178</v>
      </c>
      <c r="AD193" s="135">
        <v>0</v>
      </c>
      <c r="AE193" s="135">
        <v>823.56000118917359</v>
      </c>
      <c r="AF193" s="135">
        <v>532.05164259162473</v>
      </c>
      <c r="AG193" s="135">
        <v>49.749922579845986</v>
      </c>
      <c r="AH193" s="135">
        <v>10685.42516267005</v>
      </c>
      <c r="AI193" s="135">
        <v>672.12362450192995</v>
      </c>
      <c r="AJ193" s="135">
        <v>-8.2693189090984163</v>
      </c>
      <c r="AK193" s="135">
        <v>-318.55079794372068</v>
      </c>
      <c r="AL193" s="135">
        <v>0</v>
      </c>
      <c r="AM193" s="135">
        <v>-52.068501352272051</v>
      </c>
      <c r="AN193" s="135">
        <v>65.977455251150985</v>
      </c>
      <c r="AO193" s="135">
        <v>-27.742651278980915</v>
      </c>
      <c r="AP193" s="135">
        <v>243.91103375204102</v>
      </c>
      <c r="AQ193" s="135">
        <v>45.900781686380178</v>
      </c>
      <c r="AR193" s="135">
        <v>69.395668600450065</v>
      </c>
      <c r="AS193" s="135">
        <v>53.205668757354942</v>
      </c>
      <c r="AT193" s="135">
        <v>6.5577639451354344</v>
      </c>
      <c r="AU193" s="135">
        <v>-52.442925862460527</v>
      </c>
      <c r="AV193" s="135">
        <v>697.99780491969636</v>
      </c>
      <c r="AW193" s="135"/>
      <c r="AX193" s="164"/>
      <c r="AY193" s="132"/>
      <c r="AZ193" s="135"/>
      <c r="BA193" s="135"/>
    </row>
    <row r="194" spans="1:53" ht="16.5" x14ac:dyDescent="0.3">
      <c r="A194" s="165">
        <v>505</v>
      </c>
      <c r="B194" s="165">
        <v>1</v>
      </c>
      <c r="C194" s="166" t="s">
        <v>498</v>
      </c>
      <c r="D194" s="167">
        <v>6</v>
      </c>
      <c r="E194" s="163">
        <v>300.13</v>
      </c>
      <c r="F194" s="135">
        <v>6321.6091693599446</v>
      </c>
      <c r="G194" s="135">
        <v>0</v>
      </c>
      <c r="H194" s="135">
        <v>1245.2034118548629</v>
      </c>
      <c r="I194" s="135">
        <v>0</v>
      </c>
      <c r="J194" s="135">
        <v>112.99996668110485</v>
      </c>
      <c r="K194" s="135">
        <v>390.96258288075171</v>
      </c>
      <c r="L194" s="135">
        <v>111.57019291640289</v>
      </c>
      <c r="M194" s="135">
        <v>1686.0914494455233</v>
      </c>
      <c r="N194" s="135">
        <v>0</v>
      </c>
      <c r="O194" s="135">
        <v>-102.7630693366208</v>
      </c>
      <c r="P194" s="135">
        <v>420.2136874021258</v>
      </c>
      <c r="Q194" s="135">
        <v>982.08139806084023</v>
      </c>
      <c r="R194" s="135">
        <v>84.665511611634969</v>
      </c>
      <c r="S194" s="135">
        <v>11252.634300876569</v>
      </c>
      <c r="T194" s="135"/>
      <c r="U194" s="135">
        <v>7054.7069603171958</v>
      </c>
      <c r="V194" s="135">
        <v>0</v>
      </c>
      <c r="W194" s="135">
        <v>919.90657381801225</v>
      </c>
      <c r="X194" s="135">
        <v>0</v>
      </c>
      <c r="Y194" s="135">
        <v>42.722053776696768</v>
      </c>
      <c r="Z194" s="135">
        <v>495.17232532569221</v>
      </c>
      <c r="AA194" s="135">
        <v>80.375870456135672</v>
      </c>
      <c r="AB194" s="135">
        <v>1955.8229378706747</v>
      </c>
      <c r="AC194" s="135">
        <v>32.923454096457405</v>
      </c>
      <c r="AD194" s="135">
        <v>0</v>
      </c>
      <c r="AE194" s="135">
        <v>517.19960880618407</v>
      </c>
      <c r="AF194" s="135">
        <v>978.14167397110373</v>
      </c>
      <c r="AG194" s="135">
        <v>29.19594842235032</v>
      </c>
      <c r="AH194" s="135">
        <v>12106.167406860503</v>
      </c>
      <c r="AI194" s="135">
        <v>733.09779095725116</v>
      </c>
      <c r="AJ194" s="135">
        <v>0</v>
      </c>
      <c r="AK194" s="135">
        <v>-325.29683803685066</v>
      </c>
      <c r="AL194" s="135">
        <v>0</v>
      </c>
      <c r="AM194" s="135">
        <v>-70.277912904408083</v>
      </c>
      <c r="AN194" s="135">
        <v>104.2097424449405</v>
      </c>
      <c r="AO194" s="135">
        <v>-31.194322460267216</v>
      </c>
      <c r="AP194" s="135">
        <v>269.73148842515138</v>
      </c>
      <c r="AQ194" s="135">
        <v>32.923454096457405</v>
      </c>
      <c r="AR194" s="135">
        <v>102.7630693366208</v>
      </c>
      <c r="AS194" s="135">
        <v>96.985921404058274</v>
      </c>
      <c r="AT194" s="135">
        <v>-3.9397240897365009</v>
      </c>
      <c r="AU194" s="135">
        <v>-55.469563189284649</v>
      </c>
      <c r="AV194" s="135">
        <v>853.53311037011599</v>
      </c>
      <c r="AW194" s="135"/>
      <c r="AX194" s="164"/>
      <c r="AY194" s="132"/>
      <c r="AZ194" s="135"/>
      <c r="BA194" s="135"/>
    </row>
    <row r="195" spans="1:53" ht="16.5" x14ac:dyDescent="0.3">
      <c r="A195" s="165">
        <v>507</v>
      </c>
      <c r="B195" s="165">
        <v>1</v>
      </c>
      <c r="C195" s="166" t="s">
        <v>380</v>
      </c>
      <c r="D195" s="167">
        <v>6</v>
      </c>
      <c r="E195" s="163">
        <v>326.24</v>
      </c>
      <c r="F195" s="135">
        <v>5979.8018636586567</v>
      </c>
      <c r="G195" s="135">
        <v>10.061733692986758</v>
      </c>
      <c r="H195" s="135">
        <v>1326.9188327611573</v>
      </c>
      <c r="I195" s="135">
        <v>0</v>
      </c>
      <c r="J195" s="135">
        <v>101.16671775380087</v>
      </c>
      <c r="K195" s="135">
        <v>128.6861512996567</v>
      </c>
      <c r="L195" s="135">
        <v>105.41633766552231</v>
      </c>
      <c r="M195" s="135">
        <v>823.93142701834256</v>
      </c>
      <c r="N195" s="135">
        <v>0</v>
      </c>
      <c r="O195" s="135">
        <v>-52.958251593918583</v>
      </c>
      <c r="P195" s="135">
        <v>2217.9788465984725</v>
      </c>
      <c r="Q195" s="135">
        <v>630.30594041196662</v>
      </c>
      <c r="R195" s="135">
        <v>124.34122118685629</v>
      </c>
      <c r="S195" s="135">
        <v>11395.6508204535</v>
      </c>
      <c r="T195" s="135"/>
      <c r="U195" s="135">
        <v>6625.4742520843547</v>
      </c>
      <c r="V195" s="135">
        <v>0</v>
      </c>
      <c r="W195" s="135">
        <v>1027.658227072094</v>
      </c>
      <c r="X195" s="135">
        <v>0</v>
      </c>
      <c r="Y195" s="135">
        <v>29.703990926924959</v>
      </c>
      <c r="Z195" s="135">
        <v>184.53871383030898</v>
      </c>
      <c r="AA195" s="135">
        <v>71.716159882295244</v>
      </c>
      <c r="AB195" s="135">
        <v>994.76241966923965</v>
      </c>
      <c r="AC195" s="135">
        <v>63.783253084989823</v>
      </c>
      <c r="AD195" s="135">
        <v>0</v>
      </c>
      <c r="AE195" s="135">
        <v>2261.8046510596932</v>
      </c>
      <c r="AF195" s="135">
        <v>627.06757906997746</v>
      </c>
      <c r="AG195" s="135">
        <v>74.466037273173114</v>
      </c>
      <c r="AH195" s="135">
        <v>11960.975283953048</v>
      </c>
      <c r="AI195" s="135">
        <v>645.67238842569805</v>
      </c>
      <c r="AJ195" s="135">
        <v>-10.061733692986758</v>
      </c>
      <c r="AK195" s="135">
        <v>-299.26060568906337</v>
      </c>
      <c r="AL195" s="135">
        <v>0</v>
      </c>
      <c r="AM195" s="135">
        <v>-71.462726826875908</v>
      </c>
      <c r="AN195" s="135">
        <v>55.852562530652278</v>
      </c>
      <c r="AO195" s="135">
        <v>-33.700177783227062</v>
      </c>
      <c r="AP195" s="135">
        <v>170.83099265089709</v>
      </c>
      <c r="AQ195" s="135">
        <v>63.783253084989823</v>
      </c>
      <c r="AR195" s="135">
        <v>52.958251593918583</v>
      </c>
      <c r="AS195" s="135">
        <v>43.825804461220741</v>
      </c>
      <c r="AT195" s="135">
        <v>-3.2383613419891617</v>
      </c>
      <c r="AU195" s="135">
        <v>-49.875183913683173</v>
      </c>
      <c r="AV195" s="135">
        <v>565.32447300564866</v>
      </c>
      <c r="AW195" s="135"/>
      <c r="AX195" s="164"/>
      <c r="AY195" s="132"/>
      <c r="AZ195" s="135"/>
      <c r="BA195" s="135"/>
    </row>
    <row r="196" spans="1:53" ht="16.5" x14ac:dyDescent="0.3">
      <c r="A196" s="165">
        <v>508</v>
      </c>
      <c r="B196" s="165">
        <v>1</v>
      </c>
      <c r="C196" s="166" t="s">
        <v>501</v>
      </c>
      <c r="D196" s="167">
        <v>5</v>
      </c>
      <c r="E196" s="163">
        <v>1942.3000000000002</v>
      </c>
      <c r="F196" s="135">
        <v>6009.2541008083199</v>
      </c>
      <c r="G196" s="135">
        <v>27.320022653555061</v>
      </c>
      <c r="H196" s="135">
        <v>1021.5393914431345</v>
      </c>
      <c r="I196" s="135">
        <v>0</v>
      </c>
      <c r="J196" s="135">
        <v>113.6512845595428</v>
      </c>
      <c r="K196" s="135">
        <v>655.29471760284196</v>
      </c>
      <c r="L196" s="135">
        <v>0</v>
      </c>
      <c r="M196" s="135">
        <v>970.1690101765081</v>
      </c>
      <c r="N196" s="135">
        <v>0</v>
      </c>
      <c r="O196" s="135">
        <v>-38.575122277711991</v>
      </c>
      <c r="P196" s="135">
        <v>531.00374298512065</v>
      </c>
      <c r="Q196" s="135">
        <v>103.40196159192709</v>
      </c>
      <c r="R196" s="135">
        <v>111.12312722030582</v>
      </c>
      <c r="S196" s="135">
        <v>9504.1822367635432</v>
      </c>
      <c r="T196" s="135"/>
      <c r="U196" s="135">
        <v>6639.8944550275437</v>
      </c>
      <c r="V196" s="135">
        <v>0</v>
      </c>
      <c r="W196" s="135">
        <v>732.6754672295732</v>
      </c>
      <c r="X196" s="135">
        <v>0</v>
      </c>
      <c r="Y196" s="135">
        <v>53.061190341347881</v>
      </c>
      <c r="Z196" s="135">
        <v>703.51015106094928</v>
      </c>
      <c r="AA196" s="135">
        <v>0</v>
      </c>
      <c r="AB196" s="135">
        <v>1195.7111823715186</v>
      </c>
      <c r="AC196" s="135">
        <v>74.132542805733735</v>
      </c>
      <c r="AD196" s="135">
        <v>0</v>
      </c>
      <c r="AE196" s="135">
        <v>647.39324984039536</v>
      </c>
      <c r="AF196" s="135">
        <v>109.18937342326106</v>
      </c>
      <c r="AG196" s="135">
        <v>63.840668279874372</v>
      </c>
      <c r="AH196" s="135">
        <v>10219.408280380198</v>
      </c>
      <c r="AI196" s="135">
        <v>630.64035421922381</v>
      </c>
      <c r="AJ196" s="135">
        <v>-27.320022653555061</v>
      </c>
      <c r="AK196" s="135">
        <v>-288.86392421356129</v>
      </c>
      <c r="AL196" s="135">
        <v>0</v>
      </c>
      <c r="AM196" s="135">
        <v>-60.59009421819492</v>
      </c>
      <c r="AN196" s="135">
        <v>48.215433458107327</v>
      </c>
      <c r="AO196" s="135">
        <v>0</v>
      </c>
      <c r="AP196" s="135">
        <v>225.54217219501049</v>
      </c>
      <c r="AQ196" s="135">
        <v>74.132542805733735</v>
      </c>
      <c r="AR196" s="135">
        <v>38.575122277711991</v>
      </c>
      <c r="AS196" s="135">
        <v>116.3895068552747</v>
      </c>
      <c r="AT196" s="135">
        <v>5.7874118313339693</v>
      </c>
      <c r="AU196" s="135">
        <v>-47.282458940431447</v>
      </c>
      <c r="AV196" s="135">
        <v>715.22605163969513</v>
      </c>
      <c r="AW196" s="135"/>
      <c r="AX196" s="164"/>
      <c r="AY196" s="132"/>
      <c r="AZ196" s="135"/>
      <c r="BA196" s="135"/>
    </row>
    <row r="197" spans="1:53" ht="16.5" x14ac:dyDescent="0.3">
      <c r="A197" s="165">
        <v>511</v>
      </c>
      <c r="B197" s="165">
        <v>1</v>
      </c>
      <c r="C197" s="166" t="s">
        <v>375</v>
      </c>
      <c r="D197" s="167">
        <v>6</v>
      </c>
      <c r="E197" s="163">
        <v>628.36</v>
      </c>
      <c r="F197" s="135">
        <v>6031.5933541282066</v>
      </c>
      <c r="G197" s="135">
        <v>0</v>
      </c>
      <c r="H197" s="135">
        <v>1249.0057610287095</v>
      </c>
      <c r="I197" s="135">
        <v>0</v>
      </c>
      <c r="J197" s="135">
        <v>113.26556432618244</v>
      </c>
      <c r="K197" s="135">
        <v>362.85338022789477</v>
      </c>
      <c r="L197" s="135">
        <v>90.628330893118587</v>
      </c>
      <c r="M197" s="135">
        <v>843.92359360229818</v>
      </c>
      <c r="N197" s="135">
        <v>0</v>
      </c>
      <c r="O197" s="135">
        <v>-43.032831497867463</v>
      </c>
      <c r="P197" s="135">
        <v>1140.5635013595481</v>
      </c>
      <c r="Q197" s="135">
        <v>412.95169966261381</v>
      </c>
      <c r="R197" s="135">
        <v>97.212951174485966</v>
      </c>
      <c r="S197" s="135">
        <v>10298.96530490519</v>
      </c>
      <c r="T197" s="135"/>
      <c r="U197" s="135">
        <v>6666.8549875867348</v>
      </c>
      <c r="V197" s="135">
        <v>0</v>
      </c>
      <c r="W197" s="135">
        <v>931.53954739321398</v>
      </c>
      <c r="X197" s="135">
        <v>0</v>
      </c>
      <c r="Y197" s="135">
        <v>39.28455025781399</v>
      </c>
      <c r="Z197" s="135">
        <v>454.7397866225171</v>
      </c>
      <c r="AA197" s="135">
        <v>79.193137691769053</v>
      </c>
      <c r="AB197" s="135">
        <v>900.39114702012682</v>
      </c>
      <c r="AC197" s="135">
        <v>78.91832521788352</v>
      </c>
      <c r="AD197" s="135">
        <v>0</v>
      </c>
      <c r="AE197" s="135">
        <v>1272.7747318916365</v>
      </c>
      <c r="AF197" s="135">
        <v>385.23643865316893</v>
      </c>
      <c r="AG197" s="135">
        <v>52.169982175822774</v>
      </c>
      <c r="AH197" s="135">
        <v>10861.102634510687</v>
      </c>
      <c r="AI197" s="135">
        <v>635.26163345852819</v>
      </c>
      <c r="AJ197" s="135">
        <v>0</v>
      </c>
      <c r="AK197" s="135">
        <v>-317.46621363549548</v>
      </c>
      <c r="AL197" s="135">
        <v>0</v>
      </c>
      <c r="AM197" s="135">
        <v>-73.981014068368452</v>
      </c>
      <c r="AN197" s="135">
        <v>91.886406394622327</v>
      </c>
      <c r="AO197" s="135">
        <v>-11.435193201349534</v>
      </c>
      <c r="AP197" s="135">
        <v>56.46755341782864</v>
      </c>
      <c r="AQ197" s="135">
        <v>78.91832521788352</v>
      </c>
      <c r="AR197" s="135">
        <v>43.032831497867463</v>
      </c>
      <c r="AS197" s="135">
        <v>132.21123053208839</v>
      </c>
      <c r="AT197" s="135">
        <v>-27.715261009444873</v>
      </c>
      <c r="AU197" s="135">
        <v>-45.042968998663191</v>
      </c>
      <c r="AV197" s="135">
        <v>562.13733938322696</v>
      </c>
      <c r="AW197" s="135"/>
      <c r="AX197" s="164"/>
      <c r="AY197" s="132"/>
      <c r="AZ197" s="135"/>
      <c r="BA197" s="135"/>
    </row>
    <row r="198" spans="1:53" ht="16.5" x14ac:dyDescent="0.3">
      <c r="A198" s="165">
        <v>513</v>
      </c>
      <c r="B198" s="165">
        <v>1</v>
      </c>
      <c r="C198" s="166" t="s">
        <v>504</v>
      </c>
      <c r="D198" s="167">
        <v>6</v>
      </c>
      <c r="E198" s="163">
        <v>191.21</v>
      </c>
      <c r="F198" s="135">
        <v>5825.6028450394851</v>
      </c>
      <c r="G198" s="135">
        <v>8.0068511061136967</v>
      </c>
      <c r="H198" s="135">
        <v>1482.1727943099211</v>
      </c>
      <c r="I198" s="135">
        <v>0</v>
      </c>
      <c r="J198" s="135">
        <v>92.52492024475707</v>
      </c>
      <c r="K198" s="135">
        <v>1138.3424507086449</v>
      </c>
      <c r="L198" s="135">
        <v>124.01283405679618</v>
      </c>
      <c r="M198" s="135">
        <v>412.67018113906181</v>
      </c>
      <c r="N198" s="135">
        <v>0</v>
      </c>
      <c r="O198" s="135">
        <v>-37.821923539563834</v>
      </c>
      <c r="P198" s="135">
        <v>429.68559175775323</v>
      </c>
      <c r="Q198" s="135">
        <v>728.88060247894987</v>
      </c>
      <c r="R198" s="135">
        <v>160.51053815177028</v>
      </c>
      <c r="S198" s="135">
        <v>10364.587685453687</v>
      </c>
      <c r="T198" s="135"/>
      <c r="U198" s="135">
        <v>6431.4627896030543</v>
      </c>
      <c r="V198" s="135">
        <v>0</v>
      </c>
      <c r="W198" s="135">
        <v>1183.9199832644736</v>
      </c>
      <c r="X198" s="135">
        <v>0</v>
      </c>
      <c r="Y198" s="135">
        <v>17.520997855760683</v>
      </c>
      <c r="Z198" s="135">
        <v>1325.7660687202551</v>
      </c>
      <c r="AA198" s="135">
        <v>144.04874222059516</v>
      </c>
      <c r="AB198" s="135">
        <v>491.97904831260018</v>
      </c>
      <c r="AC198" s="135">
        <v>180.8723757800019</v>
      </c>
      <c r="AD198" s="135">
        <v>0</v>
      </c>
      <c r="AE198" s="135">
        <v>483.3805763296898</v>
      </c>
      <c r="AF198" s="135">
        <v>695.04875378132056</v>
      </c>
      <c r="AG198" s="135">
        <v>97.99518853616442</v>
      </c>
      <c r="AH198" s="135">
        <v>11051.994524403915</v>
      </c>
      <c r="AI198" s="135">
        <v>605.85994456356912</v>
      </c>
      <c r="AJ198" s="135">
        <v>-8.0068511061136967</v>
      </c>
      <c r="AK198" s="135">
        <v>-298.25281104544752</v>
      </c>
      <c r="AL198" s="135">
        <v>0</v>
      </c>
      <c r="AM198" s="135">
        <v>-75.003922388996386</v>
      </c>
      <c r="AN198" s="135">
        <v>187.42361801161019</v>
      </c>
      <c r="AO198" s="135">
        <v>20.035908163798979</v>
      </c>
      <c r="AP198" s="135">
        <v>79.308867173538374</v>
      </c>
      <c r="AQ198" s="135">
        <v>180.8723757800019</v>
      </c>
      <c r="AR198" s="135">
        <v>37.821923539563834</v>
      </c>
      <c r="AS198" s="135">
        <v>53.694984571936573</v>
      </c>
      <c r="AT198" s="135">
        <v>-33.831848697629312</v>
      </c>
      <c r="AU198" s="135">
        <v>-62.515349615605857</v>
      </c>
      <c r="AV198" s="135">
        <v>687.40684435317212</v>
      </c>
      <c r="AW198" s="135"/>
      <c r="AX198" s="164"/>
      <c r="AY198" s="132"/>
      <c r="AZ198" s="135"/>
      <c r="BA198" s="135"/>
    </row>
    <row r="199" spans="1:53" ht="16.5" x14ac:dyDescent="0.3">
      <c r="A199" s="165">
        <v>514</v>
      </c>
      <c r="B199" s="165">
        <v>1</v>
      </c>
      <c r="C199" s="166" t="s">
        <v>506</v>
      </c>
      <c r="D199" s="167">
        <v>6</v>
      </c>
      <c r="E199" s="163">
        <v>154.56</v>
      </c>
      <c r="F199" s="135">
        <v>6345.7945134575566</v>
      </c>
      <c r="G199" s="135">
        <v>0</v>
      </c>
      <c r="H199" s="135">
        <v>1391.7595108695652</v>
      </c>
      <c r="I199" s="135">
        <v>0</v>
      </c>
      <c r="J199" s="135">
        <v>108.54904244306418</v>
      </c>
      <c r="K199" s="135">
        <v>544.49728260869563</v>
      </c>
      <c r="L199" s="135">
        <v>104.79970238095238</v>
      </c>
      <c r="M199" s="135">
        <v>946.36677203752606</v>
      </c>
      <c r="N199" s="135">
        <v>0</v>
      </c>
      <c r="O199" s="135">
        <v>-69.683618012422357</v>
      </c>
      <c r="P199" s="135">
        <v>385.80562888198762</v>
      </c>
      <c r="Q199" s="135">
        <v>852.40637939958583</v>
      </c>
      <c r="R199" s="135">
        <v>111.5355201863354</v>
      </c>
      <c r="S199" s="135">
        <v>10721.830734252846</v>
      </c>
      <c r="T199" s="135"/>
      <c r="U199" s="135">
        <v>7070.657608695652</v>
      </c>
      <c r="V199" s="135">
        <v>0</v>
      </c>
      <c r="W199" s="135">
        <v>1062.424430641822</v>
      </c>
      <c r="X199" s="135">
        <v>0</v>
      </c>
      <c r="Y199" s="135">
        <v>33.8886516563147</v>
      </c>
      <c r="Z199" s="135">
        <v>674.35701345755695</v>
      </c>
      <c r="AA199" s="135">
        <v>66.643568840579718</v>
      </c>
      <c r="AB199" s="135">
        <v>1066.2654063909715</v>
      </c>
      <c r="AC199" s="135">
        <v>175.44753673634682</v>
      </c>
      <c r="AD199" s="135">
        <v>0</v>
      </c>
      <c r="AE199" s="135">
        <v>516.58323625776393</v>
      </c>
      <c r="AF199" s="135">
        <v>793.05468316511383</v>
      </c>
      <c r="AG199" s="135">
        <v>62.432259316770192</v>
      </c>
      <c r="AH199" s="135">
        <v>11521.754395158892</v>
      </c>
      <c r="AI199" s="135">
        <v>724.86309523809541</v>
      </c>
      <c r="AJ199" s="135">
        <v>0</v>
      </c>
      <c r="AK199" s="135">
        <v>-329.33508022774322</v>
      </c>
      <c r="AL199" s="135">
        <v>0</v>
      </c>
      <c r="AM199" s="135">
        <v>-74.660390786749474</v>
      </c>
      <c r="AN199" s="135">
        <v>129.85973084886132</v>
      </c>
      <c r="AO199" s="135">
        <v>-38.156133540372664</v>
      </c>
      <c r="AP199" s="135">
        <v>119.89863435344546</v>
      </c>
      <c r="AQ199" s="135">
        <v>175.44753673634682</v>
      </c>
      <c r="AR199" s="135">
        <v>69.683618012422357</v>
      </c>
      <c r="AS199" s="135">
        <v>130.77760737577631</v>
      </c>
      <c r="AT199" s="135">
        <v>-59.351696234472001</v>
      </c>
      <c r="AU199" s="135">
        <v>-49.103260869565212</v>
      </c>
      <c r="AV199" s="135">
        <v>799.92367038390501</v>
      </c>
      <c r="AW199" s="135"/>
      <c r="AX199" s="164"/>
      <c r="AY199" s="132"/>
      <c r="AZ199" s="135"/>
      <c r="BA199" s="135"/>
    </row>
    <row r="200" spans="1:53" ht="16.5" x14ac:dyDescent="0.3">
      <c r="A200" s="165">
        <v>516</v>
      </c>
      <c r="B200" s="165">
        <v>1</v>
      </c>
      <c r="C200" s="166" t="s">
        <v>508</v>
      </c>
      <c r="D200" s="167">
        <v>6</v>
      </c>
      <c r="E200" s="163">
        <v>93.1</v>
      </c>
      <c r="F200" s="135">
        <v>6169.4822771213758</v>
      </c>
      <c r="G200" s="135">
        <v>0</v>
      </c>
      <c r="H200" s="135">
        <v>1998.5993555316866</v>
      </c>
      <c r="I200" s="135">
        <v>0</v>
      </c>
      <c r="J200" s="135">
        <v>79.563157894736847</v>
      </c>
      <c r="K200" s="135">
        <v>498.30365198711064</v>
      </c>
      <c r="L200" s="135">
        <v>121.51510204081632</v>
      </c>
      <c r="M200" s="135">
        <v>636.19920915162186</v>
      </c>
      <c r="N200" s="135">
        <v>0</v>
      </c>
      <c r="O200" s="135">
        <v>-77.244897959183675</v>
      </c>
      <c r="P200" s="135">
        <v>634.96522019334054</v>
      </c>
      <c r="Q200" s="135">
        <v>867.6129967776584</v>
      </c>
      <c r="R200" s="135">
        <v>88.83673469387756</v>
      </c>
      <c r="S200" s="135">
        <v>11017.83280743304</v>
      </c>
      <c r="T200" s="135"/>
      <c r="U200" s="135">
        <v>6810.9022556390983</v>
      </c>
      <c r="V200" s="135">
        <v>0</v>
      </c>
      <c r="W200" s="135">
        <v>1674.2711063372719</v>
      </c>
      <c r="X200" s="135">
        <v>0</v>
      </c>
      <c r="Y200" s="135">
        <v>0</v>
      </c>
      <c r="Z200" s="135">
        <v>598.37126483219163</v>
      </c>
      <c r="AA200" s="135">
        <v>99.657787325456496</v>
      </c>
      <c r="AB200" s="135">
        <v>1165.9500791662736</v>
      </c>
      <c r="AC200" s="135">
        <v>0</v>
      </c>
      <c r="AD200" s="135">
        <v>0</v>
      </c>
      <c r="AE200" s="135">
        <v>634.85254500537053</v>
      </c>
      <c r="AF200" s="135">
        <v>868.19347574763992</v>
      </c>
      <c r="AG200" s="135">
        <v>0</v>
      </c>
      <c r="AH200" s="135">
        <v>11852.198514053303</v>
      </c>
      <c r="AI200" s="135">
        <v>641.41997851772248</v>
      </c>
      <c r="AJ200" s="135">
        <v>0</v>
      </c>
      <c r="AK200" s="135">
        <v>-324.32824919441464</v>
      </c>
      <c r="AL200" s="135">
        <v>0</v>
      </c>
      <c r="AM200" s="135">
        <v>-79.563157894736847</v>
      </c>
      <c r="AN200" s="135">
        <v>100.06761284508099</v>
      </c>
      <c r="AO200" s="135">
        <v>-21.85731471535982</v>
      </c>
      <c r="AP200" s="135">
        <v>529.7508700146517</v>
      </c>
      <c r="AQ200" s="135">
        <v>0</v>
      </c>
      <c r="AR200" s="135">
        <v>77.244897959183675</v>
      </c>
      <c r="AS200" s="135">
        <v>-0.1126751879700123</v>
      </c>
      <c r="AT200" s="135">
        <v>0.58047896998152737</v>
      </c>
      <c r="AU200" s="135">
        <v>-88.83673469387756</v>
      </c>
      <c r="AV200" s="135">
        <v>834.36571565574911</v>
      </c>
      <c r="AW200" s="135"/>
      <c r="AX200" s="164"/>
      <c r="AY200" s="132"/>
      <c r="AZ200" s="135"/>
      <c r="BA200" s="135"/>
    </row>
    <row r="201" spans="1:53" ht="16.5" x14ac:dyDescent="0.3">
      <c r="A201" s="165">
        <v>518</v>
      </c>
      <c r="B201" s="165">
        <v>1</v>
      </c>
      <c r="C201" s="166" t="s">
        <v>510</v>
      </c>
      <c r="D201" s="167">
        <v>4</v>
      </c>
      <c r="E201" s="163">
        <v>2755.85</v>
      </c>
      <c r="F201" s="135">
        <v>6001.2165538763002</v>
      </c>
      <c r="G201" s="135">
        <v>0</v>
      </c>
      <c r="H201" s="135">
        <v>1168.3959903478055</v>
      </c>
      <c r="I201" s="135">
        <v>0</v>
      </c>
      <c r="J201" s="135">
        <v>107.20396973710471</v>
      </c>
      <c r="K201" s="135">
        <v>1633.0472304370703</v>
      </c>
      <c r="L201" s="135">
        <v>132.79833463359762</v>
      </c>
      <c r="M201" s="135">
        <v>928.82130540933645</v>
      </c>
      <c r="N201" s="135">
        <v>0</v>
      </c>
      <c r="O201" s="135">
        <v>-40.122220004717242</v>
      </c>
      <c r="P201" s="135">
        <v>1235.9700799390387</v>
      </c>
      <c r="Q201" s="135">
        <v>127.04336593065662</v>
      </c>
      <c r="R201" s="135">
        <v>96.753266687228987</v>
      </c>
      <c r="S201" s="135">
        <v>11391.12787699342</v>
      </c>
      <c r="T201" s="135"/>
      <c r="U201" s="135">
        <v>6628.2762124208502</v>
      </c>
      <c r="V201" s="135">
        <v>0</v>
      </c>
      <c r="W201" s="135">
        <v>642.34309196799541</v>
      </c>
      <c r="X201" s="135">
        <v>251.68459966979333</v>
      </c>
      <c r="Y201" s="135">
        <v>59.329085400148777</v>
      </c>
      <c r="Z201" s="135">
        <v>1624.3503093419454</v>
      </c>
      <c r="AA201" s="135">
        <v>330.58784041221401</v>
      </c>
      <c r="AB201" s="135">
        <v>1120.2914288425429</v>
      </c>
      <c r="AC201" s="135">
        <v>127.61094423116253</v>
      </c>
      <c r="AD201" s="135">
        <v>0</v>
      </c>
      <c r="AE201" s="135">
        <v>1349.8152535714933</v>
      </c>
      <c r="AF201" s="135">
        <v>133.13366112088829</v>
      </c>
      <c r="AG201" s="135">
        <v>52.402296931981056</v>
      </c>
      <c r="AH201" s="135">
        <v>12319.824723911015</v>
      </c>
      <c r="AI201" s="135">
        <v>627.05965854455008</v>
      </c>
      <c r="AJ201" s="135">
        <v>0</v>
      </c>
      <c r="AK201" s="135">
        <v>-526.05289837981013</v>
      </c>
      <c r="AL201" s="135">
        <v>251.68459966979333</v>
      </c>
      <c r="AM201" s="135">
        <v>-47.874884336955937</v>
      </c>
      <c r="AN201" s="135">
        <v>-8.6969210951249352</v>
      </c>
      <c r="AO201" s="135">
        <v>197.78950577861639</v>
      </c>
      <c r="AP201" s="135">
        <v>191.47012343320648</v>
      </c>
      <c r="AQ201" s="135">
        <v>127.61094423116253</v>
      </c>
      <c r="AR201" s="135">
        <v>40.122220004717242</v>
      </c>
      <c r="AS201" s="135">
        <v>113.84517363245459</v>
      </c>
      <c r="AT201" s="135">
        <v>6.0902951902316715</v>
      </c>
      <c r="AU201" s="135">
        <v>-44.350969755247931</v>
      </c>
      <c r="AV201" s="135">
        <v>928.696850133407</v>
      </c>
      <c r="AW201" s="135"/>
      <c r="AX201" s="164"/>
      <c r="AY201" s="132"/>
      <c r="AZ201" s="135"/>
      <c r="BA201" s="135"/>
    </row>
    <row r="202" spans="1:53" ht="16.5" x14ac:dyDescent="0.3">
      <c r="A202" s="165">
        <v>531</v>
      </c>
      <c r="B202" s="165">
        <v>1</v>
      </c>
      <c r="C202" s="166" t="s">
        <v>343</v>
      </c>
      <c r="D202" s="167">
        <v>5</v>
      </c>
      <c r="E202" s="163">
        <v>1856.88</v>
      </c>
      <c r="F202" s="135">
        <v>5982.8652793933916</v>
      </c>
      <c r="G202" s="135">
        <v>1.3972254534487958</v>
      </c>
      <c r="H202" s="135">
        <v>288.70403580199047</v>
      </c>
      <c r="I202" s="135">
        <v>0</v>
      </c>
      <c r="J202" s="135">
        <v>142.73439856102709</v>
      </c>
      <c r="K202" s="135">
        <v>64.90732303649132</v>
      </c>
      <c r="L202" s="135">
        <v>99.547361164964869</v>
      </c>
      <c r="M202" s="135">
        <v>509.66705592750577</v>
      </c>
      <c r="N202" s="135">
        <v>0</v>
      </c>
      <c r="O202" s="135">
        <v>-32.413731635862305</v>
      </c>
      <c r="P202" s="135">
        <v>1927.931116034885</v>
      </c>
      <c r="Q202" s="135">
        <v>91.289087070785399</v>
      </c>
      <c r="R202" s="135">
        <v>103.93792275214338</v>
      </c>
      <c r="S202" s="135">
        <v>9180.5670735607728</v>
      </c>
      <c r="T202" s="135"/>
      <c r="U202" s="135">
        <v>6612.1704148894914</v>
      </c>
      <c r="V202" s="135">
        <v>0</v>
      </c>
      <c r="W202" s="135">
        <v>0</v>
      </c>
      <c r="X202" s="135">
        <v>0</v>
      </c>
      <c r="Y202" s="135">
        <v>104.95508595062685</v>
      </c>
      <c r="Z202" s="135">
        <v>91.628452027056127</v>
      </c>
      <c r="AA202" s="135">
        <v>68.346775235879534</v>
      </c>
      <c r="AB202" s="135">
        <v>608.37546940719437</v>
      </c>
      <c r="AC202" s="135">
        <v>47.908027077870599</v>
      </c>
      <c r="AD202" s="135">
        <v>4.7964488819956053</v>
      </c>
      <c r="AE202" s="135">
        <v>2018.0002949912143</v>
      </c>
      <c r="AF202" s="135">
        <v>85.685332385506868</v>
      </c>
      <c r="AG202" s="135">
        <v>57.313779027185383</v>
      </c>
      <c r="AH202" s="135">
        <v>9699.1800798740205</v>
      </c>
      <c r="AI202" s="135">
        <v>629.30513549609987</v>
      </c>
      <c r="AJ202" s="135">
        <v>-1.3972254534487958</v>
      </c>
      <c r="AK202" s="135">
        <v>-288.70403580199047</v>
      </c>
      <c r="AL202" s="135">
        <v>0</v>
      </c>
      <c r="AM202" s="135">
        <v>-37.77931261040024</v>
      </c>
      <c r="AN202" s="135">
        <v>26.721128990564807</v>
      </c>
      <c r="AO202" s="135">
        <v>-31.200585929085335</v>
      </c>
      <c r="AP202" s="135">
        <v>98.708413479688602</v>
      </c>
      <c r="AQ202" s="135">
        <v>47.908027077870599</v>
      </c>
      <c r="AR202" s="135">
        <v>37.210180517857907</v>
      </c>
      <c r="AS202" s="135">
        <v>90.069178956329324</v>
      </c>
      <c r="AT202" s="135">
        <v>-5.6037546852785312</v>
      </c>
      <c r="AU202" s="135">
        <v>-46.624143724957996</v>
      </c>
      <c r="AV202" s="135">
        <v>518.61301112959256</v>
      </c>
      <c r="AW202" s="135"/>
      <c r="AX202" s="164"/>
      <c r="AY202" s="132"/>
      <c r="AZ202" s="135"/>
      <c r="BA202" s="135"/>
    </row>
    <row r="203" spans="1:53" ht="16.5" x14ac:dyDescent="0.3">
      <c r="A203" s="165">
        <v>533</v>
      </c>
      <c r="B203" s="165">
        <v>1</v>
      </c>
      <c r="C203" s="166" t="s">
        <v>277</v>
      </c>
      <c r="D203" s="167">
        <v>5</v>
      </c>
      <c r="E203" s="163">
        <v>1257.6599999999999</v>
      </c>
      <c r="F203" s="135">
        <v>6056.6598921807172</v>
      </c>
      <c r="G203" s="135">
        <v>13.402565081182514</v>
      </c>
      <c r="H203" s="135">
        <v>159.9970500771274</v>
      </c>
      <c r="I203" s="135">
        <v>0</v>
      </c>
      <c r="J203" s="135">
        <v>151.32374409617864</v>
      </c>
      <c r="K203" s="135">
        <v>294.18113003514469</v>
      </c>
      <c r="L203" s="135">
        <v>102.55250226611327</v>
      </c>
      <c r="M203" s="135">
        <v>576.01377172097386</v>
      </c>
      <c r="N203" s="135">
        <v>0</v>
      </c>
      <c r="O203" s="135">
        <v>-29.010821684716063</v>
      </c>
      <c r="P203" s="135">
        <v>1495.7273641979095</v>
      </c>
      <c r="Q203" s="135">
        <v>139.15013596679549</v>
      </c>
      <c r="R203" s="135">
        <v>104.36909816643609</v>
      </c>
      <c r="S203" s="135">
        <v>9064.366432103865</v>
      </c>
      <c r="T203" s="135"/>
      <c r="U203" s="135">
        <v>6704.2006583655366</v>
      </c>
      <c r="V203" s="135">
        <v>0</v>
      </c>
      <c r="W203" s="135">
        <v>0</v>
      </c>
      <c r="X203" s="135">
        <v>0</v>
      </c>
      <c r="Y203" s="135">
        <v>106.41588346611964</v>
      </c>
      <c r="Z203" s="135">
        <v>118.6944954057864</v>
      </c>
      <c r="AA203" s="135">
        <v>69.284266017842668</v>
      </c>
      <c r="AB203" s="135">
        <v>674.11143172323921</v>
      </c>
      <c r="AC203" s="135">
        <v>32.665171916001981</v>
      </c>
      <c r="AD203" s="135">
        <v>8.7154636388213049</v>
      </c>
      <c r="AE203" s="135">
        <v>1612.4476283460669</v>
      </c>
      <c r="AF203" s="135">
        <v>123.77231525213493</v>
      </c>
      <c r="AG203" s="135">
        <v>56.461603295008196</v>
      </c>
      <c r="AH203" s="135">
        <v>9506.7689174265597</v>
      </c>
      <c r="AI203" s="135">
        <v>647.5407661848194</v>
      </c>
      <c r="AJ203" s="135">
        <v>-13.402565081182514</v>
      </c>
      <c r="AK203" s="135">
        <v>-159.9970500771274</v>
      </c>
      <c r="AL203" s="135">
        <v>0</v>
      </c>
      <c r="AM203" s="135">
        <v>-44.907860630059005</v>
      </c>
      <c r="AN203" s="135">
        <v>-175.48663462935829</v>
      </c>
      <c r="AO203" s="135">
        <v>-33.268236248270597</v>
      </c>
      <c r="AP203" s="135">
        <v>98.097660002265343</v>
      </c>
      <c r="AQ203" s="135">
        <v>32.665171916001981</v>
      </c>
      <c r="AR203" s="135">
        <v>37.726285323537368</v>
      </c>
      <c r="AS203" s="135">
        <v>116.72026414815741</v>
      </c>
      <c r="AT203" s="135">
        <v>-15.377820714660558</v>
      </c>
      <c r="AU203" s="135">
        <v>-47.907494871427893</v>
      </c>
      <c r="AV203" s="135">
        <v>442.40249332873429</v>
      </c>
      <c r="AW203" s="135"/>
      <c r="AX203" s="164"/>
      <c r="AY203" s="132"/>
      <c r="AZ203" s="135"/>
      <c r="BA203" s="135"/>
    </row>
    <row r="204" spans="1:53" ht="16.5" x14ac:dyDescent="0.3">
      <c r="A204" s="165">
        <v>534</v>
      </c>
      <c r="B204" s="165">
        <v>1</v>
      </c>
      <c r="C204" s="166" t="s">
        <v>374</v>
      </c>
      <c r="D204" s="167">
        <v>5</v>
      </c>
      <c r="E204" s="163">
        <v>1953.73</v>
      </c>
      <c r="F204" s="135">
        <v>5983.0820430663398</v>
      </c>
      <c r="G204" s="135">
        <v>3.3672001760734598</v>
      </c>
      <c r="H204" s="135">
        <v>828.90500222651031</v>
      </c>
      <c r="I204" s="135">
        <v>0</v>
      </c>
      <c r="J204" s="135">
        <v>122.65089341925446</v>
      </c>
      <c r="K204" s="135">
        <v>174.52304054296141</v>
      </c>
      <c r="L204" s="135">
        <v>96.465983528942061</v>
      </c>
      <c r="M204" s="135">
        <v>665.21594635780798</v>
      </c>
      <c r="N204" s="135">
        <v>0</v>
      </c>
      <c r="O204" s="135">
        <v>-47.288258868932765</v>
      </c>
      <c r="P204" s="135">
        <v>1266.9232913452729</v>
      </c>
      <c r="Q204" s="135">
        <v>121.47122683277628</v>
      </c>
      <c r="R204" s="135">
        <v>108.2843893475557</v>
      </c>
      <c r="S204" s="135">
        <v>9323.6007579745619</v>
      </c>
      <c r="T204" s="135"/>
      <c r="U204" s="135">
        <v>6613.2377554728646</v>
      </c>
      <c r="V204" s="135">
        <v>0</v>
      </c>
      <c r="W204" s="135">
        <v>517.35463958684159</v>
      </c>
      <c r="X204" s="135">
        <v>0</v>
      </c>
      <c r="Y204" s="135">
        <v>68.018124305815022</v>
      </c>
      <c r="Z204" s="135">
        <v>234.60407123503484</v>
      </c>
      <c r="AA204" s="135">
        <v>67.045548770812744</v>
      </c>
      <c r="AB204" s="135">
        <v>834.535847501391</v>
      </c>
      <c r="AC204" s="135">
        <v>37.966312138975596</v>
      </c>
      <c r="AD204" s="135">
        <v>0</v>
      </c>
      <c r="AE204" s="135">
        <v>1332.3243340548593</v>
      </c>
      <c r="AF204" s="135">
        <v>115.85762618171394</v>
      </c>
      <c r="AG204" s="135">
        <v>62.042564735147636</v>
      </c>
      <c r="AH204" s="135">
        <v>9882.9868239834577</v>
      </c>
      <c r="AI204" s="135">
        <v>630.1557124065248</v>
      </c>
      <c r="AJ204" s="135">
        <v>-3.3672001760734598</v>
      </c>
      <c r="AK204" s="135">
        <v>-311.55036263966872</v>
      </c>
      <c r="AL204" s="135">
        <v>0</v>
      </c>
      <c r="AM204" s="135">
        <v>-54.632769113439437</v>
      </c>
      <c r="AN204" s="135">
        <v>60.081030692073426</v>
      </c>
      <c r="AO204" s="135">
        <v>-29.420434758129318</v>
      </c>
      <c r="AP204" s="135">
        <v>169.31990114358302</v>
      </c>
      <c r="AQ204" s="135">
        <v>37.966312138975596</v>
      </c>
      <c r="AR204" s="135">
        <v>47.288258868932765</v>
      </c>
      <c r="AS204" s="135">
        <v>65.401042709586363</v>
      </c>
      <c r="AT204" s="135">
        <v>-5.6136006510623417</v>
      </c>
      <c r="AU204" s="135">
        <v>-46.241824612408067</v>
      </c>
      <c r="AV204" s="135">
        <v>559.38607540588214</v>
      </c>
      <c r="AW204" s="135"/>
      <c r="AX204" s="164"/>
      <c r="AY204" s="132"/>
      <c r="AZ204" s="135"/>
      <c r="BA204" s="135"/>
    </row>
    <row r="205" spans="1:53" ht="16.5" x14ac:dyDescent="0.3">
      <c r="A205" s="165">
        <v>535</v>
      </c>
      <c r="B205" s="165">
        <v>1</v>
      </c>
      <c r="C205" s="166" t="s">
        <v>513</v>
      </c>
      <c r="D205" s="167">
        <v>4</v>
      </c>
      <c r="E205" s="163">
        <v>16278.99</v>
      </c>
      <c r="F205" s="135">
        <v>6000.3255779381889</v>
      </c>
      <c r="G205" s="135">
        <v>28.19831390030954</v>
      </c>
      <c r="H205" s="135">
        <v>594.28552815623073</v>
      </c>
      <c r="I205" s="135">
        <v>0</v>
      </c>
      <c r="J205" s="135">
        <v>130.52775632886315</v>
      </c>
      <c r="K205" s="135">
        <v>591.88062404362915</v>
      </c>
      <c r="L205" s="135">
        <v>143.31109239578132</v>
      </c>
      <c r="M205" s="135">
        <v>822.6183332904393</v>
      </c>
      <c r="N205" s="135">
        <v>0</v>
      </c>
      <c r="O205" s="135">
        <v>-42.223807496656732</v>
      </c>
      <c r="P205" s="135">
        <v>1317.2074407564596</v>
      </c>
      <c r="Q205" s="135">
        <v>30.17391926649012</v>
      </c>
      <c r="R205" s="135">
        <v>113.9350739818625</v>
      </c>
      <c r="S205" s="135">
        <v>9730.2398525615954</v>
      </c>
      <c r="T205" s="135"/>
      <c r="U205" s="135">
        <v>6624.0482978366599</v>
      </c>
      <c r="V205" s="135">
        <v>0</v>
      </c>
      <c r="W205" s="135">
        <v>96.763676984874365</v>
      </c>
      <c r="X205" s="135">
        <v>246.30728538897702</v>
      </c>
      <c r="Y205" s="135">
        <v>98.231932693613047</v>
      </c>
      <c r="Z205" s="135">
        <v>579.95926988471649</v>
      </c>
      <c r="AA205" s="135">
        <v>167.64176217320608</v>
      </c>
      <c r="AB205" s="135">
        <v>1101.2708507016632</v>
      </c>
      <c r="AC205" s="135">
        <v>83.644527907947392</v>
      </c>
      <c r="AD205" s="135">
        <v>0</v>
      </c>
      <c r="AE205" s="135">
        <v>1317.1958506713254</v>
      </c>
      <c r="AF205" s="135">
        <v>37.778104169853293</v>
      </c>
      <c r="AG205" s="135">
        <v>66.209008666999608</v>
      </c>
      <c r="AH205" s="135">
        <v>10419.050567079836</v>
      </c>
      <c r="AI205" s="135">
        <v>623.72271989847104</v>
      </c>
      <c r="AJ205" s="135">
        <v>-28.19831390030954</v>
      </c>
      <c r="AK205" s="135">
        <v>-497.52185117135639</v>
      </c>
      <c r="AL205" s="135">
        <v>246.30728538897702</v>
      </c>
      <c r="AM205" s="135">
        <v>-32.295823635250102</v>
      </c>
      <c r="AN205" s="135">
        <v>-11.921354158912663</v>
      </c>
      <c r="AO205" s="135">
        <v>24.33066977742476</v>
      </c>
      <c r="AP205" s="135">
        <v>278.65251741122393</v>
      </c>
      <c r="AQ205" s="135">
        <v>83.644527907947392</v>
      </c>
      <c r="AR205" s="135">
        <v>42.223807496656732</v>
      </c>
      <c r="AS205" s="135">
        <v>-1.1590085134230321E-2</v>
      </c>
      <c r="AT205" s="135">
        <v>7.6041849033631728</v>
      </c>
      <c r="AU205" s="135">
        <v>-47.726065314862893</v>
      </c>
      <c r="AV205" s="135">
        <v>688.81071631269515</v>
      </c>
      <c r="AW205" s="135"/>
      <c r="AX205" s="164"/>
      <c r="AY205" s="132"/>
      <c r="AZ205" s="135"/>
      <c r="BA205" s="135"/>
    </row>
    <row r="206" spans="1:53" ht="16.5" x14ac:dyDescent="0.3">
      <c r="A206" s="165">
        <v>542</v>
      </c>
      <c r="B206" s="165">
        <v>1</v>
      </c>
      <c r="C206" s="166" t="s">
        <v>515</v>
      </c>
      <c r="D206" s="167">
        <v>6</v>
      </c>
      <c r="E206" s="163">
        <v>447.8</v>
      </c>
      <c r="F206" s="135">
        <v>6180.372309066548</v>
      </c>
      <c r="G206" s="135">
        <v>28.843322912014294</v>
      </c>
      <c r="H206" s="135">
        <v>0</v>
      </c>
      <c r="I206" s="135">
        <v>0</v>
      </c>
      <c r="J206" s="135">
        <v>195.1551585529254</v>
      </c>
      <c r="K206" s="135">
        <v>434.46962929879408</v>
      </c>
      <c r="L206" s="135">
        <v>105.08883876730681</v>
      </c>
      <c r="M206" s="135">
        <v>261.70190494181782</v>
      </c>
      <c r="N206" s="135">
        <v>0</v>
      </c>
      <c r="O206" s="135">
        <v>-36.008351942831624</v>
      </c>
      <c r="P206" s="135">
        <v>1617.4098615453324</v>
      </c>
      <c r="Q206" s="135">
        <v>534.02724430549347</v>
      </c>
      <c r="R206" s="135">
        <v>91.78510495757034</v>
      </c>
      <c r="S206" s="135">
        <v>9412.8450224049702</v>
      </c>
      <c r="T206" s="135"/>
      <c r="U206" s="135">
        <v>6864.9740955783836</v>
      </c>
      <c r="V206" s="135">
        <v>0</v>
      </c>
      <c r="W206" s="135">
        <v>0</v>
      </c>
      <c r="X206" s="135">
        <v>0</v>
      </c>
      <c r="Y206" s="135">
        <v>108.17999106744082</v>
      </c>
      <c r="Z206" s="135">
        <v>543.53374274229566</v>
      </c>
      <c r="AA206" s="135">
        <v>75.535618579723092</v>
      </c>
      <c r="AB206" s="135">
        <v>382.94746219607578</v>
      </c>
      <c r="AC206" s="135">
        <v>55.165901507200552</v>
      </c>
      <c r="AD206" s="135">
        <v>2.3366904868244749</v>
      </c>
      <c r="AE206" s="135">
        <v>1687.4768820120589</v>
      </c>
      <c r="AF206" s="135">
        <v>562.88151237276975</v>
      </c>
      <c r="AG206" s="135">
        <v>41.247900848593119</v>
      </c>
      <c r="AH206" s="135">
        <v>10324.279797391366</v>
      </c>
      <c r="AI206" s="135">
        <v>684.6017865118356</v>
      </c>
      <c r="AJ206" s="135">
        <v>-28.843322912014294</v>
      </c>
      <c r="AK206" s="135">
        <v>0</v>
      </c>
      <c r="AL206" s="135">
        <v>0</v>
      </c>
      <c r="AM206" s="135">
        <v>-86.975167485484576</v>
      </c>
      <c r="AN206" s="135">
        <v>109.06411344350158</v>
      </c>
      <c r="AO206" s="135">
        <v>-29.553220187583719</v>
      </c>
      <c r="AP206" s="135">
        <v>121.24555725425796</v>
      </c>
      <c r="AQ206" s="135">
        <v>55.165901507200552</v>
      </c>
      <c r="AR206" s="135">
        <v>38.345042429656097</v>
      </c>
      <c r="AS206" s="135">
        <v>70.06702046672649</v>
      </c>
      <c r="AT206" s="135">
        <v>28.85426806727628</v>
      </c>
      <c r="AU206" s="135">
        <v>-50.537204108977221</v>
      </c>
      <c r="AV206" s="135">
        <v>911.43477883442006</v>
      </c>
      <c r="AW206" s="135"/>
      <c r="AX206" s="164"/>
      <c r="AY206" s="132"/>
      <c r="AZ206" s="135"/>
      <c r="BA206" s="135"/>
    </row>
    <row r="207" spans="1:53" ht="16.5" x14ac:dyDescent="0.3">
      <c r="A207" s="165">
        <v>544</v>
      </c>
      <c r="B207" s="165">
        <v>1</v>
      </c>
      <c r="C207" s="166" t="s">
        <v>505</v>
      </c>
      <c r="D207" s="167">
        <v>4</v>
      </c>
      <c r="E207" s="163">
        <v>2602.8099999999995</v>
      </c>
      <c r="F207" s="135">
        <v>6144.4384492145036</v>
      </c>
      <c r="G207" s="135">
        <v>18.995535594223171</v>
      </c>
      <c r="H207" s="135">
        <v>411.78854776184204</v>
      </c>
      <c r="I207" s="135">
        <v>0</v>
      </c>
      <c r="J207" s="135">
        <v>141.74316219777859</v>
      </c>
      <c r="K207" s="135">
        <v>284.91520318425097</v>
      </c>
      <c r="L207" s="135">
        <v>104.03844076209944</v>
      </c>
      <c r="M207" s="135">
        <v>612.33356017132644</v>
      </c>
      <c r="N207" s="135">
        <v>0</v>
      </c>
      <c r="O207" s="135">
        <v>-51.988062901249037</v>
      </c>
      <c r="P207" s="135">
        <v>1540.8739408562287</v>
      </c>
      <c r="Q207" s="135">
        <v>161.97370149953323</v>
      </c>
      <c r="R207" s="135">
        <v>95.383112866478939</v>
      </c>
      <c r="S207" s="135">
        <v>9464.4955912070163</v>
      </c>
      <c r="T207" s="135"/>
      <c r="U207" s="135">
        <v>6814.1543178334196</v>
      </c>
      <c r="V207" s="135">
        <v>0</v>
      </c>
      <c r="W207" s="135">
        <v>0</v>
      </c>
      <c r="X207" s="135">
        <v>142.12924255814167</v>
      </c>
      <c r="Y207" s="135">
        <v>108.16117964814953</v>
      </c>
      <c r="Z207" s="135">
        <v>351.53306025077381</v>
      </c>
      <c r="AA207" s="135">
        <v>80.622611715799479</v>
      </c>
      <c r="AB207" s="135">
        <v>762.99219331329709</v>
      </c>
      <c r="AC207" s="135">
        <v>67.813413501169293</v>
      </c>
      <c r="AD207" s="135">
        <v>0</v>
      </c>
      <c r="AE207" s="135">
        <v>1588.7469647822932</v>
      </c>
      <c r="AF207" s="135">
        <v>153.6645894245066</v>
      </c>
      <c r="AG207" s="135">
        <v>44.411616675823446</v>
      </c>
      <c r="AH207" s="135">
        <v>10114.229189703372</v>
      </c>
      <c r="AI207" s="135">
        <v>669.71586861891592</v>
      </c>
      <c r="AJ207" s="135">
        <v>-18.995535594223171</v>
      </c>
      <c r="AK207" s="135">
        <v>-411.78854776184204</v>
      </c>
      <c r="AL207" s="135">
        <v>142.12924255814167</v>
      </c>
      <c r="AM207" s="135">
        <v>-33.58198254962906</v>
      </c>
      <c r="AN207" s="135">
        <v>66.617857066522845</v>
      </c>
      <c r="AO207" s="135">
        <v>-23.415829046299962</v>
      </c>
      <c r="AP207" s="135">
        <v>150.65863314197065</v>
      </c>
      <c r="AQ207" s="135">
        <v>67.813413501169293</v>
      </c>
      <c r="AR207" s="135">
        <v>51.988062901249037</v>
      </c>
      <c r="AS207" s="135">
        <v>47.873023926064434</v>
      </c>
      <c r="AT207" s="135">
        <v>-8.3091120750266327</v>
      </c>
      <c r="AU207" s="135">
        <v>-50.971496190655493</v>
      </c>
      <c r="AV207" s="135">
        <v>649.73360438680038</v>
      </c>
      <c r="AW207" s="135"/>
      <c r="AX207" s="132"/>
      <c r="AY207" s="132"/>
      <c r="AZ207" s="155"/>
      <c r="BA207" s="155"/>
    </row>
    <row r="208" spans="1:53" ht="16.5" x14ac:dyDescent="0.3">
      <c r="A208" s="165">
        <v>545</v>
      </c>
      <c r="B208" s="165">
        <v>1</v>
      </c>
      <c r="C208" s="166" t="s">
        <v>467</v>
      </c>
      <c r="D208" s="167">
        <v>6</v>
      </c>
      <c r="E208" s="163">
        <v>378.34000000000003</v>
      </c>
      <c r="F208" s="135">
        <v>6086.2900037003747</v>
      </c>
      <c r="G208" s="135">
        <v>0</v>
      </c>
      <c r="H208" s="135">
        <v>1393.1410635935929</v>
      </c>
      <c r="I208" s="135">
        <v>0</v>
      </c>
      <c r="J208" s="135">
        <v>100.05563778611831</v>
      </c>
      <c r="K208" s="135">
        <v>714.66353015805885</v>
      </c>
      <c r="L208" s="135">
        <v>0</v>
      </c>
      <c r="M208" s="135">
        <v>477.83474040915587</v>
      </c>
      <c r="N208" s="135">
        <v>0</v>
      </c>
      <c r="O208" s="135">
        <v>-57.529814452608761</v>
      </c>
      <c r="P208" s="135">
        <v>1477.3601607020139</v>
      </c>
      <c r="Q208" s="135">
        <v>937.12060580430284</v>
      </c>
      <c r="R208" s="135">
        <v>116.0267748585928</v>
      </c>
      <c r="S208" s="135">
        <v>11244.9627025596</v>
      </c>
      <c r="T208" s="135"/>
      <c r="U208" s="135">
        <v>6750.2616693978953</v>
      </c>
      <c r="V208" s="135">
        <v>0</v>
      </c>
      <c r="W208" s="135">
        <v>1071.6951155045726</v>
      </c>
      <c r="X208" s="135">
        <v>0</v>
      </c>
      <c r="Y208" s="135">
        <v>30.59737273352011</v>
      </c>
      <c r="Z208" s="135">
        <v>665.13992704974362</v>
      </c>
      <c r="AA208" s="135">
        <v>0</v>
      </c>
      <c r="AB208" s="135">
        <v>634.00575790981509</v>
      </c>
      <c r="AC208" s="135">
        <v>78.352669117485036</v>
      </c>
      <c r="AD208" s="135">
        <v>0</v>
      </c>
      <c r="AE208" s="135">
        <v>1590.088962414759</v>
      </c>
      <c r="AF208" s="135">
        <v>979.26392925883988</v>
      </c>
      <c r="AG208" s="135">
        <v>69.930459375165199</v>
      </c>
      <c r="AH208" s="135">
        <v>11869.335862761796</v>
      </c>
      <c r="AI208" s="135">
        <v>663.97166569752062</v>
      </c>
      <c r="AJ208" s="135">
        <v>0</v>
      </c>
      <c r="AK208" s="135">
        <v>-321.44594808902025</v>
      </c>
      <c r="AL208" s="135">
        <v>0</v>
      </c>
      <c r="AM208" s="135">
        <v>-69.458265052598193</v>
      </c>
      <c r="AN208" s="135">
        <v>-49.523603108315228</v>
      </c>
      <c r="AO208" s="135">
        <v>0</v>
      </c>
      <c r="AP208" s="135">
        <v>156.17101750065922</v>
      </c>
      <c r="AQ208" s="135">
        <v>78.352669117485036</v>
      </c>
      <c r="AR208" s="135">
        <v>57.529814452608761</v>
      </c>
      <c r="AS208" s="135">
        <v>112.72880171274505</v>
      </c>
      <c r="AT208" s="135">
        <v>42.14332345453704</v>
      </c>
      <c r="AU208" s="135">
        <v>-46.096315483427603</v>
      </c>
      <c r="AV208" s="135">
        <v>624.3731649023922</v>
      </c>
      <c r="AW208" s="135"/>
      <c r="AX208" s="132"/>
      <c r="AY208" s="132"/>
      <c r="AZ208" s="155"/>
      <c r="BA208" s="155"/>
    </row>
    <row r="209" spans="1:53" ht="16.5" x14ac:dyDescent="0.3">
      <c r="A209" s="165">
        <v>547</v>
      </c>
      <c r="B209" s="165">
        <v>1</v>
      </c>
      <c r="C209" s="166" t="s">
        <v>519</v>
      </c>
      <c r="D209" s="167">
        <v>6</v>
      </c>
      <c r="E209" s="163">
        <v>525.78</v>
      </c>
      <c r="F209" s="135">
        <v>6112.0541671421506</v>
      </c>
      <c r="G209" s="135">
        <v>0</v>
      </c>
      <c r="H209" s="135">
        <v>1203.5327703602266</v>
      </c>
      <c r="I209" s="135">
        <v>0</v>
      </c>
      <c r="J209" s="135">
        <v>110.82194073566892</v>
      </c>
      <c r="K209" s="135">
        <v>409.70778652668417</v>
      </c>
      <c r="L209" s="135">
        <v>0</v>
      </c>
      <c r="M209" s="135">
        <v>968.28670574288105</v>
      </c>
      <c r="N209" s="135">
        <v>0</v>
      </c>
      <c r="O209" s="135">
        <v>-54.5003613678725</v>
      </c>
      <c r="P209" s="135">
        <v>976.59716611510521</v>
      </c>
      <c r="Q209" s="135">
        <v>748.14526988474267</v>
      </c>
      <c r="R209" s="135">
        <v>106.026779261288</v>
      </c>
      <c r="S209" s="135">
        <v>10580.672224400874</v>
      </c>
      <c r="T209" s="135"/>
      <c r="U209" s="135">
        <v>6764.7894556658694</v>
      </c>
      <c r="V209" s="135">
        <v>0</v>
      </c>
      <c r="W209" s="135">
        <v>881.3983795503824</v>
      </c>
      <c r="X209" s="135">
        <v>0</v>
      </c>
      <c r="Y209" s="135">
        <v>44.42057514549812</v>
      </c>
      <c r="Z209" s="135">
        <v>514.26427403096352</v>
      </c>
      <c r="AA209" s="135">
        <v>0</v>
      </c>
      <c r="AB209" s="135">
        <v>1141.236498497972</v>
      </c>
      <c r="AC209" s="135">
        <v>38.041801678358027</v>
      </c>
      <c r="AD209" s="135">
        <v>0</v>
      </c>
      <c r="AE209" s="135">
        <v>1083.1671210316103</v>
      </c>
      <c r="AF209" s="135">
        <v>741.49274477117706</v>
      </c>
      <c r="AG209" s="135">
        <v>56.858457910152538</v>
      </c>
      <c r="AH209" s="135">
        <v>11265.669308281984</v>
      </c>
      <c r="AI209" s="135">
        <v>652.73528852371874</v>
      </c>
      <c r="AJ209" s="135">
        <v>0</v>
      </c>
      <c r="AK209" s="135">
        <v>-322.13439080984415</v>
      </c>
      <c r="AL209" s="135">
        <v>0</v>
      </c>
      <c r="AM209" s="135">
        <v>-66.401365590170798</v>
      </c>
      <c r="AN209" s="135">
        <v>104.55648750427935</v>
      </c>
      <c r="AO209" s="135">
        <v>0</v>
      </c>
      <c r="AP209" s="135">
        <v>172.94979275509093</v>
      </c>
      <c r="AQ209" s="135">
        <v>38.041801678358027</v>
      </c>
      <c r="AR209" s="135">
        <v>54.5003613678725</v>
      </c>
      <c r="AS209" s="135">
        <v>106.56995491650514</v>
      </c>
      <c r="AT209" s="135">
        <v>-6.6525251135656163</v>
      </c>
      <c r="AU209" s="135">
        <v>-49.168321351135461</v>
      </c>
      <c r="AV209" s="135">
        <v>684.99709189336386</v>
      </c>
      <c r="AW209" s="135"/>
      <c r="AX209" s="132"/>
      <c r="AY209" s="132"/>
      <c r="AZ209" s="155"/>
      <c r="BA209" s="155"/>
    </row>
    <row r="210" spans="1:53" ht="16.5" x14ac:dyDescent="0.3">
      <c r="A210" s="165">
        <v>548</v>
      </c>
      <c r="B210" s="165">
        <v>1</v>
      </c>
      <c r="C210" s="166" t="s">
        <v>511</v>
      </c>
      <c r="D210" s="167">
        <v>6</v>
      </c>
      <c r="E210" s="163">
        <v>903.46</v>
      </c>
      <c r="F210" s="135">
        <v>6043.8024483651734</v>
      </c>
      <c r="G210" s="135">
        <v>30.785911938547361</v>
      </c>
      <c r="H210" s="135">
        <v>823.08901334868165</v>
      </c>
      <c r="I210" s="135">
        <v>0</v>
      </c>
      <c r="J210" s="135">
        <v>122.63458260465322</v>
      </c>
      <c r="K210" s="135">
        <v>891.77846279857431</v>
      </c>
      <c r="L210" s="135">
        <v>140.81598078498214</v>
      </c>
      <c r="M210" s="135">
        <v>537.5823761441568</v>
      </c>
      <c r="N210" s="135">
        <v>0</v>
      </c>
      <c r="O210" s="135">
        <v>-52.520454696389429</v>
      </c>
      <c r="P210" s="135">
        <v>658.30883049609281</v>
      </c>
      <c r="Q210" s="135">
        <v>219.04156243773934</v>
      </c>
      <c r="R210" s="135">
        <v>93.842915015606678</v>
      </c>
      <c r="S210" s="135">
        <v>9509.1616292378203</v>
      </c>
      <c r="T210" s="135"/>
      <c r="U210" s="135">
        <v>6689.1738427821929</v>
      </c>
      <c r="V210" s="135">
        <v>0</v>
      </c>
      <c r="W210" s="135">
        <v>535.33564297257215</v>
      </c>
      <c r="X210" s="135">
        <v>0</v>
      </c>
      <c r="Y210" s="135">
        <v>67.939100790295086</v>
      </c>
      <c r="Z210" s="135">
        <v>914.49186236729133</v>
      </c>
      <c r="AA210" s="135">
        <v>196.40431231045093</v>
      </c>
      <c r="AB210" s="135">
        <v>644.56565003308413</v>
      </c>
      <c r="AC210" s="135">
        <v>79.294648368805241</v>
      </c>
      <c r="AD210" s="135">
        <v>0</v>
      </c>
      <c r="AE210" s="135">
        <v>738.78956872578749</v>
      </c>
      <c r="AF210" s="135">
        <v>253.7851371394417</v>
      </c>
      <c r="AG210" s="135">
        <v>45.106081066123565</v>
      </c>
      <c r="AH210" s="135">
        <v>10164.885846556044</v>
      </c>
      <c r="AI210" s="135">
        <v>645.37139441701947</v>
      </c>
      <c r="AJ210" s="135">
        <v>-30.785911938547361</v>
      </c>
      <c r="AK210" s="135">
        <v>-287.7533703761095</v>
      </c>
      <c r="AL210" s="135">
        <v>0</v>
      </c>
      <c r="AM210" s="135">
        <v>-54.695481814358132</v>
      </c>
      <c r="AN210" s="135">
        <v>22.713399568717023</v>
      </c>
      <c r="AO210" s="135">
        <v>55.588331525468789</v>
      </c>
      <c r="AP210" s="135">
        <v>106.98327388892733</v>
      </c>
      <c r="AQ210" s="135">
        <v>79.294648368805241</v>
      </c>
      <c r="AR210" s="135">
        <v>52.520454696389429</v>
      </c>
      <c r="AS210" s="135">
        <v>80.48073822969468</v>
      </c>
      <c r="AT210" s="135">
        <v>34.743574701702357</v>
      </c>
      <c r="AU210" s="135">
        <v>-48.736833949483113</v>
      </c>
      <c r="AV210" s="135">
        <v>655.72422226654317</v>
      </c>
      <c r="AW210" s="135"/>
      <c r="AX210" s="164"/>
      <c r="AY210" s="132"/>
      <c r="AZ210" s="135"/>
      <c r="BA210" s="135"/>
    </row>
    <row r="211" spans="1:53" ht="16.5" x14ac:dyDescent="0.3">
      <c r="A211" s="165">
        <v>549</v>
      </c>
      <c r="B211" s="165">
        <v>1</v>
      </c>
      <c r="C211" s="166" t="s">
        <v>522</v>
      </c>
      <c r="D211" s="167">
        <v>5</v>
      </c>
      <c r="E211" s="163">
        <v>1336.32</v>
      </c>
      <c r="F211" s="135">
        <v>6199.0434626436781</v>
      </c>
      <c r="G211" s="135">
        <v>44.272853807471265</v>
      </c>
      <c r="H211" s="135">
        <v>0</v>
      </c>
      <c r="I211" s="135">
        <v>0</v>
      </c>
      <c r="J211" s="135">
        <v>144.8445432231801</v>
      </c>
      <c r="K211" s="135">
        <v>602.3858282447319</v>
      </c>
      <c r="L211" s="135">
        <v>99.048362667624545</v>
      </c>
      <c r="M211" s="135">
        <v>1040.9876362468749</v>
      </c>
      <c r="N211" s="135">
        <v>0</v>
      </c>
      <c r="O211" s="135">
        <v>-57.700154154693486</v>
      </c>
      <c r="P211" s="135">
        <v>1335.3451089559387</v>
      </c>
      <c r="Q211" s="135">
        <v>213.86937260536399</v>
      </c>
      <c r="R211" s="135">
        <v>99.276378412356323</v>
      </c>
      <c r="S211" s="135">
        <v>9721.3733926525274</v>
      </c>
      <c r="T211" s="135"/>
      <c r="U211" s="135">
        <v>6882.6538254310344</v>
      </c>
      <c r="V211" s="135">
        <v>0</v>
      </c>
      <c r="W211" s="135">
        <v>0</v>
      </c>
      <c r="X211" s="135">
        <v>0</v>
      </c>
      <c r="Y211" s="135">
        <v>108.22407806513411</v>
      </c>
      <c r="Z211" s="135">
        <v>616.611438145997</v>
      </c>
      <c r="AA211" s="135">
        <v>75.720815373563227</v>
      </c>
      <c r="AB211" s="135">
        <v>1249.4029223898017</v>
      </c>
      <c r="AC211" s="135">
        <v>66.549813294516184</v>
      </c>
      <c r="AD211" s="135">
        <v>0</v>
      </c>
      <c r="AE211" s="135">
        <v>1474.1804912625719</v>
      </c>
      <c r="AF211" s="135">
        <v>205.47423521312263</v>
      </c>
      <c r="AG211" s="135">
        <v>48.044427981321839</v>
      </c>
      <c r="AH211" s="135">
        <v>10726.862047157063</v>
      </c>
      <c r="AI211" s="135">
        <v>683.61036278735628</v>
      </c>
      <c r="AJ211" s="135">
        <v>-44.272853807471265</v>
      </c>
      <c r="AK211" s="135">
        <v>0</v>
      </c>
      <c r="AL211" s="135">
        <v>0</v>
      </c>
      <c r="AM211" s="135">
        <v>-36.620465158045988</v>
      </c>
      <c r="AN211" s="135">
        <v>14.225609901265102</v>
      </c>
      <c r="AO211" s="135">
        <v>-23.327547294061318</v>
      </c>
      <c r="AP211" s="135">
        <v>208.41528614292679</v>
      </c>
      <c r="AQ211" s="135">
        <v>66.549813294516184</v>
      </c>
      <c r="AR211" s="135">
        <v>57.700154154693486</v>
      </c>
      <c r="AS211" s="135">
        <v>138.83538230663316</v>
      </c>
      <c r="AT211" s="135">
        <v>-8.3951373922413666</v>
      </c>
      <c r="AU211" s="135">
        <v>-51.231950431034484</v>
      </c>
      <c r="AV211" s="135">
        <v>1005.4886555040563</v>
      </c>
      <c r="AW211" s="135"/>
      <c r="AX211" s="164"/>
      <c r="AY211" s="132"/>
      <c r="AZ211" s="135"/>
      <c r="BA211" s="135"/>
    </row>
    <row r="212" spans="1:53" ht="16.5" x14ac:dyDescent="0.3">
      <c r="A212" s="165">
        <v>550</v>
      </c>
      <c r="B212" s="165">
        <v>1</v>
      </c>
      <c r="C212" s="166" t="s">
        <v>365</v>
      </c>
      <c r="D212" s="167">
        <v>6</v>
      </c>
      <c r="E212" s="163">
        <v>581.93999999999994</v>
      </c>
      <c r="F212" s="135">
        <v>6033.3546413719632</v>
      </c>
      <c r="G212" s="135">
        <v>0</v>
      </c>
      <c r="H212" s="135">
        <v>314.96631955184387</v>
      </c>
      <c r="I212" s="135">
        <v>0</v>
      </c>
      <c r="J212" s="135">
        <v>121.98587483245697</v>
      </c>
      <c r="K212" s="135">
        <v>557.92830876035339</v>
      </c>
      <c r="L212" s="135">
        <v>95.424507681204261</v>
      </c>
      <c r="M212" s="135">
        <v>428.64665830969693</v>
      </c>
      <c r="N212" s="135">
        <v>0</v>
      </c>
      <c r="O212" s="135">
        <v>-21.776265594391177</v>
      </c>
      <c r="P212" s="135">
        <v>1250.0177131663058</v>
      </c>
      <c r="Q212" s="135">
        <v>457.46779736742621</v>
      </c>
      <c r="R212" s="135">
        <v>108.29678317352305</v>
      </c>
      <c r="S212" s="135">
        <v>9346.3123386203806</v>
      </c>
      <c r="T212" s="135"/>
      <c r="U212" s="135">
        <v>6676.5579956696574</v>
      </c>
      <c r="V212" s="135">
        <v>0</v>
      </c>
      <c r="W212" s="135">
        <v>0</v>
      </c>
      <c r="X212" s="135">
        <v>0</v>
      </c>
      <c r="Y212" s="135">
        <v>105.89579681754134</v>
      </c>
      <c r="Z212" s="135">
        <v>684.02735677217595</v>
      </c>
      <c r="AA212" s="135">
        <v>61.953156682819532</v>
      </c>
      <c r="AB212" s="135">
        <v>455.36315911855763</v>
      </c>
      <c r="AC212" s="135">
        <v>83.061044405559855</v>
      </c>
      <c r="AD212" s="135">
        <v>15.767879850156374</v>
      </c>
      <c r="AE212" s="135">
        <v>1369.4035366618555</v>
      </c>
      <c r="AF212" s="135">
        <v>378.70873297210966</v>
      </c>
      <c r="AG212" s="135">
        <v>61.695587173935458</v>
      </c>
      <c r="AH212" s="135">
        <v>9892.4342461243687</v>
      </c>
      <c r="AI212" s="135">
        <v>643.2033542976942</v>
      </c>
      <c r="AJ212" s="135">
        <v>0</v>
      </c>
      <c r="AK212" s="135">
        <v>-314.96631955184387</v>
      </c>
      <c r="AL212" s="135">
        <v>0</v>
      </c>
      <c r="AM212" s="135">
        <v>-16.090078014915633</v>
      </c>
      <c r="AN212" s="135">
        <v>126.09904801182256</v>
      </c>
      <c r="AO212" s="135">
        <v>-33.471350998384729</v>
      </c>
      <c r="AP212" s="135">
        <v>26.716500808860701</v>
      </c>
      <c r="AQ212" s="135">
        <v>83.061044405559855</v>
      </c>
      <c r="AR212" s="135">
        <v>37.544145444547553</v>
      </c>
      <c r="AS212" s="135">
        <v>119.38582349554963</v>
      </c>
      <c r="AT212" s="135">
        <v>-78.759064395316557</v>
      </c>
      <c r="AU212" s="135">
        <v>-46.601195999587596</v>
      </c>
      <c r="AV212" s="135">
        <v>546.12191717246287</v>
      </c>
      <c r="AW212" s="135"/>
      <c r="AX212" s="132"/>
      <c r="AY212" s="132"/>
      <c r="AZ212" s="155"/>
      <c r="BA212" s="155"/>
    </row>
    <row r="213" spans="1:53" ht="16.5" x14ac:dyDescent="0.3">
      <c r="A213" s="165">
        <v>553</v>
      </c>
      <c r="B213" s="165">
        <v>1</v>
      </c>
      <c r="C213" s="166" t="s">
        <v>524</v>
      </c>
      <c r="D213" s="167">
        <v>6</v>
      </c>
      <c r="E213" s="163">
        <v>701.63</v>
      </c>
      <c r="F213" s="135">
        <v>5914.6464090760082</v>
      </c>
      <c r="G213" s="135">
        <v>0</v>
      </c>
      <c r="H213" s="135">
        <v>510.77513789319158</v>
      </c>
      <c r="I213" s="135">
        <v>0</v>
      </c>
      <c r="J213" s="135">
        <v>134.10985847241423</v>
      </c>
      <c r="K213" s="135">
        <v>480.62377606430738</v>
      </c>
      <c r="L213" s="135">
        <v>0</v>
      </c>
      <c r="M213" s="135">
        <v>803.19684214403605</v>
      </c>
      <c r="N213" s="135">
        <v>0</v>
      </c>
      <c r="O213" s="135">
        <v>-36.099468380770496</v>
      </c>
      <c r="P213" s="135">
        <v>1201.0593202359403</v>
      </c>
      <c r="Q213" s="135">
        <v>355.90909738751191</v>
      </c>
      <c r="R213" s="135">
        <v>101.80808973390533</v>
      </c>
      <c r="S213" s="135">
        <v>9466.0290626265451</v>
      </c>
      <c r="T213" s="135"/>
      <c r="U213" s="135">
        <v>6523.3997976141272</v>
      </c>
      <c r="V213" s="135">
        <v>0</v>
      </c>
      <c r="W213" s="135">
        <v>200.13375995895274</v>
      </c>
      <c r="X213" s="135">
        <v>0</v>
      </c>
      <c r="Y213" s="135">
        <v>89.250758947023357</v>
      </c>
      <c r="Z213" s="135">
        <v>591.42181776719917</v>
      </c>
      <c r="AA213" s="135">
        <v>0</v>
      </c>
      <c r="AB213" s="135">
        <v>1012.1567246168229</v>
      </c>
      <c r="AC213" s="135">
        <v>85.439919130227111</v>
      </c>
      <c r="AD213" s="135">
        <v>0.61092028562062628</v>
      </c>
      <c r="AE213" s="135">
        <v>1251.1759311330147</v>
      </c>
      <c r="AF213" s="135">
        <v>335.20971639198046</v>
      </c>
      <c r="AG213" s="135">
        <v>53.558898564770601</v>
      </c>
      <c r="AH213" s="135">
        <v>10142.358244409739</v>
      </c>
      <c r="AI213" s="135">
        <v>608.753388538119</v>
      </c>
      <c r="AJ213" s="135">
        <v>0</v>
      </c>
      <c r="AK213" s="135">
        <v>-310.64137793423885</v>
      </c>
      <c r="AL213" s="135">
        <v>0</v>
      </c>
      <c r="AM213" s="135">
        <v>-44.859099525390874</v>
      </c>
      <c r="AN213" s="135">
        <v>110.79804170289179</v>
      </c>
      <c r="AO213" s="135">
        <v>0</v>
      </c>
      <c r="AP213" s="135">
        <v>208.95988247278683</v>
      </c>
      <c r="AQ213" s="135">
        <v>85.439919130227111</v>
      </c>
      <c r="AR213" s="135">
        <v>36.710388666391125</v>
      </c>
      <c r="AS213" s="135">
        <v>50.116610897074452</v>
      </c>
      <c r="AT213" s="135">
        <v>-20.699380995531442</v>
      </c>
      <c r="AU213" s="135">
        <v>-48.249191169134733</v>
      </c>
      <c r="AV213" s="135">
        <v>676.32919101753271</v>
      </c>
      <c r="AW213" s="135"/>
      <c r="AX213" s="164"/>
      <c r="AY213" s="132"/>
      <c r="AZ213" s="135"/>
      <c r="BA213" s="135"/>
    </row>
    <row r="214" spans="1:53" ht="16.5" x14ac:dyDescent="0.3">
      <c r="A214" s="165">
        <v>561</v>
      </c>
      <c r="B214" s="165">
        <v>1</v>
      </c>
      <c r="C214" s="166" t="s">
        <v>526</v>
      </c>
      <c r="D214" s="167">
        <v>6</v>
      </c>
      <c r="E214" s="163">
        <v>180.62</v>
      </c>
      <c r="F214" s="135">
        <v>5885.749086479902</v>
      </c>
      <c r="G214" s="135">
        <v>0</v>
      </c>
      <c r="H214" s="135">
        <v>1889.9013951943307</v>
      </c>
      <c r="I214" s="135">
        <v>0</v>
      </c>
      <c r="J214" s="135">
        <v>88.872107186358093</v>
      </c>
      <c r="K214" s="135">
        <v>700.76890709777433</v>
      </c>
      <c r="L214" s="135">
        <v>0</v>
      </c>
      <c r="M214" s="135">
        <v>925.53866593732687</v>
      </c>
      <c r="N214" s="135">
        <v>0</v>
      </c>
      <c r="O214" s="135">
        <v>-64.05392536817628</v>
      </c>
      <c r="P214" s="135">
        <v>355.55835455652749</v>
      </c>
      <c r="Q214" s="135">
        <v>2878.9548776436714</v>
      </c>
      <c r="R214" s="135">
        <v>93.756173181264529</v>
      </c>
      <c r="S214" s="135">
        <v>12755.045641908979</v>
      </c>
      <c r="T214" s="135"/>
      <c r="U214" s="135">
        <v>6504.8982393976303</v>
      </c>
      <c r="V214" s="135">
        <v>0</v>
      </c>
      <c r="W214" s="135">
        <v>1583.1642121581219</v>
      </c>
      <c r="X214" s="135">
        <v>0</v>
      </c>
      <c r="Y214" s="135">
        <v>0</v>
      </c>
      <c r="Z214" s="135">
        <v>849.54224338389997</v>
      </c>
      <c r="AA214" s="135">
        <v>0</v>
      </c>
      <c r="AB214" s="135">
        <v>1012.4217580596203</v>
      </c>
      <c r="AC214" s="135">
        <v>95.738586460231886</v>
      </c>
      <c r="AD214" s="135">
        <v>0</v>
      </c>
      <c r="AE214" s="135">
        <v>478.25882883401619</v>
      </c>
      <c r="AF214" s="135">
        <v>2880.536104971764</v>
      </c>
      <c r="AG214" s="135">
        <v>80.236075739120807</v>
      </c>
      <c r="AH214" s="135">
        <v>13484.796049004402</v>
      </c>
      <c r="AI214" s="135">
        <v>619.14915291772832</v>
      </c>
      <c r="AJ214" s="135">
        <v>0</v>
      </c>
      <c r="AK214" s="135">
        <v>-306.73718303620876</v>
      </c>
      <c r="AL214" s="135">
        <v>0</v>
      </c>
      <c r="AM214" s="135">
        <v>-88.872107186358093</v>
      </c>
      <c r="AN214" s="135">
        <v>148.77333628612564</v>
      </c>
      <c r="AO214" s="135">
        <v>0</v>
      </c>
      <c r="AP214" s="135">
        <v>86.883092122293419</v>
      </c>
      <c r="AQ214" s="135">
        <v>95.738586460231886</v>
      </c>
      <c r="AR214" s="135">
        <v>64.05392536817628</v>
      </c>
      <c r="AS214" s="135">
        <v>122.70047427748869</v>
      </c>
      <c r="AT214" s="135">
        <v>1.5812273280926092</v>
      </c>
      <c r="AU214" s="135">
        <v>-13.520097442143722</v>
      </c>
      <c r="AV214" s="135">
        <v>729.75041550722653</v>
      </c>
      <c r="AW214" s="135"/>
      <c r="AX214" s="132"/>
      <c r="AY214" s="132"/>
      <c r="AZ214" s="155"/>
      <c r="BA214" s="155"/>
    </row>
    <row r="215" spans="1:53" ht="16.5" x14ac:dyDescent="0.3">
      <c r="A215" s="165">
        <v>564</v>
      </c>
      <c r="B215" s="165">
        <v>1</v>
      </c>
      <c r="C215" s="166" t="s">
        <v>416</v>
      </c>
      <c r="D215" s="167">
        <v>5</v>
      </c>
      <c r="E215" s="163">
        <v>1971.05</v>
      </c>
      <c r="F215" s="135">
        <v>6058.2815859567236</v>
      </c>
      <c r="G215" s="135">
        <v>35.741513406559953</v>
      </c>
      <c r="H215" s="135">
        <v>894.35215747951599</v>
      </c>
      <c r="I215" s="135">
        <v>0</v>
      </c>
      <c r="J215" s="135">
        <v>119.32170670454833</v>
      </c>
      <c r="K215" s="135">
        <v>515.04532609522846</v>
      </c>
      <c r="L215" s="135">
        <v>0</v>
      </c>
      <c r="M215" s="135">
        <v>622.59226209286624</v>
      </c>
      <c r="N215" s="135">
        <v>0</v>
      </c>
      <c r="O215" s="135">
        <v>-50.919925927804982</v>
      </c>
      <c r="P215" s="135">
        <v>1255.9292701859417</v>
      </c>
      <c r="Q215" s="135">
        <v>179.89292509068773</v>
      </c>
      <c r="R215" s="135">
        <v>97.269191547652269</v>
      </c>
      <c r="S215" s="135">
        <v>9727.5060126319167</v>
      </c>
      <c r="T215" s="135"/>
      <c r="U215" s="135">
        <v>6702.2743613809898</v>
      </c>
      <c r="V215" s="135">
        <v>0</v>
      </c>
      <c r="W215" s="135">
        <v>610.97022399228842</v>
      </c>
      <c r="X215" s="135">
        <v>0</v>
      </c>
      <c r="Y215" s="135">
        <v>62.731508586793844</v>
      </c>
      <c r="Z215" s="135">
        <v>518.13449900787441</v>
      </c>
      <c r="AA215" s="135">
        <v>0</v>
      </c>
      <c r="AB215" s="135">
        <v>747.56535349945602</v>
      </c>
      <c r="AC215" s="135">
        <v>80.793459092420022</v>
      </c>
      <c r="AD215" s="135">
        <v>0</v>
      </c>
      <c r="AE215" s="135">
        <v>1351.7466456178181</v>
      </c>
      <c r="AF215" s="135">
        <v>195.76746911544606</v>
      </c>
      <c r="AG215" s="135">
        <v>48.216219781334821</v>
      </c>
      <c r="AH215" s="135">
        <v>10318.199740074419</v>
      </c>
      <c r="AI215" s="135">
        <v>643.99277542426626</v>
      </c>
      <c r="AJ215" s="135">
        <v>-35.741513406559953</v>
      </c>
      <c r="AK215" s="135">
        <v>-283.38193348722757</v>
      </c>
      <c r="AL215" s="135">
        <v>0</v>
      </c>
      <c r="AM215" s="135">
        <v>-56.59019811775449</v>
      </c>
      <c r="AN215" s="135">
        <v>3.0891729126459495</v>
      </c>
      <c r="AO215" s="135">
        <v>0</v>
      </c>
      <c r="AP215" s="135">
        <v>124.97309140658979</v>
      </c>
      <c r="AQ215" s="135">
        <v>80.793459092420022</v>
      </c>
      <c r="AR215" s="135">
        <v>50.919925927804982</v>
      </c>
      <c r="AS215" s="135">
        <v>95.817375431876371</v>
      </c>
      <c r="AT215" s="135">
        <v>15.874544024758336</v>
      </c>
      <c r="AU215" s="135">
        <v>-49.052971766317448</v>
      </c>
      <c r="AV215" s="135">
        <v>590.69373494503111</v>
      </c>
      <c r="AW215" s="135"/>
      <c r="AX215" s="164"/>
      <c r="AY215" s="132"/>
      <c r="AZ215" s="135"/>
      <c r="BA215" s="135"/>
    </row>
    <row r="216" spans="1:53" ht="16.5" x14ac:dyDescent="0.3">
      <c r="A216" s="165">
        <v>577</v>
      </c>
      <c r="B216" s="165">
        <v>1</v>
      </c>
      <c r="C216" s="166" t="s">
        <v>529</v>
      </c>
      <c r="D216" s="167">
        <v>6</v>
      </c>
      <c r="E216" s="163">
        <v>422.03</v>
      </c>
      <c r="F216" s="135">
        <v>6030.0727436438174</v>
      </c>
      <c r="G216" s="135">
        <v>55.879747885221434</v>
      </c>
      <c r="H216" s="135">
        <v>161.64919555481836</v>
      </c>
      <c r="I216" s="135">
        <v>0</v>
      </c>
      <c r="J216" s="135">
        <v>148.05075468568586</v>
      </c>
      <c r="K216" s="135">
        <v>622.048930170841</v>
      </c>
      <c r="L216" s="135">
        <v>0</v>
      </c>
      <c r="M216" s="135">
        <v>830.25748172126157</v>
      </c>
      <c r="N216" s="135">
        <v>0</v>
      </c>
      <c r="O216" s="135">
        <v>-44.069995024050428</v>
      </c>
      <c r="P216" s="135">
        <v>1014.2533022364694</v>
      </c>
      <c r="Q216" s="135">
        <v>978.71518612420914</v>
      </c>
      <c r="R216" s="135">
        <v>99.715849584152792</v>
      </c>
      <c r="S216" s="135">
        <v>9896.5731965824252</v>
      </c>
      <c r="T216" s="135"/>
      <c r="U216" s="135">
        <v>6674.6531763144803</v>
      </c>
      <c r="V216" s="135">
        <v>0</v>
      </c>
      <c r="W216" s="135">
        <v>0</v>
      </c>
      <c r="X216" s="135">
        <v>0</v>
      </c>
      <c r="Y216" s="135">
        <v>105.33848304622894</v>
      </c>
      <c r="Z216" s="135">
        <v>759.30026301447765</v>
      </c>
      <c r="AA216" s="135">
        <v>0</v>
      </c>
      <c r="AB216" s="135">
        <v>933.69645123838461</v>
      </c>
      <c r="AC216" s="135">
        <v>111.21544041977199</v>
      </c>
      <c r="AD216" s="135">
        <v>0</v>
      </c>
      <c r="AE216" s="135">
        <v>1080.8426026558709</v>
      </c>
      <c r="AF216" s="135">
        <v>1019.9983685968945</v>
      </c>
      <c r="AG216" s="135">
        <v>51.5358623794517</v>
      </c>
      <c r="AH216" s="135">
        <v>10736.580647665558</v>
      </c>
      <c r="AI216" s="135">
        <v>644.58043267066296</v>
      </c>
      <c r="AJ216" s="135">
        <v>-55.879747885221434</v>
      </c>
      <c r="AK216" s="135">
        <v>-161.64919555481836</v>
      </c>
      <c r="AL216" s="135">
        <v>0</v>
      </c>
      <c r="AM216" s="135">
        <v>-42.712271639456915</v>
      </c>
      <c r="AN216" s="135">
        <v>137.25133284363665</v>
      </c>
      <c r="AO216" s="135">
        <v>0</v>
      </c>
      <c r="AP216" s="135">
        <v>103.43896951712304</v>
      </c>
      <c r="AQ216" s="135">
        <v>111.21544041977199</v>
      </c>
      <c r="AR216" s="135">
        <v>44.069995024050428</v>
      </c>
      <c r="AS216" s="135">
        <v>66.589300419401525</v>
      </c>
      <c r="AT216" s="135">
        <v>41.283182472685326</v>
      </c>
      <c r="AU216" s="135">
        <v>-48.179987204701092</v>
      </c>
      <c r="AV216" s="135">
        <v>840.00745411663172</v>
      </c>
      <c r="AW216" s="135"/>
      <c r="AX216" s="164"/>
      <c r="AY216" s="132"/>
      <c r="AZ216" s="135"/>
      <c r="BA216" s="135"/>
    </row>
    <row r="217" spans="1:53" ht="16.5" x14ac:dyDescent="0.3">
      <c r="A217" s="165">
        <v>578</v>
      </c>
      <c r="B217" s="165">
        <v>1</v>
      </c>
      <c r="C217" s="166" t="s">
        <v>531</v>
      </c>
      <c r="D217" s="167">
        <v>5</v>
      </c>
      <c r="E217" s="163">
        <v>1598.08</v>
      </c>
      <c r="F217" s="135">
        <v>6043.4208550260319</v>
      </c>
      <c r="G217" s="135">
        <v>0</v>
      </c>
      <c r="H217" s="135">
        <v>981.40314001802165</v>
      </c>
      <c r="I217" s="135">
        <v>0</v>
      </c>
      <c r="J217" s="135">
        <v>116.2756933319984</v>
      </c>
      <c r="K217" s="135">
        <v>624.37958675410493</v>
      </c>
      <c r="L217" s="135">
        <v>0</v>
      </c>
      <c r="M217" s="135">
        <v>1071.1385398585364</v>
      </c>
      <c r="N217" s="135">
        <v>0</v>
      </c>
      <c r="O217" s="135">
        <v>-44.590126902282741</v>
      </c>
      <c r="P217" s="135">
        <v>1119.9709238586304</v>
      </c>
      <c r="Q217" s="135">
        <v>149.01474894873849</v>
      </c>
      <c r="R217" s="135">
        <v>107.63464282138568</v>
      </c>
      <c r="S217" s="135">
        <v>10168.648003715167</v>
      </c>
      <c r="T217" s="135"/>
      <c r="U217" s="135">
        <v>6691.2837404885868</v>
      </c>
      <c r="V217" s="135">
        <v>0</v>
      </c>
      <c r="W217" s="135">
        <v>664.10112760312381</v>
      </c>
      <c r="X217" s="135">
        <v>0</v>
      </c>
      <c r="Y217" s="135">
        <v>58.333005857028432</v>
      </c>
      <c r="Z217" s="135">
        <v>711.6610376280147</v>
      </c>
      <c r="AA217" s="135">
        <v>0</v>
      </c>
      <c r="AB217" s="135">
        <v>1347.3504509411557</v>
      </c>
      <c r="AC217" s="135">
        <v>83.56169750207404</v>
      </c>
      <c r="AD217" s="135">
        <v>0</v>
      </c>
      <c r="AE217" s="135">
        <v>1262.6525760537645</v>
      </c>
      <c r="AF217" s="135">
        <v>154.11571385662796</v>
      </c>
      <c r="AG217" s="135">
        <v>59.601190178213862</v>
      </c>
      <c r="AH217" s="135">
        <v>11032.660540108591</v>
      </c>
      <c r="AI217" s="135">
        <v>647.86288546255491</v>
      </c>
      <c r="AJ217" s="135">
        <v>0</v>
      </c>
      <c r="AK217" s="135">
        <v>-317.30201241489783</v>
      </c>
      <c r="AL217" s="135">
        <v>0</v>
      </c>
      <c r="AM217" s="135">
        <v>-57.942687474969965</v>
      </c>
      <c r="AN217" s="135">
        <v>87.281450873909762</v>
      </c>
      <c r="AO217" s="135">
        <v>0</v>
      </c>
      <c r="AP217" s="135">
        <v>276.21191108261928</v>
      </c>
      <c r="AQ217" s="135">
        <v>83.56169750207404</v>
      </c>
      <c r="AR217" s="135">
        <v>44.590126902282741</v>
      </c>
      <c r="AS217" s="135">
        <v>142.68165219513412</v>
      </c>
      <c r="AT217" s="135">
        <v>5.1009649078894768</v>
      </c>
      <c r="AU217" s="135">
        <v>-48.03345264317182</v>
      </c>
      <c r="AV217" s="135">
        <v>864.0125406361318</v>
      </c>
      <c r="AW217" s="135"/>
      <c r="AX217" s="164"/>
      <c r="AY217" s="132"/>
      <c r="AZ217" s="135"/>
      <c r="BA217" s="135"/>
    </row>
    <row r="218" spans="1:53" ht="16.5" x14ac:dyDescent="0.3">
      <c r="A218" s="165">
        <v>581</v>
      </c>
      <c r="B218" s="165">
        <v>1</v>
      </c>
      <c r="C218" s="166" t="s">
        <v>302</v>
      </c>
      <c r="D218" s="167">
        <v>6</v>
      </c>
      <c r="E218" s="163">
        <v>348.03999999999996</v>
      </c>
      <c r="F218" s="135">
        <v>5955.1258476037247</v>
      </c>
      <c r="G218" s="135">
        <v>18.877657740489603</v>
      </c>
      <c r="H218" s="135">
        <v>1027.5532122744512</v>
      </c>
      <c r="I218" s="135">
        <v>0</v>
      </c>
      <c r="J218" s="135">
        <v>115.45466038386392</v>
      </c>
      <c r="K218" s="135">
        <v>395.85596483162863</v>
      </c>
      <c r="L218" s="135">
        <v>0</v>
      </c>
      <c r="M218" s="135">
        <v>1019.2357122895359</v>
      </c>
      <c r="N218" s="135">
        <v>0</v>
      </c>
      <c r="O218" s="135">
        <v>-30.014308700149414</v>
      </c>
      <c r="P218" s="135">
        <v>554.19452936444088</v>
      </c>
      <c r="Q218" s="135">
        <v>1000.0389035743019</v>
      </c>
      <c r="R218" s="135">
        <v>93.949258705895886</v>
      </c>
      <c r="S218" s="135">
        <v>10150.271438068183</v>
      </c>
      <c r="T218" s="135"/>
      <c r="U218" s="135">
        <v>6566.9951729686254</v>
      </c>
      <c r="V218" s="135">
        <v>0</v>
      </c>
      <c r="W218" s="135">
        <v>733.71057924376521</v>
      </c>
      <c r="X218" s="135">
        <v>0</v>
      </c>
      <c r="Y218" s="135">
        <v>51.830134467302614</v>
      </c>
      <c r="Z218" s="135">
        <v>488.11783396666414</v>
      </c>
      <c r="AA218" s="135">
        <v>0</v>
      </c>
      <c r="AB218" s="135">
        <v>1072.2958206385076</v>
      </c>
      <c r="AC218" s="135">
        <v>42.586985452691202</v>
      </c>
      <c r="AD218" s="135">
        <v>6.9422480174692565</v>
      </c>
      <c r="AE218" s="135">
        <v>662.05065437593385</v>
      </c>
      <c r="AF218" s="135">
        <v>950.70946323925273</v>
      </c>
      <c r="AG218" s="135">
        <v>48.64584530513735</v>
      </c>
      <c r="AH218" s="135">
        <v>10623.884737675349</v>
      </c>
      <c r="AI218" s="135">
        <v>611.86932536490076</v>
      </c>
      <c r="AJ218" s="135">
        <v>-18.877657740489603</v>
      </c>
      <c r="AK218" s="135">
        <v>-293.84263303068599</v>
      </c>
      <c r="AL218" s="135">
        <v>0</v>
      </c>
      <c r="AM218" s="135">
        <v>-63.624525916561311</v>
      </c>
      <c r="AN218" s="135">
        <v>92.261869135035511</v>
      </c>
      <c r="AO218" s="135">
        <v>0</v>
      </c>
      <c r="AP218" s="135">
        <v>53.060108348971767</v>
      </c>
      <c r="AQ218" s="135">
        <v>42.586985452691202</v>
      </c>
      <c r="AR218" s="135">
        <v>36.956556717618668</v>
      </c>
      <c r="AS218" s="135">
        <v>107.85612501149296</v>
      </c>
      <c r="AT218" s="135">
        <v>-49.329440335049185</v>
      </c>
      <c r="AU218" s="135">
        <v>-45.303413400758537</v>
      </c>
      <c r="AV218" s="135">
        <v>473.6133088225958</v>
      </c>
      <c r="AW218" s="135"/>
      <c r="AX218" s="164"/>
      <c r="AY218" s="132"/>
      <c r="AZ218" s="135"/>
      <c r="BA218" s="135"/>
    </row>
    <row r="219" spans="1:53" ht="16.5" x14ac:dyDescent="0.3">
      <c r="A219" s="165">
        <v>592</v>
      </c>
      <c r="B219" s="165">
        <v>1</v>
      </c>
      <c r="C219" s="166" t="s">
        <v>534</v>
      </c>
      <c r="D219" s="167">
        <v>6</v>
      </c>
      <c r="E219" s="163">
        <v>135.54000000000002</v>
      </c>
      <c r="F219" s="135">
        <v>6289.6898332595538</v>
      </c>
      <c r="G219" s="135">
        <v>94.152722443559071</v>
      </c>
      <c r="H219" s="135">
        <v>1891.9054153755349</v>
      </c>
      <c r="I219" s="135">
        <v>0</v>
      </c>
      <c r="J219" s="135">
        <v>87.193595986424654</v>
      </c>
      <c r="K219" s="135">
        <v>1643.8023461708717</v>
      </c>
      <c r="L219" s="135">
        <v>0</v>
      </c>
      <c r="M219" s="135">
        <v>1330.0148338167699</v>
      </c>
      <c r="N219" s="135">
        <v>0</v>
      </c>
      <c r="O219" s="135">
        <v>-74.439206138409318</v>
      </c>
      <c r="P219" s="135">
        <v>487.43538438837231</v>
      </c>
      <c r="Q219" s="135">
        <v>1283.7372731297032</v>
      </c>
      <c r="R219" s="135">
        <v>109.63781909399438</v>
      </c>
      <c r="S219" s="135">
        <v>13143.130017526373</v>
      </c>
      <c r="T219" s="135"/>
      <c r="U219" s="135">
        <v>6997.3413014608232</v>
      </c>
      <c r="V219" s="135">
        <v>0</v>
      </c>
      <c r="W219" s="135">
        <v>1665.5632285672125</v>
      </c>
      <c r="X219" s="135">
        <v>0</v>
      </c>
      <c r="Y219" s="135">
        <v>0</v>
      </c>
      <c r="Z219" s="135">
        <v>1907.7242142540945</v>
      </c>
      <c r="AA219" s="135">
        <v>0</v>
      </c>
      <c r="AB219" s="135">
        <v>1503.6511549475781</v>
      </c>
      <c r="AC219" s="135">
        <v>91.12915262994099</v>
      </c>
      <c r="AD219" s="135">
        <v>0</v>
      </c>
      <c r="AE219" s="135">
        <v>503.82302139589785</v>
      </c>
      <c r="AF219" s="135">
        <v>1215.9069344454538</v>
      </c>
      <c r="AG219" s="135">
        <v>63.503246274162599</v>
      </c>
      <c r="AH219" s="135">
        <v>13948.642253975162</v>
      </c>
      <c r="AI219" s="135">
        <v>707.65146820126938</v>
      </c>
      <c r="AJ219" s="135">
        <v>-94.152722443559071</v>
      </c>
      <c r="AK219" s="135">
        <v>-226.34218680832237</v>
      </c>
      <c r="AL219" s="135">
        <v>0</v>
      </c>
      <c r="AM219" s="135">
        <v>-87.193595986424654</v>
      </c>
      <c r="AN219" s="135">
        <v>263.92186808322276</v>
      </c>
      <c r="AO219" s="135">
        <v>0</v>
      </c>
      <c r="AP219" s="135">
        <v>173.63632113080826</v>
      </c>
      <c r="AQ219" s="135">
        <v>91.12915262994099</v>
      </c>
      <c r="AR219" s="135">
        <v>74.439206138409318</v>
      </c>
      <c r="AS219" s="135">
        <v>16.387637007525541</v>
      </c>
      <c r="AT219" s="135">
        <v>-67.830338684249455</v>
      </c>
      <c r="AU219" s="135">
        <v>-46.134572819831781</v>
      </c>
      <c r="AV219" s="135">
        <v>805.51224140168642</v>
      </c>
      <c r="AW219" s="135"/>
      <c r="AX219" s="164"/>
      <c r="AY219" s="132"/>
      <c r="AZ219" s="135"/>
      <c r="BA219" s="135"/>
    </row>
    <row r="220" spans="1:53" ht="16.5" x14ac:dyDescent="0.3">
      <c r="A220" s="165">
        <v>593</v>
      </c>
      <c r="B220" s="165">
        <v>1</v>
      </c>
      <c r="C220" s="166" t="s">
        <v>535</v>
      </c>
      <c r="D220" s="167">
        <v>5</v>
      </c>
      <c r="E220" s="163">
        <v>1240.08</v>
      </c>
      <c r="F220" s="135">
        <v>6034.7630475453198</v>
      </c>
      <c r="G220" s="135">
        <v>66.516394103606217</v>
      </c>
      <c r="H220" s="135">
        <v>1648.1123475904781</v>
      </c>
      <c r="I220" s="135">
        <v>0</v>
      </c>
      <c r="J220" s="135">
        <v>88.384330043223017</v>
      </c>
      <c r="K220" s="135">
        <v>658.32774498419462</v>
      </c>
      <c r="L220" s="135">
        <v>0</v>
      </c>
      <c r="M220" s="135">
        <v>964.55261596055266</v>
      </c>
      <c r="N220" s="135">
        <v>0</v>
      </c>
      <c r="O220" s="135">
        <v>-70.15631249596801</v>
      </c>
      <c r="P220" s="135">
        <v>1317.342572460763</v>
      </c>
      <c r="Q220" s="135">
        <v>218.17100509644541</v>
      </c>
      <c r="R220" s="135">
        <v>104.68485097735632</v>
      </c>
      <c r="S220" s="135">
        <v>11030.698596265969</v>
      </c>
      <c r="T220" s="135"/>
      <c r="U220" s="135">
        <v>6672.8952970776081</v>
      </c>
      <c r="V220" s="135">
        <v>0</v>
      </c>
      <c r="W220" s="135">
        <v>1396.8700083865558</v>
      </c>
      <c r="X220" s="135">
        <v>0</v>
      </c>
      <c r="Y220" s="135">
        <v>6.1425472550158062</v>
      </c>
      <c r="Z220" s="135">
        <v>771.22649306773576</v>
      </c>
      <c r="AA220" s="135">
        <v>0</v>
      </c>
      <c r="AB220" s="135">
        <v>1285.9432112671004</v>
      </c>
      <c r="AC220" s="135">
        <v>93.362047712373254</v>
      </c>
      <c r="AD220" s="135">
        <v>0</v>
      </c>
      <c r="AE220" s="135">
        <v>1406.1521048867814</v>
      </c>
      <c r="AF220" s="135">
        <v>239.0485291271531</v>
      </c>
      <c r="AG220" s="135">
        <v>56.045747048577518</v>
      </c>
      <c r="AH220" s="135">
        <v>11927.685985828901</v>
      </c>
      <c r="AI220" s="135">
        <v>638.13224953228837</v>
      </c>
      <c r="AJ220" s="135">
        <v>-66.516394103606217</v>
      </c>
      <c r="AK220" s="135">
        <v>-251.24233920392226</v>
      </c>
      <c r="AL220" s="135">
        <v>0</v>
      </c>
      <c r="AM220" s="135">
        <v>-82.241782788207217</v>
      </c>
      <c r="AN220" s="135">
        <v>112.89874808354114</v>
      </c>
      <c r="AO220" s="135">
        <v>0</v>
      </c>
      <c r="AP220" s="135">
        <v>321.39059530654777</v>
      </c>
      <c r="AQ220" s="135">
        <v>93.362047712373254</v>
      </c>
      <c r="AR220" s="135">
        <v>70.15631249596801</v>
      </c>
      <c r="AS220" s="135">
        <v>88.80953242601845</v>
      </c>
      <c r="AT220" s="135">
        <v>20.87752403070769</v>
      </c>
      <c r="AU220" s="135">
        <v>-48.639103928778802</v>
      </c>
      <c r="AV220" s="135">
        <v>896.98739410001019</v>
      </c>
      <c r="AW220" s="135"/>
      <c r="AX220" s="164"/>
      <c r="AY220" s="132"/>
      <c r="AZ220" s="135"/>
      <c r="BA220" s="135"/>
    </row>
    <row r="221" spans="1:53" ht="16.5" x14ac:dyDescent="0.3">
      <c r="A221" s="165">
        <v>595</v>
      </c>
      <c r="B221" s="165">
        <v>1</v>
      </c>
      <c r="C221" s="166" t="s">
        <v>391</v>
      </c>
      <c r="D221" s="167">
        <v>5</v>
      </c>
      <c r="E221" s="163">
        <v>1709.6599999999999</v>
      </c>
      <c r="F221" s="135">
        <v>5975.9778201513755</v>
      </c>
      <c r="G221" s="135">
        <v>0</v>
      </c>
      <c r="H221" s="135">
        <v>687.2201958284104</v>
      </c>
      <c r="I221" s="135">
        <v>0</v>
      </c>
      <c r="J221" s="135">
        <v>126.94377244598343</v>
      </c>
      <c r="K221" s="135">
        <v>276.83880420668436</v>
      </c>
      <c r="L221" s="135">
        <v>0</v>
      </c>
      <c r="M221" s="135">
        <v>811.16004839469713</v>
      </c>
      <c r="N221" s="135">
        <v>0</v>
      </c>
      <c r="O221" s="135">
        <v>-67.565849350163205</v>
      </c>
      <c r="P221" s="135">
        <v>679.74828188060792</v>
      </c>
      <c r="Q221" s="135">
        <v>135.8093597557409</v>
      </c>
      <c r="R221" s="135">
        <v>104.13542458734486</v>
      </c>
      <c r="S221" s="135">
        <v>8730.2678579006806</v>
      </c>
      <c r="T221" s="135"/>
      <c r="U221" s="135">
        <v>6604.388100558006</v>
      </c>
      <c r="V221" s="135">
        <v>0</v>
      </c>
      <c r="W221" s="135">
        <v>372.73850356211182</v>
      </c>
      <c r="X221" s="135">
        <v>0</v>
      </c>
      <c r="Y221" s="135">
        <v>78.204268685001693</v>
      </c>
      <c r="Z221" s="135">
        <v>358.86645572320515</v>
      </c>
      <c r="AA221" s="135">
        <v>0</v>
      </c>
      <c r="AB221" s="135">
        <v>898.28755083555529</v>
      </c>
      <c r="AC221" s="135">
        <v>62.131739637223156</v>
      </c>
      <c r="AD221" s="135">
        <v>0</v>
      </c>
      <c r="AE221" s="135">
        <v>735.82018400910124</v>
      </c>
      <c r="AF221" s="135">
        <v>136.43422083923122</v>
      </c>
      <c r="AG221" s="135">
        <v>55.532532784296301</v>
      </c>
      <c r="AH221" s="135">
        <v>9302.4035566337316</v>
      </c>
      <c r="AI221" s="135">
        <v>628.41028040663059</v>
      </c>
      <c r="AJ221" s="135">
        <v>0</v>
      </c>
      <c r="AK221" s="135">
        <v>-314.48169226629858</v>
      </c>
      <c r="AL221" s="135">
        <v>0</v>
      </c>
      <c r="AM221" s="135">
        <v>-48.739503760981734</v>
      </c>
      <c r="AN221" s="135">
        <v>82.027651516520791</v>
      </c>
      <c r="AO221" s="135">
        <v>0</v>
      </c>
      <c r="AP221" s="135">
        <v>87.127502440858166</v>
      </c>
      <c r="AQ221" s="135">
        <v>62.131739637223156</v>
      </c>
      <c r="AR221" s="135">
        <v>67.565849350163205</v>
      </c>
      <c r="AS221" s="135">
        <v>56.071902128493321</v>
      </c>
      <c r="AT221" s="135">
        <v>0.6248610834903161</v>
      </c>
      <c r="AU221" s="135">
        <v>-48.602891803048557</v>
      </c>
      <c r="AV221" s="135">
        <v>572.13570853008446</v>
      </c>
      <c r="AW221" s="135"/>
      <c r="AX221" s="164"/>
      <c r="AY221" s="132"/>
      <c r="AZ221" s="135"/>
      <c r="BA221" s="135"/>
    </row>
    <row r="222" spans="1:53" ht="16.5" x14ac:dyDescent="0.3">
      <c r="A222" s="165">
        <v>599</v>
      </c>
      <c r="B222" s="165">
        <v>1</v>
      </c>
      <c r="C222" s="166" t="s">
        <v>408</v>
      </c>
      <c r="D222" s="167">
        <v>6</v>
      </c>
      <c r="E222" s="163">
        <v>459.86</v>
      </c>
      <c r="F222" s="135">
        <v>6024.7649284564868</v>
      </c>
      <c r="G222" s="135">
        <v>33.49141042926108</v>
      </c>
      <c r="H222" s="135">
        <v>1324.8264036880789</v>
      </c>
      <c r="I222" s="135">
        <v>0</v>
      </c>
      <c r="J222" s="135">
        <v>103.16141869264558</v>
      </c>
      <c r="K222" s="135">
        <v>348.23576740747183</v>
      </c>
      <c r="L222" s="135">
        <v>0</v>
      </c>
      <c r="M222" s="135">
        <v>926.13188127254386</v>
      </c>
      <c r="N222" s="135">
        <v>0</v>
      </c>
      <c r="O222" s="135">
        <v>-59.865872221980595</v>
      </c>
      <c r="P222" s="135">
        <v>428.04064715348147</v>
      </c>
      <c r="Q222" s="135">
        <v>1443.0279650328359</v>
      </c>
      <c r="R222" s="135">
        <v>91.923998608272072</v>
      </c>
      <c r="S222" s="135">
        <v>10663.738548519095</v>
      </c>
      <c r="T222" s="135"/>
      <c r="U222" s="135">
        <v>6652.9074066020094</v>
      </c>
      <c r="V222" s="135">
        <v>0</v>
      </c>
      <c r="W222" s="135">
        <v>1041.5179402426825</v>
      </c>
      <c r="X222" s="135">
        <v>0</v>
      </c>
      <c r="Y222" s="135">
        <v>31.207563171399993</v>
      </c>
      <c r="Z222" s="135">
        <v>443.79456791197316</v>
      </c>
      <c r="AA222" s="135">
        <v>0</v>
      </c>
      <c r="AB222" s="135">
        <v>1001.353078039755</v>
      </c>
      <c r="AC222" s="135">
        <v>75.2068172332757</v>
      </c>
      <c r="AD222" s="135">
        <v>0</v>
      </c>
      <c r="AE222" s="135">
        <v>487.41998105945288</v>
      </c>
      <c r="AF222" s="135">
        <v>1474.5174065470726</v>
      </c>
      <c r="AG222" s="135">
        <v>43.097834123428861</v>
      </c>
      <c r="AH222" s="135">
        <v>11251.022594931052</v>
      </c>
      <c r="AI222" s="135">
        <v>628.14247814552255</v>
      </c>
      <c r="AJ222" s="135">
        <v>-33.49141042926108</v>
      </c>
      <c r="AK222" s="135">
        <v>-283.30846344539646</v>
      </c>
      <c r="AL222" s="135">
        <v>0</v>
      </c>
      <c r="AM222" s="135">
        <v>-71.953855521245586</v>
      </c>
      <c r="AN222" s="135">
        <v>95.558800504501335</v>
      </c>
      <c r="AO222" s="135">
        <v>0</v>
      </c>
      <c r="AP222" s="135">
        <v>75.221196767211154</v>
      </c>
      <c r="AQ222" s="135">
        <v>75.2068172332757</v>
      </c>
      <c r="AR222" s="135">
        <v>59.865872221980595</v>
      </c>
      <c r="AS222" s="135">
        <v>59.379333905971407</v>
      </c>
      <c r="AT222" s="135">
        <v>31.48944151423666</v>
      </c>
      <c r="AU222" s="135">
        <v>-48.826164484843211</v>
      </c>
      <c r="AV222" s="135">
        <v>587.28405044581439</v>
      </c>
      <c r="AW222" s="135"/>
      <c r="AX222" s="164"/>
      <c r="AY222" s="132"/>
      <c r="AZ222" s="135"/>
      <c r="BA222" s="135"/>
    </row>
    <row r="223" spans="1:53" ht="16.5" x14ac:dyDescent="0.3">
      <c r="A223" s="165">
        <v>600</v>
      </c>
      <c r="B223" s="165">
        <v>1</v>
      </c>
      <c r="C223" s="166" t="s">
        <v>310</v>
      </c>
      <c r="D223" s="167">
        <v>6</v>
      </c>
      <c r="E223" s="163">
        <v>260.06</v>
      </c>
      <c r="F223" s="135">
        <v>6037.1489656233171</v>
      </c>
      <c r="G223" s="135">
        <v>19.218564946550796</v>
      </c>
      <c r="H223" s="135">
        <v>773.58271168191959</v>
      </c>
      <c r="I223" s="135">
        <v>0</v>
      </c>
      <c r="J223" s="135">
        <v>127.52668614935014</v>
      </c>
      <c r="K223" s="135">
        <v>252.96900715219562</v>
      </c>
      <c r="L223" s="135">
        <v>0</v>
      </c>
      <c r="M223" s="135">
        <v>978.52320425620258</v>
      </c>
      <c r="N223" s="135">
        <v>0</v>
      </c>
      <c r="O223" s="135">
        <v>-47.279089440898254</v>
      </c>
      <c r="P223" s="135">
        <v>1389.629236989266</v>
      </c>
      <c r="Q223" s="135">
        <v>793.27724371298928</v>
      </c>
      <c r="R223" s="135">
        <v>99.961816503883711</v>
      </c>
      <c r="S223" s="135">
        <v>10424.558347574777</v>
      </c>
      <c r="T223" s="135"/>
      <c r="U223" s="135">
        <v>6678.2325617165261</v>
      </c>
      <c r="V223" s="135">
        <v>0</v>
      </c>
      <c r="W223" s="135">
        <v>475.41017457509804</v>
      </c>
      <c r="X223" s="135">
        <v>0</v>
      </c>
      <c r="Y223" s="135">
        <v>71.836960701376597</v>
      </c>
      <c r="Z223" s="135">
        <v>330.04891178958701</v>
      </c>
      <c r="AA223" s="135">
        <v>0</v>
      </c>
      <c r="AB223" s="135">
        <v>1074.0096717084843</v>
      </c>
      <c r="AC223" s="135">
        <v>108.86297168712852</v>
      </c>
      <c r="AD223" s="135">
        <v>0</v>
      </c>
      <c r="AE223" s="135">
        <v>1393.4294877802924</v>
      </c>
      <c r="AF223" s="135">
        <v>719.33953281428978</v>
      </c>
      <c r="AG223" s="135">
        <v>52.477466738444974</v>
      </c>
      <c r="AH223" s="135">
        <v>10903.647739511229</v>
      </c>
      <c r="AI223" s="135">
        <v>641.08359609320905</v>
      </c>
      <c r="AJ223" s="135">
        <v>-19.218564946550796</v>
      </c>
      <c r="AK223" s="135">
        <v>-298.17253710682155</v>
      </c>
      <c r="AL223" s="135">
        <v>0</v>
      </c>
      <c r="AM223" s="135">
        <v>-55.689725447973544</v>
      </c>
      <c r="AN223" s="135">
        <v>77.079904637391394</v>
      </c>
      <c r="AO223" s="135">
        <v>0</v>
      </c>
      <c r="AP223" s="135">
        <v>95.486467452281772</v>
      </c>
      <c r="AQ223" s="135">
        <v>108.86297168712852</v>
      </c>
      <c r="AR223" s="135">
        <v>47.279089440898254</v>
      </c>
      <c r="AS223" s="135">
        <v>3.8002507910264285</v>
      </c>
      <c r="AT223" s="135">
        <v>-73.937710898699493</v>
      </c>
      <c r="AU223" s="135">
        <v>-47.484349765438736</v>
      </c>
      <c r="AV223" s="135">
        <v>479.08939592526184</v>
      </c>
      <c r="AW223" s="135"/>
      <c r="AX223" s="164"/>
      <c r="AY223" s="132"/>
      <c r="AZ223" s="135"/>
      <c r="BA223" s="135"/>
    </row>
    <row r="224" spans="1:53" ht="16.5" x14ac:dyDescent="0.3">
      <c r="A224" s="165">
        <v>601</v>
      </c>
      <c r="B224" s="165">
        <v>1</v>
      </c>
      <c r="C224" s="166" t="s">
        <v>537</v>
      </c>
      <c r="D224" s="167">
        <v>6</v>
      </c>
      <c r="E224" s="163">
        <v>655.77</v>
      </c>
      <c r="F224" s="135">
        <v>5995.1289019015821</v>
      </c>
      <c r="G224" s="135">
        <v>0</v>
      </c>
      <c r="H224" s="135">
        <v>775.97955075712525</v>
      </c>
      <c r="I224" s="135">
        <v>0</v>
      </c>
      <c r="J224" s="135">
        <v>125.15863793708159</v>
      </c>
      <c r="K224" s="135">
        <v>501.16208426734983</v>
      </c>
      <c r="L224" s="135">
        <v>0</v>
      </c>
      <c r="M224" s="135">
        <v>952.43422267992753</v>
      </c>
      <c r="N224" s="135">
        <v>0</v>
      </c>
      <c r="O224" s="135">
        <v>-53.703615596931854</v>
      </c>
      <c r="P224" s="135">
        <v>1054.3496805282341</v>
      </c>
      <c r="Q224" s="135">
        <v>862.77797093493143</v>
      </c>
      <c r="R224" s="135">
        <v>112.03653720054288</v>
      </c>
      <c r="S224" s="135">
        <v>10325.323970609843</v>
      </c>
      <c r="T224" s="135"/>
      <c r="U224" s="135">
        <v>6628.5603184043184</v>
      </c>
      <c r="V224" s="135">
        <v>0</v>
      </c>
      <c r="W224" s="135">
        <v>460.32720313524561</v>
      </c>
      <c r="X224" s="135">
        <v>0</v>
      </c>
      <c r="Y224" s="135">
        <v>72.334736264238984</v>
      </c>
      <c r="Z224" s="135">
        <v>618.89290452445221</v>
      </c>
      <c r="AA224" s="135">
        <v>0</v>
      </c>
      <c r="AB224" s="135">
        <v>1105.9170501160459</v>
      </c>
      <c r="AC224" s="135">
        <v>90.40959127105323</v>
      </c>
      <c r="AD224" s="135">
        <v>0</v>
      </c>
      <c r="AE224" s="135">
        <v>1161.0006371563202</v>
      </c>
      <c r="AF224" s="135">
        <v>881.74509438643031</v>
      </c>
      <c r="AG224" s="135">
        <v>63.871113347667631</v>
      </c>
      <c r="AH224" s="135">
        <v>11083.058648605771</v>
      </c>
      <c r="AI224" s="135">
        <v>633.43141650273628</v>
      </c>
      <c r="AJ224" s="135">
        <v>0</v>
      </c>
      <c r="AK224" s="135">
        <v>-315.65234762187964</v>
      </c>
      <c r="AL224" s="135">
        <v>0</v>
      </c>
      <c r="AM224" s="135">
        <v>-52.823901672842609</v>
      </c>
      <c r="AN224" s="135">
        <v>117.73082025710238</v>
      </c>
      <c r="AO224" s="135">
        <v>0</v>
      </c>
      <c r="AP224" s="135">
        <v>153.48282743611833</v>
      </c>
      <c r="AQ224" s="135">
        <v>90.40959127105323</v>
      </c>
      <c r="AR224" s="135">
        <v>53.703615596931854</v>
      </c>
      <c r="AS224" s="135">
        <v>106.65095662808608</v>
      </c>
      <c r="AT224" s="135">
        <v>18.967123451498878</v>
      </c>
      <c r="AU224" s="135">
        <v>-48.16542385287525</v>
      </c>
      <c r="AV224" s="135">
        <v>757.73468085348429</v>
      </c>
      <c r="AW224" s="135"/>
      <c r="AX224" s="164"/>
      <c r="AY224" s="132"/>
      <c r="AZ224" s="135"/>
      <c r="BA224" s="135"/>
    </row>
    <row r="225" spans="1:53" ht="16.5" x14ac:dyDescent="0.3">
      <c r="A225" s="165">
        <v>611</v>
      </c>
      <c r="B225" s="165">
        <v>1</v>
      </c>
      <c r="C225" s="166" t="s">
        <v>406</v>
      </c>
      <c r="D225" s="167">
        <v>6</v>
      </c>
      <c r="E225" s="163">
        <v>36.11</v>
      </c>
      <c r="F225" s="135">
        <v>6274.2974245361402</v>
      </c>
      <c r="G225" s="135">
        <v>12.719191359734147</v>
      </c>
      <c r="H225" s="135">
        <v>1662.4225976183884</v>
      </c>
      <c r="I225" s="135">
        <v>0</v>
      </c>
      <c r="J225" s="135">
        <v>95.519800609249515</v>
      </c>
      <c r="K225" s="135">
        <v>403.52450844641373</v>
      </c>
      <c r="L225" s="135">
        <v>0</v>
      </c>
      <c r="M225" s="135">
        <v>771.57508722187754</v>
      </c>
      <c r="N225" s="135">
        <v>0</v>
      </c>
      <c r="O225" s="135">
        <v>-81.975076156189417</v>
      </c>
      <c r="P225" s="135">
        <v>671.99806147881475</v>
      </c>
      <c r="Q225" s="135">
        <v>1179.1210191082805</v>
      </c>
      <c r="R225" s="135">
        <v>145.12572694544448</v>
      </c>
      <c r="S225" s="135">
        <v>11134.328341168153</v>
      </c>
      <c r="T225" s="135"/>
      <c r="U225" s="135">
        <v>6988.8651343118245</v>
      </c>
      <c r="V225" s="135">
        <v>0</v>
      </c>
      <c r="W225" s="135">
        <v>1357.5198006092496</v>
      </c>
      <c r="X225" s="135">
        <v>0</v>
      </c>
      <c r="Y225" s="135">
        <v>8.9052893935198014</v>
      </c>
      <c r="Z225" s="135">
        <v>500.42536693436722</v>
      </c>
      <c r="AA225" s="135">
        <v>0</v>
      </c>
      <c r="AB225" s="135">
        <v>788.01125082501528</v>
      </c>
      <c r="AC225" s="135">
        <v>205.23365296254008</v>
      </c>
      <c r="AD225" s="135">
        <v>0</v>
      </c>
      <c r="AE225" s="135">
        <v>661.95915258931041</v>
      </c>
      <c r="AF225" s="135">
        <v>1122.0738357504117</v>
      </c>
      <c r="AG225" s="135">
        <v>86.17418997507616</v>
      </c>
      <c r="AH225" s="135">
        <v>11719.167673351316</v>
      </c>
      <c r="AI225" s="135">
        <v>714.56770977568431</v>
      </c>
      <c r="AJ225" s="135">
        <v>-12.719191359734147</v>
      </c>
      <c r="AK225" s="135">
        <v>-304.90279700913879</v>
      </c>
      <c r="AL225" s="135">
        <v>0</v>
      </c>
      <c r="AM225" s="135">
        <v>-86.614511215729721</v>
      </c>
      <c r="AN225" s="135">
        <v>96.900858487953485</v>
      </c>
      <c r="AO225" s="135">
        <v>0</v>
      </c>
      <c r="AP225" s="135">
        <v>16.436163603137743</v>
      </c>
      <c r="AQ225" s="135">
        <v>205.23365296254008</v>
      </c>
      <c r="AR225" s="135">
        <v>81.975076156189417</v>
      </c>
      <c r="AS225" s="135">
        <v>-10.038908889504341</v>
      </c>
      <c r="AT225" s="135">
        <v>-57.047183357868789</v>
      </c>
      <c r="AU225" s="135">
        <v>-58.951536970368323</v>
      </c>
      <c r="AV225" s="135">
        <v>584.83933663056121</v>
      </c>
      <c r="AW225" s="135"/>
      <c r="AX225" s="164"/>
      <c r="AY225" s="132"/>
      <c r="AZ225" s="135"/>
      <c r="BA225" s="135"/>
    </row>
    <row r="226" spans="1:53" ht="16.5" x14ac:dyDescent="0.3">
      <c r="A226" s="165">
        <v>621</v>
      </c>
      <c r="B226" s="165">
        <v>1</v>
      </c>
      <c r="C226" s="166" t="s">
        <v>539</v>
      </c>
      <c r="D226" s="167">
        <v>3</v>
      </c>
      <c r="E226" s="163">
        <v>9987.5999999999985</v>
      </c>
      <c r="F226" s="135">
        <v>6062.5671752973694</v>
      </c>
      <c r="G226" s="135">
        <v>6.7890544274900888</v>
      </c>
      <c r="H226" s="135">
        <v>1806.6008160118549</v>
      </c>
      <c r="I226" s="135">
        <v>0</v>
      </c>
      <c r="J226" s="135">
        <v>88.286714526012275</v>
      </c>
      <c r="K226" s="135">
        <v>473.55945372261613</v>
      </c>
      <c r="L226" s="135">
        <v>134.59027123633308</v>
      </c>
      <c r="M226" s="135">
        <v>1350.4383109147172</v>
      </c>
      <c r="N226" s="135">
        <v>0</v>
      </c>
      <c r="O226" s="135">
        <v>-56.593542993311722</v>
      </c>
      <c r="P226" s="135">
        <v>1845.9268707196927</v>
      </c>
      <c r="Q226" s="135">
        <v>0.2901307621450599</v>
      </c>
      <c r="R226" s="135">
        <v>383.42602727381961</v>
      </c>
      <c r="S226" s="135">
        <v>12095.881281898737</v>
      </c>
      <c r="T226" s="135"/>
      <c r="U226" s="135">
        <v>6705.6380992430632</v>
      </c>
      <c r="V226" s="135">
        <v>0</v>
      </c>
      <c r="W226" s="135">
        <v>1069.5249379230247</v>
      </c>
      <c r="X226" s="135">
        <v>532.2553071634278</v>
      </c>
      <c r="Y226" s="135">
        <v>29.872432816692701</v>
      </c>
      <c r="Z226" s="135">
        <v>450.97601576255005</v>
      </c>
      <c r="AA226" s="135">
        <v>147.55277343906448</v>
      </c>
      <c r="AB226" s="135">
        <v>1710.7766338725307</v>
      </c>
      <c r="AC226" s="135">
        <v>57.688683846630731</v>
      </c>
      <c r="AD226" s="135">
        <v>0</v>
      </c>
      <c r="AE226" s="135">
        <v>1845.9568247008292</v>
      </c>
      <c r="AF226" s="135">
        <v>0.36130802194721456</v>
      </c>
      <c r="AG226" s="135">
        <v>326.54913993351761</v>
      </c>
      <c r="AH226" s="135">
        <v>12877.152156723276</v>
      </c>
      <c r="AI226" s="135">
        <v>643.07092394569372</v>
      </c>
      <c r="AJ226" s="135">
        <v>-6.7890544274900888</v>
      </c>
      <c r="AK226" s="135">
        <v>-737.07587808883022</v>
      </c>
      <c r="AL226" s="135">
        <v>532.2553071634278</v>
      </c>
      <c r="AM226" s="135">
        <v>-58.414281709319575</v>
      </c>
      <c r="AN226" s="135">
        <v>-22.583437960066078</v>
      </c>
      <c r="AO226" s="135">
        <v>12.9625022027314</v>
      </c>
      <c r="AP226" s="135">
        <v>360.33832295781349</v>
      </c>
      <c r="AQ226" s="135">
        <v>57.688683846630731</v>
      </c>
      <c r="AR226" s="135">
        <v>56.593542993311722</v>
      </c>
      <c r="AS226" s="135">
        <v>2.9953981136486618E-2</v>
      </c>
      <c r="AT226" s="135">
        <v>7.1177259802154669E-2</v>
      </c>
      <c r="AU226" s="135">
        <v>-56.876887340302005</v>
      </c>
      <c r="AV226" s="135">
        <v>781.27087994756369</v>
      </c>
      <c r="AW226" s="135"/>
      <c r="AX226" s="164"/>
      <c r="AY226" s="132"/>
      <c r="AZ226" s="135"/>
      <c r="BA226" s="135"/>
    </row>
    <row r="227" spans="1:53" ht="16.5" x14ac:dyDescent="0.3">
      <c r="A227" s="165">
        <v>622</v>
      </c>
      <c r="B227" s="165">
        <v>1</v>
      </c>
      <c r="C227" s="166" t="s">
        <v>540</v>
      </c>
      <c r="D227" s="167">
        <v>2</v>
      </c>
      <c r="E227" s="163">
        <v>10722.169999999998</v>
      </c>
      <c r="F227" s="135">
        <v>6129.2743465175436</v>
      </c>
      <c r="G227" s="135">
        <v>14.865601832464886</v>
      </c>
      <c r="H227" s="135">
        <v>1009.1416578920127</v>
      </c>
      <c r="I227" s="135">
        <v>0</v>
      </c>
      <c r="J227" s="135">
        <v>145.53213388707698</v>
      </c>
      <c r="K227" s="135">
        <v>827.08455377969199</v>
      </c>
      <c r="L227" s="135">
        <v>149.20228489195748</v>
      </c>
      <c r="M227" s="135">
        <v>1152.6135103025267</v>
      </c>
      <c r="N227" s="135">
        <v>0</v>
      </c>
      <c r="O227" s="135">
        <v>-45.513112550910876</v>
      </c>
      <c r="P227" s="135">
        <v>1574.0749769869349</v>
      </c>
      <c r="Q227" s="135">
        <v>0.29332308665130291</v>
      </c>
      <c r="R227" s="135">
        <v>367.301507064335</v>
      </c>
      <c r="S227" s="135">
        <v>11323.870783690283</v>
      </c>
      <c r="T227" s="135"/>
      <c r="U227" s="135">
        <v>6787.8830199483891</v>
      </c>
      <c r="V227" s="135">
        <v>0</v>
      </c>
      <c r="W227" s="135">
        <v>270.47445339889225</v>
      </c>
      <c r="X227" s="135">
        <v>544.2519225707365</v>
      </c>
      <c r="Y227" s="135">
        <v>88.327635170865619</v>
      </c>
      <c r="Z227" s="135">
        <v>795.75494282887416</v>
      </c>
      <c r="AA227" s="135">
        <v>221.01437488866532</v>
      </c>
      <c r="AB227" s="135">
        <v>1504.1941928623951</v>
      </c>
      <c r="AC227" s="135">
        <v>64.429929852952938</v>
      </c>
      <c r="AD227" s="135">
        <v>0</v>
      </c>
      <c r="AE227" s="135">
        <v>1574.5935243145746</v>
      </c>
      <c r="AF227" s="135">
        <v>0.36600053906998309</v>
      </c>
      <c r="AG227" s="135">
        <v>307.63478288443486</v>
      </c>
      <c r="AH227" s="135">
        <v>12158.924779259851</v>
      </c>
      <c r="AI227" s="135">
        <v>658.60867343084556</v>
      </c>
      <c r="AJ227" s="135">
        <v>-14.865601832464886</v>
      </c>
      <c r="AK227" s="135">
        <v>-738.66720449312049</v>
      </c>
      <c r="AL227" s="135">
        <v>544.2519225707365</v>
      </c>
      <c r="AM227" s="135">
        <v>-57.204498716211361</v>
      </c>
      <c r="AN227" s="135">
        <v>-31.329610950817823</v>
      </c>
      <c r="AO227" s="135">
        <v>71.81208999670784</v>
      </c>
      <c r="AP227" s="135">
        <v>351.58068255986836</v>
      </c>
      <c r="AQ227" s="135">
        <v>64.429929852952938</v>
      </c>
      <c r="AR227" s="135">
        <v>45.513112550910876</v>
      </c>
      <c r="AS227" s="135">
        <v>0.51854732763968059</v>
      </c>
      <c r="AT227" s="135">
        <v>7.2677452418680177E-2</v>
      </c>
      <c r="AU227" s="135">
        <v>-59.666724179900143</v>
      </c>
      <c r="AV227" s="135">
        <v>835.05400374669387</v>
      </c>
      <c r="AW227" s="135"/>
      <c r="AX227" s="164"/>
      <c r="AY227" s="132"/>
      <c r="AZ227" s="135"/>
      <c r="BA227" s="135"/>
    </row>
    <row r="228" spans="1:53" ht="16.5" x14ac:dyDescent="0.3">
      <c r="A228" s="165">
        <v>623</v>
      </c>
      <c r="B228" s="165">
        <v>1</v>
      </c>
      <c r="C228" s="166" t="s">
        <v>542</v>
      </c>
      <c r="D228" s="167">
        <v>2</v>
      </c>
      <c r="E228" s="163">
        <v>7045.34</v>
      </c>
      <c r="F228" s="135">
        <v>6011.0100804219519</v>
      </c>
      <c r="G228" s="135">
        <v>26.246389812273076</v>
      </c>
      <c r="H228" s="135">
        <v>1677.7623932982651</v>
      </c>
      <c r="I228" s="135">
        <v>0</v>
      </c>
      <c r="J228" s="135">
        <v>95.345964850525306</v>
      </c>
      <c r="K228" s="135">
        <v>945.89453880153405</v>
      </c>
      <c r="L228" s="135">
        <v>140.58818119494586</v>
      </c>
      <c r="M228" s="135">
        <v>981.36487718567093</v>
      </c>
      <c r="N228" s="135">
        <v>0</v>
      </c>
      <c r="O228" s="135">
        <v>-54.06900163796211</v>
      </c>
      <c r="P228" s="135">
        <v>1024.0066299142413</v>
      </c>
      <c r="Q228" s="135">
        <v>0.28766390266474012</v>
      </c>
      <c r="R228" s="135">
        <v>259.63759307570677</v>
      </c>
      <c r="S228" s="135">
        <v>11108.075310819821</v>
      </c>
      <c r="T228" s="135"/>
      <c r="U228" s="135">
        <v>6646.7202434517003</v>
      </c>
      <c r="V228" s="135">
        <v>0</v>
      </c>
      <c r="W228" s="135">
        <v>965.48359199130198</v>
      </c>
      <c r="X228" s="135">
        <v>534.57367434446166</v>
      </c>
      <c r="Y228" s="135">
        <v>36.540382721061015</v>
      </c>
      <c r="Z228" s="135">
        <v>857.25913209781129</v>
      </c>
      <c r="AA228" s="135">
        <v>224.85740645589848</v>
      </c>
      <c r="AB228" s="135">
        <v>1373.3904679403952</v>
      </c>
      <c r="AC228" s="135">
        <v>74.003173458155985</v>
      </c>
      <c r="AD228" s="135">
        <v>0</v>
      </c>
      <c r="AE228" s="135">
        <v>1024.3853064527759</v>
      </c>
      <c r="AF228" s="135">
        <v>0.3587122835803524</v>
      </c>
      <c r="AG228" s="135">
        <v>204.47103475488763</v>
      </c>
      <c r="AH228" s="135">
        <v>11942.043125952028</v>
      </c>
      <c r="AI228" s="135">
        <v>635.7101630297484</v>
      </c>
      <c r="AJ228" s="135">
        <v>-26.246389812273076</v>
      </c>
      <c r="AK228" s="135">
        <v>-712.27880130696315</v>
      </c>
      <c r="AL228" s="135">
        <v>534.57367434446166</v>
      </c>
      <c r="AM228" s="135">
        <v>-58.805582129464291</v>
      </c>
      <c r="AN228" s="135">
        <v>-88.635406703722765</v>
      </c>
      <c r="AO228" s="135">
        <v>84.269225260952624</v>
      </c>
      <c r="AP228" s="135">
        <v>392.02559075472425</v>
      </c>
      <c r="AQ228" s="135">
        <v>74.003173458155985</v>
      </c>
      <c r="AR228" s="135">
        <v>54.06900163796211</v>
      </c>
      <c r="AS228" s="135">
        <v>0.3786765385345916</v>
      </c>
      <c r="AT228" s="135">
        <v>7.1048380915612275E-2</v>
      </c>
      <c r="AU228" s="135">
        <v>-55.166558320819149</v>
      </c>
      <c r="AV228" s="135">
        <v>833.96782478720411</v>
      </c>
      <c r="AW228" s="135"/>
      <c r="AX228" s="164"/>
      <c r="AY228" s="132"/>
      <c r="AZ228" s="135"/>
      <c r="BA228" s="135"/>
    </row>
    <row r="229" spans="1:53" ht="16.5" x14ac:dyDescent="0.3">
      <c r="A229" s="165">
        <v>624</v>
      </c>
      <c r="B229" s="165">
        <v>1</v>
      </c>
      <c r="C229" s="166" t="s">
        <v>544</v>
      </c>
      <c r="D229" s="167">
        <v>3</v>
      </c>
      <c r="E229" s="163">
        <v>8067.91</v>
      </c>
      <c r="F229" s="135">
        <v>6007.498665701527</v>
      </c>
      <c r="G229" s="135">
        <v>14.121761397933295</v>
      </c>
      <c r="H229" s="135">
        <v>1982.0081991494699</v>
      </c>
      <c r="I229" s="135">
        <v>0</v>
      </c>
      <c r="J229" s="135">
        <v>74.274372173214616</v>
      </c>
      <c r="K229" s="135">
        <v>303.3318604198609</v>
      </c>
      <c r="L229" s="135">
        <v>144.70588169674676</v>
      </c>
      <c r="M229" s="135">
        <v>1102.7653726514648</v>
      </c>
      <c r="N229" s="135">
        <v>0</v>
      </c>
      <c r="O229" s="135">
        <v>-47.355877792389855</v>
      </c>
      <c r="P229" s="135">
        <v>1493.7282198239693</v>
      </c>
      <c r="Q229" s="135">
        <v>0.28749577028003531</v>
      </c>
      <c r="R229" s="135">
        <v>123.88086877518464</v>
      </c>
      <c r="S229" s="135">
        <v>11199.246819767264</v>
      </c>
      <c r="T229" s="135"/>
      <c r="U229" s="135">
        <v>6644.9186964158016</v>
      </c>
      <c r="V229" s="135">
        <v>0</v>
      </c>
      <c r="W229" s="135">
        <v>1257.809276504076</v>
      </c>
      <c r="X229" s="135">
        <v>526.80187231934622</v>
      </c>
      <c r="Y229" s="135">
        <v>15.631380369885139</v>
      </c>
      <c r="Z229" s="135">
        <v>348.56614004516399</v>
      </c>
      <c r="AA229" s="135">
        <v>125.14753882975889</v>
      </c>
      <c r="AB229" s="135">
        <v>1507.7012339294326</v>
      </c>
      <c r="AC229" s="135">
        <v>60.01376611767288</v>
      </c>
      <c r="AD229" s="135">
        <v>0</v>
      </c>
      <c r="AE229" s="135">
        <v>1494.1987341308964</v>
      </c>
      <c r="AF229" s="135">
        <v>3.4068389458980084</v>
      </c>
      <c r="AG229" s="135">
        <v>65.800057263901053</v>
      </c>
      <c r="AH229" s="135">
        <v>12049.99553487183</v>
      </c>
      <c r="AI229" s="135">
        <v>637.42003071427462</v>
      </c>
      <c r="AJ229" s="135">
        <v>-14.121761397933295</v>
      </c>
      <c r="AK229" s="135">
        <v>-724.19892264539385</v>
      </c>
      <c r="AL229" s="135">
        <v>526.80187231934622</v>
      </c>
      <c r="AM229" s="135">
        <v>-58.64299180332948</v>
      </c>
      <c r="AN229" s="135">
        <v>45.234279625303088</v>
      </c>
      <c r="AO229" s="135">
        <v>-19.558342866987871</v>
      </c>
      <c r="AP229" s="135">
        <v>404.93586127796789</v>
      </c>
      <c r="AQ229" s="135">
        <v>60.01376611767288</v>
      </c>
      <c r="AR229" s="135">
        <v>47.355877792389855</v>
      </c>
      <c r="AS229" s="135">
        <v>0.47051430692704344</v>
      </c>
      <c r="AT229" s="135">
        <v>3.1193431756179733</v>
      </c>
      <c r="AU229" s="135">
        <v>-58.080811511283585</v>
      </c>
      <c r="AV229" s="135">
        <v>850.74872379268413</v>
      </c>
      <c r="AW229" s="135"/>
      <c r="AX229" s="132"/>
      <c r="AY229" s="132"/>
      <c r="AZ229" s="155"/>
      <c r="BA229" s="155"/>
    </row>
    <row r="230" spans="1:53" ht="16.5" x14ac:dyDescent="0.3">
      <c r="A230" s="165">
        <v>625</v>
      </c>
      <c r="B230" s="165">
        <v>1</v>
      </c>
      <c r="C230" s="166" t="s">
        <v>546</v>
      </c>
      <c r="D230" s="167">
        <v>1</v>
      </c>
      <c r="E230" s="163">
        <v>38661.14</v>
      </c>
      <c r="F230" s="135">
        <v>5982.2116492167588</v>
      </c>
      <c r="G230" s="135">
        <v>257.782481840939</v>
      </c>
      <c r="H230" s="135">
        <v>868.67665645658667</v>
      </c>
      <c r="I230" s="135">
        <v>0</v>
      </c>
      <c r="J230" s="135">
        <v>52.676442546701935</v>
      </c>
      <c r="K230" s="135">
        <v>2256.7917567873064</v>
      </c>
      <c r="L230" s="135">
        <v>490.15649952381125</v>
      </c>
      <c r="M230" s="135">
        <v>1519.3291773417193</v>
      </c>
      <c r="N230" s="135">
        <v>0</v>
      </c>
      <c r="O230" s="135">
        <v>4.7705960041530071</v>
      </c>
      <c r="P230" s="135">
        <v>1248.5205251060884</v>
      </c>
      <c r="Q230" s="135">
        <v>0.28628514316960135</v>
      </c>
      <c r="R230" s="135">
        <v>95.839005523375661</v>
      </c>
      <c r="S230" s="135">
        <v>12777.04107549061</v>
      </c>
      <c r="T230" s="135"/>
      <c r="U230" s="135">
        <v>6602.5393715756964</v>
      </c>
      <c r="V230" s="135">
        <v>0</v>
      </c>
      <c r="W230" s="135">
        <v>392.84061230475874</v>
      </c>
      <c r="X230" s="135">
        <v>552.04690380702687</v>
      </c>
      <c r="Y230" s="135">
        <v>76.742168492703527</v>
      </c>
      <c r="Z230" s="135">
        <v>2253.3309496305592</v>
      </c>
      <c r="AA230" s="135">
        <v>453.06311221034872</v>
      </c>
      <c r="AB230" s="135">
        <v>1907.9248842877184</v>
      </c>
      <c r="AC230" s="135">
        <v>133.73560896790454</v>
      </c>
      <c r="AD230" s="135">
        <v>41.920884898893306</v>
      </c>
      <c r="AE230" s="135">
        <v>1248.4878500195027</v>
      </c>
      <c r="AF230" s="135">
        <v>0.35632756819897193</v>
      </c>
      <c r="AG230" s="135">
        <v>49.589387948725772</v>
      </c>
      <c r="AH230" s="135">
        <v>13712.57806171204</v>
      </c>
      <c r="AI230" s="135">
        <v>620.32772235893754</v>
      </c>
      <c r="AJ230" s="135">
        <v>-257.782481840939</v>
      </c>
      <c r="AK230" s="135">
        <v>-475.83604415182793</v>
      </c>
      <c r="AL230" s="135">
        <v>552.04690380702687</v>
      </c>
      <c r="AM230" s="135">
        <v>24.065725946001592</v>
      </c>
      <c r="AN230" s="135">
        <v>-3.4608071567472507</v>
      </c>
      <c r="AO230" s="135">
        <v>-37.093387313462529</v>
      </c>
      <c r="AP230" s="135">
        <v>388.59570694599915</v>
      </c>
      <c r="AQ230" s="135">
        <v>133.73560896790454</v>
      </c>
      <c r="AR230" s="135">
        <v>37.150288894740299</v>
      </c>
      <c r="AS230" s="135">
        <v>-3.2675086585641111E-2</v>
      </c>
      <c r="AT230" s="135">
        <v>7.0042425029370581E-2</v>
      </c>
      <c r="AU230" s="135">
        <v>-46.249617574649889</v>
      </c>
      <c r="AV230" s="135">
        <v>935.5369880345736</v>
      </c>
      <c r="AW230" s="135"/>
      <c r="AX230" s="164"/>
      <c r="AY230" s="132"/>
      <c r="AZ230" s="135"/>
      <c r="BA230" s="135"/>
    </row>
    <row r="231" spans="1:53" ht="16.5" x14ac:dyDescent="0.3">
      <c r="A231" s="165">
        <v>627</v>
      </c>
      <c r="B231" s="165">
        <v>1</v>
      </c>
      <c r="C231" s="166" t="s">
        <v>306</v>
      </c>
      <c r="D231" s="167">
        <v>6</v>
      </c>
      <c r="E231" s="163">
        <v>224.25</v>
      </c>
      <c r="F231" s="135">
        <v>6021.4025418060201</v>
      </c>
      <c r="G231" s="135">
        <v>22.407357859531775</v>
      </c>
      <c r="H231" s="135">
        <v>1043.5228539576365</v>
      </c>
      <c r="I231" s="135">
        <v>0</v>
      </c>
      <c r="J231" s="135">
        <v>113.38541806020066</v>
      </c>
      <c r="K231" s="135">
        <v>715.39906354515051</v>
      </c>
      <c r="L231" s="135">
        <v>0</v>
      </c>
      <c r="M231" s="135">
        <v>414.8689546564637</v>
      </c>
      <c r="N231" s="135">
        <v>0</v>
      </c>
      <c r="O231" s="135">
        <v>-55.256677814938683</v>
      </c>
      <c r="P231" s="135">
        <v>528.84389743589747</v>
      </c>
      <c r="Q231" s="135">
        <v>2310.9416276477145</v>
      </c>
      <c r="R231" s="135">
        <v>44.073846153846155</v>
      </c>
      <c r="S231" s="135">
        <v>11159.588883307522</v>
      </c>
      <c r="T231" s="135"/>
      <c r="U231" s="135">
        <v>6638.5284280936457</v>
      </c>
      <c r="V231" s="135">
        <v>0</v>
      </c>
      <c r="W231" s="135">
        <v>749.80597547380148</v>
      </c>
      <c r="X231" s="135">
        <v>0</v>
      </c>
      <c r="Y231" s="135">
        <v>51.815919732441472</v>
      </c>
      <c r="Z231" s="135">
        <v>843.58782608695651</v>
      </c>
      <c r="AA231" s="135">
        <v>0</v>
      </c>
      <c r="AB231" s="135">
        <v>476.15545005819382</v>
      </c>
      <c r="AC231" s="135">
        <v>0</v>
      </c>
      <c r="AD231" s="135">
        <v>0</v>
      </c>
      <c r="AE231" s="135">
        <v>528.40884749163888</v>
      </c>
      <c r="AF231" s="135">
        <v>2347.212459543508</v>
      </c>
      <c r="AG231" s="135">
        <v>0</v>
      </c>
      <c r="AH231" s="135">
        <v>11635.514906480184</v>
      </c>
      <c r="AI231" s="135">
        <v>617.12588628762569</v>
      </c>
      <c r="AJ231" s="135">
        <v>-22.407357859531775</v>
      </c>
      <c r="AK231" s="135">
        <v>-293.71687848383499</v>
      </c>
      <c r="AL231" s="135">
        <v>0</v>
      </c>
      <c r="AM231" s="135">
        <v>-61.569498327759192</v>
      </c>
      <c r="AN231" s="135">
        <v>128.188762541806</v>
      </c>
      <c r="AO231" s="135">
        <v>0</v>
      </c>
      <c r="AP231" s="135">
        <v>61.286495401730122</v>
      </c>
      <c r="AQ231" s="135">
        <v>0</v>
      </c>
      <c r="AR231" s="135">
        <v>55.256677814938683</v>
      </c>
      <c r="AS231" s="135">
        <v>-0.43504994425859422</v>
      </c>
      <c r="AT231" s="135">
        <v>36.270831895793435</v>
      </c>
      <c r="AU231" s="135">
        <v>-44.073846153846155</v>
      </c>
      <c r="AV231" s="135">
        <v>475.92602836616936</v>
      </c>
      <c r="AW231" s="135"/>
      <c r="AX231" s="132"/>
      <c r="AY231" s="132"/>
      <c r="AZ231" s="155"/>
      <c r="BA231" s="155"/>
    </row>
    <row r="232" spans="1:53" ht="16.5" x14ac:dyDescent="0.3">
      <c r="A232" s="165">
        <v>628</v>
      </c>
      <c r="B232" s="165">
        <v>1</v>
      </c>
      <c r="C232" s="166" t="s">
        <v>549</v>
      </c>
      <c r="D232" s="167">
        <v>6</v>
      </c>
      <c r="E232" s="163">
        <v>158.33000000000001</v>
      </c>
      <c r="F232" s="135">
        <v>5899.7248784184922</v>
      </c>
      <c r="G232" s="135">
        <v>0</v>
      </c>
      <c r="H232" s="135">
        <v>1420.6752984273353</v>
      </c>
      <c r="I232" s="135">
        <v>0</v>
      </c>
      <c r="J232" s="135">
        <v>95.441356660140201</v>
      </c>
      <c r="K232" s="135">
        <v>1230.1174761573927</v>
      </c>
      <c r="L232" s="135">
        <v>0</v>
      </c>
      <c r="M232" s="135">
        <v>2044.402746571338</v>
      </c>
      <c r="N232" s="135">
        <v>0</v>
      </c>
      <c r="O232" s="135">
        <v>-59.942082991220857</v>
      </c>
      <c r="P232" s="135">
        <v>498.72447419945672</v>
      </c>
      <c r="Q232" s="135">
        <v>826.0744015663488</v>
      </c>
      <c r="R232" s="135">
        <v>194.24613149750519</v>
      </c>
      <c r="S232" s="135">
        <v>12149.464680506788</v>
      </c>
      <c r="T232" s="135"/>
      <c r="U232" s="135">
        <v>6541.9250931598554</v>
      </c>
      <c r="V232" s="135">
        <v>0</v>
      </c>
      <c r="W232" s="135">
        <v>1109.1574559464409</v>
      </c>
      <c r="X232" s="135">
        <v>0</v>
      </c>
      <c r="Y232" s="135">
        <v>24.614539253457963</v>
      </c>
      <c r="Z232" s="135">
        <v>1461.4210825491061</v>
      </c>
      <c r="AA232" s="135">
        <v>0</v>
      </c>
      <c r="AB232" s="135">
        <v>2217.4088133135906</v>
      </c>
      <c r="AC232" s="135">
        <v>280.84332249645632</v>
      </c>
      <c r="AD232" s="135">
        <v>0</v>
      </c>
      <c r="AE232" s="135">
        <v>499.72088602286362</v>
      </c>
      <c r="AF232" s="135">
        <v>810.05770935786995</v>
      </c>
      <c r="AG232" s="135">
        <v>146.47994694625149</v>
      </c>
      <c r="AH232" s="135">
        <v>13091.628849045892</v>
      </c>
      <c r="AI232" s="135">
        <v>642.2002147413632</v>
      </c>
      <c r="AJ232" s="135">
        <v>0</v>
      </c>
      <c r="AK232" s="135">
        <v>-311.51784248089439</v>
      </c>
      <c r="AL232" s="135">
        <v>0</v>
      </c>
      <c r="AM232" s="135">
        <v>-70.826817406682238</v>
      </c>
      <c r="AN232" s="135">
        <v>231.3036063917134</v>
      </c>
      <c r="AO232" s="135">
        <v>0</v>
      </c>
      <c r="AP232" s="135">
        <v>173.00606674225264</v>
      </c>
      <c r="AQ232" s="135">
        <v>280.84332249645632</v>
      </c>
      <c r="AR232" s="135">
        <v>59.942082991220857</v>
      </c>
      <c r="AS232" s="135">
        <v>0.99641182340690193</v>
      </c>
      <c r="AT232" s="135">
        <v>-16.016692208478844</v>
      </c>
      <c r="AU232" s="135">
        <v>-47.766184551253701</v>
      </c>
      <c r="AV232" s="135">
        <v>942.16417562913534</v>
      </c>
      <c r="AW232" s="135"/>
      <c r="AX232" s="164"/>
      <c r="AY232" s="132"/>
      <c r="AZ232" s="135"/>
      <c r="BA232" s="135"/>
    </row>
    <row r="233" spans="1:53" ht="16.5" x14ac:dyDescent="0.3">
      <c r="A233" s="165">
        <v>630</v>
      </c>
      <c r="B233" s="165">
        <v>1</v>
      </c>
      <c r="C233" s="166" t="s">
        <v>551</v>
      </c>
      <c r="D233" s="167">
        <v>6</v>
      </c>
      <c r="E233" s="163">
        <v>385.40999999999997</v>
      </c>
      <c r="F233" s="135">
        <v>6047.0229625593529</v>
      </c>
      <c r="G233" s="135">
        <v>0</v>
      </c>
      <c r="H233" s="135">
        <v>1835.1032666510989</v>
      </c>
      <c r="I233" s="135">
        <v>0</v>
      </c>
      <c r="J233" s="135">
        <v>83.910536830907347</v>
      </c>
      <c r="K233" s="135">
        <v>440.83435821592593</v>
      </c>
      <c r="L233" s="135">
        <v>0</v>
      </c>
      <c r="M233" s="135">
        <v>934.97826148312708</v>
      </c>
      <c r="N233" s="135">
        <v>0</v>
      </c>
      <c r="O233" s="135">
        <v>-40.746815080044627</v>
      </c>
      <c r="P233" s="135">
        <v>1564.9367056233252</v>
      </c>
      <c r="Q233" s="135">
        <v>1161.9876495160997</v>
      </c>
      <c r="R233" s="135">
        <v>102.85233906748658</v>
      </c>
      <c r="S233" s="135">
        <v>12130.879264867281</v>
      </c>
      <c r="T233" s="135"/>
      <c r="U233" s="135">
        <v>6689.0402428582556</v>
      </c>
      <c r="V233" s="135">
        <v>0</v>
      </c>
      <c r="W233" s="135">
        <v>1516.5753094107577</v>
      </c>
      <c r="X233" s="135">
        <v>0</v>
      </c>
      <c r="Y233" s="135">
        <v>0</v>
      </c>
      <c r="Z233" s="135">
        <v>550.22913261202359</v>
      </c>
      <c r="AA233" s="135">
        <v>0</v>
      </c>
      <c r="AB233" s="135">
        <v>1077.043554557531</v>
      </c>
      <c r="AC233" s="135">
        <v>138.47194167869702</v>
      </c>
      <c r="AD233" s="135">
        <v>0</v>
      </c>
      <c r="AE233" s="135">
        <v>1714.658226575039</v>
      </c>
      <c r="AF233" s="135">
        <v>1182.4652450951071</v>
      </c>
      <c r="AG233" s="135">
        <v>55.965750758932046</v>
      </c>
      <c r="AH233" s="135">
        <v>12924.449403546343</v>
      </c>
      <c r="AI233" s="135">
        <v>642.01728029890273</v>
      </c>
      <c r="AJ233" s="135">
        <v>0</v>
      </c>
      <c r="AK233" s="135">
        <v>-318.52795724034127</v>
      </c>
      <c r="AL233" s="135">
        <v>0</v>
      </c>
      <c r="AM233" s="135">
        <v>-83.910536830907347</v>
      </c>
      <c r="AN233" s="135">
        <v>109.39477439609766</v>
      </c>
      <c r="AO233" s="135">
        <v>0</v>
      </c>
      <c r="AP233" s="135">
        <v>142.06529307440394</v>
      </c>
      <c r="AQ233" s="135">
        <v>138.47194167869702</v>
      </c>
      <c r="AR233" s="135">
        <v>40.746815080044627</v>
      </c>
      <c r="AS233" s="135">
        <v>149.72152095171373</v>
      </c>
      <c r="AT233" s="135">
        <v>20.477595579007357</v>
      </c>
      <c r="AU233" s="135">
        <v>-46.886588308554536</v>
      </c>
      <c r="AV233" s="135">
        <v>793.57014827818307</v>
      </c>
      <c r="AW233" s="135"/>
      <c r="AX233" s="164"/>
      <c r="AY233" s="132"/>
      <c r="AZ233" s="135"/>
      <c r="BA233" s="135"/>
    </row>
    <row r="234" spans="1:53" ht="16.5" x14ac:dyDescent="0.3">
      <c r="A234" s="165">
        <v>635</v>
      </c>
      <c r="B234" s="165">
        <v>1</v>
      </c>
      <c r="C234" s="166" t="s">
        <v>481</v>
      </c>
      <c r="D234" s="167">
        <v>6</v>
      </c>
      <c r="E234" s="163">
        <v>70</v>
      </c>
      <c r="F234" s="135">
        <v>6593.4342857142865</v>
      </c>
      <c r="G234" s="135">
        <v>15.587428571428569</v>
      </c>
      <c r="H234" s="135">
        <v>2628.5857142857144</v>
      </c>
      <c r="I234" s="135">
        <v>0</v>
      </c>
      <c r="J234" s="135">
        <v>58.058571428571426</v>
      </c>
      <c r="K234" s="135">
        <v>432.34042857142856</v>
      </c>
      <c r="L234" s="135">
        <v>104.89248571428571</v>
      </c>
      <c r="M234" s="135">
        <v>896.41634757657141</v>
      </c>
      <c r="N234" s="135">
        <v>0</v>
      </c>
      <c r="O234" s="135">
        <v>-51.637571428571427</v>
      </c>
      <c r="P234" s="135">
        <v>773.22231428571433</v>
      </c>
      <c r="Q234" s="135">
        <v>1012.1755714285714</v>
      </c>
      <c r="R234" s="135">
        <v>471.23314285714287</v>
      </c>
      <c r="S234" s="135">
        <v>12934.308719005145</v>
      </c>
      <c r="T234" s="135"/>
      <c r="U234" s="135">
        <v>7361.1000000000013</v>
      </c>
      <c r="V234" s="135">
        <v>0</v>
      </c>
      <c r="W234" s="135">
        <v>2293.6370000000002</v>
      </c>
      <c r="X234" s="135">
        <v>0</v>
      </c>
      <c r="Y234" s="135">
        <v>0</v>
      </c>
      <c r="Z234" s="135">
        <v>488.91587120902022</v>
      </c>
      <c r="AA234" s="135">
        <v>69.612285714285704</v>
      </c>
      <c r="AB234" s="135">
        <v>1095.9853936657064</v>
      </c>
      <c r="AC234" s="135">
        <v>0</v>
      </c>
      <c r="AD234" s="135">
        <v>0</v>
      </c>
      <c r="AE234" s="135">
        <v>776.23332600000003</v>
      </c>
      <c r="AF234" s="135">
        <v>1054.5526662631578</v>
      </c>
      <c r="AG234" s="135">
        <v>422.21742857142857</v>
      </c>
      <c r="AH234" s="135">
        <v>13562.253971423601</v>
      </c>
      <c r="AI234" s="135">
        <v>767.66571428571478</v>
      </c>
      <c r="AJ234" s="135">
        <v>-15.587428571428569</v>
      </c>
      <c r="AK234" s="135">
        <v>-334.94871428571423</v>
      </c>
      <c r="AL234" s="135">
        <v>0</v>
      </c>
      <c r="AM234" s="135">
        <v>-58.058571428571426</v>
      </c>
      <c r="AN234" s="135">
        <v>56.575442637591664</v>
      </c>
      <c r="AO234" s="135">
        <v>-35.280200000000008</v>
      </c>
      <c r="AP234" s="135">
        <v>199.56904608913499</v>
      </c>
      <c r="AQ234" s="135">
        <v>0</v>
      </c>
      <c r="AR234" s="135">
        <v>51.637571428571427</v>
      </c>
      <c r="AS234" s="135">
        <v>3.0110117142857007</v>
      </c>
      <c r="AT234" s="135">
        <v>42.377094834586387</v>
      </c>
      <c r="AU234" s="135">
        <v>-49.015714285714296</v>
      </c>
      <c r="AV234" s="135">
        <v>627.94525319793854</v>
      </c>
      <c r="AW234" s="135"/>
      <c r="AX234" s="164"/>
      <c r="AY234" s="132"/>
      <c r="AZ234" s="135"/>
      <c r="BA234" s="135"/>
    </row>
    <row r="235" spans="1:53" ht="16.5" x14ac:dyDescent="0.3">
      <c r="A235" s="165">
        <v>640</v>
      </c>
      <c r="B235" s="165">
        <v>1</v>
      </c>
      <c r="C235" s="166" t="s">
        <v>292</v>
      </c>
      <c r="D235" s="167">
        <v>6</v>
      </c>
      <c r="E235" s="163">
        <v>390.90999999999997</v>
      </c>
      <c r="F235" s="135">
        <v>6393.5901358368938</v>
      </c>
      <c r="G235" s="135">
        <v>18.529661558926609</v>
      </c>
      <c r="H235" s="135">
        <v>1122.9789721419254</v>
      </c>
      <c r="I235" s="135">
        <v>0</v>
      </c>
      <c r="J235" s="135">
        <v>123.51477322145765</v>
      </c>
      <c r="K235" s="135">
        <v>185.91673275178431</v>
      </c>
      <c r="L235" s="135">
        <v>96.895479777954009</v>
      </c>
      <c r="M235" s="135">
        <v>585.42197476546528</v>
      </c>
      <c r="N235" s="135">
        <v>0</v>
      </c>
      <c r="O235" s="135">
        <v>-50.002148832212022</v>
      </c>
      <c r="P235" s="135">
        <v>1364.8386386343955</v>
      </c>
      <c r="Q235" s="135">
        <v>674.65593103271863</v>
      </c>
      <c r="R235" s="135">
        <v>108.97725819242282</v>
      </c>
      <c r="S235" s="135">
        <v>10625.317409081732</v>
      </c>
      <c r="T235" s="135"/>
      <c r="U235" s="135">
        <v>7087.9294978383778</v>
      </c>
      <c r="V235" s="135">
        <v>0</v>
      </c>
      <c r="W235" s="135">
        <v>811.92120948555942</v>
      </c>
      <c r="X235" s="135">
        <v>0</v>
      </c>
      <c r="Y235" s="135">
        <v>51.867232866900309</v>
      </c>
      <c r="Z235" s="135">
        <v>245.04125128401097</v>
      </c>
      <c r="AA235" s="135">
        <v>65.208846025939479</v>
      </c>
      <c r="AB235" s="135">
        <v>700.29505909102431</v>
      </c>
      <c r="AC235" s="135">
        <v>63.194317604881959</v>
      </c>
      <c r="AD235" s="135">
        <v>0</v>
      </c>
      <c r="AE235" s="135">
        <v>1364.9957178188624</v>
      </c>
      <c r="AF235" s="135">
        <v>638.83009279023713</v>
      </c>
      <c r="AG235" s="135">
        <v>58.509477884935151</v>
      </c>
      <c r="AH235" s="135">
        <v>11087.792702690729</v>
      </c>
      <c r="AI235" s="135">
        <v>694.33936200148401</v>
      </c>
      <c r="AJ235" s="135">
        <v>-18.529661558926609</v>
      </c>
      <c r="AK235" s="135">
        <v>-311.05776265636598</v>
      </c>
      <c r="AL235" s="135">
        <v>0</v>
      </c>
      <c r="AM235" s="135">
        <v>-71.647540354557336</v>
      </c>
      <c r="AN235" s="135">
        <v>59.124518532226659</v>
      </c>
      <c r="AO235" s="135">
        <v>-31.686633752014529</v>
      </c>
      <c r="AP235" s="135">
        <v>114.87308432555903</v>
      </c>
      <c r="AQ235" s="135">
        <v>63.194317604881959</v>
      </c>
      <c r="AR235" s="135">
        <v>50.002148832212022</v>
      </c>
      <c r="AS235" s="135">
        <v>0.15707918446696567</v>
      </c>
      <c r="AT235" s="135">
        <v>-35.825838242481495</v>
      </c>
      <c r="AU235" s="135">
        <v>-50.467780307487672</v>
      </c>
      <c r="AV235" s="135">
        <v>462.47529509068778</v>
      </c>
      <c r="AW235" s="135"/>
      <c r="AX235" s="164"/>
      <c r="AY235" s="132"/>
      <c r="AZ235" s="135"/>
      <c r="BA235" s="135"/>
    </row>
    <row r="236" spans="1:53" ht="16.5" x14ac:dyDescent="0.3">
      <c r="A236" s="165">
        <v>656</v>
      </c>
      <c r="B236" s="165">
        <v>1</v>
      </c>
      <c r="C236" s="166" t="s">
        <v>234</v>
      </c>
      <c r="D236" s="167">
        <v>4</v>
      </c>
      <c r="E236" s="163">
        <v>3904.61</v>
      </c>
      <c r="F236" s="135">
        <v>6020.7763643488088</v>
      </c>
      <c r="G236" s="135">
        <v>13.576713167256139</v>
      </c>
      <c r="H236" s="135">
        <v>512.00235875029762</v>
      </c>
      <c r="I236" s="135">
        <v>0</v>
      </c>
      <c r="J236" s="135">
        <v>133.62343230181759</v>
      </c>
      <c r="K236" s="135">
        <v>1030.1553394577179</v>
      </c>
      <c r="L236" s="135">
        <v>138.53142567375488</v>
      </c>
      <c r="M236" s="135">
        <v>1144.7353986169985</v>
      </c>
      <c r="N236" s="135">
        <v>0</v>
      </c>
      <c r="O236" s="135">
        <v>-59.577089645316683</v>
      </c>
      <c r="P236" s="135">
        <v>1652.8887771121827</v>
      </c>
      <c r="Q236" s="135">
        <v>92.478388366571807</v>
      </c>
      <c r="R236" s="135">
        <v>62.607087519624244</v>
      </c>
      <c r="S236" s="135">
        <v>10741.798195669713</v>
      </c>
      <c r="T236" s="135"/>
      <c r="U236" s="135">
        <v>6653.7639559392601</v>
      </c>
      <c r="V236" s="135">
        <v>0</v>
      </c>
      <c r="W236" s="135">
        <v>0</v>
      </c>
      <c r="X236" s="135">
        <v>248.10692924035999</v>
      </c>
      <c r="Y236" s="135">
        <v>105.46994450149951</v>
      </c>
      <c r="Z236" s="135">
        <v>1143.180598379972</v>
      </c>
      <c r="AA236" s="135">
        <v>165.84921669513727</v>
      </c>
      <c r="AB236" s="135">
        <v>1467.688273154447</v>
      </c>
      <c r="AC236" s="135">
        <v>95.577439102332505</v>
      </c>
      <c r="AD236" s="135">
        <v>0</v>
      </c>
      <c r="AE236" s="135">
        <v>1751.7221510417171</v>
      </c>
      <c r="AF236" s="135">
        <v>105.38556731658218</v>
      </c>
      <c r="AG236" s="135">
        <v>15.051300898169089</v>
      </c>
      <c r="AH236" s="135">
        <v>11751.795376269476</v>
      </c>
      <c r="AI236" s="135">
        <v>632.9875915904513</v>
      </c>
      <c r="AJ236" s="135">
        <v>-13.576713167256139</v>
      </c>
      <c r="AK236" s="135">
        <v>-512.00235875029762</v>
      </c>
      <c r="AL236" s="135">
        <v>248.10692924035999</v>
      </c>
      <c r="AM236" s="135">
        <v>-28.153487800318075</v>
      </c>
      <c r="AN236" s="135">
        <v>113.02525892225412</v>
      </c>
      <c r="AO236" s="135">
        <v>27.317791021382391</v>
      </c>
      <c r="AP236" s="135">
        <v>322.95287453744845</v>
      </c>
      <c r="AQ236" s="135">
        <v>95.577439102332505</v>
      </c>
      <c r="AR236" s="135">
        <v>59.577089645316683</v>
      </c>
      <c r="AS236" s="135">
        <v>98.833373929534446</v>
      </c>
      <c r="AT236" s="135">
        <v>12.907178950010376</v>
      </c>
      <c r="AU236" s="135">
        <v>-47.555786621455155</v>
      </c>
      <c r="AV236" s="135">
        <v>1009.9971885678074</v>
      </c>
      <c r="AW236" s="135"/>
      <c r="AX236" s="132"/>
      <c r="AY236" s="132"/>
      <c r="AZ236" s="155"/>
      <c r="BA236" s="155"/>
    </row>
    <row r="237" spans="1:53" ht="16.5" x14ac:dyDescent="0.3">
      <c r="A237" s="165">
        <v>659</v>
      </c>
      <c r="B237" s="165">
        <v>1</v>
      </c>
      <c r="C237" s="166" t="s">
        <v>499</v>
      </c>
      <c r="D237" s="167">
        <v>3</v>
      </c>
      <c r="E237" s="163">
        <v>3673.65</v>
      </c>
      <c r="F237" s="135">
        <v>6132.9687477032376</v>
      </c>
      <c r="G237" s="135">
        <v>0</v>
      </c>
      <c r="H237" s="135">
        <v>1930.6665006192752</v>
      </c>
      <c r="I237" s="135">
        <v>0</v>
      </c>
      <c r="J237" s="135">
        <v>81.334623603228394</v>
      </c>
      <c r="K237" s="135">
        <v>326.57909980537067</v>
      </c>
      <c r="L237" s="135">
        <v>0</v>
      </c>
      <c r="M237" s="135">
        <v>1102.4627848461078</v>
      </c>
      <c r="N237" s="135">
        <v>0</v>
      </c>
      <c r="O237" s="135">
        <v>-42.176418548310259</v>
      </c>
      <c r="P237" s="135">
        <v>1910.8852301117415</v>
      </c>
      <c r="Q237" s="135">
        <v>93.462028228056568</v>
      </c>
      <c r="R237" s="135">
        <v>123.81967525485553</v>
      </c>
      <c r="S237" s="135">
        <v>11660.002271623564</v>
      </c>
      <c r="T237" s="135"/>
      <c r="U237" s="135">
        <v>6799.484284022702</v>
      </c>
      <c r="V237" s="135">
        <v>0</v>
      </c>
      <c r="W237" s="135">
        <v>1609.6052699631157</v>
      </c>
      <c r="X237" s="135">
        <v>0</v>
      </c>
      <c r="Y237" s="135">
        <v>0</v>
      </c>
      <c r="Z237" s="135">
        <v>322.17907368875183</v>
      </c>
      <c r="AA237" s="135">
        <v>0</v>
      </c>
      <c r="AB237" s="135">
        <v>1367.7985697050813</v>
      </c>
      <c r="AC237" s="135">
        <v>60.644307395770106</v>
      </c>
      <c r="AD237" s="135">
        <v>0</v>
      </c>
      <c r="AE237" s="135">
        <v>1972.3017175071113</v>
      </c>
      <c r="AF237" s="135">
        <v>98.374278986838689</v>
      </c>
      <c r="AG237" s="135">
        <v>73.908409892069187</v>
      </c>
      <c r="AH237" s="135">
        <v>12304.29591116144</v>
      </c>
      <c r="AI237" s="135">
        <v>666.51553631946445</v>
      </c>
      <c r="AJ237" s="135">
        <v>0</v>
      </c>
      <c r="AK237" s="135">
        <v>-321.06123065615952</v>
      </c>
      <c r="AL237" s="135">
        <v>0</v>
      </c>
      <c r="AM237" s="135">
        <v>-81.334623603228394</v>
      </c>
      <c r="AN237" s="135">
        <v>-4.4000261166188466</v>
      </c>
      <c r="AO237" s="135">
        <v>0</v>
      </c>
      <c r="AP237" s="135">
        <v>265.33578485897351</v>
      </c>
      <c r="AQ237" s="135">
        <v>60.644307395770106</v>
      </c>
      <c r="AR237" s="135">
        <v>42.176418548310259</v>
      </c>
      <c r="AS237" s="135">
        <v>61.416487395369813</v>
      </c>
      <c r="AT237" s="135">
        <v>4.9122507587821218</v>
      </c>
      <c r="AU237" s="135">
        <v>-49.911265362786338</v>
      </c>
      <c r="AV237" s="135">
        <v>644.29364463501452</v>
      </c>
      <c r="AW237" s="135"/>
      <c r="AX237" s="164"/>
      <c r="AY237" s="132"/>
      <c r="AZ237" s="135"/>
      <c r="BA237" s="135"/>
    </row>
    <row r="238" spans="1:53" ht="16.5" x14ac:dyDescent="0.3">
      <c r="A238" s="165">
        <v>671</v>
      </c>
      <c r="B238" s="165">
        <v>1</v>
      </c>
      <c r="C238" s="166" t="s">
        <v>271</v>
      </c>
      <c r="D238" s="167">
        <v>6</v>
      </c>
      <c r="E238" s="163">
        <v>343.26</v>
      </c>
      <c r="F238" s="135">
        <v>6012.0286663170773</v>
      </c>
      <c r="G238" s="135">
        <v>0</v>
      </c>
      <c r="H238" s="135">
        <v>997.25493794791123</v>
      </c>
      <c r="I238" s="135">
        <v>0</v>
      </c>
      <c r="J238" s="135">
        <v>114.73952688923848</v>
      </c>
      <c r="K238" s="135">
        <v>364.68353434714209</v>
      </c>
      <c r="L238" s="135">
        <v>0</v>
      </c>
      <c r="M238" s="135">
        <v>733.87864655845124</v>
      </c>
      <c r="N238" s="135">
        <v>0</v>
      </c>
      <c r="O238" s="135">
        <v>-47.826924197401389</v>
      </c>
      <c r="P238" s="135">
        <v>2394.6401877793592</v>
      </c>
      <c r="Q238" s="135">
        <v>716.58194954262081</v>
      </c>
      <c r="R238" s="135">
        <v>122.88475208296919</v>
      </c>
      <c r="S238" s="135">
        <v>11408.865277267369</v>
      </c>
      <c r="T238" s="135"/>
      <c r="U238" s="135">
        <v>6643.2899842684847</v>
      </c>
      <c r="V238" s="135">
        <v>0</v>
      </c>
      <c r="W238" s="135">
        <v>681.03224960671218</v>
      </c>
      <c r="X238" s="135">
        <v>0</v>
      </c>
      <c r="Y238" s="135">
        <v>56.764726446425456</v>
      </c>
      <c r="Z238" s="135">
        <v>421.59281594126907</v>
      </c>
      <c r="AA238" s="135">
        <v>0</v>
      </c>
      <c r="AB238" s="135">
        <v>733.87864655845124</v>
      </c>
      <c r="AC238" s="135">
        <v>93.556714745096215</v>
      </c>
      <c r="AD238" s="135">
        <v>0</v>
      </c>
      <c r="AE238" s="135">
        <v>2415.2299964778886</v>
      </c>
      <c r="AF238" s="135">
        <v>721.06320002483926</v>
      </c>
      <c r="AG238" s="135">
        <v>68.554565052729714</v>
      </c>
      <c r="AH238" s="135">
        <v>11834.962899121896</v>
      </c>
      <c r="AI238" s="135">
        <v>631.26131795140736</v>
      </c>
      <c r="AJ238" s="135">
        <v>0</v>
      </c>
      <c r="AK238" s="135">
        <v>-316.22268834119905</v>
      </c>
      <c r="AL238" s="135">
        <v>0</v>
      </c>
      <c r="AM238" s="135">
        <v>-57.97480044281302</v>
      </c>
      <c r="AN238" s="135">
        <v>56.909281594126981</v>
      </c>
      <c r="AO238" s="135">
        <v>0</v>
      </c>
      <c r="AP238" s="135">
        <v>0</v>
      </c>
      <c r="AQ238" s="135">
        <v>93.556714745096215</v>
      </c>
      <c r="AR238" s="135">
        <v>47.826924197401389</v>
      </c>
      <c r="AS238" s="135">
        <v>20.589808698529396</v>
      </c>
      <c r="AT238" s="135">
        <v>4.4812504822184565</v>
      </c>
      <c r="AU238" s="135">
        <v>-54.330187030239472</v>
      </c>
      <c r="AV238" s="135">
        <v>426.09762569446104</v>
      </c>
      <c r="AW238" s="135"/>
      <c r="AX238" s="164"/>
      <c r="AY238" s="132"/>
      <c r="AZ238" s="135"/>
      <c r="BA238" s="135"/>
    </row>
    <row r="239" spans="1:53" ht="16.5" x14ac:dyDescent="0.3">
      <c r="A239" s="165">
        <v>676</v>
      </c>
      <c r="B239" s="165">
        <v>1</v>
      </c>
      <c r="C239" s="166" t="s">
        <v>452</v>
      </c>
      <c r="D239" s="167">
        <v>6</v>
      </c>
      <c r="E239" s="163">
        <v>220.62</v>
      </c>
      <c r="F239" s="135">
        <v>6286.2275405674918</v>
      </c>
      <c r="G239" s="135">
        <v>37.592240050766023</v>
      </c>
      <c r="H239" s="135">
        <v>2278.1983501042519</v>
      </c>
      <c r="I239" s="135">
        <v>0</v>
      </c>
      <c r="J239" s="135">
        <v>73.078596682077787</v>
      </c>
      <c r="K239" s="135">
        <v>663.9567582268154</v>
      </c>
      <c r="L239" s="135">
        <v>0</v>
      </c>
      <c r="M239" s="135">
        <v>462.07933149125199</v>
      </c>
      <c r="N239" s="135">
        <v>0</v>
      </c>
      <c r="O239" s="135">
        <v>-43.838953857311211</v>
      </c>
      <c r="P239" s="135">
        <v>423.41276402864656</v>
      </c>
      <c r="Q239" s="135">
        <v>1075.5856676638564</v>
      </c>
      <c r="R239" s="135">
        <v>125.94121113226362</v>
      </c>
      <c r="S239" s="135">
        <v>11382.23350609011</v>
      </c>
      <c r="T239" s="135"/>
      <c r="U239" s="135">
        <v>7006.792493880881</v>
      </c>
      <c r="V239" s="135">
        <v>0</v>
      </c>
      <c r="W239" s="135">
        <v>1993.7555978605747</v>
      </c>
      <c r="X239" s="135">
        <v>0</v>
      </c>
      <c r="Y239" s="135">
        <v>0</v>
      </c>
      <c r="Z239" s="135">
        <v>813.2843803825582</v>
      </c>
      <c r="AA239" s="135">
        <v>0</v>
      </c>
      <c r="AB239" s="135">
        <v>466.81559830021882</v>
      </c>
      <c r="AC239" s="135">
        <v>105.55427199006022</v>
      </c>
      <c r="AD239" s="135">
        <v>0</v>
      </c>
      <c r="AE239" s="135">
        <v>487.59426051128639</v>
      </c>
      <c r="AF239" s="135">
        <v>1048.6495539651412</v>
      </c>
      <c r="AG239" s="135">
        <v>75.87566857039252</v>
      </c>
      <c r="AH239" s="135">
        <v>11998.321825461111</v>
      </c>
      <c r="AI239" s="135">
        <v>720.5649533133892</v>
      </c>
      <c r="AJ239" s="135">
        <v>-37.592240050766023</v>
      </c>
      <c r="AK239" s="135">
        <v>-284.44275224367721</v>
      </c>
      <c r="AL239" s="135">
        <v>0</v>
      </c>
      <c r="AM239" s="135">
        <v>-73.078596682077787</v>
      </c>
      <c r="AN239" s="135">
        <v>149.3276221557428</v>
      </c>
      <c r="AO239" s="135">
        <v>0</v>
      </c>
      <c r="AP239" s="135">
        <v>4.7362668089668318</v>
      </c>
      <c r="AQ239" s="135">
        <v>105.55427199006022</v>
      </c>
      <c r="AR239" s="135">
        <v>43.838953857311211</v>
      </c>
      <c r="AS239" s="135">
        <v>64.18149648263983</v>
      </c>
      <c r="AT239" s="135">
        <v>-26.936113698715189</v>
      </c>
      <c r="AU239" s="135">
        <v>-50.065542561871098</v>
      </c>
      <c r="AV239" s="135">
        <v>616.08832683039702</v>
      </c>
      <c r="AW239" s="135"/>
      <c r="AX239" s="164"/>
      <c r="AY239" s="132"/>
      <c r="AZ239" s="135"/>
      <c r="BA239" s="135"/>
    </row>
    <row r="240" spans="1:53" ht="16.5" x14ac:dyDescent="0.3">
      <c r="A240" s="165">
        <v>682</v>
      </c>
      <c r="B240" s="165">
        <v>1</v>
      </c>
      <c r="C240" s="166" t="s">
        <v>536</v>
      </c>
      <c r="D240" s="167">
        <v>5</v>
      </c>
      <c r="E240" s="163">
        <v>1242.8499999999999</v>
      </c>
      <c r="F240" s="135">
        <v>6022.0276300438509</v>
      </c>
      <c r="G240" s="135">
        <v>0</v>
      </c>
      <c r="H240" s="135">
        <v>818.52701452307201</v>
      </c>
      <c r="I240" s="135">
        <v>0</v>
      </c>
      <c r="J240" s="135">
        <v>121.90455807217283</v>
      </c>
      <c r="K240" s="135">
        <v>192.46178541255986</v>
      </c>
      <c r="L240" s="135">
        <v>0</v>
      </c>
      <c r="M240" s="135">
        <v>809.11006110242124</v>
      </c>
      <c r="N240" s="135">
        <v>0</v>
      </c>
      <c r="O240" s="135">
        <v>-49.193152834211695</v>
      </c>
      <c r="P240" s="135">
        <v>1460.4287689469481</v>
      </c>
      <c r="Q240" s="135">
        <v>303.72967775676875</v>
      </c>
      <c r="R240" s="135">
        <v>107.92448807177053</v>
      </c>
      <c r="S240" s="135">
        <v>9786.9208310953509</v>
      </c>
      <c r="T240" s="135"/>
      <c r="U240" s="135">
        <v>6664.2072655589982</v>
      </c>
      <c r="V240" s="135">
        <v>0</v>
      </c>
      <c r="W240" s="135">
        <v>501.1801182765418</v>
      </c>
      <c r="X240" s="135">
        <v>0</v>
      </c>
      <c r="Y240" s="135">
        <v>69.98249185340147</v>
      </c>
      <c r="Z240" s="135">
        <v>253.28416224196363</v>
      </c>
      <c r="AA240" s="135">
        <v>0</v>
      </c>
      <c r="AB240" s="135">
        <v>933.25820318676756</v>
      </c>
      <c r="AC240" s="135">
        <v>83.522108874989584</v>
      </c>
      <c r="AD240" s="135">
        <v>0</v>
      </c>
      <c r="AE240" s="135">
        <v>1580.7105576480326</v>
      </c>
      <c r="AF240" s="135">
        <v>319.43767148087062</v>
      </c>
      <c r="AG240" s="135">
        <v>57.895828136943322</v>
      </c>
      <c r="AH240" s="135">
        <v>10463.478407258508</v>
      </c>
      <c r="AI240" s="135">
        <v>642.17963551514731</v>
      </c>
      <c r="AJ240" s="135">
        <v>0</v>
      </c>
      <c r="AK240" s="135">
        <v>-317.34689624653021</v>
      </c>
      <c r="AL240" s="135">
        <v>0</v>
      </c>
      <c r="AM240" s="135">
        <v>-51.922066218771363</v>
      </c>
      <c r="AN240" s="135">
        <v>60.822376829403765</v>
      </c>
      <c r="AO240" s="135">
        <v>0</v>
      </c>
      <c r="AP240" s="135">
        <v>124.14814208434632</v>
      </c>
      <c r="AQ240" s="135">
        <v>83.522108874989584</v>
      </c>
      <c r="AR240" s="135">
        <v>49.193152834211695</v>
      </c>
      <c r="AS240" s="135">
        <v>120.28178870108445</v>
      </c>
      <c r="AT240" s="135">
        <v>15.707993724101868</v>
      </c>
      <c r="AU240" s="135">
        <v>-50.028659934827203</v>
      </c>
      <c r="AV240" s="135">
        <v>676.55757841856951</v>
      </c>
      <c r="AW240" s="135"/>
      <c r="AX240" s="164"/>
      <c r="AY240" s="132"/>
      <c r="AZ240" s="135"/>
      <c r="BA240" s="135"/>
    </row>
    <row r="241" spans="1:53" ht="16.5" x14ac:dyDescent="0.3">
      <c r="A241" s="165">
        <v>690</v>
      </c>
      <c r="B241" s="165">
        <v>1</v>
      </c>
      <c r="C241" s="166" t="s">
        <v>556</v>
      </c>
      <c r="D241" s="167">
        <v>5</v>
      </c>
      <c r="E241" s="163">
        <v>1034.31</v>
      </c>
      <c r="F241" s="135">
        <v>6026.1032765805221</v>
      </c>
      <c r="G241" s="135">
        <v>0.80747551507768467</v>
      </c>
      <c r="H241" s="135">
        <v>691.91805164795846</v>
      </c>
      <c r="I241" s="135">
        <v>0</v>
      </c>
      <c r="J241" s="135">
        <v>127.2818207307287</v>
      </c>
      <c r="K241" s="135">
        <v>447.70870435362707</v>
      </c>
      <c r="L241" s="135">
        <v>0</v>
      </c>
      <c r="M241" s="135">
        <v>796.60879334831918</v>
      </c>
      <c r="N241" s="135">
        <v>0</v>
      </c>
      <c r="O241" s="135">
        <v>-62.73109609304754</v>
      </c>
      <c r="P241" s="135">
        <v>1762.3625808233785</v>
      </c>
      <c r="Q241" s="135">
        <v>429.27755701868875</v>
      </c>
      <c r="R241" s="135">
        <v>113.16521159033559</v>
      </c>
      <c r="S241" s="135">
        <v>10332.502375515591</v>
      </c>
      <c r="T241" s="135"/>
      <c r="U241" s="135">
        <v>6661.3240131101902</v>
      </c>
      <c r="V241" s="135">
        <v>0</v>
      </c>
      <c r="W241" s="135">
        <v>376.52292832903095</v>
      </c>
      <c r="X241" s="135">
        <v>0</v>
      </c>
      <c r="Y241" s="135">
        <v>78.506211870715745</v>
      </c>
      <c r="Z241" s="135">
        <v>549.76634761431694</v>
      </c>
      <c r="AA241" s="135">
        <v>0</v>
      </c>
      <c r="AB241" s="135">
        <v>1071.8675976948421</v>
      </c>
      <c r="AC241" s="135">
        <v>83.593426953462128</v>
      </c>
      <c r="AD241" s="135">
        <v>0</v>
      </c>
      <c r="AE241" s="135">
        <v>1887.0987035586181</v>
      </c>
      <c r="AF241" s="135">
        <v>444.98410534559275</v>
      </c>
      <c r="AG241" s="135">
        <v>63.000522087188571</v>
      </c>
      <c r="AH241" s="135">
        <v>11216.663856563959</v>
      </c>
      <c r="AI241" s="135">
        <v>635.2207365296681</v>
      </c>
      <c r="AJ241" s="135">
        <v>-0.80747551507768467</v>
      </c>
      <c r="AK241" s="135">
        <v>-315.39512331892752</v>
      </c>
      <c r="AL241" s="135">
        <v>0</v>
      </c>
      <c r="AM241" s="135">
        <v>-48.775608860012952</v>
      </c>
      <c r="AN241" s="135">
        <v>102.05764326068987</v>
      </c>
      <c r="AO241" s="135">
        <v>0</v>
      </c>
      <c r="AP241" s="135">
        <v>275.25880434652288</v>
      </c>
      <c r="AQ241" s="135">
        <v>83.593426953462128</v>
      </c>
      <c r="AR241" s="135">
        <v>62.73109609304754</v>
      </c>
      <c r="AS241" s="135">
        <v>124.73612273523963</v>
      </c>
      <c r="AT241" s="135">
        <v>15.706548326903999</v>
      </c>
      <c r="AU241" s="135">
        <v>-50.164689503147017</v>
      </c>
      <c r="AV241" s="135">
        <v>884.16149003236194</v>
      </c>
      <c r="AW241" s="135"/>
      <c r="AX241" s="132"/>
      <c r="AY241" s="132"/>
      <c r="AZ241" s="155"/>
      <c r="BA241" s="155"/>
    </row>
    <row r="242" spans="1:53" ht="16.5" x14ac:dyDescent="0.3">
      <c r="A242" s="165">
        <v>695</v>
      </c>
      <c r="B242" s="165">
        <v>1</v>
      </c>
      <c r="C242" s="166" t="s">
        <v>558</v>
      </c>
      <c r="D242" s="167">
        <v>6</v>
      </c>
      <c r="E242" s="163">
        <v>718.8</v>
      </c>
      <c r="F242" s="135">
        <v>5955.4908180300499</v>
      </c>
      <c r="G242" s="135">
        <v>0</v>
      </c>
      <c r="H242" s="135">
        <v>1062.0999026154702</v>
      </c>
      <c r="I242" s="135">
        <v>0</v>
      </c>
      <c r="J242" s="135">
        <v>108.17697551474681</v>
      </c>
      <c r="K242" s="135">
        <v>644.54389259877576</v>
      </c>
      <c r="L242" s="135">
        <v>0</v>
      </c>
      <c r="M242" s="135">
        <v>688.02778678426557</v>
      </c>
      <c r="N242" s="135">
        <v>0</v>
      </c>
      <c r="O242" s="135">
        <v>-57.750514746800228</v>
      </c>
      <c r="P242" s="135">
        <v>1146.945959933222</v>
      </c>
      <c r="Q242" s="135">
        <v>228.2216054535337</v>
      </c>
      <c r="R242" s="135">
        <v>112.57559821925432</v>
      </c>
      <c r="S242" s="135">
        <v>9888.3320244025181</v>
      </c>
      <c r="T242" s="135"/>
      <c r="U242" s="135">
        <v>6585.6035058430716</v>
      </c>
      <c r="V242" s="135">
        <v>0</v>
      </c>
      <c r="W242" s="135">
        <v>749.01291040623266</v>
      </c>
      <c r="X242" s="135">
        <v>0</v>
      </c>
      <c r="Y242" s="135">
        <v>50.859126321647196</v>
      </c>
      <c r="Z242" s="135">
        <v>758.14109627156381</v>
      </c>
      <c r="AA242" s="135">
        <v>0</v>
      </c>
      <c r="AB242" s="135">
        <v>900.20912660985573</v>
      </c>
      <c r="AC242" s="135">
        <v>119.8398236279328</v>
      </c>
      <c r="AD242" s="135">
        <v>0</v>
      </c>
      <c r="AE242" s="135">
        <v>1146.8370840289372</v>
      </c>
      <c r="AF242" s="135">
        <v>249.31900391588323</v>
      </c>
      <c r="AG242" s="135">
        <v>64.487534780189208</v>
      </c>
      <c r="AH242" s="135">
        <v>10624.309211805315</v>
      </c>
      <c r="AI242" s="135">
        <v>630.11268781302169</v>
      </c>
      <c r="AJ242" s="135">
        <v>0</v>
      </c>
      <c r="AK242" s="135">
        <v>-313.08699220923756</v>
      </c>
      <c r="AL242" s="135">
        <v>0</v>
      </c>
      <c r="AM242" s="135">
        <v>-57.317849193099619</v>
      </c>
      <c r="AN242" s="135">
        <v>113.59720367278805</v>
      </c>
      <c r="AO242" s="135">
        <v>0</v>
      </c>
      <c r="AP242" s="135">
        <v>212.18133982559016</v>
      </c>
      <c r="AQ242" s="135">
        <v>119.8398236279328</v>
      </c>
      <c r="AR242" s="135">
        <v>57.750514746800228</v>
      </c>
      <c r="AS242" s="135">
        <v>-0.10887590428478688</v>
      </c>
      <c r="AT242" s="135">
        <v>21.097398462349531</v>
      </c>
      <c r="AU242" s="135">
        <v>-48.08806343906511</v>
      </c>
      <c r="AV242" s="135">
        <v>735.97718896363995</v>
      </c>
      <c r="AW242" s="135"/>
      <c r="AX242" s="164"/>
      <c r="AY242" s="132"/>
      <c r="AZ242" s="135"/>
      <c r="BA242" s="135"/>
    </row>
    <row r="243" spans="1:53" ht="16.5" x14ac:dyDescent="0.3">
      <c r="A243" s="165">
        <v>696</v>
      </c>
      <c r="B243" s="165">
        <v>1</v>
      </c>
      <c r="C243" s="166" t="s">
        <v>559</v>
      </c>
      <c r="D243" s="167">
        <v>6</v>
      </c>
      <c r="E243" s="163">
        <v>525.29</v>
      </c>
      <c r="F243" s="135">
        <v>5994.9350644405949</v>
      </c>
      <c r="G243" s="135">
        <v>0</v>
      </c>
      <c r="H243" s="135">
        <v>838.40385310971078</v>
      </c>
      <c r="I243" s="135">
        <v>0</v>
      </c>
      <c r="J243" s="135">
        <v>112.71488130366085</v>
      </c>
      <c r="K243" s="135">
        <v>410.91439014639531</v>
      </c>
      <c r="L243" s="135">
        <v>0</v>
      </c>
      <c r="M243" s="135">
        <v>540.44874865796794</v>
      </c>
      <c r="N243" s="135">
        <v>0</v>
      </c>
      <c r="O243" s="135">
        <v>-74.005235203411459</v>
      </c>
      <c r="P243" s="135">
        <v>1223.9092272839764</v>
      </c>
      <c r="Q243" s="135">
        <v>931.60968227074568</v>
      </c>
      <c r="R243" s="135">
        <v>375.44619162748199</v>
      </c>
      <c r="S243" s="135">
        <v>10354.376803637122</v>
      </c>
      <c r="T243" s="135"/>
      <c r="U243" s="135">
        <v>6642.1038283614771</v>
      </c>
      <c r="V243" s="135">
        <v>0</v>
      </c>
      <c r="W243" s="135">
        <v>730.92893449332746</v>
      </c>
      <c r="X243" s="135">
        <v>0</v>
      </c>
      <c r="Y243" s="135">
        <v>51.889470578156832</v>
      </c>
      <c r="Z243" s="135">
        <v>513.9966113956101</v>
      </c>
      <c r="AA243" s="135">
        <v>0</v>
      </c>
      <c r="AB243" s="135">
        <v>697.63939602208632</v>
      </c>
      <c r="AC243" s="135">
        <v>77.722931778463874</v>
      </c>
      <c r="AD243" s="135">
        <v>0</v>
      </c>
      <c r="AE243" s="135">
        <v>1249.6249402196881</v>
      </c>
      <c r="AF243" s="135">
        <v>946.86123527955988</v>
      </c>
      <c r="AG243" s="135">
        <v>329.16981096156411</v>
      </c>
      <c r="AH243" s="135">
        <v>11239.937159089935</v>
      </c>
      <c r="AI243" s="135">
        <v>647.16876392088216</v>
      </c>
      <c r="AJ243" s="135">
        <v>0</v>
      </c>
      <c r="AK243" s="135">
        <v>-107.47491861638332</v>
      </c>
      <c r="AL243" s="135">
        <v>0</v>
      </c>
      <c r="AM243" s="135">
        <v>-60.825410725504014</v>
      </c>
      <c r="AN243" s="135">
        <v>103.0822212492148</v>
      </c>
      <c r="AO243" s="135">
        <v>0</v>
      </c>
      <c r="AP243" s="135">
        <v>157.19064736411838</v>
      </c>
      <c r="AQ243" s="135">
        <v>77.722931778463874</v>
      </c>
      <c r="AR243" s="135">
        <v>74.005235203411459</v>
      </c>
      <c r="AS243" s="135">
        <v>25.715712935711736</v>
      </c>
      <c r="AT243" s="135">
        <v>15.251553008814199</v>
      </c>
      <c r="AU243" s="135">
        <v>-46.276380665917884</v>
      </c>
      <c r="AV243" s="135">
        <v>885.56036492581859</v>
      </c>
      <c r="AW243" s="135"/>
      <c r="AX243" s="164"/>
      <c r="AY243" s="132"/>
      <c r="AZ243" s="135"/>
      <c r="BA243" s="135"/>
    </row>
    <row r="244" spans="1:53" ht="16.5" x14ac:dyDescent="0.3">
      <c r="A244" s="165">
        <v>698</v>
      </c>
      <c r="B244" s="165">
        <v>1</v>
      </c>
      <c r="C244" s="166" t="s">
        <v>560</v>
      </c>
      <c r="D244" s="167">
        <v>6</v>
      </c>
      <c r="E244" s="163">
        <v>330.63</v>
      </c>
      <c r="F244" s="135">
        <v>6011.952938329855</v>
      </c>
      <c r="G244" s="135">
        <v>13.902065753258929</v>
      </c>
      <c r="H244" s="135">
        <v>0</v>
      </c>
      <c r="I244" s="135">
        <v>0</v>
      </c>
      <c r="J244" s="135">
        <v>154.42673078667997</v>
      </c>
      <c r="K244" s="135">
        <v>616.51755739043642</v>
      </c>
      <c r="L244" s="135">
        <v>0</v>
      </c>
      <c r="M244" s="135">
        <v>1185.8245013512085</v>
      </c>
      <c r="N244" s="135">
        <v>0</v>
      </c>
      <c r="O244" s="135">
        <v>-51.000181471735772</v>
      </c>
      <c r="P244" s="135">
        <v>3270.511032185309</v>
      </c>
      <c r="Q244" s="135">
        <v>1766.9838187702267</v>
      </c>
      <c r="R244" s="135">
        <v>97.148020445815575</v>
      </c>
      <c r="S244" s="135">
        <v>13066.266483541052</v>
      </c>
      <c r="T244" s="135"/>
      <c r="U244" s="135">
        <v>6663.5604754559481</v>
      </c>
      <c r="V244" s="135">
        <v>0</v>
      </c>
      <c r="W244" s="135">
        <v>0</v>
      </c>
      <c r="X244" s="135">
        <v>0</v>
      </c>
      <c r="Y244" s="135">
        <v>105.77080119771345</v>
      </c>
      <c r="Z244" s="135">
        <v>735.92438677675955</v>
      </c>
      <c r="AA244" s="135">
        <v>0</v>
      </c>
      <c r="AB244" s="135">
        <v>1721.5037957200582</v>
      </c>
      <c r="AC244" s="135">
        <v>55.490201577177523</v>
      </c>
      <c r="AD244" s="135">
        <v>0</v>
      </c>
      <c r="AE244" s="135">
        <v>3305.7238897939433</v>
      </c>
      <c r="AF244" s="135">
        <v>1777.5497129292244</v>
      </c>
      <c r="AG244" s="135">
        <v>48.874724011735175</v>
      </c>
      <c r="AH244" s="135">
        <v>14414.39798746256</v>
      </c>
      <c r="AI244" s="135">
        <v>651.60753712609312</v>
      </c>
      <c r="AJ244" s="135">
        <v>-13.902065753258929</v>
      </c>
      <c r="AK244" s="135">
        <v>0</v>
      </c>
      <c r="AL244" s="135">
        <v>0</v>
      </c>
      <c r="AM244" s="135">
        <v>-48.655929588966515</v>
      </c>
      <c r="AN244" s="135">
        <v>119.40682938632312</v>
      </c>
      <c r="AO244" s="135">
        <v>0</v>
      </c>
      <c r="AP244" s="135">
        <v>535.6792943688497</v>
      </c>
      <c r="AQ244" s="135">
        <v>55.490201577177523</v>
      </c>
      <c r="AR244" s="135">
        <v>51.000181471735772</v>
      </c>
      <c r="AS244" s="135">
        <v>35.212857608634295</v>
      </c>
      <c r="AT244" s="135">
        <v>10.565894158997708</v>
      </c>
      <c r="AU244" s="135">
        <v>-48.2732964340804</v>
      </c>
      <c r="AV244" s="135">
        <v>1348.1315065837996</v>
      </c>
      <c r="AW244" s="135"/>
      <c r="AX244" s="164"/>
      <c r="AY244" s="132"/>
      <c r="AZ244" s="135"/>
      <c r="BA244" s="135"/>
    </row>
    <row r="245" spans="1:53" ht="16.5" x14ac:dyDescent="0.3">
      <c r="A245" s="165">
        <v>700</v>
      </c>
      <c r="B245" s="165">
        <v>1</v>
      </c>
      <c r="C245" s="166" t="s">
        <v>561</v>
      </c>
      <c r="D245" s="167">
        <v>4</v>
      </c>
      <c r="E245" s="163">
        <v>2039.53</v>
      </c>
      <c r="F245" s="135">
        <v>6107.033836226974</v>
      </c>
      <c r="G245" s="135">
        <v>0</v>
      </c>
      <c r="H245" s="135">
        <v>1.0519237275254592</v>
      </c>
      <c r="I245" s="135">
        <v>0</v>
      </c>
      <c r="J245" s="135">
        <v>205.63470505459591</v>
      </c>
      <c r="K245" s="135">
        <v>65.697229263604839</v>
      </c>
      <c r="L245" s="135">
        <v>0</v>
      </c>
      <c r="M245" s="135">
        <v>861.81377366236336</v>
      </c>
      <c r="N245" s="135">
        <v>0</v>
      </c>
      <c r="O245" s="135">
        <v>-34.194093737282614</v>
      </c>
      <c r="P245" s="135">
        <v>554.31906076399946</v>
      </c>
      <c r="Q245" s="135">
        <v>96.34009306065613</v>
      </c>
      <c r="R245" s="135">
        <v>109.60509529156226</v>
      </c>
      <c r="S245" s="135">
        <v>7967.301623313997</v>
      </c>
      <c r="T245" s="135"/>
      <c r="U245" s="135">
        <v>6768.3449029923549</v>
      </c>
      <c r="V245" s="135">
        <v>0</v>
      </c>
      <c r="W245" s="135">
        <v>0</v>
      </c>
      <c r="X245" s="135">
        <v>34.129548989227906</v>
      </c>
      <c r="Y245" s="135">
        <v>106.70203429221438</v>
      </c>
      <c r="Z245" s="135">
        <v>103.68163743607596</v>
      </c>
      <c r="AA245" s="135">
        <v>0</v>
      </c>
      <c r="AB245" s="135">
        <v>1030.5723681676025</v>
      </c>
      <c r="AC245" s="135">
        <v>36.04291053348387</v>
      </c>
      <c r="AD245" s="135">
        <v>3.6278701465533723</v>
      </c>
      <c r="AE245" s="135">
        <v>684.80993743852741</v>
      </c>
      <c r="AF245" s="135">
        <v>94.698057885885476</v>
      </c>
      <c r="AG245" s="135">
        <v>60.39975876795144</v>
      </c>
      <c r="AH245" s="135">
        <v>8923.0090266498773</v>
      </c>
      <c r="AI245" s="135">
        <v>661.31106676538093</v>
      </c>
      <c r="AJ245" s="135">
        <v>0</v>
      </c>
      <c r="AK245" s="135">
        <v>-1.0519237275254592</v>
      </c>
      <c r="AL245" s="135">
        <v>34.129548989227906</v>
      </c>
      <c r="AM245" s="135">
        <v>-98.932670762381534</v>
      </c>
      <c r="AN245" s="135">
        <v>37.98440817247112</v>
      </c>
      <c r="AO245" s="135">
        <v>0</v>
      </c>
      <c r="AP245" s="135">
        <v>168.7585945052391</v>
      </c>
      <c r="AQ245" s="135">
        <v>36.04291053348387</v>
      </c>
      <c r="AR245" s="135">
        <v>37.821963883835984</v>
      </c>
      <c r="AS245" s="135">
        <v>130.49087667452795</v>
      </c>
      <c r="AT245" s="135">
        <v>-1.6420351747706547</v>
      </c>
      <c r="AU245" s="135">
        <v>-49.205336523610825</v>
      </c>
      <c r="AV245" s="135">
        <v>955.70740704869684</v>
      </c>
      <c r="AW245" s="135"/>
      <c r="AX245" s="132"/>
      <c r="AY245" s="132"/>
      <c r="AZ245" s="155"/>
      <c r="BA245" s="155"/>
    </row>
    <row r="246" spans="1:53" ht="16.5" x14ac:dyDescent="0.3">
      <c r="A246" s="165">
        <v>701</v>
      </c>
      <c r="B246" s="165">
        <v>1</v>
      </c>
      <c r="C246" s="166" t="s">
        <v>563</v>
      </c>
      <c r="D246" s="167">
        <v>4</v>
      </c>
      <c r="E246" s="163">
        <v>2329.02</v>
      </c>
      <c r="F246" s="135">
        <v>6028.5204935981665</v>
      </c>
      <c r="G246" s="135">
        <v>1.1640861821710418</v>
      </c>
      <c r="H246" s="135">
        <v>794.01244729542896</v>
      </c>
      <c r="I246" s="135">
        <v>0</v>
      </c>
      <c r="J246" s="135">
        <v>123.6746829138436</v>
      </c>
      <c r="K246" s="135">
        <v>631.9769173300358</v>
      </c>
      <c r="L246" s="135">
        <v>0</v>
      </c>
      <c r="M246" s="135">
        <v>692.97278389448252</v>
      </c>
      <c r="N246" s="135">
        <v>0</v>
      </c>
      <c r="O246" s="135">
        <v>-71.449261921323142</v>
      </c>
      <c r="P246" s="135">
        <v>834.36432061553796</v>
      </c>
      <c r="Q246" s="135">
        <v>155.07515178057724</v>
      </c>
      <c r="R246" s="135">
        <v>69.334677246223734</v>
      </c>
      <c r="S246" s="135">
        <v>9259.6462989351439</v>
      </c>
      <c r="T246" s="135"/>
      <c r="U246" s="135">
        <v>6669.286652755236</v>
      </c>
      <c r="V246" s="135">
        <v>0</v>
      </c>
      <c r="W246" s="135">
        <v>267.28717658070781</v>
      </c>
      <c r="X246" s="135">
        <v>248.1894920870354</v>
      </c>
      <c r="Y246" s="135">
        <v>86.484225124730571</v>
      </c>
      <c r="Z246" s="135">
        <v>756.13398429787605</v>
      </c>
      <c r="AA246" s="135">
        <v>0</v>
      </c>
      <c r="AB246" s="135">
        <v>836.69008867210403</v>
      </c>
      <c r="AC246" s="135">
        <v>120.31343898776065</v>
      </c>
      <c r="AD246" s="135">
        <v>0</v>
      </c>
      <c r="AE246" s="135">
        <v>859.46636015362685</v>
      </c>
      <c r="AF246" s="135">
        <v>157.6885599951911</v>
      </c>
      <c r="AG246" s="135">
        <v>55.48662098221569</v>
      </c>
      <c r="AH246" s="135">
        <v>10057.026599636485</v>
      </c>
      <c r="AI246" s="135">
        <v>640.76615915706952</v>
      </c>
      <c r="AJ246" s="135">
        <v>-1.1640861821710418</v>
      </c>
      <c r="AK246" s="135">
        <v>-526.72527071472109</v>
      </c>
      <c r="AL246" s="135">
        <v>248.1894920870354</v>
      </c>
      <c r="AM246" s="135">
        <v>-37.190457789113026</v>
      </c>
      <c r="AN246" s="135">
        <v>124.15706696784025</v>
      </c>
      <c r="AO246" s="135">
        <v>0</v>
      </c>
      <c r="AP246" s="135">
        <v>143.71730477762151</v>
      </c>
      <c r="AQ246" s="135">
        <v>120.31343898776065</v>
      </c>
      <c r="AR246" s="135">
        <v>71.449261921323142</v>
      </c>
      <c r="AS246" s="135">
        <v>25.102039538088889</v>
      </c>
      <c r="AT246" s="135">
        <v>2.6134082146138553</v>
      </c>
      <c r="AU246" s="135">
        <v>-13.848056264008044</v>
      </c>
      <c r="AV246" s="135">
        <v>797.3803062528408</v>
      </c>
      <c r="AW246" s="135"/>
      <c r="AX246" s="132"/>
      <c r="AY246" s="132"/>
      <c r="AZ246" s="155"/>
      <c r="BA246" s="155"/>
    </row>
    <row r="247" spans="1:53" ht="16.5" x14ac:dyDescent="0.3">
      <c r="A247" s="165">
        <v>704</v>
      </c>
      <c r="B247" s="165">
        <v>1</v>
      </c>
      <c r="C247" s="166" t="s">
        <v>565</v>
      </c>
      <c r="D247" s="167">
        <v>5</v>
      </c>
      <c r="E247" s="163">
        <v>1709.15</v>
      </c>
      <c r="F247" s="135">
        <v>6066.0935786794598</v>
      </c>
      <c r="G247" s="135">
        <v>17.057987888716614</v>
      </c>
      <c r="H247" s="135">
        <v>1.2121171342480181</v>
      </c>
      <c r="I247" s="135">
        <v>0</v>
      </c>
      <c r="J247" s="135">
        <v>214.06257496416345</v>
      </c>
      <c r="K247" s="135">
        <v>292.35472018254688</v>
      </c>
      <c r="L247" s="135">
        <v>0</v>
      </c>
      <c r="M247" s="135">
        <v>755.59314925393312</v>
      </c>
      <c r="N247" s="135">
        <v>0</v>
      </c>
      <c r="O247" s="135">
        <v>-63.162226837901876</v>
      </c>
      <c r="P247" s="135">
        <v>1167.1806909867478</v>
      </c>
      <c r="Q247" s="135">
        <v>122.26244039434806</v>
      </c>
      <c r="R247" s="135">
        <v>372.99799315449201</v>
      </c>
      <c r="S247" s="135">
        <v>8945.6530258007533</v>
      </c>
      <c r="T247" s="135"/>
      <c r="U247" s="135">
        <v>6725.0715033788729</v>
      </c>
      <c r="V247" s="135">
        <v>0</v>
      </c>
      <c r="W247" s="135">
        <v>0</v>
      </c>
      <c r="X247" s="135">
        <v>0</v>
      </c>
      <c r="Y247" s="135">
        <v>106.42132053944943</v>
      </c>
      <c r="Z247" s="135">
        <v>376.43885811606162</v>
      </c>
      <c r="AA247" s="135">
        <v>0</v>
      </c>
      <c r="AB247" s="135">
        <v>929.80762202648452</v>
      </c>
      <c r="AC247" s="135">
        <v>69.136746873406381</v>
      </c>
      <c r="AD247" s="135">
        <v>0</v>
      </c>
      <c r="AE247" s="135">
        <v>1264.1654790860953</v>
      </c>
      <c r="AF247" s="135">
        <v>129.19548313489159</v>
      </c>
      <c r="AG247" s="135">
        <v>325.07410116139602</v>
      </c>
      <c r="AH247" s="135">
        <v>9925.3111143166589</v>
      </c>
      <c r="AI247" s="135">
        <v>658.97792469941305</v>
      </c>
      <c r="AJ247" s="135">
        <v>-17.057987888716614</v>
      </c>
      <c r="AK247" s="135">
        <v>-1.2121171342480181</v>
      </c>
      <c r="AL247" s="135">
        <v>0</v>
      </c>
      <c r="AM247" s="135">
        <v>-107.64125442471402</v>
      </c>
      <c r="AN247" s="135">
        <v>84.084137933514739</v>
      </c>
      <c r="AO247" s="135">
        <v>0</v>
      </c>
      <c r="AP247" s="135">
        <v>174.2144727725514</v>
      </c>
      <c r="AQ247" s="135">
        <v>69.136746873406381</v>
      </c>
      <c r="AR247" s="135">
        <v>63.162226837901876</v>
      </c>
      <c r="AS247" s="135">
        <v>96.984788099347497</v>
      </c>
      <c r="AT247" s="135">
        <v>6.9330427405435273</v>
      </c>
      <c r="AU247" s="135">
        <v>-47.923891993095992</v>
      </c>
      <c r="AV247" s="135">
        <v>979.65808897380271</v>
      </c>
      <c r="AW247" s="135"/>
      <c r="AX247" s="164"/>
      <c r="AY247" s="132"/>
      <c r="AZ247" s="135"/>
      <c r="BA247" s="135"/>
    </row>
    <row r="248" spans="1:53" ht="16.5" x14ac:dyDescent="0.3">
      <c r="A248" s="165">
        <v>706</v>
      </c>
      <c r="B248" s="165">
        <v>1</v>
      </c>
      <c r="C248" s="166" t="s">
        <v>516</v>
      </c>
      <c r="D248" s="167">
        <v>5</v>
      </c>
      <c r="E248" s="163">
        <v>1710.08</v>
      </c>
      <c r="F248" s="135">
        <v>5957.8612930389218</v>
      </c>
      <c r="G248" s="135">
        <v>2.8169851702844313</v>
      </c>
      <c r="H248" s="135">
        <v>789.15820897267963</v>
      </c>
      <c r="I248" s="135">
        <v>0</v>
      </c>
      <c r="J248" s="135">
        <v>123.84459206586827</v>
      </c>
      <c r="K248" s="135">
        <v>498.11729860591322</v>
      </c>
      <c r="L248" s="135">
        <v>0</v>
      </c>
      <c r="M248" s="135">
        <v>872.87038413100913</v>
      </c>
      <c r="N248" s="135">
        <v>0</v>
      </c>
      <c r="O248" s="135">
        <v>-49.288126871257489</v>
      </c>
      <c r="P248" s="135">
        <v>690.87155688622761</v>
      </c>
      <c r="Q248" s="135">
        <v>137.78124415232037</v>
      </c>
      <c r="R248" s="135">
        <v>98.296325318113773</v>
      </c>
      <c r="S248" s="135">
        <v>9122.3297614700805</v>
      </c>
      <c r="T248" s="135"/>
      <c r="U248" s="135">
        <v>6584.0025028068867</v>
      </c>
      <c r="V248" s="135">
        <v>0</v>
      </c>
      <c r="W248" s="135">
        <v>478.44796734655694</v>
      </c>
      <c r="X248" s="135">
        <v>0</v>
      </c>
      <c r="Y248" s="135">
        <v>70.333118918413177</v>
      </c>
      <c r="Z248" s="135">
        <v>598.3509968942443</v>
      </c>
      <c r="AA248" s="135">
        <v>0</v>
      </c>
      <c r="AB248" s="135">
        <v>1044.763667938681</v>
      </c>
      <c r="AC248" s="135">
        <v>83.761141520616974</v>
      </c>
      <c r="AD248" s="135">
        <v>0</v>
      </c>
      <c r="AE248" s="135">
        <v>740.75706292980453</v>
      </c>
      <c r="AF248" s="135">
        <v>130.36325201160179</v>
      </c>
      <c r="AG248" s="135">
        <v>52.404367047155688</v>
      </c>
      <c r="AH248" s="135">
        <v>9783.1840774139619</v>
      </c>
      <c r="AI248" s="135">
        <v>626.14120976796494</v>
      </c>
      <c r="AJ248" s="135">
        <v>-2.8169851702844313</v>
      </c>
      <c r="AK248" s="135">
        <v>-310.71024162612269</v>
      </c>
      <c r="AL248" s="135">
        <v>0</v>
      </c>
      <c r="AM248" s="135">
        <v>-53.511473147455092</v>
      </c>
      <c r="AN248" s="135">
        <v>100.23369828833108</v>
      </c>
      <c r="AO248" s="135">
        <v>0</v>
      </c>
      <c r="AP248" s="135">
        <v>171.89328380767188</v>
      </c>
      <c r="AQ248" s="135">
        <v>83.761141520616974</v>
      </c>
      <c r="AR248" s="135">
        <v>49.288126871257489</v>
      </c>
      <c r="AS248" s="135">
        <v>49.885506043576925</v>
      </c>
      <c r="AT248" s="135">
        <v>-7.4179921407185816</v>
      </c>
      <c r="AU248" s="135">
        <v>-45.891958270958085</v>
      </c>
      <c r="AV248" s="135">
        <v>660.85432508124643</v>
      </c>
      <c r="AW248" s="135"/>
      <c r="AX248" s="164"/>
      <c r="AY248" s="132"/>
      <c r="AZ248" s="135"/>
      <c r="BA248" s="135"/>
    </row>
    <row r="249" spans="1:53" ht="16.5" x14ac:dyDescent="0.3">
      <c r="A249" s="165">
        <v>707</v>
      </c>
      <c r="B249" s="165">
        <v>1</v>
      </c>
      <c r="C249" s="166" t="s">
        <v>567</v>
      </c>
      <c r="D249" s="167">
        <v>6</v>
      </c>
      <c r="E249" s="163">
        <v>127.86000000000001</v>
      </c>
      <c r="F249" s="135">
        <v>6001.5122790552159</v>
      </c>
      <c r="G249" s="135">
        <v>82.210620991709675</v>
      </c>
      <c r="H249" s="135">
        <v>659.21805099327378</v>
      </c>
      <c r="I249" s="135">
        <v>0</v>
      </c>
      <c r="J249" s="135">
        <v>130.77185984670734</v>
      </c>
      <c r="K249" s="135">
        <v>675.50164242139829</v>
      </c>
      <c r="L249" s="135">
        <v>0</v>
      </c>
      <c r="M249" s="135">
        <v>1639.0005494624272</v>
      </c>
      <c r="N249" s="135">
        <v>0</v>
      </c>
      <c r="O249" s="135">
        <v>-39.152041295166583</v>
      </c>
      <c r="P249" s="135">
        <v>695.77535876293257</v>
      </c>
      <c r="Q249" s="135">
        <v>1829.2542624745813</v>
      </c>
      <c r="R249" s="135">
        <v>239.48443610198652</v>
      </c>
      <c r="S249" s="135">
        <v>11913.577018815065</v>
      </c>
      <c r="T249" s="135"/>
      <c r="U249" s="135">
        <v>6627.6630689816984</v>
      </c>
      <c r="V249" s="135">
        <v>0</v>
      </c>
      <c r="W249" s="135">
        <v>425.82207101517281</v>
      </c>
      <c r="X249" s="135">
        <v>0</v>
      </c>
      <c r="Y249" s="135">
        <v>74.785155638980129</v>
      </c>
      <c r="Z249" s="135">
        <v>793.58501486000307</v>
      </c>
      <c r="AA249" s="135">
        <v>0</v>
      </c>
      <c r="AB249" s="135">
        <v>2036.0158934778592</v>
      </c>
      <c r="AC249" s="135">
        <v>212.52635511040862</v>
      </c>
      <c r="AD249" s="135">
        <v>0</v>
      </c>
      <c r="AE249" s="135">
        <v>726.95776210587462</v>
      </c>
      <c r="AF249" s="135">
        <v>1834.754168181481</v>
      </c>
      <c r="AG249" s="135">
        <v>190.53183169091193</v>
      </c>
      <c r="AH249" s="135">
        <v>12922.641321062392</v>
      </c>
      <c r="AI249" s="135">
        <v>626.1507899264825</v>
      </c>
      <c r="AJ249" s="135">
        <v>-82.210620991709675</v>
      </c>
      <c r="AK249" s="135">
        <v>-233.39597997810097</v>
      </c>
      <c r="AL249" s="135">
        <v>0</v>
      </c>
      <c r="AM249" s="135">
        <v>-55.986704207727215</v>
      </c>
      <c r="AN249" s="135">
        <v>118.08337243860478</v>
      </c>
      <c r="AO249" s="135">
        <v>0</v>
      </c>
      <c r="AP249" s="135">
        <v>397.01534401543199</v>
      </c>
      <c r="AQ249" s="135">
        <v>212.52635511040862</v>
      </c>
      <c r="AR249" s="135">
        <v>39.152041295166583</v>
      </c>
      <c r="AS249" s="135">
        <v>31.182403342942052</v>
      </c>
      <c r="AT249" s="135">
        <v>5.4999057068996535</v>
      </c>
      <c r="AU249" s="135">
        <v>-48.952604411074589</v>
      </c>
      <c r="AV249" s="135">
        <v>1009.064304585509</v>
      </c>
      <c r="AW249" s="135"/>
      <c r="AX249" s="132"/>
      <c r="AY249" s="132"/>
      <c r="AZ249" s="155"/>
      <c r="BA249" s="155"/>
    </row>
    <row r="250" spans="1:53" ht="16.5" x14ac:dyDescent="0.3">
      <c r="A250" s="165">
        <v>709</v>
      </c>
      <c r="B250" s="165">
        <v>1</v>
      </c>
      <c r="C250" s="166" t="s">
        <v>569</v>
      </c>
      <c r="D250" s="167">
        <v>4</v>
      </c>
      <c r="E250" s="163">
        <v>8618.3900000000012</v>
      </c>
      <c r="F250" s="135">
        <v>5998.1329134559928</v>
      </c>
      <c r="G250" s="135">
        <v>52.816637446205142</v>
      </c>
      <c r="H250" s="135">
        <v>516.32406052638601</v>
      </c>
      <c r="I250" s="135">
        <v>0</v>
      </c>
      <c r="J250" s="135">
        <v>52.816637446205142</v>
      </c>
      <c r="K250" s="135">
        <v>941.45605733785521</v>
      </c>
      <c r="L250" s="135">
        <v>241.70489151686101</v>
      </c>
      <c r="M250" s="135">
        <v>1331.7379955792508</v>
      </c>
      <c r="N250" s="135">
        <v>0</v>
      </c>
      <c r="O250" s="135">
        <v>1.7426213016584302</v>
      </c>
      <c r="P250" s="135">
        <v>764.70200582707434</v>
      </c>
      <c r="Q250" s="135">
        <v>75.367045353018355</v>
      </c>
      <c r="R250" s="135">
        <v>105.97127769803872</v>
      </c>
      <c r="S250" s="135">
        <v>10082.772143488546</v>
      </c>
      <c r="T250" s="135"/>
      <c r="U250" s="135">
        <v>6633.6962936232858</v>
      </c>
      <c r="V250" s="135">
        <v>0</v>
      </c>
      <c r="W250" s="135">
        <v>43.841099091593669</v>
      </c>
      <c r="X250" s="135">
        <v>248.49054890399219</v>
      </c>
      <c r="Y250" s="135">
        <v>101.92744236452513</v>
      </c>
      <c r="Z250" s="135">
        <v>1055.8161505496403</v>
      </c>
      <c r="AA250" s="135">
        <v>184.36689683339927</v>
      </c>
      <c r="AB250" s="135">
        <v>1940.9294447938435</v>
      </c>
      <c r="AC250" s="135">
        <v>92.066707952739151</v>
      </c>
      <c r="AD250" s="135">
        <v>38.987375832377033</v>
      </c>
      <c r="AE250" s="135">
        <v>764.61326384417498</v>
      </c>
      <c r="AF250" s="135">
        <v>89.394660719693576</v>
      </c>
      <c r="AG250" s="135">
        <v>56.663012465205213</v>
      </c>
      <c r="AH250" s="135">
        <v>11250.792896974468</v>
      </c>
      <c r="AI250" s="135">
        <v>635.56338016729296</v>
      </c>
      <c r="AJ250" s="135">
        <v>-52.816637446205142</v>
      </c>
      <c r="AK250" s="135">
        <v>-472.48296143479234</v>
      </c>
      <c r="AL250" s="135">
        <v>248.49054890399219</v>
      </c>
      <c r="AM250" s="135">
        <v>49.110804918319992</v>
      </c>
      <c r="AN250" s="135">
        <v>114.36009321178506</v>
      </c>
      <c r="AO250" s="135">
        <v>-57.337994683461744</v>
      </c>
      <c r="AP250" s="135">
        <v>609.19144921459269</v>
      </c>
      <c r="AQ250" s="135">
        <v>92.066707952739151</v>
      </c>
      <c r="AR250" s="135">
        <v>37.244754530718602</v>
      </c>
      <c r="AS250" s="135">
        <v>-8.8741982899364302E-2</v>
      </c>
      <c r="AT250" s="135">
        <v>14.027615366675221</v>
      </c>
      <c r="AU250" s="135">
        <v>-49.308265232833506</v>
      </c>
      <c r="AV250" s="135">
        <v>1168.0207622038142</v>
      </c>
      <c r="AW250" s="135"/>
      <c r="AX250" s="132"/>
      <c r="AY250" s="132"/>
      <c r="AZ250" s="155"/>
      <c r="BA250" s="155"/>
    </row>
    <row r="251" spans="1:53" ht="16.5" x14ac:dyDescent="0.3">
      <c r="A251" s="165">
        <v>712</v>
      </c>
      <c r="B251" s="165">
        <v>1</v>
      </c>
      <c r="C251" s="166" t="s">
        <v>571</v>
      </c>
      <c r="D251" s="167">
        <v>6</v>
      </c>
      <c r="E251" s="163">
        <v>488.57</v>
      </c>
      <c r="F251" s="135">
        <v>6108.0500235380805</v>
      </c>
      <c r="G251" s="135">
        <v>31.019628712364657</v>
      </c>
      <c r="H251" s="135">
        <v>765.51425588963707</v>
      </c>
      <c r="I251" s="135">
        <v>0</v>
      </c>
      <c r="J251" s="135">
        <v>125.31792783019834</v>
      </c>
      <c r="K251" s="135">
        <v>999.38886955809812</v>
      </c>
      <c r="L251" s="135">
        <v>0</v>
      </c>
      <c r="M251" s="135">
        <v>1783.4049214515833</v>
      </c>
      <c r="N251" s="135">
        <v>0</v>
      </c>
      <c r="O251" s="135">
        <v>-75.904660539943094</v>
      </c>
      <c r="P251" s="135">
        <v>886.94674662791419</v>
      </c>
      <c r="Q251" s="135">
        <v>447.41701291524248</v>
      </c>
      <c r="R251" s="135">
        <v>115.7857625314694</v>
      </c>
      <c r="S251" s="135">
        <v>11186.940488514645</v>
      </c>
      <c r="T251" s="135"/>
      <c r="U251" s="135">
        <v>6780.7790899973388</v>
      </c>
      <c r="V251" s="135">
        <v>0</v>
      </c>
      <c r="W251" s="135">
        <v>478.69545817385432</v>
      </c>
      <c r="X251" s="135">
        <v>0</v>
      </c>
      <c r="Y251" s="135">
        <v>71.753382319831346</v>
      </c>
      <c r="Z251" s="135">
        <v>1158.0052193135068</v>
      </c>
      <c r="AA251" s="135">
        <v>0</v>
      </c>
      <c r="AB251" s="135">
        <v>2117.84040535955</v>
      </c>
      <c r="AC251" s="135">
        <v>101.12487747886446</v>
      </c>
      <c r="AD251" s="135">
        <v>0</v>
      </c>
      <c r="AE251" s="135">
        <v>884.34844361708667</v>
      </c>
      <c r="AF251" s="135">
        <v>475.57875787017537</v>
      </c>
      <c r="AG251" s="135">
        <v>66.261845794870752</v>
      </c>
      <c r="AH251" s="135">
        <v>12134.387479925077</v>
      </c>
      <c r="AI251" s="135">
        <v>672.72906645925832</v>
      </c>
      <c r="AJ251" s="135">
        <v>-31.019628712364657</v>
      </c>
      <c r="AK251" s="135">
        <v>-286.81879771578275</v>
      </c>
      <c r="AL251" s="135">
        <v>0</v>
      </c>
      <c r="AM251" s="135">
        <v>-53.564545510366997</v>
      </c>
      <c r="AN251" s="135">
        <v>158.61634975540869</v>
      </c>
      <c r="AO251" s="135">
        <v>0</v>
      </c>
      <c r="AP251" s="135">
        <v>334.43548390796673</v>
      </c>
      <c r="AQ251" s="135">
        <v>101.12487747886446</v>
      </c>
      <c r="AR251" s="135">
        <v>75.904660539943094</v>
      </c>
      <c r="AS251" s="135">
        <v>-2.5983030108275216</v>
      </c>
      <c r="AT251" s="135">
        <v>28.161744954932885</v>
      </c>
      <c r="AU251" s="135">
        <v>-49.52391673659865</v>
      </c>
      <c r="AV251" s="135">
        <v>947.44699901000956</v>
      </c>
      <c r="AW251" s="135"/>
      <c r="AX251" s="164"/>
      <c r="AY251" s="132"/>
      <c r="AZ251" s="135"/>
      <c r="BA251" s="135"/>
    </row>
    <row r="252" spans="1:53" ht="16.5" x14ac:dyDescent="0.3">
      <c r="A252" s="165">
        <v>716</v>
      </c>
      <c r="B252" s="165">
        <v>1</v>
      </c>
      <c r="C252" s="166" t="s">
        <v>573</v>
      </c>
      <c r="D252" s="167">
        <v>3</v>
      </c>
      <c r="E252" s="163">
        <v>1628.08</v>
      </c>
      <c r="F252" s="135">
        <v>6005.8608913566904</v>
      </c>
      <c r="G252" s="135">
        <v>4.7136381504594373</v>
      </c>
      <c r="H252" s="135">
        <v>380.56388506707293</v>
      </c>
      <c r="I252" s="135">
        <v>0</v>
      </c>
      <c r="J252" s="135">
        <v>184.20541373888264</v>
      </c>
      <c r="K252" s="135">
        <v>156.56316642916812</v>
      </c>
      <c r="L252" s="135">
        <v>105.39127561299199</v>
      </c>
      <c r="M252" s="135">
        <v>743.02484395448869</v>
      </c>
      <c r="N252" s="135">
        <v>0</v>
      </c>
      <c r="O252" s="135">
        <v>-29.785790624539338</v>
      </c>
      <c r="P252" s="135">
        <v>2281.5494647507671</v>
      </c>
      <c r="Q252" s="135">
        <v>106.83856444400767</v>
      </c>
      <c r="R252" s="135">
        <v>102.36757407498403</v>
      </c>
      <c r="S252" s="135">
        <v>10041.292926954973</v>
      </c>
      <c r="T252" s="135"/>
      <c r="U252" s="135">
        <v>6639.1307552454427</v>
      </c>
      <c r="V252" s="135">
        <v>0</v>
      </c>
      <c r="W252" s="135">
        <v>0</v>
      </c>
      <c r="X252" s="135">
        <v>171.94725293225622</v>
      </c>
      <c r="Y252" s="135">
        <v>105.38302786103877</v>
      </c>
      <c r="Z252" s="135">
        <v>215.26843701160058</v>
      </c>
      <c r="AA252" s="135">
        <v>77.354927276300913</v>
      </c>
      <c r="AB252" s="135">
        <v>995.93268268384304</v>
      </c>
      <c r="AC252" s="135">
        <v>46.101794676119056</v>
      </c>
      <c r="AD252" s="135">
        <v>7.5770416687140685</v>
      </c>
      <c r="AE252" s="135">
        <v>2374.0523914998912</v>
      </c>
      <c r="AF252" s="135">
        <v>113.24460100240775</v>
      </c>
      <c r="AG252" s="135">
        <v>55.51846346616874</v>
      </c>
      <c r="AH252" s="135">
        <v>10801.51137532378</v>
      </c>
      <c r="AI252" s="135">
        <v>633.2698638887523</v>
      </c>
      <c r="AJ252" s="135">
        <v>-4.7136381504594373</v>
      </c>
      <c r="AK252" s="135">
        <v>-380.56388506707293</v>
      </c>
      <c r="AL252" s="135">
        <v>171.94725293225622</v>
      </c>
      <c r="AM252" s="135">
        <v>-78.822385877843871</v>
      </c>
      <c r="AN252" s="135">
        <v>58.705270582432462</v>
      </c>
      <c r="AO252" s="135">
        <v>-28.036348336691077</v>
      </c>
      <c r="AP252" s="135">
        <v>252.90783872935435</v>
      </c>
      <c r="AQ252" s="135">
        <v>46.101794676119056</v>
      </c>
      <c r="AR252" s="135">
        <v>37.362832293253405</v>
      </c>
      <c r="AS252" s="135">
        <v>92.502926749124072</v>
      </c>
      <c r="AT252" s="135">
        <v>6.4060365584000749</v>
      </c>
      <c r="AU252" s="135">
        <v>-46.849110608815295</v>
      </c>
      <c r="AV252" s="135">
        <v>760.21845284167603</v>
      </c>
      <c r="AW252" s="135"/>
      <c r="AX252" s="164"/>
      <c r="AY252" s="132"/>
      <c r="AZ252" s="135"/>
      <c r="BA252" s="135"/>
    </row>
    <row r="253" spans="1:53" ht="16.5" x14ac:dyDescent="0.3">
      <c r="A253" s="165">
        <v>717</v>
      </c>
      <c r="B253" s="165">
        <v>1</v>
      </c>
      <c r="C253" s="166" t="s">
        <v>575</v>
      </c>
      <c r="D253" s="167">
        <v>3</v>
      </c>
      <c r="E253" s="163">
        <v>1767.23</v>
      </c>
      <c r="F253" s="135">
        <v>6026.4757841367564</v>
      </c>
      <c r="G253" s="135">
        <v>16.808146081721112</v>
      </c>
      <c r="H253" s="135">
        <v>666.11965052653022</v>
      </c>
      <c r="I253" s="135">
        <v>0</v>
      </c>
      <c r="J253" s="135">
        <v>165.13973846075498</v>
      </c>
      <c r="K253" s="135">
        <v>197.83733865993676</v>
      </c>
      <c r="L253" s="135">
        <v>99.866850381670744</v>
      </c>
      <c r="M253" s="135">
        <v>680.07796521002649</v>
      </c>
      <c r="N253" s="135">
        <v>0</v>
      </c>
      <c r="O253" s="135">
        <v>-21.457280602977541</v>
      </c>
      <c r="P253" s="135">
        <v>1494.6447704680691</v>
      </c>
      <c r="Q253" s="135">
        <v>82.794825800829543</v>
      </c>
      <c r="R253" s="135">
        <v>105.28705375078513</v>
      </c>
      <c r="S253" s="135">
        <v>9513.5948428741012</v>
      </c>
      <c r="T253" s="135"/>
      <c r="U253" s="135">
        <v>6661.6592067812335</v>
      </c>
      <c r="V253" s="135">
        <v>0</v>
      </c>
      <c r="W253" s="135">
        <v>0</v>
      </c>
      <c r="X253" s="135">
        <v>469.64465349058298</v>
      </c>
      <c r="Y253" s="135">
        <v>105.74062232986086</v>
      </c>
      <c r="Z253" s="135">
        <v>267.72146195507059</v>
      </c>
      <c r="AA253" s="135">
        <v>80.801152085467081</v>
      </c>
      <c r="AB253" s="135">
        <v>893.15253344482232</v>
      </c>
      <c r="AC253" s="135">
        <v>47.303451895480805</v>
      </c>
      <c r="AD253" s="135">
        <v>16.030279024235668</v>
      </c>
      <c r="AE253" s="135">
        <v>1593.4572703118117</v>
      </c>
      <c r="AF253" s="135">
        <v>89.562309376821361</v>
      </c>
      <c r="AG253" s="135">
        <v>57.359506119746726</v>
      </c>
      <c r="AH253" s="135">
        <v>10282.432446815132</v>
      </c>
      <c r="AI253" s="135">
        <v>635.1834226444771</v>
      </c>
      <c r="AJ253" s="135">
        <v>-16.808146081721112</v>
      </c>
      <c r="AK253" s="135">
        <v>-666.11965052653022</v>
      </c>
      <c r="AL253" s="135">
        <v>469.64465349058298</v>
      </c>
      <c r="AM253" s="135">
        <v>-59.399116130894129</v>
      </c>
      <c r="AN253" s="135">
        <v>69.884123295133833</v>
      </c>
      <c r="AO253" s="135">
        <v>-19.065698296203664</v>
      </c>
      <c r="AP253" s="135">
        <v>213.07456823479583</v>
      </c>
      <c r="AQ253" s="135">
        <v>47.303451895480805</v>
      </c>
      <c r="AR253" s="135">
        <v>37.487559627213209</v>
      </c>
      <c r="AS253" s="135">
        <v>98.812499843742671</v>
      </c>
      <c r="AT253" s="135">
        <v>6.7674835759918182</v>
      </c>
      <c r="AU253" s="135">
        <v>-47.927547631038408</v>
      </c>
      <c r="AV253" s="135">
        <v>768.83760442983021</v>
      </c>
      <c r="AW253" s="135"/>
      <c r="AX253" s="164"/>
      <c r="AY253" s="132"/>
      <c r="AZ253" s="135"/>
      <c r="BA253" s="135"/>
    </row>
    <row r="254" spans="1:53" ht="16.5" x14ac:dyDescent="0.3">
      <c r="A254" s="165">
        <v>719</v>
      </c>
      <c r="B254" s="165">
        <v>1</v>
      </c>
      <c r="C254" s="166" t="s">
        <v>576</v>
      </c>
      <c r="D254" s="167">
        <v>3</v>
      </c>
      <c r="E254" s="163">
        <v>7141.87</v>
      </c>
      <c r="F254" s="135">
        <v>6055.298211812873</v>
      </c>
      <c r="G254" s="135">
        <v>3.0716955083192499</v>
      </c>
      <c r="H254" s="135">
        <v>1251.8444707058513</v>
      </c>
      <c r="I254" s="135">
        <v>0</v>
      </c>
      <c r="J254" s="135">
        <v>126.22932229234081</v>
      </c>
      <c r="K254" s="135">
        <v>99.450072600033323</v>
      </c>
      <c r="L254" s="135">
        <v>100.42384053476192</v>
      </c>
      <c r="M254" s="135">
        <v>801.63681620183729</v>
      </c>
      <c r="N254" s="135">
        <v>0</v>
      </c>
      <c r="O254" s="135">
        <v>-16.887591065085193</v>
      </c>
      <c r="P254" s="135">
        <v>2047.6739583970507</v>
      </c>
      <c r="Q254" s="135">
        <v>5.3320012825772523</v>
      </c>
      <c r="R254" s="135">
        <v>113.53506714627962</v>
      </c>
      <c r="S254" s="135">
        <v>10587.60786541684</v>
      </c>
      <c r="T254" s="135"/>
      <c r="U254" s="135">
        <v>6702.69747279074</v>
      </c>
      <c r="V254" s="135">
        <v>0</v>
      </c>
      <c r="W254" s="135">
        <v>510.17103083646163</v>
      </c>
      <c r="X254" s="135">
        <v>528.06809828281257</v>
      </c>
      <c r="Y254" s="135">
        <v>69.951235460740676</v>
      </c>
      <c r="Z254" s="135">
        <v>130.63617869522119</v>
      </c>
      <c r="AA254" s="135">
        <v>86.719688260917664</v>
      </c>
      <c r="AB254" s="135">
        <v>1050.2639326213321</v>
      </c>
      <c r="AC254" s="135">
        <v>33.661170199626554</v>
      </c>
      <c r="AD254" s="135">
        <v>20.831558121332368</v>
      </c>
      <c r="AE254" s="135">
        <v>2115.0024843509773</v>
      </c>
      <c r="AF254" s="135">
        <v>10.085963480152957</v>
      </c>
      <c r="AG254" s="135">
        <v>65.546736358964807</v>
      </c>
      <c r="AH254" s="135">
        <v>11323.635549459281</v>
      </c>
      <c r="AI254" s="135">
        <v>647.39926097786702</v>
      </c>
      <c r="AJ254" s="135">
        <v>-3.0716955083192499</v>
      </c>
      <c r="AK254" s="135">
        <v>-741.67343986938977</v>
      </c>
      <c r="AL254" s="135">
        <v>528.06809828281257</v>
      </c>
      <c r="AM254" s="135">
        <v>-56.278086831600135</v>
      </c>
      <c r="AN254" s="135">
        <v>31.186106095187867</v>
      </c>
      <c r="AO254" s="135">
        <v>-13.704152273844258</v>
      </c>
      <c r="AP254" s="135">
        <v>248.62711641949477</v>
      </c>
      <c r="AQ254" s="135">
        <v>33.661170199626554</v>
      </c>
      <c r="AR254" s="135">
        <v>37.71914918641756</v>
      </c>
      <c r="AS254" s="135">
        <v>67.328525953926601</v>
      </c>
      <c r="AT254" s="135">
        <v>4.7539621975757047</v>
      </c>
      <c r="AU254" s="135">
        <v>-47.988330787314808</v>
      </c>
      <c r="AV254" s="135">
        <v>736.02768564174085</v>
      </c>
      <c r="AW254" s="135"/>
      <c r="AX254" s="164"/>
      <c r="AY254" s="132"/>
      <c r="AZ254" s="135"/>
      <c r="BA254" s="135"/>
    </row>
    <row r="255" spans="1:53" ht="16.5" x14ac:dyDescent="0.3">
      <c r="A255" s="165">
        <v>720</v>
      </c>
      <c r="B255" s="165">
        <v>1</v>
      </c>
      <c r="C255" s="166" t="s">
        <v>574</v>
      </c>
      <c r="D255" s="167">
        <v>3</v>
      </c>
      <c r="E255" s="163">
        <v>7594.49</v>
      </c>
      <c r="F255" s="135">
        <v>5941.1771429022883</v>
      </c>
      <c r="G255" s="135">
        <v>20.277792188810572</v>
      </c>
      <c r="H255" s="135">
        <v>652.57807305032986</v>
      </c>
      <c r="I255" s="135">
        <v>0</v>
      </c>
      <c r="J255" s="135">
        <v>163.05824485910179</v>
      </c>
      <c r="K255" s="135">
        <v>480.98919084757506</v>
      </c>
      <c r="L255" s="135">
        <v>144.2882314678142</v>
      </c>
      <c r="M255" s="135">
        <v>843.11454023052613</v>
      </c>
      <c r="N255" s="135">
        <v>0</v>
      </c>
      <c r="O255" s="135">
        <v>-14.602736984313628</v>
      </c>
      <c r="P255" s="135">
        <v>2172.3823840329351</v>
      </c>
      <c r="Q255" s="135">
        <v>3.1843981623519158</v>
      </c>
      <c r="R255" s="135">
        <v>112.86182087276434</v>
      </c>
      <c r="S255" s="135">
        <v>10519.309081630183</v>
      </c>
      <c r="T255" s="135"/>
      <c r="U255" s="135">
        <v>6556.9112606639819</v>
      </c>
      <c r="V255" s="135">
        <v>0</v>
      </c>
      <c r="W255" s="135">
        <v>0</v>
      </c>
      <c r="X255" s="135">
        <v>465.74037475642058</v>
      </c>
      <c r="Y255" s="135">
        <v>104.0779565184759</v>
      </c>
      <c r="Z255" s="135">
        <v>450.43905677132454</v>
      </c>
      <c r="AA255" s="135">
        <v>177.41038437077407</v>
      </c>
      <c r="AB255" s="135">
        <v>1019.7398481618966</v>
      </c>
      <c r="AC255" s="135">
        <v>70.787343385303373</v>
      </c>
      <c r="AD255" s="135">
        <v>22.293498312592419</v>
      </c>
      <c r="AE255" s="135">
        <v>2283.3282320558719</v>
      </c>
      <c r="AF255" s="135">
        <v>9.960260662664643</v>
      </c>
      <c r="AG255" s="135">
        <v>65.816568327827156</v>
      </c>
      <c r="AH255" s="135">
        <v>11226.504783987135</v>
      </c>
      <c r="AI255" s="135">
        <v>615.7341177616936</v>
      </c>
      <c r="AJ255" s="135">
        <v>-20.277792188810572</v>
      </c>
      <c r="AK255" s="135">
        <v>-652.57807305032986</v>
      </c>
      <c r="AL255" s="135">
        <v>465.74037475642058</v>
      </c>
      <c r="AM255" s="135">
        <v>-58.98028834062589</v>
      </c>
      <c r="AN255" s="135">
        <v>-30.550134076250515</v>
      </c>
      <c r="AO255" s="135">
        <v>33.122152902959868</v>
      </c>
      <c r="AP255" s="135">
        <v>176.62530793137046</v>
      </c>
      <c r="AQ255" s="135">
        <v>70.787343385303373</v>
      </c>
      <c r="AR255" s="135">
        <v>36.896235296906049</v>
      </c>
      <c r="AS255" s="135">
        <v>110.94584802293684</v>
      </c>
      <c r="AT255" s="135">
        <v>6.7758625003127273</v>
      </c>
      <c r="AU255" s="135">
        <v>-47.045252544937185</v>
      </c>
      <c r="AV255" s="135">
        <v>707.19570975686622</v>
      </c>
      <c r="AW255" s="135"/>
      <c r="AX255" s="164"/>
      <c r="AY255" s="132"/>
      <c r="AZ255" s="135"/>
      <c r="BA255" s="135"/>
    </row>
    <row r="256" spans="1:53" ht="16.5" x14ac:dyDescent="0.3">
      <c r="A256" s="165">
        <v>721</v>
      </c>
      <c r="B256" s="165">
        <v>1</v>
      </c>
      <c r="C256" s="166" t="s">
        <v>457</v>
      </c>
      <c r="D256" s="167">
        <v>3</v>
      </c>
      <c r="E256" s="163">
        <v>3919.09</v>
      </c>
      <c r="F256" s="135">
        <v>6028.48285698976</v>
      </c>
      <c r="G256" s="135">
        <v>1.5694357618732919</v>
      </c>
      <c r="H256" s="135">
        <v>825.31007198099553</v>
      </c>
      <c r="I256" s="135">
        <v>0</v>
      </c>
      <c r="J256" s="135">
        <v>155.24151269810082</v>
      </c>
      <c r="K256" s="135">
        <v>110.25424779732028</v>
      </c>
      <c r="L256" s="135">
        <v>100.38525882283898</v>
      </c>
      <c r="M256" s="135">
        <v>648.73484613288906</v>
      </c>
      <c r="N256" s="135">
        <v>0</v>
      </c>
      <c r="O256" s="135">
        <v>-17.615798565483313</v>
      </c>
      <c r="P256" s="135">
        <v>1704.5751718164893</v>
      </c>
      <c r="Q256" s="135">
        <v>87.253750232834662</v>
      </c>
      <c r="R256" s="135">
        <v>106.55547078530985</v>
      </c>
      <c r="S256" s="135">
        <v>9750.7468244529282</v>
      </c>
      <c r="T256" s="135"/>
      <c r="U256" s="135">
        <v>6667.4620894136133</v>
      </c>
      <c r="V256" s="135">
        <v>0</v>
      </c>
      <c r="W256" s="135">
        <v>86.052593841937792</v>
      </c>
      <c r="X256" s="135">
        <v>524.81553992074794</v>
      </c>
      <c r="Y256" s="135">
        <v>99.686118461173379</v>
      </c>
      <c r="Z256" s="135">
        <v>98.178817837886086</v>
      </c>
      <c r="AA256" s="135">
        <v>67.86605564046755</v>
      </c>
      <c r="AB256" s="135">
        <v>829.99548105960582</v>
      </c>
      <c r="AC256" s="135">
        <v>36.280418173011434</v>
      </c>
      <c r="AD256" s="135">
        <v>19.907136605691626</v>
      </c>
      <c r="AE256" s="135">
        <v>1791.1803353253651</v>
      </c>
      <c r="AF256" s="135">
        <v>87.978750169044346</v>
      </c>
      <c r="AG256" s="135">
        <v>59.772635994580376</v>
      </c>
      <c r="AH256" s="135">
        <v>10369.175972443127</v>
      </c>
      <c r="AI256" s="135">
        <v>638.97923242385332</v>
      </c>
      <c r="AJ256" s="135">
        <v>-1.5694357618732919</v>
      </c>
      <c r="AK256" s="135">
        <v>-739.25747813905775</v>
      </c>
      <c r="AL256" s="135">
        <v>524.81553992074794</v>
      </c>
      <c r="AM256" s="135">
        <v>-55.555394236927441</v>
      </c>
      <c r="AN256" s="135">
        <v>-12.075429959434189</v>
      </c>
      <c r="AO256" s="135">
        <v>-32.519203182371427</v>
      </c>
      <c r="AP256" s="135">
        <v>181.26063492671676</v>
      </c>
      <c r="AQ256" s="135">
        <v>36.280418173011434</v>
      </c>
      <c r="AR256" s="135">
        <v>37.522935171174936</v>
      </c>
      <c r="AS256" s="135">
        <v>86.605163508875876</v>
      </c>
      <c r="AT256" s="135">
        <v>0.72499993620968439</v>
      </c>
      <c r="AU256" s="135">
        <v>-46.782834790729474</v>
      </c>
      <c r="AV256" s="135">
        <v>618.42914821356794</v>
      </c>
      <c r="AW256" s="135"/>
      <c r="AX256" s="132"/>
      <c r="AY256" s="132"/>
      <c r="AZ256" s="155"/>
      <c r="BA256" s="155"/>
    </row>
    <row r="257" spans="1:53" ht="16.5" x14ac:dyDescent="0.3">
      <c r="A257" s="165">
        <v>726</v>
      </c>
      <c r="B257" s="165">
        <v>1</v>
      </c>
      <c r="C257" s="166" t="s">
        <v>339</v>
      </c>
      <c r="D257" s="167">
        <v>4</v>
      </c>
      <c r="E257" s="163">
        <v>2806.75</v>
      </c>
      <c r="F257" s="135">
        <v>6058.3882426293758</v>
      </c>
      <c r="G257" s="135">
        <v>0</v>
      </c>
      <c r="H257" s="135">
        <v>890.52301059944784</v>
      </c>
      <c r="I257" s="135">
        <v>0</v>
      </c>
      <c r="J257" s="135">
        <v>120.33276565422642</v>
      </c>
      <c r="K257" s="135">
        <v>130.24316023871026</v>
      </c>
      <c r="L257" s="135">
        <v>100.01138327246817</v>
      </c>
      <c r="M257" s="135">
        <v>510.93806711531835</v>
      </c>
      <c r="N257" s="135">
        <v>0</v>
      </c>
      <c r="O257" s="135">
        <v>-20.510123808675516</v>
      </c>
      <c r="P257" s="135">
        <v>1601.6910897962819</v>
      </c>
      <c r="Q257" s="135">
        <v>83.662353255544673</v>
      </c>
      <c r="R257" s="135">
        <v>114.07510465841276</v>
      </c>
      <c r="S257" s="135">
        <v>9589.3550534111091</v>
      </c>
      <c r="T257" s="135"/>
      <c r="U257" s="135">
        <v>6705.2605326445173</v>
      </c>
      <c r="V257" s="135">
        <v>0</v>
      </c>
      <c r="W257" s="135">
        <v>358.35892402244588</v>
      </c>
      <c r="X257" s="135">
        <v>247.22348943738729</v>
      </c>
      <c r="Y257" s="135">
        <v>80.835642647189815</v>
      </c>
      <c r="Z257" s="135">
        <v>166.35460788362005</v>
      </c>
      <c r="AA257" s="135">
        <v>67.166498619399661</v>
      </c>
      <c r="AB257" s="135">
        <v>627.75572273286207</v>
      </c>
      <c r="AC257" s="135">
        <v>41.357956707285986</v>
      </c>
      <c r="AD257" s="135">
        <v>17.220810546005168</v>
      </c>
      <c r="AE257" s="135">
        <v>1640.5328444281006</v>
      </c>
      <c r="AF257" s="135">
        <v>88.339146699919837</v>
      </c>
      <c r="AG257" s="135">
        <v>66.10620824797364</v>
      </c>
      <c r="AH257" s="135">
        <v>10106.512384616706</v>
      </c>
      <c r="AI257" s="135">
        <v>646.87229001514152</v>
      </c>
      <c r="AJ257" s="135">
        <v>0</v>
      </c>
      <c r="AK257" s="135">
        <v>-532.16408657700197</v>
      </c>
      <c r="AL257" s="135">
        <v>247.22348943738729</v>
      </c>
      <c r="AM257" s="135">
        <v>-39.497123007036606</v>
      </c>
      <c r="AN257" s="135">
        <v>36.111447644909788</v>
      </c>
      <c r="AO257" s="135">
        <v>-32.844884653068505</v>
      </c>
      <c r="AP257" s="135">
        <v>116.81765561754372</v>
      </c>
      <c r="AQ257" s="135">
        <v>41.357956707285986</v>
      </c>
      <c r="AR257" s="135">
        <v>37.730934354680684</v>
      </c>
      <c r="AS257" s="135">
        <v>38.841754631818731</v>
      </c>
      <c r="AT257" s="135">
        <v>4.6767934443751642</v>
      </c>
      <c r="AU257" s="135">
        <v>-47.968896410439115</v>
      </c>
      <c r="AV257" s="135">
        <v>517.15733294600409</v>
      </c>
      <c r="AW257" s="135"/>
      <c r="AX257" s="132"/>
      <c r="AY257" s="132"/>
      <c r="AZ257" s="155"/>
      <c r="BA257" s="155"/>
    </row>
    <row r="258" spans="1:53" ht="16.5" x14ac:dyDescent="0.3">
      <c r="A258" s="165">
        <v>727</v>
      </c>
      <c r="B258" s="165">
        <v>1</v>
      </c>
      <c r="C258" s="166" t="s">
        <v>521</v>
      </c>
      <c r="D258" s="167">
        <v>4</v>
      </c>
      <c r="E258" s="163">
        <v>3358.95</v>
      </c>
      <c r="F258" s="135">
        <v>6035.6683368314507</v>
      </c>
      <c r="G258" s="135">
        <v>9.3007517230086787</v>
      </c>
      <c r="H258" s="135">
        <v>608.81276589410379</v>
      </c>
      <c r="I258" s="135">
        <v>0</v>
      </c>
      <c r="J258" s="135">
        <v>129.95634945444263</v>
      </c>
      <c r="K258" s="135">
        <v>306.12447937599552</v>
      </c>
      <c r="L258" s="135">
        <v>0</v>
      </c>
      <c r="M258" s="135">
        <v>749.54258578414044</v>
      </c>
      <c r="N258" s="135">
        <v>0</v>
      </c>
      <c r="O258" s="135">
        <v>-13.086839637386685</v>
      </c>
      <c r="P258" s="135">
        <v>1664.4907964691347</v>
      </c>
      <c r="Q258" s="135">
        <v>44.377874038017836</v>
      </c>
      <c r="R258" s="135">
        <v>370.2887271319907</v>
      </c>
      <c r="S258" s="135">
        <v>9905.4758270648981</v>
      </c>
      <c r="T258" s="135"/>
      <c r="U258" s="135">
        <v>6672.6226945920607</v>
      </c>
      <c r="V258" s="135">
        <v>0</v>
      </c>
      <c r="W258" s="135">
        <v>88.544643415353022</v>
      </c>
      <c r="X258" s="135">
        <v>246.84104322597577</v>
      </c>
      <c r="Y258" s="135">
        <v>99.590029622352233</v>
      </c>
      <c r="Z258" s="135">
        <v>329.7275722408038</v>
      </c>
      <c r="AA258" s="135">
        <v>0</v>
      </c>
      <c r="AB258" s="135">
        <v>972.24555185353734</v>
      </c>
      <c r="AC258" s="135">
        <v>72.6486971054766</v>
      </c>
      <c r="AD258" s="135">
        <v>24.455692999300378</v>
      </c>
      <c r="AE258" s="135">
        <v>1694.5453244186428</v>
      </c>
      <c r="AF258" s="135">
        <v>52.597213414906449</v>
      </c>
      <c r="AG258" s="135">
        <v>319.33194599502821</v>
      </c>
      <c r="AH258" s="135">
        <v>10573.150408883439</v>
      </c>
      <c r="AI258" s="135">
        <v>636.95435776061004</v>
      </c>
      <c r="AJ258" s="135">
        <v>-9.3007517230086787</v>
      </c>
      <c r="AK258" s="135">
        <v>-520.2681224787508</v>
      </c>
      <c r="AL258" s="135">
        <v>246.84104322597577</v>
      </c>
      <c r="AM258" s="135">
        <v>-30.366319832090397</v>
      </c>
      <c r="AN258" s="135">
        <v>23.603092864808275</v>
      </c>
      <c r="AO258" s="135">
        <v>0</v>
      </c>
      <c r="AP258" s="135">
        <v>222.70296606939689</v>
      </c>
      <c r="AQ258" s="135">
        <v>72.6486971054766</v>
      </c>
      <c r="AR258" s="135">
        <v>37.542532636687064</v>
      </c>
      <c r="AS258" s="135">
        <v>30.054527949508156</v>
      </c>
      <c r="AT258" s="135">
        <v>8.2193393768886125</v>
      </c>
      <c r="AU258" s="135">
        <v>-50.956781136962491</v>
      </c>
      <c r="AV258" s="135">
        <v>667.67458552394567</v>
      </c>
      <c r="AW258" s="135"/>
      <c r="AX258" s="132"/>
      <c r="AY258" s="132"/>
      <c r="AZ258" s="155"/>
      <c r="BA258" s="155"/>
    </row>
    <row r="259" spans="1:53" ht="16.5" x14ac:dyDescent="0.3">
      <c r="A259" s="165">
        <v>728</v>
      </c>
      <c r="B259" s="165">
        <v>1</v>
      </c>
      <c r="C259" s="166" t="s">
        <v>308</v>
      </c>
      <c r="D259" s="167">
        <v>4</v>
      </c>
      <c r="E259" s="163">
        <v>12561.31</v>
      </c>
      <c r="F259" s="135">
        <v>6034.1803585772504</v>
      </c>
      <c r="G259" s="135">
        <v>6.11041603144895</v>
      </c>
      <c r="H259" s="135">
        <v>863.05136566170256</v>
      </c>
      <c r="I259" s="135">
        <v>0</v>
      </c>
      <c r="J259" s="135">
        <v>120.26777541514382</v>
      </c>
      <c r="K259" s="135">
        <v>226.52751822859238</v>
      </c>
      <c r="L259" s="135">
        <v>104.27367702890862</v>
      </c>
      <c r="M259" s="135">
        <v>1127.764619353386</v>
      </c>
      <c r="N259" s="135">
        <v>0</v>
      </c>
      <c r="O259" s="135">
        <v>-21.24719714743128</v>
      </c>
      <c r="P259" s="135">
        <v>2090.5111272630006</v>
      </c>
      <c r="Q259" s="135">
        <v>31.522354754400617</v>
      </c>
      <c r="R259" s="135">
        <v>126.65118367431423</v>
      </c>
      <c r="S259" s="135">
        <v>10709.613198840716</v>
      </c>
      <c r="T259" s="135"/>
      <c r="U259" s="135">
        <v>6673.3815183289007</v>
      </c>
      <c r="V259" s="135">
        <v>0</v>
      </c>
      <c r="W259" s="135">
        <v>339.52682164519467</v>
      </c>
      <c r="X259" s="135">
        <v>246.31894319850937</v>
      </c>
      <c r="Y259" s="135">
        <v>81.6747751627816</v>
      </c>
      <c r="Z259" s="135">
        <v>219.73081452281102</v>
      </c>
      <c r="AA259" s="135">
        <v>81.546772589801549</v>
      </c>
      <c r="AB259" s="135">
        <v>1267.778561589538</v>
      </c>
      <c r="AC259" s="135">
        <v>53.349057168413331</v>
      </c>
      <c r="AD259" s="135">
        <v>16.302117374700572</v>
      </c>
      <c r="AE259" s="135">
        <v>2090.9273718921036</v>
      </c>
      <c r="AF259" s="135">
        <v>38.631464393443039</v>
      </c>
      <c r="AG259" s="135">
        <v>78.163180432614126</v>
      </c>
      <c r="AH259" s="135">
        <v>11187.331398298811</v>
      </c>
      <c r="AI259" s="135">
        <v>639.20115975165027</v>
      </c>
      <c r="AJ259" s="135">
        <v>-6.11041603144895</v>
      </c>
      <c r="AK259" s="135">
        <v>-523.52454401650789</v>
      </c>
      <c r="AL259" s="135">
        <v>246.31894319850937</v>
      </c>
      <c r="AM259" s="135">
        <v>-38.593000252362216</v>
      </c>
      <c r="AN259" s="135">
        <v>-6.7967037057813684</v>
      </c>
      <c r="AO259" s="135">
        <v>-22.726904439107074</v>
      </c>
      <c r="AP259" s="135">
        <v>140.01394223615193</v>
      </c>
      <c r="AQ259" s="135">
        <v>53.349057168413331</v>
      </c>
      <c r="AR259" s="135">
        <v>37.549314522131851</v>
      </c>
      <c r="AS259" s="135">
        <v>0.41624462910294824</v>
      </c>
      <c r="AT259" s="135">
        <v>7.1091096390424227</v>
      </c>
      <c r="AU259" s="135">
        <v>-48.488003241700099</v>
      </c>
      <c r="AV259" s="135">
        <v>477.71820779928606</v>
      </c>
      <c r="AW259" s="135"/>
      <c r="AX259" s="164"/>
      <c r="AY259" s="132"/>
      <c r="AZ259" s="135"/>
      <c r="BA259" s="135"/>
    </row>
    <row r="260" spans="1:53" ht="16.5" x14ac:dyDescent="0.3">
      <c r="A260" s="165">
        <v>738</v>
      </c>
      <c r="B260" s="165">
        <v>1</v>
      </c>
      <c r="C260" s="166" t="s">
        <v>432</v>
      </c>
      <c r="D260" s="167">
        <v>5</v>
      </c>
      <c r="E260" s="163">
        <v>999.03</v>
      </c>
      <c r="F260" s="135">
        <v>6083.1365624655919</v>
      </c>
      <c r="G260" s="135">
        <v>0</v>
      </c>
      <c r="H260" s="135">
        <v>499.43456152467894</v>
      </c>
      <c r="I260" s="135">
        <v>0</v>
      </c>
      <c r="J260" s="135">
        <v>138.08160916088607</v>
      </c>
      <c r="K260" s="135">
        <v>111.2438965796823</v>
      </c>
      <c r="L260" s="135">
        <v>100.00831806852648</v>
      </c>
      <c r="M260" s="135">
        <v>489.24133783275579</v>
      </c>
      <c r="N260" s="135">
        <v>0</v>
      </c>
      <c r="O260" s="135">
        <v>-46.656436743641336</v>
      </c>
      <c r="P260" s="135">
        <v>963.61841266028046</v>
      </c>
      <c r="Q260" s="135">
        <v>159.75219963364464</v>
      </c>
      <c r="R260" s="135">
        <v>117.2690609891595</v>
      </c>
      <c r="S260" s="135">
        <v>8615.1295221715645</v>
      </c>
      <c r="T260" s="135"/>
      <c r="U260" s="135">
        <v>6739.2841055824156</v>
      </c>
      <c r="V260" s="135">
        <v>0</v>
      </c>
      <c r="W260" s="135">
        <v>178.51615066614616</v>
      </c>
      <c r="X260" s="135">
        <v>0</v>
      </c>
      <c r="Y260" s="135">
        <v>94.221614966517521</v>
      </c>
      <c r="Z260" s="135">
        <v>161.66719718126583</v>
      </c>
      <c r="AA260" s="135">
        <v>63.217390869143067</v>
      </c>
      <c r="AB260" s="135">
        <v>645.20611092658066</v>
      </c>
      <c r="AC260" s="135">
        <v>37.090914229188925</v>
      </c>
      <c r="AD260" s="135">
        <v>0</v>
      </c>
      <c r="AE260" s="135">
        <v>1079.2927573256059</v>
      </c>
      <c r="AF260" s="135">
        <v>148.47819384803262</v>
      </c>
      <c r="AG260" s="135">
        <v>68.746734332302339</v>
      </c>
      <c r="AH260" s="135">
        <v>9215.7211699271975</v>
      </c>
      <c r="AI260" s="135">
        <v>656.14754311682373</v>
      </c>
      <c r="AJ260" s="135">
        <v>0</v>
      </c>
      <c r="AK260" s="135">
        <v>-320.91841085853275</v>
      </c>
      <c r="AL260" s="135">
        <v>0</v>
      </c>
      <c r="AM260" s="135">
        <v>-43.859994194368554</v>
      </c>
      <c r="AN260" s="135">
        <v>50.423300601583534</v>
      </c>
      <c r="AO260" s="135">
        <v>-36.790927199383411</v>
      </c>
      <c r="AP260" s="135">
        <v>155.96477309382487</v>
      </c>
      <c r="AQ260" s="135">
        <v>37.090914229188925</v>
      </c>
      <c r="AR260" s="135">
        <v>46.656436743641336</v>
      </c>
      <c r="AS260" s="135">
        <v>115.67434466532541</v>
      </c>
      <c r="AT260" s="135">
        <v>-11.274005785612019</v>
      </c>
      <c r="AU260" s="135">
        <v>-48.52232665685716</v>
      </c>
      <c r="AV260" s="135">
        <v>600.59164944535462</v>
      </c>
      <c r="AW260" s="135"/>
      <c r="AX260" s="132"/>
      <c r="AY260" s="132"/>
      <c r="AZ260" s="155"/>
      <c r="BA260" s="155"/>
    </row>
    <row r="261" spans="1:53" ht="16.5" x14ac:dyDescent="0.3">
      <c r="A261" s="165">
        <v>739</v>
      </c>
      <c r="B261" s="165">
        <v>1</v>
      </c>
      <c r="C261" s="166" t="s">
        <v>550</v>
      </c>
      <c r="D261" s="167">
        <v>6</v>
      </c>
      <c r="E261" s="163">
        <v>669.53</v>
      </c>
      <c r="F261" s="135">
        <v>6092.8070736188074</v>
      </c>
      <c r="G261" s="135">
        <v>12.024659089211836</v>
      </c>
      <c r="H261" s="135">
        <v>1113.8215165862621</v>
      </c>
      <c r="I261" s="135">
        <v>0</v>
      </c>
      <c r="J261" s="135">
        <v>111.82586291876392</v>
      </c>
      <c r="K261" s="135">
        <v>243.34819948321959</v>
      </c>
      <c r="L261" s="135">
        <v>102.93287530058397</v>
      </c>
      <c r="M261" s="135">
        <v>908.82067268955245</v>
      </c>
      <c r="N261" s="135">
        <v>0</v>
      </c>
      <c r="O261" s="135">
        <v>-68.894508087763057</v>
      </c>
      <c r="P261" s="135">
        <v>1523.3660804274214</v>
      </c>
      <c r="Q261" s="135">
        <v>297.63081564679703</v>
      </c>
      <c r="R261" s="135">
        <v>100.91420847460159</v>
      </c>
      <c r="S261" s="135">
        <v>10438.597456147458</v>
      </c>
      <c r="T261" s="135"/>
      <c r="U261" s="135">
        <v>6747.6629277254196</v>
      </c>
      <c r="V261" s="135">
        <v>0</v>
      </c>
      <c r="W261" s="135">
        <v>806.9533254671187</v>
      </c>
      <c r="X261" s="135">
        <v>0</v>
      </c>
      <c r="Y261" s="135">
        <v>48.65743133242723</v>
      </c>
      <c r="Z261" s="135">
        <v>322.56199124759161</v>
      </c>
      <c r="AA261" s="135">
        <v>70.936447956028857</v>
      </c>
      <c r="AB261" s="135">
        <v>1065.4097074088843</v>
      </c>
      <c r="AC261" s="135">
        <v>67.079097132916715</v>
      </c>
      <c r="AD261" s="135">
        <v>0</v>
      </c>
      <c r="AE261" s="135">
        <v>1625.3204058593342</v>
      </c>
      <c r="AF261" s="135">
        <v>316.37817650009004</v>
      </c>
      <c r="AG261" s="135">
        <v>51.432243514106915</v>
      </c>
      <c r="AH261" s="135">
        <v>11122.391754143919</v>
      </c>
      <c r="AI261" s="135">
        <v>654.85585410661224</v>
      </c>
      <c r="AJ261" s="135">
        <v>-12.024659089211836</v>
      </c>
      <c r="AK261" s="135">
        <v>-306.86819111914338</v>
      </c>
      <c r="AL261" s="135">
        <v>0</v>
      </c>
      <c r="AM261" s="135">
        <v>-63.168431586336688</v>
      </c>
      <c r="AN261" s="135">
        <v>79.213791764372019</v>
      </c>
      <c r="AO261" s="135">
        <v>-31.996427344555116</v>
      </c>
      <c r="AP261" s="135">
        <v>156.58903471933183</v>
      </c>
      <c r="AQ261" s="135">
        <v>67.079097132916715</v>
      </c>
      <c r="AR261" s="135">
        <v>68.894508087763057</v>
      </c>
      <c r="AS261" s="135">
        <v>101.95432543191282</v>
      </c>
      <c r="AT261" s="135">
        <v>18.747360853293003</v>
      </c>
      <c r="AU261" s="135">
        <v>-49.481964960494679</v>
      </c>
      <c r="AV261" s="135">
        <v>683.79429957517846</v>
      </c>
      <c r="AW261" s="135"/>
      <c r="AX261" s="164"/>
      <c r="AY261" s="132"/>
      <c r="AZ261" s="135"/>
      <c r="BA261" s="135"/>
    </row>
    <row r="262" spans="1:53" ht="16.5" x14ac:dyDescent="0.3">
      <c r="A262" s="165">
        <v>740</v>
      </c>
      <c r="B262" s="165">
        <v>1</v>
      </c>
      <c r="C262" s="166" t="s">
        <v>584</v>
      </c>
      <c r="D262" s="167">
        <v>5</v>
      </c>
      <c r="E262" s="163">
        <v>1357.6399999999999</v>
      </c>
      <c r="F262" s="135">
        <v>6182.2309890692677</v>
      </c>
      <c r="G262" s="135">
        <v>0</v>
      </c>
      <c r="H262" s="135">
        <v>837.66547833004336</v>
      </c>
      <c r="I262" s="135">
        <v>0</v>
      </c>
      <c r="J262" s="135">
        <v>125.3960917474441</v>
      </c>
      <c r="K262" s="135">
        <v>543.56377242862618</v>
      </c>
      <c r="L262" s="135">
        <v>102.51493915912907</v>
      </c>
      <c r="M262" s="135">
        <v>869.93812395346936</v>
      </c>
      <c r="N262" s="135">
        <v>0</v>
      </c>
      <c r="O262" s="135">
        <v>-54.486645944432993</v>
      </c>
      <c r="P262" s="135">
        <v>1312.0824771978264</v>
      </c>
      <c r="Q262" s="135">
        <v>161.3959886273239</v>
      </c>
      <c r="R262" s="135">
        <v>92.30421908606111</v>
      </c>
      <c r="S262" s="135">
        <v>10172.605433654759</v>
      </c>
      <c r="T262" s="135"/>
      <c r="U262" s="135">
        <v>6852.6722842579775</v>
      </c>
      <c r="V262" s="135">
        <v>0</v>
      </c>
      <c r="W262" s="135">
        <v>511.33987655048469</v>
      </c>
      <c r="X262" s="135">
        <v>0</v>
      </c>
      <c r="Y262" s="135">
        <v>72.248298518016554</v>
      </c>
      <c r="Z262" s="135">
        <v>650.66786655153783</v>
      </c>
      <c r="AA262" s="135">
        <v>118.93220588668572</v>
      </c>
      <c r="AB262" s="135">
        <v>1001.9631590264549</v>
      </c>
      <c r="AC262" s="135">
        <v>56.304241092112719</v>
      </c>
      <c r="AD262" s="135">
        <v>0</v>
      </c>
      <c r="AE262" s="135">
        <v>1428.5352942097002</v>
      </c>
      <c r="AF262" s="135">
        <v>167.4771367962052</v>
      </c>
      <c r="AG262" s="135">
        <v>42.973218231637262</v>
      </c>
      <c r="AH262" s="135">
        <v>10903.113581120811</v>
      </c>
      <c r="AI262" s="135">
        <v>670.44129518870977</v>
      </c>
      <c r="AJ262" s="135">
        <v>0</v>
      </c>
      <c r="AK262" s="135">
        <v>-326.32560177955867</v>
      </c>
      <c r="AL262" s="135">
        <v>0</v>
      </c>
      <c r="AM262" s="135">
        <v>-53.147793229427549</v>
      </c>
      <c r="AN262" s="135">
        <v>107.10409412291165</v>
      </c>
      <c r="AO262" s="135">
        <v>16.417266727556651</v>
      </c>
      <c r="AP262" s="135">
        <v>132.02503507298559</v>
      </c>
      <c r="AQ262" s="135">
        <v>56.304241092112719</v>
      </c>
      <c r="AR262" s="135">
        <v>54.486645944432993</v>
      </c>
      <c r="AS262" s="135">
        <v>116.45281701187378</v>
      </c>
      <c r="AT262" s="135">
        <v>6.0811481688812989</v>
      </c>
      <c r="AU262" s="135">
        <v>-49.331000854423849</v>
      </c>
      <c r="AV262" s="135">
        <v>730.50815085216402</v>
      </c>
      <c r="AW262" s="135"/>
      <c r="AX262" s="164"/>
      <c r="AY262" s="132"/>
      <c r="AZ262" s="135"/>
      <c r="BA262" s="135"/>
    </row>
    <row r="263" spans="1:53" ht="16.5" x14ac:dyDescent="0.3">
      <c r="A263" s="165">
        <v>741</v>
      </c>
      <c r="B263" s="165">
        <v>1</v>
      </c>
      <c r="C263" s="166" t="s">
        <v>585</v>
      </c>
      <c r="D263" s="167">
        <v>5</v>
      </c>
      <c r="E263" s="163">
        <v>1004.6899999999999</v>
      </c>
      <c r="F263" s="135">
        <v>6008.0497665946705</v>
      </c>
      <c r="G263" s="135">
        <v>0</v>
      </c>
      <c r="H263" s="135">
        <v>476.81337526998379</v>
      </c>
      <c r="I263" s="135">
        <v>0</v>
      </c>
      <c r="J263" s="135">
        <v>135.36513750510107</v>
      </c>
      <c r="K263" s="135">
        <v>431.57258457832768</v>
      </c>
      <c r="L263" s="135">
        <v>0</v>
      </c>
      <c r="M263" s="135">
        <v>1092.8077455699647</v>
      </c>
      <c r="N263" s="135">
        <v>0</v>
      </c>
      <c r="O263" s="135">
        <v>-66.242930655226985</v>
      </c>
      <c r="P263" s="135">
        <v>1189.8451183947288</v>
      </c>
      <c r="Q263" s="135">
        <v>161.5180901571629</v>
      </c>
      <c r="R263" s="135">
        <v>106.67726363355862</v>
      </c>
      <c r="S263" s="135">
        <v>9536.4061510482716</v>
      </c>
      <c r="T263" s="135"/>
      <c r="U263" s="135">
        <v>6650.5887388149577</v>
      </c>
      <c r="V263" s="135">
        <v>0</v>
      </c>
      <c r="W263" s="135">
        <v>160.12084324518011</v>
      </c>
      <c r="X263" s="135">
        <v>0</v>
      </c>
      <c r="Y263" s="135">
        <v>94.127701081925778</v>
      </c>
      <c r="Z263" s="135">
        <v>515.82848039062492</v>
      </c>
      <c r="AA263" s="135">
        <v>0</v>
      </c>
      <c r="AB263" s="135">
        <v>1327.0895696907514</v>
      </c>
      <c r="AC263" s="135">
        <v>128.17182158898308</v>
      </c>
      <c r="AD263" s="135">
        <v>0</v>
      </c>
      <c r="AE263" s="135">
        <v>1296.1522861380126</v>
      </c>
      <c r="AF263" s="135">
        <v>166.07469965860116</v>
      </c>
      <c r="AG263" s="135">
        <v>57.671640008360797</v>
      </c>
      <c r="AH263" s="135">
        <v>10395.825780617397</v>
      </c>
      <c r="AI263" s="135">
        <v>642.53897222028718</v>
      </c>
      <c r="AJ263" s="135">
        <v>0</v>
      </c>
      <c r="AK263" s="135">
        <v>-316.69253202480365</v>
      </c>
      <c r="AL263" s="135">
        <v>0</v>
      </c>
      <c r="AM263" s="135">
        <v>-41.237436423175296</v>
      </c>
      <c r="AN263" s="135">
        <v>84.25589581229724</v>
      </c>
      <c r="AO263" s="135">
        <v>0</v>
      </c>
      <c r="AP263" s="135">
        <v>234.28182412078672</v>
      </c>
      <c r="AQ263" s="135">
        <v>128.17182158898308</v>
      </c>
      <c r="AR263" s="135">
        <v>66.242930655226985</v>
      </c>
      <c r="AS263" s="135">
        <v>106.3071677432838</v>
      </c>
      <c r="AT263" s="135">
        <v>4.5566095014382597</v>
      </c>
      <c r="AU263" s="135">
        <v>-49.005623625197828</v>
      </c>
      <c r="AV263" s="135">
        <v>859.41963311177153</v>
      </c>
      <c r="AW263" s="135"/>
      <c r="AX263" s="164"/>
      <c r="AY263" s="132"/>
      <c r="AZ263" s="135"/>
      <c r="BA263" s="135"/>
    </row>
    <row r="264" spans="1:53" ht="16.5" x14ac:dyDescent="0.3">
      <c r="A264" s="165">
        <v>742</v>
      </c>
      <c r="B264" s="165">
        <v>1</v>
      </c>
      <c r="C264" s="166" t="s">
        <v>587</v>
      </c>
      <c r="D264" s="167">
        <v>4</v>
      </c>
      <c r="E264" s="163">
        <v>9444.7599999999984</v>
      </c>
      <c r="F264" s="135">
        <v>6005.3521571749852</v>
      </c>
      <c r="G264" s="135">
        <v>0</v>
      </c>
      <c r="H264" s="135">
        <v>666.64274687763384</v>
      </c>
      <c r="I264" s="135">
        <v>0</v>
      </c>
      <c r="J264" s="135">
        <v>127.80915978807299</v>
      </c>
      <c r="K264" s="135">
        <v>1075.1571326322746</v>
      </c>
      <c r="L264" s="135">
        <v>136.09364372413913</v>
      </c>
      <c r="M264" s="135">
        <v>1602.9082570584396</v>
      </c>
      <c r="N264" s="135">
        <v>0</v>
      </c>
      <c r="O264" s="135">
        <v>-56.374303846789132</v>
      </c>
      <c r="P264" s="135">
        <v>859.65088324107774</v>
      </c>
      <c r="Q264" s="135">
        <v>62.628558057589608</v>
      </c>
      <c r="R264" s="135">
        <v>106.11301081234464</v>
      </c>
      <c r="S264" s="135">
        <v>10585.98124551977</v>
      </c>
      <c r="T264" s="135"/>
      <c r="U264" s="135">
        <v>6629.9050648190123</v>
      </c>
      <c r="V264" s="135">
        <v>0</v>
      </c>
      <c r="W264" s="135">
        <v>140.89055412736801</v>
      </c>
      <c r="X264" s="135">
        <v>248.66699244571689</v>
      </c>
      <c r="Y264" s="135">
        <v>95.08644052363428</v>
      </c>
      <c r="Z264" s="135">
        <v>1048.9246645040951</v>
      </c>
      <c r="AA264" s="135">
        <v>156.9265931585345</v>
      </c>
      <c r="AB264" s="135">
        <v>2001.4340309927568</v>
      </c>
      <c r="AC264" s="135">
        <v>115.16554436178525</v>
      </c>
      <c r="AD264" s="135">
        <v>0</v>
      </c>
      <c r="AE264" s="135">
        <v>859.46229508902297</v>
      </c>
      <c r="AF264" s="135">
        <v>67.306547757698453</v>
      </c>
      <c r="AG264" s="135">
        <v>59.325403715922917</v>
      </c>
      <c r="AH264" s="135">
        <v>11423.094131495547</v>
      </c>
      <c r="AI264" s="135">
        <v>624.55290764402707</v>
      </c>
      <c r="AJ264" s="135">
        <v>0</v>
      </c>
      <c r="AK264" s="135">
        <v>-525.75219275026586</v>
      </c>
      <c r="AL264" s="135">
        <v>248.66699244571689</v>
      </c>
      <c r="AM264" s="135">
        <v>-32.722719264438709</v>
      </c>
      <c r="AN264" s="135">
        <v>-26.232468128179562</v>
      </c>
      <c r="AO264" s="135">
        <v>20.832949434395374</v>
      </c>
      <c r="AP264" s="135">
        <v>398.52577393431716</v>
      </c>
      <c r="AQ264" s="135">
        <v>115.16554436178525</v>
      </c>
      <c r="AR264" s="135">
        <v>56.374303846789132</v>
      </c>
      <c r="AS264" s="135">
        <v>-0.18858815205476276</v>
      </c>
      <c r="AT264" s="135">
        <v>4.6779897001088457</v>
      </c>
      <c r="AU264" s="135">
        <v>-46.787607096421723</v>
      </c>
      <c r="AV264" s="135">
        <v>837.11289192187076</v>
      </c>
      <c r="AW264" s="135"/>
      <c r="AX264" s="164"/>
      <c r="AY264" s="132"/>
      <c r="AZ264" s="135"/>
      <c r="BA264" s="135"/>
    </row>
    <row r="265" spans="1:53" ht="16.5" x14ac:dyDescent="0.3">
      <c r="A265" s="165">
        <v>743</v>
      </c>
      <c r="B265" s="165">
        <v>1</v>
      </c>
      <c r="C265" s="166" t="s">
        <v>466</v>
      </c>
      <c r="D265" s="167">
        <v>5</v>
      </c>
      <c r="E265" s="163">
        <v>940.93</v>
      </c>
      <c r="F265" s="135">
        <v>6234.0669762894158</v>
      </c>
      <c r="G265" s="135">
        <v>0</v>
      </c>
      <c r="H265" s="135">
        <v>1320.9492842188049</v>
      </c>
      <c r="I265" s="135">
        <v>0</v>
      </c>
      <c r="J265" s="135">
        <v>107.6760864251326</v>
      </c>
      <c r="K265" s="135">
        <v>372.05920737993262</v>
      </c>
      <c r="L265" s="135">
        <v>100.80542654607676</v>
      </c>
      <c r="M265" s="135">
        <v>894.11455939737937</v>
      </c>
      <c r="N265" s="135">
        <v>0</v>
      </c>
      <c r="O265" s="135">
        <v>-53.808519230973616</v>
      </c>
      <c r="P265" s="135">
        <v>1169.1548861536687</v>
      </c>
      <c r="Q265" s="135">
        <v>175.30329567555506</v>
      </c>
      <c r="R265" s="135">
        <v>104.69029577120509</v>
      </c>
      <c r="S265" s="135">
        <v>10425.011498626196</v>
      </c>
      <c r="T265" s="135"/>
      <c r="U265" s="135">
        <v>6907.7695896612931</v>
      </c>
      <c r="V265" s="135">
        <v>0</v>
      </c>
      <c r="W265" s="135">
        <v>993.99520686979906</v>
      </c>
      <c r="X265" s="135">
        <v>0</v>
      </c>
      <c r="Y265" s="135">
        <v>37.985067964673249</v>
      </c>
      <c r="Z265" s="135">
        <v>463.3946999197284</v>
      </c>
      <c r="AA265" s="135">
        <v>75.97347305325583</v>
      </c>
      <c r="AB265" s="135">
        <v>1021.2920479696788</v>
      </c>
      <c r="AC265" s="135">
        <v>62.782703844955215</v>
      </c>
      <c r="AD265" s="135">
        <v>0</v>
      </c>
      <c r="AE265" s="135">
        <v>1249.3882427136678</v>
      </c>
      <c r="AF265" s="135">
        <v>182.68019937721192</v>
      </c>
      <c r="AG265" s="135">
        <v>54.018279787019225</v>
      </c>
      <c r="AH265" s="135">
        <v>11049.279511161281</v>
      </c>
      <c r="AI265" s="135">
        <v>673.70261337187731</v>
      </c>
      <c r="AJ265" s="135">
        <v>0</v>
      </c>
      <c r="AK265" s="135">
        <v>-326.95407734900584</v>
      </c>
      <c r="AL265" s="135">
        <v>0</v>
      </c>
      <c r="AM265" s="135">
        <v>-69.691018460459347</v>
      </c>
      <c r="AN265" s="135">
        <v>91.33549253979578</v>
      </c>
      <c r="AO265" s="135">
        <v>-24.831953492820929</v>
      </c>
      <c r="AP265" s="135">
        <v>127.17748857229947</v>
      </c>
      <c r="AQ265" s="135">
        <v>62.782703844955215</v>
      </c>
      <c r="AR265" s="135">
        <v>53.808519230973616</v>
      </c>
      <c r="AS265" s="135">
        <v>80.233356559999038</v>
      </c>
      <c r="AT265" s="135">
        <v>7.3769037016568575</v>
      </c>
      <c r="AU265" s="135">
        <v>-50.672015984185862</v>
      </c>
      <c r="AV265" s="135">
        <v>624.26801330781495</v>
      </c>
      <c r="AW265" s="135"/>
      <c r="AX265" s="164"/>
      <c r="AY265" s="132"/>
      <c r="AZ265" s="135"/>
      <c r="BA265" s="135"/>
    </row>
    <row r="266" spans="1:53" ht="16.5" x14ac:dyDescent="0.3">
      <c r="A266" s="165">
        <v>745</v>
      </c>
      <c r="B266" s="165">
        <v>1</v>
      </c>
      <c r="C266" s="166" t="s">
        <v>328</v>
      </c>
      <c r="D266" s="167">
        <v>5</v>
      </c>
      <c r="E266" s="163">
        <v>1684.94</v>
      </c>
      <c r="F266" s="135">
        <v>6048.9563307892267</v>
      </c>
      <c r="G266" s="135">
        <v>4.9558856695193896</v>
      </c>
      <c r="H266" s="135">
        <v>463.53215544767176</v>
      </c>
      <c r="I266" s="135">
        <v>0</v>
      </c>
      <c r="J266" s="135">
        <v>137.0278526238323</v>
      </c>
      <c r="K266" s="135">
        <v>184.20250572720687</v>
      </c>
      <c r="L266" s="135">
        <v>99.773375906560474</v>
      </c>
      <c r="M266" s="135">
        <v>776.51581608263677</v>
      </c>
      <c r="N266" s="135">
        <v>0</v>
      </c>
      <c r="O266" s="135">
        <v>-43.375170629221216</v>
      </c>
      <c r="P266" s="135">
        <v>1250.6912326170157</v>
      </c>
      <c r="Q266" s="135">
        <v>127.0929291250727</v>
      </c>
      <c r="R266" s="135">
        <v>106.47924555177039</v>
      </c>
      <c r="S266" s="135">
        <v>9155.8521589112916</v>
      </c>
      <c r="T266" s="135"/>
      <c r="U266" s="135">
        <v>6691.7730008190201</v>
      </c>
      <c r="V266" s="135">
        <v>0</v>
      </c>
      <c r="W266" s="135">
        <v>149.83198214773225</v>
      </c>
      <c r="X266" s="135">
        <v>0</v>
      </c>
      <c r="Y266" s="135">
        <v>95.516332925801521</v>
      </c>
      <c r="Z266" s="135">
        <v>206.55075658195349</v>
      </c>
      <c r="AA266" s="135">
        <v>70.384482533502677</v>
      </c>
      <c r="AB266" s="135">
        <v>848.08710022736398</v>
      </c>
      <c r="AC266" s="135">
        <v>46.721348296275309</v>
      </c>
      <c r="AD266" s="135">
        <v>0</v>
      </c>
      <c r="AE266" s="135">
        <v>1365.0495097683852</v>
      </c>
      <c r="AF266" s="135">
        <v>130.55330753617338</v>
      </c>
      <c r="AG266" s="135">
        <v>58.613066340641211</v>
      </c>
      <c r="AH266" s="135">
        <v>9663.0808871768495</v>
      </c>
      <c r="AI266" s="135">
        <v>642.81667002979339</v>
      </c>
      <c r="AJ266" s="135">
        <v>-4.9558856695193896</v>
      </c>
      <c r="AK266" s="135">
        <v>-313.70017329993948</v>
      </c>
      <c r="AL266" s="135">
        <v>0</v>
      </c>
      <c r="AM266" s="135">
        <v>-41.511519698030781</v>
      </c>
      <c r="AN266" s="135">
        <v>22.348250854746624</v>
      </c>
      <c r="AO266" s="135">
        <v>-29.388893373057797</v>
      </c>
      <c r="AP266" s="135">
        <v>71.571284144727201</v>
      </c>
      <c r="AQ266" s="135">
        <v>46.721348296275309</v>
      </c>
      <c r="AR266" s="135">
        <v>43.375170629221216</v>
      </c>
      <c r="AS266" s="135">
        <v>114.35827715136952</v>
      </c>
      <c r="AT266" s="135">
        <v>3.4603784111006775</v>
      </c>
      <c r="AU266" s="135">
        <v>-47.866179211129179</v>
      </c>
      <c r="AV266" s="135">
        <v>507.22873283298918</v>
      </c>
      <c r="AW266" s="135"/>
      <c r="AX266" s="164"/>
      <c r="AY266" s="132"/>
      <c r="AZ266" s="135"/>
      <c r="BA266" s="135"/>
    </row>
    <row r="267" spans="1:53" ht="16.5" x14ac:dyDescent="0.3">
      <c r="A267" s="165">
        <v>748</v>
      </c>
      <c r="B267" s="165">
        <v>1</v>
      </c>
      <c r="C267" s="166" t="s">
        <v>441</v>
      </c>
      <c r="D267" s="167">
        <v>4</v>
      </c>
      <c r="E267" s="163">
        <v>3733.64</v>
      </c>
      <c r="F267" s="135">
        <v>6012.166893433754</v>
      </c>
      <c r="G267" s="135">
        <v>0</v>
      </c>
      <c r="H267" s="135">
        <v>793.655199751449</v>
      </c>
      <c r="I267" s="135">
        <v>0</v>
      </c>
      <c r="J267" s="135">
        <v>123.2816447220407</v>
      </c>
      <c r="K267" s="135">
        <v>68.203707374037123</v>
      </c>
      <c r="L267" s="135">
        <v>101.68100138202935</v>
      </c>
      <c r="M267" s="135">
        <v>579.03373264885545</v>
      </c>
      <c r="N267" s="135">
        <v>0</v>
      </c>
      <c r="O267" s="135">
        <v>-20.59543769618924</v>
      </c>
      <c r="P267" s="135">
        <v>1540.425619502684</v>
      </c>
      <c r="Q267" s="135">
        <v>33.294790070815608</v>
      </c>
      <c r="R267" s="135">
        <v>105.89800569953182</v>
      </c>
      <c r="S267" s="135">
        <v>9337.0451568890076</v>
      </c>
      <c r="T267" s="135"/>
      <c r="U267" s="135">
        <v>6649.3681768997549</v>
      </c>
      <c r="V267" s="135">
        <v>0</v>
      </c>
      <c r="W267" s="135">
        <v>265.9325082225389</v>
      </c>
      <c r="X267" s="135">
        <v>244.86231294554682</v>
      </c>
      <c r="Y267" s="135">
        <v>86.550347650014473</v>
      </c>
      <c r="Z267" s="135">
        <v>104.8837652270407</v>
      </c>
      <c r="AA267" s="135">
        <v>71.638253822007485</v>
      </c>
      <c r="AB267" s="135">
        <v>736.47192963029102</v>
      </c>
      <c r="AC267" s="135">
        <v>45.354404564357417</v>
      </c>
      <c r="AD267" s="135">
        <v>16.823957317791752</v>
      </c>
      <c r="AE267" s="135">
        <v>1629.657846685808</v>
      </c>
      <c r="AF267" s="135">
        <v>35.600505137078031</v>
      </c>
      <c r="AG267" s="135">
        <v>58.597007210122023</v>
      </c>
      <c r="AH267" s="135">
        <v>9945.7410153123528</v>
      </c>
      <c r="AI267" s="135">
        <v>637.20128346600086</v>
      </c>
      <c r="AJ267" s="135">
        <v>0</v>
      </c>
      <c r="AK267" s="135">
        <v>-527.7226915289101</v>
      </c>
      <c r="AL267" s="135">
        <v>244.86231294554682</v>
      </c>
      <c r="AM267" s="135">
        <v>-36.731297072026223</v>
      </c>
      <c r="AN267" s="135">
        <v>36.680057853003575</v>
      </c>
      <c r="AO267" s="135">
        <v>-30.042747560021866</v>
      </c>
      <c r="AP267" s="135">
        <v>157.43819698143557</v>
      </c>
      <c r="AQ267" s="135">
        <v>45.354404564357417</v>
      </c>
      <c r="AR267" s="135">
        <v>37.419395013980989</v>
      </c>
      <c r="AS267" s="135">
        <v>89.232227183123996</v>
      </c>
      <c r="AT267" s="135">
        <v>2.3057150662624224</v>
      </c>
      <c r="AU267" s="135">
        <v>-47.3009984894098</v>
      </c>
      <c r="AV267" s="135">
        <v>608.69586257867434</v>
      </c>
      <c r="AW267" s="135"/>
      <c r="AX267" s="164"/>
      <c r="AY267" s="132"/>
      <c r="AZ267" s="135"/>
      <c r="BA267" s="135"/>
    </row>
    <row r="268" spans="1:53" ht="16.5" x14ac:dyDescent="0.3">
      <c r="A268" s="165">
        <v>750</v>
      </c>
      <c r="B268" s="165">
        <v>1</v>
      </c>
      <c r="C268" s="166" t="s">
        <v>591</v>
      </c>
      <c r="D268" s="167">
        <v>4</v>
      </c>
      <c r="E268" s="163">
        <v>2025.11</v>
      </c>
      <c r="F268" s="135">
        <v>6158.02626030191</v>
      </c>
      <c r="G268" s="135">
        <v>6.4008572373846366</v>
      </c>
      <c r="H268" s="135">
        <v>426.99829638883818</v>
      </c>
      <c r="I268" s="135">
        <v>0</v>
      </c>
      <c r="J268" s="135">
        <v>141.18430603769673</v>
      </c>
      <c r="K268" s="135">
        <v>175.44866698599088</v>
      </c>
      <c r="L268" s="135">
        <v>0</v>
      </c>
      <c r="M268" s="135">
        <v>625.02893414241009</v>
      </c>
      <c r="N268" s="135">
        <v>0</v>
      </c>
      <c r="O268" s="135">
        <v>-47.515186829357418</v>
      </c>
      <c r="P268" s="135">
        <v>1558.8561628751033</v>
      </c>
      <c r="Q268" s="135">
        <v>108.86174084370727</v>
      </c>
      <c r="R268" s="135">
        <v>95.416851430292667</v>
      </c>
      <c r="S268" s="135">
        <v>9248.7068894139775</v>
      </c>
      <c r="T268" s="135"/>
      <c r="U268" s="135">
        <v>6819.5584437388588</v>
      </c>
      <c r="V268" s="135">
        <v>0</v>
      </c>
      <c r="W268" s="135">
        <v>0</v>
      </c>
      <c r="X268" s="135">
        <v>143.9463471121413</v>
      </c>
      <c r="Y268" s="135">
        <v>108.24695942442634</v>
      </c>
      <c r="Z268" s="135">
        <v>238.05097009726973</v>
      </c>
      <c r="AA268" s="135">
        <v>0</v>
      </c>
      <c r="AB268" s="135">
        <v>797.39991369807251</v>
      </c>
      <c r="AC268" s="135">
        <v>48.48559842366987</v>
      </c>
      <c r="AD268" s="135">
        <v>0</v>
      </c>
      <c r="AE268" s="135">
        <v>1685.1951425097898</v>
      </c>
      <c r="AF268" s="135">
        <v>112.29539629946028</v>
      </c>
      <c r="AG268" s="135">
        <v>45.096533027835527</v>
      </c>
      <c r="AH268" s="135">
        <v>9998.2753043315261</v>
      </c>
      <c r="AI268" s="135">
        <v>661.5321834369488</v>
      </c>
      <c r="AJ268" s="135">
        <v>-6.4008572373846366</v>
      </c>
      <c r="AK268" s="135">
        <v>-426.99829638883818</v>
      </c>
      <c r="AL268" s="135">
        <v>143.9463471121413</v>
      </c>
      <c r="AM268" s="135">
        <v>-32.937346613270392</v>
      </c>
      <c r="AN268" s="135">
        <v>62.602303111278843</v>
      </c>
      <c r="AO268" s="135">
        <v>0</v>
      </c>
      <c r="AP268" s="135">
        <v>172.37097955566242</v>
      </c>
      <c r="AQ268" s="135">
        <v>48.48559842366987</v>
      </c>
      <c r="AR268" s="135">
        <v>47.515186829357418</v>
      </c>
      <c r="AS268" s="135">
        <v>126.33897963468644</v>
      </c>
      <c r="AT268" s="135">
        <v>3.4336554557530121</v>
      </c>
      <c r="AU268" s="135">
        <v>-50.32031840245714</v>
      </c>
      <c r="AV268" s="135">
        <v>749.56841566738683</v>
      </c>
      <c r="AW268" s="135"/>
      <c r="AX268" s="132"/>
      <c r="AY268" s="132"/>
      <c r="AZ268" s="155"/>
      <c r="BA268" s="155"/>
    </row>
    <row r="269" spans="1:53" ht="16.5" x14ac:dyDescent="0.3">
      <c r="A269" s="165">
        <v>756</v>
      </c>
      <c r="B269" s="165">
        <v>1</v>
      </c>
      <c r="C269" s="166" t="s">
        <v>553</v>
      </c>
      <c r="D269" s="167">
        <v>6</v>
      </c>
      <c r="E269" s="163">
        <v>697.68</v>
      </c>
      <c r="F269" s="135">
        <v>6036.6371975690863</v>
      </c>
      <c r="G269" s="135">
        <v>0</v>
      </c>
      <c r="H269" s="135">
        <v>856.63499025341127</v>
      </c>
      <c r="I269" s="135">
        <v>0</v>
      </c>
      <c r="J269" s="135">
        <v>120.55941119137714</v>
      </c>
      <c r="K269" s="135">
        <v>302.63976321522767</v>
      </c>
      <c r="L269" s="135">
        <v>100.44210239651416</v>
      </c>
      <c r="M269" s="135">
        <v>741.05625934987393</v>
      </c>
      <c r="N269" s="135">
        <v>0</v>
      </c>
      <c r="O269" s="135">
        <v>-69.880518289187023</v>
      </c>
      <c r="P269" s="135">
        <v>2556.1536320376108</v>
      </c>
      <c r="Q269" s="135">
        <v>305.35630948285745</v>
      </c>
      <c r="R269" s="135">
        <v>69.213020295837637</v>
      </c>
      <c r="S269" s="135">
        <v>11018.812167502607</v>
      </c>
      <c r="T269" s="135"/>
      <c r="U269" s="135">
        <v>6676.9019607843138</v>
      </c>
      <c r="V269" s="135">
        <v>0</v>
      </c>
      <c r="W269" s="135">
        <v>540.80627221648888</v>
      </c>
      <c r="X269" s="135">
        <v>0</v>
      </c>
      <c r="Y269" s="135">
        <v>66.645611168443992</v>
      </c>
      <c r="Z269" s="135">
        <v>385.31305279582557</v>
      </c>
      <c r="AA269" s="135">
        <v>85.225776860451788</v>
      </c>
      <c r="AB269" s="135">
        <v>944.46549643539674</v>
      </c>
      <c r="AC269" s="135">
        <v>70.815533467848894</v>
      </c>
      <c r="AD269" s="135">
        <v>0</v>
      </c>
      <c r="AE269" s="135">
        <v>2554.9011271299164</v>
      </c>
      <c r="AF269" s="135">
        <v>330.32207019354371</v>
      </c>
      <c r="AG269" s="135">
        <v>55.346319229446166</v>
      </c>
      <c r="AH269" s="135">
        <v>11710.743220281674</v>
      </c>
      <c r="AI269" s="135">
        <v>640.2647632152275</v>
      </c>
      <c r="AJ269" s="135">
        <v>0</v>
      </c>
      <c r="AK269" s="135">
        <v>-315.8287180369224</v>
      </c>
      <c r="AL269" s="135">
        <v>0</v>
      </c>
      <c r="AM269" s="135">
        <v>-53.913800022933145</v>
      </c>
      <c r="AN269" s="135">
        <v>82.673289580597896</v>
      </c>
      <c r="AO269" s="135">
        <v>-15.216325536062371</v>
      </c>
      <c r="AP269" s="135">
        <v>203.40923708552282</v>
      </c>
      <c r="AQ269" s="135">
        <v>70.815533467848894</v>
      </c>
      <c r="AR269" s="135">
        <v>69.880518289187023</v>
      </c>
      <c r="AS269" s="135">
        <v>-1.2525049076944015</v>
      </c>
      <c r="AT269" s="135">
        <v>24.965760710686254</v>
      </c>
      <c r="AU269" s="135">
        <v>-13.866701066391471</v>
      </c>
      <c r="AV269" s="135">
        <v>691.93105734206824</v>
      </c>
      <c r="AW269" s="135"/>
      <c r="AX269" s="132"/>
      <c r="AY269" s="132"/>
      <c r="AZ269" s="155"/>
      <c r="BA269" s="155"/>
    </row>
    <row r="270" spans="1:53" ht="16.5" x14ac:dyDescent="0.3">
      <c r="A270" s="165">
        <v>761</v>
      </c>
      <c r="B270" s="165">
        <v>1</v>
      </c>
      <c r="C270" s="166" t="s">
        <v>594</v>
      </c>
      <c r="D270" s="167">
        <v>4</v>
      </c>
      <c r="E270" s="163">
        <v>4773.25</v>
      </c>
      <c r="F270" s="135">
        <v>6047.899741266433</v>
      </c>
      <c r="G270" s="135">
        <v>39.014973026763734</v>
      </c>
      <c r="H270" s="135">
        <v>820.75704184779761</v>
      </c>
      <c r="I270" s="135">
        <v>0</v>
      </c>
      <c r="J270" s="135">
        <v>122.5093322159954</v>
      </c>
      <c r="K270" s="135">
        <v>613.06639082386209</v>
      </c>
      <c r="L270" s="135">
        <v>0</v>
      </c>
      <c r="M270" s="135">
        <v>849.86371362844943</v>
      </c>
      <c r="N270" s="135">
        <v>0</v>
      </c>
      <c r="O270" s="135">
        <v>-42.887265489970147</v>
      </c>
      <c r="P270" s="135">
        <v>948.93488168438694</v>
      </c>
      <c r="Q270" s="135">
        <v>92.038290472948205</v>
      </c>
      <c r="R270" s="135">
        <v>92.434479652228575</v>
      </c>
      <c r="S270" s="135">
        <v>9583.6315791288962</v>
      </c>
      <c r="T270" s="135"/>
      <c r="U270" s="135">
        <v>6680.3031477504856</v>
      </c>
      <c r="V270" s="135">
        <v>0</v>
      </c>
      <c r="W270" s="135">
        <v>329.59343214790761</v>
      </c>
      <c r="X270" s="135">
        <v>248.69257863727182</v>
      </c>
      <c r="Y270" s="135">
        <v>82.49417063845388</v>
      </c>
      <c r="Z270" s="135">
        <v>643.58941938334578</v>
      </c>
      <c r="AA270" s="135">
        <v>0</v>
      </c>
      <c r="AB270" s="135">
        <v>1071.700130962209</v>
      </c>
      <c r="AC270" s="135">
        <v>80.803556610266966</v>
      </c>
      <c r="AD270" s="135">
        <v>0</v>
      </c>
      <c r="AE270" s="135">
        <v>1041.5098728153773</v>
      </c>
      <c r="AF270" s="135">
        <v>97.956572565861833</v>
      </c>
      <c r="AG270" s="135">
        <v>42.776401822657519</v>
      </c>
      <c r="AH270" s="135">
        <v>10319.419283333837</v>
      </c>
      <c r="AI270" s="135">
        <v>632.40340648405254</v>
      </c>
      <c r="AJ270" s="135">
        <v>-39.014973026763734</v>
      </c>
      <c r="AK270" s="135">
        <v>-491.16360969989</v>
      </c>
      <c r="AL270" s="135">
        <v>248.69257863727182</v>
      </c>
      <c r="AM270" s="135">
        <v>-40.015161577541519</v>
      </c>
      <c r="AN270" s="135">
        <v>30.523028559483691</v>
      </c>
      <c r="AO270" s="135">
        <v>0</v>
      </c>
      <c r="AP270" s="135">
        <v>221.83641733375953</v>
      </c>
      <c r="AQ270" s="135">
        <v>80.803556610266966</v>
      </c>
      <c r="AR270" s="135">
        <v>42.887265489970147</v>
      </c>
      <c r="AS270" s="135">
        <v>92.574991130990384</v>
      </c>
      <c r="AT270" s="135">
        <v>5.9182820929136284</v>
      </c>
      <c r="AU270" s="135">
        <v>-49.658077829571056</v>
      </c>
      <c r="AV270" s="135">
        <v>735.78770848487886</v>
      </c>
      <c r="AW270" s="135"/>
      <c r="AX270" s="164"/>
      <c r="AY270" s="132"/>
      <c r="AZ270" s="135"/>
      <c r="BA270" s="135"/>
    </row>
    <row r="271" spans="1:53" ht="16.5" x14ac:dyDescent="0.3">
      <c r="A271" s="165">
        <v>763</v>
      </c>
      <c r="B271" s="165">
        <v>1</v>
      </c>
      <c r="C271" s="166" t="s">
        <v>596</v>
      </c>
      <c r="D271" s="167">
        <v>6</v>
      </c>
      <c r="E271" s="163">
        <v>842.66000000000008</v>
      </c>
      <c r="F271" s="135">
        <v>5993.4715306291973</v>
      </c>
      <c r="G271" s="135">
        <v>18.4829349915743</v>
      </c>
      <c r="H271" s="135">
        <v>20.037156148387247</v>
      </c>
      <c r="I271" s="135">
        <v>0</v>
      </c>
      <c r="J271" s="135">
        <v>147.47137635582558</v>
      </c>
      <c r="K271" s="135">
        <v>235.23493461182443</v>
      </c>
      <c r="L271" s="135">
        <v>0</v>
      </c>
      <c r="M271" s="135">
        <v>256.73318627797681</v>
      </c>
      <c r="N271" s="135">
        <v>0</v>
      </c>
      <c r="O271" s="135">
        <v>-21.060190349607197</v>
      </c>
      <c r="P271" s="135">
        <v>1444.9605646744492</v>
      </c>
      <c r="Q271" s="135">
        <v>159.62321695583032</v>
      </c>
      <c r="R271" s="135">
        <v>106.72453895996011</v>
      </c>
      <c r="S271" s="135">
        <v>8361.6792492554177</v>
      </c>
      <c r="T271" s="135"/>
      <c r="U271" s="135">
        <v>6633.7760425319811</v>
      </c>
      <c r="V271" s="135">
        <v>0</v>
      </c>
      <c r="W271" s="135">
        <v>0</v>
      </c>
      <c r="X271" s="135">
        <v>0</v>
      </c>
      <c r="Y271" s="135">
        <v>104.68397693019722</v>
      </c>
      <c r="Z271" s="135">
        <v>309.91765716601833</v>
      </c>
      <c r="AA271" s="135">
        <v>0</v>
      </c>
      <c r="AB271" s="135">
        <v>413.28694501072351</v>
      </c>
      <c r="AC271" s="135">
        <v>55.700107184815188</v>
      </c>
      <c r="AD271" s="135">
        <v>16.048050221916309</v>
      </c>
      <c r="AE271" s="135">
        <v>1449.6679896484261</v>
      </c>
      <c r="AF271" s="135">
        <v>168.7731054149329</v>
      </c>
      <c r="AG271" s="135">
        <v>59.70906415398855</v>
      </c>
      <c r="AH271" s="135">
        <v>9211.5629382629995</v>
      </c>
      <c r="AI271" s="135">
        <v>640.30451190278382</v>
      </c>
      <c r="AJ271" s="135">
        <v>-18.4829349915743</v>
      </c>
      <c r="AK271" s="135">
        <v>-20.037156148387247</v>
      </c>
      <c r="AL271" s="135">
        <v>0</v>
      </c>
      <c r="AM271" s="135">
        <v>-42.787399425628365</v>
      </c>
      <c r="AN271" s="135">
        <v>74.682722554193901</v>
      </c>
      <c r="AO271" s="135">
        <v>0</v>
      </c>
      <c r="AP271" s="135">
        <v>156.5537587327467</v>
      </c>
      <c r="AQ271" s="135">
        <v>55.700107184815188</v>
      </c>
      <c r="AR271" s="135">
        <v>37.10824057152351</v>
      </c>
      <c r="AS271" s="135">
        <v>4.707424973976913</v>
      </c>
      <c r="AT271" s="135">
        <v>9.1498884591025842</v>
      </c>
      <c r="AU271" s="135">
        <v>-47.015474805971564</v>
      </c>
      <c r="AV271" s="135">
        <v>849.88369777528681</v>
      </c>
      <c r="AW271" s="135"/>
      <c r="AX271" s="164"/>
      <c r="AY271" s="132"/>
      <c r="AZ271" s="135"/>
      <c r="BA271" s="135"/>
    </row>
    <row r="272" spans="1:53" ht="16.5" x14ac:dyDescent="0.3">
      <c r="A272" s="165">
        <v>768</v>
      </c>
      <c r="B272" s="165">
        <v>1</v>
      </c>
      <c r="C272" s="166" t="s">
        <v>267</v>
      </c>
      <c r="D272" s="167">
        <v>6</v>
      </c>
      <c r="E272" s="163">
        <v>287.01</v>
      </c>
      <c r="F272" s="135">
        <v>5948.7819936587575</v>
      </c>
      <c r="G272" s="135">
        <v>11.000243893940977</v>
      </c>
      <c r="H272" s="135">
        <v>1129.1712135465664</v>
      </c>
      <c r="I272" s="135">
        <v>0</v>
      </c>
      <c r="J272" s="135">
        <v>114.75091460227868</v>
      </c>
      <c r="K272" s="135">
        <v>346.45047210898576</v>
      </c>
      <c r="L272" s="135">
        <v>0</v>
      </c>
      <c r="M272" s="135">
        <v>566.22138834114492</v>
      </c>
      <c r="N272" s="135">
        <v>0</v>
      </c>
      <c r="O272" s="135">
        <v>-39.552942406187938</v>
      </c>
      <c r="P272" s="135">
        <v>1300.2059092017701</v>
      </c>
      <c r="Q272" s="135">
        <v>663.20264102296096</v>
      </c>
      <c r="R272" s="135">
        <v>110.86753074805756</v>
      </c>
      <c r="S272" s="135">
        <v>10151.099364718275</v>
      </c>
      <c r="T272" s="135"/>
      <c r="U272" s="135">
        <v>6572.1856381310763</v>
      </c>
      <c r="V272" s="135">
        <v>0</v>
      </c>
      <c r="W272" s="135">
        <v>827.20866868750227</v>
      </c>
      <c r="X272" s="135">
        <v>0</v>
      </c>
      <c r="Y272" s="135">
        <v>45.234068499355423</v>
      </c>
      <c r="Z272" s="135">
        <v>434.6823241825594</v>
      </c>
      <c r="AA272" s="135">
        <v>0</v>
      </c>
      <c r="AB272" s="135">
        <v>576.61444197441119</v>
      </c>
      <c r="AC272" s="135">
        <v>77.464066149026053</v>
      </c>
      <c r="AD272" s="135">
        <v>0</v>
      </c>
      <c r="AE272" s="135">
        <v>1327.5846550991257</v>
      </c>
      <c r="AF272" s="135">
        <v>610.26905450387756</v>
      </c>
      <c r="AG272" s="135">
        <v>65.095397372913837</v>
      </c>
      <c r="AH272" s="135">
        <v>10536.338314599847</v>
      </c>
      <c r="AI272" s="135">
        <v>623.40364447231877</v>
      </c>
      <c r="AJ272" s="135">
        <v>-11.000243893940977</v>
      </c>
      <c r="AK272" s="135">
        <v>-301.96254485906411</v>
      </c>
      <c r="AL272" s="135">
        <v>0</v>
      </c>
      <c r="AM272" s="135">
        <v>-69.516846102923267</v>
      </c>
      <c r="AN272" s="135">
        <v>88.231852073573634</v>
      </c>
      <c r="AO272" s="135">
        <v>0</v>
      </c>
      <c r="AP272" s="135">
        <v>10.393053633266277</v>
      </c>
      <c r="AQ272" s="135">
        <v>77.464066149026053</v>
      </c>
      <c r="AR272" s="135">
        <v>39.552942406187938</v>
      </c>
      <c r="AS272" s="135">
        <v>27.378745897355657</v>
      </c>
      <c r="AT272" s="135">
        <v>-52.933586519083406</v>
      </c>
      <c r="AU272" s="135">
        <v>-45.772133375143724</v>
      </c>
      <c r="AV272" s="135">
        <v>385.2389508767946</v>
      </c>
      <c r="AW272" s="135"/>
      <c r="AX272" s="132"/>
      <c r="AY272" s="132"/>
      <c r="AZ272" s="155"/>
      <c r="BA272" s="155"/>
    </row>
    <row r="273" spans="1:53" ht="16.5" x14ac:dyDescent="0.3">
      <c r="A273" s="165">
        <v>769</v>
      </c>
      <c r="B273" s="165">
        <v>1</v>
      </c>
      <c r="C273" s="166" t="s">
        <v>360</v>
      </c>
      <c r="D273" s="167">
        <v>6</v>
      </c>
      <c r="E273" s="163">
        <v>1006.13</v>
      </c>
      <c r="F273" s="135">
        <v>6019.1292178943086</v>
      </c>
      <c r="G273" s="135">
        <v>0</v>
      </c>
      <c r="H273" s="135">
        <v>945.8914553785296</v>
      </c>
      <c r="I273" s="135">
        <v>0</v>
      </c>
      <c r="J273" s="135">
        <v>117.92837903650621</v>
      </c>
      <c r="K273" s="135">
        <v>219.25470863606094</v>
      </c>
      <c r="L273" s="135">
        <v>0</v>
      </c>
      <c r="M273" s="135">
        <v>977.24944618759002</v>
      </c>
      <c r="N273" s="135">
        <v>0</v>
      </c>
      <c r="O273" s="135">
        <v>-56.2025781956606</v>
      </c>
      <c r="P273" s="135">
        <v>2463.4548863466944</v>
      </c>
      <c r="Q273" s="135">
        <v>188.00561557651596</v>
      </c>
      <c r="R273" s="135">
        <v>103.94314849969686</v>
      </c>
      <c r="S273" s="135">
        <v>10978.654279360242</v>
      </c>
      <c r="T273" s="135"/>
      <c r="U273" s="135">
        <v>6650.5878961963153</v>
      </c>
      <c r="V273" s="135">
        <v>0</v>
      </c>
      <c r="W273" s="135">
        <v>629.18783854969035</v>
      </c>
      <c r="X273" s="135">
        <v>0</v>
      </c>
      <c r="Y273" s="135">
        <v>60.622901613111623</v>
      </c>
      <c r="Z273" s="135">
        <v>289.18444668796388</v>
      </c>
      <c r="AA273" s="135">
        <v>0</v>
      </c>
      <c r="AB273" s="135">
        <v>1059.9413464596439</v>
      </c>
      <c r="AC273" s="135">
        <v>60.662200241354199</v>
      </c>
      <c r="AD273" s="135">
        <v>0</v>
      </c>
      <c r="AE273" s="135">
        <v>2525.9543578384501</v>
      </c>
      <c r="AF273" s="135">
        <v>185.6358522258555</v>
      </c>
      <c r="AG273" s="135">
        <v>58.773995408148053</v>
      </c>
      <c r="AH273" s="135">
        <v>11520.550835220536</v>
      </c>
      <c r="AI273" s="135">
        <v>631.45867830200677</v>
      </c>
      <c r="AJ273" s="135">
        <v>0</v>
      </c>
      <c r="AK273" s="135">
        <v>-316.70361682883924</v>
      </c>
      <c r="AL273" s="135">
        <v>0</v>
      </c>
      <c r="AM273" s="135">
        <v>-57.305477423394592</v>
      </c>
      <c r="AN273" s="135">
        <v>69.929738051902945</v>
      </c>
      <c r="AO273" s="135">
        <v>0</v>
      </c>
      <c r="AP273" s="135">
        <v>82.691900272053886</v>
      </c>
      <c r="AQ273" s="135">
        <v>60.662200241354199</v>
      </c>
      <c r="AR273" s="135">
        <v>56.2025781956606</v>
      </c>
      <c r="AS273" s="135">
        <v>62.499471491755685</v>
      </c>
      <c r="AT273" s="135">
        <v>-2.3697633506604632</v>
      </c>
      <c r="AU273" s="135">
        <v>-45.169153091548807</v>
      </c>
      <c r="AV273" s="135">
        <v>541.8965570611839</v>
      </c>
      <c r="AW273" s="135"/>
      <c r="AX273" s="164"/>
      <c r="AY273" s="132"/>
      <c r="AZ273" s="135"/>
      <c r="BA273" s="135"/>
    </row>
    <row r="274" spans="1:53" ht="16.5" x14ac:dyDescent="0.3">
      <c r="A274" s="165">
        <v>771</v>
      </c>
      <c r="B274" s="165">
        <v>1</v>
      </c>
      <c r="C274" s="166" t="s">
        <v>599</v>
      </c>
      <c r="D274" s="167">
        <v>6</v>
      </c>
      <c r="E274" s="163">
        <v>150.5</v>
      </c>
      <c r="F274" s="135">
        <v>6112.9477740863786</v>
      </c>
      <c r="G274" s="135">
        <v>0</v>
      </c>
      <c r="H274" s="135">
        <v>3629.7342192691031</v>
      </c>
      <c r="I274" s="135">
        <v>0</v>
      </c>
      <c r="J274" s="135">
        <v>53.827641196013289</v>
      </c>
      <c r="K274" s="135">
        <v>402.29441860465113</v>
      </c>
      <c r="L274" s="135">
        <v>0</v>
      </c>
      <c r="M274" s="135">
        <v>237.15474043747511</v>
      </c>
      <c r="N274" s="135">
        <v>0</v>
      </c>
      <c r="O274" s="135">
        <v>-83.534551495016615</v>
      </c>
      <c r="P274" s="135">
        <v>493.05125581395345</v>
      </c>
      <c r="Q274" s="135">
        <v>1252.6752823920267</v>
      </c>
      <c r="R274" s="135">
        <v>97.386777408637869</v>
      </c>
      <c r="S274" s="135">
        <v>12195.537557713224</v>
      </c>
      <c r="T274" s="135"/>
      <c r="U274" s="135">
        <v>6759.7451162790703</v>
      </c>
      <c r="V274" s="135">
        <v>0</v>
      </c>
      <c r="W274" s="135">
        <v>3309.2476411960133</v>
      </c>
      <c r="X274" s="135">
        <v>0</v>
      </c>
      <c r="Y274" s="135">
        <v>0</v>
      </c>
      <c r="Z274" s="135">
        <v>507.18146179401992</v>
      </c>
      <c r="AA274" s="135">
        <v>0</v>
      </c>
      <c r="AB274" s="135">
        <v>550.71917743814618</v>
      </c>
      <c r="AC274" s="135">
        <v>122.55949160429957</v>
      </c>
      <c r="AD274" s="135">
        <v>0</v>
      </c>
      <c r="AE274" s="135">
        <v>502.96652495681064</v>
      </c>
      <c r="AF274" s="135">
        <v>1292.0108376009794</v>
      </c>
      <c r="AG274" s="135">
        <v>48.054418604651161</v>
      </c>
      <c r="AH274" s="135">
        <v>13092.48466947399</v>
      </c>
      <c r="AI274" s="135">
        <v>646.79734219269176</v>
      </c>
      <c r="AJ274" s="135">
        <v>0</v>
      </c>
      <c r="AK274" s="135">
        <v>-320.48657807308973</v>
      </c>
      <c r="AL274" s="135">
        <v>0</v>
      </c>
      <c r="AM274" s="135">
        <v>-53.827641196013289</v>
      </c>
      <c r="AN274" s="135">
        <v>104.8870431893688</v>
      </c>
      <c r="AO274" s="135">
        <v>0</v>
      </c>
      <c r="AP274" s="135">
        <v>313.56443700067109</v>
      </c>
      <c r="AQ274" s="135">
        <v>122.55949160429957</v>
      </c>
      <c r="AR274" s="135">
        <v>83.534551495016615</v>
      </c>
      <c r="AS274" s="135">
        <v>9.9152691428571984</v>
      </c>
      <c r="AT274" s="135">
        <v>39.335555208952655</v>
      </c>
      <c r="AU274" s="135">
        <v>-49.332358803986708</v>
      </c>
      <c r="AV274" s="135">
        <v>896.94711912044374</v>
      </c>
      <c r="AW274" s="135"/>
      <c r="AX274" s="164"/>
      <c r="AY274" s="132"/>
      <c r="AZ274" s="135"/>
      <c r="BA274" s="135"/>
    </row>
    <row r="275" spans="1:53" ht="16.5" x14ac:dyDescent="0.3">
      <c r="A275" s="165">
        <v>775</v>
      </c>
      <c r="B275" s="165">
        <v>1</v>
      </c>
      <c r="C275" s="166" t="s">
        <v>314</v>
      </c>
      <c r="D275" s="167">
        <v>6</v>
      </c>
      <c r="E275" s="163">
        <v>578.87</v>
      </c>
      <c r="F275" s="135">
        <v>5945.055850190889</v>
      </c>
      <c r="G275" s="135">
        <v>0</v>
      </c>
      <c r="H275" s="135">
        <v>749.14365919809279</v>
      </c>
      <c r="I275" s="135">
        <v>0</v>
      </c>
      <c r="J275" s="135">
        <v>125.55857100903484</v>
      </c>
      <c r="K275" s="135">
        <v>568.02539430269326</v>
      </c>
      <c r="L275" s="135">
        <v>90.874137543835403</v>
      </c>
      <c r="M275" s="135">
        <v>762.95612661118741</v>
      </c>
      <c r="N275" s="135">
        <v>0</v>
      </c>
      <c r="O275" s="135">
        <v>-47.889491595695063</v>
      </c>
      <c r="P275" s="135">
        <v>1326.1131445747751</v>
      </c>
      <c r="Q275" s="135">
        <v>831.14785703180337</v>
      </c>
      <c r="R275" s="135">
        <v>103.73854233247533</v>
      </c>
      <c r="S275" s="135">
        <v>10454.723791199091</v>
      </c>
      <c r="T275" s="135"/>
      <c r="U275" s="135">
        <v>6561.3073747128028</v>
      </c>
      <c r="V275" s="135">
        <v>0</v>
      </c>
      <c r="W275" s="135">
        <v>436.70186743137486</v>
      </c>
      <c r="X275" s="135">
        <v>0</v>
      </c>
      <c r="Y275" s="135">
        <v>72.954739406084258</v>
      </c>
      <c r="Z275" s="135">
        <v>518.65391313012697</v>
      </c>
      <c r="AA275" s="135">
        <v>73.723893102078193</v>
      </c>
      <c r="AB275" s="135">
        <v>885.61664988951463</v>
      </c>
      <c r="AC275" s="135">
        <v>85.35004645231021</v>
      </c>
      <c r="AD275" s="135">
        <v>0</v>
      </c>
      <c r="AE275" s="135">
        <v>1433.7004750358456</v>
      </c>
      <c r="AF275" s="135">
        <v>813.66480065245082</v>
      </c>
      <c r="AG275" s="135">
        <v>58.880905902879746</v>
      </c>
      <c r="AH275" s="135">
        <v>10940.554665715468</v>
      </c>
      <c r="AI275" s="135">
        <v>616.25152452191378</v>
      </c>
      <c r="AJ275" s="135">
        <v>0</v>
      </c>
      <c r="AK275" s="135">
        <v>-312.44179176671793</v>
      </c>
      <c r="AL275" s="135">
        <v>0</v>
      </c>
      <c r="AM275" s="135">
        <v>-52.603831602950578</v>
      </c>
      <c r="AN275" s="135">
        <v>-49.371481172566291</v>
      </c>
      <c r="AO275" s="135">
        <v>-17.150244441757209</v>
      </c>
      <c r="AP275" s="135">
        <v>122.66052327832722</v>
      </c>
      <c r="AQ275" s="135">
        <v>85.35004645231021</v>
      </c>
      <c r="AR275" s="135">
        <v>47.889491595695063</v>
      </c>
      <c r="AS275" s="135">
        <v>107.58733046107045</v>
      </c>
      <c r="AT275" s="135">
        <v>-17.483056379352547</v>
      </c>
      <c r="AU275" s="135">
        <v>-44.857636429595587</v>
      </c>
      <c r="AV275" s="135">
        <v>485.83087967758729</v>
      </c>
      <c r="AW275" s="135"/>
      <c r="AX275" s="164"/>
      <c r="AY275" s="132"/>
      <c r="AZ275" s="135"/>
      <c r="BA275" s="135"/>
    </row>
    <row r="276" spans="1:53" ht="16.5" x14ac:dyDescent="0.3">
      <c r="A276" s="165">
        <v>777</v>
      </c>
      <c r="B276" s="165">
        <v>1</v>
      </c>
      <c r="C276" s="166" t="s">
        <v>454</v>
      </c>
      <c r="D276" s="167">
        <v>6</v>
      </c>
      <c r="E276" s="163">
        <v>892.75</v>
      </c>
      <c r="F276" s="135">
        <v>6081.5493699243907</v>
      </c>
      <c r="G276" s="135">
        <v>0</v>
      </c>
      <c r="H276" s="135">
        <v>772.57152618314194</v>
      </c>
      <c r="I276" s="135">
        <v>0</v>
      </c>
      <c r="J276" s="135">
        <v>125.15837580509661</v>
      </c>
      <c r="K276" s="135">
        <v>490.35759171100528</v>
      </c>
      <c r="L276" s="135">
        <v>0</v>
      </c>
      <c r="M276" s="135">
        <v>1130.1353673810854</v>
      </c>
      <c r="N276" s="135">
        <v>0</v>
      </c>
      <c r="O276" s="135">
        <v>-60.705707084850175</v>
      </c>
      <c r="P276" s="135">
        <v>731.07040716886024</v>
      </c>
      <c r="Q276" s="135">
        <v>267.09626435172225</v>
      </c>
      <c r="R276" s="135">
        <v>115.32474936992439</v>
      </c>
      <c r="S276" s="135">
        <v>9652.5579448103763</v>
      </c>
      <c r="T276" s="135"/>
      <c r="U276" s="135">
        <v>6729.9736768412213</v>
      </c>
      <c r="V276" s="135">
        <v>0</v>
      </c>
      <c r="W276" s="135">
        <v>452.09399047885745</v>
      </c>
      <c r="X276" s="135">
        <v>0</v>
      </c>
      <c r="Y276" s="135">
        <v>74.532556706804826</v>
      </c>
      <c r="Z276" s="135">
        <v>475.754417204812</v>
      </c>
      <c r="AA276" s="135">
        <v>0</v>
      </c>
      <c r="AB276" s="135">
        <v>1268.2668768525059</v>
      </c>
      <c r="AC276" s="135">
        <v>55.342012198094444</v>
      </c>
      <c r="AD276" s="135">
        <v>0</v>
      </c>
      <c r="AE276" s="135">
        <v>862.58442236236363</v>
      </c>
      <c r="AF276" s="135">
        <v>284.41949033884066</v>
      </c>
      <c r="AG276" s="135">
        <v>65.73527863343601</v>
      </c>
      <c r="AH276" s="135">
        <v>10268.702721616935</v>
      </c>
      <c r="AI276" s="135">
        <v>648.42430691683057</v>
      </c>
      <c r="AJ276" s="135">
        <v>0</v>
      </c>
      <c r="AK276" s="135">
        <v>-320.47753570428449</v>
      </c>
      <c r="AL276" s="135">
        <v>0</v>
      </c>
      <c r="AM276" s="135">
        <v>-50.625819098291785</v>
      </c>
      <c r="AN276" s="135">
        <v>-14.603174506193284</v>
      </c>
      <c r="AO276" s="135">
        <v>0</v>
      </c>
      <c r="AP276" s="135">
        <v>138.13150947142049</v>
      </c>
      <c r="AQ276" s="135">
        <v>55.342012198094444</v>
      </c>
      <c r="AR276" s="135">
        <v>60.705707084850175</v>
      </c>
      <c r="AS276" s="135">
        <v>131.51401519350338</v>
      </c>
      <c r="AT276" s="135">
        <v>17.323225987118406</v>
      </c>
      <c r="AU276" s="135">
        <v>-49.58947073648838</v>
      </c>
      <c r="AV276" s="135">
        <v>616.14478626489711</v>
      </c>
      <c r="AW276" s="135"/>
      <c r="AX276" s="164"/>
      <c r="AY276" s="132"/>
      <c r="AZ276" s="135"/>
      <c r="BA276" s="135"/>
    </row>
    <row r="277" spans="1:53" ht="16.5" x14ac:dyDescent="0.3">
      <c r="A277" s="165">
        <v>786</v>
      </c>
      <c r="B277" s="165">
        <v>1</v>
      </c>
      <c r="C277" s="166" t="s">
        <v>600</v>
      </c>
      <c r="D277" s="167">
        <v>6</v>
      </c>
      <c r="E277" s="163">
        <v>402.9</v>
      </c>
      <c r="F277" s="135">
        <v>6159.1076693968726</v>
      </c>
      <c r="G277" s="135">
        <v>0</v>
      </c>
      <c r="H277" s="135">
        <v>832.44000992802194</v>
      </c>
      <c r="I277" s="135">
        <v>0</v>
      </c>
      <c r="J277" s="135">
        <v>131.55306527674364</v>
      </c>
      <c r="K277" s="135">
        <v>1095.0315959295112</v>
      </c>
      <c r="L277" s="135">
        <v>0</v>
      </c>
      <c r="M277" s="135">
        <v>987.91854600656245</v>
      </c>
      <c r="N277" s="135">
        <v>0</v>
      </c>
      <c r="O277" s="135">
        <v>-66.358426408538108</v>
      </c>
      <c r="P277" s="135">
        <v>1462.1195284189628</v>
      </c>
      <c r="Q277" s="135">
        <v>612.44450235790521</v>
      </c>
      <c r="R277" s="135">
        <v>97.664904442789776</v>
      </c>
      <c r="S277" s="135">
        <v>11311.921395348831</v>
      </c>
      <c r="T277" s="135"/>
      <c r="U277" s="135">
        <v>6838.9259865971708</v>
      </c>
      <c r="V277" s="135">
        <v>0</v>
      </c>
      <c r="W277" s="135">
        <v>512.45490196078435</v>
      </c>
      <c r="X277" s="135">
        <v>0</v>
      </c>
      <c r="Y277" s="135">
        <v>70.055299081657978</v>
      </c>
      <c r="Z277" s="135">
        <v>1264.7031769669893</v>
      </c>
      <c r="AA277" s="135">
        <v>0</v>
      </c>
      <c r="AB277" s="135">
        <v>1236.0057022657011</v>
      </c>
      <c r="AC277" s="135">
        <v>98.101923831916224</v>
      </c>
      <c r="AD277" s="135">
        <v>0</v>
      </c>
      <c r="AE277" s="135">
        <v>1601.8511868031771</v>
      </c>
      <c r="AF277" s="135">
        <v>556.47758618045498</v>
      </c>
      <c r="AG277" s="135">
        <v>47.667287168031777</v>
      </c>
      <c r="AH277" s="135">
        <v>12226.243050855885</v>
      </c>
      <c r="AI277" s="135">
        <v>679.81831720029822</v>
      </c>
      <c r="AJ277" s="135">
        <v>0</v>
      </c>
      <c r="AK277" s="135">
        <v>-319.98510796723758</v>
      </c>
      <c r="AL277" s="135">
        <v>0</v>
      </c>
      <c r="AM277" s="135">
        <v>-61.49776619508566</v>
      </c>
      <c r="AN277" s="135">
        <v>169.67158103747806</v>
      </c>
      <c r="AO277" s="135">
        <v>0</v>
      </c>
      <c r="AP277" s="135">
        <v>248.08715625913862</v>
      </c>
      <c r="AQ277" s="135">
        <v>98.101923831916224</v>
      </c>
      <c r="AR277" s="135">
        <v>66.358426408538108</v>
      </c>
      <c r="AS277" s="135">
        <v>139.73165838421437</v>
      </c>
      <c r="AT277" s="135">
        <v>-55.96691617745023</v>
      </c>
      <c r="AU277" s="135">
        <v>-49.997617274757999</v>
      </c>
      <c r="AV277" s="135">
        <v>914.32165595229606</v>
      </c>
      <c r="AW277" s="135"/>
      <c r="AX277" s="164"/>
      <c r="AY277" s="132"/>
      <c r="AZ277" s="135"/>
      <c r="BA277" s="135"/>
    </row>
    <row r="278" spans="1:53" ht="16.5" x14ac:dyDescent="0.3">
      <c r="A278" s="165">
        <v>787</v>
      </c>
      <c r="B278" s="165">
        <v>1</v>
      </c>
      <c r="C278" s="166" t="s">
        <v>601</v>
      </c>
      <c r="D278" s="167">
        <v>6</v>
      </c>
      <c r="E278" s="163">
        <v>432.97</v>
      </c>
      <c r="F278" s="135">
        <v>6216.1461533131614</v>
      </c>
      <c r="G278" s="135">
        <v>0</v>
      </c>
      <c r="H278" s="135">
        <v>268.57733792179596</v>
      </c>
      <c r="I278" s="135">
        <v>0</v>
      </c>
      <c r="J278" s="135">
        <v>155.97482504561515</v>
      </c>
      <c r="K278" s="135">
        <v>742.68392729288405</v>
      </c>
      <c r="L278" s="135">
        <v>94.848691595260632</v>
      </c>
      <c r="M278" s="135">
        <v>1385.6564783933575</v>
      </c>
      <c r="N278" s="135">
        <v>0</v>
      </c>
      <c r="O278" s="135">
        <v>-48.899392567614385</v>
      </c>
      <c r="P278" s="135">
        <v>806.95407072083515</v>
      </c>
      <c r="Q278" s="135">
        <v>583.31106081252733</v>
      </c>
      <c r="R278" s="135">
        <v>98.758135667598211</v>
      </c>
      <c r="S278" s="135">
        <v>10304.011288195421</v>
      </c>
      <c r="T278" s="135"/>
      <c r="U278" s="135">
        <v>6902.3741136799308</v>
      </c>
      <c r="V278" s="135">
        <v>0</v>
      </c>
      <c r="W278" s="135">
        <v>0</v>
      </c>
      <c r="X278" s="135">
        <v>0</v>
      </c>
      <c r="Y278" s="135">
        <v>107.92664618795759</v>
      </c>
      <c r="Z278" s="135">
        <v>888.80795436173401</v>
      </c>
      <c r="AA278" s="135">
        <v>63.783518488578878</v>
      </c>
      <c r="AB278" s="135">
        <v>1550.5050100434444</v>
      </c>
      <c r="AC278" s="135">
        <v>85.58314904586139</v>
      </c>
      <c r="AD278" s="135">
        <v>0</v>
      </c>
      <c r="AE278" s="135">
        <v>945.07559076841335</v>
      </c>
      <c r="AF278" s="135">
        <v>506.79325030784918</v>
      </c>
      <c r="AG278" s="135">
        <v>49.015659283553134</v>
      </c>
      <c r="AH278" s="135">
        <v>11099.864892167327</v>
      </c>
      <c r="AI278" s="135">
        <v>686.22796036676937</v>
      </c>
      <c r="AJ278" s="135">
        <v>0</v>
      </c>
      <c r="AK278" s="135">
        <v>-268.57733792179596</v>
      </c>
      <c r="AL278" s="135">
        <v>0</v>
      </c>
      <c r="AM278" s="135">
        <v>-48.048178857657561</v>
      </c>
      <c r="AN278" s="135">
        <v>146.12402706884995</v>
      </c>
      <c r="AO278" s="135">
        <v>-31.065173106681755</v>
      </c>
      <c r="AP278" s="135">
        <v>164.8485316500869</v>
      </c>
      <c r="AQ278" s="135">
        <v>85.58314904586139</v>
      </c>
      <c r="AR278" s="135">
        <v>48.899392567614385</v>
      </c>
      <c r="AS278" s="135">
        <v>138.1215200475782</v>
      </c>
      <c r="AT278" s="135">
        <v>-76.517810504678152</v>
      </c>
      <c r="AU278" s="135">
        <v>-49.742476384045077</v>
      </c>
      <c r="AV278" s="135">
        <v>795.85361136893607</v>
      </c>
      <c r="AW278" s="135"/>
      <c r="AX278" s="164"/>
      <c r="AY278" s="132"/>
      <c r="AZ278" s="135"/>
      <c r="BA278" s="135"/>
    </row>
    <row r="279" spans="1:53" ht="16.5" x14ac:dyDescent="0.3">
      <c r="A279" s="165">
        <v>801</v>
      </c>
      <c r="B279" s="165">
        <v>1</v>
      </c>
      <c r="C279" s="166" t="s">
        <v>602</v>
      </c>
      <c r="D279" s="167">
        <v>6</v>
      </c>
      <c r="E279" s="163">
        <v>116.42999999999999</v>
      </c>
      <c r="F279" s="135">
        <v>5570.830885510607</v>
      </c>
      <c r="G279" s="135">
        <v>0</v>
      </c>
      <c r="H279" s="135">
        <v>1468.3677746285321</v>
      </c>
      <c r="I279" s="135">
        <v>0</v>
      </c>
      <c r="J279" s="135">
        <v>84.756849609207251</v>
      </c>
      <c r="K279" s="135">
        <v>1403.0896676114405</v>
      </c>
      <c r="L279" s="135">
        <v>0</v>
      </c>
      <c r="M279" s="135">
        <v>778.03325248432532</v>
      </c>
      <c r="N279" s="135">
        <v>0</v>
      </c>
      <c r="O279" s="135">
        <v>-75.506055140427733</v>
      </c>
      <c r="P279" s="135">
        <v>416.27422485613681</v>
      </c>
      <c r="Q279" s="135">
        <v>2254.0084170746372</v>
      </c>
      <c r="R279" s="135">
        <v>134.67551318388732</v>
      </c>
      <c r="S279" s="135">
        <v>12034.530529818347</v>
      </c>
      <c r="T279" s="135"/>
      <c r="U279" s="135">
        <v>6145.2460706003612</v>
      </c>
      <c r="V279" s="135">
        <v>0</v>
      </c>
      <c r="W279" s="135">
        <v>1175.7318560508461</v>
      </c>
      <c r="X279" s="135">
        <v>0</v>
      </c>
      <c r="Y279" s="135">
        <v>13.562741561453233</v>
      </c>
      <c r="Z279" s="135">
        <v>1610.8968478914371</v>
      </c>
      <c r="AA279" s="135">
        <v>0</v>
      </c>
      <c r="AB279" s="135">
        <v>891.7394684694442</v>
      </c>
      <c r="AC279" s="135">
        <v>181.1257197967837</v>
      </c>
      <c r="AD279" s="135">
        <v>0</v>
      </c>
      <c r="AE279" s="135">
        <v>459.56169268229837</v>
      </c>
      <c r="AF279" s="135">
        <v>2306.7136294091324</v>
      </c>
      <c r="AG279" s="135">
        <v>90.858455724469636</v>
      </c>
      <c r="AH279" s="135">
        <v>12875.436482186227</v>
      </c>
      <c r="AI279" s="135">
        <v>574.41518508975423</v>
      </c>
      <c r="AJ279" s="135">
        <v>0</v>
      </c>
      <c r="AK279" s="135">
        <v>-292.63591857768597</v>
      </c>
      <c r="AL279" s="135">
        <v>0</v>
      </c>
      <c r="AM279" s="135">
        <v>-71.194108047754014</v>
      </c>
      <c r="AN279" s="135">
        <v>207.8071802799966</v>
      </c>
      <c r="AO279" s="135">
        <v>0</v>
      </c>
      <c r="AP279" s="135">
        <v>113.70621598511889</v>
      </c>
      <c r="AQ279" s="135">
        <v>181.1257197967837</v>
      </c>
      <c r="AR279" s="135">
        <v>75.506055140427733</v>
      </c>
      <c r="AS279" s="135">
        <v>43.28746782616156</v>
      </c>
      <c r="AT279" s="135">
        <v>52.705212334495172</v>
      </c>
      <c r="AU279" s="135">
        <v>-43.817057459417683</v>
      </c>
      <c r="AV279" s="135">
        <v>840.90596040125865</v>
      </c>
      <c r="AW279" s="135"/>
      <c r="AX279" s="164"/>
      <c r="AY279" s="132"/>
      <c r="AZ279" s="135"/>
      <c r="BA279" s="135"/>
    </row>
    <row r="280" spans="1:53" ht="16.5" x14ac:dyDescent="0.3">
      <c r="A280" s="165">
        <v>803</v>
      </c>
      <c r="B280" s="165">
        <v>1</v>
      </c>
      <c r="C280" s="166" t="s">
        <v>478</v>
      </c>
      <c r="D280" s="167">
        <v>6</v>
      </c>
      <c r="E280" s="163">
        <v>396.26</v>
      </c>
      <c r="F280" s="135">
        <v>6093.3043961035683</v>
      </c>
      <c r="G280" s="135">
        <v>5.1555039620451222</v>
      </c>
      <c r="H280" s="135">
        <v>1610.7668450007573</v>
      </c>
      <c r="I280" s="135">
        <v>0</v>
      </c>
      <c r="J280" s="135">
        <v>94.537197799424618</v>
      </c>
      <c r="K280" s="135">
        <v>296.39252006258516</v>
      </c>
      <c r="L280" s="135">
        <v>0</v>
      </c>
      <c r="M280" s="135">
        <v>780.28647971367286</v>
      </c>
      <c r="N280" s="135">
        <v>0</v>
      </c>
      <c r="O280" s="135">
        <v>-58.871195679604298</v>
      </c>
      <c r="P280" s="135">
        <v>436.3029778428305</v>
      </c>
      <c r="Q280" s="135">
        <v>1435.0248574168475</v>
      </c>
      <c r="R280" s="135">
        <v>104.49361530308383</v>
      </c>
      <c r="S280" s="135">
        <v>10797.393197525209</v>
      </c>
      <c r="T280" s="135"/>
      <c r="U280" s="135">
        <v>6748.7044869530109</v>
      </c>
      <c r="V280" s="135">
        <v>0</v>
      </c>
      <c r="W280" s="135">
        <v>1295.5591530813103</v>
      </c>
      <c r="X280" s="135">
        <v>0</v>
      </c>
      <c r="Y280" s="135">
        <v>14.246000100943824</v>
      </c>
      <c r="Z280" s="135">
        <v>377.38659009572382</v>
      </c>
      <c r="AA280" s="135">
        <v>0</v>
      </c>
      <c r="AB280" s="135">
        <v>923.87940366742532</v>
      </c>
      <c r="AC280" s="135">
        <v>62.341116173533557</v>
      </c>
      <c r="AD280" s="135">
        <v>0</v>
      </c>
      <c r="AE280" s="135">
        <v>495.93562293696061</v>
      </c>
      <c r="AF280" s="135">
        <v>1449.0939626627387</v>
      </c>
      <c r="AG280" s="135">
        <v>56.941503053550697</v>
      </c>
      <c r="AH280" s="135">
        <v>11424.087838725198</v>
      </c>
      <c r="AI280" s="135">
        <v>655.40009084944268</v>
      </c>
      <c r="AJ280" s="135">
        <v>-5.1555039620451222</v>
      </c>
      <c r="AK280" s="135">
        <v>-315.20769191944692</v>
      </c>
      <c r="AL280" s="135">
        <v>0</v>
      </c>
      <c r="AM280" s="135">
        <v>-80.291197698480801</v>
      </c>
      <c r="AN280" s="135">
        <v>80.994070033138655</v>
      </c>
      <c r="AO280" s="135">
        <v>0</v>
      </c>
      <c r="AP280" s="135">
        <v>143.59292395375246</v>
      </c>
      <c r="AQ280" s="135">
        <v>62.341116173533557</v>
      </c>
      <c r="AR280" s="135">
        <v>58.871195679604298</v>
      </c>
      <c r="AS280" s="135">
        <v>59.632645094130112</v>
      </c>
      <c r="AT280" s="135">
        <v>14.069105245891251</v>
      </c>
      <c r="AU280" s="135">
        <v>-47.552112249533131</v>
      </c>
      <c r="AV280" s="135">
        <v>626.69464707018972</v>
      </c>
      <c r="AW280" s="135"/>
      <c r="AX280" s="164"/>
      <c r="AY280" s="132"/>
      <c r="AZ280" s="135"/>
      <c r="BA280" s="135"/>
    </row>
    <row r="281" spans="1:53" ht="16.5" x14ac:dyDescent="0.3">
      <c r="A281" s="165">
        <v>811</v>
      </c>
      <c r="B281" s="165">
        <v>1</v>
      </c>
      <c r="C281" s="166" t="s">
        <v>604</v>
      </c>
      <c r="D281" s="167">
        <v>6</v>
      </c>
      <c r="E281" s="163">
        <v>585.72</v>
      </c>
      <c r="F281" s="135">
        <v>6166.4641125452426</v>
      </c>
      <c r="G281" s="135">
        <v>0</v>
      </c>
      <c r="H281" s="135">
        <v>1276.7069418834938</v>
      </c>
      <c r="I281" s="135">
        <v>0</v>
      </c>
      <c r="J281" s="135">
        <v>107.93672744656149</v>
      </c>
      <c r="K281" s="135">
        <v>325.29635320631013</v>
      </c>
      <c r="L281" s="135">
        <v>0</v>
      </c>
      <c r="M281" s="135">
        <v>1021.0351688099435</v>
      </c>
      <c r="N281" s="135">
        <v>0</v>
      </c>
      <c r="O281" s="135">
        <v>-69.447210271119303</v>
      </c>
      <c r="P281" s="135">
        <v>703.48707163832557</v>
      </c>
      <c r="Q281" s="135">
        <v>446.26399986341596</v>
      </c>
      <c r="R281" s="135">
        <v>93.546062965239372</v>
      </c>
      <c r="S281" s="135">
        <v>10071.289228087413</v>
      </c>
      <c r="T281" s="135"/>
      <c r="U281" s="135">
        <v>6841.538414259373</v>
      </c>
      <c r="V281" s="135">
        <v>0</v>
      </c>
      <c r="W281" s="135">
        <v>952.19388103530696</v>
      </c>
      <c r="X281" s="135">
        <v>0</v>
      </c>
      <c r="Y281" s="135">
        <v>40.15558628696305</v>
      </c>
      <c r="Z281" s="135">
        <v>417.46785153315574</v>
      </c>
      <c r="AA281" s="135">
        <v>0</v>
      </c>
      <c r="AB281" s="135">
        <v>1228.788818124717</v>
      </c>
      <c r="AC281" s="135">
        <v>52.087386180955555</v>
      </c>
      <c r="AD281" s="135">
        <v>0</v>
      </c>
      <c r="AE281" s="135">
        <v>792.65839243495191</v>
      </c>
      <c r="AF281" s="135">
        <v>467.57573131494485</v>
      </c>
      <c r="AG281" s="135">
        <v>42.055282387488909</v>
      </c>
      <c r="AH281" s="135">
        <v>10834.521343557857</v>
      </c>
      <c r="AI281" s="135">
        <v>675.07430171413034</v>
      </c>
      <c r="AJ281" s="135">
        <v>0</v>
      </c>
      <c r="AK281" s="135">
        <v>-324.5130608481868</v>
      </c>
      <c r="AL281" s="135">
        <v>0</v>
      </c>
      <c r="AM281" s="135">
        <v>-67.781141159598434</v>
      </c>
      <c r="AN281" s="135">
        <v>92.171498326845608</v>
      </c>
      <c r="AO281" s="135">
        <v>0</v>
      </c>
      <c r="AP281" s="135">
        <v>207.7536493147735</v>
      </c>
      <c r="AQ281" s="135">
        <v>52.087386180955555</v>
      </c>
      <c r="AR281" s="135">
        <v>69.447210271119303</v>
      </c>
      <c r="AS281" s="135">
        <v>89.171320796626333</v>
      </c>
      <c r="AT281" s="135">
        <v>21.311731451528885</v>
      </c>
      <c r="AU281" s="135">
        <v>-51.490780577750463</v>
      </c>
      <c r="AV281" s="135">
        <v>763.23211986760668</v>
      </c>
      <c r="AW281" s="135"/>
      <c r="AX281" s="164"/>
      <c r="AY281" s="132"/>
      <c r="AZ281" s="135"/>
      <c r="BA281" s="135"/>
    </row>
    <row r="282" spans="1:53" ht="16.5" x14ac:dyDescent="0.3">
      <c r="A282" s="165">
        <v>813</v>
      </c>
      <c r="B282" s="165">
        <v>1</v>
      </c>
      <c r="C282" s="166" t="s">
        <v>455</v>
      </c>
      <c r="D282" s="167">
        <v>5</v>
      </c>
      <c r="E282" s="163">
        <v>1227.3899999999999</v>
      </c>
      <c r="F282" s="135">
        <v>6027.6104579636467</v>
      </c>
      <c r="G282" s="135">
        <v>2.042276700967093</v>
      </c>
      <c r="H282" s="135">
        <v>982.29552953828863</v>
      </c>
      <c r="I282" s="135">
        <v>0</v>
      </c>
      <c r="J282" s="135">
        <v>115.9599638256789</v>
      </c>
      <c r="K282" s="135">
        <v>242.59664002476802</v>
      </c>
      <c r="L282" s="135">
        <v>101.9064958977994</v>
      </c>
      <c r="M282" s="135">
        <v>733.73975899970276</v>
      </c>
      <c r="N282" s="135">
        <v>0</v>
      </c>
      <c r="O282" s="135">
        <v>-53.289484190029256</v>
      </c>
      <c r="P282" s="135">
        <v>1324.5527191846113</v>
      </c>
      <c r="Q282" s="135">
        <v>158.51323540195048</v>
      </c>
      <c r="R282" s="135">
        <v>107.6945062286641</v>
      </c>
      <c r="S282" s="135">
        <v>9743.6220995760505</v>
      </c>
      <c r="T282" s="135"/>
      <c r="U282" s="135">
        <v>6673.7736171876913</v>
      </c>
      <c r="V282" s="135">
        <v>0</v>
      </c>
      <c r="W282" s="135">
        <v>666.54048835333515</v>
      </c>
      <c r="X282" s="135">
        <v>0</v>
      </c>
      <c r="Y282" s="135">
        <v>58.322880258108675</v>
      </c>
      <c r="Z282" s="135">
        <v>318.3892765135364</v>
      </c>
      <c r="AA282" s="135">
        <v>73.869601349204416</v>
      </c>
      <c r="AB282" s="135">
        <v>840.84426663246188</v>
      </c>
      <c r="AC282" s="135">
        <v>57.059197928766196</v>
      </c>
      <c r="AD282" s="135">
        <v>0</v>
      </c>
      <c r="AE282" s="135">
        <v>1450.6604038626681</v>
      </c>
      <c r="AF282" s="135">
        <v>162.73414318187375</v>
      </c>
      <c r="AG282" s="135">
        <v>58.551202144387695</v>
      </c>
      <c r="AH282" s="135">
        <v>10360.745077412033</v>
      </c>
      <c r="AI282" s="135">
        <v>646.16315922404465</v>
      </c>
      <c r="AJ282" s="135">
        <v>-2.042276700967093</v>
      </c>
      <c r="AK282" s="135">
        <v>-315.75504118495348</v>
      </c>
      <c r="AL282" s="135">
        <v>0</v>
      </c>
      <c r="AM282" s="135">
        <v>-57.637083567570222</v>
      </c>
      <c r="AN282" s="135">
        <v>75.79263648876838</v>
      </c>
      <c r="AO282" s="135">
        <v>-28.036894548594987</v>
      </c>
      <c r="AP282" s="135">
        <v>107.10450763275912</v>
      </c>
      <c r="AQ282" s="135">
        <v>57.059197928766196</v>
      </c>
      <c r="AR282" s="135">
        <v>53.289484190029256</v>
      </c>
      <c r="AS282" s="135">
        <v>126.10768467805678</v>
      </c>
      <c r="AT282" s="135">
        <v>4.2209077799232659</v>
      </c>
      <c r="AU282" s="135">
        <v>-49.143304084276402</v>
      </c>
      <c r="AV282" s="135">
        <v>617.12298115796307</v>
      </c>
      <c r="AW282" s="135"/>
      <c r="AX282" s="164"/>
      <c r="AY282" s="132"/>
      <c r="AZ282" s="135"/>
      <c r="BA282" s="135"/>
    </row>
    <row r="283" spans="1:53" ht="16.5" x14ac:dyDescent="0.3">
      <c r="A283" s="165">
        <v>815</v>
      </c>
      <c r="B283" s="165">
        <v>2</v>
      </c>
      <c r="C283" s="166" t="s">
        <v>245</v>
      </c>
      <c r="D283" s="167">
        <v>6</v>
      </c>
      <c r="E283" s="163">
        <v>0</v>
      </c>
      <c r="F283" s="135">
        <v>0</v>
      </c>
      <c r="G283" s="135">
        <v>0</v>
      </c>
      <c r="H283" s="135">
        <v>0</v>
      </c>
      <c r="I283" s="135">
        <v>0</v>
      </c>
      <c r="J283" s="135">
        <v>0</v>
      </c>
      <c r="K283" s="135">
        <v>0</v>
      </c>
      <c r="L283" s="135">
        <v>0</v>
      </c>
      <c r="M283" s="135">
        <v>0</v>
      </c>
      <c r="N283" s="135">
        <v>0</v>
      </c>
      <c r="O283" s="135">
        <v>0</v>
      </c>
      <c r="P283" s="135">
        <v>0</v>
      </c>
      <c r="Q283" s="135">
        <v>0</v>
      </c>
      <c r="R283" s="135">
        <v>0</v>
      </c>
      <c r="S283" s="135">
        <v>0</v>
      </c>
      <c r="T283" s="135"/>
      <c r="U283" s="135">
        <v>0</v>
      </c>
      <c r="V283" s="135">
        <v>0</v>
      </c>
      <c r="W283" s="135">
        <v>0</v>
      </c>
      <c r="X283" s="135">
        <v>0</v>
      </c>
      <c r="Y283" s="135">
        <v>0</v>
      </c>
      <c r="Z283" s="135">
        <v>0</v>
      </c>
      <c r="AA283" s="135">
        <v>0</v>
      </c>
      <c r="AB283" s="135">
        <v>0</v>
      </c>
      <c r="AC283" s="135">
        <v>0</v>
      </c>
      <c r="AD283" s="135">
        <v>0</v>
      </c>
      <c r="AE283" s="135">
        <v>0</v>
      </c>
      <c r="AF283" s="135">
        <v>0</v>
      </c>
      <c r="AG283" s="135">
        <v>0</v>
      </c>
      <c r="AH283" s="135">
        <v>0</v>
      </c>
      <c r="AI283" s="135">
        <v>0</v>
      </c>
      <c r="AJ283" s="135">
        <v>0</v>
      </c>
      <c r="AK283" s="135">
        <v>0</v>
      </c>
      <c r="AL283" s="135">
        <v>0</v>
      </c>
      <c r="AM283" s="135">
        <v>0</v>
      </c>
      <c r="AN283" s="135">
        <v>0</v>
      </c>
      <c r="AO283" s="135">
        <v>0</v>
      </c>
      <c r="AP283" s="135">
        <v>0</v>
      </c>
      <c r="AQ283" s="135">
        <v>0</v>
      </c>
      <c r="AR283" s="135">
        <v>0</v>
      </c>
      <c r="AS283" s="135">
        <v>0</v>
      </c>
      <c r="AT283" s="135">
        <v>0</v>
      </c>
      <c r="AU283" s="135">
        <v>0</v>
      </c>
      <c r="AV283" s="135">
        <v>4.5987165016511711E-6</v>
      </c>
      <c r="AW283" s="135"/>
      <c r="AX283" s="164"/>
      <c r="AY283" s="132"/>
      <c r="AZ283" s="135"/>
      <c r="BA283" s="135"/>
    </row>
    <row r="284" spans="1:53" ht="16.5" x14ac:dyDescent="0.3">
      <c r="A284" s="165">
        <v>818</v>
      </c>
      <c r="B284" s="165">
        <v>1</v>
      </c>
      <c r="C284" s="166" t="s">
        <v>605</v>
      </c>
      <c r="D284" s="167">
        <v>6</v>
      </c>
      <c r="E284" s="163">
        <v>483.8</v>
      </c>
      <c r="F284" s="135">
        <v>6078.1099627945432</v>
      </c>
      <c r="G284" s="135">
        <v>37.802025630425796</v>
      </c>
      <c r="H284" s="135">
        <v>279.21343530384456</v>
      </c>
      <c r="I284" s="135">
        <v>0</v>
      </c>
      <c r="J284" s="135">
        <v>123.56428276147169</v>
      </c>
      <c r="K284" s="135">
        <v>1103.5521083092187</v>
      </c>
      <c r="L284" s="135">
        <v>0</v>
      </c>
      <c r="M284" s="135">
        <v>996.5258093977842</v>
      </c>
      <c r="N284" s="135">
        <v>0</v>
      </c>
      <c r="O284" s="135">
        <v>-38.334187680859863</v>
      </c>
      <c r="P284" s="135">
        <v>909.97729226953288</v>
      </c>
      <c r="Q284" s="135">
        <v>525.7146341463415</v>
      </c>
      <c r="R284" s="135">
        <v>108.03815626291856</v>
      </c>
      <c r="S284" s="135">
        <v>10124.163519195223</v>
      </c>
      <c r="T284" s="135"/>
      <c r="U284" s="135">
        <v>6721.7796610169498</v>
      </c>
      <c r="V284" s="135">
        <v>0</v>
      </c>
      <c r="W284" s="135">
        <v>0</v>
      </c>
      <c r="X284" s="135">
        <v>0</v>
      </c>
      <c r="Y284" s="135">
        <v>106.69491525423729</v>
      </c>
      <c r="Z284" s="135">
        <v>1283.0506821000413</v>
      </c>
      <c r="AA284" s="135">
        <v>0</v>
      </c>
      <c r="AB284" s="135">
        <v>1121.6925003311412</v>
      </c>
      <c r="AC284" s="135">
        <v>97.015817115246733</v>
      </c>
      <c r="AD284" s="135">
        <v>0</v>
      </c>
      <c r="AE284" s="135">
        <v>1047.906694185614</v>
      </c>
      <c r="AF284" s="135">
        <v>444.50545111398787</v>
      </c>
      <c r="AG284" s="135">
        <v>60.043116990491939</v>
      </c>
      <c r="AH284" s="135">
        <v>10882.68883810771</v>
      </c>
      <c r="AI284" s="135">
        <v>643.66969822240662</v>
      </c>
      <c r="AJ284" s="135">
        <v>-37.802025630425796</v>
      </c>
      <c r="AK284" s="135">
        <v>-279.21343530384456</v>
      </c>
      <c r="AL284" s="135">
        <v>0</v>
      </c>
      <c r="AM284" s="135">
        <v>-16.869367507234401</v>
      </c>
      <c r="AN284" s="135">
        <v>179.49857379082255</v>
      </c>
      <c r="AO284" s="135">
        <v>0</v>
      </c>
      <c r="AP284" s="135">
        <v>125.16669093335702</v>
      </c>
      <c r="AQ284" s="135">
        <v>97.015817115246733</v>
      </c>
      <c r="AR284" s="135">
        <v>38.334187680859863</v>
      </c>
      <c r="AS284" s="135">
        <v>137.92940191608113</v>
      </c>
      <c r="AT284" s="135">
        <v>-81.209183032353621</v>
      </c>
      <c r="AU284" s="135">
        <v>-47.995039272426624</v>
      </c>
      <c r="AV284" s="135">
        <v>758.52532231495604</v>
      </c>
      <c r="AW284" s="135"/>
      <c r="AX284" s="164"/>
      <c r="AY284" s="132"/>
      <c r="AZ284" s="135"/>
      <c r="BA284" s="135"/>
    </row>
    <row r="285" spans="1:53" ht="16.5" x14ac:dyDescent="0.3">
      <c r="A285" s="165">
        <v>820</v>
      </c>
      <c r="B285" s="165">
        <v>1</v>
      </c>
      <c r="C285" s="166" t="s">
        <v>595</v>
      </c>
      <c r="D285" s="167">
        <v>6</v>
      </c>
      <c r="E285" s="163">
        <v>503.2</v>
      </c>
      <c r="F285" s="135">
        <v>6099.1653418124006</v>
      </c>
      <c r="G285" s="135">
        <v>16.170270270270272</v>
      </c>
      <c r="H285" s="135">
        <v>947.08519475357707</v>
      </c>
      <c r="I285" s="135">
        <v>0</v>
      </c>
      <c r="J285" s="135">
        <v>118.38732114467409</v>
      </c>
      <c r="K285" s="135">
        <v>929.51132750397448</v>
      </c>
      <c r="L285" s="135">
        <v>0</v>
      </c>
      <c r="M285" s="135">
        <v>633.93938473998014</v>
      </c>
      <c r="N285" s="135">
        <v>0</v>
      </c>
      <c r="O285" s="135">
        <v>-53.847277424483309</v>
      </c>
      <c r="P285" s="135">
        <v>398.47104133545315</v>
      </c>
      <c r="Q285" s="135">
        <v>538.34709856915742</v>
      </c>
      <c r="R285" s="135">
        <v>297.61567965023846</v>
      </c>
      <c r="S285" s="135">
        <v>9924.8453823552427</v>
      </c>
      <c r="T285" s="135"/>
      <c r="U285" s="135">
        <v>6750.8005564387922</v>
      </c>
      <c r="V285" s="135">
        <v>0</v>
      </c>
      <c r="W285" s="135">
        <v>644.8442766295708</v>
      </c>
      <c r="X285" s="135">
        <v>0</v>
      </c>
      <c r="Y285" s="135">
        <v>60.076410969793322</v>
      </c>
      <c r="Z285" s="135">
        <v>981.65546502384746</v>
      </c>
      <c r="AA285" s="135">
        <v>0</v>
      </c>
      <c r="AB285" s="135">
        <v>809.45938700843021</v>
      </c>
      <c r="AC285" s="135">
        <v>83.800733667272439</v>
      </c>
      <c r="AD285" s="135">
        <v>0</v>
      </c>
      <c r="AE285" s="135">
        <v>516.37557694753582</v>
      </c>
      <c r="AF285" s="135">
        <v>551.13471294452347</v>
      </c>
      <c r="AG285" s="135">
        <v>249.40999602543718</v>
      </c>
      <c r="AH285" s="135">
        <v>10647.557115655203</v>
      </c>
      <c r="AI285" s="135">
        <v>651.63521462639164</v>
      </c>
      <c r="AJ285" s="135">
        <v>-16.170270270270272</v>
      </c>
      <c r="AK285" s="135">
        <v>-302.24091812400627</v>
      </c>
      <c r="AL285" s="135">
        <v>0</v>
      </c>
      <c r="AM285" s="135">
        <v>-58.310910174880767</v>
      </c>
      <c r="AN285" s="135">
        <v>52.14413751987297</v>
      </c>
      <c r="AO285" s="135">
        <v>0</v>
      </c>
      <c r="AP285" s="135">
        <v>175.52000226845007</v>
      </c>
      <c r="AQ285" s="135">
        <v>83.800733667272439</v>
      </c>
      <c r="AR285" s="135">
        <v>53.847277424483309</v>
      </c>
      <c r="AS285" s="135">
        <v>117.90453561208267</v>
      </c>
      <c r="AT285" s="135">
        <v>12.787614375366047</v>
      </c>
      <c r="AU285" s="135">
        <v>-48.205683624801281</v>
      </c>
      <c r="AV285" s="135">
        <v>722.71173692387765</v>
      </c>
      <c r="AW285" s="135"/>
      <c r="AX285" s="164"/>
      <c r="AY285" s="132"/>
      <c r="AZ285" s="135"/>
      <c r="BA285" s="135"/>
    </row>
    <row r="286" spans="1:53" ht="16.5" x14ac:dyDescent="0.3">
      <c r="A286" s="165">
        <v>821</v>
      </c>
      <c r="B286" s="165">
        <v>1</v>
      </c>
      <c r="C286" s="166" t="s">
        <v>608</v>
      </c>
      <c r="D286" s="167">
        <v>6</v>
      </c>
      <c r="E286" s="163">
        <v>898.46</v>
      </c>
      <c r="F286" s="135">
        <v>5893.7599893150491</v>
      </c>
      <c r="G286" s="135">
        <v>58.102731340293396</v>
      </c>
      <c r="H286" s="135">
        <v>0</v>
      </c>
      <c r="I286" s="135">
        <v>0</v>
      </c>
      <c r="J286" s="135">
        <v>156.84880796028762</v>
      </c>
      <c r="K286" s="135">
        <v>946.99052823720581</v>
      </c>
      <c r="L286" s="135">
        <v>0</v>
      </c>
      <c r="M286" s="135">
        <v>484.17812048794264</v>
      </c>
      <c r="N286" s="135">
        <v>0</v>
      </c>
      <c r="O286" s="135">
        <v>-26.476726843710345</v>
      </c>
      <c r="P286" s="135">
        <v>978.2850073618032</v>
      </c>
      <c r="Q286" s="135">
        <v>196.39849297687152</v>
      </c>
      <c r="R286" s="135">
        <v>123.56648042205551</v>
      </c>
      <c r="S286" s="135">
        <v>8811.6534312578005</v>
      </c>
      <c r="T286" s="135"/>
      <c r="U286" s="135">
        <v>6494.5829530530018</v>
      </c>
      <c r="V286" s="135">
        <v>0</v>
      </c>
      <c r="W286" s="135">
        <v>0</v>
      </c>
      <c r="X286" s="135">
        <v>0</v>
      </c>
      <c r="Y286" s="135">
        <v>103.0886183024286</v>
      </c>
      <c r="Z286" s="135">
        <v>995.77700732364269</v>
      </c>
      <c r="AA286" s="135">
        <v>0</v>
      </c>
      <c r="AB286" s="135">
        <v>654.36553242573643</v>
      </c>
      <c r="AC286" s="135">
        <v>123.72816611441782</v>
      </c>
      <c r="AD286" s="135">
        <v>10.071756116020746</v>
      </c>
      <c r="AE286" s="135">
        <v>1074.6635783987522</v>
      </c>
      <c r="AF286" s="135">
        <v>206.0406727611105</v>
      </c>
      <c r="AG286" s="135">
        <v>78.888698439552115</v>
      </c>
      <c r="AH286" s="135">
        <v>9741.2069829346619</v>
      </c>
      <c r="AI286" s="135">
        <v>600.8229637379527</v>
      </c>
      <c r="AJ286" s="135">
        <v>-58.102731340293396</v>
      </c>
      <c r="AK286" s="135">
        <v>0</v>
      </c>
      <c r="AL286" s="135">
        <v>0</v>
      </c>
      <c r="AM286" s="135">
        <v>-53.760189657859016</v>
      </c>
      <c r="AN286" s="135">
        <v>48.786479086436884</v>
      </c>
      <c r="AO286" s="135">
        <v>0</v>
      </c>
      <c r="AP286" s="135">
        <v>170.1874119377938</v>
      </c>
      <c r="AQ286" s="135">
        <v>123.72816611441782</v>
      </c>
      <c r="AR286" s="135">
        <v>36.548482959731089</v>
      </c>
      <c r="AS286" s="135">
        <v>96.378571036948983</v>
      </c>
      <c r="AT286" s="135">
        <v>9.6421797842389765</v>
      </c>
      <c r="AU286" s="135">
        <v>-44.67778198250339</v>
      </c>
      <c r="AV286" s="135">
        <v>929.55356016566577</v>
      </c>
      <c r="AW286" s="135"/>
      <c r="AX286" s="132"/>
      <c r="AY286" s="132"/>
      <c r="AZ286" s="155"/>
      <c r="BA286" s="155"/>
    </row>
    <row r="287" spans="1:53" ht="16.5" x14ac:dyDescent="0.3">
      <c r="A287" s="165">
        <v>829</v>
      </c>
      <c r="B287" s="165">
        <v>1</v>
      </c>
      <c r="C287" s="166" t="s">
        <v>352</v>
      </c>
      <c r="D287" s="167">
        <v>5</v>
      </c>
      <c r="E287" s="163">
        <v>1839.45</v>
      </c>
      <c r="F287" s="135">
        <v>6083.3209491967709</v>
      </c>
      <c r="G287" s="135">
        <v>6.3814292315637822</v>
      </c>
      <c r="H287" s="135">
        <v>837.1846095300225</v>
      </c>
      <c r="I287" s="135">
        <v>0</v>
      </c>
      <c r="J287" s="135">
        <v>122.64459485172198</v>
      </c>
      <c r="K287" s="135">
        <v>576.29955693277884</v>
      </c>
      <c r="L287" s="135">
        <v>0</v>
      </c>
      <c r="M287" s="135">
        <v>1208.8969699631411</v>
      </c>
      <c r="N287" s="135">
        <v>0</v>
      </c>
      <c r="O287" s="135">
        <v>-52.798483242273505</v>
      </c>
      <c r="P287" s="135">
        <v>1155.3284025116204</v>
      </c>
      <c r="Q287" s="135">
        <v>119.82651879637936</v>
      </c>
      <c r="R287" s="135">
        <v>121.5491750251434</v>
      </c>
      <c r="S287" s="135">
        <v>10178.633722796869</v>
      </c>
      <c r="T287" s="135"/>
      <c r="U287" s="135">
        <v>6736.4054472804373</v>
      </c>
      <c r="V287" s="135">
        <v>0</v>
      </c>
      <c r="W287" s="135">
        <v>522.78783331974228</v>
      </c>
      <c r="X287" s="135">
        <v>0</v>
      </c>
      <c r="Y287" s="135">
        <v>69.585082497485658</v>
      </c>
      <c r="Z287" s="135">
        <v>563.61396939627116</v>
      </c>
      <c r="AA287" s="135">
        <v>0</v>
      </c>
      <c r="AB287" s="135">
        <v>1384.4779313915815</v>
      </c>
      <c r="AC287" s="135">
        <v>68.554226830908419</v>
      </c>
      <c r="AD287" s="135">
        <v>0</v>
      </c>
      <c r="AE287" s="135">
        <v>1169.5073537111637</v>
      </c>
      <c r="AF287" s="135">
        <v>126.52680420777951</v>
      </c>
      <c r="AG287" s="135">
        <v>73.227687624018046</v>
      </c>
      <c r="AH287" s="135">
        <v>10714.686336259387</v>
      </c>
      <c r="AI287" s="135">
        <v>653.0844980836664</v>
      </c>
      <c r="AJ287" s="135">
        <v>-6.3814292315637822</v>
      </c>
      <c r="AK287" s="135">
        <v>-314.39677621028022</v>
      </c>
      <c r="AL287" s="135">
        <v>0</v>
      </c>
      <c r="AM287" s="135">
        <v>-53.059512354236318</v>
      </c>
      <c r="AN287" s="135">
        <v>-12.685587536507683</v>
      </c>
      <c r="AO287" s="135">
        <v>0</v>
      </c>
      <c r="AP287" s="135">
        <v>175.58096142844033</v>
      </c>
      <c r="AQ287" s="135">
        <v>68.554226830908419</v>
      </c>
      <c r="AR287" s="135">
        <v>52.798483242273505</v>
      </c>
      <c r="AS287" s="135">
        <v>14.178951199543235</v>
      </c>
      <c r="AT287" s="135">
        <v>6.7002854114001451</v>
      </c>
      <c r="AU287" s="135">
        <v>-48.321487401125353</v>
      </c>
      <c r="AV287" s="135">
        <v>536.05262064987744</v>
      </c>
      <c r="AW287" s="135"/>
      <c r="AX287" s="132"/>
      <c r="AY287" s="132"/>
      <c r="AZ287" s="155"/>
      <c r="BA287" s="155"/>
    </row>
    <row r="288" spans="1:53" ht="16.5" x14ac:dyDescent="0.3">
      <c r="A288" s="165">
        <v>831</v>
      </c>
      <c r="B288" s="165">
        <v>1</v>
      </c>
      <c r="C288" s="166" t="s">
        <v>398</v>
      </c>
      <c r="D288" s="167">
        <v>3</v>
      </c>
      <c r="E288" s="163">
        <v>6908.09</v>
      </c>
      <c r="F288" s="135">
        <v>6025.0886019145664</v>
      </c>
      <c r="G288" s="135">
        <v>22.017408574584291</v>
      </c>
      <c r="H288" s="135">
        <v>916.14436841442421</v>
      </c>
      <c r="I288" s="135">
        <v>0</v>
      </c>
      <c r="J288" s="135">
        <v>148.29168699307621</v>
      </c>
      <c r="K288" s="135">
        <v>312.60538875434457</v>
      </c>
      <c r="L288" s="135">
        <v>101.79626756455112</v>
      </c>
      <c r="M288" s="135">
        <v>864.65288809712661</v>
      </c>
      <c r="N288" s="135">
        <v>0</v>
      </c>
      <c r="O288" s="135">
        <v>-49.439765550246157</v>
      </c>
      <c r="P288" s="135">
        <v>1061.0102657195093</v>
      </c>
      <c r="Q288" s="135">
        <v>67.793780914840426</v>
      </c>
      <c r="R288" s="135">
        <v>143.40682156717702</v>
      </c>
      <c r="S288" s="135">
        <v>9613.3677129639564</v>
      </c>
      <c r="T288" s="135"/>
      <c r="U288" s="135">
        <v>6662.974859910626</v>
      </c>
      <c r="V288" s="135">
        <v>0</v>
      </c>
      <c r="W288" s="135">
        <v>197.83747316552044</v>
      </c>
      <c r="X288" s="135">
        <v>526.5296616565314</v>
      </c>
      <c r="Y288" s="135">
        <v>91.630258146607815</v>
      </c>
      <c r="Z288" s="135">
        <v>235.93439376023935</v>
      </c>
      <c r="AA288" s="135">
        <v>76.275343835995173</v>
      </c>
      <c r="AB288" s="135">
        <v>1030.7052936387577</v>
      </c>
      <c r="AC288" s="135">
        <v>47.350369702145052</v>
      </c>
      <c r="AD288" s="135">
        <v>0</v>
      </c>
      <c r="AE288" s="135">
        <v>1155.6731874516483</v>
      </c>
      <c r="AF288" s="135">
        <v>75.64062859632692</v>
      </c>
      <c r="AG288" s="135">
        <v>94.698617128612966</v>
      </c>
      <c r="AH288" s="135">
        <v>10195.250086993012</v>
      </c>
      <c r="AI288" s="135">
        <v>637.88625799605961</v>
      </c>
      <c r="AJ288" s="135">
        <v>-22.017408574584291</v>
      </c>
      <c r="AK288" s="135">
        <v>-718.30689524890374</v>
      </c>
      <c r="AL288" s="135">
        <v>526.5296616565314</v>
      </c>
      <c r="AM288" s="135">
        <v>-56.661428846468397</v>
      </c>
      <c r="AN288" s="135">
        <v>-76.670994994105229</v>
      </c>
      <c r="AO288" s="135">
        <v>-25.520923728555942</v>
      </c>
      <c r="AP288" s="135">
        <v>166.05240554163106</v>
      </c>
      <c r="AQ288" s="135">
        <v>47.350369702145052</v>
      </c>
      <c r="AR288" s="135">
        <v>49.439765550246157</v>
      </c>
      <c r="AS288" s="135">
        <v>94.662921732139012</v>
      </c>
      <c r="AT288" s="135">
        <v>7.8468476814864943</v>
      </c>
      <c r="AU288" s="135">
        <v>-48.708204438564053</v>
      </c>
      <c r="AV288" s="135">
        <v>581.88237699409751</v>
      </c>
      <c r="AW288" s="135"/>
      <c r="AX288" s="164"/>
      <c r="AY288" s="132"/>
      <c r="AZ288" s="135"/>
      <c r="BA288" s="135"/>
    </row>
    <row r="289" spans="1:53" ht="16.5" x14ac:dyDescent="0.3">
      <c r="A289" s="165">
        <v>832</v>
      </c>
      <c r="B289" s="165">
        <v>1</v>
      </c>
      <c r="C289" s="166" t="s">
        <v>612</v>
      </c>
      <c r="D289" s="167">
        <v>3</v>
      </c>
      <c r="E289" s="163">
        <v>3290.2799999999997</v>
      </c>
      <c r="F289" s="135">
        <v>6142.6471668064733</v>
      </c>
      <c r="G289" s="135">
        <v>6.431905491325967</v>
      </c>
      <c r="H289" s="135">
        <v>994.37888568754033</v>
      </c>
      <c r="I289" s="135">
        <v>0</v>
      </c>
      <c r="J289" s="135">
        <v>149.42130456982386</v>
      </c>
      <c r="K289" s="135">
        <v>31.321638280024807</v>
      </c>
      <c r="L289" s="135">
        <v>103.02177383079859</v>
      </c>
      <c r="M289" s="135">
        <v>807.25335194166564</v>
      </c>
      <c r="N289" s="135">
        <v>0</v>
      </c>
      <c r="O289" s="135">
        <v>-34.798451803493926</v>
      </c>
      <c r="P289" s="135">
        <v>1957.4385337939109</v>
      </c>
      <c r="Q289" s="135">
        <v>27.985259613163624</v>
      </c>
      <c r="R289" s="135">
        <v>377.47180787045482</v>
      </c>
      <c r="S289" s="135">
        <v>10562.573176081689</v>
      </c>
      <c r="T289" s="135"/>
      <c r="U289" s="135">
        <v>6809.5098289507278</v>
      </c>
      <c r="V289" s="135">
        <v>0</v>
      </c>
      <c r="W289" s="135">
        <v>244.2019919277387</v>
      </c>
      <c r="X289" s="135">
        <v>535.29392343428754</v>
      </c>
      <c r="Y289" s="135">
        <v>90.644458830251537</v>
      </c>
      <c r="Z289" s="135">
        <v>53.429706030440244</v>
      </c>
      <c r="AA289" s="135">
        <v>80.391109571221918</v>
      </c>
      <c r="AB289" s="135">
        <v>1094.7156722696855</v>
      </c>
      <c r="AC289" s="135">
        <v>16.497801132997512</v>
      </c>
      <c r="AD289" s="135">
        <v>3.5236514825485976</v>
      </c>
      <c r="AE289" s="135">
        <v>2091.1776919187078</v>
      </c>
      <c r="AF289" s="135">
        <v>18.666703137726881</v>
      </c>
      <c r="AG289" s="135">
        <v>318.8259175510899</v>
      </c>
      <c r="AH289" s="135">
        <v>11356.878456237426</v>
      </c>
      <c r="AI289" s="135">
        <v>666.8626621442545</v>
      </c>
      <c r="AJ289" s="135">
        <v>-6.431905491325967</v>
      </c>
      <c r="AK289" s="135">
        <v>-750.1768937598016</v>
      </c>
      <c r="AL289" s="135">
        <v>535.29392343428754</v>
      </c>
      <c r="AM289" s="135">
        <v>-58.776845739572323</v>
      </c>
      <c r="AN289" s="135">
        <v>22.108067750415437</v>
      </c>
      <c r="AO289" s="135">
        <v>-22.630664259576676</v>
      </c>
      <c r="AP289" s="135">
        <v>287.46232032801981</v>
      </c>
      <c r="AQ289" s="135">
        <v>16.497801132997512</v>
      </c>
      <c r="AR289" s="135">
        <v>38.32210328604252</v>
      </c>
      <c r="AS289" s="135">
        <v>133.73915812479686</v>
      </c>
      <c r="AT289" s="135">
        <v>-9.3185564754367434</v>
      </c>
      <c r="AU289" s="135">
        <v>-58.645890319364923</v>
      </c>
      <c r="AV289" s="135">
        <v>794.30528192248823</v>
      </c>
      <c r="AW289" s="135"/>
      <c r="AX289" s="132"/>
      <c r="AY289" s="132"/>
      <c r="AZ289" s="155"/>
      <c r="BA289" s="155"/>
    </row>
    <row r="290" spans="1:53" ht="16.5" x14ac:dyDescent="0.3">
      <c r="A290" s="165">
        <v>833</v>
      </c>
      <c r="B290" s="165">
        <v>1</v>
      </c>
      <c r="C290" s="166" t="s">
        <v>450</v>
      </c>
      <c r="D290" s="167">
        <v>2</v>
      </c>
      <c r="E290" s="163">
        <v>17546.68</v>
      </c>
      <c r="F290" s="135">
        <v>6054.3236030975659</v>
      </c>
      <c r="G290" s="135">
        <v>9.7814874380794539</v>
      </c>
      <c r="H290" s="135">
        <v>1138.9600551215387</v>
      </c>
      <c r="I290" s="135">
        <v>0</v>
      </c>
      <c r="J290" s="135">
        <v>133.20612902269829</v>
      </c>
      <c r="K290" s="135">
        <v>182.59759852006192</v>
      </c>
      <c r="L290" s="135">
        <v>140.57545646811815</v>
      </c>
      <c r="M290" s="135">
        <v>706.11085604150219</v>
      </c>
      <c r="N290" s="135">
        <v>0</v>
      </c>
      <c r="O290" s="135">
        <v>-24.897814857283542</v>
      </c>
      <c r="P290" s="135">
        <v>1801.5289714065566</v>
      </c>
      <c r="Q290" s="135">
        <v>0.2897362919936991</v>
      </c>
      <c r="R290" s="135">
        <v>329.2009519749605</v>
      </c>
      <c r="S290" s="135">
        <v>10471.677030525792</v>
      </c>
      <c r="T290" s="135"/>
      <c r="U290" s="135">
        <v>6703.0321405530849</v>
      </c>
      <c r="V290" s="135">
        <v>0</v>
      </c>
      <c r="W290" s="135">
        <v>403.95876370914613</v>
      </c>
      <c r="X290" s="135">
        <v>529.30291939207439</v>
      </c>
      <c r="Y290" s="135">
        <v>77.543138075123039</v>
      </c>
      <c r="Z290" s="135">
        <v>211.20633509595646</v>
      </c>
      <c r="AA290" s="135">
        <v>137.04915573772362</v>
      </c>
      <c r="AB290" s="135">
        <v>899.85013555685975</v>
      </c>
      <c r="AC290" s="135">
        <v>37.4053711835599</v>
      </c>
      <c r="AD290" s="135">
        <v>12.820878935502328</v>
      </c>
      <c r="AE290" s="135">
        <v>1802.1435041341153</v>
      </c>
      <c r="AF290" s="135">
        <v>0.3617510549004142</v>
      </c>
      <c r="AG290" s="135">
        <v>272.83162284831087</v>
      </c>
      <c r="AH290" s="135">
        <v>11087.505716276361</v>
      </c>
      <c r="AI290" s="135">
        <v>648.70853745551904</v>
      </c>
      <c r="AJ290" s="135">
        <v>-9.7814874380794539</v>
      </c>
      <c r="AK290" s="135">
        <v>-735.00129141239267</v>
      </c>
      <c r="AL290" s="135">
        <v>529.30291939207439</v>
      </c>
      <c r="AM290" s="135">
        <v>-55.662990947575253</v>
      </c>
      <c r="AN290" s="135">
        <v>28.60873657589454</v>
      </c>
      <c r="AO290" s="135">
        <v>-3.5263007303945244</v>
      </c>
      <c r="AP290" s="135">
        <v>193.73927951535757</v>
      </c>
      <c r="AQ290" s="135">
        <v>37.4053711835599</v>
      </c>
      <c r="AR290" s="135">
        <v>37.718693792785871</v>
      </c>
      <c r="AS290" s="135">
        <v>0.61453272755875332</v>
      </c>
      <c r="AT290" s="135">
        <v>7.2014762906715102E-2</v>
      </c>
      <c r="AU290" s="135">
        <v>-56.369329126649632</v>
      </c>
      <c r="AV290" s="135">
        <v>615.82869121471413</v>
      </c>
      <c r="AW290" s="135"/>
      <c r="AX290" s="164"/>
      <c r="AY290" s="132"/>
      <c r="AZ290" s="135"/>
      <c r="BA290" s="135"/>
    </row>
    <row r="291" spans="1:53" ht="16.5" x14ac:dyDescent="0.3">
      <c r="A291" s="165">
        <v>834</v>
      </c>
      <c r="B291" s="165">
        <v>1</v>
      </c>
      <c r="C291" s="166" t="s">
        <v>489</v>
      </c>
      <c r="D291" s="167">
        <v>3</v>
      </c>
      <c r="E291" s="163">
        <v>8639.2000000000007</v>
      </c>
      <c r="F291" s="135">
        <v>6081.4260672284463</v>
      </c>
      <c r="G291" s="135">
        <v>3.3759827298823963</v>
      </c>
      <c r="H291" s="135">
        <v>1320.516964533753</v>
      </c>
      <c r="I291" s="135">
        <v>0</v>
      </c>
      <c r="J291" s="135">
        <v>122.42304264283727</v>
      </c>
      <c r="K291" s="135">
        <v>111.40669274932864</v>
      </c>
      <c r="L291" s="135">
        <v>101.14700412075193</v>
      </c>
      <c r="M291" s="135">
        <v>883.13595261952946</v>
      </c>
      <c r="N291" s="135">
        <v>0</v>
      </c>
      <c r="O291" s="135">
        <v>-44.496070237984995</v>
      </c>
      <c r="P291" s="135">
        <v>1683.6069888415593</v>
      </c>
      <c r="Q291" s="135">
        <v>40.325535929252702</v>
      </c>
      <c r="R291" s="135">
        <v>146.09093897583108</v>
      </c>
      <c r="S291" s="135">
        <v>10448.959100133186</v>
      </c>
      <c r="T291" s="135"/>
      <c r="U291" s="135">
        <v>6727.3239420316686</v>
      </c>
      <c r="V291" s="135">
        <v>0</v>
      </c>
      <c r="W291" s="135">
        <v>576.41420038892477</v>
      </c>
      <c r="X291" s="135">
        <v>529.8347729451234</v>
      </c>
      <c r="Y291" s="135">
        <v>65.610476664505967</v>
      </c>
      <c r="Z291" s="135">
        <v>119.54899703299027</v>
      </c>
      <c r="AA291" s="135">
        <v>83.516944856005182</v>
      </c>
      <c r="AB291" s="135">
        <v>1137.5394224529896</v>
      </c>
      <c r="AC291" s="135">
        <v>24.150954543233496</v>
      </c>
      <c r="AD291" s="135">
        <v>0</v>
      </c>
      <c r="AE291" s="135">
        <v>1684.0702101677239</v>
      </c>
      <c r="AF291" s="135">
        <v>50.081189230484298</v>
      </c>
      <c r="AG291" s="135">
        <v>88.20177794240206</v>
      </c>
      <c r="AH291" s="135">
        <v>11086.29288825605</v>
      </c>
      <c r="AI291" s="135">
        <v>645.89787480322229</v>
      </c>
      <c r="AJ291" s="135">
        <v>-3.3759827298823963</v>
      </c>
      <c r="AK291" s="135">
        <v>-744.10276414482826</v>
      </c>
      <c r="AL291" s="135">
        <v>529.8347729451234</v>
      </c>
      <c r="AM291" s="135">
        <v>-56.812565978331307</v>
      </c>
      <c r="AN291" s="135">
        <v>8.1423042836616304</v>
      </c>
      <c r="AO291" s="135">
        <v>-17.630059264746748</v>
      </c>
      <c r="AP291" s="135">
        <v>254.40346983346012</v>
      </c>
      <c r="AQ291" s="135">
        <v>24.150954543233496</v>
      </c>
      <c r="AR291" s="135">
        <v>44.496070237984995</v>
      </c>
      <c r="AS291" s="135">
        <v>0.46322132616455747</v>
      </c>
      <c r="AT291" s="135">
        <v>9.7556533012315967</v>
      </c>
      <c r="AU291" s="135">
        <v>-57.889161033429019</v>
      </c>
      <c r="AV291" s="135">
        <v>637.3337965008393</v>
      </c>
      <c r="AW291" s="135"/>
      <c r="AX291" s="132"/>
      <c r="AY291" s="132"/>
      <c r="AZ291" s="155"/>
      <c r="BA291" s="155"/>
    </row>
    <row r="292" spans="1:53" ht="16.5" x14ac:dyDescent="0.3">
      <c r="A292" s="165">
        <v>836</v>
      </c>
      <c r="B292" s="165">
        <v>1</v>
      </c>
      <c r="C292" s="166" t="s">
        <v>615</v>
      </c>
      <c r="D292" s="167">
        <v>6</v>
      </c>
      <c r="E292" s="163">
        <v>213.39</v>
      </c>
      <c r="F292" s="135">
        <v>6139.0996766483904</v>
      </c>
      <c r="G292" s="135">
        <v>0</v>
      </c>
      <c r="H292" s="135">
        <v>1542.7204180139652</v>
      </c>
      <c r="I292" s="135">
        <v>0</v>
      </c>
      <c r="J292" s="135">
        <v>96.49336894887297</v>
      </c>
      <c r="K292" s="135">
        <v>1378.3258821875443</v>
      </c>
      <c r="L292" s="135">
        <v>145.26933080275552</v>
      </c>
      <c r="M292" s="135">
        <v>982.80885819921752</v>
      </c>
      <c r="N292" s="135">
        <v>0</v>
      </c>
      <c r="O292" s="135">
        <v>-57.963775247199962</v>
      </c>
      <c r="P292" s="135">
        <v>769.3263976756175</v>
      </c>
      <c r="Q292" s="135">
        <v>726.94981020666387</v>
      </c>
      <c r="R292" s="135">
        <v>107.92427011575052</v>
      </c>
      <c r="S292" s="135">
        <v>11830.954237551578</v>
      </c>
      <c r="T292" s="135"/>
      <c r="U292" s="135">
        <v>6815.7739350485035</v>
      </c>
      <c r="V292" s="135">
        <v>0</v>
      </c>
      <c r="W292" s="135">
        <v>1218.1627067810114</v>
      </c>
      <c r="X292" s="135">
        <v>0</v>
      </c>
      <c r="Y292" s="135">
        <v>21.175265944983366</v>
      </c>
      <c r="Z292" s="135">
        <v>1592.8038660856712</v>
      </c>
      <c r="AA292" s="135">
        <v>200.07165284221381</v>
      </c>
      <c r="AB292" s="135">
        <v>1178.7791256790965</v>
      </c>
      <c r="AC292" s="135">
        <v>92.612739846944677</v>
      </c>
      <c r="AD292" s="135">
        <v>0</v>
      </c>
      <c r="AE292" s="135">
        <v>770.69806457659683</v>
      </c>
      <c r="AF292" s="135">
        <v>720.16695062413532</v>
      </c>
      <c r="AG292" s="135">
        <v>57.273630441913873</v>
      </c>
      <c r="AH292" s="135">
        <v>12667.517937871073</v>
      </c>
      <c r="AI292" s="135">
        <v>676.6742584001131</v>
      </c>
      <c r="AJ292" s="135">
        <v>0</v>
      </c>
      <c r="AK292" s="135">
        <v>-324.55771123295381</v>
      </c>
      <c r="AL292" s="135">
        <v>0</v>
      </c>
      <c r="AM292" s="135">
        <v>-75.318103003889604</v>
      </c>
      <c r="AN292" s="135">
        <v>214.47798389812692</v>
      </c>
      <c r="AO292" s="135">
        <v>54.802322039458289</v>
      </c>
      <c r="AP292" s="135">
        <v>195.970267479879</v>
      </c>
      <c r="AQ292" s="135">
        <v>92.612739846944677</v>
      </c>
      <c r="AR292" s="135">
        <v>57.963775247199962</v>
      </c>
      <c r="AS292" s="135">
        <v>1.371666900979335</v>
      </c>
      <c r="AT292" s="135">
        <v>-6.7828595825285447</v>
      </c>
      <c r="AU292" s="135">
        <v>-50.650639673836643</v>
      </c>
      <c r="AV292" s="135">
        <v>836.56370992622851</v>
      </c>
      <c r="AW292" s="135"/>
      <c r="AX292" s="164"/>
      <c r="AY292" s="132"/>
      <c r="AZ292" s="135"/>
      <c r="BA292" s="135"/>
    </row>
    <row r="293" spans="1:53" ht="16.5" x14ac:dyDescent="0.3">
      <c r="A293" s="165">
        <v>837</v>
      </c>
      <c r="B293" s="165">
        <v>1</v>
      </c>
      <c r="C293" s="166" t="s">
        <v>617</v>
      </c>
      <c r="D293" s="167">
        <v>6</v>
      </c>
      <c r="E293" s="163">
        <v>530.16</v>
      </c>
      <c r="F293" s="135">
        <v>6103.4363965595294</v>
      </c>
      <c r="G293" s="135">
        <v>45.927663346914137</v>
      </c>
      <c r="H293" s="135">
        <v>828.22102761430517</v>
      </c>
      <c r="I293" s="135">
        <v>0</v>
      </c>
      <c r="J293" s="135">
        <v>123.75115059604649</v>
      </c>
      <c r="K293" s="135">
        <v>750.75739399426584</v>
      </c>
      <c r="L293" s="135">
        <v>144.36887449071978</v>
      </c>
      <c r="M293" s="135">
        <v>1009.2536938212954</v>
      </c>
      <c r="N293" s="135">
        <v>0</v>
      </c>
      <c r="O293" s="135">
        <v>-58.188094160253513</v>
      </c>
      <c r="P293" s="135">
        <v>1896.2864984155726</v>
      </c>
      <c r="Q293" s="135">
        <v>433.39772898747549</v>
      </c>
      <c r="R293" s="135">
        <v>105.41959031235854</v>
      </c>
      <c r="S293" s="135">
        <v>11382.631923978228</v>
      </c>
      <c r="T293" s="135"/>
      <c r="U293" s="135">
        <v>6768.435943866004</v>
      </c>
      <c r="V293" s="135">
        <v>0</v>
      </c>
      <c r="W293" s="135">
        <v>551.8424060660933</v>
      </c>
      <c r="X293" s="135">
        <v>0</v>
      </c>
      <c r="Y293" s="135">
        <v>68.018183189980377</v>
      </c>
      <c r="Z293" s="135">
        <v>871.68068452983937</v>
      </c>
      <c r="AA293" s="135">
        <v>194.96016296966954</v>
      </c>
      <c r="AB293" s="135">
        <v>1210.7931021820837</v>
      </c>
      <c r="AC293" s="135">
        <v>65.234282052388281</v>
      </c>
      <c r="AD293" s="135">
        <v>0</v>
      </c>
      <c r="AE293" s="135">
        <v>1921.1153651124189</v>
      </c>
      <c r="AF293" s="135">
        <v>444.66102810273765</v>
      </c>
      <c r="AG293" s="135">
        <v>55.001188320507019</v>
      </c>
      <c r="AH293" s="135">
        <v>12151.74234639172</v>
      </c>
      <c r="AI293" s="135">
        <v>664.9995473064746</v>
      </c>
      <c r="AJ293" s="135">
        <v>-45.927663346914137</v>
      </c>
      <c r="AK293" s="135">
        <v>-276.37862154821187</v>
      </c>
      <c r="AL293" s="135">
        <v>0</v>
      </c>
      <c r="AM293" s="135">
        <v>-55.732967406066109</v>
      </c>
      <c r="AN293" s="135">
        <v>120.92329053557353</v>
      </c>
      <c r="AO293" s="135">
        <v>50.591288478949764</v>
      </c>
      <c r="AP293" s="135">
        <v>201.53940836078823</v>
      </c>
      <c r="AQ293" s="135">
        <v>65.234282052388281</v>
      </c>
      <c r="AR293" s="135">
        <v>58.188094160253513</v>
      </c>
      <c r="AS293" s="135">
        <v>24.828866696846262</v>
      </c>
      <c r="AT293" s="135">
        <v>11.263299115262157</v>
      </c>
      <c r="AU293" s="135">
        <v>-50.418401991851518</v>
      </c>
      <c r="AV293" s="135">
        <v>769.11042263445631</v>
      </c>
      <c r="AW293" s="135"/>
      <c r="AX293" s="132"/>
      <c r="AY293" s="132"/>
      <c r="AZ293" s="155"/>
      <c r="BA293" s="155"/>
    </row>
    <row r="294" spans="1:53" ht="16.5" x14ac:dyDescent="0.3">
      <c r="A294" s="165">
        <v>840</v>
      </c>
      <c r="B294" s="165">
        <v>1</v>
      </c>
      <c r="C294" s="166" t="s">
        <v>619</v>
      </c>
      <c r="D294" s="167">
        <v>5</v>
      </c>
      <c r="E294" s="163">
        <v>1042.47</v>
      </c>
      <c r="F294" s="135">
        <v>6092.5870288833248</v>
      </c>
      <c r="G294" s="135">
        <v>0.9849683923757997</v>
      </c>
      <c r="H294" s="135">
        <v>1036.4980287202509</v>
      </c>
      <c r="I294" s="135">
        <v>0</v>
      </c>
      <c r="J294" s="135">
        <v>115.11070822181934</v>
      </c>
      <c r="K294" s="135">
        <v>1041.5673544562433</v>
      </c>
      <c r="L294" s="135">
        <v>143.07198480531815</v>
      </c>
      <c r="M294" s="135">
        <v>707.66632332399683</v>
      </c>
      <c r="N294" s="135">
        <v>0</v>
      </c>
      <c r="O294" s="135">
        <v>-61.096511170585245</v>
      </c>
      <c r="P294" s="135">
        <v>934.33906779091956</v>
      </c>
      <c r="Q294" s="135">
        <v>176.36313754832273</v>
      </c>
      <c r="R294" s="135">
        <v>94.434343434343432</v>
      </c>
      <c r="S294" s="135">
        <v>10281.526434406327</v>
      </c>
      <c r="T294" s="135"/>
      <c r="U294" s="135">
        <v>6762.4000690667363</v>
      </c>
      <c r="V294" s="135">
        <v>0</v>
      </c>
      <c r="W294" s="135">
        <v>718.73177165769766</v>
      </c>
      <c r="X294" s="135">
        <v>0</v>
      </c>
      <c r="Y294" s="135">
        <v>54.912553838479766</v>
      </c>
      <c r="Z294" s="135">
        <v>1243.5363330123123</v>
      </c>
      <c r="AA294" s="135">
        <v>220.38230356748875</v>
      </c>
      <c r="AB294" s="135">
        <v>838.99260763472626</v>
      </c>
      <c r="AC294" s="135">
        <v>88.342029575163139</v>
      </c>
      <c r="AD294" s="135">
        <v>0</v>
      </c>
      <c r="AE294" s="135">
        <v>933.01550135063837</v>
      </c>
      <c r="AF294" s="135">
        <v>181.46529876159505</v>
      </c>
      <c r="AG294" s="135">
        <v>45.158105269216378</v>
      </c>
      <c r="AH294" s="135">
        <v>11086.936573734056</v>
      </c>
      <c r="AI294" s="135">
        <v>669.81304018341143</v>
      </c>
      <c r="AJ294" s="135">
        <v>-0.9849683923757997</v>
      </c>
      <c r="AK294" s="135">
        <v>-317.76625706255322</v>
      </c>
      <c r="AL294" s="135">
        <v>0</v>
      </c>
      <c r="AM294" s="135">
        <v>-60.19815438333957</v>
      </c>
      <c r="AN294" s="135">
        <v>201.96897855606903</v>
      </c>
      <c r="AO294" s="135">
        <v>77.310318762170596</v>
      </c>
      <c r="AP294" s="135">
        <v>131.32628431072942</v>
      </c>
      <c r="AQ294" s="135">
        <v>88.342029575163139</v>
      </c>
      <c r="AR294" s="135">
        <v>61.096511170585245</v>
      </c>
      <c r="AS294" s="135">
        <v>-1.3235664402811835</v>
      </c>
      <c r="AT294" s="135">
        <v>5.1021612132723249</v>
      </c>
      <c r="AU294" s="135">
        <v>-49.276238165127054</v>
      </c>
      <c r="AV294" s="135">
        <v>805.41014467721925</v>
      </c>
      <c r="AW294" s="135"/>
      <c r="AX294" s="132"/>
      <c r="AY294" s="132"/>
      <c r="AZ294" s="155"/>
      <c r="BA294" s="155"/>
    </row>
    <row r="295" spans="1:53" ht="16.5" x14ac:dyDescent="0.3">
      <c r="A295" s="165">
        <v>846</v>
      </c>
      <c r="B295" s="165">
        <v>1</v>
      </c>
      <c r="C295" s="166" t="s">
        <v>538</v>
      </c>
      <c r="D295" s="167">
        <v>6</v>
      </c>
      <c r="E295" s="163">
        <v>701.17000000000007</v>
      </c>
      <c r="F295" s="135">
        <v>6159.1002467304643</v>
      </c>
      <c r="G295" s="135">
        <v>0</v>
      </c>
      <c r="H295" s="135">
        <v>849.72829698931776</v>
      </c>
      <c r="I295" s="135">
        <v>0</v>
      </c>
      <c r="J295" s="135">
        <v>123.50033515409956</v>
      </c>
      <c r="K295" s="135">
        <v>477.91418628863181</v>
      </c>
      <c r="L295" s="135">
        <v>0</v>
      </c>
      <c r="M295" s="135">
        <v>660.17036267143783</v>
      </c>
      <c r="N295" s="135">
        <v>0</v>
      </c>
      <c r="O295" s="135">
        <v>-63.250210362679518</v>
      </c>
      <c r="P295" s="135">
        <v>841.73025657115954</v>
      </c>
      <c r="Q295" s="135">
        <v>470.83082562003506</v>
      </c>
      <c r="R295" s="135">
        <v>98.921673773835153</v>
      </c>
      <c r="S295" s="135">
        <v>9618.6459734363016</v>
      </c>
      <c r="T295" s="135"/>
      <c r="U295" s="135">
        <v>6834.8328650683843</v>
      </c>
      <c r="V295" s="135">
        <v>0</v>
      </c>
      <c r="W295" s="135">
        <v>527.98134546543633</v>
      </c>
      <c r="X295" s="135">
        <v>0</v>
      </c>
      <c r="Y295" s="135">
        <v>69.534934466677115</v>
      </c>
      <c r="Z295" s="135">
        <v>592.85733815169715</v>
      </c>
      <c r="AA295" s="135">
        <v>0</v>
      </c>
      <c r="AB295" s="135">
        <v>712.67209332701259</v>
      </c>
      <c r="AC295" s="135">
        <v>56.452657860260771</v>
      </c>
      <c r="AD295" s="135">
        <v>0</v>
      </c>
      <c r="AE295" s="135">
        <v>949.84368079067826</v>
      </c>
      <c r="AF295" s="135">
        <v>506.56813288240778</v>
      </c>
      <c r="AG295" s="135">
        <v>47.302009498409795</v>
      </c>
      <c r="AH295" s="135">
        <v>10298.045057510964</v>
      </c>
      <c r="AI295" s="135">
        <v>675.73261833792003</v>
      </c>
      <c r="AJ295" s="135">
        <v>0</v>
      </c>
      <c r="AK295" s="135">
        <v>-321.74695152388142</v>
      </c>
      <c r="AL295" s="135">
        <v>0</v>
      </c>
      <c r="AM295" s="135">
        <v>-53.965400687422445</v>
      </c>
      <c r="AN295" s="135">
        <v>114.94315186306534</v>
      </c>
      <c r="AO295" s="135">
        <v>0</v>
      </c>
      <c r="AP295" s="135">
        <v>52.501730655574761</v>
      </c>
      <c r="AQ295" s="135">
        <v>56.452657860260771</v>
      </c>
      <c r="AR295" s="135">
        <v>63.250210362679518</v>
      </c>
      <c r="AS295" s="135">
        <v>108.11342421951872</v>
      </c>
      <c r="AT295" s="135">
        <v>35.737307262372724</v>
      </c>
      <c r="AU295" s="135">
        <v>-51.619664275425357</v>
      </c>
      <c r="AV295" s="135">
        <v>679.39909191051038</v>
      </c>
      <c r="AW295" s="135"/>
      <c r="AX295" s="164"/>
      <c r="AY295" s="132"/>
      <c r="AZ295" s="135"/>
      <c r="BA295" s="135"/>
    </row>
    <row r="296" spans="1:53" ht="16.5" x14ac:dyDescent="0.3">
      <c r="A296" s="165">
        <v>850</v>
      </c>
      <c r="B296" s="165">
        <v>1</v>
      </c>
      <c r="C296" s="166" t="s">
        <v>265</v>
      </c>
      <c r="D296" s="167">
        <v>6</v>
      </c>
      <c r="E296" s="163">
        <v>257.95999999999998</v>
      </c>
      <c r="F296" s="135">
        <v>5905.8579624748036</v>
      </c>
      <c r="G296" s="135">
        <v>0</v>
      </c>
      <c r="H296" s="135">
        <v>1989.022096449062</v>
      </c>
      <c r="I296" s="135">
        <v>0</v>
      </c>
      <c r="J296" s="135">
        <v>76.118196619630965</v>
      </c>
      <c r="K296" s="135">
        <v>468.48414482865564</v>
      </c>
      <c r="L296" s="135">
        <v>90.144378973484265</v>
      </c>
      <c r="M296" s="135">
        <v>275.48576392743064</v>
      </c>
      <c r="N296" s="135">
        <v>0</v>
      </c>
      <c r="O296" s="135">
        <v>-45.242091797177856</v>
      </c>
      <c r="P296" s="135">
        <v>449.66702589548771</v>
      </c>
      <c r="Q296" s="135">
        <v>887.33450922623661</v>
      </c>
      <c r="R296" s="135">
        <v>83.414986819661976</v>
      </c>
      <c r="S296" s="135">
        <v>10180.286973417275</v>
      </c>
      <c r="T296" s="135"/>
      <c r="U296" s="135">
        <v>6498.3098154752679</v>
      </c>
      <c r="V296" s="135">
        <v>0</v>
      </c>
      <c r="W296" s="135">
        <v>1679.5861761513413</v>
      </c>
      <c r="X296" s="135">
        <v>0</v>
      </c>
      <c r="Y296" s="135">
        <v>0</v>
      </c>
      <c r="Z296" s="135">
        <v>578.23158629244847</v>
      </c>
      <c r="AA296" s="135">
        <v>63.784268878895958</v>
      </c>
      <c r="AB296" s="135">
        <v>305.48639973710863</v>
      </c>
      <c r="AC296" s="135">
        <v>63.045043483309996</v>
      </c>
      <c r="AD296" s="135">
        <v>0</v>
      </c>
      <c r="AE296" s="135">
        <v>493.78441600248101</v>
      </c>
      <c r="AF296" s="135">
        <v>835.26344547910321</v>
      </c>
      <c r="AG296" s="135">
        <v>40.120832687238334</v>
      </c>
      <c r="AH296" s="135">
        <v>10557.611984187193</v>
      </c>
      <c r="AI296" s="135">
        <v>592.45185300046433</v>
      </c>
      <c r="AJ296" s="135">
        <v>0</v>
      </c>
      <c r="AK296" s="135">
        <v>-309.43592029772071</v>
      </c>
      <c r="AL296" s="135">
        <v>0</v>
      </c>
      <c r="AM296" s="135">
        <v>-76.118196619630965</v>
      </c>
      <c r="AN296" s="135">
        <v>109.74744146379282</v>
      </c>
      <c r="AO296" s="135">
        <v>-26.360110094588308</v>
      </c>
      <c r="AP296" s="135">
        <v>30.000635809677988</v>
      </c>
      <c r="AQ296" s="135">
        <v>63.045043483309996</v>
      </c>
      <c r="AR296" s="135">
        <v>45.242091797177856</v>
      </c>
      <c r="AS296" s="135">
        <v>44.117390106993298</v>
      </c>
      <c r="AT296" s="135">
        <v>-52.071063747133394</v>
      </c>
      <c r="AU296" s="135">
        <v>-43.294154132423643</v>
      </c>
      <c r="AV296" s="135">
        <v>377.32501710694328</v>
      </c>
      <c r="AW296" s="135"/>
      <c r="AX296" s="164"/>
      <c r="AY296" s="132"/>
      <c r="AZ296" s="135"/>
      <c r="BA296" s="135"/>
    </row>
    <row r="297" spans="1:53" ht="16.5" x14ac:dyDescent="0.3">
      <c r="A297" s="165">
        <v>852</v>
      </c>
      <c r="B297" s="165">
        <v>1</v>
      </c>
      <c r="C297" s="166" t="s">
        <v>588</v>
      </c>
      <c r="D297" s="167">
        <v>6</v>
      </c>
      <c r="E297" s="163">
        <v>123.33</v>
      </c>
      <c r="F297" s="135">
        <v>5999.5731776534503</v>
      </c>
      <c r="G297" s="135">
        <v>0</v>
      </c>
      <c r="H297" s="135">
        <v>3813.378739965945</v>
      </c>
      <c r="I297" s="135">
        <v>0</v>
      </c>
      <c r="J297" s="135">
        <v>52.829319711343544</v>
      </c>
      <c r="K297" s="135">
        <v>1141.1950052704128</v>
      </c>
      <c r="L297" s="135">
        <v>0</v>
      </c>
      <c r="M297" s="135">
        <v>904.89664597003161</v>
      </c>
      <c r="N297" s="135">
        <v>0</v>
      </c>
      <c r="O297" s="135">
        <v>-96.511554366334224</v>
      </c>
      <c r="P297" s="135">
        <v>515.01644368766711</v>
      </c>
      <c r="Q297" s="135">
        <v>2074.4268223465501</v>
      </c>
      <c r="R297" s="135">
        <v>100.45706640720019</v>
      </c>
      <c r="S297" s="135">
        <v>14505.261666646265</v>
      </c>
      <c r="T297" s="135"/>
      <c r="U297" s="135">
        <v>6642.0890294332285</v>
      </c>
      <c r="V297" s="135">
        <v>0</v>
      </c>
      <c r="W297" s="135">
        <v>3497.124543906592</v>
      </c>
      <c r="X297" s="135">
        <v>0</v>
      </c>
      <c r="Y297" s="135">
        <v>0</v>
      </c>
      <c r="Z297" s="135">
        <v>1327.1742896828007</v>
      </c>
      <c r="AA297" s="135">
        <v>0</v>
      </c>
      <c r="AB297" s="135">
        <v>992.91566744196325</v>
      </c>
      <c r="AC297" s="135">
        <v>100.15118257895243</v>
      </c>
      <c r="AD297" s="135">
        <v>0</v>
      </c>
      <c r="AE297" s="135">
        <v>515.59440393253885</v>
      </c>
      <c r="AF297" s="135">
        <v>2099.4246923871342</v>
      </c>
      <c r="AG297" s="135">
        <v>47.991486256385308</v>
      </c>
      <c r="AH297" s="135">
        <v>15222.465295619595</v>
      </c>
      <c r="AI297" s="135">
        <v>642.51585177977813</v>
      </c>
      <c r="AJ297" s="135">
        <v>0</v>
      </c>
      <c r="AK297" s="135">
        <v>-316.25419605935303</v>
      </c>
      <c r="AL297" s="135">
        <v>0</v>
      </c>
      <c r="AM297" s="135">
        <v>-52.829319711343544</v>
      </c>
      <c r="AN297" s="135">
        <v>185.97928441238787</v>
      </c>
      <c r="AO297" s="135">
        <v>0</v>
      </c>
      <c r="AP297" s="135">
        <v>88.019021471931637</v>
      </c>
      <c r="AQ297" s="135">
        <v>100.15118257895243</v>
      </c>
      <c r="AR297" s="135">
        <v>96.511554366334224</v>
      </c>
      <c r="AS297" s="135">
        <v>0.57796024487174691</v>
      </c>
      <c r="AT297" s="135">
        <v>24.997870040584075</v>
      </c>
      <c r="AU297" s="135">
        <v>-52.46558015081488</v>
      </c>
      <c r="AV297" s="135">
        <v>717.20363723421474</v>
      </c>
      <c r="AW297" s="135"/>
      <c r="AX297" s="164"/>
      <c r="AY297" s="132"/>
      <c r="AZ297" s="135"/>
      <c r="BA297" s="135"/>
    </row>
    <row r="298" spans="1:53" ht="16.5" x14ac:dyDescent="0.3">
      <c r="A298" s="165">
        <v>857</v>
      </c>
      <c r="B298" s="165">
        <v>1</v>
      </c>
      <c r="C298" s="166" t="s">
        <v>404</v>
      </c>
      <c r="D298" s="167">
        <v>6</v>
      </c>
      <c r="E298" s="163">
        <v>776.71</v>
      </c>
      <c r="F298" s="135">
        <v>6089.0730388433258</v>
      </c>
      <c r="G298" s="135">
        <v>9.6627956380116125</v>
      </c>
      <c r="H298" s="135">
        <v>877.57649573199774</v>
      </c>
      <c r="I298" s="135">
        <v>0</v>
      </c>
      <c r="J298" s="135">
        <v>123.16851849467626</v>
      </c>
      <c r="K298" s="135">
        <v>337.7036088115255</v>
      </c>
      <c r="L298" s="135">
        <v>0</v>
      </c>
      <c r="M298" s="135">
        <v>787.56374269130049</v>
      </c>
      <c r="N298" s="135">
        <v>0</v>
      </c>
      <c r="O298" s="135">
        <v>-49.939745851089846</v>
      </c>
      <c r="P298" s="135">
        <v>727.68134567599236</v>
      </c>
      <c r="Q298" s="135">
        <v>239.55326956006746</v>
      </c>
      <c r="R298" s="135">
        <v>103.65342277040335</v>
      </c>
      <c r="S298" s="135">
        <v>9245.696492366209</v>
      </c>
      <c r="T298" s="135"/>
      <c r="U298" s="135">
        <v>6719.7512585134727</v>
      </c>
      <c r="V298" s="135">
        <v>0</v>
      </c>
      <c r="W298" s="135">
        <v>567.25367254187529</v>
      </c>
      <c r="X298" s="135">
        <v>0</v>
      </c>
      <c r="Y298" s="135">
        <v>66.144597082566207</v>
      </c>
      <c r="Z298" s="135">
        <v>428.18820059337514</v>
      </c>
      <c r="AA298" s="135">
        <v>0</v>
      </c>
      <c r="AB298" s="135">
        <v>888.37235127727263</v>
      </c>
      <c r="AC298" s="135">
        <v>60.652221962323608</v>
      </c>
      <c r="AD298" s="135">
        <v>0</v>
      </c>
      <c r="AE298" s="135">
        <v>791.05879301927371</v>
      </c>
      <c r="AF298" s="135">
        <v>251.70930923077026</v>
      </c>
      <c r="AG298" s="135">
        <v>55.812323775926657</v>
      </c>
      <c r="AH298" s="135">
        <v>9828.942727996855</v>
      </c>
      <c r="AI298" s="135">
        <v>630.67821967014697</v>
      </c>
      <c r="AJ298" s="135">
        <v>-9.6627956380116125</v>
      </c>
      <c r="AK298" s="135">
        <v>-310.32282319012245</v>
      </c>
      <c r="AL298" s="135">
        <v>0</v>
      </c>
      <c r="AM298" s="135">
        <v>-57.023921412110056</v>
      </c>
      <c r="AN298" s="135">
        <v>90.484591781849645</v>
      </c>
      <c r="AO298" s="135">
        <v>0</v>
      </c>
      <c r="AP298" s="135">
        <v>100.80860858597214</v>
      </c>
      <c r="AQ298" s="135">
        <v>60.652221962323608</v>
      </c>
      <c r="AR298" s="135">
        <v>49.939745851089846</v>
      </c>
      <c r="AS298" s="135">
        <v>63.377447343281347</v>
      </c>
      <c r="AT298" s="135">
        <v>12.156039670702796</v>
      </c>
      <c r="AU298" s="135">
        <v>-47.841098994476695</v>
      </c>
      <c r="AV298" s="135">
        <v>583.24623620313741</v>
      </c>
      <c r="AW298" s="135"/>
      <c r="AX298" s="132"/>
      <c r="AY298" s="132"/>
      <c r="AZ298" s="155"/>
      <c r="BA298" s="155"/>
    </row>
    <row r="299" spans="1:53" ht="16.5" x14ac:dyDescent="0.3">
      <c r="A299" s="165">
        <v>858</v>
      </c>
      <c r="B299" s="165">
        <v>1</v>
      </c>
      <c r="C299" s="166" t="s">
        <v>589</v>
      </c>
      <c r="D299" s="167">
        <v>6</v>
      </c>
      <c r="E299" s="163">
        <v>983.44999999999993</v>
      </c>
      <c r="F299" s="135">
        <v>6018.9807717728409</v>
      </c>
      <c r="G299" s="135">
        <v>11.095480197264733</v>
      </c>
      <c r="H299" s="135">
        <v>360.01182571559309</v>
      </c>
      <c r="I299" s="135">
        <v>0</v>
      </c>
      <c r="J299" s="135">
        <v>139.86295185316996</v>
      </c>
      <c r="K299" s="135">
        <v>286.04094768417309</v>
      </c>
      <c r="L299" s="135">
        <v>0</v>
      </c>
      <c r="M299" s="135">
        <v>558.87794795371201</v>
      </c>
      <c r="N299" s="135">
        <v>0</v>
      </c>
      <c r="O299" s="135">
        <v>-51.013574660633488</v>
      </c>
      <c r="P299" s="135">
        <v>1046.2583517209823</v>
      </c>
      <c r="Q299" s="135">
        <v>144.33340790075755</v>
      </c>
      <c r="R299" s="135">
        <v>72.579795617469117</v>
      </c>
      <c r="S299" s="135">
        <v>8587.0279057553289</v>
      </c>
      <c r="T299" s="135"/>
      <c r="U299" s="135">
        <v>6654.4450658396463</v>
      </c>
      <c r="V299" s="135">
        <v>0</v>
      </c>
      <c r="W299" s="135">
        <v>54.22845086176217</v>
      </c>
      <c r="X299" s="135">
        <v>0</v>
      </c>
      <c r="Y299" s="135">
        <v>101.75265646448726</v>
      </c>
      <c r="Z299" s="135">
        <v>371.17877833874911</v>
      </c>
      <c r="AA299" s="135">
        <v>0</v>
      </c>
      <c r="AB299" s="135">
        <v>643.60065595583978</v>
      </c>
      <c r="AC299" s="135">
        <v>60.161063857709017</v>
      </c>
      <c r="AD299" s="135">
        <v>0</v>
      </c>
      <c r="AE299" s="135">
        <v>1207.8005298266307</v>
      </c>
      <c r="AF299" s="135">
        <v>152.6508617621638</v>
      </c>
      <c r="AG299" s="135">
        <v>58.753652956428901</v>
      </c>
      <c r="AH299" s="135">
        <v>9304.5717158634179</v>
      </c>
      <c r="AI299" s="135">
        <v>635.46429406680545</v>
      </c>
      <c r="AJ299" s="135">
        <v>-11.095480197264733</v>
      </c>
      <c r="AK299" s="135">
        <v>-305.78337485383094</v>
      </c>
      <c r="AL299" s="135">
        <v>0</v>
      </c>
      <c r="AM299" s="135">
        <v>-38.110295388682701</v>
      </c>
      <c r="AN299" s="135">
        <v>85.137830654576021</v>
      </c>
      <c r="AO299" s="135">
        <v>0</v>
      </c>
      <c r="AP299" s="135">
        <v>84.722708002127774</v>
      </c>
      <c r="AQ299" s="135">
        <v>60.161063857709017</v>
      </c>
      <c r="AR299" s="135">
        <v>51.013574660633488</v>
      </c>
      <c r="AS299" s="135">
        <v>161.54217810564842</v>
      </c>
      <c r="AT299" s="135">
        <v>8.3174538614062499</v>
      </c>
      <c r="AU299" s="135">
        <v>-13.826142661040215</v>
      </c>
      <c r="AV299" s="135">
        <v>717.54381717346416</v>
      </c>
      <c r="AW299" s="135"/>
      <c r="AX299" s="132"/>
      <c r="AY299" s="132"/>
      <c r="AZ299" s="155"/>
      <c r="BA299" s="155"/>
    </row>
    <row r="300" spans="1:53" ht="16.5" x14ac:dyDescent="0.3">
      <c r="A300" s="165">
        <v>861</v>
      </c>
      <c r="B300" s="165">
        <v>1</v>
      </c>
      <c r="C300" s="166" t="s">
        <v>623</v>
      </c>
      <c r="D300" s="167">
        <v>4</v>
      </c>
      <c r="E300" s="163">
        <v>3441.45</v>
      </c>
      <c r="F300" s="135">
        <v>6106.893873222044</v>
      </c>
      <c r="G300" s="135">
        <v>22.947612198346629</v>
      </c>
      <c r="H300" s="135">
        <v>2025.7981374130093</v>
      </c>
      <c r="I300" s="135">
        <v>0</v>
      </c>
      <c r="J300" s="135">
        <v>76.920675877900294</v>
      </c>
      <c r="K300" s="135">
        <v>434.37602464077639</v>
      </c>
      <c r="L300" s="135">
        <v>0</v>
      </c>
      <c r="M300" s="135">
        <v>1490.4921324328132</v>
      </c>
      <c r="N300" s="135">
        <v>0</v>
      </c>
      <c r="O300" s="135">
        <v>-69.045820802278115</v>
      </c>
      <c r="P300" s="135">
        <v>1235.6174740298422</v>
      </c>
      <c r="Q300" s="135">
        <v>113.24173240930422</v>
      </c>
      <c r="R300" s="135">
        <v>131.31487890278808</v>
      </c>
      <c r="S300" s="135">
        <v>11568.556720324546</v>
      </c>
      <c r="T300" s="135"/>
      <c r="U300" s="135">
        <v>6750.1320664254899</v>
      </c>
      <c r="V300" s="135">
        <v>0</v>
      </c>
      <c r="W300" s="135">
        <v>1513.0260297258424</v>
      </c>
      <c r="X300" s="135">
        <v>250.60900669008569</v>
      </c>
      <c r="Y300" s="135">
        <v>0</v>
      </c>
      <c r="Z300" s="135">
        <v>513.68789746155426</v>
      </c>
      <c r="AA300" s="135">
        <v>0</v>
      </c>
      <c r="AB300" s="135">
        <v>1834.4121177160673</v>
      </c>
      <c r="AC300" s="135">
        <v>65.929180195797471</v>
      </c>
      <c r="AD300" s="135">
        <v>0</v>
      </c>
      <c r="AE300" s="135">
        <v>1235.9384314036236</v>
      </c>
      <c r="AF300" s="135">
        <v>123.54884714291941</v>
      </c>
      <c r="AG300" s="135">
        <v>84.504766886050945</v>
      </c>
      <c r="AH300" s="135">
        <v>12371.788343647429</v>
      </c>
      <c r="AI300" s="135">
        <v>643.23819320344592</v>
      </c>
      <c r="AJ300" s="135">
        <v>-22.947612198346629</v>
      </c>
      <c r="AK300" s="135">
        <v>-512.77210768716691</v>
      </c>
      <c r="AL300" s="135">
        <v>250.60900669008569</v>
      </c>
      <c r="AM300" s="135">
        <v>-76.920675877900294</v>
      </c>
      <c r="AN300" s="135">
        <v>79.311872820777864</v>
      </c>
      <c r="AO300" s="135">
        <v>0</v>
      </c>
      <c r="AP300" s="135">
        <v>343.91998528325416</v>
      </c>
      <c r="AQ300" s="135">
        <v>65.929180195797471</v>
      </c>
      <c r="AR300" s="135">
        <v>69.045820802278115</v>
      </c>
      <c r="AS300" s="135">
        <v>0.32095737378131162</v>
      </c>
      <c r="AT300" s="135">
        <v>10.307114733615194</v>
      </c>
      <c r="AU300" s="135">
        <v>-46.810112016737136</v>
      </c>
      <c r="AV300" s="135">
        <v>803.23163071200156</v>
      </c>
      <c r="AW300" s="135"/>
      <c r="AX300" s="164"/>
      <c r="AY300" s="132"/>
      <c r="AZ300" s="135"/>
      <c r="BA300" s="135"/>
    </row>
    <row r="301" spans="1:53" ht="16.5" x14ac:dyDescent="0.3">
      <c r="A301" s="165">
        <v>876</v>
      </c>
      <c r="B301" s="165">
        <v>1</v>
      </c>
      <c r="C301" s="166" t="s">
        <v>387</v>
      </c>
      <c r="D301" s="167">
        <v>5</v>
      </c>
      <c r="E301" s="163">
        <v>1631.63</v>
      </c>
      <c r="F301" s="135">
        <v>6063.0071278414835</v>
      </c>
      <c r="G301" s="135">
        <v>11.443574830077896</v>
      </c>
      <c r="H301" s="135">
        <v>780.51236493567774</v>
      </c>
      <c r="I301" s="135">
        <v>0</v>
      </c>
      <c r="J301" s="135">
        <v>124.79999141962331</v>
      </c>
      <c r="K301" s="135">
        <v>228.30983740186196</v>
      </c>
      <c r="L301" s="135">
        <v>101.65660842225259</v>
      </c>
      <c r="M301" s="135">
        <v>959.29063472753876</v>
      </c>
      <c r="N301" s="135">
        <v>0</v>
      </c>
      <c r="O301" s="135">
        <v>-44.991248015787896</v>
      </c>
      <c r="P301" s="135">
        <v>1888.9968154544842</v>
      </c>
      <c r="Q301" s="135">
        <v>124.48662993448268</v>
      </c>
      <c r="R301" s="135">
        <v>383.36893781065561</v>
      </c>
      <c r="S301" s="135">
        <v>10620.881274762351</v>
      </c>
      <c r="T301" s="135"/>
      <c r="U301" s="135">
        <v>6709.5202711399024</v>
      </c>
      <c r="V301" s="135">
        <v>0</v>
      </c>
      <c r="W301" s="135">
        <v>473.70520277268741</v>
      </c>
      <c r="X301" s="135">
        <v>0</v>
      </c>
      <c r="Y301" s="135">
        <v>72.247402903844616</v>
      </c>
      <c r="Z301" s="135">
        <v>254.07345308458736</v>
      </c>
      <c r="AA301" s="135">
        <v>69.435950552514967</v>
      </c>
      <c r="AB301" s="135">
        <v>1069.7439637069001</v>
      </c>
      <c r="AC301" s="135">
        <v>72.296357154353686</v>
      </c>
      <c r="AD301" s="135">
        <v>0</v>
      </c>
      <c r="AE301" s="135">
        <v>2010.2571196435465</v>
      </c>
      <c r="AF301" s="135">
        <v>125.98475144487414</v>
      </c>
      <c r="AG301" s="135">
        <v>334.42729050091015</v>
      </c>
      <c r="AH301" s="135">
        <v>11191.69176290412</v>
      </c>
      <c r="AI301" s="135">
        <v>646.51314329841898</v>
      </c>
      <c r="AJ301" s="135">
        <v>-11.443574830077896</v>
      </c>
      <c r="AK301" s="135">
        <v>-306.80716216299032</v>
      </c>
      <c r="AL301" s="135">
        <v>0</v>
      </c>
      <c r="AM301" s="135">
        <v>-52.552588515778695</v>
      </c>
      <c r="AN301" s="135">
        <v>25.763615682725401</v>
      </c>
      <c r="AO301" s="135">
        <v>-32.220657869737622</v>
      </c>
      <c r="AP301" s="135">
        <v>110.45332897936134</v>
      </c>
      <c r="AQ301" s="135">
        <v>72.296357154353686</v>
      </c>
      <c r="AR301" s="135">
        <v>44.991248015787896</v>
      </c>
      <c r="AS301" s="135">
        <v>121.26030418906225</v>
      </c>
      <c r="AT301" s="135">
        <v>1.4981215103914565</v>
      </c>
      <c r="AU301" s="135">
        <v>-48.941647309745463</v>
      </c>
      <c r="AV301" s="135">
        <v>570.8104960590033</v>
      </c>
      <c r="AW301" s="135"/>
      <c r="AX301" s="132"/>
      <c r="AY301" s="132"/>
      <c r="AZ301" s="155"/>
      <c r="BA301" s="155"/>
    </row>
    <row r="302" spans="1:53" ht="16.5" x14ac:dyDescent="0.3">
      <c r="A302" s="165">
        <v>877</v>
      </c>
      <c r="B302" s="165">
        <v>1</v>
      </c>
      <c r="C302" s="166" t="s">
        <v>625</v>
      </c>
      <c r="D302" s="167">
        <v>4</v>
      </c>
      <c r="E302" s="163">
        <v>5811.92</v>
      </c>
      <c r="F302" s="135">
        <v>6014.1993007474302</v>
      </c>
      <c r="G302" s="135">
        <v>12.353055444672329</v>
      </c>
      <c r="H302" s="135">
        <v>593.12974025795256</v>
      </c>
      <c r="I302" s="135">
        <v>0</v>
      </c>
      <c r="J302" s="135">
        <v>130.56476689286845</v>
      </c>
      <c r="K302" s="135">
        <v>262.3581966028438</v>
      </c>
      <c r="L302" s="135">
        <v>102.52167132376218</v>
      </c>
      <c r="M302" s="135">
        <v>879.3987902376507</v>
      </c>
      <c r="N302" s="135">
        <v>0</v>
      </c>
      <c r="O302" s="135">
        <v>-27.233454693113465</v>
      </c>
      <c r="P302" s="135">
        <v>1545.7228925577581</v>
      </c>
      <c r="Q302" s="135">
        <v>59.946277650070883</v>
      </c>
      <c r="R302" s="135">
        <v>113.1206950543022</v>
      </c>
      <c r="S302" s="135">
        <v>9686.0819320761984</v>
      </c>
      <c r="T302" s="135"/>
      <c r="U302" s="135">
        <v>6650.3528954287049</v>
      </c>
      <c r="V302" s="135">
        <v>0</v>
      </c>
      <c r="W302" s="135">
        <v>77.671900163801283</v>
      </c>
      <c r="X302" s="135">
        <v>245.85402403326057</v>
      </c>
      <c r="Y302" s="135">
        <v>100.01316432435409</v>
      </c>
      <c r="Z302" s="135">
        <v>295.98908310465015</v>
      </c>
      <c r="AA302" s="135">
        <v>76.263434458836315</v>
      </c>
      <c r="AB302" s="135">
        <v>1172.2060482993436</v>
      </c>
      <c r="AC302" s="135">
        <v>61.95576700405352</v>
      </c>
      <c r="AD302" s="135">
        <v>10.186650883012842</v>
      </c>
      <c r="AE302" s="135">
        <v>1642.23786746165</v>
      </c>
      <c r="AF302" s="135">
        <v>66.746319632754748</v>
      </c>
      <c r="AG302" s="135">
        <v>64.604008658068253</v>
      </c>
      <c r="AH302" s="135">
        <v>10464.081163452493</v>
      </c>
      <c r="AI302" s="135">
        <v>636.15359468127463</v>
      </c>
      <c r="AJ302" s="135">
        <v>-12.353055444672329</v>
      </c>
      <c r="AK302" s="135">
        <v>-515.45784009415127</v>
      </c>
      <c r="AL302" s="135">
        <v>245.85402403326057</v>
      </c>
      <c r="AM302" s="135">
        <v>-30.551602568514355</v>
      </c>
      <c r="AN302" s="135">
        <v>33.630886501806344</v>
      </c>
      <c r="AO302" s="135">
        <v>-26.258236864925863</v>
      </c>
      <c r="AP302" s="135">
        <v>292.80725806169289</v>
      </c>
      <c r="AQ302" s="135">
        <v>61.95576700405352</v>
      </c>
      <c r="AR302" s="135">
        <v>37.420105576126304</v>
      </c>
      <c r="AS302" s="135">
        <v>96.514974903891925</v>
      </c>
      <c r="AT302" s="135">
        <v>6.8000419826838652</v>
      </c>
      <c r="AU302" s="135">
        <v>-48.516686396233951</v>
      </c>
      <c r="AV302" s="135">
        <v>777.99923282896418</v>
      </c>
      <c r="AW302" s="135"/>
      <c r="AX302" s="164"/>
      <c r="AY302" s="132"/>
      <c r="AZ302" s="135"/>
      <c r="BA302" s="135"/>
    </row>
    <row r="303" spans="1:53" ht="16.5" x14ac:dyDescent="0.3">
      <c r="A303" s="165">
        <v>879</v>
      </c>
      <c r="B303" s="165">
        <v>1</v>
      </c>
      <c r="C303" s="166" t="s">
        <v>626</v>
      </c>
      <c r="D303" s="167">
        <v>4</v>
      </c>
      <c r="E303" s="163">
        <v>2327.54</v>
      </c>
      <c r="F303" s="135">
        <v>6066.2895933045193</v>
      </c>
      <c r="G303" s="135">
        <v>0</v>
      </c>
      <c r="H303" s="135">
        <v>517.4503080505599</v>
      </c>
      <c r="I303" s="135">
        <v>0</v>
      </c>
      <c r="J303" s="135">
        <v>123.56697629256641</v>
      </c>
      <c r="K303" s="135">
        <v>70.260227536368873</v>
      </c>
      <c r="L303" s="135">
        <v>0</v>
      </c>
      <c r="M303" s="135">
        <v>639.25012225214175</v>
      </c>
      <c r="N303" s="135">
        <v>0</v>
      </c>
      <c r="O303" s="135">
        <v>-29.323848354915487</v>
      </c>
      <c r="P303" s="135">
        <v>1357.2143115907779</v>
      </c>
      <c r="Q303" s="135">
        <v>69.755364032411904</v>
      </c>
      <c r="R303" s="135">
        <v>367.38271307904483</v>
      </c>
      <c r="S303" s="135">
        <v>9181.845767783474</v>
      </c>
      <c r="T303" s="135"/>
      <c r="U303" s="135">
        <v>6714.8319685161168</v>
      </c>
      <c r="V303" s="135">
        <v>0</v>
      </c>
      <c r="W303" s="135">
        <v>282.31072290916592</v>
      </c>
      <c r="X303" s="135">
        <v>247.09672179350892</v>
      </c>
      <c r="Y303" s="135">
        <v>86.419584625828136</v>
      </c>
      <c r="Z303" s="135">
        <v>70.658621829374709</v>
      </c>
      <c r="AA303" s="135">
        <v>0</v>
      </c>
      <c r="AB303" s="135">
        <v>769.74780881942388</v>
      </c>
      <c r="AC303" s="135">
        <v>36.277756570814546</v>
      </c>
      <c r="AD303" s="135">
        <v>8.4628191137424054</v>
      </c>
      <c r="AE303" s="135">
        <v>1428.869727111027</v>
      </c>
      <c r="AF303" s="135">
        <v>71.784751282469912</v>
      </c>
      <c r="AG303" s="135">
        <v>319.10567380152435</v>
      </c>
      <c r="AH303" s="135">
        <v>10035.566156372995</v>
      </c>
      <c r="AI303" s="135">
        <v>648.54237521159757</v>
      </c>
      <c r="AJ303" s="135">
        <v>0</v>
      </c>
      <c r="AK303" s="135">
        <v>-235.13958514139398</v>
      </c>
      <c r="AL303" s="135">
        <v>247.09672179350892</v>
      </c>
      <c r="AM303" s="135">
        <v>-37.147391666738272</v>
      </c>
      <c r="AN303" s="135">
        <v>0.39839429300583618</v>
      </c>
      <c r="AO303" s="135">
        <v>0</v>
      </c>
      <c r="AP303" s="135">
        <v>130.49768656728213</v>
      </c>
      <c r="AQ303" s="135">
        <v>36.277756570814546</v>
      </c>
      <c r="AR303" s="135">
        <v>37.786667468657896</v>
      </c>
      <c r="AS303" s="135">
        <v>71.655415520249107</v>
      </c>
      <c r="AT303" s="135">
        <v>2.0293872500580079</v>
      </c>
      <c r="AU303" s="135">
        <v>-48.277039277520487</v>
      </c>
      <c r="AV303" s="135">
        <v>853.7203967342416</v>
      </c>
      <c r="AW303" s="135"/>
      <c r="AX303" s="132"/>
      <c r="AY303" s="132"/>
      <c r="AZ303" s="155"/>
      <c r="BA303" s="155"/>
    </row>
    <row r="304" spans="1:53" ht="16.5" x14ac:dyDescent="0.3">
      <c r="A304" s="165">
        <v>881</v>
      </c>
      <c r="B304" s="165">
        <v>1</v>
      </c>
      <c r="C304" s="166" t="s">
        <v>472</v>
      </c>
      <c r="D304" s="167">
        <v>5</v>
      </c>
      <c r="E304" s="163">
        <v>923.05</v>
      </c>
      <c r="F304" s="135">
        <v>6173.5506418937221</v>
      </c>
      <c r="G304" s="135">
        <v>0</v>
      </c>
      <c r="H304" s="135">
        <v>748.53786902117986</v>
      </c>
      <c r="I304" s="135">
        <v>0</v>
      </c>
      <c r="J304" s="135">
        <v>129.17895021938142</v>
      </c>
      <c r="K304" s="135">
        <v>225.7650831482585</v>
      </c>
      <c r="L304" s="135">
        <v>0</v>
      </c>
      <c r="M304" s="135">
        <v>1286.0705408663464</v>
      </c>
      <c r="N304" s="135">
        <v>0</v>
      </c>
      <c r="O304" s="135">
        <v>-42.919538486539189</v>
      </c>
      <c r="P304" s="135">
        <v>1982.1603589961853</v>
      </c>
      <c r="Q304" s="135">
        <v>113.94597259086724</v>
      </c>
      <c r="R304" s="135">
        <v>280.30241048697258</v>
      </c>
      <c r="S304" s="135">
        <v>10896.592288736374</v>
      </c>
      <c r="T304" s="135"/>
      <c r="U304" s="135">
        <v>6848.0962461405124</v>
      </c>
      <c r="V304" s="135">
        <v>0</v>
      </c>
      <c r="W304" s="135">
        <v>425.74452088185905</v>
      </c>
      <c r="X304" s="135">
        <v>0</v>
      </c>
      <c r="Y304" s="135">
        <v>77.185147066789455</v>
      </c>
      <c r="Z304" s="135">
        <v>233.23658523373601</v>
      </c>
      <c r="AA304" s="135">
        <v>0</v>
      </c>
      <c r="AB304" s="135">
        <v>1479.961301043274</v>
      </c>
      <c r="AC304" s="135">
        <v>60.877607976151467</v>
      </c>
      <c r="AD304" s="135">
        <v>0</v>
      </c>
      <c r="AE304" s="135">
        <v>2055.8658424397381</v>
      </c>
      <c r="AF304" s="135">
        <v>111.89929039596989</v>
      </c>
      <c r="AG304" s="135">
        <v>229.35515952548616</v>
      </c>
      <c r="AH304" s="135">
        <v>11522.221700703518</v>
      </c>
      <c r="AI304" s="135">
        <v>674.54560424679039</v>
      </c>
      <c r="AJ304" s="135">
        <v>0</v>
      </c>
      <c r="AK304" s="135">
        <v>-322.79334813932081</v>
      </c>
      <c r="AL304" s="135">
        <v>0</v>
      </c>
      <c r="AM304" s="135">
        <v>-51.993803152591965</v>
      </c>
      <c r="AN304" s="135">
        <v>7.4715020854775105</v>
      </c>
      <c r="AO304" s="135">
        <v>0</v>
      </c>
      <c r="AP304" s="135">
        <v>193.89076017692764</v>
      </c>
      <c r="AQ304" s="135">
        <v>60.877607976151467</v>
      </c>
      <c r="AR304" s="135">
        <v>42.919538486539189</v>
      </c>
      <c r="AS304" s="135">
        <v>73.705483443552794</v>
      </c>
      <c r="AT304" s="135">
        <v>-2.0466821948973575</v>
      </c>
      <c r="AU304" s="135">
        <v>-50.947250961486418</v>
      </c>
      <c r="AV304" s="135">
        <v>625.62941554944132</v>
      </c>
      <c r="AW304" s="135"/>
      <c r="AX304" s="164"/>
      <c r="AY304" s="132"/>
      <c r="AZ304" s="135"/>
      <c r="BA304" s="135"/>
    </row>
    <row r="305" spans="1:53" ht="16.5" x14ac:dyDescent="0.3">
      <c r="A305" s="165">
        <v>882</v>
      </c>
      <c r="B305" s="165">
        <v>1</v>
      </c>
      <c r="C305" s="166" t="s">
        <v>628</v>
      </c>
      <c r="D305" s="167">
        <v>4</v>
      </c>
      <c r="E305" s="163">
        <v>4000.8999999999996</v>
      </c>
      <c r="F305" s="135">
        <v>6000.4643155290069</v>
      </c>
      <c r="G305" s="135">
        <v>7.1215301557149644</v>
      </c>
      <c r="H305" s="135">
        <v>1035.8746382064037</v>
      </c>
      <c r="I305" s="135">
        <v>0</v>
      </c>
      <c r="J305" s="135">
        <v>112.97964707940714</v>
      </c>
      <c r="K305" s="135">
        <v>261.6777200129971</v>
      </c>
      <c r="L305" s="135">
        <v>0</v>
      </c>
      <c r="M305" s="135">
        <v>1595.2088024331065</v>
      </c>
      <c r="N305" s="135">
        <v>0</v>
      </c>
      <c r="O305" s="135">
        <v>-41.43984103576696</v>
      </c>
      <c r="P305" s="135">
        <v>1517.9352626659004</v>
      </c>
      <c r="Q305" s="135">
        <v>54.537144142567925</v>
      </c>
      <c r="R305" s="135">
        <v>112.09835786947937</v>
      </c>
      <c r="S305" s="135">
        <v>10656.457577058818</v>
      </c>
      <c r="T305" s="135"/>
      <c r="U305" s="135">
        <v>6625.5579994501231</v>
      </c>
      <c r="V305" s="135">
        <v>0</v>
      </c>
      <c r="W305" s="135">
        <v>517.16161113749411</v>
      </c>
      <c r="X305" s="135">
        <v>244.90659160014403</v>
      </c>
      <c r="Y305" s="135">
        <v>68.227471318953235</v>
      </c>
      <c r="Z305" s="135">
        <v>288.72540343503277</v>
      </c>
      <c r="AA305" s="135">
        <v>0</v>
      </c>
      <c r="AB305" s="135">
        <v>2040.4759415122196</v>
      </c>
      <c r="AC305" s="135">
        <v>65.799885717681661</v>
      </c>
      <c r="AD305" s="135">
        <v>0</v>
      </c>
      <c r="AE305" s="135">
        <v>1563.051979808472</v>
      </c>
      <c r="AF305" s="135">
        <v>59.703639181184244</v>
      </c>
      <c r="AG305" s="135">
        <v>64.434822165012875</v>
      </c>
      <c r="AH305" s="135">
        <v>11538.045345326314</v>
      </c>
      <c r="AI305" s="135">
        <v>625.09368392111628</v>
      </c>
      <c r="AJ305" s="135">
        <v>-7.1215301557149644</v>
      </c>
      <c r="AK305" s="135">
        <v>-518.71302706890958</v>
      </c>
      <c r="AL305" s="135">
        <v>244.90659160014403</v>
      </c>
      <c r="AM305" s="135">
        <v>-44.752175760453909</v>
      </c>
      <c r="AN305" s="135">
        <v>27.047683422035675</v>
      </c>
      <c r="AO305" s="135">
        <v>0</v>
      </c>
      <c r="AP305" s="135">
        <v>445.26713907911312</v>
      </c>
      <c r="AQ305" s="135">
        <v>65.799885717681661</v>
      </c>
      <c r="AR305" s="135">
        <v>41.43984103576696</v>
      </c>
      <c r="AS305" s="135">
        <v>45.116717142571588</v>
      </c>
      <c r="AT305" s="135">
        <v>5.1664950386163184</v>
      </c>
      <c r="AU305" s="135">
        <v>-47.663535704466497</v>
      </c>
      <c r="AV305" s="135">
        <v>881.58777489055876</v>
      </c>
      <c r="AW305" s="135"/>
      <c r="AX305" s="164"/>
      <c r="AY305" s="132"/>
      <c r="AZ305" s="135"/>
      <c r="BA305" s="135"/>
    </row>
    <row r="306" spans="1:53" ht="16.5" x14ac:dyDescent="0.3">
      <c r="A306" s="165">
        <v>883</v>
      </c>
      <c r="B306" s="165">
        <v>1</v>
      </c>
      <c r="C306" s="166" t="s">
        <v>430</v>
      </c>
      <c r="D306" s="167">
        <v>5</v>
      </c>
      <c r="E306" s="163">
        <v>1585.96</v>
      </c>
      <c r="F306" s="135">
        <v>5952.8750788166153</v>
      </c>
      <c r="G306" s="135">
        <v>30.072044692173822</v>
      </c>
      <c r="H306" s="135">
        <v>493.51456531060046</v>
      </c>
      <c r="I306" s="135">
        <v>0</v>
      </c>
      <c r="J306" s="135">
        <v>133.21039622689096</v>
      </c>
      <c r="K306" s="135">
        <v>265.46824005649574</v>
      </c>
      <c r="L306" s="135">
        <v>97.500300133672965</v>
      </c>
      <c r="M306" s="135">
        <v>652.39072738159973</v>
      </c>
      <c r="N306" s="135">
        <v>0</v>
      </c>
      <c r="O306" s="135">
        <v>-41.39902645716159</v>
      </c>
      <c r="P306" s="135">
        <v>2221.5136151154957</v>
      </c>
      <c r="Q306" s="135">
        <v>61.249432520366206</v>
      </c>
      <c r="R306" s="135">
        <v>374.93303109788388</v>
      </c>
      <c r="S306" s="135">
        <v>10241.328404894633</v>
      </c>
      <c r="T306" s="135"/>
      <c r="U306" s="135">
        <v>6575.8007768165653</v>
      </c>
      <c r="V306" s="135">
        <v>0</v>
      </c>
      <c r="W306" s="135">
        <v>210.45694090645412</v>
      </c>
      <c r="X306" s="135">
        <v>0</v>
      </c>
      <c r="Y306" s="135">
        <v>89.345153723927453</v>
      </c>
      <c r="Z306" s="135">
        <v>341.94862698621148</v>
      </c>
      <c r="AA306" s="135">
        <v>79.50703044212969</v>
      </c>
      <c r="AB306" s="135">
        <v>806.4441860397061</v>
      </c>
      <c r="AC306" s="135">
        <v>62.067178292499946</v>
      </c>
      <c r="AD306" s="135">
        <v>0</v>
      </c>
      <c r="AE306" s="135">
        <v>2278.5443176856379</v>
      </c>
      <c r="AF306" s="135">
        <v>69.484293424802644</v>
      </c>
      <c r="AG306" s="135">
        <v>328.16635350197987</v>
      </c>
      <c r="AH306" s="135">
        <v>10841.764857819915</v>
      </c>
      <c r="AI306" s="135">
        <v>622.92569799994999</v>
      </c>
      <c r="AJ306" s="135">
        <v>-30.072044692173822</v>
      </c>
      <c r="AK306" s="135">
        <v>-283.05762440414634</v>
      </c>
      <c r="AL306" s="135">
        <v>0</v>
      </c>
      <c r="AM306" s="135">
        <v>-43.865242502963511</v>
      </c>
      <c r="AN306" s="135">
        <v>76.480386929715735</v>
      </c>
      <c r="AO306" s="135">
        <v>-17.993269691543276</v>
      </c>
      <c r="AP306" s="135">
        <v>154.05345865810636</v>
      </c>
      <c r="AQ306" s="135">
        <v>62.067178292499946</v>
      </c>
      <c r="AR306" s="135">
        <v>41.39902645716159</v>
      </c>
      <c r="AS306" s="135">
        <v>57.030702570142239</v>
      </c>
      <c r="AT306" s="135">
        <v>8.234860904436438</v>
      </c>
      <c r="AU306" s="135">
        <v>-46.766677595904014</v>
      </c>
      <c r="AV306" s="135">
        <v>600.43646012336762</v>
      </c>
      <c r="AW306" s="135"/>
      <c r="AX306" s="164"/>
      <c r="AY306" s="132"/>
      <c r="AZ306" s="135"/>
      <c r="BA306" s="135"/>
    </row>
    <row r="307" spans="1:53" ht="16.5" x14ac:dyDescent="0.3">
      <c r="A307" s="165">
        <v>885</v>
      </c>
      <c r="B307" s="165">
        <v>1</v>
      </c>
      <c r="C307" s="166" t="s">
        <v>323</v>
      </c>
      <c r="D307" s="167">
        <v>4</v>
      </c>
      <c r="E307" s="163">
        <v>5642.0499999999993</v>
      </c>
      <c r="F307" s="135">
        <v>5962.9459363174738</v>
      </c>
      <c r="G307" s="135">
        <v>0.70770021534725869</v>
      </c>
      <c r="H307" s="135">
        <v>768.04498896677637</v>
      </c>
      <c r="I307" s="135">
        <v>0</v>
      </c>
      <c r="J307" s="135">
        <v>123.47087672034102</v>
      </c>
      <c r="K307" s="135">
        <v>73.897609911291113</v>
      </c>
      <c r="L307" s="135">
        <v>0</v>
      </c>
      <c r="M307" s="135">
        <v>334.42355808643993</v>
      </c>
      <c r="N307" s="135">
        <v>0</v>
      </c>
      <c r="O307" s="135">
        <v>-6.1342100832144348</v>
      </c>
      <c r="P307" s="135">
        <v>2583.1453463799257</v>
      </c>
      <c r="Q307" s="135">
        <v>10.923696174262902</v>
      </c>
      <c r="R307" s="135">
        <v>113.3943761576023</v>
      </c>
      <c r="S307" s="135">
        <v>9964.8198788462469</v>
      </c>
      <c r="T307" s="135"/>
      <c r="U307" s="135">
        <v>6588.3212662064325</v>
      </c>
      <c r="V307" s="135">
        <v>0</v>
      </c>
      <c r="W307" s="135">
        <v>245.86987531127872</v>
      </c>
      <c r="X307" s="135">
        <v>242.58194182473244</v>
      </c>
      <c r="Y307" s="135">
        <v>87.014393704415966</v>
      </c>
      <c r="Z307" s="135">
        <v>97.455884730955916</v>
      </c>
      <c r="AA307" s="135">
        <v>0</v>
      </c>
      <c r="AB307" s="135">
        <v>463.0951737352438</v>
      </c>
      <c r="AC307" s="135">
        <v>24.331650048167898</v>
      </c>
      <c r="AD307" s="135">
        <v>30.933736850967296</v>
      </c>
      <c r="AE307" s="135">
        <v>2604.3982530553872</v>
      </c>
      <c r="AF307" s="135">
        <v>12.235453425616576</v>
      </c>
      <c r="AG307" s="135">
        <v>67.983371292349418</v>
      </c>
      <c r="AH307" s="135">
        <v>10464.221000185547</v>
      </c>
      <c r="AI307" s="135">
        <v>625.37532988895873</v>
      </c>
      <c r="AJ307" s="135">
        <v>-0.70770021534725869</v>
      </c>
      <c r="AK307" s="135">
        <v>-522.17511365549763</v>
      </c>
      <c r="AL307" s="135">
        <v>242.58194182473244</v>
      </c>
      <c r="AM307" s="135">
        <v>-36.456483015925059</v>
      </c>
      <c r="AN307" s="135">
        <v>23.558274819664803</v>
      </c>
      <c r="AO307" s="135">
        <v>0</v>
      </c>
      <c r="AP307" s="135">
        <v>128.67161564880388</v>
      </c>
      <c r="AQ307" s="135">
        <v>24.331650048167898</v>
      </c>
      <c r="AR307" s="135">
        <v>37.067946934181734</v>
      </c>
      <c r="AS307" s="135">
        <v>21.252906675461418</v>
      </c>
      <c r="AT307" s="135">
        <v>1.3117572513536739</v>
      </c>
      <c r="AU307" s="135">
        <v>-45.411004865252877</v>
      </c>
      <c r="AV307" s="135">
        <v>499.40113056152188</v>
      </c>
      <c r="AW307" s="135"/>
      <c r="AX307" s="164"/>
      <c r="AY307" s="132"/>
      <c r="AZ307" s="135"/>
      <c r="BA307" s="135"/>
    </row>
    <row r="308" spans="1:53" ht="16.5" x14ac:dyDescent="0.3">
      <c r="A308" s="165">
        <v>891</v>
      </c>
      <c r="B308" s="165">
        <v>1</v>
      </c>
      <c r="C308" s="166" t="s">
        <v>439</v>
      </c>
      <c r="D308" s="167">
        <v>6</v>
      </c>
      <c r="E308" s="163">
        <v>505.65</v>
      </c>
      <c r="F308" s="135">
        <v>6103.1899535251659</v>
      </c>
      <c r="G308" s="135">
        <v>0</v>
      </c>
      <c r="H308" s="135">
        <v>801.76420448927138</v>
      </c>
      <c r="I308" s="135">
        <v>0</v>
      </c>
      <c r="J308" s="135">
        <v>125.60373776327499</v>
      </c>
      <c r="K308" s="135">
        <v>395.56436270147339</v>
      </c>
      <c r="L308" s="135">
        <v>106.9541619697419</v>
      </c>
      <c r="M308" s="135">
        <v>580.54550125130027</v>
      </c>
      <c r="N308" s="135">
        <v>0</v>
      </c>
      <c r="O308" s="135">
        <v>-61.625749035894401</v>
      </c>
      <c r="P308" s="135">
        <v>1064.3700187876991</v>
      </c>
      <c r="Q308" s="135">
        <v>1074.5059626223674</v>
      </c>
      <c r="R308" s="135">
        <v>97.113181054088813</v>
      </c>
      <c r="S308" s="135">
        <v>10287.985335128489</v>
      </c>
      <c r="T308" s="135"/>
      <c r="U308" s="135">
        <v>6747.0065855829125</v>
      </c>
      <c r="V308" s="135">
        <v>0</v>
      </c>
      <c r="W308" s="135">
        <v>481.78999307821613</v>
      </c>
      <c r="X308" s="135">
        <v>0</v>
      </c>
      <c r="Y308" s="135">
        <v>72.243211707702955</v>
      </c>
      <c r="Z308" s="135">
        <v>495.25330831695481</v>
      </c>
      <c r="AA308" s="135">
        <v>74.171561356669628</v>
      </c>
      <c r="AB308" s="135">
        <v>673.98225844986382</v>
      </c>
      <c r="AC308" s="135">
        <v>92.823597983499198</v>
      </c>
      <c r="AD308" s="135">
        <v>0</v>
      </c>
      <c r="AE308" s="135">
        <v>1111.5825842796401</v>
      </c>
      <c r="AF308" s="135">
        <v>1098.5199150369249</v>
      </c>
      <c r="AG308" s="135">
        <v>46.815939879363199</v>
      </c>
      <c r="AH308" s="135">
        <v>10894.188955671747</v>
      </c>
      <c r="AI308" s="135">
        <v>643.81663205774657</v>
      </c>
      <c r="AJ308" s="135">
        <v>0</v>
      </c>
      <c r="AK308" s="135">
        <v>-319.97421141105525</v>
      </c>
      <c r="AL308" s="135">
        <v>0</v>
      </c>
      <c r="AM308" s="135">
        <v>-53.360526055572038</v>
      </c>
      <c r="AN308" s="135">
        <v>99.68894561548143</v>
      </c>
      <c r="AO308" s="135">
        <v>-32.782600613072276</v>
      </c>
      <c r="AP308" s="135">
        <v>93.436757198563555</v>
      </c>
      <c r="AQ308" s="135">
        <v>92.823597983499198</v>
      </c>
      <c r="AR308" s="135">
        <v>61.625749035894401</v>
      </c>
      <c r="AS308" s="135">
        <v>47.21256549194095</v>
      </c>
      <c r="AT308" s="135">
        <v>24.01395241455748</v>
      </c>
      <c r="AU308" s="135">
        <v>-50.297241174725613</v>
      </c>
      <c r="AV308" s="135">
        <v>606.20362656641339</v>
      </c>
      <c r="AW308" s="135"/>
      <c r="AX308" s="164"/>
      <c r="AY308" s="132"/>
      <c r="AZ308" s="135"/>
      <c r="BA308" s="135"/>
    </row>
    <row r="309" spans="1:53" ht="16.5" x14ac:dyDescent="0.3">
      <c r="A309" s="165">
        <v>911</v>
      </c>
      <c r="B309" s="165">
        <v>1</v>
      </c>
      <c r="C309" s="166" t="s">
        <v>629</v>
      </c>
      <c r="D309" s="167">
        <v>4</v>
      </c>
      <c r="E309" s="163">
        <v>5304.4699999999993</v>
      </c>
      <c r="F309" s="135">
        <v>6002.9511110440817</v>
      </c>
      <c r="G309" s="135">
        <v>8.480432540857052</v>
      </c>
      <c r="H309" s="135">
        <v>0</v>
      </c>
      <c r="I309" s="135">
        <v>0</v>
      </c>
      <c r="J309" s="135">
        <v>86.64952012170869</v>
      </c>
      <c r="K309" s="135">
        <v>658.39404313720308</v>
      </c>
      <c r="L309" s="135">
        <v>0</v>
      </c>
      <c r="M309" s="135">
        <v>657.54001782326804</v>
      </c>
      <c r="N309" s="135">
        <v>0</v>
      </c>
      <c r="O309" s="135">
        <v>-34.964388525149545</v>
      </c>
      <c r="P309" s="135">
        <v>1489.2501070121723</v>
      </c>
      <c r="Q309" s="135">
        <v>92.204593484363201</v>
      </c>
      <c r="R309" s="135">
        <v>105.31383531248174</v>
      </c>
      <c r="S309" s="135">
        <v>9065.8192719509843</v>
      </c>
      <c r="T309" s="135"/>
      <c r="U309" s="135">
        <v>6633.4642292255412</v>
      </c>
      <c r="V309" s="135">
        <v>0</v>
      </c>
      <c r="W309" s="135">
        <v>0</v>
      </c>
      <c r="X309" s="135">
        <v>35.490743970535618</v>
      </c>
      <c r="Y309" s="135">
        <v>105.29308300358001</v>
      </c>
      <c r="Z309" s="135">
        <v>464.68456488158284</v>
      </c>
      <c r="AA309" s="135">
        <v>0</v>
      </c>
      <c r="AB309" s="135">
        <v>844.5937065196398</v>
      </c>
      <c r="AC309" s="135">
        <v>69.76526753597534</v>
      </c>
      <c r="AD309" s="135">
        <v>2.3585655117287878</v>
      </c>
      <c r="AE309" s="135">
        <v>1614.0668826381202</v>
      </c>
      <c r="AF309" s="135">
        <v>95.174417048263081</v>
      </c>
      <c r="AG309" s="135">
        <v>57.324716701197296</v>
      </c>
      <c r="AH309" s="135">
        <v>9922.2161770361636</v>
      </c>
      <c r="AI309" s="135">
        <v>630.5131181814595</v>
      </c>
      <c r="AJ309" s="135">
        <v>-8.480432540857052</v>
      </c>
      <c r="AK309" s="135">
        <v>0</v>
      </c>
      <c r="AL309" s="135">
        <v>35.490743970535618</v>
      </c>
      <c r="AM309" s="135">
        <v>18.643562881871318</v>
      </c>
      <c r="AN309" s="135">
        <v>-193.70947825562024</v>
      </c>
      <c r="AO309" s="135">
        <v>0</v>
      </c>
      <c r="AP309" s="135">
        <v>187.05368869637175</v>
      </c>
      <c r="AQ309" s="135">
        <v>69.76526753597534</v>
      </c>
      <c r="AR309" s="135">
        <v>37.322954036878329</v>
      </c>
      <c r="AS309" s="135">
        <v>124.81677562594791</v>
      </c>
      <c r="AT309" s="135">
        <v>2.9698235638998796</v>
      </c>
      <c r="AU309" s="135">
        <v>-47.989118611284447</v>
      </c>
      <c r="AV309" s="135">
        <v>856.39690534599299</v>
      </c>
      <c r="AW309" s="135"/>
      <c r="AX309" s="164"/>
      <c r="AY309" s="132"/>
      <c r="AZ309" s="135"/>
      <c r="BA309" s="135"/>
    </row>
    <row r="310" spans="1:53" ht="16.5" x14ac:dyDescent="0.3">
      <c r="A310" s="165">
        <v>912</v>
      </c>
      <c r="B310" s="165">
        <v>1</v>
      </c>
      <c r="C310" s="166" t="s">
        <v>630</v>
      </c>
      <c r="D310" s="167">
        <v>5</v>
      </c>
      <c r="E310" s="163">
        <v>1811.7800000000002</v>
      </c>
      <c r="F310" s="135">
        <v>6002.6781176522527</v>
      </c>
      <c r="G310" s="135">
        <v>0</v>
      </c>
      <c r="H310" s="135">
        <v>1.2381028601706605</v>
      </c>
      <c r="I310" s="135">
        <v>0</v>
      </c>
      <c r="J310" s="135">
        <v>209.12212851449951</v>
      </c>
      <c r="K310" s="135">
        <v>598.50820187881516</v>
      </c>
      <c r="L310" s="135">
        <v>0</v>
      </c>
      <c r="M310" s="135">
        <v>680.01157054672183</v>
      </c>
      <c r="N310" s="135">
        <v>0</v>
      </c>
      <c r="O310" s="135">
        <v>-36.200714214750128</v>
      </c>
      <c r="P310" s="135">
        <v>1289.6322624790457</v>
      </c>
      <c r="Q310" s="135">
        <v>150.91725816600248</v>
      </c>
      <c r="R310" s="135">
        <v>102.66663171025178</v>
      </c>
      <c r="S310" s="135">
        <v>8998.5735595930091</v>
      </c>
      <c r="T310" s="135"/>
      <c r="U310" s="135">
        <v>6638.8225943547222</v>
      </c>
      <c r="V310" s="135">
        <v>0</v>
      </c>
      <c r="W310" s="135">
        <v>0</v>
      </c>
      <c r="X310" s="135">
        <v>0</v>
      </c>
      <c r="Y310" s="135">
        <v>104.87586793098498</v>
      </c>
      <c r="Z310" s="135">
        <v>681.57280850139239</v>
      </c>
      <c r="AA310" s="135">
        <v>0</v>
      </c>
      <c r="AB310" s="135">
        <v>811.28612296239805</v>
      </c>
      <c r="AC310" s="135">
        <v>71.642119062260335</v>
      </c>
      <c r="AD310" s="135">
        <v>0.97534468864873203</v>
      </c>
      <c r="AE310" s="135">
        <v>1327.3831072754022</v>
      </c>
      <c r="AF310" s="135">
        <v>161.20469924604532</v>
      </c>
      <c r="AG310" s="135">
        <v>54.464819128150218</v>
      </c>
      <c r="AH310" s="135">
        <v>9852.2274831500035</v>
      </c>
      <c r="AI310" s="135">
        <v>636.14447670246955</v>
      </c>
      <c r="AJ310" s="135">
        <v>0</v>
      </c>
      <c r="AK310" s="135">
        <v>-1.2381028601706605</v>
      </c>
      <c r="AL310" s="135">
        <v>0</v>
      </c>
      <c r="AM310" s="135">
        <v>-104.24626058351453</v>
      </c>
      <c r="AN310" s="135">
        <v>83.06460662257723</v>
      </c>
      <c r="AO310" s="135">
        <v>0</v>
      </c>
      <c r="AP310" s="135">
        <v>131.27455241567623</v>
      </c>
      <c r="AQ310" s="135">
        <v>71.642119062260335</v>
      </c>
      <c r="AR310" s="135">
        <v>37.176058903398861</v>
      </c>
      <c r="AS310" s="135">
        <v>37.750844796356432</v>
      </c>
      <c r="AT310" s="135">
        <v>10.287441080042839</v>
      </c>
      <c r="AU310" s="135">
        <v>-48.20181258210156</v>
      </c>
      <c r="AV310" s="135">
        <v>853.65392781931962</v>
      </c>
      <c r="AW310" s="135"/>
      <c r="AX310" s="164"/>
      <c r="AY310" s="132"/>
      <c r="AZ310" s="135"/>
      <c r="BA310" s="135"/>
    </row>
    <row r="311" spans="1:53" ht="16.5" x14ac:dyDescent="0.3">
      <c r="A311" s="165">
        <v>914</v>
      </c>
      <c r="B311" s="165">
        <v>1</v>
      </c>
      <c r="C311" s="166" t="s">
        <v>631</v>
      </c>
      <c r="D311" s="167">
        <v>6</v>
      </c>
      <c r="E311" s="163">
        <v>292.14</v>
      </c>
      <c r="F311" s="135">
        <v>6029.9344150065044</v>
      </c>
      <c r="G311" s="135">
        <v>0</v>
      </c>
      <c r="H311" s="135">
        <v>1841.0449784349969</v>
      </c>
      <c r="I311" s="135">
        <v>0</v>
      </c>
      <c r="J311" s="135">
        <v>53.096665982063399</v>
      </c>
      <c r="K311" s="135">
        <v>163.77555281714248</v>
      </c>
      <c r="L311" s="135">
        <v>0</v>
      </c>
      <c r="M311" s="135">
        <v>798.64766980609647</v>
      </c>
      <c r="N311" s="135">
        <v>0</v>
      </c>
      <c r="O311" s="135">
        <v>-42.043917299924694</v>
      </c>
      <c r="P311" s="135">
        <v>2491.4360101321286</v>
      </c>
      <c r="Q311" s="135">
        <v>838.98165263229953</v>
      </c>
      <c r="R311" s="135">
        <v>127.06674881905934</v>
      </c>
      <c r="S311" s="135">
        <v>12301.939776330366</v>
      </c>
      <c r="T311" s="135"/>
      <c r="U311" s="135">
        <v>6675.8780036968583</v>
      </c>
      <c r="V311" s="135">
        <v>0</v>
      </c>
      <c r="W311" s="135">
        <v>1982.608612309167</v>
      </c>
      <c r="X311" s="135">
        <v>0</v>
      </c>
      <c r="Y311" s="135">
        <v>0</v>
      </c>
      <c r="Z311" s="135">
        <v>225.36393509960982</v>
      </c>
      <c r="AA311" s="135">
        <v>0</v>
      </c>
      <c r="AB311" s="135">
        <v>882.42800566692563</v>
      </c>
      <c r="AC311" s="135">
        <v>59.191837771092914</v>
      </c>
      <c r="AD311" s="135">
        <v>0</v>
      </c>
      <c r="AE311" s="135">
        <v>2628.9757574039845</v>
      </c>
      <c r="AF311" s="135">
        <v>839.57400589659619</v>
      </c>
      <c r="AG311" s="135">
        <v>79.003080714725812</v>
      </c>
      <c r="AH311" s="135">
        <v>13373.023238558959</v>
      </c>
      <c r="AI311" s="135">
        <v>645.94358869035386</v>
      </c>
      <c r="AJ311" s="135">
        <v>0</v>
      </c>
      <c r="AK311" s="135">
        <v>141.56363387417014</v>
      </c>
      <c r="AL311" s="135">
        <v>0</v>
      </c>
      <c r="AM311" s="135">
        <v>-53.096665982063399</v>
      </c>
      <c r="AN311" s="135">
        <v>61.588382282467336</v>
      </c>
      <c r="AO311" s="135">
        <v>0</v>
      </c>
      <c r="AP311" s="135">
        <v>83.780335860829155</v>
      </c>
      <c r="AQ311" s="135">
        <v>59.191837771092914</v>
      </c>
      <c r="AR311" s="135">
        <v>42.043917299924694</v>
      </c>
      <c r="AS311" s="135">
        <v>137.53974727185596</v>
      </c>
      <c r="AT311" s="135">
        <v>0.59235326429666202</v>
      </c>
      <c r="AU311" s="135">
        <v>-48.06366810433353</v>
      </c>
      <c r="AV311" s="135">
        <v>1071.0834635372216</v>
      </c>
      <c r="AW311" s="135"/>
      <c r="AX311" s="132"/>
      <c r="AY311" s="132"/>
      <c r="AZ311" s="155"/>
      <c r="BA311" s="155"/>
    </row>
    <row r="312" spans="1:53" ht="16.5" x14ac:dyDescent="0.3">
      <c r="A312" s="165">
        <v>2071</v>
      </c>
      <c r="B312" s="165">
        <v>1</v>
      </c>
      <c r="C312" s="166" t="s">
        <v>417</v>
      </c>
      <c r="D312" s="167">
        <v>6</v>
      </c>
      <c r="E312" s="163">
        <v>812.91000000000008</v>
      </c>
      <c r="F312" s="135">
        <v>6025.48759395259</v>
      </c>
      <c r="G312" s="135">
        <v>0</v>
      </c>
      <c r="H312" s="135">
        <v>910.01104673334066</v>
      </c>
      <c r="I312" s="135">
        <v>0</v>
      </c>
      <c r="J312" s="135">
        <v>118.61813730917319</v>
      </c>
      <c r="K312" s="135">
        <v>294.42345401089909</v>
      </c>
      <c r="L312" s="135">
        <v>101.44145600373963</v>
      </c>
      <c r="M312" s="135">
        <v>1026.4481906121709</v>
      </c>
      <c r="N312" s="135">
        <v>0</v>
      </c>
      <c r="O312" s="135">
        <v>-60.990035797320736</v>
      </c>
      <c r="P312" s="135">
        <v>2275.0271860002076</v>
      </c>
      <c r="Q312" s="135">
        <v>215.93253865741593</v>
      </c>
      <c r="R312" s="135">
        <v>103.70374334182135</v>
      </c>
      <c r="S312" s="135">
        <v>11010.103310824039</v>
      </c>
      <c r="T312" s="135"/>
      <c r="U312" s="135">
        <v>6652.0020666494438</v>
      </c>
      <c r="V312" s="135">
        <v>0</v>
      </c>
      <c r="W312" s="135">
        <v>593.25299233617488</v>
      </c>
      <c r="X312" s="135">
        <v>0</v>
      </c>
      <c r="Y312" s="135">
        <v>63.212126803705196</v>
      </c>
      <c r="Z312" s="135">
        <v>380.62155712194459</v>
      </c>
      <c r="AA312" s="135">
        <v>70.475526196011856</v>
      </c>
      <c r="AB312" s="135">
        <v>1192.8345392169249</v>
      </c>
      <c r="AC312" s="135">
        <v>49.756535301422112</v>
      </c>
      <c r="AD312" s="135">
        <v>0</v>
      </c>
      <c r="AE312" s="135">
        <v>2275.0061905615976</v>
      </c>
      <c r="AF312" s="135">
        <v>269.05202937400333</v>
      </c>
      <c r="AG312" s="135">
        <v>56.324623882102564</v>
      </c>
      <c r="AH312" s="135">
        <v>11602.53818744333</v>
      </c>
      <c r="AI312" s="135">
        <v>626.51447269685377</v>
      </c>
      <c r="AJ312" s="135">
        <v>0</v>
      </c>
      <c r="AK312" s="135">
        <v>-316.75805439716578</v>
      </c>
      <c r="AL312" s="135">
        <v>0</v>
      </c>
      <c r="AM312" s="135">
        <v>-55.406010505467997</v>
      </c>
      <c r="AN312" s="135">
        <v>86.198103111045498</v>
      </c>
      <c r="AO312" s="135">
        <v>-30.965929807727775</v>
      </c>
      <c r="AP312" s="135">
        <v>166.38634860475395</v>
      </c>
      <c r="AQ312" s="135">
        <v>49.756535301422112</v>
      </c>
      <c r="AR312" s="135">
        <v>60.990035797320736</v>
      </c>
      <c r="AS312" s="135">
        <v>-2.0995438610043493E-2</v>
      </c>
      <c r="AT312" s="135">
        <v>53.119490716587393</v>
      </c>
      <c r="AU312" s="135">
        <v>-47.379119459718787</v>
      </c>
      <c r="AV312" s="135">
        <v>592.43487828801915</v>
      </c>
      <c r="AW312" s="135"/>
      <c r="AX312" s="132"/>
      <c r="AY312" s="132"/>
      <c r="AZ312" s="155"/>
      <c r="BA312" s="155"/>
    </row>
    <row r="313" spans="1:53" ht="16.5" x14ac:dyDescent="0.3">
      <c r="A313" s="165">
        <v>2125</v>
      </c>
      <c r="B313" s="165">
        <v>1</v>
      </c>
      <c r="C313" s="166" t="s">
        <v>532</v>
      </c>
      <c r="D313" s="167">
        <v>5</v>
      </c>
      <c r="E313" s="163">
        <v>1198.8399999999999</v>
      </c>
      <c r="F313" s="135">
        <v>5973.0620933569116</v>
      </c>
      <c r="G313" s="135">
        <v>0</v>
      </c>
      <c r="H313" s="135">
        <v>824.88987688098496</v>
      </c>
      <c r="I313" s="135">
        <v>0</v>
      </c>
      <c r="J313" s="135">
        <v>120.12440359013715</v>
      </c>
      <c r="K313" s="135">
        <v>543.65030362683933</v>
      </c>
      <c r="L313" s="135">
        <v>0</v>
      </c>
      <c r="M313" s="135">
        <v>505.85684526759206</v>
      </c>
      <c r="N313" s="135">
        <v>0</v>
      </c>
      <c r="O313" s="135">
        <v>-39.67844749924928</v>
      </c>
      <c r="P313" s="135">
        <v>1237.6916662774015</v>
      </c>
      <c r="Q313" s="135">
        <v>161.12632211137432</v>
      </c>
      <c r="R313" s="135">
        <v>102.11778886256717</v>
      </c>
      <c r="S313" s="135">
        <v>9428.840852474561</v>
      </c>
      <c r="T313" s="135"/>
      <c r="U313" s="135">
        <v>6600.1701644923432</v>
      </c>
      <c r="V313" s="135">
        <v>0</v>
      </c>
      <c r="W313" s="135">
        <v>510.59126322111376</v>
      </c>
      <c r="X313" s="135">
        <v>0</v>
      </c>
      <c r="Y313" s="135">
        <v>68.293800673984848</v>
      </c>
      <c r="Z313" s="135">
        <v>641.8165865028252</v>
      </c>
      <c r="AA313" s="135">
        <v>0</v>
      </c>
      <c r="AB313" s="135">
        <v>675.56755964222532</v>
      </c>
      <c r="AC313" s="135">
        <v>92.64483166075118</v>
      </c>
      <c r="AD313" s="135">
        <v>0</v>
      </c>
      <c r="AE313" s="135">
        <v>1288.0239069166862</v>
      </c>
      <c r="AF313" s="135">
        <v>168.61863134363219</v>
      </c>
      <c r="AG313" s="135">
        <v>55.874937439524885</v>
      </c>
      <c r="AH313" s="135">
        <v>10101.601681893086</v>
      </c>
      <c r="AI313" s="135">
        <v>627.1080711354316</v>
      </c>
      <c r="AJ313" s="135">
        <v>0</v>
      </c>
      <c r="AK313" s="135">
        <v>-314.29861365987119</v>
      </c>
      <c r="AL313" s="135">
        <v>0</v>
      </c>
      <c r="AM313" s="135">
        <v>-51.830602916152301</v>
      </c>
      <c r="AN313" s="135">
        <v>98.166282875985871</v>
      </c>
      <c r="AO313" s="135">
        <v>0</v>
      </c>
      <c r="AP313" s="135">
        <v>169.71071437463326</v>
      </c>
      <c r="AQ313" s="135">
        <v>92.64483166075118</v>
      </c>
      <c r="AR313" s="135">
        <v>39.67844749924928</v>
      </c>
      <c r="AS313" s="135">
        <v>50.332240639284691</v>
      </c>
      <c r="AT313" s="135">
        <v>7.4923092322578668</v>
      </c>
      <c r="AU313" s="135">
        <v>-46.242851423042282</v>
      </c>
      <c r="AV313" s="135">
        <v>672.76083869099671</v>
      </c>
      <c r="AW313" s="135"/>
      <c r="AX313" s="164"/>
      <c r="AY313" s="132"/>
      <c r="AZ313" s="135"/>
      <c r="BA313" s="135"/>
    </row>
    <row r="314" spans="1:53" ht="16.5" x14ac:dyDescent="0.3">
      <c r="A314" s="165">
        <v>2134</v>
      </c>
      <c r="B314" s="165">
        <v>1</v>
      </c>
      <c r="C314" s="166" t="s">
        <v>635</v>
      </c>
      <c r="D314" s="167">
        <v>6</v>
      </c>
      <c r="E314" s="163">
        <v>636.41</v>
      </c>
      <c r="F314" s="135">
        <v>6055.2793325057746</v>
      </c>
      <c r="G314" s="135">
        <v>0</v>
      </c>
      <c r="H314" s="135">
        <v>1947.0136075800192</v>
      </c>
      <c r="I314" s="135">
        <v>0</v>
      </c>
      <c r="J314" s="135">
        <v>75.331657264970701</v>
      </c>
      <c r="K314" s="135">
        <v>503.84236577049387</v>
      </c>
      <c r="L314" s="135">
        <v>0</v>
      </c>
      <c r="M314" s="135">
        <v>1361.4294081277167</v>
      </c>
      <c r="N314" s="135">
        <v>0</v>
      </c>
      <c r="O314" s="135">
        <v>-80.699863295674177</v>
      </c>
      <c r="P314" s="135">
        <v>604.92435065445238</v>
      </c>
      <c r="Q314" s="135">
        <v>452.52254050062072</v>
      </c>
      <c r="R314" s="135">
        <v>104.2073663204538</v>
      </c>
      <c r="S314" s="135">
        <v>11023.850765428826</v>
      </c>
      <c r="T314" s="135"/>
      <c r="U314" s="135">
        <v>6699.5348910293678</v>
      </c>
      <c r="V314" s="135">
        <v>0</v>
      </c>
      <c r="W314" s="135">
        <v>1627.9869738061941</v>
      </c>
      <c r="X314" s="135">
        <v>0</v>
      </c>
      <c r="Y314" s="135">
        <v>0</v>
      </c>
      <c r="Z314" s="135">
        <v>618.40813521636005</v>
      </c>
      <c r="AA314" s="135">
        <v>0</v>
      </c>
      <c r="AB314" s="135">
        <v>1724.7042738607365</v>
      </c>
      <c r="AC314" s="135">
        <v>64.008752395278279</v>
      </c>
      <c r="AD314" s="135">
        <v>0</v>
      </c>
      <c r="AE314" s="135">
        <v>605.38137961219968</v>
      </c>
      <c r="AF314" s="135">
        <v>526.32911818432183</v>
      </c>
      <c r="AG314" s="135">
        <v>53.926478213730149</v>
      </c>
      <c r="AH314" s="135">
        <v>11920.280002318188</v>
      </c>
      <c r="AI314" s="135">
        <v>644.25555852359321</v>
      </c>
      <c r="AJ314" s="135">
        <v>0</v>
      </c>
      <c r="AK314" s="135">
        <v>-319.0266337738251</v>
      </c>
      <c r="AL314" s="135">
        <v>0</v>
      </c>
      <c r="AM314" s="135">
        <v>-75.331657264970701</v>
      </c>
      <c r="AN314" s="135">
        <v>114.56576944586618</v>
      </c>
      <c r="AO314" s="135">
        <v>0</v>
      </c>
      <c r="AP314" s="135">
        <v>363.27486573301985</v>
      </c>
      <c r="AQ314" s="135">
        <v>64.008752395278279</v>
      </c>
      <c r="AR314" s="135">
        <v>80.699863295674177</v>
      </c>
      <c r="AS314" s="135">
        <v>0.45702895774729768</v>
      </c>
      <c r="AT314" s="135">
        <v>73.806577683701107</v>
      </c>
      <c r="AU314" s="135">
        <v>-50.280888106723651</v>
      </c>
      <c r="AV314" s="135">
        <v>896.42924605188841</v>
      </c>
      <c r="AW314" s="135"/>
      <c r="AX314" s="164"/>
      <c r="AY314" s="132"/>
      <c r="AZ314" s="135"/>
      <c r="BA314" s="135"/>
    </row>
    <row r="315" spans="1:53" ht="16.5" x14ac:dyDescent="0.3">
      <c r="A315" s="165">
        <v>2135</v>
      </c>
      <c r="B315" s="165">
        <v>1</v>
      </c>
      <c r="C315" s="166" t="s">
        <v>583</v>
      </c>
      <c r="D315" s="167">
        <v>5</v>
      </c>
      <c r="E315" s="163">
        <v>1045.42</v>
      </c>
      <c r="F315" s="135">
        <v>6075.0949474852205</v>
      </c>
      <c r="G315" s="135">
        <v>0</v>
      </c>
      <c r="H315" s="135">
        <v>994.3885519695433</v>
      </c>
      <c r="I315" s="135">
        <v>0</v>
      </c>
      <c r="J315" s="135">
        <v>117.09443094641388</v>
      </c>
      <c r="K315" s="135">
        <v>435.32196629105999</v>
      </c>
      <c r="L315" s="135">
        <v>104.49592890895524</v>
      </c>
      <c r="M315" s="135">
        <v>1204.5789227702091</v>
      </c>
      <c r="N315" s="135">
        <v>0</v>
      </c>
      <c r="O315" s="135">
        <v>-49.438388398920999</v>
      </c>
      <c r="P315" s="135">
        <v>871.53330144822166</v>
      </c>
      <c r="Q315" s="135">
        <v>216.21011650819764</v>
      </c>
      <c r="R315" s="135">
        <v>100.36409290046105</v>
      </c>
      <c r="S315" s="135">
        <v>10069.643870829361</v>
      </c>
      <c r="T315" s="135"/>
      <c r="U315" s="135">
        <v>6726.7213177478907</v>
      </c>
      <c r="V315" s="135">
        <v>0</v>
      </c>
      <c r="W315" s="135">
        <v>674.06018633659198</v>
      </c>
      <c r="X315" s="135">
        <v>0</v>
      </c>
      <c r="Y315" s="135">
        <v>58.626198083067088</v>
      </c>
      <c r="Z315" s="135">
        <v>541.34921690273052</v>
      </c>
      <c r="AA315" s="135">
        <v>74.694562950775762</v>
      </c>
      <c r="AB315" s="135">
        <v>1426.7854667055583</v>
      </c>
      <c r="AC315" s="135">
        <v>63.801041568265283</v>
      </c>
      <c r="AD315" s="135">
        <v>0</v>
      </c>
      <c r="AE315" s="135">
        <v>947.219454563716</v>
      </c>
      <c r="AF315" s="135">
        <v>220.64713703583246</v>
      </c>
      <c r="AG315" s="135">
        <v>50.945218189818441</v>
      </c>
      <c r="AH315" s="135">
        <v>10784.849800084245</v>
      </c>
      <c r="AI315" s="135">
        <v>651.62637026267021</v>
      </c>
      <c r="AJ315" s="135">
        <v>0</v>
      </c>
      <c r="AK315" s="135">
        <v>-320.32836563295132</v>
      </c>
      <c r="AL315" s="135">
        <v>0</v>
      </c>
      <c r="AM315" s="135">
        <v>-58.468232863346792</v>
      </c>
      <c r="AN315" s="135">
        <v>106.02725061167052</v>
      </c>
      <c r="AO315" s="135">
        <v>-29.801365958179474</v>
      </c>
      <c r="AP315" s="135">
        <v>222.20654393534915</v>
      </c>
      <c r="AQ315" s="135">
        <v>63.801041568265283</v>
      </c>
      <c r="AR315" s="135">
        <v>49.438388398920999</v>
      </c>
      <c r="AS315" s="135">
        <v>75.686153115494335</v>
      </c>
      <c r="AT315" s="135">
        <v>4.4370205276348145</v>
      </c>
      <c r="AU315" s="135">
        <v>-49.418874710642605</v>
      </c>
      <c r="AV315" s="135">
        <v>715.20593373523832</v>
      </c>
      <c r="AW315" s="135"/>
      <c r="AX315" s="132"/>
      <c r="AY315" s="132"/>
      <c r="AZ315" s="155"/>
      <c r="BA315" s="155"/>
    </row>
    <row r="316" spans="1:53" ht="16.5" x14ac:dyDescent="0.3">
      <c r="A316" s="165">
        <v>2137</v>
      </c>
      <c r="B316" s="165">
        <v>1</v>
      </c>
      <c r="C316" s="166" t="s">
        <v>528</v>
      </c>
      <c r="D316" s="167">
        <v>6</v>
      </c>
      <c r="E316" s="163">
        <v>619.87</v>
      </c>
      <c r="F316" s="135">
        <v>6014.0007420910833</v>
      </c>
      <c r="G316" s="135">
        <v>11.454692112862375</v>
      </c>
      <c r="H316" s="135">
        <v>919.78153483794983</v>
      </c>
      <c r="I316" s="135">
        <v>0</v>
      </c>
      <c r="J316" s="135">
        <v>116.40039040443963</v>
      </c>
      <c r="K316" s="135">
        <v>342.20883411037795</v>
      </c>
      <c r="L316" s="135">
        <v>0</v>
      </c>
      <c r="M316" s="135">
        <v>868.49643049152235</v>
      </c>
      <c r="N316" s="135">
        <v>0</v>
      </c>
      <c r="O316" s="135">
        <v>-73.900704986529433</v>
      </c>
      <c r="P316" s="135">
        <v>2344.1715972703955</v>
      </c>
      <c r="Q316" s="135">
        <v>361.5883330375724</v>
      </c>
      <c r="R316" s="135">
        <v>93.23183893397001</v>
      </c>
      <c r="S316" s="135">
        <v>10997.433688303645</v>
      </c>
      <c r="T316" s="135"/>
      <c r="U316" s="135">
        <v>6641.8609063190679</v>
      </c>
      <c r="V316" s="135">
        <v>0</v>
      </c>
      <c r="W316" s="135">
        <v>615.65162050107278</v>
      </c>
      <c r="X316" s="135">
        <v>0</v>
      </c>
      <c r="Y316" s="135">
        <v>61.219529901430946</v>
      </c>
      <c r="Z316" s="135">
        <v>437.75101230903249</v>
      </c>
      <c r="AA316" s="135">
        <v>0</v>
      </c>
      <c r="AB316" s="135">
        <v>1044.2663772497247</v>
      </c>
      <c r="AC316" s="135">
        <v>83.689984124641057</v>
      </c>
      <c r="AD316" s="135">
        <v>0</v>
      </c>
      <c r="AE316" s="135">
        <v>2343.6364832739127</v>
      </c>
      <c r="AF316" s="135">
        <v>398.43692791018145</v>
      </c>
      <c r="AG316" s="135">
        <v>42.924645490183423</v>
      </c>
      <c r="AH316" s="135">
        <v>11669.437487079249</v>
      </c>
      <c r="AI316" s="135">
        <v>627.86016422798457</v>
      </c>
      <c r="AJ316" s="135">
        <v>-11.454692112862375</v>
      </c>
      <c r="AK316" s="135">
        <v>-304.12991433687705</v>
      </c>
      <c r="AL316" s="135">
        <v>0</v>
      </c>
      <c r="AM316" s="135">
        <v>-55.180860503008688</v>
      </c>
      <c r="AN316" s="135">
        <v>95.54217819865454</v>
      </c>
      <c r="AO316" s="135">
        <v>0</v>
      </c>
      <c r="AP316" s="135">
        <v>175.76994675820231</v>
      </c>
      <c r="AQ316" s="135">
        <v>83.689984124641057</v>
      </c>
      <c r="AR316" s="135">
        <v>73.900704986529433</v>
      </c>
      <c r="AS316" s="135">
        <v>-0.53511399648277802</v>
      </c>
      <c r="AT316" s="135">
        <v>36.848594872609056</v>
      </c>
      <c r="AU316" s="135">
        <v>-50.307193443786588</v>
      </c>
      <c r="AV316" s="135">
        <v>672.00380863719897</v>
      </c>
      <c r="AW316" s="135"/>
      <c r="AX316" s="164"/>
      <c r="AY316" s="132"/>
      <c r="AZ316" s="135"/>
      <c r="BA316" s="135"/>
    </row>
    <row r="317" spans="1:53" ht="16.5" x14ac:dyDescent="0.3">
      <c r="A317" s="165">
        <v>2142</v>
      </c>
      <c r="B317" s="165">
        <v>1</v>
      </c>
      <c r="C317" s="166" t="s">
        <v>637</v>
      </c>
      <c r="D317" s="167">
        <v>5</v>
      </c>
      <c r="E317" s="163">
        <v>1885.4</v>
      </c>
      <c r="F317" s="135">
        <v>6040.4335631696185</v>
      </c>
      <c r="G317" s="135">
        <v>0</v>
      </c>
      <c r="H317" s="135">
        <v>0</v>
      </c>
      <c r="I317" s="135">
        <v>0</v>
      </c>
      <c r="J317" s="135">
        <v>121.25996605494855</v>
      </c>
      <c r="K317" s="135">
        <v>642.66881828789644</v>
      </c>
      <c r="L317" s="135">
        <v>0</v>
      </c>
      <c r="M317" s="135">
        <v>951.26443672976552</v>
      </c>
      <c r="N317" s="135">
        <v>0</v>
      </c>
      <c r="O317" s="135">
        <v>-91.568627346982069</v>
      </c>
      <c r="P317" s="135">
        <v>3413.0624429829213</v>
      </c>
      <c r="Q317" s="135">
        <v>2225.1055585021745</v>
      </c>
      <c r="R317" s="135">
        <v>409.9697040415827</v>
      </c>
      <c r="S317" s="135">
        <v>13712.195862421926</v>
      </c>
      <c r="T317" s="135"/>
      <c r="U317" s="135">
        <v>6688.0778614617584</v>
      </c>
      <c r="V317" s="135">
        <v>0</v>
      </c>
      <c r="W317" s="135">
        <v>0</v>
      </c>
      <c r="X317" s="135">
        <v>0</v>
      </c>
      <c r="Y317" s="135">
        <v>106.15996605494854</v>
      </c>
      <c r="Z317" s="135">
        <v>775.13505356953419</v>
      </c>
      <c r="AA317" s="135">
        <v>0</v>
      </c>
      <c r="AB317" s="135">
        <v>1200.286552954839</v>
      </c>
      <c r="AC317" s="135">
        <v>79.924723262458286</v>
      </c>
      <c r="AD317" s="135">
        <v>0</v>
      </c>
      <c r="AE317" s="135">
        <v>3433.5415627039351</v>
      </c>
      <c r="AF317" s="135">
        <v>2365.2696510024393</v>
      </c>
      <c r="AG317" s="135">
        <v>364.14573034899757</v>
      </c>
      <c r="AH317" s="135">
        <v>15012.541101358911</v>
      </c>
      <c r="AI317" s="135">
        <v>647.64429829213987</v>
      </c>
      <c r="AJ317" s="135">
        <v>0</v>
      </c>
      <c r="AK317" s="135">
        <v>0</v>
      </c>
      <c r="AL317" s="135">
        <v>0</v>
      </c>
      <c r="AM317" s="135">
        <v>-15.100000000000009</v>
      </c>
      <c r="AN317" s="135">
        <v>132.46623528163775</v>
      </c>
      <c r="AO317" s="135">
        <v>0</v>
      </c>
      <c r="AP317" s="135">
        <v>249.02211622507343</v>
      </c>
      <c r="AQ317" s="135">
        <v>79.924723262458286</v>
      </c>
      <c r="AR317" s="135">
        <v>91.568627346982069</v>
      </c>
      <c r="AS317" s="135">
        <v>20.479119721013831</v>
      </c>
      <c r="AT317" s="135">
        <v>140.16409250026481</v>
      </c>
      <c r="AU317" s="135">
        <v>-45.823973692585128</v>
      </c>
      <c r="AV317" s="135">
        <v>1300.3452437127769</v>
      </c>
      <c r="AW317" s="135"/>
      <c r="AX317" s="164"/>
      <c r="AY317" s="132"/>
      <c r="AZ317" s="135"/>
      <c r="BA317" s="135"/>
    </row>
    <row r="318" spans="1:53" ht="16.5" x14ac:dyDescent="0.3">
      <c r="A318" s="165">
        <v>2143</v>
      </c>
      <c r="B318" s="165">
        <v>1</v>
      </c>
      <c r="C318" s="166" t="s">
        <v>525</v>
      </c>
      <c r="D318" s="167">
        <v>6</v>
      </c>
      <c r="E318" s="163">
        <v>850.22</v>
      </c>
      <c r="F318" s="135">
        <v>6071.2978758438985</v>
      </c>
      <c r="G318" s="135">
        <v>6.6826115593611055</v>
      </c>
      <c r="H318" s="135">
        <v>1576.2854908141421</v>
      </c>
      <c r="I318" s="135">
        <v>0</v>
      </c>
      <c r="J318" s="135">
        <v>93.579802874550111</v>
      </c>
      <c r="K318" s="135">
        <v>357.4898614476254</v>
      </c>
      <c r="L318" s="135">
        <v>105.04920373550374</v>
      </c>
      <c r="M318" s="135">
        <v>856.51706099985881</v>
      </c>
      <c r="N318" s="135">
        <v>0</v>
      </c>
      <c r="O318" s="135">
        <v>-61.506974665380724</v>
      </c>
      <c r="P318" s="135">
        <v>408.91824468960976</v>
      </c>
      <c r="Q318" s="135">
        <v>164.54332996165695</v>
      </c>
      <c r="R318" s="135">
        <v>44.356637105690297</v>
      </c>
      <c r="S318" s="135">
        <v>9623.2131443665148</v>
      </c>
      <c r="T318" s="135"/>
      <c r="U318" s="135">
        <v>6710.6922443602834</v>
      </c>
      <c r="V318" s="135">
        <v>0</v>
      </c>
      <c r="W318" s="135">
        <v>1265.8631413046035</v>
      </c>
      <c r="X318" s="135">
        <v>0</v>
      </c>
      <c r="Y318" s="135">
        <v>15.282079932252827</v>
      </c>
      <c r="Z318" s="135">
        <v>452.23239357734354</v>
      </c>
      <c r="AA318" s="135">
        <v>71.24399567170849</v>
      </c>
      <c r="AB318" s="135">
        <v>1037.7091693263105</v>
      </c>
      <c r="AC318" s="135">
        <v>52.193374705825093</v>
      </c>
      <c r="AD318" s="135">
        <v>0</v>
      </c>
      <c r="AE318" s="135">
        <v>494.5716572251888</v>
      </c>
      <c r="AF318" s="135">
        <v>199.0512751331234</v>
      </c>
      <c r="AG318" s="135">
        <v>-5.2539813224812377</v>
      </c>
      <c r="AH318" s="135">
        <v>10293.585349914156</v>
      </c>
      <c r="AI318" s="135">
        <v>639.39436851638493</v>
      </c>
      <c r="AJ318" s="135">
        <v>-6.6826115593611055</v>
      </c>
      <c r="AK318" s="135">
        <v>-310.42234950953866</v>
      </c>
      <c r="AL318" s="135">
        <v>0</v>
      </c>
      <c r="AM318" s="135">
        <v>-78.297722942297284</v>
      </c>
      <c r="AN318" s="135">
        <v>94.742532129718143</v>
      </c>
      <c r="AO318" s="135">
        <v>-33.805208063795249</v>
      </c>
      <c r="AP318" s="135">
        <v>181.19210832645172</v>
      </c>
      <c r="AQ318" s="135">
        <v>52.193374705825093</v>
      </c>
      <c r="AR318" s="135">
        <v>61.506974665380724</v>
      </c>
      <c r="AS318" s="135">
        <v>85.653412535579037</v>
      </c>
      <c r="AT318" s="135">
        <v>34.507945171466446</v>
      </c>
      <c r="AU318" s="135">
        <v>-49.610618428171534</v>
      </c>
      <c r="AV318" s="135">
        <v>670.37221409456811</v>
      </c>
      <c r="AW318" s="135"/>
      <c r="AX318" s="164"/>
      <c r="AY318" s="132"/>
      <c r="AZ318" s="135"/>
      <c r="BA318" s="135"/>
    </row>
    <row r="319" spans="1:53" ht="16.5" x14ac:dyDescent="0.3">
      <c r="A319" s="165">
        <v>2144</v>
      </c>
      <c r="B319" s="165">
        <v>1</v>
      </c>
      <c r="C319" s="166" t="s">
        <v>638</v>
      </c>
      <c r="D319" s="167">
        <v>4</v>
      </c>
      <c r="E319" s="163">
        <v>3359.5</v>
      </c>
      <c r="F319" s="135">
        <v>6087.9853787766033</v>
      </c>
      <c r="G319" s="135">
        <v>11.211028426849232</v>
      </c>
      <c r="H319" s="135">
        <v>488.43237684179195</v>
      </c>
      <c r="I319" s="135">
        <v>0</v>
      </c>
      <c r="J319" s="135">
        <v>136.86313141836584</v>
      </c>
      <c r="K319" s="135">
        <v>135.82364042268193</v>
      </c>
      <c r="L319" s="135">
        <v>0</v>
      </c>
      <c r="M319" s="135">
        <v>988.55515648205278</v>
      </c>
      <c r="N319" s="135">
        <v>0</v>
      </c>
      <c r="O319" s="135">
        <v>-36.099702336657238</v>
      </c>
      <c r="P319" s="135">
        <v>1376.9347738991771</v>
      </c>
      <c r="Q319" s="135">
        <v>92.275398124720951</v>
      </c>
      <c r="R319" s="135">
        <v>294.06749516297072</v>
      </c>
      <c r="S319" s="135">
        <v>9576.0486772185541</v>
      </c>
      <c r="T319" s="135"/>
      <c r="U319" s="135">
        <v>6739.9217145408547</v>
      </c>
      <c r="V319" s="135">
        <v>0</v>
      </c>
      <c r="W319" s="135">
        <v>0</v>
      </c>
      <c r="X319" s="135">
        <v>213.34541536184517</v>
      </c>
      <c r="Y319" s="135">
        <v>106.98288435779133</v>
      </c>
      <c r="Z319" s="135">
        <v>188.31956589484844</v>
      </c>
      <c r="AA319" s="135">
        <v>0</v>
      </c>
      <c r="AB319" s="135">
        <v>1286.0762871110692</v>
      </c>
      <c r="AC319" s="135">
        <v>45.228112637335798</v>
      </c>
      <c r="AD319" s="135">
        <v>1.8294061616311952</v>
      </c>
      <c r="AE319" s="135">
        <v>1487.4034561570811</v>
      </c>
      <c r="AF319" s="135">
        <v>98.948468522101507</v>
      </c>
      <c r="AG319" s="135">
        <v>244.91457359726149</v>
      </c>
      <c r="AH319" s="135">
        <v>10412.969884341819</v>
      </c>
      <c r="AI319" s="135">
        <v>651.93633576425145</v>
      </c>
      <c r="AJ319" s="135">
        <v>-11.211028426849232</v>
      </c>
      <c r="AK319" s="135">
        <v>-488.43237684179195</v>
      </c>
      <c r="AL319" s="135">
        <v>213.34541536184517</v>
      </c>
      <c r="AM319" s="135">
        <v>-29.880247060574504</v>
      </c>
      <c r="AN319" s="135">
        <v>52.495925472166505</v>
      </c>
      <c r="AO319" s="135">
        <v>0</v>
      </c>
      <c r="AP319" s="135">
        <v>297.5211306290164</v>
      </c>
      <c r="AQ319" s="135">
        <v>45.228112637335798</v>
      </c>
      <c r="AR319" s="135">
        <v>37.929108498288436</v>
      </c>
      <c r="AS319" s="135">
        <v>110.46868225790399</v>
      </c>
      <c r="AT319" s="135">
        <v>6.6730703973805561</v>
      </c>
      <c r="AU319" s="135">
        <v>-49.152921565709221</v>
      </c>
      <c r="AV319" s="135">
        <v>836.9212093654088</v>
      </c>
      <c r="AW319" s="135"/>
      <c r="AX319" s="164"/>
      <c r="AY319" s="132"/>
      <c r="AZ319" s="135"/>
      <c r="BA319" s="135"/>
    </row>
    <row r="320" spans="1:53" ht="16.5" x14ac:dyDescent="0.3">
      <c r="A320" s="165">
        <v>2149</v>
      </c>
      <c r="B320" s="165">
        <v>1</v>
      </c>
      <c r="C320" s="166" t="s">
        <v>639</v>
      </c>
      <c r="D320" s="167">
        <v>5</v>
      </c>
      <c r="E320" s="163">
        <v>1035.01</v>
      </c>
      <c r="F320" s="135">
        <v>6011.6807373841793</v>
      </c>
      <c r="G320" s="135">
        <v>24.799335272122978</v>
      </c>
      <c r="H320" s="135">
        <v>860.09052086453278</v>
      </c>
      <c r="I320" s="135">
        <v>0</v>
      </c>
      <c r="J320" s="135">
        <v>120.36019941836311</v>
      </c>
      <c r="K320" s="135">
        <v>453.62539492372053</v>
      </c>
      <c r="L320" s="135">
        <v>0</v>
      </c>
      <c r="M320" s="135">
        <v>2543.7666970401647</v>
      </c>
      <c r="N320" s="135">
        <v>0</v>
      </c>
      <c r="O320" s="135">
        <v>-75.015922551472926</v>
      </c>
      <c r="P320" s="135">
        <v>1453.4681772294816</v>
      </c>
      <c r="Q320" s="135">
        <v>261.52652631375543</v>
      </c>
      <c r="R320" s="135">
        <v>164.42345484584689</v>
      </c>
      <c r="S320" s="135">
        <v>11818.725120740693</v>
      </c>
      <c r="T320" s="135"/>
      <c r="U320" s="135">
        <v>6647.829682804997</v>
      </c>
      <c r="V320" s="135">
        <v>0</v>
      </c>
      <c r="W320" s="135">
        <v>569.0015941874957</v>
      </c>
      <c r="X320" s="135">
        <v>0</v>
      </c>
      <c r="Y320" s="135">
        <v>64.65359754978212</v>
      </c>
      <c r="Z320" s="135">
        <v>561.00769182999863</v>
      </c>
      <c r="AA320" s="135">
        <v>0</v>
      </c>
      <c r="AB320" s="135">
        <v>2986.4313630956281</v>
      </c>
      <c r="AC320" s="135">
        <v>58.062171059041525</v>
      </c>
      <c r="AD320" s="135">
        <v>0</v>
      </c>
      <c r="AE320" s="135">
        <v>1562.2438591240666</v>
      </c>
      <c r="AF320" s="135">
        <v>279.57291233901122</v>
      </c>
      <c r="AG320" s="135">
        <v>116.23586245543521</v>
      </c>
      <c r="AH320" s="135">
        <v>12845.038734445456</v>
      </c>
      <c r="AI320" s="135">
        <v>636.14894542081765</v>
      </c>
      <c r="AJ320" s="135">
        <v>-24.799335272122978</v>
      </c>
      <c r="AK320" s="135">
        <v>-291.08892667703708</v>
      </c>
      <c r="AL320" s="135">
        <v>0</v>
      </c>
      <c r="AM320" s="135">
        <v>-55.706601868580989</v>
      </c>
      <c r="AN320" s="135">
        <v>107.3822969062781</v>
      </c>
      <c r="AO320" s="135">
        <v>0</v>
      </c>
      <c r="AP320" s="135">
        <v>442.66466605546339</v>
      </c>
      <c r="AQ320" s="135">
        <v>58.062171059041525</v>
      </c>
      <c r="AR320" s="135">
        <v>75.015922551472926</v>
      </c>
      <c r="AS320" s="135">
        <v>108.77568189458498</v>
      </c>
      <c r="AT320" s="135">
        <v>18.046386025255799</v>
      </c>
      <c r="AU320" s="135">
        <v>-48.18759239041168</v>
      </c>
      <c r="AV320" s="135">
        <v>1026.3136236993564</v>
      </c>
      <c r="AW320" s="135"/>
      <c r="AX320" s="164"/>
      <c r="AY320" s="132"/>
      <c r="AZ320" s="135"/>
      <c r="BA320" s="135"/>
    </row>
    <row r="321" spans="1:53" ht="16.5" x14ac:dyDescent="0.3">
      <c r="A321" s="165">
        <v>2154</v>
      </c>
      <c r="B321" s="165">
        <v>1</v>
      </c>
      <c r="C321" s="166" t="s">
        <v>597</v>
      </c>
      <c r="D321" s="167">
        <v>5</v>
      </c>
      <c r="E321" s="163">
        <v>1120.2600000000002</v>
      </c>
      <c r="F321" s="135">
        <v>6056.381768518022</v>
      </c>
      <c r="G321" s="135">
        <v>1.6462606894827982</v>
      </c>
      <c r="H321" s="135">
        <v>854.92992698123635</v>
      </c>
      <c r="I321" s="135">
        <v>0</v>
      </c>
      <c r="J321" s="135">
        <v>120.3276917858354</v>
      </c>
      <c r="K321" s="135">
        <v>576.19454412368543</v>
      </c>
      <c r="L321" s="135">
        <v>0</v>
      </c>
      <c r="M321" s="135">
        <v>499.9681852637637</v>
      </c>
      <c r="N321" s="135">
        <v>0</v>
      </c>
      <c r="O321" s="135">
        <v>-73.535786335314995</v>
      </c>
      <c r="P321" s="135">
        <v>552.81428418402857</v>
      </c>
      <c r="Q321" s="135">
        <v>139.08578365736523</v>
      </c>
      <c r="R321" s="135">
        <v>118.70871940442395</v>
      </c>
      <c r="S321" s="135">
        <v>8846.5213782725295</v>
      </c>
      <c r="T321" s="135"/>
      <c r="U321" s="135">
        <v>6710.9750950672151</v>
      </c>
      <c r="V321" s="135">
        <v>0</v>
      </c>
      <c r="W321" s="135">
        <v>537.76857158159703</v>
      </c>
      <c r="X321" s="135">
        <v>0</v>
      </c>
      <c r="Y321" s="135">
        <v>67.857934765143796</v>
      </c>
      <c r="Z321" s="135">
        <v>684.83025369110726</v>
      </c>
      <c r="AA321" s="135">
        <v>0</v>
      </c>
      <c r="AB321" s="135">
        <v>629.99955361733055</v>
      </c>
      <c r="AC321" s="135">
        <v>99.143350640186128</v>
      </c>
      <c r="AD321" s="135">
        <v>0</v>
      </c>
      <c r="AE321" s="135">
        <v>622.72694878867389</v>
      </c>
      <c r="AF321" s="135">
        <v>148.80984771392352</v>
      </c>
      <c r="AG321" s="135">
        <v>68.332360344919906</v>
      </c>
      <c r="AH321" s="135">
        <v>9570.4439162100971</v>
      </c>
      <c r="AI321" s="135">
        <v>654.59332654919308</v>
      </c>
      <c r="AJ321" s="135">
        <v>-1.6462606894827982</v>
      </c>
      <c r="AK321" s="135">
        <v>-317.16135539963932</v>
      </c>
      <c r="AL321" s="135">
        <v>0</v>
      </c>
      <c r="AM321" s="135">
        <v>-52.469757020691603</v>
      </c>
      <c r="AN321" s="135">
        <v>108.63570956742183</v>
      </c>
      <c r="AO321" s="135">
        <v>0</v>
      </c>
      <c r="AP321" s="135">
        <v>130.03136835356685</v>
      </c>
      <c r="AQ321" s="135">
        <v>99.143350640186128</v>
      </c>
      <c r="AR321" s="135">
        <v>73.535786335314995</v>
      </c>
      <c r="AS321" s="135">
        <v>69.912664604645329</v>
      </c>
      <c r="AT321" s="135">
        <v>9.7240640565582908</v>
      </c>
      <c r="AU321" s="135">
        <v>-50.37635905950404</v>
      </c>
      <c r="AV321" s="135">
        <v>723.92254390776156</v>
      </c>
      <c r="AW321" s="135"/>
      <c r="AX321" s="164"/>
      <c r="AY321" s="132"/>
      <c r="AZ321" s="135"/>
      <c r="BA321" s="135"/>
    </row>
    <row r="322" spans="1:53" ht="16.5" x14ac:dyDescent="0.3">
      <c r="A322" s="165">
        <v>2155</v>
      </c>
      <c r="B322" s="165">
        <v>1</v>
      </c>
      <c r="C322" s="166" t="s">
        <v>640</v>
      </c>
      <c r="D322" s="167">
        <v>5</v>
      </c>
      <c r="E322" s="163">
        <v>1032.8400000000001</v>
      </c>
      <c r="F322" s="135">
        <v>6021.1753998683234</v>
      </c>
      <c r="G322" s="135">
        <v>23.986270864799966</v>
      </c>
      <c r="H322" s="135">
        <v>985.47258045776675</v>
      </c>
      <c r="I322" s="135">
        <v>0</v>
      </c>
      <c r="J322" s="135">
        <v>113.48486696874636</v>
      </c>
      <c r="K322" s="135">
        <v>867.10447891251306</v>
      </c>
      <c r="L322" s="135">
        <v>0</v>
      </c>
      <c r="M322" s="135">
        <v>852.74623423842604</v>
      </c>
      <c r="N322" s="135">
        <v>0</v>
      </c>
      <c r="O322" s="135">
        <v>-73.81299136361875</v>
      </c>
      <c r="P322" s="135">
        <v>978.57597498160408</v>
      </c>
      <c r="Q322" s="135">
        <v>159.5081329150691</v>
      </c>
      <c r="R322" s="135">
        <v>98.960352039037971</v>
      </c>
      <c r="S322" s="135">
        <v>10027.201299882667</v>
      </c>
      <c r="T322" s="135"/>
      <c r="U322" s="135">
        <v>6669.2750087138375</v>
      </c>
      <c r="V322" s="135">
        <v>0</v>
      </c>
      <c r="W322" s="135">
        <v>691.86846946284027</v>
      </c>
      <c r="X322" s="135">
        <v>0</v>
      </c>
      <c r="Y322" s="135">
        <v>56.442333759343164</v>
      </c>
      <c r="Z322" s="135">
        <v>921.89932612989412</v>
      </c>
      <c r="AA322" s="135">
        <v>0</v>
      </c>
      <c r="AB322" s="135">
        <v>1123.8248659174092</v>
      </c>
      <c r="AC322" s="135">
        <v>84.493771961035009</v>
      </c>
      <c r="AD322" s="135">
        <v>0</v>
      </c>
      <c r="AE322" s="135">
        <v>1113.8091867356029</v>
      </c>
      <c r="AF322" s="135">
        <v>171.55915727508614</v>
      </c>
      <c r="AG322" s="135">
        <v>53.14793191588241</v>
      </c>
      <c r="AH322" s="135">
        <v>10886.320051870931</v>
      </c>
      <c r="AI322" s="135">
        <v>648.09960884551401</v>
      </c>
      <c r="AJ322" s="135">
        <v>-23.986270864799966</v>
      </c>
      <c r="AK322" s="135">
        <v>-293.60411099492649</v>
      </c>
      <c r="AL322" s="135">
        <v>0</v>
      </c>
      <c r="AM322" s="135">
        <v>-57.042533209403196</v>
      </c>
      <c r="AN322" s="135">
        <v>54.794847217381061</v>
      </c>
      <c r="AO322" s="135">
        <v>0</v>
      </c>
      <c r="AP322" s="135">
        <v>271.07863167898313</v>
      </c>
      <c r="AQ322" s="135">
        <v>84.493771961035009</v>
      </c>
      <c r="AR322" s="135">
        <v>73.81299136361875</v>
      </c>
      <c r="AS322" s="135">
        <v>135.23321175399883</v>
      </c>
      <c r="AT322" s="135">
        <v>12.051024360017038</v>
      </c>
      <c r="AU322" s="135">
        <v>-45.812420123155562</v>
      </c>
      <c r="AV322" s="135">
        <v>859.11875966489129</v>
      </c>
      <c r="AW322" s="135"/>
      <c r="AX322" s="164"/>
      <c r="AY322" s="132"/>
      <c r="AZ322" s="135"/>
      <c r="BA322" s="135"/>
    </row>
    <row r="323" spans="1:53" ht="16.5" x14ac:dyDescent="0.3">
      <c r="A323" s="165">
        <v>2159</v>
      </c>
      <c r="B323" s="165">
        <v>1</v>
      </c>
      <c r="C323" s="166" t="s">
        <v>641</v>
      </c>
      <c r="D323" s="167">
        <v>6</v>
      </c>
      <c r="E323" s="163">
        <v>572.24</v>
      </c>
      <c r="F323" s="135">
        <v>6015.4874877673701</v>
      </c>
      <c r="G323" s="135">
        <v>55.97488815881448</v>
      </c>
      <c r="H323" s="135">
        <v>1016.8715399133232</v>
      </c>
      <c r="I323" s="135">
        <v>0</v>
      </c>
      <c r="J323" s="135">
        <v>112.61766042220047</v>
      </c>
      <c r="K323" s="135">
        <v>508.4750454354816</v>
      </c>
      <c r="L323" s="135">
        <v>0</v>
      </c>
      <c r="M323" s="135">
        <v>907.0377724594855</v>
      </c>
      <c r="N323" s="135">
        <v>0</v>
      </c>
      <c r="O323" s="135">
        <v>-52.285072696770584</v>
      </c>
      <c r="P323" s="135">
        <v>344.72870823430725</v>
      </c>
      <c r="Q323" s="135">
        <v>674.48243743883677</v>
      </c>
      <c r="R323" s="135">
        <v>119.03743184677758</v>
      </c>
      <c r="S323" s="135">
        <v>9702.4278989798277</v>
      </c>
      <c r="T323" s="135"/>
      <c r="U323" s="135">
        <v>6647.8959876974695</v>
      </c>
      <c r="V323" s="135">
        <v>0</v>
      </c>
      <c r="W323" s="135">
        <v>756.27731371452535</v>
      </c>
      <c r="X323" s="135">
        <v>0</v>
      </c>
      <c r="Y323" s="135">
        <v>51.502359150006988</v>
      </c>
      <c r="Z323" s="135">
        <v>613.14234025694168</v>
      </c>
      <c r="AA323" s="135">
        <v>0</v>
      </c>
      <c r="AB323" s="135">
        <v>1093.4628384542016</v>
      </c>
      <c r="AC323" s="135">
        <v>87.058755627632408</v>
      </c>
      <c r="AD323" s="135">
        <v>0</v>
      </c>
      <c r="AE323" s="135">
        <v>497.51956633580312</v>
      </c>
      <c r="AF323" s="135">
        <v>720.92561200673981</v>
      </c>
      <c r="AG323" s="135">
        <v>68.616839088494345</v>
      </c>
      <c r="AH323" s="135">
        <v>10536.401612331814</v>
      </c>
      <c r="AI323" s="135">
        <v>632.40849993009942</v>
      </c>
      <c r="AJ323" s="135">
        <v>-55.97488815881448</v>
      </c>
      <c r="AK323" s="135">
        <v>-260.59422619879786</v>
      </c>
      <c r="AL323" s="135">
        <v>0</v>
      </c>
      <c r="AM323" s="135">
        <v>-61.115301272193484</v>
      </c>
      <c r="AN323" s="135">
        <v>104.66729482146008</v>
      </c>
      <c r="AO323" s="135">
        <v>0</v>
      </c>
      <c r="AP323" s="135">
        <v>186.42506599471608</v>
      </c>
      <c r="AQ323" s="135">
        <v>87.058755627632408</v>
      </c>
      <c r="AR323" s="135">
        <v>52.285072696770584</v>
      </c>
      <c r="AS323" s="135">
        <v>152.79085810149587</v>
      </c>
      <c r="AT323" s="135">
        <v>46.443174567903043</v>
      </c>
      <c r="AU323" s="135">
        <v>-50.420592758283235</v>
      </c>
      <c r="AV323" s="135">
        <v>833.97371802055659</v>
      </c>
      <c r="AW323" s="135"/>
      <c r="AX323" s="164"/>
      <c r="AY323" s="132"/>
      <c r="AZ323" s="135"/>
      <c r="BA323" s="135"/>
    </row>
    <row r="324" spans="1:53" ht="16.5" x14ac:dyDescent="0.3">
      <c r="A324" s="165">
        <v>2164</v>
      </c>
      <c r="B324" s="165">
        <v>1</v>
      </c>
      <c r="C324" s="166" t="s">
        <v>424</v>
      </c>
      <c r="D324" s="167">
        <v>5</v>
      </c>
      <c r="E324" s="163">
        <v>1472.82</v>
      </c>
      <c r="F324" s="135">
        <v>5891.2143507013761</v>
      </c>
      <c r="G324" s="135">
        <v>24.313663584144702</v>
      </c>
      <c r="H324" s="135">
        <v>506.60063008378489</v>
      </c>
      <c r="I324" s="135">
        <v>0</v>
      </c>
      <c r="J324" s="135">
        <v>133.53343925259028</v>
      </c>
      <c r="K324" s="135">
        <v>253.29799296587498</v>
      </c>
      <c r="L324" s="135">
        <v>0</v>
      </c>
      <c r="M324" s="135">
        <v>666.17131779937802</v>
      </c>
      <c r="N324" s="135">
        <v>0</v>
      </c>
      <c r="O324" s="135">
        <v>-40.061460327806522</v>
      </c>
      <c r="P324" s="135">
        <v>1102.8414797269379</v>
      </c>
      <c r="Q324" s="135">
        <v>181.52924322048861</v>
      </c>
      <c r="R324" s="135">
        <v>113.16863567849433</v>
      </c>
      <c r="S324" s="135">
        <v>8832.6092926852634</v>
      </c>
      <c r="T324" s="135"/>
      <c r="U324" s="135">
        <v>6499.7168696785757</v>
      </c>
      <c r="V324" s="135">
        <v>0</v>
      </c>
      <c r="W324" s="135">
        <v>221.40305672112001</v>
      </c>
      <c r="X324" s="135">
        <v>0</v>
      </c>
      <c r="Y324" s="135">
        <v>87.355603536073659</v>
      </c>
      <c r="Z324" s="135">
        <v>326.28503516115126</v>
      </c>
      <c r="AA324" s="135">
        <v>0</v>
      </c>
      <c r="AB324" s="135">
        <v>747.15706247354581</v>
      </c>
      <c r="AC324" s="135">
        <v>70.412258014686174</v>
      </c>
      <c r="AD324" s="135">
        <v>0</v>
      </c>
      <c r="AE324" s="135">
        <v>1240.8493910434211</v>
      </c>
      <c r="AF324" s="135">
        <v>169.39500414171454</v>
      </c>
      <c r="AG324" s="135">
        <v>66.586935267038754</v>
      </c>
      <c r="AH324" s="135">
        <v>9429.1612160373261</v>
      </c>
      <c r="AI324" s="135">
        <v>608.50251897719954</v>
      </c>
      <c r="AJ324" s="135">
        <v>-24.313663584144702</v>
      </c>
      <c r="AK324" s="135">
        <v>-285.19757336266491</v>
      </c>
      <c r="AL324" s="135">
        <v>0</v>
      </c>
      <c r="AM324" s="135">
        <v>-46.177835716516626</v>
      </c>
      <c r="AN324" s="135">
        <v>72.987042195276274</v>
      </c>
      <c r="AO324" s="135">
        <v>0</v>
      </c>
      <c r="AP324" s="135">
        <v>80.98574467416779</v>
      </c>
      <c r="AQ324" s="135">
        <v>70.412258014686174</v>
      </c>
      <c r="AR324" s="135">
        <v>40.061460327806522</v>
      </c>
      <c r="AS324" s="135">
        <v>138.00791131648316</v>
      </c>
      <c r="AT324" s="135">
        <v>-12.134239078774073</v>
      </c>
      <c r="AU324" s="135">
        <v>-46.581700411455571</v>
      </c>
      <c r="AV324" s="135">
        <v>596.55192365078528</v>
      </c>
      <c r="AW324" s="135"/>
      <c r="AX324" s="164"/>
      <c r="AY324" s="132"/>
      <c r="AZ324" s="135"/>
      <c r="BA324" s="135"/>
    </row>
    <row r="325" spans="1:53" ht="16.5" x14ac:dyDescent="0.3">
      <c r="A325" s="165">
        <v>2165</v>
      </c>
      <c r="B325" s="165">
        <v>1</v>
      </c>
      <c r="C325" s="166" t="s">
        <v>644</v>
      </c>
      <c r="D325" s="167">
        <v>5</v>
      </c>
      <c r="E325" s="163">
        <v>1020.68</v>
      </c>
      <c r="F325" s="135">
        <v>5981.8966179409808</v>
      </c>
      <c r="G325" s="135">
        <v>0</v>
      </c>
      <c r="H325" s="135">
        <v>348.65435787906108</v>
      </c>
      <c r="I325" s="135">
        <v>0</v>
      </c>
      <c r="J325" s="135">
        <v>139.65392679390212</v>
      </c>
      <c r="K325" s="135">
        <v>922.82591997491863</v>
      </c>
      <c r="L325" s="135">
        <v>0</v>
      </c>
      <c r="M325" s="135">
        <v>838.70013002472092</v>
      </c>
      <c r="N325" s="135">
        <v>0</v>
      </c>
      <c r="O325" s="135">
        <v>-49.12768938354823</v>
      </c>
      <c r="P325" s="135">
        <v>1057.7134019337248</v>
      </c>
      <c r="Q325" s="135">
        <v>252.68474938276444</v>
      </c>
      <c r="R325" s="135">
        <v>102.81943410275503</v>
      </c>
      <c r="S325" s="135">
        <v>9595.8208486492822</v>
      </c>
      <c r="T325" s="135"/>
      <c r="U325" s="135">
        <v>6613.1236038719298</v>
      </c>
      <c r="V325" s="135">
        <v>0</v>
      </c>
      <c r="W325" s="135">
        <v>33.747922953325237</v>
      </c>
      <c r="X325" s="135">
        <v>0</v>
      </c>
      <c r="Y325" s="135">
        <v>102.5596465101697</v>
      </c>
      <c r="Z325" s="135">
        <v>1103.406666678045</v>
      </c>
      <c r="AA325" s="135">
        <v>0</v>
      </c>
      <c r="AB325" s="135">
        <v>1017.4245213119236</v>
      </c>
      <c r="AC325" s="135">
        <v>97.658264862344339</v>
      </c>
      <c r="AD325" s="135">
        <v>0</v>
      </c>
      <c r="AE325" s="135">
        <v>1180.5643285631709</v>
      </c>
      <c r="AF325" s="135">
        <v>267.03373241368502</v>
      </c>
      <c r="AG325" s="135">
        <v>53.738213739859702</v>
      </c>
      <c r="AH325" s="135">
        <v>10469.256900904453</v>
      </c>
      <c r="AI325" s="135">
        <v>631.22698593094901</v>
      </c>
      <c r="AJ325" s="135">
        <v>0</v>
      </c>
      <c r="AK325" s="135">
        <v>-314.90643492573582</v>
      </c>
      <c r="AL325" s="135">
        <v>0</v>
      </c>
      <c r="AM325" s="135">
        <v>-37.094280283732417</v>
      </c>
      <c r="AN325" s="135">
        <v>180.58074670312635</v>
      </c>
      <c r="AO325" s="135">
        <v>0</v>
      </c>
      <c r="AP325" s="135">
        <v>178.72439128720271</v>
      </c>
      <c r="AQ325" s="135">
        <v>97.658264862344339</v>
      </c>
      <c r="AR325" s="135">
        <v>49.12768938354823</v>
      </c>
      <c r="AS325" s="135">
        <v>122.85092662944612</v>
      </c>
      <c r="AT325" s="135">
        <v>14.348983030920579</v>
      </c>
      <c r="AU325" s="135">
        <v>-49.081220362895323</v>
      </c>
      <c r="AV325" s="135">
        <v>873.43605386389368</v>
      </c>
      <c r="AW325" s="135"/>
      <c r="AX325" s="132"/>
      <c r="AY325" s="132"/>
      <c r="AZ325" s="155"/>
      <c r="BA325" s="155"/>
    </row>
    <row r="326" spans="1:53" ht="16.5" x14ac:dyDescent="0.3">
      <c r="A326" s="165">
        <v>2167</v>
      </c>
      <c r="B326" s="165">
        <v>1</v>
      </c>
      <c r="C326" s="166" t="s">
        <v>287</v>
      </c>
      <c r="D326" s="167">
        <v>6</v>
      </c>
      <c r="E326" s="163">
        <v>591.71</v>
      </c>
      <c r="F326" s="135">
        <v>6061.8388061719425</v>
      </c>
      <c r="G326" s="135">
        <v>0</v>
      </c>
      <c r="H326" s="135">
        <v>822.85729495867906</v>
      </c>
      <c r="I326" s="135">
        <v>0</v>
      </c>
      <c r="J326" s="135">
        <v>126.63255648882053</v>
      </c>
      <c r="K326" s="135">
        <v>337.6008686687735</v>
      </c>
      <c r="L326" s="135">
        <v>100.09398184921665</v>
      </c>
      <c r="M326" s="135">
        <v>889.10119694580089</v>
      </c>
      <c r="N326" s="135">
        <v>0</v>
      </c>
      <c r="O326" s="135">
        <v>-42.753189907218065</v>
      </c>
      <c r="P326" s="135">
        <v>1689.1479962433334</v>
      </c>
      <c r="Q326" s="135">
        <v>495.42639130655215</v>
      </c>
      <c r="R326" s="135">
        <v>380.17424075983166</v>
      </c>
      <c r="S326" s="135">
        <v>10860.120143485732</v>
      </c>
      <c r="T326" s="135"/>
      <c r="U326" s="135">
        <v>6715.3607003430725</v>
      </c>
      <c r="V326" s="135">
        <v>0</v>
      </c>
      <c r="W326" s="135">
        <v>504.24621858680774</v>
      </c>
      <c r="X326" s="135">
        <v>0</v>
      </c>
      <c r="Y326" s="135">
        <v>70.186459583241785</v>
      </c>
      <c r="Z326" s="135">
        <v>428.57905436883902</v>
      </c>
      <c r="AA326" s="135">
        <v>73.18079802606006</v>
      </c>
      <c r="AB326" s="135">
        <v>980.77702197474139</v>
      </c>
      <c r="AC326" s="135">
        <v>43.502561550293905</v>
      </c>
      <c r="AD326" s="135">
        <v>0</v>
      </c>
      <c r="AE326" s="135">
        <v>1689.0998780773398</v>
      </c>
      <c r="AF326" s="135">
        <v>474.45831648682804</v>
      </c>
      <c r="AG326" s="135">
        <v>332.25140693921009</v>
      </c>
      <c r="AH326" s="135">
        <v>11311.642415936434</v>
      </c>
      <c r="AI326" s="135">
        <v>653.52189417113004</v>
      </c>
      <c r="AJ326" s="135">
        <v>0</v>
      </c>
      <c r="AK326" s="135">
        <v>-318.61107637187132</v>
      </c>
      <c r="AL326" s="135">
        <v>0</v>
      </c>
      <c r="AM326" s="135">
        <v>-56.446096905578742</v>
      </c>
      <c r="AN326" s="135">
        <v>90.978185700065524</v>
      </c>
      <c r="AO326" s="135">
        <v>-26.913183823156587</v>
      </c>
      <c r="AP326" s="135">
        <v>91.675825028940494</v>
      </c>
      <c r="AQ326" s="135">
        <v>43.502561550293905</v>
      </c>
      <c r="AR326" s="135">
        <v>42.753189907218065</v>
      </c>
      <c r="AS326" s="135">
        <v>-4.8118165993628281E-2</v>
      </c>
      <c r="AT326" s="135">
        <v>-20.968074819724109</v>
      </c>
      <c r="AU326" s="135">
        <v>-47.922833820621577</v>
      </c>
      <c r="AV326" s="135">
        <v>451.52227856166724</v>
      </c>
      <c r="AW326" s="135"/>
      <c r="AX326" s="164"/>
      <c r="AY326" s="132"/>
      <c r="AZ326" s="135"/>
      <c r="BA326" s="135"/>
    </row>
    <row r="327" spans="1:53" ht="16.5" x14ac:dyDescent="0.3">
      <c r="A327" s="165">
        <v>2168</v>
      </c>
      <c r="B327" s="165">
        <v>1</v>
      </c>
      <c r="C327" s="166" t="s">
        <v>543</v>
      </c>
      <c r="D327" s="167">
        <v>6</v>
      </c>
      <c r="E327" s="163">
        <v>937.95999999999992</v>
      </c>
      <c r="F327" s="135">
        <v>6044.726512857691</v>
      </c>
      <c r="G327" s="135">
        <v>10.668525310247773</v>
      </c>
      <c r="H327" s="135">
        <v>506.27408418269437</v>
      </c>
      <c r="I327" s="135">
        <v>0</v>
      </c>
      <c r="J327" s="135">
        <v>135.50879568425094</v>
      </c>
      <c r="K327" s="135">
        <v>384.98766471917793</v>
      </c>
      <c r="L327" s="135">
        <v>101.81695594694871</v>
      </c>
      <c r="M327" s="135">
        <v>817.86575286366156</v>
      </c>
      <c r="N327" s="135">
        <v>0</v>
      </c>
      <c r="O327" s="135">
        <v>-50.606646338863072</v>
      </c>
      <c r="P327" s="135">
        <v>850.340918589279</v>
      </c>
      <c r="Q327" s="135">
        <v>197.56443771589409</v>
      </c>
      <c r="R327" s="135">
        <v>106.58008870314301</v>
      </c>
      <c r="S327" s="135">
        <v>9105.7270902341243</v>
      </c>
      <c r="T327" s="135"/>
      <c r="U327" s="135">
        <v>6685.874664164784</v>
      </c>
      <c r="V327" s="135">
        <v>0</v>
      </c>
      <c r="W327" s="135">
        <v>198.57048274979746</v>
      </c>
      <c r="X327" s="135">
        <v>0</v>
      </c>
      <c r="Y327" s="135">
        <v>91.941394089300204</v>
      </c>
      <c r="Z327" s="135">
        <v>484.51505677347302</v>
      </c>
      <c r="AA327" s="135">
        <v>63.084172032922517</v>
      </c>
      <c r="AB327" s="135">
        <v>930.84280076365474</v>
      </c>
      <c r="AC327" s="135">
        <v>55.308233250182589</v>
      </c>
      <c r="AD327" s="135">
        <v>0</v>
      </c>
      <c r="AE327" s="135">
        <v>1016.5447966874921</v>
      </c>
      <c r="AF327" s="135">
        <v>201.56320098938122</v>
      </c>
      <c r="AG327" s="135">
        <v>58.027655763572014</v>
      </c>
      <c r="AH327" s="135">
        <v>9786.2724572645584</v>
      </c>
      <c r="AI327" s="135">
        <v>641.14815130709303</v>
      </c>
      <c r="AJ327" s="135">
        <v>-10.668525310247773</v>
      </c>
      <c r="AK327" s="135">
        <v>-307.7036014328969</v>
      </c>
      <c r="AL327" s="135">
        <v>0</v>
      </c>
      <c r="AM327" s="135">
        <v>-43.567401594950738</v>
      </c>
      <c r="AN327" s="135">
        <v>99.527392054295092</v>
      </c>
      <c r="AO327" s="135">
        <v>-38.732783914026193</v>
      </c>
      <c r="AP327" s="135">
        <v>112.97704789999318</v>
      </c>
      <c r="AQ327" s="135">
        <v>55.308233250182589</v>
      </c>
      <c r="AR327" s="135">
        <v>50.606646338863072</v>
      </c>
      <c r="AS327" s="135">
        <v>166.20387809821307</v>
      </c>
      <c r="AT327" s="135">
        <v>3.9987632734871283</v>
      </c>
      <c r="AU327" s="135">
        <v>-48.552432939570991</v>
      </c>
      <c r="AV327" s="135">
        <v>680.54537668504713</v>
      </c>
      <c r="AW327" s="135"/>
      <c r="AX327" s="164"/>
      <c r="AY327" s="132"/>
      <c r="AZ327" s="135"/>
      <c r="BA327" s="135"/>
    </row>
    <row r="328" spans="1:53" ht="16.5" x14ac:dyDescent="0.3">
      <c r="A328" s="165">
        <v>2169</v>
      </c>
      <c r="B328" s="165">
        <v>1</v>
      </c>
      <c r="C328" s="166" t="s">
        <v>514</v>
      </c>
      <c r="D328" s="167">
        <v>6</v>
      </c>
      <c r="E328" s="163">
        <v>763.81000000000006</v>
      </c>
      <c r="F328" s="135">
        <v>6008.8892263782873</v>
      </c>
      <c r="G328" s="135">
        <v>4.1408858223903842</v>
      </c>
      <c r="H328" s="135">
        <v>1461.0509550804518</v>
      </c>
      <c r="I328" s="135">
        <v>0</v>
      </c>
      <c r="J328" s="135">
        <v>96.862282504811404</v>
      </c>
      <c r="K328" s="135">
        <v>297.65309435592621</v>
      </c>
      <c r="L328" s="135">
        <v>98.677862295597052</v>
      </c>
      <c r="M328" s="135">
        <v>973.30733440274935</v>
      </c>
      <c r="N328" s="135">
        <v>0</v>
      </c>
      <c r="O328" s="135">
        <v>-56.872703944698287</v>
      </c>
      <c r="P328" s="135">
        <v>928.64011992511223</v>
      </c>
      <c r="Q328" s="135">
        <v>427.00052369044653</v>
      </c>
      <c r="R328" s="135">
        <v>369.52793233919431</v>
      </c>
      <c r="S328" s="135">
        <v>10608.877512850269</v>
      </c>
      <c r="T328" s="135"/>
      <c r="U328" s="135">
        <v>6644.405388774695</v>
      </c>
      <c r="V328" s="135">
        <v>0</v>
      </c>
      <c r="W328" s="135">
        <v>1149.0123198177555</v>
      </c>
      <c r="X328" s="135">
        <v>0</v>
      </c>
      <c r="Y328" s="135">
        <v>23.320393815215823</v>
      </c>
      <c r="Z328" s="135">
        <v>381.32707631749662</v>
      </c>
      <c r="AA328" s="135">
        <v>72.329545305769756</v>
      </c>
      <c r="AB328" s="135">
        <v>1106.8095560118732</v>
      </c>
      <c r="AC328" s="135">
        <v>55.283610035704541</v>
      </c>
      <c r="AD328" s="135">
        <v>0</v>
      </c>
      <c r="AE328" s="135">
        <v>1059.0427606341891</v>
      </c>
      <c r="AF328" s="135">
        <v>453.99480926298145</v>
      </c>
      <c r="AG328" s="135">
        <v>321.80122019874051</v>
      </c>
      <c r="AH328" s="135">
        <v>11267.326680174421</v>
      </c>
      <c r="AI328" s="135">
        <v>635.51616239640771</v>
      </c>
      <c r="AJ328" s="135">
        <v>-4.1408858223903842</v>
      </c>
      <c r="AK328" s="135">
        <v>-312.03863526269629</v>
      </c>
      <c r="AL328" s="135">
        <v>0</v>
      </c>
      <c r="AM328" s="135">
        <v>-73.541888689595581</v>
      </c>
      <c r="AN328" s="135">
        <v>83.673981961570405</v>
      </c>
      <c r="AO328" s="135">
        <v>-26.348316989827296</v>
      </c>
      <c r="AP328" s="135">
        <v>133.50222160912381</v>
      </c>
      <c r="AQ328" s="135">
        <v>55.283610035704541</v>
      </c>
      <c r="AR328" s="135">
        <v>56.872703944698287</v>
      </c>
      <c r="AS328" s="135">
        <v>130.40264070907688</v>
      </c>
      <c r="AT328" s="135">
        <v>26.99428557253492</v>
      </c>
      <c r="AU328" s="135">
        <v>-47.726712140453799</v>
      </c>
      <c r="AV328" s="135">
        <v>658.4491716281052</v>
      </c>
      <c r="AW328" s="135"/>
      <c r="AX328" s="164"/>
      <c r="AY328" s="132"/>
      <c r="AZ328" s="135"/>
      <c r="BA328" s="135"/>
    </row>
    <row r="329" spans="1:53" ht="16.5" x14ac:dyDescent="0.3">
      <c r="A329" s="165">
        <v>2170</v>
      </c>
      <c r="B329" s="165">
        <v>1</v>
      </c>
      <c r="C329" s="166" t="s">
        <v>647</v>
      </c>
      <c r="D329" s="167">
        <v>5</v>
      </c>
      <c r="E329" s="163">
        <v>1176.78</v>
      </c>
      <c r="F329" s="135">
        <v>6163.3859854858174</v>
      </c>
      <c r="G329" s="135">
        <v>70.600503067693197</v>
      </c>
      <c r="H329" s="135">
        <v>648.65159163140106</v>
      </c>
      <c r="I329" s="135">
        <v>0</v>
      </c>
      <c r="J329" s="135">
        <v>130.41743571440711</v>
      </c>
      <c r="K329" s="135">
        <v>1330.8920613878549</v>
      </c>
      <c r="L329" s="135">
        <v>0</v>
      </c>
      <c r="M329" s="135">
        <v>1233.4099538813798</v>
      </c>
      <c r="N329" s="135">
        <v>0</v>
      </c>
      <c r="O329" s="135">
        <v>-69.181529257805195</v>
      </c>
      <c r="P329" s="135">
        <v>594.68101939190001</v>
      </c>
      <c r="Q329" s="135">
        <v>228.24821122044901</v>
      </c>
      <c r="R329" s="135">
        <v>78.284726117031227</v>
      </c>
      <c r="S329" s="135">
        <v>10409.389958640128</v>
      </c>
      <c r="T329" s="135"/>
      <c r="U329" s="135">
        <v>6847.396216794983</v>
      </c>
      <c r="V329" s="135">
        <v>0</v>
      </c>
      <c r="W329" s="135">
        <v>399.57334421047267</v>
      </c>
      <c r="X329" s="135">
        <v>0</v>
      </c>
      <c r="Y329" s="135">
        <v>78.01762436479207</v>
      </c>
      <c r="Z329" s="135">
        <v>1348.2870396943365</v>
      </c>
      <c r="AA329" s="135">
        <v>0</v>
      </c>
      <c r="AB329" s="135">
        <v>1499.6162995478442</v>
      </c>
      <c r="AC329" s="135">
        <v>111.94485858282717</v>
      </c>
      <c r="AD329" s="135">
        <v>0</v>
      </c>
      <c r="AE329" s="135">
        <v>739.39421639048931</v>
      </c>
      <c r="AF329" s="135">
        <v>268.3784309726542</v>
      </c>
      <c r="AG329" s="135">
        <v>64.126871632760597</v>
      </c>
      <c r="AH329" s="135">
        <v>11356.73490219116</v>
      </c>
      <c r="AI329" s="135">
        <v>684.01023130916565</v>
      </c>
      <c r="AJ329" s="135">
        <v>-70.600503067693197</v>
      </c>
      <c r="AK329" s="135">
        <v>-249.07824742092839</v>
      </c>
      <c r="AL329" s="135">
        <v>0</v>
      </c>
      <c r="AM329" s="135">
        <v>-52.399811349615035</v>
      </c>
      <c r="AN329" s="135">
        <v>17.394978306481562</v>
      </c>
      <c r="AO329" s="135">
        <v>0</v>
      </c>
      <c r="AP329" s="135">
        <v>266.20634566646436</v>
      </c>
      <c r="AQ329" s="135">
        <v>111.94485858282717</v>
      </c>
      <c r="AR329" s="135">
        <v>69.181529257805195</v>
      </c>
      <c r="AS329" s="135">
        <v>144.7131969985893</v>
      </c>
      <c r="AT329" s="135">
        <v>40.130219752205193</v>
      </c>
      <c r="AU329" s="135">
        <v>-14.157854484270629</v>
      </c>
      <c r="AV329" s="135">
        <v>947.34495190140353</v>
      </c>
      <c r="AW329" s="135"/>
      <c r="AX329" s="164"/>
      <c r="AY329" s="132"/>
      <c r="AZ329" s="135"/>
      <c r="BA329" s="135"/>
    </row>
    <row r="330" spans="1:53" ht="16.5" x14ac:dyDescent="0.3">
      <c r="A330" s="165">
        <v>2171</v>
      </c>
      <c r="B330" s="165">
        <v>1</v>
      </c>
      <c r="C330" s="166" t="s">
        <v>512</v>
      </c>
      <c r="D330" s="167">
        <v>6</v>
      </c>
      <c r="E330" s="163">
        <v>270.31</v>
      </c>
      <c r="F330" s="135">
        <v>6239.7724094558098</v>
      </c>
      <c r="G330" s="135">
        <v>0</v>
      </c>
      <c r="H330" s="135">
        <v>3032.397469571973</v>
      </c>
      <c r="I330" s="135">
        <v>0</v>
      </c>
      <c r="J330" s="135">
        <v>54.944397173615478</v>
      </c>
      <c r="K330" s="135">
        <v>148.37431097628647</v>
      </c>
      <c r="L330" s="135">
        <v>0</v>
      </c>
      <c r="M330" s="135">
        <v>1066.0934755499982</v>
      </c>
      <c r="N330" s="135">
        <v>0</v>
      </c>
      <c r="O330" s="135">
        <v>-97.471495690133551</v>
      </c>
      <c r="P330" s="135">
        <v>1852.0085677291152</v>
      </c>
      <c r="Q330" s="135">
        <v>1858.307054862935</v>
      </c>
      <c r="R330" s="135">
        <v>104.28374828900152</v>
      </c>
      <c r="S330" s="135">
        <v>14258.709937918602</v>
      </c>
      <c r="T330" s="135"/>
      <c r="U330" s="135">
        <v>6942.6368243868146</v>
      </c>
      <c r="V330" s="135">
        <v>0</v>
      </c>
      <c r="W330" s="135">
        <v>2708.6134068291963</v>
      </c>
      <c r="X330" s="135">
        <v>0</v>
      </c>
      <c r="Y330" s="135">
        <v>0</v>
      </c>
      <c r="Z330" s="135">
        <v>208.2651030298546</v>
      </c>
      <c r="AA330" s="135">
        <v>0</v>
      </c>
      <c r="AB330" s="135">
        <v>1197.6303042392008</v>
      </c>
      <c r="AC330" s="135">
        <v>28.056387882347387</v>
      </c>
      <c r="AD330" s="135">
        <v>0</v>
      </c>
      <c r="AE330" s="135">
        <v>1868.604127583674</v>
      </c>
      <c r="AF330" s="135">
        <v>1905.7568979631571</v>
      </c>
      <c r="AG330" s="135">
        <v>55.413414228108465</v>
      </c>
      <c r="AH330" s="135">
        <v>14914.976466142354</v>
      </c>
      <c r="AI330" s="135">
        <v>702.86441493100483</v>
      </c>
      <c r="AJ330" s="135">
        <v>0</v>
      </c>
      <c r="AK330" s="135">
        <v>-323.78406274277677</v>
      </c>
      <c r="AL330" s="135">
        <v>0</v>
      </c>
      <c r="AM330" s="135">
        <v>-54.944397173615478</v>
      </c>
      <c r="AN330" s="135">
        <v>59.890792053568134</v>
      </c>
      <c r="AO330" s="135">
        <v>0</v>
      </c>
      <c r="AP330" s="135">
        <v>131.53682868920259</v>
      </c>
      <c r="AQ330" s="135">
        <v>28.056387882347387</v>
      </c>
      <c r="AR330" s="135">
        <v>97.471495690133551</v>
      </c>
      <c r="AS330" s="135">
        <v>16.595559854558815</v>
      </c>
      <c r="AT330" s="135">
        <v>47.449843100222097</v>
      </c>
      <c r="AU330" s="135">
        <v>-48.870334060893057</v>
      </c>
      <c r="AV330" s="135">
        <v>656.26652925362293</v>
      </c>
      <c r="AW330" s="135"/>
      <c r="AX330" s="164"/>
      <c r="AY330" s="132"/>
      <c r="AZ330" s="135"/>
      <c r="BA330" s="135"/>
    </row>
    <row r="331" spans="1:53" ht="16.5" x14ac:dyDescent="0.3">
      <c r="A331" s="165">
        <v>2172</v>
      </c>
      <c r="B331" s="165">
        <v>1</v>
      </c>
      <c r="C331" s="166" t="s">
        <v>462</v>
      </c>
      <c r="D331" s="167">
        <v>6</v>
      </c>
      <c r="E331" s="163">
        <v>833.03</v>
      </c>
      <c r="F331" s="135">
        <v>6072.4147749780923</v>
      </c>
      <c r="G331" s="135">
        <v>0</v>
      </c>
      <c r="H331" s="135">
        <v>1164.0257613771414</v>
      </c>
      <c r="I331" s="135">
        <v>0</v>
      </c>
      <c r="J331" s="135">
        <v>108.01086395447943</v>
      </c>
      <c r="K331" s="135">
        <v>393.24528528384332</v>
      </c>
      <c r="L331" s="135">
        <v>0</v>
      </c>
      <c r="M331" s="135">
        <v>830.65421980456404</v>
      </c>
      <c r="N331" s="135">
        <v>0</v>
      </c>
      <c r="O331" s="135">
        <v>-50.068472924144395</v>
      </c>
      <c r="P331" s="135">
        <v>1715.4263034258756</v>
      </c>
      <c r="Q331" s="135">
        <v>197.95793668895482</v>
      </c>
      <c r="R331" s="135">
        <v>91.619341440284273</v>
      </c>
      <c r="S331" s="135">
        <v>10523.286014029094</v>
      </c>
      <c r="T331" s="135"/>
      <c r="U331" s="135">
        <v>6724.6273963722797</v>
      </c>
      <c r="V331" s="135">
        <v>0</v>
      </c>
      <c r="W331" s="135">
        <v>844.02810222921141</v>
      </c>
      <c r="X331" s="135">
        <v>0</v>
      </c>
      <c r="Y331" s="135">
        <v>46.377105266316939</v>
      </c>
      <c r="Z331" s="135">
        <v>408.83888052616874</v>
      </c>
      <c r="AA331" s="135">
        <v>0</v>
      </c>
      <c r="AB331" s="135">
        <v>1050.3880760997217</v>
      </c>
      <c r="AC331" s="135">
        <v>62.274960636881332</v>
      </c>
      <c r="AD331" s="135">
        <v>0</v>
      </c>
      <c r="AE331" s="135">
        <v>1719.7674375678462</v>
      </c>
      <c r="AF331" s="135">
        <v>245.63421253230914</v>
      </c>
      <c r="AG331" s="135">
        <v>42.421545442541088</v>
      </c>
      <c r="AH331" s="135">
        <v>11144.357716673278</v>
      </c>
      <c r="AI331" s="135">
        <v>652.21262139418741</v>
      </c>
      <c r="AJ331" s="135">
        <v>0</v>
      </c>
      <c r="AK331" s="135">
        <v>-319.99765914792999</v>
      </c>
      <c r="AL331" s="135">
        <v>0</v>
      </c>
      <c r="AM331" s="135">
        <v>-61.633758688162494</v>
      </c>
      <c r="AN331" s="135">
        <v>15.593595242325421</v>
      </c>
      <c r="AO331" s="135">
        <v>0</v>
      </c>
      <c r="AP331" s="135">
        <v>219.73385629515769</v>
      </c>
      <c r="AQ331" s="135">
        <v>62.274960636881332</v>
      </c>
      <c r="AR331" s="135">
        <v>50.068472924144395</v>
      </c>
      <c r="AS331" s="135">
        <v>4.3411341419705423</v>
      </c>
      <c r="AT331" s="135">
        <v>47.676275843354318</v>
      </c>
      <c r="AU331" s="135">
        <v>-49.197795997743185</v>
      </c>
      <c r="AV331" s="135">
        <v>621.07170570973585</v>
      </c>
      <c r="AW331" s="135"/>
      <c r="AX331" s="164"/>
      <c r="AY331" s="132"/>
      <c r="AZ331" s="135"/>
      <c r="BA331" s="135"/>
    </row>
    <row r="332" spans="1:53" ht="16.5" x14ac:dyDescent="0.3">
      <c r="A332" s="165">
        <v>2174</v>
      </c>
      <c r="B332" s="165">
        <v>1</v>
      </c>
      <c r="C332" s="166" t="s">
        <v>642</v>
      </c>
      <c r="D332" s="167">
        <v>6</v>
      </c>
      <c r="E332" s="163">
        <v>910.89</v>
      </c>
      <c r="F332" s="135">
        <v>6039.638858698635</v>
      </c>
      <c r="G332" s="135">
        <v>0</v>
      </c>
      <c r="H332" s="135">
        <v>1.3403374721426298</v>
      </c>
      <c r="I332" s="135">
        <v>0</v>
      </c>
      <c r="J332" s="135">
        <v>264.64675207763833</v>
      </c>
      <c r="K332" s="135">
        <v>1371.6544807825312</v>
      </c>
      <c r="L332" s="135">
        <v>0</v>
      </c>
      <c r="M332" s="135">
        <v>1142.9019823983137</v>
      </c>
      <c r="N332" s="135">
        <v>0</v>
      </c>
      <c r="O332" s="135">
        <v>-48.614223451788909</v>
      </c>
      <c r="P332" s="135">
        <v>752.42400070260965</v>
      </c>
      <c r="Q332" s="135">
        <v>334.31183787284965</v>
      </c>
      <c r="R332" s="135">
        <v>113.47125338954208</v>
      </c>
      <c r="S332" s="135">
        <v>9971.7752799424743</v>
      </c>
      <c r="T332" s="135"/>
      <c r="U332" s="135">
        <v>6677.0773638968485</v>
      </c>
      <c r="V332" s="135">
        <v>0</v>
      </c>
      <c r="W332" s="135">
        <v>0</v>
      </c>
      <c r="X332" s="135">
        <v>0</v>
      </c>
      <c r="Y332" s="135">
        <v>105.98535498248965</v>
      </c>
      <c r="Z332" s="135">
        <v>1390.1000644029625</v>
      </c>
      <c r="AA332" s="135">
        <v>0</v>
      </c>
      <c r="AB332" s="135">
        <v>1160.0563866553512</v>
      </c>
      <c r="AC332" s="135">
        <v>105.76780259988054</v>
      </c>
      <c r="AD332" s="135">
        <v>0</v>
      </c>
      <c r="AE332" s="135">
        <v>881.06392833272946</v>
      </c>
      <c r="AF332" s="135">
        <v>368.71242411268099</v>
      </c>
      <c r="AG332" s="135">
        <v>65.590806793355938</v>
      </c>
      <c r="AH332" s="135">
        <v>10754.354131776299</v>
      </c>
      <c r="AI332" s="135">
        <v>637.43850519821353</v>
      </c>
      <c r="AJ332" s="135">
        <v>0</v>
      </c>
      <c r="AK332" s="135">
        <v>-1.3403374721426298</v>
      </c>
      <c r="AL332" s="135">
        <v>0</v>
      </c>
      <c r="AM332" s="135">
        <v>-158.66139709514869</v>
      </c>
      <c r="AN332" s="135">
        <v>18.445583620431307</v>
      </c>
      <c r="AO332" s="135">
        <v>0</v>
      </c>
      <c r="AP332" s="135">
        <v>17.154404257037413</v>
      </c>
      <c r="AQ332" s="135">
        <v>105.76780259988054</v>
      </c>
      <c r="AR332" s="135">
        <v>48.614223451788909</v>
      </c>
      <c r="AS332" s="135">
        <v>128.63992763011981</v>
      </c>
      <c r="AT332" s="135">
        <v>34.400586239831341</v>
      </c>
      <c r="AU332" s="135">
        <v>-47.880446596186147</v>
      </c>
      <c r="AV332" s="135">
        <v>782.57885710862695</v>
      </c>
      <c r="AW332" s="135"/>
      <c r="AX332" s="164"/>
      <c r="AY332" s="132"/>
      <c r="AZ332" s="135"/>
      <c r="BA332" s="135"/>
    </row>
    <row r="333" spans="1:53" ht="16.5" x14ac:dyDescent="0.3">
      <c r="A333" s="165">
        <v>2176</v>
      </c>
      <c r="B333" s="165">
        <v>1</v>
      </c>
      <c r="C333" s="166" t="s">
        <v>648</v>
      </c>
      <c r="D333" s="167">
        <v>6</v>
      </c>
      <c r="E333" s="163">
        <v>425.47</v>
      </c>
      <c r="F333" s="135">
        <v>6016.5569370343383</v>
      </c>
      <c r="G333" s="135">
        <v>0</v>
      </c>
      <c r="H333" s="135">
        <v>1937.8287540837191</v>
      </c>
      <c r="I333" s="135">
        <v>0</v>
      </c>
      <c r="J333" s="135">
        <v>78.063224199120967</v>
      </c>
      <c r="K333" s="135">
        <v>581.81429948057439</v>
      </c>
      <c r="L333" s="135">
        <v>0</v>
      </c>
      <c r="M333" s="135">
        <v>1005.4469566238512</v>
      </c>
      <c r="N333" s="135">
        <v>0</v>
      </c>
      <c r="O333" s="135">
        <v>-102.35974334265634</v>
      </c>
      <c r="P333" s="135">
        <v>437.19762145392144</v>
      </c>
      <c r="Q333" s="135">
        <v>1813.101769807507</v>
      </c>
      <c r="R333" s="135">
        <v>110.66766164476931</v>
      </c>
      <c r="S333" s="135">
        <v>11878.317480985144</v>
      </c>
      <c r="T333" s="135"/>
      <c r="U333" s="135">
        <v>6661.7387829929248</v>
      </c>
      <c r="V333" s="135">
        <v>0</v>
      </c>
      <c r="W333" s="135">
        <v>1620.6001363198345</v>
      </c>
      <c r="X333" s="135">
        <v>0</v>
      </c>
      <c r="Y333" s="135">
        <v>0</v>
      </c>
      <c r="Z333" s="135">
        <v>706.73439653642424</v>
      </c>
      <c r="AA333" s="135">
        <v>0</v>
      </c>
      <c r="AB333" s="135">
        <v>1181.9640881620185</v>
      </c>
      <c r="AC333" s="135">
        <v>58.061181034912927</v>
      </c>
      <c r="AD333" s="135">
        <v>0</v>
      </c>
      <c r="AE333" s="135">
        <v>495.66255021505617</v>
      </c>
      <c r="AF333" s="135">
        <v>1898.3084938884922</v>
      </c>
      <c r="AG333" s="135">
        <v>61.766822572684319</v>
      </c>
      <c r="AH333" s="135">
        <v>12684.836451722345</v>
      </c>
      <c r="AI333" s="135">
        <v>645.18184595858656</v>
      </c>
      <c r="AJ333" s="135">
        <v>0</v>
      </c>
      <c r="AK333" s="135">
        <v>-317.22861776388459</v>
      </c>
      <c r="AL333" s="135">
        <v>0</v>
      </c>
      <c r="AM333" s="135">
        <v>-78.063224199120967</v>
      </c>
      <c r="AN333" s="135">
        <v>124.92009705584985</v>
      </c>
      <c r="AO333" s="135">
        <v>0</v>
      </c>
      <c r="AP333" s="135">
        <v>176.51713153816729</v>
      </c>
      <c r="AQ333" s="135">
        <v>58.061181034912927</v>
      </c>
      <c r="AR333" s="135">
        <v>102.35974334265634</v>
      </c>
      <c r="AS333" s="135">
        <v>58.464928761134729</v>
      </c>
      <c r="AT333" s="135">
        <v>85.206724080985168</v>
      </c>
      <c r="AU333" s="135">
        <v>-48.900839072084992</v>
      </c>
      <c r="AV333" s="135">
        <v>806.51897545328779</v>
      </c>
      <c r="AW333" s="135"/>
      <c r="AX333" s="164"/>
      <c r="AY333" s="132"/>
      <c r="AZ333" s="135"/>
      <c r="BA333" s="135"/>
    </row>
    <row r="334" spans="1:53" ht="16.5" x14ac:dyDescent="0.3">
      <c r="A334" s="165">
        <v>2180</v>
      </c>
      <c r="B334" s="165">
        <v>1</v>
      </c>
      <c r="C334" s="166" t="s">
        <v>611</v>
      </c>
      <c r="D334" s="167">
        <v>6</v>
      </c>
      <c r="E334" s="163">
        <v>669.67000000000007</v>
      </c>
      <c r="F334" s="135">
        <v>6042.3879224095444</v>
      </c>
      <c r="G334" s="135">
        <v>0</v>
      </c>
      <c r="H334" s="135">
        <v>2039.2203324025268</v>
      </c>
      <c r="I334" s="135">
        <v>0</v>
      </c>
      <c r="J334" s="135">
        <v>74.511983514268223</v>
      </c>
      <c r="K334" s="135">
        <v>458.94760105723714</v>
      </c>
      <c r="L334" s="135">
        <v>105.13789179745245</v>
      </c>
      <c r="M334" s="135">
        <v>855.63335514924222</v>
      </c>
      <c r="N334" s="135">
        <v>0</v>
      </c>
      <c r="O334" s="135">
        <v>-74.350127674824904</v>
      </c>
      <c r="P334" s="135">
        <v>1340.8951722490183</v>
      </c>
      <c r="Q334" s="135">
        <v>689.18312004420079</v>
      </c>
      <c r="R334" s="135">
        <v>103.60516373736317</v>
      </c>
      <c r="S334" s="135">
        <v>11635.172414686031</v>
      </c>
      <c r="T334" s="135"/>
      <c r="U334" s="135">
        <v>6676.8466259500947</v>
      </c>
      <c r="V334" s="135">
        <v>0</v>
      </c>
      <c r="W334" s="135">
        <v>1722.6446458703538</v>
      </c>
      <c r="X334" s="135">
        <v>0</v>
      </c>
      <c r="Y334" s="135">
        <v>0</v>
      </c>
      <c r="Z334" s="135">
        <v>568.86043872355037</v>
      </c>
      <c r="AA334" s="135">
        <v>82.888034405005442</v>
      </c>
      <c r="AB334" s="135">
        <v>1033.394567762846</v>
      </c>
      <c r="AC334" s="135">
        <v>66.399753984595293</v>
      </c>
      <c r="AD334" s="135">
        <v>0</v>
      </c>
      <c r="AE334" s="135">
        <v>1440.3173203667477</v>
      </c>
      <c r="AF334" s="135">
        <v>728.27573115509358</v>
      </c>
      <c r="AG334" s="135">
        <v>55.444338256156016</v>
      </c>
      <c r="AH334" s="135">
        <v>12375.071456474443</v>
      </c>
      <c r="AI334" s="135">
        <v>634.45870354055023</v>
      </c>
      <c r="AJ334" s="135">
        <v>0</v>
      </c>
      <c r="AK334" s="135">
        <v>-316.57568653217299</v>
      </c>
      <c r="AL334" s="135">
        <v>0</v>
      </c>
      <c r="AM334" s="135">
        <v>-74.511983514268223</v>
      </c>
      <c r="AN334" s="135">
        <v>109.91283766631324</v>
      </c>
      <c r="AO334" s="135">
        <v>-22.249857392447012</v>
      </c>
      <c r="AP334" s="135">
        <v>177.76121261360379</v>
      </c>
      <c r="AQ334" s="135">
        <v>66.399753984595293</v>
      </c>
      <c r="AR334" s="135">
        <v>74.350127674824904</v>
      </c>
      <c r="AS334" s="135">
        <v>99.422148117729421</v>
      </c>
      <c r="AT334" s="135">
        <v>39.09261111089279</v>
      </c>
      <c r="AU334" s="135">
        <v>-48.160825481207155</v>
      </c>
      <c r="AV334" s="135">
        <v>739.89904314943703</v>
      </c>
      <c r="AW334" s="135"/>
      <c r="AX334" s="164"/>
      <c r="AY334" s="132"/>
      <c r="AZ334" s="135"/>
      <c r="BA334" s="135"/>
    </row>
    <row r="335" spans="1:53" ht="16.5" x14ac:dyDescent="0.3">
      <c r="A335" s="165">
        <v>2184</v>
      </c>
      <c r="B335" s="165">
        <v>1</v>
      </c>
      <c r="C335" s="166" t="s">
        <v>389</v>
      </c>
      <c r="D335" s="167">
        <v>5</v>
      </c>
      <c r="E335" s="163">
        <v>1188.3899999999999</v>
      </c>
      <c r="F335" s="135">
        <v>6013.0574643004411</v>
      </c>
      <c r="G335" s="135">
        <v>0</v>
      </c>
      <c r="H335" s="135">
        <v>1292.6280682267607</v>
      </c>
      <c r="I335" s="135">
        <v>0</v>
      </c>
      <c r="J335" s="135">
        <v>102.6271426047005</v>
      </c>
      <c r="K335" s="135">
        <v>339.24195760650969</v>
      </c>
      <c r="L335" s="135">
        <v>0</v>
      </c>
      <c r="M335" s="135">
        <v>832.48784351016093</v>
      </c>
      <c r="N335" s="135">
        <v>0</v>
      </c>
      <c r="O335" s="135">
        <v>-56.62113447605585</v>
      </c>
      <c r="P335" s="135">
        <v>1194.053100413164</v>
      </c>
      <c r="Q335" s="135">
        <v>175.74150741759863</v>
      </c>
      <c r="R335" s="135">
        <v>109.67944025109603</v>
      </c>
      <c r="S335" s="135">
        <v>10002.895389854377</v>
      </c>
      <c r="T335" s="135"/>
      <c r="U335" s="135">
        <v>6649.2786711433118</v>
      </c>
      <c r="V335" s="135">
        <v>0</v>
      </c>
      <c r="W335" s="135">
        <v>976.89921658714741</v>
      </c>
      <c r="X335" s="135">
        <v>0</v>
      </c>
      <c r="Y335" s="135">
        <v>35.464712762645263</v>
      </c>
      <c r="Z335" s="135">
        <v>418.29661588852792</v>
      </c>
      <c r="AA335" s="135">
        <v>0</v>
      </c>
      <c r="AB335" s="135">
        <v>846.40833539396544</v>
      </c>
      <c r="AC335" s="135">
        <v>74.959197084928448</v>
      </c>
      <c r="AD335" s="135">
        <v>0</v>
      </c>
      <c r="AE335" s="135">
        <v>1325.538845353798</v>
      </c>
      <c r="AF335" s="135">
        <v>185.69115357752929</v>
      </c>
      <c r="AG335" s="135">
        <v>61.371662501367403</v>
      </c>
      <c r="AH335" s="135">
        <v>10573.908410293221</v>
      </c>
      <c r="AI335" s="135">
        <v>636.22120684287074</v>
      </c>
      <c r="AJ335" s="135">
        <v>0</v>
      </c>
      <c r="AK335" s="135">
        <v>-315.72885163961325</v>
      </c>
      <c r="AL335" s="135">
        <v>0</v>
      </c>
      <c r="AM335" s="135">
        <v>-67.162429842055232</v>
      </c>
      <c r="AN335" s="135">
        <v>79.054658282018238</v>
      </c>
      <c r="AO335" s="135">
        <v>0</v>
      </c>
      <c r="AP335" s="135">
        <v>13.920491883804516</v>
      </c>
      <c r="AQ335" s="135">
        <v>74.959197084928448</v>
      </c>
      <c r="AR335" s="135">
        <v>56.62113447605585</v>
      </c>
      <c r="AS335" s="135">
        <v>131.48574494063405</v>
      </c>
      <c r="AT335" s="135">
        <v>9.9496461599306656</v>
      </c>
      <c r="AU335" s="135">
        <v>-48.307777749728622</v>
      </c>
      <c r="AV335" s="135">
        <v>571.01302478985428</v>
      </c>
      <c r="AW335" s="135"/>
      <c r="AX335" s="164"/>
      <c r="AY335" s="132"/>
      <c r="AZ335" s="135"/>
      <c r="BA335" s="135"/>
    </row>
    <row r="336" spans="1:53" ht="16.5" x14ac:dyDescent="0.3">
      <c r="A336" s="165">
        <v>2190</v>
      </c>
      <c r="B336" s="165">
        <v>1</v>
      </c>
      <c r="C336" s="166" t="s">
        <v>649</v>
      </c>
      <c r="D336" s="167">
        <v>6</v>
      </c>
      <c r="E336" s="163">
        <v>799.09</v>
      </c>
      <c r="F336" s="135">
        <v>6143.2289228997979</v>
      </c>
      <c r="G336" s="135">
        <v>0</v>
      </c>
      <c r="H336" s="135">
        <v>1464.1726088425585</v>
      </c>
      <c r="I336" s="135">
        <v>0</v>
      </c>
      <c r="J336" s="135">
        <v>94.147567858438975</v>
      </c>
      <c r="K336" s="135">
        <v>581.26855548186063</v>
      </c>
      <c r="L336" s="135">
        <v>147.77190616826638</v>
      </c>
      <c r="M336" s="135">
        <v>1092.4374584342377</v>
      </c>
      <c r="N336" s="135">
        <v>0</v>
      </c>
      <c r="O336" s="135">
        <v>-66.81744234066251</v>
      </c>
      <c r="P336" s="135">
        <v>1124.9626450086973</v>
      </c>
      <c r="Q336" s="135">
        <v>290.88612046202553</v>
      </c>
      <c r="R336" s="135">
        <v>98.549913026067145</v>
      </c>
      <c r="S336" s="135">
        <v>10970.608255841289</v>
      </c>
      <c r="T336" s="135"/>
      <c r="U336" s="135">
        <v>6805.4916467481753</v>
      </c>
      <c r="V336" s="135">
        <v>0</v>
      </c>
      <c r="W336" s="135">
        <v>1143.6636549074572</v>
      </c>
      <c r="X336" s="135">
        <v>0</v>
      </c>
      <c r="Y336" s="135">
        <v>25.146266378004981</v>
      </c>
      <c r="Z336" s="135">
        <v>718.32737499656287</v>
      </c>
      <c r="AA336" s="135">
        <v>160.63274474714987</v>
      </c>
      <c r="AB336" s="135">
        <v>1286.9951837142144</v>
      </c>
      <c r="AC336" s="135">
        <v>77.285695900725855</v>
      </c>
      <c r="AD336" s="135">
        <v>0</v>
      </c>
      <c r="AE336" s="135">
        <v>1205.2339468295186</v>
      </c>
      <c r="AF336" s="135">
        <v>365.28567160408119</v>
      </c>
      <c r="AG336" s="135">
        <v>84.438361135791951</v>
      </c>
      <c r="AH336" s="135">
        <v>11872.500546961681</v>
      </c>
      <c r="AI336" s="135">
        <v>662.26272384837739</v>
      </c>
      <c r="AJ336" s="135">
        <v>0</v>
      </c>
      <c r="AK336" s="135">
        <v>-320.50895393510132</v>
      </c>
      <c r="AL336" s="135">
        <v>0</v>
      </c>
      <c r="AM336" s="135">
        <v>-69.001301480433995</v>
      </c>
      <c r="AN336" s="135">
        <v>137.05881951470224</v>
      </c>
      <c r="AO336" s="135">
        <v>12.860838578883488</v>
      </c>
      <c r="AP336" s="135">
        <v>194.55772527997669</v>
      </c>
      <c r="AQ336" s="135">
        <v>77.285695900725855</v>
      </c>
      <c r="AR336" s="135">
        <v>66.81744234066251</v>
      </c>
      <c r="AS336" s="135">
        <v>80.271301820821236</v>
      </c>
      <c r="AT336" s="135">
        <v>74.399551142055657</v>
      </c>
      <c r="AU336" s="135">
        <v>-14.111551890275194</v>
      </c>
      <c r="AV336" s="135">
        <v>901.89229925828397</v>
      </c>
      <c r="AW336" s="135"/>
      <c r="AX336" s="132"/>
      <c r="AY336" s="132"/>
      <c r="AZ336" s="155"/>
      <c r="BA336" s="155"/>
    </row>
    <row r="337" spans="1:53" ht="16.5" x14ac:dyDescent="0.3">
      <c r="A337" s="165">
        <v>2198</v>
      </c>
      <c r="B337" s="165">
        <v>1</v>
      </c>
      <c r="C337" s="166" t="s">
        <v>383</v>
      </c>
      <c r="D337" s="167">
        <v>6</v>
      </c>
      <c r="E337" s="163">
        <v>561.27</v>
      </c>
      <c r="F337" s="135">
        <v>5916.8475778145994</v>
      </c>
      <c r="G337" s="135">
        <v>0</v>
      </c>
      <c r="H337" s="135">
        <v>1248.8670693249239</v>
      </c>
      <c r="I337" s="135">
        <v>0</v>
      </c>
      <c r="J337" s="135">
        <v>101.2456037201347</v>
      </c>
      <c r="K337" s="135">
        <v>329.69928911219199</v>
      </c>
      <c r="L337" s="135">
        <v>0</v>
      </c>
      <c r="M337" s="135">
        <v>832.65750226415287</v>
      </c>
      <c r="N337" s="135">
        <v>0</v>
      </c>
      <c r="O337" s="135">
        <v>-69.538689044488407</v>
      </c>
      <c r="P337" s="135">
        <v>1469.0779090277408</v>
      </c>
      <c r="Q337" s="135">
        <v>590.02161170203294</v>
      </c>
      <c r="R337" s="135">
        <v>101.28462237425839</v>
      </c>
      <c r="S337" s="135">
        <v>10520.162496295548</v>
      </c>
      <c r="T337" s="135"/>
      <c r="U337" s="135">
        <v>6530.5386712277514</v>
      </c>
      <c r="V337" s="135">
        <v>0</v>
      </c>
      <c r="W337" s="135">
        <v>937.9186131451886</v>
      </c>
      <c r="X337" s="135">
        <v>0</v>
      </c>
      <c r="Y337" s="135">
        <v>36.654676002636876</v>
      </c>
      <c r="Z337" s="135">
        <v>421.52005273754168</v>
      </c>
      <c r="AA337" s="135">
        <v>0</v>
      </c>
      <c r="AB337" s="135">
        <v>961.97361702286537</v>
      </c>
      <c r="AC337" s="135">
        <v>48.414523784304969</v>
      </c>
      <c r="AD337" s="135">
        <v>0</v>
      </c>
      <c r="AE337" s="135">
        <v>1468.9133191244857</v>
      </c>
      <c r="AF337" s="135">
        <v>627.56320311642867</v>
      </c>
      <c r="AG337" s="135">
        <v>56.26864076113101</v>
      </c>
      <c r="AH337" s="135">
        <v>11089.765316922336</v>
      </c>
      <c r="AI337" s="135">
        <v>613.69109341315198</v>
      </c>
      <c r="AJ337" s="135">
        <v>0</v>
      </c>
      <c r="AK337" s="135">
        <v>-310.94845617973533</v>
      </c>
      <c r="AL337" s="135">
        <v>0</v>
      </c>
      <c r="AM337" s="135">
        <v>-64.59092771749782</v>
      </c>
      <c r="AN337" s="135">
        <v>91.820763625349684</v>
      </c>
      <c r="AO337" s="135">
        <v>0</v>
      </c>
      <c r="AP337" s="135">
        <v>129.3161147587125</v>
      </c>
      <c r="AQ337" s="135">
        <v>48.414523784304969</v>
      </c>
      <c r="AR337" s="135">
        <v>69.538689044488407</v>
      </c>
      <c r="AS337" s="135">
        <v>-0.16458990325509149</v>
      </c>
      <c r="AT337" s="135">
        <v>37.541591414395725</v>
      </c>
      <c r="AU337" s="135">
        <v>-45.01598161312738</v>
      </c>
      <c r="AV337" s="135">
        <v>569.60282111849074</v>
      </c>
      <c r="AW337" s="135"/>
      <c r="AX337" s="164"/>
      <c r="AY337" s="132"/>
      <c r="AZ337" s="135"/>
      <c r="BA337" s="135"/>
    </row>
    <row r="338" spans="1:53" ht="16.5" x14ac:dyDescent="0.3">
      <c r="A338" s="165">
        <v>2215</v>
      </c>
      <c r="B338" s="165">
        <v>1</v>
      </c>
      <c r="C338" s="166" t="s">
        <v>566</v>
      </c>
      <c r="D338" s="167">
        <v>6</v>
      </c>
      <c r="E338" s="163">
        <v>312.15999999999997</v>
      </c>
      <c r="F338" s="135">
        <v>6110.1186570989239</v>
      </c>
      <c r="G338" s="135">
        <v>0</v>
      </c>
      <c r="H338" s="135">
        <v>2026.7837967708872</v>
      </c>
      <c r="I338" s="135">
        <v>0</v>
      </c>
      <c r="J338" s="135">
        <v>53.802729369554086</v>
      </c>
      <c r="K338" s="135">
        <v>598.31201947719114</v>
      </c>
      <c r="L338" s="135">
        <v>0</v>
      </c>
      <c r="M338" s="135">
        <v>700.69979670532734</v>
      </c>
      <c r="N338" s="135">
        <v>0</v>
      </c>
      <c r="O338" s="135">
        <v>-69.658668631471059</v>
      </c>
      <c r="P338" s="135">
        <v>1606.0772424397746</v>
      </c>
      <c r="Q338" s="135">
        <v>1398.5513198359815</v>
      </c>
      <c r="R338" s="135">
        <v>107.34620066632496</v>
      </c>
      <c r="S338" s="135">
        <v>12532.033093732494</v>
      </c>
      <c r="T338" s="135"/>
      <c r="U338" s="135">
        <v>6757.5653511019991</v>
      </c>
      <c r="V338" s="135">
        <v>0</v>
      </c>
      <c r="W338" s="135">
        <v>1705.441248077909</v>
      </c>
      <c r="X338" s="135">
        <v>0</v>
      </c>
      <c r="Y338" s="135">
        <v>0</v>
      </c>
      <c r="Z338" s="135">
        <v>728.16036647872897</v>
      </c>
      <c r="AA338" s="135">
        <v>0</v>
      </c>
      <c r="AB338" s="135">
        <v>836.71200541874407</v>
      </c>
      <c r="AC338" s="135">
        <v>75.127859289913914</v>
      </c>
      <c r="AD338" s="135">
        <v>0</v>
      </c>
      <c r="AE338" s="135">
        <v>1606.1044447078425</v>
      </c>
      <c r="AF338" s="135">
        <v>1467.4947164696243</v>
      </c>
      <c r="AG338" s="135">
        <v>58.8927793439262</v>
      </c>
      <c r="AH338" s="135">
        <v>13235.498770888687</v>
      </c>
      <c r="AI338" s="135">
        <v>647.44669400307521</v>
      </c>
      <c r="AJ338" s="135">
        <v>0</v>
      </c>
      <c r="AK338" s="135">
        <v>-321.3425486929782</v>
      </c>
      <c r="AL338" s="135">
        <v>0</v>
      </c>
      <c r="AM338" s="135">
        <v>-53.802729369554086</v>
      </c>
      <c r="AN338" s="135">
        <v>129.84834700153783</v>
      </c>
      <c r="AO338" s="135">
        <v>0</v>
      </c>
      <c r="AP338" s="135">
        <v>136.01220871341673</v>
      </c>
      <c r="AQ338" s="135">
        <v>75.127859289913914</v>
      </c>
      <c r="AR338" s="135">
        <v>69.658668631471059</v>
      </c>
      <c r="AS338" s="135">
        <v>2.7202268067867408E-2</v>
      </c>
      <c r="AT338" s="135">
        <v>68.943396633642806</v>
      </c>
      <c r="AU338" s="135">
        <v>-48.453421322398761</v>
      </c>
      <c r="AV338" s="135">
        <v>703.46568429243621</v>
      </c>
      <c r="AW338" s="135"/>
      <c r="AX338" s="132"/>
      <c r="AY338" s="132"/>
      <c r="AZ338" s="155"/>
      <c r="BA338" s="155"/>
    </row>
    <row r="339" spans="1:53" ht="16.5" x14ac:dyDescent="0.3">
      <c r="A339" s="165">
        <v>2310</v>
      </c>
      <c r="B339" s="165">
        <v>1</v>
      </c>
      <c r="C339" s="166" t="s">
        <v>603</v>
      </c>
      <c r="D339" s="167">
        <v>5</v>
      </c>
      <c r="E339" s="163">
        <v>1215.96</v>
      </c>
      <c r="F339" s="135">
        <v>6021.8032172110925</v>
      </c>
      <c r="G339" s="135">
        <v>5.6713789927300242</v>
      </c>
      <c r="H339" s="135">
        <v>705.20930787196949</v>
      </c>
      <c r="I339" s="135">
        <v>0</v>
      </c>
      <c r="J339" s="135">
        <v>126.51089674002434</v>
      </c>
      <c r="K339" s="135">
        <v>716.85775025494263</v>
      </c>
      <c r="L339" s="135">
        <v>137.79366549886507</v>
      </c>
      <c r="M339" s="135">
        <v>586.0923715845388</v>
      </c>
      <c r="N339" s="135">
        <v>0</v>
      </c>
      <c r="O339" s="135">
        <v>-52.967285108062761</v>
      </c>
      <c r="P339" s="135">
        <v>495.04475805125168</v>
      </c>
      <c r="Q339" s="135">
        <v>173.98580545412676</v>
      </c>
      <c r="R339" s="135">
        <v>140.66225862692852</v>
      </c>
      <c r="S339" s="135">
        <v>9056.6641251784058</v>
      </c>
      <c r="T339" s="135"/>
      <c r="U339" s="135">
        <v>6659.5159380242758</v>
      </c>
      <c r="V339" s="135">
        <v>0</v>
      </c>
      <c r="W339" s="135">
        <v>393.7676650547715</v>
      </c>
      <c r="X339" s="135">
        <v>0</v>
      </c>
      <c r="Y339" s="135">
        <v>77.580339813809658</v>
      </c>
      <c r="Z339" s="135">
        <v>770.53640062781676</v>
      </c>
      <c r="AA339" s="135">
        <v>133.83853909668082</v>
      </c>
      <c r="AB339" s="135">
        <v>830.28066194411269</v>
      </c>
      <c r="AC339" s="135">
        <v>91.103412109094819</v>
      </c>
      <c r="AD339" s="135">
        <v>0</v>
      </c>
      <c r="AE339" s="135">
        <v>559.91974121270437</v>
      </c>
      <c r="AF339" s="135">
        <v>179.97938254547847</v>
      </c>
      <c r="AG339" s="135">
        <v>93.218411789861506</v>
      </c>
      <c r="AH339" s="135">
        <v>9789.740492218607</v>
      </c>
      <c r="AI339" s="135">
        <v>637.7127208131833</v>
      </c>
      <c r="AJ339" s="135">
        <v>-5.6713789927300242</v>
      </c>
      <c r="AK339" s="135">
        <v>-311.44164281719799</v>
      </c>
      <c r="AL339" s="135">
        <v>0</v>
      </c>
      <c r="AM339" s="135">
        <v>-48.930556926214678</v>
      </c>
      <c r="AN339" s="135">
        <v>53.678650372874131</v>
      </c>
      <c r="AO339" s="135">
        <v>-3.9551264021842485</v>
      </c>
      <c r="AP339" s="135">
        <v>244.1882903595739</v>
      </c>
      <c r="AQ339" s="135">
        <v>91.103412109094819</v>
      </c>
      <c r="AR339" s="135">
        <v>52.967285108062761</v>
      </c>
      <c r="AS339" s="135">
        <v>64.87498316145269</v>
      </c>
      <c r="AT339" s="135">
        <v>5.9935770913517104</v>
      </c>
      <c r="AU339" s="135">
        <v>-47.443846837067014</v>
      </c>
      <c r="AV339" s="135">
        <v>733.0763755323552</v>
      </c>
      <c r="AW339" s="135"/>
      <c r="AX339" s="164"/>
      <c r="AY339" s="132"/>
      <c r="AZ339" s="135"/>
      <c r="BA339" s="135"/>
    </row>
    <row r="340" spans="1:53" ht="16.5" x14ac:dyDescent="0.3">
      <c r="A340" s="165">
        <v>2311</v>
      </c>
      <c r="B340" s="165">
        <v>1</v>
      </c>
      <c r="C340" s="166" t="s">
        <v>500</v>
      </c>
      <c r="D340" s="167">
        <v>6</v>
      </c>
      <c r="E340" s="163">
        <v>480.52</v>
      </c>
      <c r="F340" s="135">
        <v>6104.378589860984</v>
      </c>
      <c r="G340" s="135">
        <v>0</v>
      </c>
      <c r="H340" s="135">
        <v>711.51669025222679</v>
      </c>
      <c r="I340" s="135">
        <v>0</v>
      </c>
      <c r="J340" s="135">
        <v>128.58457504370267</v>
      </c>
      <c r="K340" s="135">
        <v>809.94000249729459</v>
      </c>
      <c r="L340" s="135">
        <v>0</v>
      </c>
      <c r="M340" s="135">
        <v>891.56672875640561</v>
      </c>
      <c r="N340" s="135">
        <v>0</v>
      </c>
      <c r="O340" s="135">
        <v>-58.444518438358443</v>
      </c>
      <c r="P340" s="135">
        <v>1957.6882341748819</v>
      </c>
      <c r="Q340" s="135">
        <v>844.53236077582619</v>
      </c>
      <c r="R340" s="135">
        <v>252.01525430783317</v>
      </c>
      <c r="S340" s="135">
        <v>11641.777917230796</v>
      </c>
      <c r="T340" s="135"/>
      <c r="U340" s="135">
        <v>6725.8386747690001</v>
      </c>
      <c r="V340" s="135">
        <v>0</v>
      </c>
      <c r="W340" s="135">
        <v>391.24096811787228</v>
      </c>
      <c r="X340" s="135">
        <v>0</v>
      </c>
      <c r="Y340" s="135">
        <v>78.813556147506873</v>
      </c>
      <c r="Z340" s="135">
        <v>961.25491134604192</v>
      </c>
      <c r="AA340" s="135">
        <v>0</v>
      </c>
      <c r="AB340" s="135">
        <v>1017.1429468554951</v>
      </c>
      <c r="AC340" s="135">
        <v>66.832343926166914</v>
      </c>
      <c r="AD340" s="135">
        <v>0</v>
      </c>
      <c r="AE340" s="135">
        <v>1976.1257358100154</v>
      </c>
      <c r="AF340" s="135">
        <v>865.28298509947558</v>
      </c>
      <c r="AG340" s="135">
        <v>204.32004911346041</v>
      </c>
      <c r="AH340" s="135">
        <v>12286.852171185035</v>
      </c>
      <c r="AI340" s="135">
        <v>621.46008490801614</v>
      </c>
      <c r="AJ340" s="135">
        <v>0</v>
      </c>
      <c r="AK340" s="135">
        <v>-320.27572213435451</v>
      </c>
      <c r="AL340" s="135">
        <v>0</v>
      </c>
      <c r="AM340" s="135">
        <v>-49.771018896195798</v>
      </c>
      <c r="AN340" s="135">
        <v>151.31490884874734</v>
      </c>
      <c r="AO340" s="135">
        <v>0</v>
      </c>
      <c r="AP340" s="135">
        <v>125.57621809908949</v>
      </c>
      <c r="AQ340" s="135">
        <v>66.832343926166914</v>
      </c>
      <c r="AR340" s="135">
        <v>58.444518438358443</v>
      </c>
      <c r="AS340" s="135">
        <v>18.437501635133458</v>
      </c>
      <c r="AT340" s="135">
        <v>20.75062432364939</v>
      </c>
      <c r="AU340" s="135">
        <v>-47.695205194372761</v>
      </c>
      <c r="AV340" s="135">
        <v>645.07426128276245</v>
      </c>
      <c r="AW340" s="135"/>
      <c r="AX340" s="132"/>
      <c r="AY340" s="132"/>
      <c r="AZ340" s="155"/>
      <c r="BA340" s="155"/>
    </row>
    <row r="341" spans="1:53" ht="16.5" x14ac:dyDescent="0.3">
      <c r="A341" s="165">
        <v>2342</v>
      </c>
      <c r="B341" s="165">
        <v>1</v>
      </c>
      <c r="C341" s="166" t="s">
        <v>572</v>
      </c>
      <c r="D341" s="167">
        <v>6</v>
      </c>
      <c r="E341" s="163">
        <v>717.31</v>
      </c>
      <c r="F341" s="135">
        <v>6003.4014861078194</v>
      </c>
      <c r="G341" s="135">
        <v>17.054077037821862</v>
      </c>
      <c r="H341" s="135">
        <v>1628.9428001840208</v>
      </c>
      <c r="I341" s="135">
        <v>0</v>
      </c>
      <c r="J341" s="135">
        <v>89.292551337636453</v>
      </c>
      <c r="K341" s="135">
        <v>537.2086963795291</v>
      </c>
      <c r="L341" s="135">
        <v>0</v>
      </c>
      <c r="M341" s="135">
        <v>550.59345900613266</v>
      </c>
      <c r="N341" s="135">
        <v>0</v>
      </c>
      <c r="O341" s="135">
        <v>-54.352358115737964</v>
      </c>
      <c r="P341" s="135">
        <v>961.25356122178709</v>
      </c>
      <c r="Q341" s="135">
        <v>698.80274916005635</v>
      </c>
      <c r="R341" s="135">
        <v>118.47232019628893</v>
      </c>
      <c r="S341" s="135">
        <v>10550.669342515357</v>
      </c>
      <c r="T341" s="135"/>
      <c r="U341" s="135">
        <v>6640.4640113758351</v>
      </c>
      <c r="V341" s="135">
        <v>0</v>
      </c>
      <c r="W341" s="135">
        <v>1330.2774811448328</v>
      </c>
      <c r="X341" s="135">
        <v>0</v>
      </c>
      <c r="Y341" s="135">
        <v>10.22198212767144</v>
      </c>
      <c r="Z341" s="135">
        <v>661.17336995162486</v>
      </c>
      <c r="AA341" s="135">
        <v>0</v>
      </c>
      <c r="AB341" s="135">
        <v>662.7837975531362</v>
      </c>
      <c r="AC341" s="135">
        <v>68.510928582302626</v>
      </c>
      <c r="AD341" s="135">
        <v>0</v>
      </c>
      <c r="AE341" s="135">
        <v>1071.4963694372029</v>
      </c>
      <c r="AF341" s="135">
        <v>740.72297841790498</v>
      </c>
      <c r="AG341" s="135">
        <v>70.842620345457348</v>
      </c>
      <c r="AH341" s="135">
        <v>11256.493538935967</v>
      </c>
      <c r="AI341" s="135">
        <v>637.06252526801563</v>
      </c>
      <c r="AJ341" s="135">
        <v>-17.054077037821862</v>
      </c>
      <c r="AK341" s="135">
        <v>-298.66531903918803</v>
      </c>
      <c r="AL341" s="135">
        <v>0</v>
      </c>
      <c r="AM341" s="135">
        <v>-79.070569209965015</v>
      </c>
      <c r="AN341" s="135">
        <v>123.96467357209576</v>
      </c>
      <c r="AO341" s="135">
        <v>0</v>
      </c>
      <c r="AP341" s="135">
        <v>112.19033854700353</v>
      </c>
      <c r="AQ341" s="135">
        <v>68.510928582302626</v>
      </c>
      <c r="AR341" s="135">
        <v>54.352358115737964</v>
      </c>
      <c r="AS341" s="135">
        <v>110.24280821541583</v>
      </c>
      <c r="AT341" s="135">
        <v>41.920229257848632</v>
      </c>
      <c r="AU341" s="135">
        <v>-47.629699850831585</v>
      </c>
      <c r="AV341" s="135">
        <v>705.82420606604705</v>
      </c>
      <c r="AW341" s="135"/>
      <c r="AX341" s="164"/>
      <c r="AY341" s="132"/>
      <c r="AZ341" s="135"/>
      <c r="BA341" s="135"/>
    </row>
    <row r="342" spans="1:53" ht="16.5" x14ac:dyDescent="0.3">
      <c r="A342" s="165">
        <v>2358</v>
      </c>
      <c r="B342" s="165">
        <v>1</v>
      </c>
      <c r="C342" s="166" t="s">
        <v>646</v>
      </c>
      <c r="D342" s="167">
        <v>6</v>
      </c>
      <c r="E342" s="163">
        <v>213.61</v>
      </c>
      <c r="F342" s="135">
        <v>6140.8473386077421</v>
      </c>
      <c r="G342" s="135">
        <v>0</v>
      </c>
      <c r="H342" s="135">
        <v>1804.5574645381769</v>
      </c>
      <c r="I342" s="135">
        <v>0</v>
      </c>
      <c r="J342" s="135">
        <v>73.328121342633764</v>
      </c>
      <c r="K342" s="135">
        <v>706.68278638640516</v>
      </c>
      <c r="L342" s="135">
        <v>0</v>
      </c>
      <c r="M342" s="135">
        <v>904.07265705388306</v>
      </c>
      <c r="N342" s="135">
        <v>0</v>
      </c>
      <c r="O342" s="135">
        <v>-97.151256963625286</v>
      </c>
      <c r="P342" s="135">
        <v>1409.6882449323532</v>
      </c>
      <c r="Q342" s="135">
        <v>3269.195496465521</v>
      </c>
      <c r="R342" s="135">
        <v>114.8326389213988</v>
      </c>
      <c r="S342" s="135">
        <v>14326.053491284487</v>
      </c>
      <c r="T342" s="135"/>
      <c r="U342" s="135">
        <v>6811.4204391180183</v>
      </c>
      <c r="V342" s="135">
        <v>0</v>
      </c>
      <c r="W342" s="135">
        <v>1483.6201956837226</v>
      </c>
      <c r="X342" s="135">
        <v>0</v>
      </c>
      <c r="Y342" s="135">
        <v>1.0071625860212536</v>
      </c>
      <c r="Z342" s="135">
        <v>853.30892748466829</v>
      </c>
      <c r="AA342" s="135">
        <v>0</v>
      </c>
      <c r="AB342" s="135">
        <v>975.24067198260025</v>
      </c>
      <c r="AC342" s="135">
        <v>80.952687076668141</v>
      </c>
      <c r="AD342" s="135">
        <v>0</v>
      </c>
      <c r="AE342" s="135">
        <v>1408.1269397312858</v>
      </c>
      <c r="AF342" s="135">
        <v>3440.6207187028008</v>
      </c>
      <c r="AG342" s="135">
        <v>63.43616871869294</v>
      </c>
      <c r="AH342" s="135">
        <v>15117.733911084479</v>
      </c>
      <c r="AI342" s="135">
        <v>670.57310051027616</v>
      </c>
      <c r="AJ342" s="135">
        <v>0</v>
      </c>
      <c r="AK342" s="135">
        <v>-320.93726885445426</v>
      </c>
      <c r="AL342" s="135">
        <v>0</v>
      </c>
      <c r="AM342" s="135">
        <v>-72.320958756612512</v>
      </c>
      <c r="AN342" s="135">
        <v>146.62614109826313</v>
      </c>
      <c r="AO342" s="135">
        <v>0</v>
      </c>
      <c r="AP342" s="135">
        <v>71.168014928717184</v>
      </c>
      <c r="AQ342" s="135">
        <v>80.952687076668141</v>
      </c>
      <c r="AR342" s="135">
        <v>97.151256963625286</v>
      </c>
      <c r="AS342" s="135">
        <v>-1.5613052010673982</v>
      </c>
      <c r="AT342" s="135">
        <v>171.42522223727974</v>
      </c>
      <c r="AU342" s="135">
        <v>-51.396470202705856</v>
      </c>
      <c r="AV342" s="135">
        <v>791.68042009964677</v>
      </c>
      <c r="AW342" s="135"/>
      <c r="AX342" s="132"/>
      <c r="AY342" s="132"/>
      <c r="AZ342" s="155"/>
      <c r="BA342" s="155"/>
    </row>
    <row r="343" spans="1:53" ht="16.5" x14ac:dyDescent="0.3">
      <c r="A343" s="165">
        <v>2364</v>
      </c>
      <c r="B343" s="165">
        <v>1</v>
      </c>
      <c r="C343" s="166" t="s">
        <v>577</v>
      </c>
      <c r="D343" s="167">
        <v>6</v>
      </c>
      <c r="E343" s="163">
        <v>667.81</v>
      </c>
      <c r="F343" s="135">
        <v>5951.9696919782573</v>
      </c>
      <c r="G343" s="135">
        <v>54.93950375106693</v>
      </c>
      <c r="H343" s="135">
        <v>1004.7781255147424</v>
      </c>
      <c r="I343" s="135">
        <v>0</v>
      </c>
      <c r="J343" s="135">
        <v>111.83869663527052</v>
      </c>
      <c r="K343" s="135">
        <v>542.93896467558147</v>
      </c>
      <c r="L343" s="135">
        <v>0</v>
      </c>
      <c r="M343" s="135">
        <v>624.86978609784228</v>
      </c>
      <c r="N343" s="135">
        <v>0</v>
      </c>
      <c r="O343" s="135">
        <v>-66.351297524745064</v>
      </c>
      <c r="P343" s="135">
        <v>1761.5404161577183</v>
      </c>
      <c r="Q343" s="135">
        <v>642.6863928362859</v>
      </c>
      <c r="R343" s="135">
        <v>108.05068806996003</v>
      </c>
      <c r="S343" s="135">
        <v>10737.26096819198</v>
      </c>
      <c r="T343" s="135"/>
      <c r="U343" s="135">
        <v>6578.8637486710295</v>
      </c>
      <c r="V343" s="135">
        <v>0</v>
      </c>
      <c r="W343" s="135">
        <v>746.43997544211686</v>
      </c>
      <c r="X343" s="135">
        <v>0</v>
      </c>
      <c r="Y343" s="135">
        <v>51.109267606055617</v>
      </c>
      <c r="Z343" s="135">
        <v>570.67630539017352</v>
      </c>
      <c r="AA343" s="135">
        <v>0</v>
      </c>
      <c r="AB343" s="135">
        <v>817.29914809543232</v>
      </c>
      <c r="AC343" s="135">
        <v>96.177888631202677</v>
      </c>
      <c r="AD343" s="135">
        <v>0</v>
      </c>
      <c r="AE343" s="135">
        <v>1842.2244902405946</v>
      </c>
      <c r="AF343" s="135">
        <v>683.30823683461813</v>
      </c>
      <c r="AG343" s="135">
        <v>58.993561042811578</v>
      </c>
      <c r="AH343" s="135">
        <v>11445.092621954032</v>
      </c>
      <c r="AI343" s="135">
        <v>626.89405669277221</v>
      </c>
      <c r="AJ343" s="135">
        <v>-54.93950375106693</v>
      </c>
      <c r="AK343" s="135">
        <v>-258.33815007262558</v>
      </c>
      <c r="AL343" s="135">
        <v>0</v>
      </c>
      <c r="AM343" s="135">
        <v>-60.729429029214906</v>
      </c>
      <c r="AN343" s="135">
        <v>27.737340714592051</v>
      </c>
      <c r="AO343" s="135">
        <v>0</v>
      </c>
      <c r="AP343" s="135">
        <v>192.42936199759004</v>
      </c>
      <c r="AQ343" s="135">
        <v>96.177888631202677</v>
      </c>
      <c r="AR343" s="135">
        <v>66.351297524745064</v>
      </c>
      <c r="AS343" s="135">
        <v>80.68407408287635</v>
      </c>
      <c r="AT343" s="135">
        <v>40.621843998332224</v>
      </c>
      <c r="AU343" s="135">
        <v>-49.057127027148454</v>
      </c>
      <c r="AV343" s="135">
        <v>707.83165618511134</v>
      </c>
      <c r="AW343" s="135"/>
      <c r="AX343" s="132"/>
      <c r="AY343" s="132"/>
      <c r="AZ343" s="155"/>
      <c r="BA343" s="155"/>
    </row>
    <row r="344" spans="1:53" ht="16.5" x14ac:dyDescent="0.3">
      <c r="A344" s="165">
        <v>2365</v>
      </c>
      <c r="B344" s="165">
        <v>1</v>
      </c>
      <c r="C344" s="166" t="s">
        <v>436</v>
      </c>
      <c r="D344" s="167">
        <v>6</v>
      </c>
      <c r="E344" s="163">
        <v>805.76</v>
      </c>
      <c r="F344" s="135">
        <v>6146.0577839555199</v>
      </c>
      <c r="G344" s="135">
        <v>42.530629467831616</v>
      </c>
      <c r="H344" s="135">
        <v>1066.3657913026211</v>
      </c>
      <c r="I344" s="135">
        <v>0</v>
      </c>
      <c r="J344" s="135">
        <v>115.4150615567911</v>
      </c>
      <c r="K344" s="135">
        <v>576.53795174741867</v>
      </c>
      <c r="L344" s="135">
        <v>97.348778792692599</v>
      </c>
      <c r="M344" s="135">
        <v>949.71854410587514</v>
      </c>
      <c r="N344" s="135">
        <v>0</v>
      </c>
      <c r="O344" s="135">
        <v>-55.605912430500396</v>
      </c>
      <c r="P344" s="135">
        <v>1046.0420348490866</v>
      </c>
      <c r="Q344" s="135">
        <v>408.86530728752979</v>
      </c>
      <c r="R344" s="135">
        <v>103.16918189038921</v>
      </c>
      <c r="S344" s="135">
        <v>10496.445152525253</v>
      </c>
      <c r="T344" s="135"/>
      <c r="U344" s="135">
        <v>6812.8382644956318</v>
      </c>
      <c r="V344" s="135">
        <v>0</v>
      </c>
      <c r="W344" s="135">
        <v>786.73070144956318</v>
      </c>
      <c r="X344" s="135">
        <v>0</v>
      </c>
      <c r="Y344" s="135">
        <v>51.19673351866561</v>
      </c>
      <c r="Z344" s="135">
        <v>629.57445870786898</v>
      </c>
      <c r="AA344" s="135">
        <v>106.9954949364575</v>
      </c>
      <c r="AB344" s="135">
        <v>1088.8969468198823</v>
      </c>
      <c r="AC344" s="135">
        <v>73.866260012681906</v>
      </c>
      <c r="AD344" s="135">
        <v>0</v>
      </c>
      <c r="AE344" s="135">
        <v>1045.2336337470215</v>
      </c>
      <c r="AF344" s="135">
        <v>448.5166207464153</v>
      </c>
      <c r="AG344" s="135">
        <v>55.144013105639395</v>
      </c>
      <c r="AH344" s="135">
        <v>11098.99312753983</v>
      </c>
      <c r="AI344" s="135">
        <v>666.78048054011197</v>
      </c>
      <c r="AJ344" s="135">
        <v>-42.530629467831616</v>
      </c>
      <c r="AK344" s="135">
        <v>-279.63508985305793</v>
      </c>
      <c r="AL344" s="135">
        <v>0</v>
      </c>
      <c r="AM344" s="135">
        <v>-64.218328038125492</v>
      </c>
      <c r="AN344" s="135">
        <v>53.036506960450311</v>
      </c>
      <c r="AO344" s="135">
        <v>9.6467161437649054</v>
      </c>
      <c r="AP344" s="135">
        <v>139.17840271400712</v>
      </c>
      <c r="AQ344" s="135">
        <v>73.866260012681906</v>
      </c>
      <c r="AR344" s="135">
        <v>55.605912430500396</v>
      </c>
      <c r="AS344" s="135">
        <v>-0.80840110206509053</v>
      </c>
      <c r="AT344" s="135">
        <v>39.651313458885511</v>
      </c>
      <c r="AU344" s="135">
        <v>-48.025168784749816</v>
      </c>
      <c r="AV344" s="135">
        <v>602.54797754454648</v>
      </c>
      <c r="AW344" s="135"/>
      <c r="AX344" s="132"/>
      <c r="AY344" s="132"/>
      <c r="AZ344" s="155"/>
      <c r="BA344" s="155"/>
    </row>
    <row r="345" spans="1:53" ht="16.5" x14ac:dyDescent="0.3">
      <c r="A345" s="165">
        <v>2396</v>
      </c>
      <c r="B345" s="165">
        <v>1</v>
      </c>
      <c r="C345" s="166" t="s">
        <v>606</v>
      </c>
      <c r="D345" s="167">
        <v>6</v>
      </c>
      <c r="E345" s="163">
        <v>770.82</v>
      </c>
      <c r="F345" s="135">
        <v>6032.3842142134354</v>
      </c>
      <c r="G345" s="135">
        <v>0</v>
      </c>
      <c r="H345" s="135">
        <v>1398.6793285073038</v>
      </c>
      <c r="I345" s="135">
        <v>0</v>
      </c>
      <c r="J345" s="135">
        <v>98.303378220596244</v>
      </c>
      <c r="K345" s="135">
        <v>583.04060610778129</v>
      </c>
      <c r="L345" s="135">
        <v>108.09856775900985</v>
      </c>
      <c r="M345" s="135">
        <v>944.16838659598852</v>
      </c>
      <c r="N345" s="135">
        <v>0</v>
      </c>
      <c r="O345" s="135">
        <v>-53.270101969331364</v>
      </c>
      <c r="P345" s="135">
        <v>1491.8976744617048</v>
      </c>
      <c r="Q345" s="135">
        <v>439.22543525077185</v>
      </c>
      <c r="R345" s="135">
        <v>107.59323836952855</v>
      </c>
      <c r="S345" s="135">
        <v>11150.120727516789</v>
      </c>
      <c r="T345" s="135"/>
      <c r="U345" s="135">
        <v>6683.6688721102191</v>
      </c>
      <c r="V345" s="135">
        <v>0</v>
      </c>
      <c r="W345" s="135">
        <v>1082.6737370592355</v>
      </c>
      <c r="X345" s="135">
        <v>0</v>
      </c>
      <c r="Y345" s="135">
        <v>28.002036791987749</v>
      </c>
      <c r="Z345" s="135">
        <v>711.70336670158633</v>
      </c>
      <c r="AA345" s="135">
        <v>77.392776523702025</v>
      </c>
      <c r="AB345" s="135">
        <v>1102.9112412900026</v>
      </c>
      <c r="AC345" s="135">
        <v>83.324973154307685</v>
      </c>
      <c r="AD345" s="135">
        <v>0</v>
      </c>
      <c r="AE345" s="135">
        <v>1567.1745474522493</v>
      </c>
      <c r="AF345" s="135">
        <v>492.22343486908676</v>
      </c>
      <c r="AG345" s="135">
        <v>57.388132119042055</v>
      </c>
      <c r="AH345" s="135">
        <v>11886.463118071419</v>
      </c>
      <c r="AI345" s="135">
        <v>651.28465789678376</v>
      </c>
      <c r="AJ345" s="135">
        <v>0</v>
      </c>
      <c r="AK345" s="135">
        <v>-316.00559144806834</v>
      </c>
      <c r="AL345" s="135">
        <v>0</v>
      </c>
      <c r="AM345" s="135">
        <v>-70.301341428608495</v>
      </c>
      <c r="AN345" s="135">
        <v>128.66276059380505</v>
      </c>
      <c r="AO345" s="135">
        <v>-30.705791235307828</v>
      </c>
      <c r="AP345" s="135">
        <v>158.74285469401411</v>
      </c>
      <c r="AQ345" s="135">
        <v>83.324973154307685</v>
      </c>
      <c r="AR345" s="135">
        <v>53.270101969331364</v>
      </c>
      <c r="AS345" s="135">
        <v>75.276872990544462</v>
      </c>
      <c r="AT345" s="135">
        <v>52.997999618314907</v>
      </c>
      <c r="AU345" s="135">
        <v>-50.205106250486494</v>
      </c>
      <c r="AV345" s="135">
        <v>736.34239669468741</v>
      </c>
      <c r="AW345" s="135"/>
      <c r="AX345" s="164"/>
      <c r="AY345" s="132"/>
      <c r="AZ345" s="135"/>
      <c r="BA345" s="135"/>
    </row>
    <row r="346" spans="1:53" ht="16.5" x14ac:dyDescent="0.3">
      <c r="A346" s="165">
        <v>2397</v>
      </c>
      <c r="B346" s="165">
        <v>1</v>
      </c>
      <c r="C346" s="166" t="s">
        <v>372</v>
      </c>
      <c r="D346" s="167">
        <v>5</v>
      </c>
      <c r="E346" s="163">
        <v>1091.47</v>
      </c>
      <c r="F346" s="135">
        <v>6062.5432490127996</v>
      </c>
      <c r="G346" s="135">
        <v>15.400065966082439</v>
      </c>
      <c r="H346" s="135">
        <v>1004.9191457392322</v>
      </c>
      <c r="I346" s="135">
        <v>0</v>
      </c>
      <c r="J346" s="135">
        <v>115.15814452069228</v>
      </c>
      <c r="K346" s="135">
        <v>597.16611542232022</v>
      </c>
      <c r="L346" s="135">
        <v>0</v>
      </c>
      <c r="M346" s="135">
        <v>700.34734488988147</v>
      </c>
      <c r="N346" s="135">
        <v>0</v>
      </c>
      <c r="O346" s="135">
        <v>-56.075604460040125</v>
      </c>
      <c r="P346" s="135">
        <v>1515.94886162698</v>
      </c>
      <c r="Q346" s="135">
        <v>151.33147956425736</v>
      </c>
      <c r="R346" s="135">
        <v>102.63020513619247</v>
      </c>
      <c r="S346" s="135">
        <v>10209.369007418398</v>
      </c>
      <c r="T346" s="135"/>
      <c r="U346" s="135">
        <v>6712.5248334814514</v>
      </c>
      <c r="V346" s="135">
        <v>0</v>
      </c>
      <c r="W346" s="135">
        <v>700.85404088064718</v>
      </c>
      <c r="X346" s="135">
        <v>0</v>
      </c>
      <c r="Y346" s="135">
        <v>56.427496862030104</v>
      </c>
      <c r="Z346" s="135">
        <v>577.22002304802436</v>
      </c>
      <c r="AA346" s="135">
        <v>0</v>
      </c>
      <c r="AB346" s="135">
        <v>811.43698699119295</v>
      </c>
      <c r="AC346" s="135">
        <v>74.757268779046314</v>
      </c>
      <c r="AD346" s="135">
        <v>0</v>
      </c>
      <c r="AE346" s="135">
        <v>1616.5889224202222</v>
      </c>
      <c r="AF346" s="135">
        <v>161.83056794964588</v>
      </c>
      <c r="AG346" s="135">
        <v>53.428083227207345</v>
      </c>
      <c r="AH346" s="135">
        <v>10765.06822363947</v>
      </c>
      <c r="AI346" s="135">
        <v>649.98158446865182</v>
      </c>
      <c r="AJ346" s="135">
        <v>-15.400065966082439</v>
      </c>
      <c r="AK346" s="135">
        <v>-304.06510485858507</v>
      </c>
      <c r="AL346" s="135">
        <v>0</v>
      </c>
      <c r="AM346" s="135">
        <v>-58.730647658662171</v>
      </c>
      <c r="AN346" s="135">
        <v>-19.946092374295858</v>
      </c>
      <c r="AO346" s="135">
        <v>0</v>
      </c>
      <c r="AP346" s="135">
        <v>111.08964210131148</v>
      </c>
      <c r="AQ346" s="135">
        <v>74.757268779046314</v>
      </c>
      <c r="AR346" s="135">
        <v>56.075604460040125</v>
      </c>
      <c r="AS346" s="135">
        <v>100.64006079324213</v>
      </c>
      <c r="AT346" s="135">
        <v>10.499088385388518</v>
      </c>
      <c r="AU346" s="135">
        <v>-49.202121908985127</v>
      </c>
      <c r="AV346" s="135">
        <v>555.69922148270405</v>
      </c>
      <c r="AW346" s="135"/>
      <c r="AX346" s="164"/>
      <c r="AY346" s="132"/>
      <c r="AZ346" s="135"/>
      <c r="BA346" s="135"/>
    </row>
    <row r="347" spans="1:53" ht="16.5" x14ac:dyDescent="0.3">
      <c r="A347" s="165">
        <v>2448</v>
      </c>
      <c r="B347" s="165">
        <v>1</v>
      </c>
      <c r="C347" s="166" t="s">
        <v>474</v>
      </c>
      <c r="D347" s="167">
        <v>6</v>
      </c>
      <c r="E347" s="163">
        <v>758.05</v>
      </c>
      <c r="F347" s="135">
        <v>6032.012664072291</v>
      </c>
      <c r="G347" s="135">
        <v>0</v>
      </c>
      <c r="H347" s="135">
        <v>1616.7917683530111</v>
      </c>
      <c r="I347" s="135">
        <v>0</v>
      </c>
      <c r="J347" s="135">
        <v>91.10371347536443</v>
      </c>
      <c r="K347" s="135">
        <v>331.48515269441327</v>
      </c>
      <c r="L347" s="135">
        <v>96.703220104214779</v>
      </c>
      <c r="M347" s="135">
        <v>826.79794977476683</v>
      </c>
      <c r="N347" s="135">
        <v>0</v>
      </c>
      <c r="O347" s="135">
        <v>-62.341600158300913</v>
      </c>
      <c r="P347" s="135">
        <v>717.70730690587698</v>
      </c>
      <c r="Q347" s="135">
        <v>417.80882527537767</v>
      </c>
      <c r="R347" s="135">
        <v>97.908449310731484</v>
      </c>
      <c r="S347" s="135">
        <v>10165.977449807746</v>
      </c>
      <c r="T347" s="135"/>
      <c r="U347" s="135">
        <v>6671.4095376294445</v>
      </c>
      <c r="V347" s="135">
        <v>0</v>
      </c>
      <c r="W347" s="135">
        <v>1299.103462832267</v>
      </c>
      <c r="X347" s="135">
        <v>0</v>
      </c>
      <c r="Y347" s="135">
        <v>13.102288767231714</v>
      </c>
      <c r="Z347" s="135">
        <v>420.65080572602881</v>
      </c>
      <c r="AA347" s="135">
        <v>65.992546665787216</v>
      </c>
      <c r="AB347" s="135">
        <v>949.58355232357792</v>
      </c>
      <c r="AC347" s="135">
        <v>64.155629723473453</v>
      </c>
      <c r="AD347" s="135">
        <v>0</v>
      </c>
      <c r="AE347" s="135">
        <v>824.87559343051259</v>
      </c>
      <c r="AF347" s="135">
        <v>432.29869427304823</v>
      </c>
      <c r="AG347" s="135">
        <v>50.646131521667442</v>
      </c>
      <c r="AH347" s="135">
        <v>10791.818242893038</v>
      </c>
      <c r="AI347" s="135">
        <v>639.39687355715341</v>
      </c>
      <c r="AJ347" s="135">
        <v>0</v>
      </c>
      <c r="AK347" s="135">
        <v>-317.68830552074405</v>
      </c>
      <c r="AL347" s="135">
        <v>0</v>
      </c>
      <c r="AM347" s="135">
        <v>-78.001424708132717</v>
      </c>
      <c r="AN347" s="135">
        <v>89.165653031615534</v>
      </c>
      <c r="AO347" s="135">
        <v>-30.710673438427563</v>
      </c>
      <c r="AP347" s="135">
        <v>122.78560254881108</v>
      </c>
      <c r="AQ347" s="135">
        <v>64.155629723473453</v>
      </c>
      <c r="AR347" s="135">
        <v>62.341600158300913</v>
      </c>
      <c r="AS347" s="135">
        <v>107.16828652463562</v>
      </c>
      <c r="AT347" s="135">
        <v>14.489868997670555</v>
      </c>
      <c r="AU347" s="135">
        <v>-47.262317789064042</v>
      </c>
      <c r="AV347" s="135">
        <v>625.84079782517438</v>
      </c>
      <c r="AW347" s="135"/>
      <c r="AX347" s="164"/>
      <c r="AY347" s="132"/>
      <c r="AZ347" s="135"/>
      <c r="BA347" s="135"/>
    </row>
    <row r="348" spans="1:53" ht="16.5" x14ac:dyDescent="0.3">
      <c r="A348" s="165">
        <v>2527</v>
      </c>
      <c r="B348" s="165">
        <v>1</v>
      </c>
      <c r="C348" s="166" t="s">
        <v>533</v>
      </c>
      <c r="D348" s="167">
        <v>6</v>
      </c>
      <c r="E348" s="163">
        <v>292.52999999999997</v>
      </c>
      <c r="F348" s="135">
        <v>5981.3576727173286</v>
      </c>
      <c r="G348" s="135">
        <v>38.093357946193557</v>
      </c>
      <c r="H348" s="135">
        <v>1761.140976993813</v>
      </c>
      <c r="I348" s="135">
        <v>0</v>
      </c>
      <c r="J348" s="135">
        <v>85.70150070078283</v>
      </c>
      <c r="K348" s="135">
        <v>807.33596554199573</v>
      </c>
      <c r="L348" s="135">
        <v>0</v>
      </c>
      <c r="M348" s="135">
        <v>1003.260927422504</v>
      </c>
      <c r="N348" s="135">
        <v>0</v>
      </c>
      <c r="O348" s="135">
        <v>-65.952346767852873</v>
      </c>
      <c r="P348" s="135">
        <v>511.0524390660787</v>
      </c>
      <c r="Q348" s="135">
        <v>1373.1979284175984</v>
      </c>
      <c r="R348" s="135">
        <v>119.23077974908557</v>
      </c>
      <c r="S348" s="135">
        <v>11614.419201787525</v>
      </c>
      <c r="T348" s="135"/>
      <c r="U348" s="135">
        <v>6626.4895908111994</v>
      </c>
      <c r="V348" s="135">
        <v>0</v>
      </c>
      <c r="W348" s="135">
        <v>1483.6920657710323</v>
      </c>
      <c r="X348" s="135">
        <v>0</v>
      </c>
      <c r="Y348" s="135">
        <v>0</v>
      </c>
      <c r="Z348" s="135">
        <v>960.51112706389097</v>
      </c>
      <c r="AA348" s="135">
        <v>0</v>
      </c>
      <c r="AB348" s="135">
        <v>1107.6891404068335</v>
      </c>
      <c r="AC348" s="135">
        <v>67.557626759441845</v>
      </c>
      <c r="AD348" s="135">
        <v>0</v>
      </c>
      <c r="AE348" s="135">
        <v>580.36346593169935</v>
      </c>
      <c r="AF348" s="135">
        <v>1386.8528902532712</v>
      </c>
      <c r="AG348" s="135">
        <v>74.649095819232215</v>
      </c>
      <c r="AH348" s="135">
        <v>12287.805002816602</v>
      </c>
      <c r="AI348" s="135">
        <v>645.13191809387081</v>
      </c>
      <c r="AJ348" s="135">
        <v>-38.093357946193557</v>
      </c>
      <c r="AK348" s="135">
        <v>-277.44891122278068</v>
      </c>
      <c r="AL348" s="135">
        <v>0</v>
      </c>
      <c r="AM348" s="135">
        <v>-85.70150070078283</v>
      </c>
      <c r="AN348" s="135">
        <v>153.17516152189523</v>
      </c>
      <c r="AO348" s="135">
        <v>0</v>
      </c>
      <c r="AP348" s="135">
        <v>104.42821298432955</v>
      </c>
      <c r="AQ348" s="135">
        <v>67.557626759441845</v>
      </c>
      <c r="AR348" s="135">
        <v>65.952346767852873</v>
      </c>
      <c r="AS348" s="135">
        <v>69.311026865620647</v>
      </c>
      <c r="AT348" s="135">
        <v>13.654961835672793</v>
      </c>
      <c r="AU348" s="135">
        <v>-44.581683929853355</v>
      </c>
      <c r="AV348" s="135">
        <v>673.38580418079096</v>
      </c>
      <c r="AW348" s="135"/>
      <c r="AX348" s="132"/>
      <c r="AY348" s="132"/>
      <c r="AZ348" s="155"/>
      <c r="BA348" s="155"/>
    </row>
    <row r="349" spans="1:53" ht="16.5" x14ac:dyDescent="0.3">
      <c r="A349" s="165">
        <v>2534</v>
      </c>
      <c r="B349" s="165">
        <v>1</v>
      </c>
      <c r="C349" s="166" t="s">
        <v>541</v>
      </c>
      <c r="D349" s="167">
        <v>6</v>
      </c>
      <c r="E349" s="163">
        <v>659.62</v>
      </c>
      <c r="F349" s="135">
        <v>6124.3127861496014</v>
      </c>
      <c r="G349" s="135">
        <v>0</v>
      </c>
      <c r="H349" s="135">
        <v>834.10399927230833</v>
      </c>
      <c r="I349" s="135">
        <v>0</v>
      </c>
      <c r="J349" s="135">
        <v>124.01029380552438</v>
      </c>
      <c r="K349" s="135">
        <v>686.92459294745458</v>
      </c>
      <c r="L349" s="135">
        <v>103.23646341833177</v>
      </c>
      <c r="M349" s="135">
        <v>758.82432829970742</v>
      </c>
      <c r="N349" s="135">
        <v>0</v>
      </c>
      <c r="O349" s="135">
        <v>-70.396728419392971</v>
      </c>
      <c r="P349" s="135">
        <v>1037.3574967405475</v>
      </c>
      <c r="Q349" s="135">
        <v>388.17199296564689</v>
      </c>
      <c r="R349" s="135">
        <v>112.60648555228769</v>
      </c>
      <c r="S349" s="135">
        <v>10099.151710732016</v>
      </c>
      <c r="T349" s="135"/>
      <c r="U349" s="135">
        <v>6786.0174646008309</v>
      </c>
      <c r="V349" s="135">
        <v>0</v>
      </c>
      <c r="W349" s="135">
        <v>511.50635214214248</v>
      </c>
      <c r="X349" s="135">
        <v>0</v>
      </c>
      <c r="Y349" s="135">
        <v>70.995436766623214</v>
      </c>
      <c r="Z349" s="135">
        <v>829.24755321160103</v>
      </c>
      <c r="AA349" s="135">
        <v>94.3102998696219</v>
      </c>
      <c r="AB349" s="135">
        <v>803.68118448250391</v>
      </c>
      <c r="AC349" s="135">
        <v>78.646660894668528</v>
      </c>
      <c r="AD349" s="135">
        <v>0</v>
      </c>
      <c r="AE349" s="135">
        <v>1132.2240049422394</v>
      </c>
      <c r="AF349" s="135">
        <v>410.51209524143894</v>
      </c>
      <c r="AG349" s="135">
        <v>61.897744155726024</v>
      </c>
      <c r="AH349" s="135">
        <v>10779.038796307395</v>
      </c>
      <c r="AI349" s="135">
        <v>661.70467845122948</v>
      </c>
      <c r="AJ349" s="135">
        <v>0</v>
      </c>
      <c r="AK349" s="135">
        <v>-322.59764713016585</v>
      </c>
      <c r="AL349" s="135">
        <v>0</v>
      </c>
      <c r="AM349" s="135">
        <v>-53.01485703890117</v>
      </c>
      <c r="AN349" s="135">
        <v>142.32296026414645</v>
      </c>
      <c r="AO349" s="135">
        <v>-8.9261635487098658</v>
      </c>
      <c r="AP349" s="135">
        <v>44.856856182796491</v>
      </c>
      <c r="AQ349" s="135">
        <v>78.646660894668528</v>
      </c>
      <c r="AR349" s="135">
        <v>70.396728419392971</v>
      </c>
      <c r="AS349" s="135">
        <v>94.866508201691886</v>
      </c>
      <c r="AT349" s="135">
        <v>22.340102275792049</v>
      </c>
      <c r="AU349" s="135">
        <v>-50.70874139656167</v>
      </c>
      <c r="AV349" s="135">
        <v>679.88709094071635</v>
      </c>
      <c r="AW349" s="135"/>
      <c r="AX349" s="132"/>
      <c r="AY349" s="132"/>
      <c r="AZ349" s="155"/>
      <c r="BA349" s="155"/>
    </row>
    <row r="350" spans="1:53" ht="16.5" x14ac:dyDescent="0.3">
      <c r="A350" s="165">
        <v>2536</v>
      </c>
      <c r="B350" s="165">
        <v>1</v>
      </c>
      <c r="C350" s="166" t="s">
        <v>555</v>
      </c>
      <c r="D350" s="167">
        <v>6</v>
      </c>
      <c r="E350" s="163">
        <v>213.26999999999998</v>
      </c>
      <c r="F350" s="135">
        <v>6213.5887841703016</v>
      </c>
      <c r="G350" s="135">
        <v>28.772354292680642</v>
      </c>
      <c r="H350" s="135">
        <v>3871.313780653632</v>
      </c>
      <c r="I350" s="135">
        <v>0</v>
      </c>
      <c r="J350" s="135">
        <v>54.71383692033573</v>
      </c>
      <c r="K350" s="135">
        <v>684.47676654006659</v>
      </c>
      <c r="L350" s="135">
        <v>0</v>
      </c>
      <c r="M350" s="135">
        <v>924.52704537588045</v>
      </c>
      <c r="N350" s="135">
        <v>0</v>
      </c>
      <c r="O350" s="135">
        <v>-88.645894875041023</v>
      </c>
      <c r="P350" s="135">
        <v>1598.7457120082527</v>
      </c>
      <c r="Q350" s="135">
        <v>1259.6456604304403</v>
      </c>
      <c r="R350" s="135">
        <v>95.911098607399083</v>
      </c>
      <c r="S350" s="135">
        <v>14643.049144123948</v>
      </c>
      <c r="T350" s="135"/>
      <c r="U350" s="135">
        <v>6901.6238570825717</v>
      </c>
      <c r="V350" s="135">
        <v>0</v>
      </c>
      <c r="W350" s="135">
        <v>3576.6020537347031</v>
      </c>
      <c r="X350" s="135">
        <v>0</v>
      </c>
      <c r="Y350" s="135">
        <v>0</v>
      </c>
      <c r="Z350" s="135">
        <v>827.83612322408214</v>
      </c>
      <c r="AA350" s="135">
        <v>0</v>
      </c>
      <c r="AB350" s="135">
        <v>979.59123875153966</v>
      </c>
      <c r="AC350" s="135">
        <v>104.2479562312185</v>
      </c>
      <c r="AD350" s="135">
        <v>0</v>
      </c>
      <c r="AE350" s="135">
        <v>1596.1064363295354</v>
      </c>
      <c r="AF350" s="135">
        <v>1308.025407101944</v>
      </c>
      <c r="AG350" s="135">
        <v>45.1292727528485</v>
      </c>
      <c r="AH350" s="135">
        <v>15339.162345208444</v>
      </c>
      <c r="AI350" s="135">
        <v>688.03507291227015</v>
      </c>
      <c r="AJ350" s="135">
        <v>-28.772354292680642</v>
      </c>
      <c r="AK350" s="135">
        <v>-294.71172691892889</v>
      </c>
      <c r="AL350" s="135">
        <v>0</v>
      </c>
      <c r="AM350" s="135">
        <v>-54.71383692033573</v>
      </c>
      <c r="AN350" s="135">
        <v>143.35935668401555</v>
      </c>
      <c r="AO350" s="135">
        <v>0</v>
      </c>
      <c r="AP350" s="135">
        <v>55.064193375659215</v>
      </c>
      <c r="AQ350" s="135">
        <v>104.2479562312185</v>
      </c>
      <c r="AR350" s="135">
        <v>88.645894875041023</v>
      </c>
      <c r="AS350" s="135">
        <v>-2.6392756787172402</v>
      </c>
      <c r="AT350" s="135">
        <v>48.379746671503653</v>
      </c>
      <c r="AU350" s="135">
        <v>-50.781825854550583</v>
      </c>
      <c r="AV350" s="135">
        <v>696.11320171200873</v>
      </c>
      <c r="AW350" s="135"/>
      <c r="AX350" s="164"/>
      <c r="AY350" s="132"/>
      <c r="AZ350" s="135"/>
      <c r="BA350" s="135"/>
    </row>
    <row r="351" spans="1:53" ht="16.5" x14ac:dyDescent="0.3">
      <c r="A351" s="165">
        <v>2580</v>
      </c>
      <c r="B351" s="165">
        <v>1</v>
      </c>
      <c r="C351" s="166" t="s">
        <v>659</v>
      </c>
      <c r="D351" s="167">
        <v>6</v>
      </c>
      <c r="E351" s="163">
        <v>767.38999999999987</v>
      </c>
      <c r="F351" s="135">
        <v>6065.5419538956739</v>
      </c>
      <c r="G351" s="135">
        <v>63.267869010542235</v>
      </c>
      <c r="H351" s="135">
        <v>148.71267543230954</v>
      </c>
      <c r="I351" s="135">
        <v>0</v>
      </c>
      <c r="J351" s="135">
        <v>149.5021436297059</v>
      </c>
      <c r="K351" s="135">
        <v>1012.5664916144335</v>
      </c>
      <c r="L351" s="135">
        <v>0</v>
      </c>
      <c r="M351" s="135">
        <v>1129.5819817100094</v>
      </c>
      <c r="N351" s="135">
        <v>0</v>
      </c>
      <c r="O351" s="135">
        <v>-74.750335552978299</v>
      </c>
      <c r="P351" s="135">
        <v>2553.9378610615208</v>
      </c>
      <c r="Q351" s="135">
        <v>588.72496383846556</v>
      </c>
      <c r="R351" s="135">
        <v>102.22491822932278</v>
      </c>
      <c r="S351" s="135">
        <v>11739.310522869006</v>
      </c>
      <c r="T351" s="135"/>
      <c r="U351" s="135">
        <v>6715.3259750583156</v>
      </c>
      <c r="V351" s="135">
        <v>0</v>
      </c>
      <c r="W351" s="135">
        <v>0</v>
      </c>
      <c r="X351" s="135">
        <v>0</v>
      </c>
      <c r="Y351" s="135">
        <v>106.59247579457644</v>
      </c>
      <c r="Z351" s="135">
        <v>1171.7597180051866</v>
      </c>
      <c r="AA351" s="135">
        <v>0</v>
      </c>
      <c r="AB351" s="135">
        <v>1332.4936666594995</v>
      </c>
      <c r="AC351" s="135">
        <v>113.22828056628067</v>
      </c>
      <c r="AD351" s="135">
        <v>0</v>
      </c>
      <c r="AE351" s="135">
        <v>2554.6416631465099</v>
      </c>
      <c r="AF351" s="135">
        <v>641.15765535537071</v>
      </c>
      <c r="AG351" s="135">
        <v>57.737473774742973</v>
      </c>
      <c r="AH351" s="135">
        <v>12692.936908360485</v>
      </c>
      <c r="AI351" s="135">
        <v>649.78402116264169</v>
      </c>
      <c r="AJ351" s="135">
        <v>-63.267869010542235</v>
      </c>
      <c r="AK351" s="135">
        <v>-148.71267543230954</v>
      </c>
      <c r="AL351" s="135">
        <v>0</v>
      </c>
      <c r="AM351" s="135">
        <v>-42.909667835129454</v>
      </c>
      <c r="AN351" s="135">
        <v>159.19322639075313</v>
      </c>
      <c r="AO351" s="135">
        <v>0</v>
      </c>
      <c r="AP351" s="135">
        <v>202.91168494949011</v>
      </c>
      <c r="AQ351" s="135">
        <v>113.22828056628067</v>
      </c>
      <c r="AR351" s="135">
        <v>74.750335552978299</v>
      </c>
      <c r="AS351" s="135">
        <v>0.70380208498909269</v>
      </c>
      <c r="AT351" s="135">
        <v>52.432691516905152</v>
      </c>
      <c r="AU351" s="135">
        <v>-44.487444454579808</v>
      </c>
      <c r="AV351" s="135">
        <v>953.6263866801313</v>
      </c>
      <c r="AW351" s="135"/>
      <c r="AX351" s="164"/>
      <c r="AY351" s="132"/>
      <c r="AZ351" s="135"/>
      <c r="BA351" s="135"/>
    </row>
    <row r="352" spans="1:53" ht="16.5" x14ac:dyDescent="0.3">
      <c r="A352" s="165">
        <v>2609</v>
      </c>
      <c r="B352" s="165">
        <v>1</v>
      </c>
      <c r="C352" s="166" t="s">
        <v>590</v>
      </c>
      <c r="D352" s="167">
        <v>6</v>
      </c>
      <c r="E352" s="163">
        <v>426.07000000000005</v>
      </c>
      <c r="F352" s="135">
        <v>6042.7826413500115</v>
      </c>
      <c r="G352" s="135">
        <v>1.5153143849602175</v>
      </c>
      <c r="H352" s="135">
        <v>1069.1194404675286</v>
      </c>
      <c r="I352" s="135">
        <v>0</v>
      </c>
      <c r="J352" s="135">
        <v>108.54798507287533</v>
      </c>
      <c r="K352" s="135">
        <v>586.76435796934766</v>
      </c>
      <c r="L352" s="135">
        <v>0</v>
      </c>
      <c r="M352" s="135">
        <v>574.42591101480969</v>
      </c>
      <c r="N352" s="135">
        <v>0</v>
      </c>
      <c r="O352" s="135">
        <v>-55.373131175628416</v>
      </c>
      <c r="P352" s="135">
        <v>1766.4710285700871</v>
      </c>
      <c r="Q352" s="135">
        <v>860.04177717276502</v>
      </c>
      <c r="R352" s="135">
        <v>117.62977914427205</v>
      </c>
      <c r="S352" s="135">
        <v>11071.925103971029</v>
      </c>
      <c r="T352" s="135"/>
      <c r="U352" s="135">
        <v>6693.0968150773342</v>
      </c>
      <c r="V352" s="135">
        <v>0</v>
      </c>
      <c r="W352" s="135">
        <v>806.39486469359474</v>
      </c>
      <c r="X352" s="135">
        <v>0</v>
      </c>
      <c r="Y352" s="135">
        <v>47.960475978125658</v>
      </c>
      <c r="Z352" s="135">
        <v>700.58349566972549</v>
      </c>
      <c r="AA352" s="135">
        <v>0</v>
      </c>
      <c r="AB352" s="135">
        <v>690.11827106091471</v>
      </c>
      <c r="AC352" s="135">
        <v>89.153570945840258</v>
      </c>
      <c r="AD352" s="135">
        <v>0</v>
      </c>
      <c r="AE352" s="135">
        <v>1797.0453059611261</v>
      </c>
      <c r="AF352" s="135">
        <v>899.95028043081618</v>
      </c>
      <c r="AG352" s="135">
        <v>68.610369188161556</v>
      </c>
      <c r="AH352" s="135">
        <v>11792.91344900564</v>
      </c>
      <c r="AI352" s="135">
        <v>650.31417372732267</v>
      </c>
      <c r="AJ352" s="135">
        <v>-1.5153143849602175</v>
      </c>
      <c r="AK352" s="135">
        <v>-262.72457577393391</v>
      </c>
      <c r="AL352" s="135">
        <v>0</v>
      </c>
      <c r="AM352" s="135">
        <v>-60.587509094749677</v>
      </c>
      <c r="AN352" s="135">
        <v>113.81913770037784</v>
      </c>
      <c r="AO352" s="135">
        <v>0</v>
      </c>
      <c r="AP352" s="135">
        <v>115.69236004610502</v>
      </c>
      <c r="AQ352" s="135">
        <v>89.153570945840258</v>
      </c>
      <c r="AR352" s="135">
        <v>55.373131175628416</v>
      </c>
      <c r="AS352" s="135">
        <v>30.574277391039004</v>
      </c>
      <c r="AT352" s="135">
        <v>39.908503258051155</v>
      </c>
      <c r="AU352" s="135">
        <v>-49.019409956110493</v>
      </c>
      <c r="AV352" s="135">
        <v>720.9883487189295</v>
      </c>
      <c r="AW352" s="135"/>
      <c r="AX352" s="164"/>
      <c r="AY352" s="132"/>
      <c r="AZ352" s="135"/>
      <c r="BA352" s="135"/>
    </row>
    <row r="353" spans="1:53" ht="16.5" x14ac:dyDescent="0.3">
      <c r="A353" s="165">
        <v>2683</v>
      </c>
      <c r="B353" s="165">
        <v>1</v>
      </c>
      <c r="C353" s="166" t="s">
        <v>507</v>
      </c>
      <c r="D353" s="167">
        <v>6</v>
      </c>
      <c r="E353" s="163">
        <v>421.78</v>
      </c>
      <c r="F353" s="135">
        <v>6086.16188534307</v>
      </c>
      <c r="G353" s="135">
        <v>0</v>
      </c>
      <c r="H353" s="135">
        <v>1353.1030157902223</v>
      </c>
      <c r="I353" s="135">
        <v>0</v>
      </c>
      <c r="J353" s="135">
        <v>102.40689458959648</v>
      </c>
      <c r="K353" s="135">
        <v>283.103679643416</v>
      </c>
      <c r="L353" s="135">
        <v>0</v>
      </c>
      <c r="M353" s="135">
        <v>777.5274635969464</v>
      </c>
      <c r="N353" s="135">
        <v>0</v>
      </c>
      <c r="O353" s="135">
        <v>-60.76549385935796</v>
      </c>
      <c r="P353" s="135">
        <v>566.64789226611038</v>
      </c>
      <c r="Q353" s="135">
        <v>2448.2468348428092</v>
      </c>
      <c r="R353" s="135">
        <v>109.88221347621983</v>
      </c>
      <c r="S353" s="135">
        <v>11666.314385689031</v>
      </c>
      <c r="T353" s="135"/>
      <c r="U353" s="135">
        <v>6742.9447579306752</v>
      </c>
      <c r="V353" s="135">
        <v>0</v>
      </c>
      <c r="W353" s="135">
        <v>1032.5436246384372</v>
      </c>
      <c r="X353" s="135">
        <v>0</v>
      </c>
      <c r="Y353" s="135">
        <v>33.101166484897341</v>
      </c>
      <c r="Z353" s="135">
        <v>367.33519844468685</v>
      </c>
      <c r="AA353" s="135">
        <v>0</v>
      </c>
      <c r="AB353" s="135">
        <v>809.24859327138518</v>
      </c>
      <c r="AC353" s="135">
        <v>71.649672421426544</v>
      </c>
      <c r="AD353" s="135">
        <v>0</v>
      </c>
      <c r="AE353" s="135">
        <v>667.16819803214946</v>
      </c>
      <c r="AF353" s="135">
        <v>2530.9681519836986</v>
      </c>
      <c r="AG353" s="135">
        <v>61.141922329176346</v>
      </c>
      <c r="AH353" s="135">
        <v>12316.101285536532</v>
      </c>
      <c r="AI353" s="135">
        <v>656.7828725876052</v>
      </c>
      <c r="AJ353" s="135">
        <v>0</v>
      </c>
      <c r="AK353" s="135">
        <v>-320.55939115178512</v>
      </c>
      <c r="AL353" s="135">
        <v>0</v>
      </c>
      <c r="AM353" s="135">
        <v>-69.305728104699142</v>
      </c>
      <c r="AN353" s="135">
        <v>84.231518801270852</v>
      </c>
      <c r="AO353" s="135">
        <v>0</v>
      </c>
      <c r="AP353" s="135">
        <v>31.721129674438771</v>
      </c>
      <c r="AQ353" s="135">
        <v>71.649672421426544</v>
      </c>
      <c r="AR353" s="135">
        <v>60.76549385935796</v>
      </c>
      <c r="AS353" s="135">
        <v>100.52030576603909</v>
      </c>
      <c r="AT353" s="135">
        <v>82.721317140889369</v>
      </c>
      <c r="AU353" s="135">
        <v>-48.740291147043486</v>
      </c>
      <c r="AV353" s="135">
        <v>649.78690756626156</v>
      </c>
      <c r="AW353" s="135"/>
      <c r="AX353" s="164"/>
      <c r="AY353" s="132"/>
      <c r="AZ353" s="135"/>
      <c r="BA353" s="135"/>
    </row>
    <row r="354" spans="1:53" ht="16.5" x14ac:dyDescent="0.3">
      <c r="A354" s="165">
        <v>2687</v>
      </c>
      <c r="B354" s="165">
        <v>1</v>
      </c>
      <c r="C354" s="166" t="s">
        <v>402</v>
      </c>
      <c r="D354" s="167">
        <v>5</v>
      </c>
      <c r="E354" s="163">
        <v>1094.0900000000001</v>
      </c>
      <c r="F354" s="135">
        <v>5933.4315092908255</v>
      </c>
      <c r="G354" s="135">
        <v>8.1891343490937665</v>
      </c>
      <c r="H354" s="135">
        <v>740.80332513778558</v>
      </c>
      <c r="I354" s="135">
        <v>0</v>
      </c>
      <c r="J354" s="135">
        <v>122.4167755851895</v>
      </c>
      <c r="K354" s="135">
        <v>306.24676214936608</v>
      </c>
      <c r="L354" s="135">
        <v>0</v>
      </c>
      <c r="M354" s="135">
        <v>749.17160557060652</v>
      </c>
      <c r="N354" s="135">
        <v>0</v>
      </c>
      <c r="O354" s="135">
        <v>-39.703077443354744</v>
      </c>
      <c r="P354" s="135">
        <v>2297.616225356232</v>
      </c>
      <c r="Q354" s="135">
        <v>121.75800893893553</v>
      </c>
      <c r="R354" s="135">
        <v>109.66401301538262</v>
      </c>
      <c r="S354" s="135">
        <v>10349.594281950061</v>
      </c>
      <c r="T354" s="135"/>
      <c r="U354" s="135">
        <v>6539.1960442011168</v>
      </c>
      <c r="V354" s="135">
        <v>0</v>
      </c>
      <c r="W354" s="135">
        <v>437.59676991837961</v>
      </c>
      <c r="X354" s="135">
        <v>0</v>
      </c>
      <c r="Y354" s="135">
        <v>72.539855039347756</v>
      </c>
      <c r="Z354" s="135">
        <v>383.86653367867979</v>
      </c>
      <c r="AA354" s="135">
        <v>0</v>
      </c>
      <c r="AB354" s="135">
        <v>841.30650882893667</v>
      </c>
      <c r="AC354" s="135">
        <v>69.927465571208444</v>
      </c>
      <c r="AD354" s="135">
        <v>0</v>
      </c>
      <c r="AE354" s="135">
        <v>2389.4022019596196</v>
      </c>
      <c r="AF354" s="135">
        <v>135.72464788088732</v>
      </c>
      <c r="AG354" s="135">
        <v>63.019550494017849</v>
      </c>
      <c r="AH354" s="135">
        <v>10932.579577572193</v>
      </c>
      <c r="AI354" s="135">
        <v>605.76453491029133</v>
      </c>
      <c r="AJ354" s="135">
        <v>-8.1891343490937665</v>
      </c>
      <c r="AK354" s="135">
        <v>-303.20655521940597</v>
      </c>
      <c r="AL354" s="135">
        <v>0</v>
      </c>
      <c r="AM354" s="135">
        <v>-49.876920545841742</v>
      </c>
      <c r="AN354" s="135">
        <v>77.619771529313709</v>
      </c>
      <c r="AO354" s="135">
        <v>0</v>
      </c>
      <c r="AP354" s="135">
        <v>92.134903258330155</v>
      </c>
      <c r="AQ354" s="135">
        <v>69.927465571208444</v>
      </c>
      <c r="AR354" s="135">
        <v>39.703077443354744</v>
      </c>
      <c r="AS354" s="135">
        <v>91.785976603387553</v>
      </c>
      <c r="AT354" s="135">
        <v>13.966638941951786</v>
      </c>
      <c r="AU354" s="135">
        <v>-46.644462521364773</v>
      </c>
      <c r="AV354" s="135">
        <v>582.98530228063487</v>
      </c>
      <c r="AW354" s="135"/>
      <c r="AX354" s="164"/>
      <c r="AY354" s="132"/>
      <c r="AZ354" s="135"/>
      <c r="BA354" s="135"/>
    </row>
    <row r="355" spans="1:53" ht="16.5" x14ac:dyDescent="0.3">
      <c r="A355" s="165">
        <v>2689</v>
      </c>
      <c r="B355" s="165">
        <v>1</v>
      </c>
      <c r="C355" s="166" t="s">
        <v>434</v>
      </c>
      <c r="D355" s="167">
        <v>5</v>
      </c>
      <c r="E355" s="163">
        <v>1080.99</v>
      </c>
      <c r="F355" s="135">
        <v>6074.6355100417213</v>
      </c>
      <c r="G355" s="135">
        <v>27.990702966724946</v>
      </c>
      <c r="H355" s="135">
        <v>1326.8078983154332</v>
      </c>
      <c r="I355" s="135">
        <v>0</v>
      </c>
      <c r="J355" s="135">
        <v>100.55009759572243</v>
      </c>
      <c r="K355" s="135">
        <v>609.17310983450363</v>
      </c>
      <c r="L355" s="135">
        <v>0</v>
      </c>
      <c r="M355" s="135">
        <v>1456.3392671805659</v>
      </c>
      <c r="N355" s="135">
        <v>0</v>
      </c>
      <c r="O355" s="135">
        <v>-71.647138271399356</v>
      </c>
      <c r="P355" s="135">
        <v>1817.5988829287439</v>
      </c>
      <c r="Q355" s="135">
        <v>233.24089029500735</v>
      </c>
      <c r="R355" s="135">
        <v>111.18285090518876</v>
      </c>
      <c r="S355" s="135">
        <v>11685.87207179221</v>
      </c>
      <c r="T355" s="135"/>
      <c r="U355" s="135">
        <v>6724.347681292149</v>
      </c>
      <c r="V355" s="135">
        <v>0</v>
      </c>
      <c r="W355" s="135">
        <v>1039.4815770728683</v>
      </c>
      <c r="X355" s="135">
        <v>0</v>
      </c>
      <c r="Y355" s="135">
        <v>30.85775076550199</v>
      </c>
      <c r="Z355" s="135">
        <v>743.11117144721607</v>
      </c>
      <c r="AA355" s="135">
        <v>0</v>
      </c>
      <c r="AB355" s="135">
        <v>1456.3392671805659</v>
      </c>
      <c r="AC355" s="135">
        <v>89.673443390984474</v>
      </c>
      <c r="AD355" s="135">
        <v>0</v>
      </c>
      <c r="AE355" s="135">
        <v>1882.7655507781888</v>
      </c>
      <c r="AF355" s="135">
        <v>258.90866705519937</v>
      </c>
      <c r="AG355" s="135">
        <v>61.127512742948589</v>
      </c>
      <c r="AH355" s="135">
        <v>12286.612621725622</v>
      </c>
      <c r="AI355" s="135">
        <v>649.71217125042767</v>
      </c>
      <c r="AJ355" s="135">
        <v>-27.990702966724946</v>
      </c>
      <c r="AK355" s="135">
        <v>-287.32632124256497</v>
      </c>
      <c r="AL355" s="135">
        <v>0</v>
      </c>
      <c r="AM355" s="135">
        <v>-69.692346830220444</v>
      </c>
      <c r="AN355" s="135">
        <v>133.93806161271243</v>
      </c>
      <c r="AO355" s="135">
        <v>0</v>
      </c>
      <c r="AP355" s="135">
        <v>0</v>
      </c>
      <c r="AQ355" s="135">
        <v>89.673443390984474</v>
      </c>
      <c r="AR355" s="135">
        <v>71.647138271399356</v>
      </c>
      <c r="AS355" s="135">
        <v>65.166667849444821</v>
      </c>
      <c r="AT355" s="135">
        <v>25.667776760192027</v>
      </c>
      <c r="AU355" s="135">
        <v>-50.055338162240169</v>
      </c>
      <c r="AV355" s="135">
        <v>600.74055078861454</v>
      </c>
      <c r="AW355" s="135"/>
      <c r="AX355" s="132"/>
      <c r="AY355" s="132"/>
      <c r="AZ355" s="155"/>
      <c r="BA355" s="155"/>
    </row>
    <row r="356" spans="1:53" ht="16.5" x14ac:dyDescent="0.3">
      <c r="A356" s="165">
        <v>2711</v>
      </c>
      <c r="B356" s="165">
        <v>1</v>
      </c>
      <c r="C356" s="166" t="s">
        <v>662</v>
      </c>
      <c r="D356" s="167">
        <v>6</v>
      </c>
      <c r="E356" s="163">
        <v>916.38</v>
      </c>
      <c r="F356" s="135">
        <v>5987.037604487221</v>
      </c>
      <c r="G356" s="135">
        <v>1.4032388310526203</v>
      </c>
      <c r="H356" s="135">
        <v>0</v>
      </c>
      <c r="I356" s="135">
        <v>0</v>
      </c>
      <c r="J356" s="135">
        <v>176.74280320391105</v>
      </c>
      <c r="K356" s="135">
        <v>525.06475479604535</v>
      </c>
      <c r="L356" s="135">
        <v>0</v>
      </c>
      <c r="M356" s="135">
        <v>823.97143968469845</v>
      </c>
      <c r="N356" s="135">
        <v>0</v>
      </c>
      <c r="O356" s="135">
        <v>-59.243632554180579</v>
      </c>
      <c r="P356" s="135">
        <v>1421.5872454658547</v>
      </c>
      <c r="Q356" s="135">
        <v>311.55342761736398</v>
      </c>
      <c r="R356" s="135">
        <v>103.51169820380191</v>
      </c>
      <c r="S356" s="135">
        <v>9291.6285797357668</v>
      </c>
      <c r="T356" s="135"/>
      <c r="U356" s="135">
        <v>6624.1504615988997</v>
      </c>
      <c r="V356" s="135">
        <v>0</v>
      </c>
      <c r="W356" s="135">
        <v>0</v>
      </c>
      <c r="X356" s="135">
        <v>0</v>
      </c>
      <c r="Y356" s="135">
        <v>105.14524542220477</v>
      </c>
      <c r="Z356" s="135">
        <v>600.970721594932</v>
      </c>
      <c r="AA356" s="135">
        <v>0</v>
      </c>
      <c r="AB356" s="135">
        <v>1195.4591998740825</v>
      </c>
      <c r="AC356" s="135">
        <v>91.790397316888772</v>
      </c>
      <c r="AD356" s="135">
        <v>0</v>
      </c>
      <c r="AE356" s="135">
        <v>1422.0433611482135</v>
      </c>
      <c r="AF356" s="135">
        <v>340.24352342914511</v>
      </c>
      <c r="AG356" s="135">
        <v>56.605327484231431</v>
      </c>
      <c r="AH356" s="135">
        <v>10436.408237868596</v>
      </c>
      <c r="AI356" s="135">
        <v>637.11285711167875</v>
      </c>
      <c r="AJ356" s="135">
        <v>-1.4032388310526203</v>
      </c>
      <c r="AK356" s="135">
        <v>0</v>
      </c>
      <c r="AL356" s="135">
        <v>0</v>
      </c>
      <c r="AM356" s="135">
        <v>-71.597557781706286</v>
      </c>
      <c r="AN356" s="135">
        <v>75.905966798886652</v>
      </c>
      <c r="AO356" s="135">
        <v>0</v>
      </c>
      <c r="AP356" s="135">
        <v>371.48776018938406</v>
      </c>
      <c r="AQ356" s="135">
        <v>91.790397316888772</v>
      </c>
      <c r="AR356" s="135">
        <v>59.243632554180579</v>
      </c>
      <c r="AS356" s="135">
        <v>0.4561156823588135</v>
      </c>
      <c r="AT356" s="135">
        <v>28.690095811781134</v>
      </c>
      <c r="AU356" s="135">
        <v>-46.906370719570482</v>
      </c>
      <c r="AV356" s="135">
        <v>1144.7796676309765</v>
      </c>
      <c r="AW356" s="135"/>
      <c r="AX356" s="164"/>
      <c r="AY356" s="132"/>
      <c r="AZ356" s="135"/>
      <c r="BA356" s="135"/>
    </row>
    <row r="357" spans="1:53" ht="16.5" x14ac:dyDescent="0.3">
      <c r="A357" s="165">
        <v>2752</v>
      </c>
      <c r="B357" s="165">
        <v>1</v>
      </c>
      <c r="C357" s="166" t="s">
        <v>393</v>
      </c>
      <c r="D357" s="167">
        <v>5</v>
      </c>
      <c r="E357" s="163">
        <v>1809.44</v>
      </c>
      <c r="F357" s="135">
        <v>6053.6893624546819</v>
      </c>
      <c r="G357" s="135">
        <v>33.489974798832783</v>
      </c>
      <c r="H357" s="135">
        <v>585.17608210275</v>
      </c>
      <c r="I357" s="135">
        <v>0</v>
      </c>
      <c r="J357" s="135">
        <v>132.15212994075515</v>
      </c>
      <c r="K357" s="135">
        <v>595.87133588292511</v>
      </c>
      <c r="L357" s="135">
        <v>0</v>
      </c>
      <c r="M357" s="135">
        <v>850.61795145381552</v>
      </c>
      <c r="N357" s="135">
        <v>0</v>
      </c>
      <c r="O357" s="135">
        <v>-54.594797285347951</v>
      </c>
      <c r="P357" s="135">
        <v>1991.462187196038</v>
      </c>
      <c r="Q357" s="135">
        <v>129.17395989919532</v>
      </c>
      <c r="R357" s="135">
        <v>342.99182620037146</v>
      </c>
      <c r="S357" s="135">
        <v>10660.030012644018</v>
      </c>
      <c r="T357" s="135"/>
      <c r="U357" s="135">
        <v>6671.9194889026439</v>
      </c>
      <c r="V357" s="135">
        <v>0</v>
      </c>
      <c r="W357" s="135">
        <v>300.95652245998764</v>
      </c>
      <c r="X357" s="135">
        <v>0</v>
      </c>
      <c r="Y357" s="135">
        <v>84.406589884163054</v>
      </c>
      <c r="Z357" s="135">
        <v>664.06509824688362</v>
      </c>
      <c r="AA357" s="135">
        <v>0</v>
      </c>
      <c r="AB357" s="135">
        <v>986.32037876687195</v>
      </c>
      <c r="AC357" s="135">
        <v>70.396735163709238</v>
      </c>
      <c r="AD357" s="135">
        <v>0</v>
      </c>
      <c r="AE357" s="135">
        <v>2028.0886568231053</v>
      </c>
      <c r="AF357" s="135">
        <v>134.15853523742152</v>
      </c>
      <c r="AG357" s="135">
        <v>294.87520448315502</v>
      </c>
      <c r="AH357" s="135">
        <v>11235.18720996794</v>
      </c>
      <c r="AI357" s="135">
        <v>618.23012644796199</v>
      </c>
      <c r="AJ357" s="135">
        <v>-33.489974798832783</v>
      </c>
      <c r="AK357" s="135">
        <v>-284.21955964276236</v>
      </c>
      <c r="AL357" s="135">
        <v>0</v>
      </c>
      <c r="AM357" s="135">
        <v>-47.745540056592091</v>
      </c>
      <c r="AN357" s="135">
        <v>68.193762363958513</v>
      </c>
      <c r="AO357" s="135">
        <v>0</v>
      </c>
      <c r="AP357" s="135">
        <v>135.70242731305643</v>
      </c>
      <c r="AQ357" s="135">
        <v>70.396735163709238</v>
      </c>
      <c r="AR357" s="135">
        <v>54.594797285347951</v>
      </c>
      <c r="AS357" s="135">
        <v>36.626469627067308</v>
      </c>
      <c r="AT357" s="135">
        <v>4.9845753382261933</v>
      </c>
      <c r="AU357" s="135">
        <v>-48.116621717216447</v>
      </c>
      <c r="AV357" s="135">
        <v>575.15720247278136</v>
      </c>
      <c r="AW357" s="135"/>
      <c r="AX357" s="132"/>
      <c r="AY357" s="132"/>
      <c r="AZ357" s="155"/>
      <c r="BA357" s="155"/>
    </row>
    <row r="358" spans="1:53" ht="16.5" x14ac:dyDescent="0.3">
      <c r="A358" s="165">
        <v>2753</v>
      </c>
      <c r="B358" s="165">
        <v>1</v>
      </c>
      <c r="C358" s="166" t="s">
        <v>643</v>
      </c>
      <c r="D358" s="167">
        <v>5</v>
      </c>
      <c r="E358" s="163">
        <v>932.72</v>
      </c>
      <c r="F358" s="135">
        <v>6105.8496440518056</v>
      </c>
      <c r="G358" s="135">
        <v>0</v>
      </c>
      <c r="H358" s="135">
        <v>958.62050776224385</v>
      </c>
      <c r="I358" s="135">
        <v>0</v>
      </c>
      <c r="J358" s="135">
        <v>114.89376232953084</v>
      </c>
      <c r="K358" s="135">
        <v>1315.5302019898791</v>
      </c>
      <c r="L358" s="135">
        <v>150.1418818080453</v>
      </c>
      <c r="M358" s="135">
        <v>891.9509354583754</v>
      </c>
      <c r="N358" s="135">
        <v>0</v>
      </c>
      <c r="O358" s="135">
        <v>-69.929807444892361</v>
      </c>
      <c r="P358" s="135">
        <v>1487.6595958364476</v>
      </c>
      <c r="Q358" s="135">
        <v>174.2691804614461</v>
      </c>
      <c r="R358" s="135">
        <v>99.796552019898783</v>
      </c>
      <c r="S358" s="135">
        <v>11228.782454272779</v>
      </c>
      <c r="T358" s="135"/>
      <c r="U358" s="135">
        <v>6761.7847585556219</v>
      </c>
      <c r="V358" s="135">
        <v>0</v>
      </c>
      <c r="W358" s="135">
        <v>640.0193412814134</v>
      </c>
      <c r="X358" s="135">
        <v>0</v>
      </c>
      <c r="Y358" s="135">
        <v>60.48340337936358</v>
      </c>
      <c r="Z358" s="135">
        <v>1283.5795201132173</v>
      </c>
      <c r="AA358" s="135">
        <v>186.07055708036711</v>
      </c>
      <c r="AB358" s="135">
        <v>1118.6374250127719</v>
      </c>
      <c r="AC358" s="135">
        <v>108.06920680506509</v>
      </c>
      <c r="AD358" s="135">
        <v>0</v>
      </c>
      <c r="AE358" s="135">
        <v>1598.4754483452391</v>
      </c>
      <c r="AF358" s="135">
        <v>207.68290590959774</v>
      </c>
      <c r="AG358" s="135">
        <v>48.348057294793712</v>
      </c>
      <c r="AH358" s="135">
        <v>12013.150623777452</v>
      </c>
      <c r="AI358" s="135">
        <v>655.93511450381629</v>
      </c>
      <c r="AJ358" s="135">
        <v>0</v>
      </c>
      <c r="AK358" s="135">
        <v>-318.60116648083044</v>
      </c>
      <c r="AL358" s="135">
        <v>0</v>
      </c>
      <c r="AM358" s="135">
        <v>-54.410358950167264</v>
      </c>
      <c r="AN358" s="135">
        <v>-31.950681876661747</v>
      </c>
      <c r="AO358" s="135">
        <v>35.928675272321811</v>
      </c>
      <c r="AP358" s="135">
        <v>226.68648955439653</v>
      </c>
      <c r="AQ358" s="135">
        <v>108.06920680506509</v>
      </c>
      <c r="AR358" s="135">
        <v>69.929807444892361</v>
      </c>
      <c r="AS358" s="135">
        <v>110.81585250879152</v>
      </c>
      <c r="AT358" s="135">
        <v>33.413725448151638</v>
      </c>
      <c r="AU358" s="135">
        <v>-51.448494725105071</v>
      </c>
      <c r="AV358" s="135">
        <v>784.36816993776688</v>
      </c>
      <c r="AW358" s="135"/>
      <c r="AX358" s="132"/>
      <c r="AY358" s="132"/>
      <c r="AZ358" s="155"/>
      <c r="BA358" s="155"/>
    </row>
    <row r="359" spans="1:53" ht="16.5" x14ac:dyDescent="0.3">
      <c r="A359" s="165">
        <v>2754</v>
      </c>
      <c r="B359" s="165">
        <v>1</v>
      </c>
      <c r="C359" s="166" t="s">
        <v>484</v>
      </c>
      <c r="D359" s="167">
        <v>6</v>
      </c>
      <c r="E359" s="163">
        <v>530.1</v>
      </c>
      <c r="F359" s="135">
        <v>6015.2374269005841</v>
      </c>
      <c r="G359" s="135">
        <v>0</v>
      </c>
      <c r="H359" s="135">
        <v>743.35163176759102</v>
      </c>
      <c r="I359" s="135">
        <v>0</v>
      </c>
      <c r="J359" s="135">
        <v>126.68385210337672</v>
      </c>
      <c r="K359" s="135">
        <v>628.9486700622524</v>
      </c>
      <c r="L359" s="135">
        <v>95.98666666666665</v>
      </c>
      <c r="M359" s="135">
        <v>1003.9667468226182</v>
      </c>
      <c r="N359" s="135">
        <v>0</v>
      </c>
      <c r="O359" s="135">
        <v>-39.503942652329748</v>
      </c>
      <c r="P359" s="135">
        <v>812.36914921712889</v>
      </c>
      <c r="Q359" s="135">
        <v>499.40267873986033</v>
      </c>
      <c r="R359" s="135">
        <v>94.974363327674027</v>
      </c>
      <c r="S359" s="135">
        <v>9981.4172429554237</v>
      </c>
      <c r="T359" s="135"/>
      <c r="U359" s="135">
        <v>6623.3786078098465</v>
      </c>
      <c r="V359" s="135">
        <v>0</v>
      </c>
      <c r="W359" s="135">
        <v>427.95436710054702</v>
      </c>
      <c r="X359" s="135">
        <v>0</v>
      </c>
      <c r="Y359" s="135">
        <v>74.564817958875679</v>
      </c>
      <c r="Z359" s="135">
        <v>758.37371056979282</v>
      </c>
      <c r="AA359" s="135">
        <v>87.870307489152992</v>
      </c>
      <c r="AB359" s="135">
        <v>1159.3011934136109</v>
      </c>
      <c r="AC359" s="135">
        <v>65.040035660067403</v>
      </c>
      <c r="AD359" s="135">
        <v>0</v>
      </c>
      <c r="AE359" s="135">
        <v>878.4224499377475</v>
      </c>
      <c r="AF359" s="135">
        <v>489.16665015836134</v>
      </c>
      <c r="AG359" s="135">
        <v>49.485625353706851</v>
      </c>
      <c r="AH359" s="135">
        <v>10613.557765451707</v>
      </c>
      <c r="AI359" s="135">
        <v>608.1411809092624</v>
      </c>
      <c r="AJ359" s="135">
        <v>0</v>
      </c>
      <c r="AK359" s="135">
        <v>-315.397264667044</v>
      </c>
      <c r="AL359" s="135">
        <v>0</v>
      </c>
      <c r="AM359" s="135">
        <v>-52.119034144501043</v>
      </c>
      <c r="AN359" s="135">
        <v>129.42504050754042</v>
      </c>
      <c r="AO359" s="135">
        <v>-8.1163591775136581</v>
      </c>
      <c r="AP359" s="135">
        <v>155.33444659099268</v>
      </c>
      <c r="AQ359" s="135">
        <v>65.040035660067403</v>
      </c>
      <c r="AR359" s="135">
        <v>39.503942652329748</v>
      </c>
      <c r="AS359" s="135">
        <v>66.053300720618608</v>
      </c>
      <c r="AT359" s="135">
        <v>-10.236028581498999</v>
      </c>
      <c r="AU359" s="135">
        <v>-45.488737973967176</v>
      </c>
      <c r="AV359" s="135">
        <v>632.14053244694401</v>
      </c>
      <c r="AW359" s="135"/>
      <c r="AX359" s="164"/>
      <c r="AY359" s="132"/>
      <c r="AZ359" s="135"/>
      <c r="BA359" s="135"/>
    </row>
    <row r="360" spans="1:53" ht="16.5" x14ac:dyDescent="0.3">
      <c r="A360" s="165">
        <v>2759</v>
      </c>
      <c r="B360" s="165">
        <v>1</v>
      </c>
      <c r="C360" s="166" t="s">
        <v>547</v>
      </c>
      <c r="D360" s="167">
        <v>6</v>
      </c>
      <c r="E360" s="163">
        <v>258.19</v>
      </c>
      <c r="F360" s="135">
        <v>5991.4438204423095</v>
      </c>
      <c r="G360" s="135">
        <v>0</v>
      </c>
      <c r="H360" s="135">
        <v>1132.3384716681514</v>
      </c>
      <c r="I360" s="135">
        <v>0</v>
      </c>
      <c r="J360" s="135">
        <v>101.34071807583562</v>
      </c>
      <c r="K360" s="135">
        <v>1298.0185134978117</v>
      </c>
      <c r="L360" s="135">
        <v>116.11583717417405</v>
      </c>
      <c r="M360" s="135">
        <v>652.49214485084633</v>
      </c>
      <c r="N360" s="135">
        <v>0</v>
      </c>
      <c r="O360" s="135">
        <v>-74.732212711569005</v>
      </c>
      <c r="P360" s="135">
        <v>773.67922847515399</v>
      </c>
      <c r="Q360" s="135">
        <v>661.50176226809708</v>
      </c>
      <c r="R360" s="135">
        <v>126.02567876370115</v>
      </c>
      <c r="S360" s="135">
        <v>10778.223962504511</v>
      </c>
      <c r="T360" s="135"/>
      <c r="U360" s="135">
        <v>6635.8991440412101</v>
      </c>
      <c r="V360" s="135">
        <v>0</v>
      </c>
      <c r="W360" s="135">
        <v>821.21042643014835</v>
      </c>
      <c r="X360" s="135">
        <v>0</v>
      </c>
      <c r="Y360" s="135">
        <v>45.052558193578378</v>
      </c>
      <c r="Z360" s="135">
        <v>1316.1952438126962</v>
      </c>
      <c r="AA360" s="135">
        <v>77.496688485224055</v>
      </c>
      <c r="AB360" s="135">
        <v>851.00738474881723</v>
      </c>
      <c r="AC360" s="135">
        <v>105.24660042765734</v>
      </c>
      <c r="AD360" s="135">
        <v>0</v>
      </c>
      <c r="AE360" s="135">
        <v>835.97899177350018</v>
      </c>
      <c r="AF360" s="135">
        <v>698.92874891603697</v>
      </c>
      <c r="AG360" s="135">
        <v>72.42352531081761</v>
      </c>
      <c r="AH360" s="135">
        <v>11459.439312139684</v>
      </c>
      <c r="AI360" s="135">
        <v>644.45532359890058</v>
      </c>
      <c r="AJ360" s="135">
        <v>0</v>
      </c>
      <c r="AK360" s="135">
        <v>-311.1280452380031</v>
      </c>
      <c r="AL360" s="135">
        <v>0</v>
      </c>
      <c r="AM360" s="135">
        <v>-56.288159882257247</v>
      </c>
      <c r="AN360" s="135">
        <v>18.17673031488448</v>
      </c>
      <c r="AO360" s="135">
        <v>-38.619148688949991</v>
      </c>
      <c r="AP360" s="135">
        <v>198.5152398979709</v>
      </c>
      <c r="AQ360" s="135">
        <v>105.24660042765734</v>
      </c>
      <c r="AR360" s="135">
        <v>74.732212711569005</v>
      </c>
      <c r="AS360" s="135">
        <v>62.299763298346193</v>
      </c>
      <c r="AT360" s="135">
        <v>37.426986647939884</v>
      </c>
      <c r="AU360" s="135">
        <v>-53.602153452883542</v>
      </c>
      <c r="AV360" s="135">
        <v>681.21534981584443</v>
      </c>
      <c r="AW360" s="135"/>
      <c r="AX360" s="164"/>
      <c r="AY360" s="132"/>
      <c r="AZ360" s="135"/>
      <c r="BA360" s="135"/>
    </row>
    <row r="361" spans="1:53" ht="16.5" x14ac:dyDescent="0.3">
      <c r="A361" s="165">
        <v>2805</v>
      </c>
      <c r="B361" s="165">
        <v>1</v>
      </c>
      <c r="C361" s="166" t="s">
        <v>285</v>
      </c>
      <c r="D361" s="167">
        <v>5</v>
      </c>
      <c r="E361" s="163">
        <v>1087.3600000000001</v>
      </c>
      <c r="F361" s="135">
        <v>5954.2530900529709</v>
      </c>
      <c r="G361" s="135">
        <v>6.4739920541494991</v>
      </c>
      <c r="H361" s="135">
        <v>1113.5210325927014</v>
      </c>
      <c r="I361" s="135">
        <v>0</v>
      </c>
      <c r="J361" s="135">
        <v>108.81557165979987</v>
      </c>
      <c r="K361" s="135">
        <v>207.55029613007648</v>
      </c>
      <c r="L361" s="135">
        <v>102.07383755150087</v>
      </c>
      <c r="M361" s="135">
        <v>596.39495690330887</v>
      </c>
      <c r="N361" s="135">
        <v>0</v>
      </c>
      <c r="O361" s="135">
        <v>-49.743875073572681</v>
      </c>
      <c r="P361" s="135">
        <v>1021.8688033402</v>
      </c>
      <c r="Q361" s="135">
        <v>142.31394386403764</v>
      </c>
      <c r="R361" s="135">
        <v>108.48615913772807</v>
      </c>
      <c r="S361" s="135">
        <v>9312.0078082129003</v>
      </c>
      <c r="T361" s="135"/>
      <c r="U361" s="135">
        <v>6577.1198131253668</v>
      </c>
      <c r="V361" s="135">
        <v>0</v>
      </c>
      <c r="W361" s="135">
        <v>806.803800029429</v>
      </c>
      <c r="X361" s="135">
        <v>0</v>
      </c>
      <c r="Y361" s="135">
        <v>46.769883019423183</v>
      </c>
      <c r="Z361" s="135">
        <v>185.22258750328734</v>
      </c>
      <c r="AA361" s="135">
        <v>75.883240141259549</v>
      </c>
      <c r="AB361" s="135">
        <v>731.07955926564387</v>
      </c>
      <c r="AC361" s="135">
        <v>48.731769901740329</v>
      </c>
      <c r="AD361" s="135">
        <v>0</v>
      </c>
      <c r="AE361" s="135">
        <v>1081.5653605714756</v>
      </c>
      <c r="AF361" s="135">
        <v>148.39235395821069</v>
      </c>
      <c r="AG361" s="135">
        <v>60.295017289582098</v>
      </c>
      <c r="AH361" s="135">
        <v>9761.8633848054178</v>
      </c>
      <c r="AI361" s="135">
        <v>622.86672307239587</v>
      </c>
      <c r="AJ361" s="135">
        <v>-6.4739920541494991</v>
      </c>
      <c r="AK361" s="135">
        <v>-306.71723256327243</v>
      </c>
      <c r="AL361" s="135">
        <v>0</v>
      </c>
      <c r="AM361" s="135">
        <v>-62.045688640376689</v>
      </c>
      <c r="AN361" s="135">
        <v>-22.327708626789132</v>
      </c>
      <c r="AO361" s="135">
        <v>-26.190597410241324</v>
      </c>
      <c r="AP361" s="135">
        <v>134.684602362335</v>
      </c>
      <c r="AQ361" s="135">
        <v>48.731769901740329</v>
      </c>
      <c r="AR361" s="135">
        <v>49.743875073572681</v>
      </c>
      <c r="AS361" s="135">
        <v>59.696557231275619</v>
      </c>
      <c r="AT361" s="135">
        <v>6.0784100941730514</v>
      </c>
      <c r="AU361" s="135">
        <v>-48.191141848145968</v>
      </c>
      <c r="AV361" s="135">
        <v>449.85558432317561</v>
      </c>
      <c r="AW361" s="135"/>
      <c r="AX361" s="164"/>
      <c r="AY361" s="132"/>
      <c r="AZ361" s="135"/>
      <c r="BA361" s="135"/>
    </row>
    <row r="362" spans="1:53" ht="16.5" x14ac:dyDescent="0.3">
      <c r="A362" s="165">
        <v>2835</v>
      </c>
      <c r="B362" s="165">
        <v>1</v>
      </c>
      <c r="C362" s="166" t="s">
        <v>530</v>
      </c>
      <c r="D362" s="167">
        <v>6</v>
      </c>
      <c r="E362" s="163">
        <v>575.62</v>
      </c>
      <c r="F362" s="135">
        <v>6154.8670303325107</v>
      </c>
      <c r="G362" s="135">
        <v>0</v>
      </c>
      <c r="H362" s="135">
        <v>2324.2477328793302</v>
      </c>
      <c r="I362" s="135">
        <v>0</v>
      </c>
      <c r="J362" s="135">
        <v>54.196761752545086</v>
      </c>
      <c r="K362" s="135">
        <v>260.15096765227059</v>
      </c>
      <c r="L362" s="135">
        <v>0</v>
      </c>
      <c r="M362" s="135">
        <v>1221.0823330034536</v>
      </c>
      <c r="N362" s="135">
        <v>0</v>
      </c>
      <c r="O362" s="135">
        <v>-55.995396268371493</v>
      </c>
      <c r="P362" s="135">
        <v>1829.6720058371843</v>
      </c>
      <c r="Q362" s="135">
        <v>396.42574962648973</v>
      </c>
      <c r="R362" s="135">
        <v>105.68527848233208</v>
      </c>
      <c r="S362" s="135">
        <v>12290.332463297742</v>
      </c>
      <c r="T362" s="135"/>
      <c r="U362" s="135">
        <v>6803.6672804975497</v>
      </c>
      <c r="V362" s="135">
        <v>0</v>
      </c>
      <c r="W362" s="135">
        <v>2001.0890170598661</v>
      </c>
      <c r="X362" s="135">
        <v>0</v>
      </c>
      <c r="Y362" s="135">
        <v>0</v>
      </c>
      <c r="Z362" s="135">
        <v>342.30905805913625</v>
      </c>
      <c r="AA362" s="135">
        <v>0</v>
      </c>
      <c r="AB362" s="135">
        <v>1311.9371187896527</v>
      </c>
      <c r="AC362" s="135">
        <v>47.207567083174403</v>
      </c>
      <c r="AD362" s="135">
        <v>0</v>
      </c>
      <c r="AE362" s="135">
        <v>1949.476358125152</v>
      </c>
      <c r="AF362" s="135">
        <v>448.20111234568128</v>
      </c>
      <c r="AG362" s="135">
        <v>59.10996838191862</v>
      </c>
      <c r="AH362" s="135">
        <v>12962.997480342132</v>
      </c>
      <c r="AI362" s="135">
        <v>648.80025016503896</v>
      </c>
      <c r="AJ362" s="135">
        <v>0</v>
      </c>
      <c r="AK362" s="135">
        <v>-323.15871581946408</v>
      </c>
      <c r="AL362" s="135">
        <v>0</v>
      </c>
      <c r="AM362" s="135">
        <v>-54.196761752545086</v>
      </c>
      <c r="AN362" s="135">
        <v>82.158090406865654</v>
      </c>
      <c r="AO362" s="135">
        <v>0</v>
      </c>
      <c r="AP362" s="135">
        <v>90.854785786199045</v>
      </c>
      <c r="AQ362" s="135">
        <v>47.207567083174403</v>
      </c>
      <c r="AR362" s="135">
        <v>55.995396268371493</v>
      </c>
      <c r="AS362" s="135">
        <v>119.80435228796773</v>
      </c>
      <c r="AT362" s="135">
        <v>51.775362719191548</v>
      </c>
      <c r="AU362" s="135">
        <v>-46.575310100413461</v>
      </c>
      <c r="AV362" s="135">
        <v>672.66502565624614</v>
      </c>
      <c r="AW362" s="135"/>
      <c r="AX362" s="164"/>
      <c r="AY362" s="132"/>
      <c r="AZ362" s="135"/>
      <c r="BA362" s="135"/>
    </row>
    <row r="363" spans="1:53" ht="16.5" x14ac:dyDescent="0.3">
      <c r="A363" s="165">
        <v>2853</v>
      </c>
      <c r="B363" s="165">
        <v>1</v>
      </c>
      <c r="C363" s="166" t="s">
        <v>634</v>
      </c>
      <c r="D363" s="167">
        <v>6</v>
      </c>
      <c r="E363" s="163">
        <v>785.71</v>
      </c>
      <c r="F363" s="135">
        <v>5996.0544221150294</v>
      </c>
      <c r="G363" s="135">
        <v>10.953036107469677</v>
      </c>
      <c r="H363" s="135">
        <v>1390.3834748189533</v>
      </c>
      <c r="I363" s="135">
        <v>0</v>
      </c>
      <c r="J363" s="135">
        <v>95.725674867317451</v>
      </c>
      <c r="K363" s="135">
        <v>495.1414134986191</v>
      </c>
      <c r="L363" s="135">
        <v>0</v>
      </c>
      <c r="M363" s="135">
        <v>1079.5282987497169</v>
      </c>
      <c r="N363" s="135">
        <v>0</v>
      </c>
      <c r="O363" s="135">
        <v>-84.931437807842585</v>
      </c>
      <c r="P363" s="135">
        <v>355.54265314174438</v>
      </c>
      <c r="Q363" s="135">
        <v>544.5546830255438</v>
      </c>
      <c r="R363" s="135">
        <v>378.7108093316873</v>
      </c>
      <c r="S363" s="135">
        <v>10261.663027848239</v>
      </c>
      <c r="T363" s="135"/>
      <c r="U363" s="135">
        <v>6636.9707398403989</v>
      </c>
      <c r="V363" s="135">
        <v>0</v>
      </c>
      <c r="W363" s="135">
        <v>1087.0528821066296</v>
      </c>
      <c r="X363" s="135">
        <v>0</v>
      </c>
      <c r="Y363" s="135">
        <v>27.113387891206678</v>
      </c>
      <c r="Z363" s="135">
        <v>608.98095990518414</v>
      </c>
      <c r="AA363" s="135">
        <v>0</v>
      </c>
      <c r="AB363" s="135">
        <v>1187.6528411202155</v>
      </c>
      <c r="AC363" s="135">
        <v>61.278076288142408</v>
      </c>
      <c r="AD363" s="135">
        <v>0</v>
      </c>
      <c r="AE363" s="135">
        <v>484.19447380585711</v>
      </c>
      <c r="AF363" s="135">
        <v>606.11821681429262</v>
      </c>
      <c r="AG363" s="135">
        <v>330.20466838910033</v>
      </c>
      <c r="AH363" s="135">
        <v>11029.56624616103</v>
      </c>
      <c r="AI363" s="135">
        <v>640.91631772536948</v>
      </c>
      <c r="AJ363" s="135">
        <v>-10.953036107469677</v>
      </c>
      <c r="AK363" s="135">
        <v>-303.33059271232378</v>
      </c>
      <c r="AL363" s="135">
        <v>0</v>
      </c>
      <c r="AM363" s="135">
        <v>-68.612286976110767</v>
      </c>
      <c r="AN363" s="135">
        <v>113.83954640656503</v>
      </c>
      <c r="AO363" s="135">
        <v>0</v>
      </c>
      <c r="AP363" s="135">
        <v>108.1245423704986</v>
      </c>
      <c r="AQ363" s="135">
        <v>61.278076288142408</v>
      </c>
      <c r="AR363" s="135">
        <v>84.931437807842585</v>
      </c>
      <c r="AS363" s="135">
        <v>128.65182066411273</v>
      </c>
      <c r="AT363" s="135">
        <v>61.563533788748828</v>
      </c>
      <c r="AU363" s="135">
        <v>-48.506140942586967</v>
      </c>
      <c r="AV363" s="135">
        <v>767.90322575064238</v>
      </c>
      <c r="AW363" s="135"/>
      <c r="AX363" s="164"/>
      <c r="AY363" s="132"/>
      <c r="AZ363" s="135"/>
      <c r="BA363" s="135"/>
    </row>
    <row r="364" spans="1:53" ht="16.5" x14ac:dyDescent="0.3">
      <c r="A364" s="165">
        <v>2854</v>
      </c>
      <c r="B364" s="165">
        <v>1</v>
      </c>
      <c r="C364" s="166" t="s">
        <v>356</v>
      </c>
      <c r="D364" s="167">
        <v>6</v>
      </c>
      <c r="E364" s="163">
        <v>520.77</v>
      </c>
      <c r="F364" s="135">
        <v>6058.5038308658332</v>
      </c>
      <c r="G364" s="135">
        <v>16.294410200280353</v>
      </c>
      <c r="H364" s="135">
        <v>914.71269466367119</v>
      </c>
      <c r="I364" s="135">
        <v>0</v>
      </c>
      <c r="J364" s="135">
        <v>120.45104364690746</v>
      </c>
      <c r="K364" s="135">
        <v>620.05092459243053</v>
      </c>
      <c r="L364" s="135">
        <v>0</v>
      </c>
      <c r="M364" s="135">
        <v>1008.2934357720434</v>
      </c>
      <c r="N364" s="135">
        <v>0</v>
      </c>
      <c r="O364" s="135">
        <v>-62.08706338690785</v>
      </c>
      <c r="P364" s="135">
        <v>511.43193194692475</v>
      </c>
      <c r="Q364" s="135">
        <v>950.89889970620425</v>
      </c>
      <c r="R364" s="135">
        <v>113.84507556118825</v>
      </c>
      <c r="S364" s="135">
        <v>10252.395183568577</v>
      </c>
      <c r="T364" s="135"/>
      <c r="U364" s="135">
        <v>6705.1104326286086</v>
      </c>
      <c r="V364" s="135">
        <v>0</v>
      </c>
      <c r="W364" s="135">
        <v>612.35530080457784</v>
      </c>
      <c r="X364" s="135">
        <v>0</v>
      </c>
      <c r="Y364" s="135">
        <v>62.476141098757616</v>
      </c>
      <c r="Z364" s="135">
        <v>750.2201364057405</v>
      </c>
      <c r="AA364" s="135">
        <v>0</v>
      </c>
      <c r="AB364" s="135">
        <v>1031.8393693776156</v>
      </c>
      <c r="AC364" s="135">
        <v>85.384955452241741</v>
      </c>
      <c r="AD364" s="135">
        <v>0</v>
      </c>
      <c r="AE364" s="135">
        <v>511.50724431514874</v>
      </c>
      <c r="AF364" s="135">
        <v>969.80418795649769</v>
      </c>
      <c r="AG364" s="135">
        <v>64.380014209727904</v>
      </c>
      <c r="AH364" s="135">
        <v>10793.077782248916</v>
      </c>
      <c r="AI364" s="135">
        <v>646.60660176277543</v>
      </c>
      <c r="AJ364" s="135">
        <v>-16.294410200280353</v>
      </c>
      <c r="AK364" s="135">
        <v>-302.35739385909335</v>
      </c>
      <c r="AL364" s="135">
        <v>0</v>
      </c>
      <c r="AM364" s="135">
        <v>-57.974902548149849</v>
      </c>
      <c r="AN364" s="135">
        <v>130.16921181330997</v>
      </c>
      <c r="AO364" s="135">
        <v>0</v>
      </c>
      <c r="AP364" s="135">
        <v>23.545933605572259</v>
      </c>
      <c r="AQ364" s="135">
        <v>85.384955452241741</v>
      </c>
      <c r="AR364" s="135">
        <v>62.08706338690785</v>
      </c>
      <c r="AS364" s="135">
        <v>7.5312368223990234E-2</v>
      </c>
      <c r="AT364" s="135">
        <v>18.905288250293438</v>
      </c>
      <c r="AU364" s="135">
        <v>-49.465061351460349</v>
      </c>
      <c r="AV364" s="135">
        <v>540.68260587548309</v>
      </c>
      <c r="AW364" s="135"/>
      <c r="AX364" s="164"/>
      <c r="AY364" s="132"/>
      <c r="AZ364" s="135"/>
      <c r="BA364" s="135"/>
    </row>
    <row r="365" spans="1:53" ht="16.5" x14ac:dyDescent="0.3">
      <c r="A365" s="165">
        <v>2856</v>
      </c>
      <c r="B365" s="165">
        <v>1</v>
      </c>
      <c r="C365" s="166" t="s">
        <v>312</v>
      </c>
      <c r="D365" s="167">
        <v>6</v>
      </c>
      <c r="E365" s="163">
        <v>319.44</v>
      </c>
      <c r="F365" s="135">
        <v>6209.1419984973709</v>
      </c>
      <c r="G365" s="135">
        <v>0</v>
      </c>
      <c r="H365" s="135">
        <v>1200.1314800901578</v>
      </c>
      <c r="I365" s="135">
        <v>0</v>
      </c>
      <c r="J365" s="135">
        <v>112.03556223390935</v>
      </c>
      <c r="K365" s="135">
        <v>680.55284247433008</v>
      </c>
      <c r="L365" s="135">
        <v>0</v>
      </c>
      <c r="M365" s="135">
        <v>1184.1988347348488</v>
      </c>
      <c r="N365" s="135">
        <v>0</v>
      </c>
      <c r="O365" s="135">
        <v>-82.677529426496363</v>
      </c>
      <c r="P365" s="135">
        <v>694.72664037064862</v>
      </c>
      <c r="Q365" s="135">
        <v>2136.4301277235163</v>
      </c>
      <c r="R365" s="135">
        <v>109.62947658402203</v>
      </c>
      <c r="S365" s="135">
        <v>12244.169433282306</v>
      </c>
      <c r="T365" s="135"/>
      <c r="U365" s="135">
        <v>6897.1904583020287</v>
      </c>
      <c r="V365" s="135">
        <v>0</v>
      </c>
      <c r="W365" s="135">
        <v>877.65517781116955</v>
      </c>
      <c r="X365" s="135">
        <v>0</v>
      </c>
      <c r="Y365" s="135">
        <v>44.801590282995242</v>
      </c>
      <c r="Z365" s="135">
        <v>664.94032647195911</v>
      </c>
      <c r="AA365" s="135">
        <v>0</v>
      </c>
      <c r="AB365" s="135">
        <v>1187.2573994783122</v>
      </c>
      <c r="AC365" s="135">
        <v>115.99967456294331</v>
      </c>
      <c r="AD365" s="135">
        <v>0</v>
      </c>
      <c r="AE365" s="135">
        <v>691.46996799398948</v>
      </c>
      <c r="AF365" s="135">
        <v>2188.1237760109798</v>
      </c>
      <c r="AG365" s="135">
        <v>56.624029551715502</v>
      </c>
      <c r="AH365" s="135">
        <v>12724.062400466095</v>
      </c>
      <c r="AI365" s="135">
        <v>688.0484598046578</v>
      </c>
      <c r="AJ365" s="135">
        <v>0</v>
      </c>
      <c r="AK365" s="135">
        <v>-322.47630227898821</v>
      </c>
      <c r="AL365" s="135">
        <v>0</v>
      </c>
      <c r="AM365" s="135">
        <v>-67.23397195091411</v>
      </c>
      <c r="AN365" s="135">
        <v>-15.612516002370967</v>
      </c>
      <c r="AO365" s="135">
        <v>0</v>
      </c>
      <c r="AP365" s="135">
        <v>3.0585647434634211</v>
      </c>
      <c r="AQ365" s="135">
        <v>115.99967456294331</v>
      </c>
      <c r="AR365" s="135">
        <v>82.677529426496363</v>
      </c>
      <c r="AS365" s="135">
        <v>-3.2566723766591394</v>
      </c>
      <c r="AT365" s="135">
        <v>51.693648287463475</v>
      </c>
      <c r="AU365" s="135">
        <v>-53.005447032306527</v>
      </c>
      <c r="AV365" s="135">
        <v>479.89296723575308</v>
      </c>
      <c r="AW365" s="135"/>
      <c r="AX365" s="132"/>
      <c r="AY365" s="132"/>
      <c r="AZ365" s="155"/>
      <c r="BA365" s="155"/>
    </row>
    <row r="366" spans="1:53" ht="16.5" x14ac:dyDescent="0.3">
      <c r="A366" s="165">
        <v>2859</v>
      </c>
      <c r="B366" s="165">
        <v>1</v>
      </c>
      <c r="C366" s="166" t="s">
        <v>660</v>
      </c>
      <c r="D366" s="167">
        <v>5</v>
      </c>
      <c r="E366" s="163">
        <v>1692.19</v>
      </c>
      <c r="F366" s="135">
        <v>6028.8749135735343</v>
      </c>
      <c r="G366" s="135">
        <v>36.734131510055015</v>
      </c>
      <c r="H366" s="135">
        <v>943.52665480826613</v>
      </c>
      <c r="I366" s="135">
        <v>0</v>
      </c>
      <c r="J366" s="135">
        <v>115.97275128679402</v>
      </c>
      <c r="K366" s="135">
        <v>396.97282811031852</v>
      </c>
      <c r="L366" s="135">
        <v>0</v>
      </c>
      <c r="M366" s="135">
        <v>755.50596529571737</v>
      </c>
      <c r="N366" s="135">
        <v>0</v>
      </c>
      <c r="O366" s="135">
        <v>-45.317168875835449</v>
      </c>
      <c r="P366" s="135">
        <v>376.22090899958039</v>
      </c>
      <c r="Q366" s="135">
        <v>148.89843930055136</v>
      </c>
      <c r="R366" s="135">
        <v>101.99693296852007</v>
      </c>
      <c r="S366" s="135">
        <v>8859.386356977504</v>
      </c>
      <c r="T366" s="135"/>
      <c r="U366" s="135">
        <v>6668.4267133123349</v>
      </c>
      <c r="V366" s="135">
        <v>0</v>
      </c>
      <c r="W366" s="135">
        <v>662.71460060631489</v>
      </c>
      <c r="X366" s="135">
        <v>0</v>
      </c>
      <c r="Y366" s="135">
        <v>58.511284193855303</v>
      </c>
      <c r="Z366" s="135">
        <v>496.19371421122503</v>
      </c>
      <c r="AA366" s="135">
        <v>0</v>
      </c>
      <c r="AB366" s="135">
        <v>1011.7001906030043</v>
      </c>
      <c r="AC366" s="135">
        <v>75.921689334307629</v>
      </c>
      <c r="AD366" s="135">
        <v>0</v>
      </c>
      <c r="AE366" s="135">
        <v>490.5068175500387</v>
      </c>
      <c r="AF366" s="135">
        <v>162.93189299073978</v>
      </c>
      <c r="AG366" s="135">
        <v>52.863372316347451</v>
      </c>
      <c r="AH366" s="135">
        <v>9679.7702751181678</v>
      </c>
      <c r="AI366" s="135">
        <v>639.55179973880058</v>
      </c>
      <c r="AJ366" s="135">
        <v>-36.734131510055015</v>
      </c>
      <c r="AK366" s="135">
        <v>-280.81205420195124</v>
      </c>
      <c r="AL366" s="135">
        <v>0</v>
      </c>
      <c r="AM366" s="135">
        <v>-57.461467092938719</v>
      </c>
      <c r="AN366" s="135">
        <v>99.220886100906512</v>
      </c>
      <c r="AO366" s="135">
        <v>0</v>
      </c>
      <c r="AP366" s="135">
        <v>256.19422530728696</v>
      </c>
      <c r="AQ366" s="135">
        <v>75.921689334307629</v>
      </c>
      <c r="AR366" s="135">
        <v>45.317168875835449</v>
      </c>
      <c r="AS366" s="135">
        <v>114.28590855045832</v>
      </c>
      <c r="AT366" s="135">
        <v>14.033453690188423</v>
      </c>
      <c r="AU366" s="135">
        <v>-49.133560652172619</v>
      </c>
      <c r="AV366" s="135">
        <v>820.38391972092234</v>
      </c>
      <c r="AW366" s="135"/>
      <c r="AX366" s="164"/>
      <c r="AY366" s="132"/>
      <c r="AZ366" s="135"/>
      <c r="BA366" s="135"/>
    </row>
    <row r="367" spans="1:53" ht="16.5" x14ac:dyDescent="0.3">
      <c r="A367" s="165">
        <v>2860</v>
      </c>
      <c r="B367" s="165">
        <v>1</v>
      </c>
      <c r="C367" s="166" t="s">
        <v>607</v>
      </c>
      <c r="D367" s="167">
        <v>5</v>
      </c>
      <c r="E367" s="163">
        <v>1253.25</v>
      </c>
      <c r="F367" s="135">
        <v>5996.3558428086972</v>
      </c>
      <c r="G367" s="135">
        <v>0</v>
      </c>
      <c r="H367" s="135">
        <v>757.29312587273091</v>
      </c>
      <c r="I367" s="135">
        <v>0</v>
      </c>
      <c r="J367" s="135">
        <v>123.63466187911432</v>
      </c>
      <c r="K367" s="135">
        <v>659.10047476560931</v>
      </c>
      <c r="L367" s="135">
        <v>0</v>
      </c>
      <c r="M367" s="135">
        <v>615.7640821914224</v>
      </c>
      <c r="N367" s="135">
        <v>0</v>
      </c>
      <c r="O367" s="135">
        <v>-62.015288250548579</v>
      </c>
      <c r="P367" s="135">
        <v>562.798254139238</v>
      </c>
      <c r="Q367" s="135">
        <v>214.7622820666268</v>
      </c>
      <c r="R367" s="135">
        <v>351.81690803909839</v>
      </c>
      <c r="S367" s="135">
        <v>9219.510343511989</v>
      </c>
      <c r="T367" s="135"/>
      <c r="U367" s="135">
        <v>6623.2818671454215</v>
      </c>
      <c r="V367" s="135">
        <v>0</v>
      </c>
      <c r="W367" s="135">
        <v>441.89905445840816</v>
      </c>
      <c r="X367" s="135">
        <v>0</v>
      </c>
      <c r="Y367" s="135">
        <v>73.567237183323357</v>
      </c>
      <c r="Z367" s="135">
        <v>787.45888638574718</v>
      </c>
      <c r="AA367" s="135">
        <v>0</v>
      </c>
      <c r="AB367" s="135">
        <v>696.09994810251612</v>
      </c>
      <c r="AC367" s="135">
        <v>81.743305629122375</v>
      </c>
      <c r="AD367" s="135">
        <v>0</v>
      </c>
      <c r="AE367" s="135">
        <v>719.85451425014958</v>
      </c>
      <c r="AF367" s="135">
        <v>229.16555356074207</v>
      </c>
      <c r="AG367" s="135">
        <v>304.53417913425096</v>
      </c>
      <c r="AH367" s="135">
        <v>9957.6045458496828</v>
      </c>
      <c r="AI367" s="135">
        <v>626.92602433672437</v>
      </c>
      <c r="AJ367" s="135">
        <v>0</v>
      </c>
      <c r="AK367" s="135">
        <v>-315.39407141432275</v>
      </c>
      <c r="AL367" s="135">
        <v>0</v>
      </c>
      <c r="AM367" s="135">
        <v>-50.067424695790962</v>
      </c>
      <c r="AN367" s="135">
        <v>128.35841162013787</v>
      </c>
      <c r="AO367" s="135">
        <v>0</v>
      </c>
      <c r="AP367" s="135">
        <v>80.33586591109372</v>
      </c>
      <c r="AQ367" s="135">
        <v>81.743305629122375</v>
      </c>
      <c r="AR367" s="135">
        <v>62.015288250548579</v>
      </c>
      <c r="AS367" s="135">
        <v>157.05626011091158</v>
      </c>
      <c r="AT367" s="135">
        <v>14.403271494115273</v>
      </c>
      <c r="AU367" s="135">
        <v>-47.282728904847431</v>
      </c>
      <c r="AV367" s="135">
        <v>738.09420265781353</v>
      </c>
      <c r="AW367" s="135"/>
      <c r="AX367" s="164"/>
      <c r="AY367" s="132"/>
      <c r="AZ367" s="135"/>
      <c r="BA367" s="135"/>
    </row>
    <row r="368" spans="1:53" ht="16.5" x14ac:dyDescent="0.3">
      <c r="A368" s="165">
        <v>2884</v>
      </c>
      <c r="B368" s="165">
        <v>1</v>
      </c>
      <c r="C368" s="166" t="s">
        <v>586</v>
      </c>
      <c r="D368" s="167">
        <v>6</v>
      </c>
      <c r="E368" s="163">
        <v>395.55</v>
      </c>
      <c r="F368" s="135">
        <v>6229.0471495386173</v>
      </c>
      <c r="G368" s="135">
        <v>0</v>
      </c>
      <c r="H368" s="135">
        <v>1886.7350524586018</v>
      </c>
      <c r="I368" s="135">
        <v>0</v>
      </c>
      <c r="J368" s="135">
        <v>84.623941347490828</v>
      </c>
      <c r="K368" s="135">
        <v>468.42252559726961</v>
      </c>
      <c r="L368" s="135">
        <v>103.04383769434965</v>
      </c>
      <c r="M368" s="135">
        <v>470.12118019369984</v>
      </c>
      <c r="N368" s="135">
        <v>0</v>
      </c>
      <c r="O368" s="135">
        <v>-91.570673745417764</v>
      </c>
      <c r="P368" s="135">
        <v>484.62753128555181</v>
      </c>
      <c r="Q368" s="135">
        <v>1103.8082669700416</v>
      </c>
      <c r="R368" s="135">
        <v>396.69811654658076</v>
      </c>
      <c r="S368" s="135">
        <v>11135.556927886784</v>
      </c>
      <c r="T368" s="135"/>
      <c r="U368" s="135">
        <v>6934.5010238907853</v>
      </c>
      <c r="V368" s="135">
        <v>0</v>
      </c>
      <c r="W368" s="135">
        <v>1564.4701807609658</v>
      </c>
      <c r="X368" s="135">
        <v>0</v>
      </c>
      <c r="Y368" s="135">
        <v>0</v>
      </c>
      <c r="Z368" s="135">
        <v>585.22806219188465</v>
      </c>
      <c r="AA368" s="135">
        <v>77.423966628744779</v>
      </c>
      <c r="AB368" s="135">
        <v>631.7147423916158</v>
      </c>
      <c r="AC368" s="135">
        <v>81.188921510306471</v>
      </c>
      <c r="AD368" s="135">
        <v>0</v>
      </c>
      <c r="AE368" s="135">
        <v>503.49391136392364</v>
      </c>
      <c r="AF368" s="135">
        <v>1126.4557003679085</v>
      </c>
      <c r="AG368" s="135">
        <v>346.37047149538614</v>
      </c>
      <c r="AH368" s="135">
        <v>11850.84698060152</v>
      </c>
      <c r="AI368" s="135">
        <v>705.45387435216799</v>
      </c>
      <c r="AJ368" s="135">
        <v>0</v>
      </c>
      <c r="AK368" s="135">
        <v>-322.26487169763595</v>
      </c>
      <c r="AL368" s="135">
        <v>0</v>
      </c>
      <c r="AM368" s="135">
        <v>-84.623941347490828</v>
      </c>
      <c r="AN368" s="135">
        <v>116.80553659461503</v>
      </c>
      <c r="AO368" s="135">
        <v>-25.619871065604869</v>
      </c>
      <c r="AP368" s="135">
        <v>161.59356219791596</v>
      </c>
      <c r="AQ368" s="135">
        <v>81.188921510306471</v>
      </c>
      <c r="AR368" s="135">
        <v>91.570673745417764</v>
      </c>
      <c r="AS368" s="135">
        <v>18.866380078371833</v>
      </c>
      <c r="AT368" s="135">
        <v>22.647433397866962</v>
      </c>
      <c r="AU368" s="135">
        <v>-50.327645051194622</v>
      </c>
      <c r="AV368" s="135">
        <v>715.29005878763576</v>
      </c>
      <c r="AW368" s="135"/>
      <c r="AX368" s="164"/>
      <c r="AY368" s="132"/>
      <c r="AZ368" s="135"/>
      <c r="BA368" s="135"/>
    </row>
    <row r="369" spans="1:53" ht="16.5" x14ac:dyDescent="0.3">
      <c r="A369" s="165">
        <v>2886</v>
      </c>
      <c r="B369" s="165">
        <v>1</v>
      </c>
      <c r="C369" s="166" t="s">
        <v>616</v>
      </c>
      <c r="D369" s="167">
        <v>6</v>
      </c>
      <c r="E369" s="163">
        <v>369.08</v>
      </c>
      <c r="F369" s="135">
        <v>6173.1748130486612</v>
      </c>
      <c r="G369" s="135">
        <v>0</v>
      </c>
      <c r="H369" s="135">
        <v>1117.2500812831906</v>
      </c>
      <c r="I369" s="135">
        <v>0</v>
      </c>
      <c r="J369" s="135">
        <v>114.37625988945486</v>
      </c>
      <c r="K369" s="135">
        <v>324.282621653842</v>
      </c>
      <c r="L369" s="135">
        <v>96.130769751815336</v>
      </c>
      <c r="M369" s="135">
        <v>545.29552788073033</v>
      </c>
      <c r="N369" s="135">
        <v>0</v>
      </c>
      <c r="O369" s="135">
        <v>-56.502248834940936</v>
      </c>
      <c r="P369" s="135">
        <v>354.74255987861716</v>
      </c>
      <c r="Q369" s="135">
        <v>596.05879484122681</v>
      </c>
      <c r="R369" s="135">
        <v>88.606833206892816</v>
      </c>
      <c r="S369" s="135">
        <v>9353.4160125994913</v>
      </c>
      <c r="T369" s="135"/>
      <c r="U369" s="135">
        <v>6839.8185759185008</v>
      </c>
      <c r="V369" s="135">
        <v>0</v>
      </c>
      <c r="W369" s="135">
        <v>793.57163758534739</v>
      </c>
      <c r="X369" s="135">
        <v>0</v>
      </c>
      <c r="Y369" s="135">
        <v>51.208897799934974</v>
      </c>
      <c r="Z369" s="135">
        <v>400.24200004200907</v>
      </c>
      <c r="AA369" s="135">
        <v>66.828356995773277</v>
      </c>
      <c r="AB369" s="135">
        <v>714.99771569458233</v>
      </c>
      <c r="AC369" s="135">
        <v>80.318491475856973</v>
      </c>
      <c r="AD369" s="135">
        <v>0</v>
      </c>
      <c r="AE369" s="135">
        <v>506.12029219681369</v>
      </c>
      <c r="AF369" s="135">
        <v>604.10673711162326</v>
      </c>
      <c r="AG369" s="135">
        <v>39.452774466240385</v>
      </c>
      <c r="AH369" s="135">
        <v>10096.665479286683</v>
      </c>
      <c r="AI369" s="135">
        <v>666.64376286983952</v>
      </c>
      <c r="AJ369" s="135">
        <v>0</v>
      </c>
      <c r="AK369" s="135">
        <v>-323.67844369784325</v>
      </c>
      <c r="AL369" s="135">
        <v>0</v>
      </c>
      <c r="AM369" s="135">
        <v>-63.167362089519884</v>
      </c>
      <c r="AN369" s="135">
        <v>75.959378388167067</v>
      </c>
      <c r="AO369" s="135">
        <v>-29.30241275604206</v>
      </c>
      <c r="AP369" s="135">
        <v>169.70218781385199</v>
      </c>
      <c r="AQ369" s="135">
        <v>80.318491475856973</v>
      </c>
      <c r="AR369" s="135">
        <v>56.502248834940936</v>
      </c>
      <c r="AS369" s="135">
        <v>151.37773231819654</v>
      </c>
      <c r="AT369" s="135">
        <v>8.0479422703964474</v>
      </c>
      <c r="AU369" s="135">
        <v>-49.154058740652431</v>
      </c>
      <c r="AV369" s="135">
        <v>743.24947022468552</v>
      </c>
      <c r="AW369" s="135"/>
      <c r="AX369" s="164"/>
      <c r="AY369" s="132"/>
      <c r="AZ369" s="135"/>
      <c r="BA369" s="135"/>
    </row>
    <row r="370" spans="1:53" ht="16.5" x14ac:dyDescent="0.3">
      <c r="A370" s="165">
        <v>2888</v>
      </c>
      <c r="B370" s="165">
        <v>1</v>
      </c>
      <c r="C370" s="166" t="s">
        <v>444</v>
      </c>
      <c r="D370" s="167">
        <v>6</v>
      </c>
      <c r="E370" s="163">
        <v>358.84000000000003</v>
      </c>
      <c r="F370" s="135">
        <v>6022.7985731802473</v>
      </c>
      <c r="G370" s="135">
        <v>0</v>
      </c>
      <c r="H370" s="135">
        <v>1182.4625181139227</v>
      </c>
      <c r="I370" s="135">
        <v>0</v>
      </c>
      <c r="J370" s="135">
        <v>104.58039794894658</v>
      </c>
      <c r="K370" s="135">
        <v>678.3847397168654</v>
      </c>
      <c r="L370" s="135">
        <v>0</v>
      </c>
      <c r="M370" s="135">
        <v>708.92649916631365</v>
      </c>
      <c r="N370" s="135">
        <v>0</v>
      </c>
      <c r="O370" s="135">
        <v>-77.36043919295507</v>
      </c>
      <c r="P370" s="135">
        <v>1008.0175064095419</v>
      </c>
      <c r="Q370" s="135">
        <v>1634.7127967896554</v>
      </c>
      <c r="R370" s="135">
        <v>112.81309218593245</v>
      </c>
      <c r="S370" s="135">
        <v>11375.33568431847</v>
      </c>
      <c r="T370" s="135"/>
      <c r="U370" s="135">
        <v>6661.3142347564371</v>
      </c>
      <c r="V370" s="135">
        <v>0</v>
      </c>
      <c r="W370" s="135">
        <v>868.41887749414775</v>
      </c>
      <c r="X370" s="135">
        <v>0</v>
      </c>
      <c r="Y370" s="135">
        <v>42.651822539293278</v>
      </c>
      <c r="Z370" s="135">
        <v>811.38780514992754</v>
      </c>
      <c r="AA370" s="135">
        <v>0</v>
      </c>
      <c r="AB370" s="135">
        <v>718.57952037174391</v>
      </c>
      <c r="AC370" s="135">
        <v>68.842076398741511</v>
      </c>
      <c r="AD370" s="135">
        <v>0</v>
      </c>
      <c r="AE370" s="135">
        <v>1059.8674006911156</v>
      </c>
      <c r="AF370" s="135">
        <v>1693.3858672212803</v>
      </c>
      <c r="AG370" s="135">
        <v>63.258081596254591</v>
      </c>
      <c r="AH370" s="135">
        <v>11987.70568621894</v>
      </c>
      <c r="AI370" s="135">
        <v>638.51566157618981</v>
      </c>
      <c r="AJ370" s="135">
        <v>0</v>
      </c>
      <c r="AK370" s="135">
        <v>-314.04364061977492</v>
      </c>
      <c r="AL370" s="135">
        <v>0</v>
      </c>
      <c r="AM370" s="135">
        <v>-61.928575409653305</v>
      </c>
      <c r="AN370" s="135">
        <v>133.00306543306215</v>
      </c>
      <c r="AO370" s="135">
        <v>0</v>
      </c>
      <c r="AP370" s="135">
        <v>9.6530212054302638</v>
      </c>
      <c r="AQ370" s="135">
        <v>68.842076398741511</v>
      </c>
      <c r="AR370" s="135">
        <v>77.36043919295507</v>
      </c>
      <c r="AS370" s="135">
        <v>51.849894281573711</v>
      </c>
      <c r="AT370" s="135">
        <v>58.673070431624865</v>
      </c>
      <c r="AU370" s="135">
        <v>-49.555010589677856</v>
      </c>
      <c r="AV370" s="135">
        <v>612.37000660604212</v>
      </c>
      <c r="AW370" s="135"/>
      <c r="AX370" s="164"/>
      <c r="AY370" s="132"/>
      <c r="AZ370" s="135"/>
      <c r="BA370" s="135"/>
    </row>
    <row r="371" spans="1:53" ht="16.5" x14ac:dyDescent="0.3">
      <c r="A371" s="165">
        <v>2889</v>
      </c>
      <c r="B371" s="165">
        <v>1</v>
      </c>
      <c r="C371" s="166" t="s">
        <v>502</v>
      </c>
      <c r="D371" s="167">
        <v>6</v>
      </c>
      <c r="E371" s="163">
        <v>628.9</v>
      </c>
      <c r="F371" s="135">
        <v>6054.5736365081893</v>
      </c>
      <c r="G371" s="135">
        <v>0</v>
      </c>
      <c r="H371" s="135">
        <v>919.36714899030051</v>
      </c>
      <c r="I371" s="135">
        <v>0</v>
      </c>
      <c r="J371" s="135">
        <v>119.12117983781205</v>
      </c>
      <c r="K371" s="135">
        <v>493.70305294959451</v>
      </c>
      <c r="L371" s="135">
        <v>101.41401812688822</v>
      </c>
      <c r="M371" s="135">
        <v>471.7286012366784</v>
      </c>
      <c r="N371" s="135">
        <v>0</v>
      </c>
      <c r="O371" s="135">
        <v>-54.661758626172684</v>
      </c>
      <c r="P371" s="135">
        <v>2604.3170488153919</v>
      </c>
      <c r="Q371" s="135">
        <v>396.20138336778501</v>
      </c>
      <c r="R371" s="135">
        <v>100.6037048815392</v>
      </c>
      <c r="S371" s="135">
        <v>11206.368016088007</v>
      </c>
      <c r="T371" s="135"/>
      <c r="U371" s="135">
        <v>6704.782763555414</v>
      </c>
      <c r="V371" s="135">
        <v>0</v>
      </c>
      <c r="W371" s="135">
        <v>603.95209095245662</v>
      </c>
      <c r="X371" s="135">
        <v>0</v>
      </c>
      <c r="Y371" s="135">
        <v>61.998107807282558</v>
      </c>
      <c r="Z371" s="135">
        <v>609.46454011714854</v>
      </c>
      <c r="AA371" s="135">
        <v>74.845046907298467</v>
      </c>
      <c r="AB371" s="135">
        <v>568.32188794363185</v>
      </c>
      <c r="AC371" s="135">
        <v>58.920235398929258</v>
      </c>
      <c r="AD371" s="135">
        <v>0</v>
      </c>
      <c r="AE371" s="135">
        <v>2702.7847704309111</v>
      </c>
      <c r="AF371" s="135">
        <v>414.4672932798286</v>
      </c>
      <c r="AG371" s="135">
        <v>52.540451582127531</v>
      </c>
      <c r="AH371" s="135">
        <v>11852.07718797503</v>
      </c>
      <c r="AI371" s="135">
        <v>650.20912704722468</v>
      </c>
      <c r="AJ371" s="135">
        <v>0</v>
      </c>
      <c r="AK371" s="135">
        <v>-315.41505803784389</v>
      </c>
      <c r="AL371" s="135">
        <v>0</v>
      </c>
      <c r="AM371" s="135">
        <v>-57.123072030529492</v>
      </c>
      <c r="AN371" s="135">
        <v>115.76148716755404</v>
      </c>
      <c r="AO371" s="135">
        <v>-26.568971219589756</v>
      </c>
      <c r="AP371" s="135">
        <v>96.59328670695345</v>
      </c>
      <c r="AQ371" s="135">
        <v>58.920235398929258</v>
      </c>
      <c r="AR371" s="135">
        <v>54.661758626172684</v>
      </c>
      <c r="AS371" s="135">
        <v>98.467721615519167</v>
      </c>
      <c r="AT371" s="135">
        <v>18.265909912043583</v>
      </c>
      <c r="AU371" s="135">
        <v>-48.06325329941167</v>
      </c>
      <c r="AV371" s="135">
        <v>645.70917850022431</v>
      </c>
      <c r="AW371" s="135"/>
      <c r="AX371" s="132"/>
      <c r="AY371" s="132"/>
      <c r="AZ371" s="155"/>
      <c r="BA371" s="155"/>
    </row>
    <row r="372" spans="1:53" ht="16.5" x14ac:dyDescent="0.3">
      <c r="A372" s="165">
        <v>2890</v>
      </c>
      <c r="B372" s="165">
        <v>1</v>
      </c>
      <c r="C372" s="166" t="s">
        <v>581</v>
      </c>
      <c r="D372" s="167">
        <v>6</v>
      </c>
      <c r="E372" s="163">
        <v>511.5</v>
      </c>
      <c r="F372" s="135">
        <v>5986.2035581622677</v>
      </c>
      <c r="G372" s="135">
        <v>0</v>
      </c>
      <c r="H372" s="135">
        <v>2540.7624633431087</v>
      </c>
      <c r="I372" s="135">
        <v>0</v>
      </c>
      <c r="J372" s="135">
        <v>52.711593352883675</v>
      </c>
      <c r="K372" s="135">
        <v>733.57419354838714</v>
      </c>
      <c r="L372" s="135">
        <v>130.49718181818179</v>
      </c>
      <c r="M372" s="135">
        <v>882.40849076684265</v>
      </c>
      <c r="N372" s="135">
        <v>0</v>
      </c>
      <c r="O372" s="135">
        <v>-79.867174975562065</v>
      </c>
      <c r="P372" s="135">
        <v>692.56185728250239</v>
      </c>
      <c r="Q372" s="135">
        <v>730.77751710654934</v>
      </c>
      <c r="R372" s="135">
        <v>98.935347018572827</v>
      </c>
      <c r="S372" s="135">
        <v>11768.565027423736</v>
      </c>
      <c r="T372" s="135"/>
      <c r="U372" s="135">
        <v>6614.0762463343108</v>
      </c>
      <c r="V372" s="135">
        <v>0</v>
      </c>
      <c r="W372" s="135">
        <v>2225.8046334310852</v>
      </c>
      <c r="X372" s="135">
        <v>0</v>
      </c>
      <c r="Y372" s="135">
        <v>0</v>
      </c>
      <c r="Z372" s="135">
        <v>881.97535976771667</v>
      </c>
      <c r="AA372" s="135">
        <v>138.56445747800586</v>
      </c>
      <c r="AB372" s="135">
        <v>977.22795765511523</v>
      </c>
      <c r="AC372" s="135">
        <v>118.63105297815471</v>
      </c>
      <c r="AD372" s="135">
        <v>0</v>
      </c>
      <c r="AE372" s="135">
        <v>692.66543225806447</v>
      </c>
      <c r="AF372" s="135">
        <v>780.23487986829241</v>
      </c>
      <c r="AG372" s="135">
        <v>51.478338220918864</v>
      </c>
      <c r="AH372" s="135">
        <v>12480.658357991666</v>
      </c>
      <c r="AI372" s="135">
        <v>627.87268817204313</v>
      </c>
      <c r="AJ372" s="135">
        <v>0</v>
      </c>
      <c r="AK372" s="135">
        <v>-314.9578299120235</v>
      </c>
      <c r="AL372" s="135">
        <v>0</v>
      </c>
      <c r="AM372" s="135">
        <v>-52.711593352883675</v>
      </c>
      <c r="AN372" s="135">
        <v>148.40116621932953</v>
      </c>
      <c r="AO372" s="135">
        <v>8.0672756598240767</v>
      </c>
      <c r="AP372" s="135">
        <v>94.819466888272586</v>
      </c>
      <c r="AQ372" s="135">
        <v>118.63105297815471</v>
      </c>
      <c r="AR372" s="135">
        <v>79.867174975562065</v>
      </c>
      <c r="AS372" s="135">
        <v>0.10357497556208273</v>
      </c>
      <c r="AT372" s="135">
        <v>49.45736276174307</v>
      </c>
      <c r="AU372" s="135">
        <v>-47.457008797653963</v>
      </c>
      <c r="AV372" s="135">
        <v>712.09333864033533</v>
      </c>
      <c r="AW372" s="135"/>
      <c r="AX372" s="164"/>
      <c r="AY372" s="132"/>
      <c r="AZ372" s="135"/>
      <c r="BA372" s="135"/>
    </row>
    <row r="373" spans="1:53" ht="16.5" x14ac:dyDescent="0.3">
      <c r="A373" s="165">
        <v>2895</v>
      </c>
      <c r="B373" s="165">
        <v>1</v>
      </c>
      <c r="C373" s="166" t="s">
        <v>509</v>
      </c>
      <c r="D373" s="167">
        <v>5</v>
      </c>
      <c r="E373" s="163">
        <v>1189.24</v>
      </c>
      <c r="F373" s="135">
        <v>6014.7777067707111</v>
      </c>
      <c r="G373" s="135">
        <v>0</v>
      </c>
      <c r="H373" s="135">
        <v>1109.1856479768592</v>
      </c>
      <c r="I373" s="135">
        <v>0</v>
      </c>
      <c r="J373" s="135">
        <v>110.3361726817127</v>
      </c>
      <c r="K373" s="135">
        <v>424.19851333624837</v>
      </c>
      <c r="L373" s="135">
        <v>99.883404527261106</v>
      </c>
      <c r="M373" s="135">
        <v>752.10230177208973</v>
      </c>
      <c r="N373" s="135">
        <v>0</v>
      </c>
      <c r="O373" s="135">
        <v>-66.687682889912892</v>
      </c>
      <c r="P373" s="135">
        <v>1585.4063755003194</v>
      </c>
      <c r="Q373" s="135">
        <v>239.31308230466516</v>
      </c>
      <c r="R373" s="135">
        <v>106.37799771282501</v>
      </c>
      <c r="S373" s="135">
        <v>10374.89351969278</v>
      </c>
      <c r="T373" s="135"/>
      <c r="U373" s="135">
        <v>6652.7436345901579</v>
      </c>
      <c r="V373" s="135">
        <v>0</v>
      </c>
      <c r="W373" s="135">
        <v>792.39452927920354</v>
      </c>
      <c r="X373" s="135">
        <v>0</v>
      </c>
      <c r="Y373" s="135">
        <v>48.998082809189064</v>
      </c>
      <c r="Z373" s="135">
        <v>508.43002914973158</v>
      </c>
      <c r="AA373" s="135">
        <v>74.470174228919319</v>
      </c>
      <c r="AB373" s="135">
        <v>901.70666281432</v>
      </c>
      <c r="AC373" s="135">
        <v>65.668648056978228</v>
      </c>
      <c r="AD373" s="135">
        <v>0</v>
      </c>
      <c r="AE373" s="135">
        <v>1670.8317316067405</v>
      </c>
      <c r="AF373" s="135">
        <v>253.63509468231811</v>
      </c>
      <c r="AG373" s="135">
        <v>58.637322996199259</v>
      </c>
      <c r="AH373" s="135">
        <v>11027.515910213757</v>
      </c>
      <c r="AI373" s="135">
        <v>637.96592781944673</v>
      </c>
      <c r="AJ373" s="135">
        <v>0</v>
      </c>
      <c r="AK373" s="135">
        <v>-316.79111869765563</v>
      </c>
      <c r="AL373" s="135">
        <v>0</v>
      </c>
      <c r="AM373" s="135">
        <v>-61.338089872523632</v>
      </c>
      <c r="AN373" s="135">
        <v>84.231515813483213</v>
      </c>
      <c r="AO373" s="135">
        <v>-25.413230298341787</v>
      </c>
      <c r="AP373" s="135">
        <v>149.60436104223027</v>
      </c>
      <c r="AQ373" s="135">
        <v>65.668648056978228</v>
      </c>
      <c r="AR373" s="135">
        <v>66.687682889912892</v>
      </c>
      <c r="AS373" s="135">
        <v>85.425356106421077</v>
      </c>
      <c r="AT373" s="135">
        <v>14.322012377652953</v>
      </c>
      <c r="AU373" s="135">
        <v>-47.740674716625747</v>
      </c>
      <c r="AV373" s="135">
        <v>652.62240034578201</v>
      </c>
      <c r="AW373" s="135"/>
      <c r="AX373" s="132"/>
      <c r="AY373" s="132"/>
      <c r="AZ373" s="155"/>
      <c r="BA373" s="155"/>
    </row>
    <row r="374" spans="1:53" ht="16.5" x14ac:dyDescent="0.3">
      <c r="A374" s="165">
        <v>2897</v>
      </c>
      <c r="B374" s="165">
        <v>1</v>
      </c>
      <c r="C374" s="166" t="s">
        <v>554</v>
      </c>
      <c r="D374" s="167">
        <v>5</v>
      </c>
      <c r="E374" s="163">
        <v>1138.8200000000002</v>
      </c>
      <c r="F374" s="135">
        <v>6027.586449131556</v>
      </c>
      <c r="G374" s="135">
        <v>32.884037863753704</v>
      </c>
      <c r="H374" s="135">
        <v>1149.9582550359141</v>
      </c>
      <c r="I374" s="135">
        <v>0</v>
      </c>
      <c r="J374" s="135">
        <v>106.00198451028255</v>
      </c>
      <c r="K374" s="135">
        <v>460.17302997839863</v>
      </c>
      <c r="L374" s="135">
        <v>0</v>
      </c>
      <c r="M374" s="135">
        <v>705.34104845217689</v>
      </c>
      <c r="N374" s="135">
        <v>0</v>
      </c>
      <c r="O374" s="135">
        <v>-60.642340317170401</v>
      </c>
      <c r="P374" s="135">
        <v>303.16149573367915</v>
      </c>
      <c r="Q374" s="135">
        <v>171.41237421190351</v>
      </c>
      <c r="R374" s="135">
        <v>122.5693788307195</v>
      </c>
      <c r="S374" s="135">
        <v>9018.4457134312124</v>
      </c>
      <c r="T374" s="135"/>
      <c r="U374" s="135">
        <v>6666.8297009184944</v>
      </c>
      <c r="V374" s="135">
        <v>0</v>
      </c>
      <c r="W374" s="135">
        <v>865.37566077167583</v>
      </c>
      <c r="X374" s="135">
        <v>0</v>
      </c>
      <c r="Y374" s="135">
        <v>44.010150857905543</v>
      </c>
      <c r="Z374" s="135">
        <v>543.5995849124273</v>
      </c>
      <c r="AA374" s="135">
        <v>0</v>
      </c>
      <c r="AB374" s="135">
        <v>837.788927445338</v>
      </c>
      <c r="AC374" s="135">
        <v>83.219472678997462</v>
      </c>
      <c r="AD374" s="135">
        <v>0</v>
      </c>
      <c r="AE374" s="135">
        <v>404.45927862060228</v>
      </c>
      <c r="AF374" s="135">
        <v>193.95183611106231</v>
      </c>
      <c r="AG374" s="135">
        <v>73.282309759224447</v>
      </c>
      <c r="AH374" s="135">
        <v>9712.5169220757271</v>
      </c>
      <c r="AI374" s="135">
        <v>639.24325178693834</v>
      </c>
      <c r="AJ374" s="135">
        <v>-32.884037863753704</v>
      </c>
      <c r="AK374" s="135">
        <v>-284.58259426423831</v>
      </c>
      <c r="AL374" s="135">
        <v>0</v>
      </c>
      <c r="AM374" s="135">
        <v>-61.991833652377011</v>
      </c>
      <c r="AN374" s="135">
        <v>83.426554934028673</v>
      </c>
      <c r="AO374" s="135">
        <v>0</v>
      </c>
      <c r="AP374" s="135">
        <v>132.44787899316111</v>
      </c>
      <c r="AQ374" s="135">
        <v>83.219472678997462</v>
      </c>
      <c r="AR374" s="135">
        <v>60.642340317170401</v>
      </c>
      <c r="AS374" s="135">
        <v>101.29778288692313</v>
      </c>
      <c r="AT374" s="135">
        <v>22.539461899158795</v>
      </c>
      <c r="AU374" s="135">
        <v>-49.287069071495054</v>
      </c>
      <c r="AV374" s="135">
        <v>694.07120920324837</v>
      </c>
      <c r="AW374" s="135"/>
      <c r="AX374" s="132"/>
      <c r="AY374" s="132"/>
      <c r="AZ374" s="155"/>
      <c r="BA374" s="155"/>
    </row>
    <row r="375" spans="1:53" ht="16.5" x14ac:dyDescent="0.3">
      <c r="A375" s="165">
        <v>2898</v>
      </c>
      <c r="B375" s="165">
        <v>1</v>
      </c>
      <c r="C375" s="166" t="s">
        <v>669</v>
      </c>
      <c r="D375" s="167">
        <v>6</v>
      </c>
      <c r="E375" s="163">
        <v>430.77</v>
      </c>
      <c r="F375" s="135">
        <v>6235.8869930589417</v>
      </c>
      <c r="G375" s="135">
        <v>126.06662488102701</v>
      </c>
      <c r="H375" s="135">
        <v>871.6283863778815</v>
      </c>
      <c r="I375" s="135">
        <v>0</v>
      </c>
      <c r="J375" s="135">
        <v>125.44589920375144</v>
      </c>
      <c r="K375" s="135">
        <v>1125.2040299928035</v>
      </c>
      <c r="L375" s="135">
        <v>143.4970401838568</v>
      </c>
      <c r="M375" s="135">
        <v>473.57902876766025</v>
      </c>
      <c r="N375" s="135">
        <v>0</v>
      </c>
      <c r="O375" s="135">
        <v>-48.866402024282102</v>
      </c>
      <c r="P375" s="135">
        <v>406.20110035517791</v>
      </c>
      <c r="Q375" s="135">
        <v>1409.5545186526454</v>
      </c>
      <c r="R375" s="135">
        <v>79.016644613134616</v>
      </c>
      <c r="S375" s="135">
        <v>10947.2138640626</v>
      </c>
      <c r="T375" s="135"/>
      <c r="U375" s="135">
        <v>6933.0741695104125</v>
      </c>
      <c r="V375" s="135">
        <v>0</v>
      </c>
      <c r="W375" s="135">
        <v>673.01399818928894</v>
      </c>
      <c r="X375" s="135">
        <v>0</v>
      </c>
      <c r="Y375" s="135">
        <v>60.157021148176526</v>
      </c>
      <c r="Z375" s="135">
        <v>1343.8736561922117</v>
      </c>
      <c r="AA375" s="135">
        <v>190.25598347145811</v>
      </c>
      <c r="AB375" s="135">
        <v>617.64011145134964</v>
      </c>
      <c r="AC375" s="135">
        <v>108.61604826677589</v>
      </c>
      <c r="AD375" s="135">
        <v>0</v>
      </c>
      <c r="AE375" s="135">
        <v>508.56163349815455</v>
      </c>
      <c r="AF375" s="135">
        <v>1448.804088165256</v>
      </c>
      <c r="AG375" s="135">
        <v>64.692248763841491</v>
      </c>
      <c r="AH375" s="135">
        <v>11948.688958656927</v>
      </c>
      <c r="AI375" s="135">
        <v>697.1871764514708</v>
      </c>
      <c r="AJ375" s="135">
        <v>-126.06662488102701</v>
      </c>
      <c r="AK375" s="135">
        <v>-198.61438818859256</v>
      </c>
      <c r="AL375" s="135">
        <v>0</v>
      </c>
      <c r="AM375" s="135">
        <v>-65.288878055574912</v>
      </c>
      <c r="AN375" s="135">
        <v>218.66962619940819</v>
      </c>
      <c r="AO375" s="135">
        <v>46.758943287601312</v>
      </c>
      <c r="AP375" s="135">
        <v>144.06108268368939</v>
      </c>
      <c r="AQ375" s="135">
        <v>108.61604826677589</v>
      </c>
      <c r="AR375" s="135">
        <v>48.866402024282102</v>
      </c>
      <c r="AS375" s="135">
        <v>102.36053314297664</v>
      </c>
      <c r="AT375" s="135">
        <v>39.249569512610606</v>
      </c>
      <c r="AU375" s="135">
        <v>-14.324395849293126</v>
      </c>
      <c r="AV375" s="135">
        <v>1001.475097921732</v>
      </c>
      <c r="AW375" s="135"/>
      <c r="AX375" s="132"/>
      <c r="AY375" s="132"/>
      <c r="AZ375" s="155"/>
      <c r="BA375" s="155"/>
    </row>
    <row r="376" spans="1:53" ht="16.5" x14ac:dyDescent="0.3">
      <c r="A376" s="165">
        <v>2899</v>
      </c>
      <c r="B376" s="165">
        <v>1</v>
      </c>
      <c r="C376" s="166" t="s">
        <v>446</v>
      </c>
      <c r="D376" s="167">
        <v>5</v>
      </c>
      <c r="E376" s="163">
        <v>1472.64</v>
      </c>
      <c r="F376" s="135">
        <v>6057.1000108648404</v>
      </c>
      <c r="G376" s="135">
        <v>9.4729125923511521</v>
      </c>
      <c r="H376" s="135">
        <v>341.44270154280741</v>
      </c>
      <c r="I376" s="135">
        <v>0</v>
      </c>
      <c r="J376" s="135">
        <v>141.87342459800087</v>
      </c>
      <c r="K376" s="135">
        <v>290.02069073229029</v>
      </c>
      <c r="L376" s="135">
        <v>99.950574478487596</v>
      </c>
      <c r="M376" s="135">
        <v>472.04866051594422</v>
      </c>
      <c r="N376" s="135">
        <v>0</v>
      </c>
      <c r="O376" s="135">
        <v>-53.566737288135592</v>
      </c>
      <c r="P376" s="135">
        <v>1046.191629997827</v>
      </c>
      <c r="Q376" s="135">
        <v>161.12071517818339</v>
      </c>
      <c r="R376" s="135">
        <v>104.50056361364624</v>
      </c>
      <c r="S376" s="135">
        <v>8670.1551468262442</v>
      </c>
      <c r="T376" s="135"/>
      <c r="U376" s="135">
        <v>6705.4820730117335</v>
      </c>
      <c r="V376" s="135">
        <v>0</v>
      </c>
      <c r="W376" s="135">
        <v>33.803719850065185</v>
      </c>
      <c r="X376" s="135">
        <v>0</v>
      </c>
      <c r="Y376" s="135">
        <v>103.28813559322033</v>
      </c>
      <c r="Z376" s="135">
        <v>370.62904434990497</v>
      </c>
      <c r="AA376" s="135">
        <v>76.263893415906125</v>
      </c>
      <c r="AB376" s="135">
        <v>584.59270059692392</v>
      </c>
      <c r="AC376" s="135">
        <v>56.178974014864821</v>
      </c>
      <c r="AD376" s="135">
        <v>0</v>
      </c>
      <c r="AE376" s="135">
        <v>1133.2479533993369</v>
      </c>
      <c r="AF376" s="135">
        <v>165.55154009126466</v>
      </c>
      <c r="AG376" s="135">
        <v>55.584209311169055</v>
      </c>
      <c r="AH376" s="135">
        <v>9284.6222436343905</v>
      </c>
      <c r="AI376" s="135">
        <v>648.38206214689308</v>
      </c>
      <c r="AJ376" s="135">
        <v>-9.4729125923511521</v>
      </c>
      <c r="AK376" s="135">
        <v>-307.63898169274222</v>
      </c>
      <c r="AL376" s="135">
        <v>0</v>
      </c>
      <c r="AM376" s="135">
        <v>-38.585289004780535</v>
      </c>
      <c r="AN376" s="135">
        <v>80.608353617614682</v>
      </c>
      <c r="AO376" s="135">
        <v>-23.686681062581471</v>
      </c>
      <c r="AP376" s="135">
        <v>112.5440400809797</v>
      </c>
      <c r="AQ376" s="135">
        <v>56.178974014864821</v>
      </c>
      <c r="AR376" s="135">
        <v>53.566737288135592</v>
      </c>
      <c r="AS376" s="135">
        <v>87.056323401509871</v>
      </c>
      <c r="AT376" s="135">
        <v>4.4308249130812669</v>
      </c>
      <c r="AU376" s="135">
        <v>-48.916354302477181</v>
      </c>
      <c r="AV376" s="135">
        <v>614.46710541330981</v>
      </c>
      <c r="AW376" s="135"/>
      <c r="AX376" s="132"/>
      <c r="AY376" s="132"/>
      <c r="AZ376" s="155"/>
      <c r="BA376" s="155"/>
    </row>
    <row r="377" spans="1:53" ht="16.5" x14ac:dyDescent="0.3">
      <c r="A377" s="165">
        <v>2902</v>
      </c>
      <c r="B377" s="165">
        <v>1</v>
      </c>
      <c r="C377" s="166" t="s">
        <v>334</v>
      </c>
      <c r="D377" s="167">
        <v>6</v>
      </c>
      <c r="E377" s="163">
        <v>519.11</v>
      </c>
      <c r="F377" s="135">
        <v>6011.5599391265814</v>
      </c>
      <c r="G377" s="135">
        <v>9.436208125445475</v>
      </c>
      <c r="H377" s="135">
        <v>822.82716572595405</v>
      </c>
      <c r="I377" s="135">
        <v>0</v>
      </c>
      <c r="J377" s="135">
        <v>121.57758471229604</v>
      </c>
      <c r="K377" s="135">
        <v>394.06472616593783</v>
      </c>
      <c r="L377" s="135">
        <v>109.55684536996013</v>
      </c>
      <c r="M377" s="135">
        <v>459.16624430852795</v>
      </c>
      <c r="N377" s="135">
        <v>0</v>
      </c>
      <c r="O377" s="135">
        <v>-62.55456454316041</v>
      </c>
      <c r="P377" s="135">
        <v>626.60480437672163</v>
      </c>
      <c r="Q377" s="135">
        <v>1318.5189651518945</v>
      </c>
      <c r="R377" s="135">
        <v>116.75681454797633</v>
      </c>
      <c r="S377" s="135">
        <v>9927.5147330681339</v>
      </c>
      <c r="T377" s="135"/>
      <c r="U377" s="135">
        <v>6636.4385197742286</v>
      </c>
      <c r="V377" s="135">
        <v>0</v>
      </c>
      <c r="W377" s="135">
        <v>516.83248251815598</v>
      </c>
      <c r="X377" s="135">
        <v>0</v>
      </c>
      <c r="Y377" s="135">
        <v>68.226811273140569</v>
      </c>
      <c r="Z377" s="135">
        <v>404.1904000082165</v>
      </c>
      <c r="AA377" s="135">
        <v>78.328427500915026</v>
      </c>
      <c r="AB377" s="135">
        <v>558.78715018321316</v>
      </c>
      <c r="AC377" s="135">
        <v>90.416775481798396</v>
      </c>
      <c r="AD377" s="135">
        <v>0</v>
      </c>
      <c r="AE377" s="135">
        <v>653.10498417291126</v>
      </c>
      <c r="AF377" s="135">
        <v>1364.1127597669695</v>
      </c>
      <c r="AG377" s="135">
        <v>66.337558513609821</v>
      </c>
      <c r="AH377" s="135">
        <v>10436.775869193158</v>
      </c>
      <c r="AI377" s="135">
        <v>624.87858064764714</v>
      </c>
      <c r="AJ377" s="135">
        <v>-9.436208125445475</v>
      </c>
      <c r="AK377" s="135">
        <v>-305.99468320779806</v>
      </c>
      <c r="AL377" s="135">
        <v>0</v>
      </c>
      <c r="AM377" s="135">
        <v>-53.350773439155475</v>
      </c>
      <c r="AN377" s="135">
        <v>10.125673842278673</v>
      </c>
      <c r="AO377" s="135">
        <v>-31.228417869045103</v>
      </c>
      <c r="AP377" s="135">
        <v>99.620905874685207</v>
      </c>
      <c r="AQ377" s="135">
        <v>90.416775481798396</v>
      </c>
      <c r="AR377" s="135">
        <v>62.55456454316041</v>
      </c>
      <c r="AS377" s="135">
        <v>26.500179796189627</v>
      </c>
      <c r="AT377" s="135">
        <v>45.593794615075012</v>
      </c>
      <c r="AU377" s="135">
        <v>-50.419256034366512</v>
      </c>
      <c r="AV377" s="135">
        <v>509.26113730566209</v>
      </c>
      <c r="AW377" s="135"/>
      <c r="AX377" s="132"/>
      <c r="AY377" s="132"/>
      <c r="AZ377" s="155"/>
      <c r="BA377" s="155"/>
    </row>
    <row r="378" spans="1:53" ht="16.5" x14ac:dyDescent="0.3">
      <c r="A378" s="132">
        <v>2903</v>
      </c>
      <c r="B378" s="165">
        <v>1</v>
      </c>
      <c r="C378" s="132" t="s">
        <v>503</v>
      </c>
      <c r="D378" s="133">
        <v>6</v>
      </c>
      <c r="E378" s="163">
        <v>488.95</v>
      </c>
      <c r="F378" s="135">
        <v>6035.7793639431429</v>
      </c>
      <c r="G378" s="135">
        <v>0</v>
      </c>
      <c r="H378" s="135">
        <v>1257.9652316187751</v>
      </c>
      <c r="I378" s="135">
        <v>0</v>
      </c>
      <c r="J378" s="135">
        <v>104.70183045301155</v>
      </c>
      <c r="K378" s="135">
        <v>433.53848041722057</v>
      </c>
      <c r="L378" s="135">
        <v>0</v>
      </c>
      <c r="M378" s="135">
        <v>1033.0388665617018</v>
      </c>
      <c r="N378" s="135">
        <v>0</v>
      </c>
      <c r="O378" s="135">
        <v>-82.4617650066469</v>
      </c>
      <c r="P378" s="135">
        <v>1979.0598711524697</v>
      </c>
      <c r="Q378" s="135">
        <v>1203.8922180182024</v>
      </c>
      <c r="R378" s="135">
        <v>94.570140096124348</v>
      </c>
      <c r="S378" s="135">
        <v>12060.084237253999</v>
      </c>
      <c r="T378" s="135"/>
      <c r="U378" s="135">
        <v>6664.3808160343597</v>
      </c>
      <c r="V378" s="135">
        <v>0</v>
      </c>
      <c r="W378" s="135">
        <v>940.6085898353615</v>
      </c>
      <c r="X378" s="135">
        <v>0</v>
      </c>
      <c r="Y378" s="135">
        <v>38.597504857347381</v>
      </c>
      <c r="Z378" s="135">
        <v>568.57076813745675</v>
      </c>
      <c r="AA378" s="135">
        <v>0</v>
      </c>
      <c r="AB378" s="135">
        <v>1131.2761296689894</v>
      </c>
      <c r="AC378" s="135">
        <v>71.99731388778396</v>
      </c>
      <c r="AD378" s="135">
        <v>0</v>
      </c>
      <c r="AE378" s="135">
        <v>1999.2274173801004</v>
      </c>
      <c r="AF378" s="135">
        <v>1248.7333663403319</v>
      </c>
      <c r="AG378" s="135">
        <v>45.533715103793845</v>
      </c>
      <c r="AH378" s="135">
        <v>12708.925621245524</v>
      </c>
      <c r="AI378" s="135">
        <v>628.60145209121674</v>
      </c>
      <c r="AJ378" s="135">
        <v>0</v>
      </c>
      <c r="AK378" s="135">
        <v>-317.35664178341358</v>
      </c>
      <c r="AL378" s="135">
        <v>0</v>
      </c>
      <c r="AM378" s="135">
        <v>-66.104325595664164</v>
      </c>
      <c r="AN378" s="135">
        <v>135.03228772023618</v>
      </c>
      <c r="AO378" s="135">
        <v>0</v>
      </c>
      <c r="AP378" s="135">
        <v>98.237263107287617</v>
      </c>
      <c r="AQ378" s="135">
        <v>71.99731388778396</v>
      </c>
      <c r="AR378" s="135">
        <v>82.4617650066469</v>
      </c>
      <c r="AS378" s="135">
        <v>20.167546227630737</v>
      </c>
      <c r="AT378" s="135">
        <v>44.841148322129584</v>
      </c>
      <c r="AU378" s="135">
        <v>-49.036424992330502</v>
      </c>
      <c r="AV378" s="135">
        <v>648.84138816485768</v>
      </c>
      <c r="AW378" s="135"/>
      <c r="AX378" s="164"/>
      <c r="AY378" s="132"/>
      <c r="AZ378" s="135"/>
      <c r="BA378" s="135"/>
    </row>
    <row r="379" spans="1:53" ht="16.5" x14ac:dyDescent="0.3">
      <c r="A379" s="132">
        <v>2904</v>
      </c>
      <c r="B379" s="165">
        <v>1</v>
      </c>
      <c r="C379" s="132" t="s">
        <v>656</v>
      </c>
      <c r="D379" s="133">
        <v>6</v>
      </c>
      <c r="E379" s="163">
        <v>767.47</v>
      </c>
      <c r="F379" s="135">
        <v>6033.2581599280747</v>
      </c>
      <c r="G379" s="135">
        <v>70.680586863330163</v>
      </c>
      <c r="H379" s="135">
        <v>1068.683818259997</v>
      </c>
      <c r="I379" s="135">
        <v>0</v>
      </c>
      <c r="J379" s="135">
        <v>111.91092811445398</v>
      </c>
      <c r="K379" s="135">
        <v>824.43614734126413</v>
      </c>
      <c r="L379" s="135">
        <v>100.11705473829595</v>
      </c>
      <c r="M379" s="135">
        <v>441.784478827523</v>
      </c>
      <c r="N379" s="135">
        <v>0</v>
      </c>
      <c r="O379" s="135">
        <v>-56.566562862392011</v>
      </c>
      <c r="P379" s="135">
        <v>383.60944401735571</v>
      </c>
      <c r="Q379" s="135">
        <v>435.884972702516</v>
      </c>
      <c r="R379" s="135">
        <v>101.03429450011075</v>
      </c>
      <c r="S379" s="135">
        <v>9514.8333224305279</v>
      </c>
      <c r="T379" s="135"/>
      <c r="U379" s="135">
        <v>6684.8280714555613</v>
      </c>
      <c r="V379" s="135">
        <v>0</v>
      </c>
      <c r="W379" s="135">
        <v>821.03482872294671</v>
      </c>
      <c r="X379" s="135">
        <v>0</v>
      </c>
      <c r="Y379" s="135">
        <v>47.463040900621522</v>
      </c>
      <c r="Z379" s="135">
        <v>986.77755106267659</v>
      </c>
      <c r="AA379" s="135">
        <v>101.76634917325758</v>
      </c>
      <c r="AB379" s="135">
        <v>569.19572521067153</v>
      </c>
      <c r="AC379" s="135">
        <v>98.817181238059106</v>
      </c>
      <c r="AD379" s="135">
        <v>0</v>
      </c>
      <c r="AE379" s="135">
        <v>492.43032618864584</v>
      </c>
      <c r="AF379" s="135">
        <v>475.42778899980999</v>
      </c>
      <c r="AG379" s="135">
        <v>51.400276232295724</v>
      </c>
      <c r="AH379" s="135">
        <v>10329.141139184547</v>
      </c>
      <c r="AI379" s="135">
        <v>651.56991152748651</v>
      </c>
      <c r="AJ379" s="135">
        <v>-70.680586863330163</v>
      </c>
      <c r="AK379" s="135">
        <v>-247.64898953705028</v>
      </c>
      <c r="AL379" s="135">
        <v>0</v>
      </c>
      <c r="AM379" s="135">
        <v>-64.447887213832459</v>
      </c>
      <c r="AN379" s="135">
        <v>162.34140372141246</v>
      </c>
      <c r="AO379" s="135">
        <v>1.6492944349616323</v>
      </c>
      <c r="AP379" s="135">
        <v>127.41124638314852</v>
      </c>
      <c r="AQ379" s="135">
        <v>98.817181238059106</v>
      </c>
      <c r="AR379" s="135">
        <v>56.566562862392011</v>
      </c>
      <c r="AS379" s="135">
        <v>108.82088217129012</v>
      </c>
      <c r="AT379" s="135">
        <v>39.542816297293996</v>
      </c>
      <c r="AU379" s="135">
        <v>-49.634018267815023</v>
      </c>
      <c r="AV379" s="135">
        <v>814.30782602701822</v>
      </c>
      <c r="AW379" s="135"/>
      <c r="AX379" s="164"/>
      <c r="AY379" s="132"/>
      <c r="AZ379" s="135"/>
      <c r="BA379" s="135"/>
    </row>
    <row r="380" spans="1:53" ht="16.5" x14ac:dyDescent="0.3">
      <c r="A380" s="168">
        <v>2905</v>
      </c>
      <c r="B380" s="168">
        <v>1</v>
      </c>
      <c r="C380" s="168" t="s">
        <v>279</v>
      </c>
      <c r="D380" s="169">
        <v>5</v>
      </c>
      <c r="E380" s="163">
        <v>1829.13</v>
      </c>
      <c r="F380" s="135">
        <v>5946.3687326761901</v>
      </c>
      <c r="G380" s="135">
        <v>3.6197263179763053</v>
      </c>
      <c r="H380" s="135">
        <v>600.75274037383895</v>
      </c>
      <c r="I380" s="135">
        <v>0</v>
      </c>
      <c r="J380" s="135">
        <v>127.48723163471158</v>
      </c>
      <c r="K380" s="135">
        <v>436.6632278733606</v>
      </c>
      <c r="L380" s="135">
        <v>123.13259097122673</v>
      </c>
      <c r="M380" s="135">
        <v>0</v>
      </c>
      <c r="N380" s="135">
        <v>0</v>
      </c>
      <c r="O380" s="135">
        <v>-43.871151859080541</v>
      </c>
      <c r="P380" s="135">
        <v>2291.6377348794231</v>
      </c>
      <c r="Q380" s="135">
        <v>129.45645197443594</v>
      </c>
      <c r="R380" s="135">
        <v>110.98964535052184</v>
      </c>
      <c r="S380" s="135">
        <v>9726.2369301926046</v>
      </c>
      <c r="T380" s="135"/>
      <c r="U380" s="135">
        <v>6567.2401633563495</v>
      </c>
      <c r="V380" s="135">
        <v>0</v>
      </c>
      <c r="W380" s="135">
        <v>291.64800752270202</v>
      </c>
      <c r="X380" s="135">
        <v>0</v>
      </c>
      <c r="Y380" s="135">
        <v>83.409905255503972</v>
      </c>
      <c r="Z380" s="135">
        <v>537.96898568604286</v>
      </c>
      <c r="AA380" s="135">
        <v>99.81318441007474</v>
      </c>
      <c r="AB380" s="135">
        <v>0</v>
      </c>
      <c r="AC380" s="135">
        <v>0</v>
      </c>
      <c r="AD380" s="135">
        <v>0</v>
      </c>
      <c r="AE380" s="135">
        <v>2379.8295963130008</v>
      </c>
      <c r="AF380" s="135">
        <v>145.71976294741216</v>
      </c>
      <c r="AG380" s="135">
        <v>63.648384751220526</v>
      </c>
      <c r="AH380" s="135">
        <v>10169.277990242306</v>
      </c>
      <c r="AI380" s="135">
        <v>620.87143068015939</v>
      </c>
      <c r="AJ380" s="135">
        <v>-3.6197263179763053</v>
      </c>
      <c r="AK380" s="135">
        <v>-309.10473285113693</v>
      </c>
      <c r="AL380" s="135">
        <v>0</v>
      </c>
      <c r="AM380" s="135">
        <v>-44.077326379207605</v>
      </c>
      <c r="AN380" s="135">
        <v>101.30575781268226</v>
      </c>
      <c r="AO380" s="135">
        <v>-23.319406561151993</v>
      </c>
      <c r="AP380" s="135">
        <v>0</v>
      </c>
      <c r="AQ380" s="135">
        <v>0</v>
      </c>
      <c r="AR380" s="135">
        <v>43.871151859080541</v>
      </c>
      <c r="AS380" s="135">
        <v>88.191861433577742</v>
      </c>
      <c r="AT380" s="135">
        <v>16.263310972976228</v>
      </c>
      <c r="AU380" s="135">
        <v>-47.341260599301314</v>
      </c>
      <c r="AV380" s="135">
        <v>443.04106296007768</v>
      </c>
      <c r="AW380" s="135"/>
      <c r="AX380" s="164"/>
      <c r="AY380" s="132"/>
      <c r="AZ380" s="135"/>
      <c r="BA380" s="135"/>
    </row>
    <row r="381" spans="1:53" ht="16.5" x14ac:dyDescent="0.3">
      <c r="A381" s="132">
        <v>4000</v>
      </c>
      <c r="B381" s="132">
        <v>7</v>
      </c>
      <c r="C381" s="132" t="s">
        <v>673</v>
      </c>
      <c r="D381" s="133">
        <v>7</v>
      </c>
      <c r="E381" s="163">
        <v>110</v>
      </c>
      <c r="F381" s="135">
        <v>7155.4552727272721</v>
      </c>
      <c r="G381" s="135">
        <v>0</v>
      </c>
      <c r="H381" s="135">
        <v>220.42018181818179</v>
      </c>
      <c r="I381" s="135">
        <v>0</v>
      </c>
      <c r="J381" s="135">
        <v>135.86327272727272</v>
      </c>
      <c r="K381" s="135">
        <v>2636.2063636363637</v>
      </c>
      <c r="L381" s="135">
        <v>0</v>
      </c>
      <c r="M381" s="135">
        <v>0</v>
      </c>
      <c r="N381" s="135">
        <v>0</v>
      </c>
      <c r="O381" s="135">
        <v>-44.85854545454545</v>
      </c>
      <c r="P381" s="135">
        <v>772.56609090909092</v>
      </c>
      <c r="Q381" s="135">
        <v>36.325181818181818</v>
      </c>
      <c r="R381" s="135">
        <v>16.436727272727271</v>
      </c>
      <c r="S381" s="135">
        <v>10928.414545454545</v>
      </c>
      <c r="T381" s="135"/>
      <c r="U381" s="135">
        <v>8053.5992727272724</v>
      </c>
      <c r="V381" s="135">
        <v>0</v>
      </c>
      <c r="W381" s="135">
        <v>149.68421938258203</v>
      </c>
      <c r="X381" s="135">
        <v>0</v>
      </c>
      <c r="Y381" s="135">
        <v>74.272272727272721</v>
      </c>
      <c r="Z381" s="135">
        <v>2989.3749090909091</v>
      </c>
      <c r="AA381" s="135">
        <v>0</v>
      </c>
      <c r="AB381" s="135">
        <v>0</v>
      </c>
      <c r="AC381" s="135">
        <v>0</v>
      </c>
      <c r="AD381" s="135">
        <v>0</v>
      </c>
      <c r="AE381" s="135">
        <v>760.92109090909094</v>
      </c>
      <c r="AF381" s="135">
        <v>37.903363636363636</v>
      </c>
      <c r="AG381" s="135">
        <v>0</v>
      </c>
      <c r="AH381" s="135">
        <v>12065.755128473491</v>
      </c>
      <c r="AI381" s="135">
        <v>898.14400000000023</v>
      </c>
      <c r="AJ381" s="135">
        <v>0</v>
      </c>
      <c r="AK381" s="135">
        <v>-70.73596243559976</v>
      </c>
      <c r="AL381" s="135">
        <v>0</v>
      </c>
      <c r="AM381" s="135">
        <v>-61.590999999999994</v>
      </c>
      <c r="AN381" s="135">
        <v>353.16854545454544</v>
      </c>
      <c r="AO381" s="135">
        <v>0</v>
      </c>
      <c r="AP381" s="135">
        <v>0</v>
      </c>
      <c r="AQ381" s="135">
        <v>0</v>
      </c>
      <c r="AR381" s="135">
        <v>44.85854545454545</v>
      </c>
      <c r="AS381" s="135">
        <v>-11.644999999999982</v>
      </c>
      <c r="AT381" s="135">
        <v>1.5781818181818181</v>
      </c>
      <c r="AU381" s="135">
        <v>-16.436727272727271</v>
      </c>
      <c r="AV381" s="135">
        <v>1137.3405863326418</v>
      </c>
      <c r="AW381" s="135"/>
      <c r="AX381" s="164"/>
      <c r="AY381" s="132"/>
      <c r="AZ381" s="135"/>
      <c r="BA381" s="135"/>
    </row>
    <row r="382" spans="1:53" ht="16.5" x14ac:dyDescent="0.3">
      <c r="A382" s="132">
        <v>4001</v>
      </c>
      <c r="B382" s="132">
        <v>7</v>
      </c>
      <c r="C382" s="132" t="s">
        <v>415</v>
      </c>
      <c r="D382" s="133">
        <v>7</v>
      </c>
      <c r="E382" s="163">
        <v>212</v>
      </c>
      <c r="F382" s="135">
        <v>5612.1037735849059</v>
      </c>
      <c r="G382" s="135">
        <v>2.7824056603773584</v>
      </c>
      <c r="H382" s="135">
        <v>11.322783018867925</v>
      </c>
      <c r="I382" s="135">
        <v>0</v>
      </c>
      <c r="J382" s="135">
        <v>106.55905660377358</v>
      </c>
      <c r="K382" s="135">
        <v>305.32613207547172</v>
      </c>
      <c r="L382" s="135">
        <v>0</v>
      </c>
      <c r="M382" s="135">
        <v>910.66896226415099</v>
      </c>
      <c r="N382" s="135">
        <v>0</v>
      </c>
      <c r="O382" s="135">
        <v>-35.183066037735848</v>
      </c>
      <c r="P382" s="135">
        <v>1510.0576886792453</v>
      </c>
      <c r="Q382" s="135">
        <v>134.5336320754717</v>
      </c>
      <c r="R382" s="135">
        <v>-267.21033018867928</v>
      </c>
      <c r="S382" s="135">
        <v>8290.9610377358495</v>
      </c>
      <c r="T382" s="135"/>
      <c r="U382" s="135">
        <v>6184.1037735849059</v>
      </c>
      <c r="V382" s="135">
        <v>0</v>
      </c>
      <c r="W382" s="135">
        <v>45.504150759515262</v>
      </c>
      <c r="X382" s="135">
        <v>0</v>
      </c>
      <c r="Y382" s="135">
        <v>60.754952830188678</v>
      </c>
      <c r="Z382" s="135">
        <v>392.91575471698116</v>
      </c>
      <c r="AA382" s="135">
        <v>0</v>
      </c>
      <c r="AB382" s="135">
        <v>877.45742193777926</v>
      </c>
      <c r="AC382" s="135">
        <v>93.219964886507185</v>
      </c>
      <c r="AD382" s="135">
        <v>0</v>
      </c>
      <c r="AE382" s="135">
        <v>1510.6980235849057</v>
      </c>
      <c r="AF382" s="135">
        <v>135.77141509433963</v>
      </c>
      <c r="AG382" s="135">
        <v>-280.10183962264153</v>
      </c>
      <c r="AH382" s="135">
        <v>9020.3236177724812</v>
      </c>
      <c r="AI382" s="135">
        <v>572</v>
      </c>
      <c r="AJ382" s="135">
        <v>-2.7824056603773584</v>
      </c>
      <c r="AK382" s="135">
        <v>34.181367740647339</v>
      </c>
      <c r="AL382" s="135">
        <v>0</v>
      </c>
      <c r="AM382" s="135">
        <v>-45.804103773584906</v>
      </c>
      <c r="AN382" s="135">
        <v>87.589622641509436</v>
      </c>
      <c r="AO382" s="135">
        <v>0</v>
      </c>
      <c r="AP382" s="135">
        <v>-33.211540326371733</v>
      </c>
      <c r="AQ382" s="135">
        <v>93.219964886507185</v>
      </c>
      <c r="AR382" s="135">
        <v>35.183066037735848</v>
      </c>
      <c r="AS382" s="135">
        <v>0.64033490566043838</v>
      </c>
      <c r="AT382" s="135">
        <v>1.2377830188679297</v>
      </c>
      <c r="AU382" s="135">
        <v>-12.891509433962256</v>
      </c>
      <c r="AV382" s="135">
        <v>729.36258967225251</v>
      </c>
      <c r="AW382" s="135"/>
      <c r="AX382" s="132"/>
      <c r="AY382" s="132"/>
      <c r="AZ382" s="155"/>
      <c r="BA382" s="155"/>
    </row>
    <row r="383" spans="1:53" ht="16.5" x14ac:dyDescent="0.3">
      <c r="A383" s="132">
        <v>4003</v>
      </c>
      <c r="B383" s="132">
        <v>7</v>
      </c>
      <c r="C383" s="132" t="s">
        <v>675</v>
      </c>
      <c r="D383" s="133">
        <v>7</v>
      </c>
      <c r="E383" s="163">
        <v>122</v>
      </c>
      <c r="F383" s="135">
        <v>6451.6399999999994</v>
      </c>
      <c r="G383" s="135">
        <v>0</v>
      </c>
      <c r="H383" s="135">
        <v>17.41377049180328</v>
      </c>
      <c r="I383" s="135">
        <v>0</v>
      </c>
      <c r="J383" s="135">
        <v>122.49967213114753</v>
      </c>
      <c r="K383" s="135">
        <v>849.06442622950817</v>
      </c>
      <c r="L383" s="135">
        <v>0</v>
      </c>
      <c r="M383" s="135">
        <v>1749.0069507485246</v>
      </c>
      <c r="N383" s="135">
        <v>0</v>
      </c>
      <c r="O383" s="135">
        <v>-40.446229508196716</v>
      </c>
      <c r="P383" s="135">
        <v>1693.0309016393442</v>
      </c>
      <c r="Q383" s="135">
        <v>77.595081967213105</v>
      </c>
      <c r="R383" s="135">
        <v>-303.61245901639347</v>
      </c>
      <c r="S383" s="135">
        <v>10616.192114682948</v>
      </c>
      <c r="T383" s="135"/>
      <c r="U383" s="135">
        <v>7203.3167213114766</v>
      </c>
      <c r="V383" s="135">
        <v>0</v>
      </c>
      <c r="W383" s="135">
        <v>17.164958097936676</v>
      </c>
      <c r="X383" s="135">
        <v>0</v>
      </c>
      <c r="Y383" s="135">
        <v>68.38729508196721</v>
      </c>
      <c r="Z383" s="135">
        <v>1019.5008196721312</v>
      </c>
      <c r="AA383" s="135">
        <v>0</v>
      </c>
      <c r="AB383" s="135">
        <v>1705.0416004276071</v>
      </c>
      <c r="AC383" s="135">
        <v>20.248598930265903</v>
      </c>
      <c r="AD383" s="135">
        <v>0</v>
      </c>
      <c r="AE383" s="135">
        <v>1687.695475409836</v>
      </c>
      <c r="AF383" s="135">
        <v>79.018032786885243</v>
      </c>
      <c r="AG383" s="135">
        <v>-318.43245901639347</v>
      </c>
      <c r="AH383" s="135">
        <v>11481.94104270171</v>
      </c>
      <c r="AI383" s="135">
        <v>751.67672131147719</v>
      </c>
      <c r="AJ383" s="135">
        <v>0</v>
      </c>
      <c r="AK383" s="135">
        <v>-0.24881239386660425</v>
      </c>
      <c r="AL383" s="135">
        <v>0</v>
      </c>
      <c r="AM383" s="135">
        <v>-54.112377049180324</v>
      </c>
      <c r="AN383" s="135">
        <v>170.43639344262306</v>
      </c>
      <c r="AO383" s="135">
        <v>0</v>
      </c>
      <c r="AP383" s="135">
        <v>-43.965350320917423</v>
      </c>
      <c r="AQ383" s="135">
        <v>20.248598930265903</v>
      </c>
      <c r="AR383" s="135">
        <v>40.446229508196716</v>
      </c>
      <c r="AS383" s="135">
        <v>-5.3354262295081298</v>
      </c>
      <c r="AT383" s="135">
        <v>1.4229508196721383</v>
      </c>
      <c r="AU383" s="135">
        <v>-14.819999999999993</v>
      </c>
      <c r="AV383" s="135">
        <v>865.7489340265904</v>
      </c>
      <c r="AW383" s="135"/>
      <c r="AX383" s="164"/>
      <c r="AY383" s="132"/>
      <c r="AZ383" s="135"/>
      <c r="BA383" s="135"/>
    </row>
    <row r="384" spans="1:53" ht="16.5" x14ac:dyDescent="0.3">
      <c r="A384" s="132">
        <v>4004</v>
      </c>
      <c r="B384" s="132">
        <v>7</v>
      </c>
      <c r="C384" s="132" t="s">
        <v>676</v>
      </c>
      <c r="D384" s="133">
        <v>7</v>
      </c>
      <c r="E384" s="163">
        <v>145</v>
      </c>
      <c r="F384" s="135">
        <v>5564.4606896551732</v>
      </c>
      <c r="G384" s="135">
        <v>327.66834482758622</v>
      </c>
      <c r="H384" s="135">
        <v>0</v>
      </c>
      <c r="I384" s="135">
        <v>0</v>
      </c>
      <c r="J384" s="135">
        <v>105.65448275862069</v>
      </c>
      <c r="K384" s="135">
        <v>3080.4868965517239</v>
      </c>
      <c r="L384" s="135">
        <v>0</v>
      </c>
      <c r="M384" s="135">
        <v>1737.2947727338483</v>
      </c>
      <c r="N384" s="135">
        <v>0</v>
      </c>
      <c r="O384" s="135">
        <v>-34.884413793103448</v>
      </c>
      <c r="P384" s="135">
        <v>1496.9072413793103</v>
      </c>
      <c r="Q384" s="135">
        <v>28.248344827586209</v>
      </c>
      <c r="R384" s="135">
        <v>82.859448275862064</v>
      </c>
      <c r="S384" s="135">
        <v>12388.695807216609</v>
      </c>
      <c r="T384" s="135"/>
      <c r="U384" s="135">
        <v>6103.4226206896556</v>
      </c>
      <c r="V384" s="135">
        <v>0</v>
      </c>
      <c r="W384" s="135">
        <v>0</v>
      </c>
      <c r="X384" s="135">
        <v>0</v>
      </c>
      <c r="Y384" s="135">
        <v>59.93</v>
      </c>
      <c r="Z384" s="135">
        <v>3547.3649655172412</v>
      </c>
      <c r="AA384" s="135">
        <v>0</v>
      </c>
      <c r="AB384" s="135">
        <v>1677.5601590507908</v>
      </c>
      <c r="AC384" s="135">
        <v>289.62478745773444</v>
      </c>
      <c r="AD384" s="135">
        <v>0</v>
      </c>
      <c r="AE384" s="135">
        <v>1490.1862344827587</v>
      </c>
      <c r="AF384" s="135">
        <v>29.475655172413791</v>
      </c>
      <c r="AG384" s="135">
        <v>70.077379310344824</v>
      </c>
      <c r="AH384" s="135">
        <v>13267.64180168094</v>
      </c>
      <c r="AI384" s="135">
        <v>538.9619310344824</v>
      </c>
      <c r="AJ384" s="135">
        <v>-327.66834482758622</v>
      </c>
      <c r="AK384" s="135">
        <v>0</v>
      </c>
      <c r="AL384" s="135">
        <v>0</v>
      </c>
      <c r="AM384" s="135">
        <v>-45.724482758620688</v>
      </c>
      <c r="AN384" s="135">
        <v>466.87806896551729</v>
      </c>
      <c r="AO384" s="135">
        <v>0</v>
      </c>
      <c r="AP384" s="135">
        <v>-59.734613683057432</v>
      </c>
      <c r="AQ384" s="135">
        <v>289.62478745773444</v>
      </c>
      <c r="AR384" s="135">
        <v>34.884413793103448</v>
      </c>
      <c r="AS384" s="135">
        <v>-6.7210068965516712</v>
      </c>
      <c r="AT384" s="135">
        <v>1.2273103448275826</v>
      </c>
      <c r="AU384" s="135">
        <v>-12.78206896551724</v>
      </c>
      <c r="AV384" s="135">
        <v>878.94599641109653</v>
      </c>
      <c r="AW384" s="135"/>
      <c r="AX384" s="164"/>
      <c r="AY384" s="132"/>
      <c r="AZ384" s="135"/>
      <c r="BA384" s="135"/>
    </row>
    <row r="385" spans="1:54" s="134" customFormat="1" ht="16.5" x14ac:dyDescent="0.3">
      <c r="A385" s="134">
        <v>4005</v>
      </c>
      <c r="B385" s="134">
        <v>7</v>
      </c>
      <c r="C385" s="134" t="s">
        <v>247</v>
      </c>
      <c r="D385" s="136">
        <v>7</v>
      </c>
      <c r="E385" s="163">
        <v>18</v>
      </c>
      <c r="F385" s="155">
        <v>6431.3244444444445</v>
      </c>
      <c r="G385" s="155">
        <v>56.237222222222222</v>
      </c>
      <c r="H385" s="155">
        <v>66.36333333333333</v>
      </c>
      <c r="I385" s="155">
        <v>0</v>
      </c>
      <c r="J385" s="155">
        <v>122.11388888888889</v>
      </c>
      <c r="K385" s="155">
        <v>3035.0133333333333</v>
      </c>
      <c r="L385" s="155">
        <v>0</v>
      </c>
      <c r="M385" s="155">
        <v>175049.32166666666</v>
      </c>
      <c r="N385" s="155">
        <v>0</v>
      </c>
      <c r="O385" s="155">
        <v>-40.318888888888893</v>
      </c>
      <c r="P385" s="155">
        <v>6189.8200000000006</v>
      </c>
      <c r="Q385" s="155">
        <v>32.648888888888891</v>
      </c>
      <c r="R385" s="155">
        <v>211.77055555555555</v>
      </c>
      <c r="S385" s="155">
        <v>191154.29444444444</v>
      </c>
      <c r="T385" s="155"/>
      <c r="U385" s="155">
        <v>7000</v>
      </c>
      <c r="V385" s="135">
        <v>0</v>
      </c>
      <c r="W385" s="155">
        <v>45.252749225809275</v>
      </c>
      <c r="X385" s="155">
        <v>0</v>
      </c>
      <c r="Y385" s="155">
        <v>68.770555555555546</v>
      </c>
      <c r="Z385" s="155">
        <v>3695.3500000000004</v>
      </c>
      <c r="AA385" s="155">
        <v>0</v>
      </c>
      <c r="AB385" s="155">
        <v>175049.32166666666</v>
      </c>
      <c r="AC385" s="155">
        <v>0</v>
      </c>
      <c r="AD385" s="155">
        <v>0</v>
      </c>
      <c r="AE385" s="155">
        <v>6148.4111111111106</v>
      </c>
      <c r="AF385" s="155">
        <v>34.06722222222222</v>
      </c>
      <c r="AG385" s="155">
        <v>196.99722222222221</v>
      </c>
      <c r="AH385" s="155">
        <v>192238.17052700356</v>
      </c>
      <c r="AI385" s="155">
        <v>568.67555555555555</v>
      </c>
      <c r="AJ385" s="155">
        <v>-56.237222222222222</v>
      </c>
      <c r="AK385" s="155">
        <v>-21.110584107524055</v>
      </c>
      <c r="AL385" s="155">
        <v>0</v>
      </c>
      <c r="AM385" s="155">
        <v>-53.343333333333348</v>
      </c>
      <c r="AN385" s="155">
        <v>660.33666666666704</v>
      </c>
      <c r="AO385" s="155">
        <v>0</v>
      </c>
      <c r="AP385" s="155">
        <v>0</v>
      </c>
      <c r="AQ385" s="155">
        <v>0</v>
      </c>
      <c r="AR385" s="155">
        <v>40.318888888888893</v>
      </c>
      <c r="AS385" s="155">
        <v>-41.408888888890033</v>
      </c>
      <c r="AT385" s="155">
        <v>1.4183333333333294</v>
      </c>
      <c r="AU385" s="155">
        <v>-14.773333333333341</v>
      </c>
      <c r="AV385" s="135">
        <v>1083.8760920766326</v>
      </c>
      <c r="AW385" s="155"/>
      <c r="AX385" s="164"/>
      <c r="AY385" s="132"/>
      <c r="AZ385" s="135"/>
      <c r="BA385" s="135"/>
      <c r="BB385" s="132"/>
    </row>
    <row r="386" spans="1:54" ht="16.5" x14ac:dyDescent="0.3">
      <c r="A386" s="132">
        <v>4007</v>
      </c>
      <c r="B386" s="132">
        <v>7</v>
      </c>
      <c r="C386" s="132" t="s">
        <v>668</v>
      </c>
      <c r="D386" s="133">
        <v>7</v>
      </c>
      <c r="E386" s="163">
        <v>112</v>
      </c>
      <c r="F386" s="135">
        <v>6724.034285714285</v>
      </c>
      <c r="G386" s="135">
        <v>0</v>
      </c>
      <c r="H386" s="135">
        <v>195.82187500000003</v>
      </c>
      <c r="I386" s="135">
        <v>0</v>
      </c>
      <c r="J386" s="135">
        <v>127.67169642857142</v>
      </c>
      <c r="K386" s="135">
        <v>376.44696428571427</v>
      </c>
      <c r="L386" s="135">
        <v>0</v>
      </c>
      <c r="M386" s="135">
        <v>1658.7392962870802</v>
      </c>
      <c r="N386" s="135">
        <v>0</v>
      </c>
      <c r="O386" s="135">
        <v>-42.153928571428573</v>
      </c>
      <c r="P386" s="135">
        <v>1809.2466071428571</v>
      </c>
      <c r="Q386" s="135">
        <v>204.15366071428571</v>
      </c>
      <c r="R386" s="135">
        <v>256.50749999999999</v>
      </c>
      <c r="S386" s="135">
        <v>11310.467957001365</v>
      </c>
      <c r="T386" s="135"/>
      <c r="U386" s="135">
        <v>7492.4999999999991</v>
      </c>
      <c r="V386" s="135">
        <v>0</v>
      </c>
      <c r="W386" s="135">
        <v>249.76607335980864</v>
      </c>
      <c r="X386" s="135">
        <v>0</v>
      </c>
      <c r="Y386" s="135">
        <v>73.609107142857141</v>
      </c>
      <c r="Z386" s="135">
        <v>454.77200892857138</v>
      </c>
      <c r="AA386" s="135">
        <v>0</v>
      </c>
      <c r="AB386" s="135">
        <v>1630.3799130986044</v>
      </c>
      <c r="AC386" s="135">
        <v>0</v>
      </c>
      <c r="AD386" s="135">
        <v>0</v>
      </c>
      <c r="AE386" s="135">
        <v>1830.3226071428571</v>
      </c>
      <c r="AF386" s="135">
        <v>205.63669642857144</v>
      </c>
      <c r="AG386" s="135">
        <v>241.06178571428569</v>
      </c>
      <c r="AH386" s="135">
        <v>12178.048191815555</v>
      </c>
      <c r="AI386" s="135">
        <v>768.46571428571406</v>
      </c>
      <c r="AJ386" s="135">
        <v>0</v>
      </c>
      <c r="AK386" s="135">
        <v>53.94419835980861</v>
      </c>
      <c r="AL386" s="135">
        <v>0</v>
      </c>
      <c r="AM386" s="135">
        <v>-54.062589285714282</v>
      </c>
      <c r="AN386" s="135">
        <v>78.325044642857108</v>
      </c>
      <c r="AO386" s="135">
        <v>0</v>
      </c>
      <c r="AP386" s="135">
        <v>-28.359383188475704</v>
      </c>
      <c r="AQ386" s="135">
        <v>0</v>
      </c>
      <c r="AR386" s="135">
        <v>42.153928571428573</v>
      </c>
      <c r="AS386" s="135">
        <v>21.076000000000022</v>
      </c>
      <c r="AT386" s="135">
        <v>1.4830357142857338</v>
      </c>
      <c r="AU386" s="135">
        <v>-15.445714285714303</v>
      </c>
      <c r="AV386" s="135">
        <v>867.58023565672443</v>
      </c>
      <c r="AW386" s="135"/>
      <c r="AX386" s="164"/>
      <c r="AY386" s="132"/>
      <c r="AZ386" s="135"/>
      <c r="BA386" s="135"/>
      <c r="BB386" s="132"/>
    </row>
    <row r="387" spans="1:54" ht="16.5" x14ac:dyDescent="0.3">
      <c r="A387" s="132">
        <v>4008</v>
      </c>
      <c r="B387" s="132">
        <v>7</v>
      </c>
      <c r="C387" s="132" t="s">
        <v>582</v>
      </c>
      <c r="D387" s="133">
        <v>7</v>
      </c>
      <c r="E387" s="163">
        <v>612</v>
      </c>
      <c r="F387" s="135">
        <v>6015.2823529411762</v>
      </c>
      <c r="G387" s="135">
        <v>1.3241993464052286</v>
      </c>
      <c r="H387" s="135">
        <v>161.39349673202614</v>
      </c>
      <c r="I387" s="135">
        <v>0</v>
      </c>
      <c r="J387" s="135">
        <v>114.21436274509804</v>
      </c>
      <c r="K387" s="135">
        <v>60.112499999999997</v>
      </c>
      <c r="L387" s="135">
        <v>0</v>
      </c>
      <c r="M387" s="135">
        <v>1013.4131835779673</v>
      </c>
      <c r="N387" s="135">
        <v>0</v>
      </c>
      <c r="O387" s="135">
        <v>-37.710669934640521</v>
      </c>
      <c r="P387" s="135">
        <v>1560.7575980392155</v>
      </c>
      <c r="Q387" s="135">
        <v>30.53700980392157</v>
      </c>
      <c r="R387" s="135">
        <v>78.112450980392154</v>
      </c>
      <c r="S387" s="135">
        <v>8997.4364842315626</v>
      </c>
      <c r="T387" s="135"/>
      <c r="U387" s="135">
        <v>6664.4529411764715</v>
      </c>
      <c r="V387" s="135">
        <v>0</v>
      </c>
      <c r="W387" s="135">
        <v>219.55052932721685</v>
      </c>
      <c r="X387" s="135">
        <v>0</v>
      </c>
      <c r="Y387" s="135">
        <v>65.352303921568634</v>
      </c>
      <c r="Z387" s="135">
        <v>97.373202614379082</v>
      </c>
      <c r="AA387" s="135">
        <v>0</v>
      </c>
      <c r="AB387" s="135">
        <v>980.79906747420875</v>
      </c>
      <c r="AC387" s="135">
        <v>27.152574097160461</v>
      </c>
      <c r="AD387" s="135">
        <v>0</v>
      </c>
      <c r="AE387" s="135">
        <v>1561.564790849673</v>
      </c>
      <c r="AF387" s="135">
        <v>31.863725490196074</v>
      </c>
      <c r="AG387" s="135">
        <v>64.294803921568629</v>
      </c>
      <c r="AH387" s="135">
        <v>9712.4039388724432</v>
      </c>
      <c r="AI387" s="135">
        <v>649.17058823529533</v>
      </c>
      <c r="AJ387" s="135">
        <v>-1.3241993464052286</v>
      </c>
      <c r="AK387" s="135">
        <v>58.157032595190714</v>
      </c>
      <c r="AL387" s="135">
        <v>0</v>
      </c>
      <c r="AM387" s="135">
        <v>-48.862058823529409</v>
      </c>
      <c r="AN387" s="135">
        <v>37.260702614379085</v>
      </c>
      <c r="AO387" s="135">
        <v>0</v>
      </c>
      <c r="AP387" s="135">
        <v>-32.614116103758533</v>
      </c>
      <c r="AQ387" s="135">
        <v>27.152574097160461</v>
      </c>
      <c r="AR387" s="135">
        <v>37.710669934640521</v>
      </c>
      <c r="AS387" s="135">
        <v>0.80719281045753632</v>
      </c>
      <c r="AT387" s="135">
        <v>1.326715686274504</v>
      </c>
      <c r="AU387" s="135">
        <v>-13.817647058823525</v>
      </c>
      <c r="AV387" s="135">
        <v>714.96746415258713</v>
      </c>
      <c r="AW387" s="135"/>
      <c r="AX387" s="164"/>
      <c r="AY387" s="132"/>
      <c r="AZ387" s="135"/>
      <c r="BA387" s="135"/>
      <c r="BB387" s="132"/>
    </row>
    <row r="388" spans="1:54" ht="16.5" x14ac:dyDescent="0.3">
      <c r="A388" s="132">
        <v>4011</v>
      </c>
      <c r="B388" s="132">
        <v>7</v>
      </c>
      <c r="C388" s="132" t="s">
        <v>552</v>
      </c>
      <c r="D388" s="133">
        <v>7</v>
      </c>
      <c r="E388" s="163">
        <v>210</v>
      </c>
      <c r="F388" s="135">
        <v>5575.5005714285717</v>
      </c>
      <c r="G388" s="135">
        <v>261.91190476190474</v>
      </c>
      <c r="H388" s="135">
        <v>8.0723333333333329</v>
      </c>
      <c r="I388" s="135">
        <v>0</v>
      </c>
      <c r="J388" s="135">
        <v>105.86404761904762</v>
      </c>
      <c r="K388" s="135">
        <v>2979.3449047619047</v>
      </c>
      <c r="L388" s="135">
        <v>0</v>
      </c>
      <c r="M388" s="135">
        <v>4320.5200250754287</v>
      </c>
      <c r="N388" s="135">
        <v>0</v>
      </c>
      <c r="O388" s="135">
        <v>-34.95361904761905</v>
      </c>
      <c r="P388" s="135">
        <v>1500.2088095238096</v>
      </c>
      <c r="Q388" s="135">
        <v>28.30442857142857</v>
      </c>
      <c r="R388" s="135">
        <v>337.19457142857146</v>
      </c>
      <c r="S388" s="135">
        <v>15081.967977456381</v>
      </c>
      <c r="T388" s="135"/>
      <c r="U388" s="135">
        <v>6144</v>
      </c>
      <c r="V388" s="135">
        <v>0</v>
      </c>
      <c r="W388" s="135">
        <v>12.469754007417222</v>
      </c>
      <c r="X388" s="135">
        <v>0</v>
      </c>
      <c r="Y388" s="135">
        <v>60.360952380952376</v>
      </c>
      <c r="Z388" s="135">
        <v>3204.6500952380952</v>
      </c>
      <c r="AA388" s="135">
        <v>0</v>
      </c>
      <c r="AB388" s="135">
        <v>4211.8727548920924</v>
      </c>
      <c r="AC388" s="135">
        <v>282.32332222770754</v>
      </c>
      <c r="AD388" s="135">
        <v>0</v>
      </c>
      <c r="AE388" s="135">
        <v>1500.9011809523811</v>
      </c>
      <c r="AF388" s="135">
        <v>29.534142857142857</v>
      </c>
      <c r="AG388" s="135">
        <v>324.38714285714286</v>
      </c>
      <c r="AH388" s="135">
        <v>15770.499345412933</v>
      </c>
      <c r="AI388" s="135">
        <v>568.49942857142833</v>
      </c>
      <c r="AJ388" s="135">
        <v>-261.91190476190474</v>
      </c>
      <c r="AK388" s="135">
        <v>4.3974206740838895</v>
      </c>
      <c r="AL388" s="135">
        <v>0</v>
      </c>
      <c r="AM388" s="135">
        <v>-45.503095238095248</v>
      </c>
      <c r="AN388" s="135">
        <v>225.30519047619055</v>
      </c>
      <c r="AO388" s="135">
        <v>0</v>
      </c>
      <c r="AP388" s="135">
        <v>-108.64727018333633</v>
      </c>
      <c r="AQ388" s="135">
        <v>282.32332222770754</v>
      </c>
      <c r="AR388" s="135">
        <v>34.95361904761905</v>
      </c>
      <c r="AS388" s="135">
        <v>0.69237142857150502</v>
      </c>
      <c r="AT388" s="135">
        <v>1.2297142857142873</v>
      </c>
      <c r="AU388" s="135">
        <v>-12.807428571428602</v>
      </c>
      <c r="AV388" s="135">
        <v>688.53137553944919</v>
      </c>
      <c r="AW388" s="135"/>
      <c r="AX388" s="164"/>
      <c r="AY388" s="132"/>
      <c r="AZ388" s="135"/>
      <c r="BA388" s="135"/>
      <c r="BB388" s="132"/>
    </row>
    <row r="389" spans="1:54" ht="16.5" x14ac:dyDescent="0.3">
      <c r="A389" s="132">
        <v>4015</v>
      </c>
      <c r="B389" s="132">
        <v>7</v>
      </c>
      <c r="C389" s="132" t="s">
        <v>627</v>
      </c>
      <c r="D389" s="133">
        <v>7</v>
      </c>
      <c r="E389" s="163">
        <v>784</v>
      </c>
      <c r="F389" s="135">
        <v>6101.0189795918368</v>
      </c>
      <c r="G389" s="135">
        <v>41.343048469387753</v>
      </c>
      <c r="H389" s="135">
        <v>148.21725765306124</v>
      </c>
      <c r="I389" s="135">
        <v>0</v>
      </c>
      <c r="J389" s="135">
        <v>115.84228316326531</v>
      </c>
      <c r="K389" s="135">
        <v>2229.7897831632654</v>
      </c>
      <c r="L389" s="135">
        <v>0</v>
      </c>
      <c r="M389" s="135">
        <v>1102.6058553753214</v>
      </c>
      <c r="N389" s="135">
        <v>0</v>
      </c>
      <c r="O389" s="135">
        <v>-38.248163265306125</v>
      </c>
      <c r="P389" s="135">
        <v>1641.610892857143</v>
      </c>
      <c r="Q389" s="135">
        <v>30.972257653061227</v>
      </c>
      <c r="R389" s="135">
        <v>288.46311224489796</v>
      </c>
      <c r="S389" s="135">
        <v>11661.615306905935</v>
      </c>
      <c r="T389" s="135"/>
      <c r="U389" s="135">
        <v>6753.2142857142853</v>
      </c>
      <c r="V389" s="135">
        <v>0</v>
      </c>
      <c r="W389" s="135">
        <v>99.718069968414198</v>
      </c>
      <c r="X389" s="135">
        <v>0</v>
      </c>
      <c r="Y389" s="135">
        <v>66.346096938775503</v>
      </c>
      <c r="Z389" s="135">
        <v>2553.4266581632651</v>
      </c>
      <c r="AA389" s="135">
        <v>0</v>
      </c>
      <c r="AB389" s="135">
        <v>1063.3143896028052</v>
      </c>
      <c r="AC389" s="135">
        <v>103.98068787404407</v>
      </c>
      <c r="AD389" s="135">
        <v>0</v>
      </c>
      <c r="AE389" s="135">
        <v>1649.7244948979592</v>
      </c>
      <c r="AF389" s="135">
        <v>32.317882653061226</v>
      </c>
      <c r="AG389" s="135">
        <v>274.44852040816323</v>
      </c>
      <c r="AH389" s="135">
        <v>12596.491086220773</v>
      </c>
      <c r="AI389" s="135">
        <v>652.19530612244853</v>
      </c>
      <c r="AJ389" s="135">
        <v>-41.343048469387753</v>
      </c>
      <c r="AK389" s="135">
        <v>-48.49918768464704</v>
      </c>
      <c r="AL389" s="135">
        <v>0</v>
      </c>
      <c r="AM389" s="135">
        <v>-49.496186224489804</v>
      </c>
      <c r="AN389" s="135">
        <v>323.63687499999969</v>
      </c>
      <c r="AO389" s="135">
        <v>0</v>
      </c>
      <c r="AP389" s="135">
        <v>-39.291465772516176</v>
      </c>
      <c r="AQ389" s="135">
        <v>103.98068787404407</v>
      </c>
      <c r="AR389" s="135">
        <v>38.248163265306125</v>
      </c>
      <c r="AS389" s="135">
        <v>8.113602040816204</v>
      </c>
      <c r="AT389" s="135">
        <v>1.3456249999999983</v>
      </c>
      <c r="AU389" s="135">
        <v>-14.014591836734724</v>
      </c>
      <c r="AV389" s="135">
        <v>934.87578044731231</v>
      </c>
      <c r="AW389" s="135"/>
      <c r="AX389" s="164"/>
      <c r="AY389" s="132"/>
      <c r="AZ389" s="135"/>
      <c r="BA389" s="135"/>
      <c r="BB389" s="132"/>
    </row>
    <row r="390" spans="1:54" ht="16.5" x14ac:dyDescent="0.3">
      <c r="A390" s="132">
        <v>4016</v>
      </c>
      <c r="B390" s="132">
        <v>7</v>
      </c>
      <c r="C390" s="132" t="s">
        <v>557</v>
      </c>
      <c r="D390" s="133">
        <v>7</v>
      </c>
      <c r="E390" s="163">
        <v>205</v>
      </c>
      <c r="F390" s="135">
        <v>5905.1586341463417</v>
      </c>
      <c r="G390" s="135">
        <v>0</v>
      </c>
      <c r="H390" s="135">
        <v>4.1911707317073166</v>
      </c>
      <c r="I390" s="135">
        <v>0</v>
      </c>
      <c r="J390" s="135">
        <v>112.12341463414634</v>
      </c>
      <c r="K390" s="135">
        <v>43.163707317073168</v>
      </c>
      <c r="L390" s="135">
        <v>0</v>
      </c>
      <c r="M390" s="135">
        <v>606.20507317073179</v>
      </c>
      <c r="N390" s="135">
        <v>0</v>
      </c>
      <c r="O390" s="135">
        <v>-37.020292682926829</v>
      </c>
      <c r="P390" s="135">
        <v>1596.4909268292681</v>
      </c>
      <c r="Q390" s="135">
        <v>46.006878048780493</v>
      </c>
      <c r="R390" s="135">
        <v>-180.60380487804878</v>
      </c>
      <c r="S390" s="135">
        <v>8095.7157073170729</v>
      </c>
      <c r="T390" s="135"/>
      <c r="U390" s="135">
        <v>6558.1463414634145</v>
      </c>
      <c r="V390" s="135">
        <v>0</v>
      </c>
      <c r="W390" s="135">
        <v>58.098961621497445</v>
      </c>
      <c r="X390" s="135">
        <v>0</v>
      </c>
      <c r="Y390" s="135">
        <v>64.429658536585364</v>
      </c>
      <c r="Z390" s="135">
        <v>72.959268292682921</v>
      </c>
      <c r="AA390" s="135">
        <v>0</v>
      </c>
      <c r="AB390" s="135">
        <v>588.01892097560983</v>
      </c>
      <c r="AC390" s="135">
        <v>0</v>
      </c>
      <c r="AD390" s="135">
        <v>0</v>
      </c>
      <c r="AE390" s="135">
        <v>1598.2787024390243</v>
      </c>
      <c r="AF390" s="135">
        <v>47.309317073170732</v>
      </c>
      <c r="AG390" s="135">
        <v>-194.16848780487805</v>
      </c>
      <c r="AH390" s="135">
        <v>8793.0726825971069</v>
      </c>
      <c r="AI390" s="135">
        <v>652.98770731707282</v>
      </c>
      <c r="AJ390" s="135">
        <v>0</v>
      </c>
      <c r="AK390" s="135">
        <v>53.907790889790128</v>
      </c>
      <c r="AL390" s="135">
        <v>0</v>
      </c>
      <c r="AM390" s="135">
        <v>-47.693756097560978</v>
      </c>
      <c r="AN390" s="135">
        <v>29.795560975609753</v>
      </c>
      <c r="AO390" s="135">
        <v>0</v>
      </c>
      <c r="AP390" s="135">
        <v>-18.186152195121963</v>
      </c>
      <c r="AQ390" s="135">
        <v>0</v>
      </c>
      <c r="AR390" s="135">
        <v>37.020292682926829</v>
      </c>
      <c r="AS390" s="135">
        <v>1.7877756097561814</v>
      </c>
      <c r="AT390" s="135">
        <v>1.3024390243902388</v>
      </c>
      <c r="AU390" s="135">
        <v>-13.564682926829278</v>
      </c>
      <c r="AV390" s="135">
        <v>697.35697695496413</v>
      </c>
      <c r="AW390" s="135"/>
      <c r="AX390" s="132"/>
      <c r="AY390" s="132"/>
      <c r="AZ390" s="155"/>
      <c r="BA390" s="155"/>
      <c r="BB390" s="132"/>
    </row>
    <row r="391" spans="1:54" ht="16.5" x14ac:dyDescent="0.3">
      <c r="A391" s="132">
        <v>4017</v>
      </c>
      <c r="B391" s="132">
        <v>7</v>
      </c>
      <c r="C391" s="132" t="s">
        <v>347</v>
      </c>
      <c r="D391" s="133">
        <v>7</v>
      </c>
      <c r="E391" s="163">
        <v>3124</v>
      </c>
      <c r="F391" s="135">
        <v>6413.5134955185658</v>
      </c>
      <c r="G391" s="135">
        <v>109.85474391805377</v>
      </c>
      <c r="H391" s="135">
        <v>78.317115877080653</v>
      </c>
      <c r="I391" s="135">
        <v>0</v>
      </c>
      <c r="J391" s="135">
        <v>121.77572663252241</v>
      </c>
      <c r="K391" s="135">
        <v>1494.5623399487836</v>
      </c>
      <c r="L391" s="135">
        <v>0</v>
      </c>
      <c r="M391" s="135">
        <v>464.96248296132683</v>
      </c>
      <c r="N391" s="135">
        <v>0</v>
      </c>
      <c r="O391" s="135">
        <v>-40.207231113956468</v>
      </c>
      <c r="P391" s="135">
        <v>1064.4368693982074</v>
      </c>
      <c r="Q391" s="135">
        <v>32.558649167733677</v>
      </c>
      <c r="R391" s="135">
        <v>227.54477912932137</v>
      </c>
      <c r="S391" s="135">
        <v>9967.3189714376385</v>
      </c>
      <c r="T391" s="135"/>
      <c r="U391" s="135">
        <v>7125.0096030729837</v>
      </c>
      <c r="V391" s="135">
        <v>0</v>
      </c>
      <c r="W391" s="135">
        <v>80.064745451688225</v>
      </c>
      <c r="X391" s="135">
        <v>0</v>
      </c>
      <c r="Y391" s="135">
        <v>69.998751600512165</v>
      </c>
      <c r="Z391" s="135">
        <v>1419.7658293849936</v>
      </c>
      <c r="AA391" s="135">
        <v>0</v>
      </c>
      <c r="AB391" s="135">
        <v>452.48769213993853</v>
      </c>
      <c r="AC391" s="135">
        <v>30.017294014637599</v>
      </c>
      <c r="AD391" s="135">
        <v>0</v>
      </c>
      <c r="AE391" s="135">
        <v>1066.4605156850191</v>
      </c>
      <c r="AF391" s="135">
        <v>33.973197823303451</v>
      </c>
      <c r="AG391" s="135">
        <v>212.81235915492957</v>
      </c>
      <c r="AH391" s="135">
        <v>10490.589988328005</v>
      </c>
      <c r="AI391" s="135">
        <v>711.4961075544179</v>
      </c>
      <c r="AJ391" s="135">
        <v>-109.85474391805377</v>
      </c>
      <c r="AK391" s="135">
        <v>1.7476295746075721</v>
      </c>
      <c r="AL391" s="135">
        <v>0</v>
      </c>
      <c r="AM391" s="135">
        <v>-51.776975032010242</v>
      </c>
      <c r="AN391" s="135">
        <v>-74.79651056378998</v>
      </c>
      <c r="AO391" s="135">
        <v>0</v>
      </c>
      <c r="AP391" s="135">
        <v>-12.474790821388297</v>
      </c>
      <c r="AQ391" s="135">
        <v>30.017294014637599</v>
      </c>
      <c r="AR391" s="135">
        <v>40.207231113956468</v>
      </c>
      <c r="AS391" s="135">
        <v>2.0236462868117542</v>
      </c>
      <c r="AT391" s="135">
        <v>1.4145486555697744</v>
      </c>
      <c r="AU391" s="135">
        <v>-14.732419974391803</v>
      </c>
      <c r="AV391" s="135">
        <v>523.27101795388489</v>
      </c>
      <c r="AW391" s="135"/>
      <c r="AX391" s="164"/>
      <c r="AY391" s="132"/>
      <c r="AZ391" s="135"/>
      <c r="BA391" s="135"/>
      <c r="BB391" s="132"/>
    </row>
    <row r="392" spans="1:54" ht="16.5" x14ac:dyDescent="0.3">
      <c r="A392" s="132">
        <v>4018</v>
      </c>
      <c r="B392" s="132">
        <v>7</v>
      </c>
      <c r="C392" s="132" t="s">
        <v>580</v>
      </c>
      <c r="D392" s="133">
        <v>7</v>
      </c>
      <c r="E392" s="163">
        <v>410</v>
      </c>
      <c r="F392" s="135">
        <v>5618.2208780487808</v>
      </c>
      <c r="G392" s="135">
        <v>259.13290243902441</v>
      </c>
      <c r="H392" s="135">
        <v>149.78680487804877</v>
      </c>
      <c r="I392" s="135">
        <v>0</v>
      </c>
      <c r="J392" s="135">
        <v>106.67521951219511</v>
      </c>
      <c r="K392" s="135">
        <v>2658.5327560975611</v>
      </c>
      <c r="L392" s="135">
        <v>0</v>
      </c>
      <c r="M392" s="135">
        <v>697.38294154302434</v>
      </c>
      <c r="N392" s="135">
        <v>0</v>
      </c>
      <c r="O392" s="135">
        <v>-35.221439024390243</v>
      </c>
      <c r="P392" s="135">
        <v>1511.7036341463413</v>
      </c>
      <c r="Q392" s="135">
        <v>28.521292682926827</v>
      </c>
      <c r="R392" s="135">
        <v>92.626146341463411</v>
      </c>
      <c r="S392" s="135">
        <v>11087.361136664975</v>
      </c>
      <c r="T392" s="135"/>
      <c r="U392" s="135">
        <v>6186.292682926829</v>
      </c>
      <c r="V392" s="135">
        <v>0</v>
      </c>
      <c r="W392" s="135">
        <v>101.0950714773096</v>
      </c>
      <c r="X392" s="135">
        <v>0</v>
      </c>
      <c r="Y392" s="135">
        <v>60.776439024390243</v>
      </c>
      <c r="Z392" s="135">
        <v>2894.4838780487808</v>
      </c>
      <c r="AA392" s="135">
        <v>0</v>
      </c>
      <c r="AB392" s="135">
        <v>679.1203840364019</v>
      </c>
      <c r="AC392" s="135">
        <v>234.9825212444029</v>
      </c>
      <c r="AD392" s="135">
        <v>0</v>
      </c>
      <c r="AE392" s="135">
        <v>1511.2327463414633</v>
      </c>
      <c r="AF392" s="135">
        <v>29.760439024390244</v>
      </c>
      <c r="AG392" s="135">
        <v>79.720585365853651</v>
      </c>
      <c r="AH392" s="135">
        <v>11777.464747489823</v>
      </c>
      <c r="AI392" s="135">
        <v>568.07180487804817</v>
      </c>
      <c r="AJ392" s="135">
        <v>-259.13290243902441</v>
      </c>
      <c r="AK392" s="135">
        <v>-48.691733400739167</v>
      </c>
      <c r="AL392" s="135">
        <v>0</v>
      </c>
      <c r="AM392" s="135">
        <v>-45.898780487804871</v>
      </c>
      <c r="AN392" s="135">
        <v>235.95112195121965</v>
      </c>
      <c r="AO392" s="135">
        <v>0</v>
      </c>
      <c r="AP392" s="135">
        <v>-18.262557506622443</v>
      </c>
      <c r="AQ392" s="135">
        <v>234.9825212444029</v>
      </c>
      <c r="AR392" s="135">
        <v>35.221439024390243</v>
      </c>
      <c r="AS392" s="135">
        <v>-0.47088780487797521</v>
      </c>
      <c r="AT392" s="135">
        <v>1.2391463414634174</v>
      </c>
      <c r="AU392" s="135">
        <v>-12.90556097560976</v>
      </c>
      <c r="AV392" s="135">
        <v>690.10361969900896</v>
      </c>
      <c r="AW392" s="135"/>
      <c r="AX392" s="164"/>
      <c r="AY392" s="132"/>
      <c r="AZ392" s="135"/>
      <c r="BA392" s="135"/>
      <c r="BB392" s="132"/>
    </row>
    <row r="393" spans="1:54" ht="16.5" x14ac:dyDescent="0.3">
      <c r="A393" s="132">
        <v>4020</v>
      </c>
      <c r="B393" s="132">
        <v>7</v>
      </c>
      <c r="C393" s="132" t="s">
        <v>592</v>
      </c>
      <c r="D393" s="133">
        <v>7</v>
      </c>
      <c r="E393" s="163">
        <v>1251</v>
      </c>
      <c r="F393" s="135">
        <v>5619.2033253397285</v>
      </c>
      <c r="G393" s="135">
        <v>20.039384492406075</v>
      </c>
      <c r="H393" s="135">
        <v>9.6219024780175869E-2</v>
      </c>
      <c r="I393" s="135">
        <v>0</v>
      </c>
      <c r="J393" s="135">
        <v>106.6938689048761</v>
      </c>
      <c r="K393" s="135">
        <v>667.64757793764988</v>
      </c>
      <c r="L393" s="135">
        <v>0</v>
      </c>
      <c r="M393" s="135">
        <v>2533.9222023778289</v>
      </c>
      <c r="N393" s="135">
        <v>0</v>
      </c>
      <c r="O393" s="135">
        <v>-35.227585931254993</v>
      </c>
      <c r="P393" s="135">
        <v>1304.1962829736212</v>
      </c>
      <c r="Q393" s="135">
        <v>99.626834532374104</v>
      </c>
      <c r="R393" s="135">
        <v>341.45656274980013</v>
      </c>
      <c r="S393" s="135">
        <v>10657.654672401806</v>
      </c>
      <c r="T393" s="135"/>
      <c r="U393" s="135">
        <v>6190.7194244604316</v>
      </c>
      <c r="V393" s="135">
        <v>0</v>
      </c>
      <c r="W393" s="135">
        <v>0</v>
      </c>
      <c r="X393" s="135">
        <v>0</v>
      </c>
      <c r="Y393" s="135">
        <v>60.819936051159075</v>
      </c>
      <c r="Z393" s="135">
        <v>804.48432454036777</v>
      </c>
      <c r="AA393" s="135">
        <v>0</v>
      </c>
      <c r="AB393" s="135">
        <v>2472.1688546410887</v>
      </c>
      <c r="AC393" s="135">
        <v>117.84262198245725</v>
      </c>
      <c r="AD393" s="135">
        <v>0</v>
      </c>
      <c r="AE393" s="135">
        <v>1304.1170207833734</v>
      </c>
      <c r="AF393" s="135">
        <v>100.86619504396484</v>
      </c>
      <c r="AG393" s="135">
        <v>328.54874500399683</v>
      </c>
      <c r="AH393" s="135">
        <v>11379.56712250684</v>
      </c>
      <c r="AI393" s="135">
        <v>571.51609912070307</v>
      </c>
      <c r="AJ393" s="135">
        <v>-20.039384492406075</v>
      </c>
      <c r="AK393" s="135">
        <v>-9.6219024780175869E-2</v>
      </c>
      <c r="AL393" s="135">
        <v>0</v>
      </c>
      <c r="AM393" s="135">
        <v>-45.873932853717022</v>
      </c>
      <c r="AN393" s="135">
        <v>136.83674660271788</v>
      </c>
      <c r="AO393" s="135">
        <v>0</v>
      </c>
      <c r="AP393" s="135">
        <v>-61.753347736740125</v>
      </c>
      <c r="AQ393" s="135">
        <v>117.84262198245725</v>
      </c>
      <c r="AR393" s="135">
        <v>35.227585931254993</v>
      </c>
      <c r="AS393" s="135">
        <v>-7.9262190247845865E-2</v>
      </c>
      <c r="AT393" s="135">
        <v>1.239360511590732</v>
      </c>
      <c r="AU393" s="135">
        <v>-12.9078177458033</v>
      </c>
      <c r="AV393" s="135">
        <v>721.91245231684354</v>
      </c>
      <c r="AW393" s="135"/>
      <c r="AX393" s="132"/>
      <c r="AY393" s="132"/>
      <c r="AZ393" s="155"/>
      <c r="BA393" s="155"/>
      <c r="BB393" s="132"/>
    </row>
    <row r="394" spans="1:54" ht="16.5" x14ac:dyDescent="0.3">
      <c r="A394" s="132">
        <v>4025</v>
      </c>
      <c r="B394" s="132">
        <v>7</v>
      </c>
      <c r="C394" s="132" t="s">
        <v>598</v>
      </c>
      <c r="D394" s="133">
        <v>7</v>
      </c>
      <c r="E394" s="163">
        <v>147</v>
      </c>
      <c r="F394" s="135">
        <v>6236.1055782312924</v>
      </c>
      <c r="G394" s="135">
        <v>10.409455782312925</v>
      </c>
      <c r="H394" s="135">
        <v>61.055374149659862</v>
      </c>
      <c r="I394" s="135">
        <v>0</v>
      </c>
      <c r="J394" s="135">
        <v>118.40721088435374</v>
      </c>
      <c r="K394" s="135">
        <v>63.138571428571431</v>
      </c>
      <c r="L394" s="135">
        <v>0</v>
      </c>
      <c r="M394" s="135">
        <v>947.72013605442169</v>
      </c>
      <c r="N394" s="135">
        <v>0</v>
      </c>
      <c r="O394" s="135">
        <v>-39.095034013605442</v>
      </c>
      <c r="P394" s="135">
        <v>1634.2159183673471</v>
      </c>
      <c r="Q394" s="135">
        <v>31.658027210884349</v>
      </c>
      <c r="R394" s="135">
        <v>276.15210884353741</v>
      </c>
      <c r="S394" s="135">
        <v>9339.7673469387737</v>
      </c>
      <c r="T394" s="135"/>
      <c r="U394" s="135">
        <v>6994.2857142857138</v>
      </c>
      <c r="V394" s="135">
        <v>0</v>
      </c>
      <c r="W394" s="135">
        <v>52.113327206460674</v>
      </c>
      <c r="X394" s="135">
        <v>0</v>
      </c>
      <c r="Y394" s="135">
        <v>68.714489795918368</v>
      </c>
      <c r="Z394" s="135">
        <v>98.628911564625852</v>
      </c>
      <c r="AA394" s="135">
        <v>0</v>
      </c>
      <c r="AB394" s="135">
        <v>918.55444408963126</v>
      </c>
      <c r="AC394" s="135">
        <v>0</v>
      </c>
      <c r="AD394" s="135">
        <v>0</v>
      </c>
      <c r="AE394" s="135">
        <v>1638.5538911564627</v>
      </c>
      <c r="AF394" s="135">
        <v>33.033469387755105</v>
      </c>
      <c r="AG394" s="135">
        <v>261.82721088435375</v>
      </c>
      <c r="AH394" s="135">
        <v>10065.711458370923</v>
      </c>
      <c r="AI394" s="135">
        <v>758.18013605442138</v>
      </c>
      <c r="AJ394" s="135">
        <v>-10.409455782312925</v>
      </c>
      <c r="AK394" s="135">
        <v>-8.9420469431991876</v>
      </c>
      <c r="AL394" s="135">
        <v>0</v>
      </c>
      <c r="AM394" s="135">
        <v>-49.692721088435377</v>
      </c>
      <c r="AN394" s="135">
        <v>35.490340136054421</v>
      </c>
      <c r="AO394" s="135">
        <v>0</v>
      </c>
      <c r="AP394" s="135">
        <v>-29.165691964790426</v>
      </c>
      <c r="AQ394" s="135">
        <v>0</v>
      </c>
      <c r="AR394" s="135">
        <v>39.095034013605442</v>
      </c>
      <c r="AS394" s="135">
        <v>4.3379727891156108</v>
      </c>
      <c r="AT394" s="135">
        <v>1.3754421768707559</v>
      </c>
      <c r="AU394" s="135">
        <v>-14.324897959183659</v>
      </c>
      <c r="AV394" s="135">
        <v>725.9441155366153</v>
      </c>
      <c r="AW394" s="135"/>
      <c r="AX394" s="164"/>
      <c r="AY394" s="132"/>
      <c r="AZ394" s="135"/>
      <c r="BA394" s="135"/>
      <c r="BB394" s="132"/>
    </row>
    <row r="395" spans="1:54" ht="16.5" x14ac:dyDescent="0.3">
      <c r="A395" s="132">
        <v>4026</v>
      </c>
      <c r="B395" s="132">
        <v>7</v>
      </c>
      <c r="C395" s="132" t="s">
        <v>679</v>
      </c>
      <c r="D395" s="133">
        <v>7</v>
      </c>
      <c r="E395" s="163">
        <v>159</v>
      </c>
      <c r="F395" s="135">
        <v>6122.265157232705</v>
      </c>
      <c r="G395" s="135">
        <v>0</v>
      </c>
      <c r="H395" s="135">
        <v>480.22503144654087</v>
      </c>
      <c r="I395" s="135">
        <v>0</v>
      </c>
      <c r="J395" s="135">
        <v>116.2456603773585</v>
      </c>
      <c r="K395" s="135">
        <v>641.20000000000005</v>
      </c>
      <c r="L395" s="135">
        <v>0</v>
      </c>
      <c r="M395" s="135">
        <v>1576.627421383648</v>
      </c>
      <c r="N395" s="135">
        <v>0</v>
      </c>
      <c r="O395" s="135">
        <v>-38.381383647798742</v>
      </c>
      <c r="P395" s="135">
        <v>1602.1955345911949</v>
      </c>
      <c r="Q395" s="135">
        <v>280.95150943396226</v>
      </c>
      <c r="R395" s="135">
        <v>372.49427672955972</v>
      </c>
      <c r="S395" s="135">
        <v>11153.823207547171</v>
      </c>
      <c r="T395" s="135"/>
      <c r="U395" s="135">
        <v>6824.0649056603779</v>
      </c>
      <c r="V395" s="135">
        <v>0</v>
      </c>
      <c r="W395" s="135">
        <v>501.63253327878101</v>
      </c>
      <c r="X395" s="135">
        <v>0</v>
      </c>
      <c r="Y395" s="135">
        <v>64.384842767295595</v>
      </c>
      <c r="Z395" s="135">
        <v>787.87628930817607</v>
      </c>
      <c r="AA395" s="135">
        <v>0</v>
      </c>
      <c r="AB395" s="135">
        <v>1532.4225974029403</v>
      </c>
      <c r="AC395" s="135">
        <v>77.683304072089328</v>
      </c>
      <c r="AD395" s="135">
        <v>0</v>
      </c>
      <c r="AE395" s="135">
        <v>1600.9575723270441</v>
      </c>
      <c r="AF395" s="135">
        <v>282.30182389937107</v>
      </c>
      <c r="AG395" s="135">
        <v>358.43088050314464</v>
      </c>
      <c r="AH395" s="135">
        <v>12029.754749219221</v>
      </c>
      <c r="AI395" s="135">
        <v>701.79974842767297</v>
      </c>
      <c r="AJ395" s="135">
        <v>0</v>
      </c>
      <c r="AK395" s="135">
        <v>21.407501832240143</v>
      </c>
      <c r="AL395" s="135">
        <v>0</v>
      </c>
      <c r="AM395" s="135">
        <v>-51.860817610062909</v>
      </c>
      <c r="AN395" s="135">
        <v>146.67628930817602</v>
      </c>
      <c r="AO395" s="135">
        <v>0</v>
      </c>
      <c r="AP395" s="135">
        <v>-44.204823980707715</v>
      </c>
      <c r="AQ395" s="135">
        <v>77.683304072089328</v>
      </c>
      <c r="AR395" s="135">
        <v>38.381383647798742</v>
      </c>
      <c r="AS395" s="135">
        <v>-1.2379622641508377</v>
      </c>
      <c r="AT395" s="135">
        <v>1.3503144654088146</v>
      </c>
      <c r="AU395" s="135">
        <v>-14.06339622641508</v>
      </c>
      <c r="AV395" s="135">
        <v>875.93154364250404</v>
      </c>
      <c r="AW395" s="135"/>
      <c r="AX395" s="164"/>
      <c r="AY395" s="132"/>
      <c r="AZ395" s="135"/>
      <c r="BA395" s="135"/>
      <c r="BB395" s="132"/>
    </row>
    <row r="396" spans="1:54" ht="16.5" x14ac:dyDescent="0.3">
      <c r="A396" s="132">
        <v>4027</v>
      </c>
      <c r="B396" s="132">
        <v>7</v>
      </c>
      <c r="C396" s="132" t="s">
        <v>273</v>
      </c>
      <c r="D396" s="133">
        <v>7</v>
      </c>
      <c r="E396" s="163">
        <v>729</v>
      </c>
      <c r="F396" s="135">
        <v>5721.0324279835395</v>
      </c>
      <c r="G396" s="135">
        <v>270.30345679012345</v>
      </c>
      <c r="H396" s="135">
        <v>94.416995884773669</v>
      </c>
      <c r="I396" s="135">
        <v>0</v>
      </c>
      <c r="J396" s="135">
        <v>108.62733882030179</v>
      </c>
      <c r="K396" s="135">
        <v>3186.2545130315502</v>
      </c>
      <c r="L396" s="135">
        <v>0</v>
      </c>
      <c r="M396" s="135">
        <v>258.59617773997803</v>
      </c>
      <c r="N396" s="135">
        <v>0</v>
      </c>
      <c r="O396" s="135">
        <v>-35.8659670781893</v>
      </c>
      <c r="P396" s="135">
        <v>1535.3179286694103</v>
      </c>
      <c r="Q396" s="135">
        <v>29.043223593964331</v>
      </c>
      <c r="R396" s="135">
        <v>75.876968449931411</v>
      </c>
      <c r="S396" s="135">
        <v>11243.603063885383</v>
      </c>
      <c r="T396" s="135"/>
      <c r="U396" s="135">
        <v>6285.308641975309</v>
      </c>
      <c r="V396" s="135">
        <v>0</v>
      </c>
      <c r="W396" s="135">
        <v>66.02082517076775</v>
      </c>
      <c r="X396" s="135">
        <v>0</v>
      </c>
      <c r="Y396" s="135">
        <v>61.749218106995883</v>
      </c>
      <c r="Z396" s="135">
        <v>3057.4581893004115</v>
      </c>
      <c r="AA396" s="135">
        <v>0</v>
      </c>
      <c r="AB396" s="135">
        <v>251.95750003088489</v>
      </c>
      <c r="AC396" s="135">
        <v>325.31082396608275</v>
      </c>
      <c r="AD396" s="135">
        <v>0</v>
      </c>
      <c r="AE396" s="135">
        <v>1534.608742112483</v>
      </c>
      <c r="AF396" s="135">
        <v>30.305034293552811</v>
      </c>
      <c r="AG396" s="135">
        <v>62.735240054869685</v>
      </c>
      <c r="AH396" s="135">
        <v>11675.454215011358</v>
      </c>
      <c r="AI396" s="135">
        <v>564.27621399176951</v>
      </c>
      <c r="AJ396" s="135">
        <v>-270.30345679012345</v>
      </c>
      <c r="AK396" s="135">
        <v>-28.396170714005919</v>
      </c>
      <c r="AL396" s="135">
        <v>0</v>
      </c>
      <c r="AM396" s="135">
        <v>-46.878120713305904</v>
      </c>
      <c r="AN396" s="135">
        <v>-128.79632373113873</v>
      </c>
      <c r="AO396" s="135">
        <v>0</v>
      </c>
      <c r="AP396" s="135">
        <v>-6.6386777090931446</v>
      </c>
      <c r="AQ396" s="135">
        <v>325.31082396608275</v>
      </c>
      <c r="AR396" s="135">
        <v>35.8659670781893</v>
      </c>
      <c r="AS396" s="135">
        <v>-0.70918655692730681</v>
      </c>
      <c r="AT396" s="135">
        <v>1.2618106995884801</v>
      </c>
      <c r="AU396" s="135">
        <v>-13.141728395061726</v>
      </c>
      <c r="AV396" s="135">
        <v>431.85115261900654</v>
      </c>
      <c r="AW396" s="135"/>
      <c r="AX396" s="132"/>
      <c r="AY396" s="132"/>
      <c r="AZ396" s="155"/>
      <c r="BA396" s="155"/>
      <c r="BB396" s="132"/>
    </row>
    <row r="397" spans="1:54" ht="16.5" x14ac:dyDescent="0.3">
      <c r="A397" s="132">
        <v>4029</v>
      </c>
      <c r="B397" s="132">
        <v>7</v>
      </c>
      <c r="C397" s="132" t="s">
        <v>680</v>
      </c>
      <c r="D397" s="133">
        <v>7</v>
      </c>
      <c r="E397" s="163">
        <v>340</v>
      </c>
      <c r="F397" s="135">
        <v>5593.9821176470587</v>
      </c>
      <c r="G397" s="135">
        <v>0</v>
      </c>
      <c r="H397" s="135">
        <v>160.03891176470589</v>
      </c>
      <c r="I397" s="135">
        <v>0</v>
      </c>
      <c r="J397" s="135">
        <v>106.21499999999999</v>
      </c>
      <c r="K397" s="135">
        <v>3188.36</v>
      </c>
      <c r="L397" s="135">
        <v>0</v>
      </c>
      <c r="M397" s="135">
        <v>942.0338181651648</v>
      </c>
      <c r="N397" s="135">
        <v>0</v>
      </c>
      <c r="O397" s="135">
        <v>-35.069470588235298</v>
      </c>
      <c r="P397" s="135">
        <v>1501.9699117647058</v>
      </c>
      <c r="Q397" s="135">
        <v>28.398235294117647</v>
      </c>
      <c r="R397" s="135">
        <v>74.450735294117649</v>
      </c>
      <c r="S397" s="135">
        <v>11560.379259341635</v>
      </c>
      <c r="T397" s="135"/>
      <c r="U397" s="135">
        <v>6163.8088235294126</v>
      </c>
      <c r="V397" s="135">
        <v>0</v>
      </c>
      <c r="W397" s="135">
        <v>106.67794609083352</v>
      </c>
      <c r="X397" s="135">
        <v>0</v>
      </c>
      <c r="Y397" s="135">
        <v>60.364411764705885</v>
      </c>
      <c r="Z397" s="135">
        <v>3642.6985588235293</v>
      </c>
      <c r="AA397" s="135">
        <v>0</v>
      </c>
      <c r="AB397" s="135">
        <v>908.13583850543137</v>
      </c>
      <c r="AC397" s="135">
        <v>262.07288676978783</v>
      </c>
      <c r="AD397" s="135">
        <v>0</v>
      </c>
      <c r="AE397" s="135">
        <v>1500.9874</v>
      </c>
      <c r="AF397" s="135">
        <v>29.632029411764709</v>
      </c>
      <c r="AG397" s="135">
        <v>61.60085294117647</v>
      </c>
      <c r="AH397" s="135">
        <v>12735.97874783664</v>
      </c>
      <c r="AI397" s="135">
        <v>569.82670588235396</v>
      </c>
      <c r="AJ397" s="135">
        <v>0</v>
      </c>
      <c r="AK397" s="135">
        <v>-53.360965673872371</v>
      </c>
      <c r="AL397" s="135">
        <v>0</v>
      </c>
      <c r="AM397" s="135">
        <v>-45.850588235294104</v>
      </c>
      <c r="AN397" s="135">
        <v>454.33855882352918</v>
      </c>
      <c r="AO397" s="135">
        <v>0</v>
      </c>
      <c r="AP397" s="135">
        <v>-33.897979659733437</v>
      </c>
      <c r="AQ397" s="135">
        <v>262.07288676978783</v>
      </c>
      <c r="AR397" s="135">
        <v>35.069470588235298</v>
      </c>
      <c r="AS397" s="135">
        <v>-0.98251176470580504</v>
      </c>
      <c r="AT397" s="135">
        <v>1.2337941176470615</v>
      </c>
      <c r="AU397" s="135">
        <v>-12.849882352941179</v>
      </c>
      <c r="AV397" s="135">
        <v>1175.5994974546002</v>
      </c>
      <c r="AW397" s="135"/>
      <c r="AX397" s="132"/>
      <c r="AY397" s="132"/>
      <c r="AZ397" s="155"/>
      <c r="BA397" s="155"/>
      <c r="BB397" s="132"/>
    </row>
    <row r="398" spans="1:54" ht="16.5" x14ac:dyDescent="0.3">
      <c r="A398" s="132">
        <v>4030</v>
      </c>
      <c r="B398" s="132">
        <v>7</v>
      </c>
      <c r="C398" s="132" t="s">
        <v>682</v>
      </c>
      <c r="D398" s="133">
        <v>7</v>
      </c>
      <c r="E398" s="163">
        <v>294</v>
      </c>
      <c r="F398" s="135">
        <v>5361.1744217687074</v>
      </c>
      <c r="G398" s="135">
        <v>0</v>
      </c>
      <c r="H398" s="135">
        <v>17.450748299319731</v>
      </c>
      <c r="I398" s="135">
        <v>0</v>
      </c>
      <c r="J398" s="135">
        <v>101.7945918367347</v>
      </c>
      <c r="K398" s="135">
        <v>2213.3523809523808</v>
      </c>
      <c r="L398" s="135">
        <v>0</v>
      </c>
      <c r="M398" s="135">
        <v>1327.6992214421768</v>
      </c>
      <c r="N398" s="135">
        <v>0</v>
      </c>
      <c r="O398" s="135">
        <v>-33.609965986394556</v>
      </c>
      <c r="P398" s="135">
        <v>1442.5397278911566</v>
      </c>
      <c r="Q398" s="135">
        <v>27.216360544217689</v>
      </c>
      <c r="R398" s="135">
        <v>70.779693877551011</v>
      </c>
      <c r="S398" s="135">
        <v>10528.397180625852</v>
      </c>
      <c r="T398" s="135"/>
      <c r="U398" s="135">
        <v>5873.5714285714294</v>
      </c>
      <c r="V398" s="135">
        <v>0</v>
      </c>
      <c r="W398" s="135">
        <v>63.176902053662268</v>
      </c>
      <c r="X398" s="135">
        <v>0</v>
      </c>
      <c r="Y398" s="135">
        <v>57.704149659863944</v>
      </c>
      <c r="Z398" s="135">
        <v>2508.6459442824748</v>
      </c>
      <c r="AA398" s="135">
        <v>0</v>
      </c>
      <c r="AB398" s="135">
        <v>1287.5838644949199</v>
      </c>
      <c r="AC398" s="135">
        <v>302.51786541576672</v>
      </c>
      <c r="AD398" s="135">
        <v>0</v>
      </c>
      <c r="AE398" s="135">
        <v>1434.8389149659865</v>
      </c>
      <c r="AF398" s="135">
        <v>28.398809523809526</v>
      </c>
      <c r="AG398" s="135">
        <v>58.464591836734691</v>
      </c>
      <c r="AH398" s="135">
        <v>11614.902470804647</v>
      </c>
      <c r="AI398" s="135">
        <v>512.39700680272199</v>
      </c>
      <c r="AJ398" s="135">
        <v>0</v>
      </c>
      <c r="AK398" s="135">
        <v>45.726153754342533</v>
      </c>
      <c r="AL398" s="135">
        <v>0</v>
      </c>
      <c r="AM398" s="135">
        <v>-44.090442176870752</v>
      </c>
      <c r="AN398" s="135">
        <v>295.293563330094</v>
      </c>
      <c r="AO398" s="135">
        <v>0</v>
      </c>
      <c r="AP398" s="135">
        <v>-40.115356947256942</v>
      </c>
      <c r="AQ398" s="135">
        <v>302.51786541576672</v>
      </c>
      <c r="AR398" s="135">
        <v>33.609965986394556</v>
      </c>
      <c r="AS398" s="135">
        <v>-7.7008129251701121</v>
      </c>
      <c r="AT398" s="135">
        <v>1.182448979591836</v>
      </c>
      <c r="AU398" s="135">
        <v>-12.315102040816321</v>
      </c>
      <c r="AV398" s="135">
        <v>1086.505291558417</v>
      </c>
      <c r="AW398" s="135"/>
      <c r="AX398" s="164"/>
      <c r="AY398" s="132"/>
      <c r="AZ398" s="135"/>
      <c r="BA398" s="135"/>
      <c r="BB398" s="132"/>
    </row>
    <row r="399" spans="1:54" ht="16.5" x14ac:dyDescent="0.3">
      <c r="A399" s="132">
        <v>4031</v>
      </c>
      <c r="B399" s="132">
        <v>7</v>
      </c>
      <c r="C399" s="132" t="s">
        <v>261</v>
      </c>
      <c r="D399" s="133">
        <v>7</v>
      </c>
      <c r="E399" s="163">
        <v>68</v>
      </c>
      <c r="F399" s="135">
        <v>6791.2</v>
      </c>
      <c r="G399" s="135">
        <v>0</v>
      </c>
      <c r="H399" s="135">
        <v>170.83338235294119</v>
      </c>
      <c r="I399" s="135">
        <v>0</v>
      </c>
      <c r="J399" s="135">
        <v>128.9470588235294</v>
      </c>
      <c r="K399" s="135">
        <v>2703.2201470588234</v>
      </c>
      <c r="L399" s="135">
        <v>0</v>
      </c>
      <c r="M399" s="135">
        <v>498.09562134994121</v>
      </c>
      <c r="N399" s="135">
        <v>0</v>
      </c>
      <c r="O399" s="135">
        <v>-42.574999999999996</v>
      </c>
      <c r="P399" s="135">
        <v>1827.3189705882353</v>
      </c>
      <c r="Q399" s="135">
        <v>34.476029411764706</v>
      </c>
      <c r="R399" s="135">
        <v>15.6</v>
      </c>
      <c r="S399" s="135">
        <v>12127.116209585234</v>
      </c>
      <c r="T399" s="135"/>
      <c r="U399" s="135">
        <v>7559.9999999999991</v>
      </c>
      <c r="V399" s="135">
        <v>0</v>
      </c>
      <c r="W399" s="135">
        <v>115.38202210009001</v>
      </c>
      <c r="X399" s="135">
        <v>0</v>
      </c>
      <c r="Y399" s="135">
        <v>74.272205882352949</v>
      </c>
      <c r="Z399" s="135">
        <v>2379.1223961937717</v>
      </c>
      <c r="AA399" s="135">
        <v>0</v>
      </c>
      <c r="AB399" s="135">
        <v>483.33909425620175</v>
      </c>
      <c r="AC399" s="135">
        <v>0</v>
      </c>
      <c r="AD399" s="135">
        <v>0</v>
      </c>
      <c r="AE399" s="135">
        <v>1846.8119999999999</v>
      </c>
      <c r="AF399" s="135">
        <v>35.973823529411767</v>
      </c>
      <c r="AG399" s="135">
        <v>0</v>
      </c>
      <c r="AH399" s="135">
        <v>12494.901541961826</v>
      </c>
      <c r="AI399" s="135">
        <v>768.79999999999927</v>
      </c>
      <c r="AJ399" s="135">
        <v>0</v>
      </c>
      <c r="AK399" s="135">
        <v>-55.451360252851174</v>
      </c>
      <c r="AL399" s="135">
        <v>0</v>
      </c>
      <c r="AM399" s="135">
        <v>-54.674852941176454</v>
      </c>
      <c r="AN399" s="135">
        <v>-324.09775086505169</v>
      </c>
      <c r="AO399" s="135">
        <v>0</v>
      </c>
      <c r="AP399" s="135">
        <v>-14.756527093739464</v>
      </c>
      <c r="AQ399" s="135">
        <v>0</v>
      </c>
      <c r="AR399" s="135">
        <v>42.574999999999996</v>
      </c>
      <c r="AS399" s="135">
        <v>19.49302941176461</v>
      </c>
      <c r="AT399" s="135">
        <v>1.4977941176470608</v>
      </c>
      <c r="AU399" s="135">
        <v>-15.6</v>
      </c>
      <c r="AV399" s="135">
        <v>367.7853385708874</v>
      </c>
      <c r="AW399" s="135"/>
      <c r="AX399" s="164"/>
      <c r="AY399" s="132"/>
      <c r="AZ399" s="135"/>
      <c r="BA399" s="135"/>
      <c r="BB399" s="132"/>
    </row>
    <row r="400" spans="1:54" ht="16.5" x14ac:dyDescent="0.3">
      <c r="A400" s="132">
        <v>4032</v>
      </c>
      <c r="B400" s="132">
        <v>7</v>
      </c>
      <c r="C400" s="132" t="s">
        <v>283</v>
      </c>
      <c r="D400" s="133">
        <v>7</v>
      </c>
      <c r="E400" s="163">
        <v>440</v>
      </c>
      <c r="F400" s="135">
        <v>5280.2767272727269</v>
      </c>
      <c r="G400" s="135">
        <v>0</v>
      </c>
      <c r="H400" s="135">
        <v>3.1344545454545449</v>
      </c>
      <c r="I400" s="135">
        <v>0</v>
      </c>
      <c r="J400" s="135">
        <v>100.25854545454546</v>
      </c>
      <c r="K400" s="135">
        <v>2948.7413181818183</v>
      </c>
      <c r="L400" s="135">
        <v>0</v>
      </c>
      <c r="M400" s="135">
        <v>618.00637160939311</v>
      </c>
      <c r="N400" s="135">
        <v>0</v>
      </c>
      <c r="O400" s="135">
        <v>-33.102818181818179</v>
      </c>
      <c r="P400" s="135">
        <v>1390.1179318181819</v>
      </c>
      <c r="Q400" s="135">
        <v>26.805704545454546</v>
      </c>
      <c r="R400" s="135">
        <v>326.86827272727277</v>
      </c>
      <c r="S400" s="135">
        <v>10661.106507973031</v>
      </c>
      <c r="T400" s="135"/>
      <c r="U400" s="135">
        <v>5770.227272727273</v>
      </c>
      <c r="V400" s="135">
        <v>0</v>
      </c>
      <c r="W400" s="135">
        <v>7.017905971673712</v>
      </c>
      <c r="X400" s="135">
        <v>0</v>
      </c>
      <c r="Y400" s="135">
        <v>56.688863636363635</v>
      </c>
      <c r="Z400" s="135">
        <v>2580.3808181818181</v>
      </c>
      <c r="AA400" s="135">
        <v>0</v>
      </c>
      <c r="AB400" s="135">
        <v>597.67945336526782</v>
      </c>
      <c r="AC400" s="135">
        <v>376.16374467271254</v>
      </c>
      <c r="AD400" s="135">
        <v>0</v>
      </c>
      <c r="AE400" s="135">
        <v>1388.3614318181817</v>
      </c>
      <c r="AF400" s="135">
        <v>27.970318181818183</v>
      </c>
      <c r="AG400" s="135">
        <v>314.73900000000003</v>
      </c>
      <c r="AH400" s="135">
        <v>11119.22880855511</v>
      </c>
      <c r="AI400" s="135">
        <v>489.95054545454605</v>
      </c>
      <c r="AJ400" s="135">
        <v>0</v>
      </c>
      <c r="AK400" s="135">
        <v>3.8834514262191671</v>
      </c>
      <c r="AL400" s="135">
        <v>0</v>
      </c>
      <c r="AM400" s="135">
        <v>-43.56968181818182</v>
      </c>
      <c r="AN400" s="135">
        <v>-368.36050000000023</v>
      </c>
      <c r="AO400" s="135">
        <v>0</v>
      </c>
      <c r="AP400" s="135">
        <v>-20.326918244125295</v>
      </c>
      <c r="AQ400" s="135">
        <v>376.16374467271254</v>
      </c>
      <c r="AR400" s="135">
        <v>33.102818181818179</v>
      </c>
      <c r="AS400" s="135">
        <v>-1.7565000000001874</v>
      </c>
      <c r="AT400" s="135">
        <v>1.1646136363636366</v>
      </c>
      <c r="AU400" s="135">
        <v>-12.129272727272735</v>
      </c>
      <c r="AV400" s="135">
        <v>458.12230262602048</v>
      </c>
      <c r="AW400" s="135"/>
      <c r="AX400" s="132"/>
      <c r="AY400" s="132"/>
      <c r="AZ400" s="155"/>
      <c r="BA400" s="155"/>
      <c r="BB400" s="132"/>
    </row>
    <row r="401" spans="1:54" s="134" customFormat="1" ht="16.5" x14ac:dyDescent="0.3">
      <c r="A401" s="134">
        <v>4035</v>
      </c>
      <c r="B401" s="134">
        <v>7</v>
      </c>
      <c r="C401" s="134" t="s">
        <v>249</v>
      </c>
      <c r="D401" s="136">
        <v>7</v>
      </c>
      <c r="E401" s="163">
        <v>375</v>
      </c>
      <c r="F401" s="155">
        <v>5295.0464000000002</v>
      </c>
      <c r="G401" s="155">
        <v>309.82711999999998</v>
      </c>
      <c r="H401" s="155">
        <v>122.44336</v>
      </c>
      <c r="I401" s="155">
        <v>0</v>
      </c>
      <c r="J401" s="155">
        <v>100.53898666666667</v>
      </c>
      <c r="K401" s="155">
        <v>2452.8104000000003</v>
      </c>
      <c r="L401" s="155">
        <v>0</v>
      </c>
      <c r="M401" s="155">
        <v>2824.6424588305067</v>
      </c>
      <c r="N401" s="155">
        <v>0</v>
      </c>
      <c r="O401" s="155">
        <v>-33.195413333333335</v>
      </c>
      <c r="P401" s="155">
        <v>1271.1465600000001</v>
      </c>
      <c r="Q401" s="155">
        <v>26.880693333333333</v>
      </c>
      <c r="R401" s="155">
        <v>291.9298133333333</v>
      </c>
      <c r="S401" s="155">
        <v>12662.070378830509</v>
      </c>
      <c r="T401" s="155"/>
      <c r="U401" s="155">
        <v>5769.12</v>
      </c>
      <c r="V401" s="135">
        <v>188.19853109981617</v>
      </c>
      <c r="W401" s="155">
        <v>81.577828512675822</v>
      </c>
      <c r="X401" s="155">
        <v>0</v>
      </c>
      <c r="Y401" s="155">
        <v>56.677973333333341</v>
      </c>
      <c r="Z401" s="155">
        <v>1971.7143322222221</v>
      </c>
      <c r="AA401" s="155">
        <v>0</v>
      </c>
      <c r="AB401" s="155">
        <v>2754.6956155832622</v>
      </c>
      <c r="AC401" s="155">
        <v>263.50176741252699</v>
      </c>
      <c r="AD401" s="155">
        <v>0</v>
      </c>
      <c r="AE401" s="155">
        <v>1268.7691573333334</v>
      </c>
      <c r="AF401" s="155">
        <v>28.048560000000002</v>
      </c>
      <c r="AG401" s="155">
        <v>279.76661333333334</v>
      </c>
      <c r="AH401" s="155">
        <v>12662.070378830502</v>
      </c>
      <c r="AI401" s="155">
        <v>474.07359999999971</v>
      </c>
      <c r="AJ401" s="155">
        <v>-121.62858890018381</v>
      </c>
      <c r="AK401" s="155">
        <v>-40.865531487324176</v>
      </c>
      <c r="AL401" s="155">
        <v>0</v>
      </c>
      <c r="AM401" s="155">
        <v>-43.861013333333332</v>
      </c>
      <c r="AN401" s="155">
        <v>-481.09606777777822</v>
      </c>
      <c r="AO401" s="155">
        <v>0</v>
      </c>
      <c r="AP401" s="155">
        <v>-69.946843247244487</v>
      </c>
      <c r="AQ401" s="155">
        <v>263.50176741252699</v>
      </c>
      <c r="AR401" s="155">
        <v>33.195413333333335</v>
      </c>
      <c r="AS401" s="155">
        <v>-2.3774026666667396</v>
      </c>
      <c r="AT401" s="155">
        <v>1.1678666666666686</v>
      </c>
      <c r="AU401" s="155">
        <v>-12.163199999999961</v>
      </c>
      <c r="AV401" s="135">
        <v>9.8104112295940268E-6</v>
      </c>
      <c r="AW401" s="155"/>
      <c r="AX401" s="164"/>
      <c r="AY401" s="132"/>
      <c r="AZ401" s="135"/>
      <c r="BA401" s="135"/>
      <c r="BB401" s="132"/>
    </row>
    <row r="402" spans="1:54" ht="16.5" x14ac:dyDescent="0.3">
      <c r="A402" s="132">
        <v>4036</v>
      </c>
      <c r="B402" s="132">
        <v>7</v>
      </c>
      <c r="C402" s="132" t="s">
        <v>684</v>
      </c>
      <c r="D402" s="133">
        <v>7</v>
      </c>
      <c r="E402" s="163">
        <v>68</v>
      </c>
      <c r="F402" s="135">
        <v>6791.2</v>
      </c>
      <c r="G402" s="135">
        <v>0</v>
      </c>
      <c r="H402" s="135">
        <v>183.17161764705884</v>
      </c>
      <c r="I402" s="135">
        <v>0</v>
      </c>
      <c r="J402" s="135">
        <v>128.9470588235294</v>
      </c>
      <c r="K402" s="135">
        <v>2397.4279411764705</v>
      </c>
      <c r="L402" s="135">
        <v>0</v>
      </c>
      <c r="M402" s="135">
        <v>2300.5528744329413</v>
      </c>
      <c r="N402" s="135">
        <v>0</v>
      </c>
      <c r="O402" s="135">
        <v>-42.574999999999996</v>
      </c>
      <c r="P402" s="135">
        <v>1827.3189705882353</v>
      </c>
      <c r="Q402" s="135">
        <v>34.476029411764706</v>
      </c>
      <c r="R402" s="135">
        <v>265.59000000000003</v>
      </c>
      <c r="S402" s="135">
        <v>13886.109492080001</v>
      </c>
      <c r="T402" s="135"/>
      <c r="U402" s="135">
        <v>7559.9999999999991</v>
      </c>
      <c r="V402" s="135">
        <v>0</v>
      </c>
      <c r="W402" s="135">
        <v>122.33826641829449</v>
      </c>
      <c r="X402" s="135">
        <v>0</v>
      </c>
      <c r="Y402" s="135">
        <v>74.272205882352949</v>
      </c>
      <c r="Z402" s="135">
        <v>2718.6076470588237</v>
      </c>
      <c r="AA402" s="135">
        <v>0</v>
      </c>
      <c r="AB402" s="135">
        <v>2240.9310299158569</v>
      </c>
      <c r="AC402" s="135">
        <v>0</v>
      </c>
      <c r="AD402" s="135">
        <v>0</v>
      </c>
      <c r="AE402" s="135">
        <v>1846.8119999999999</v>
      </c>
      <c r="AF402" s="135">
        <v>35.973823529411767</v>
      </c>
      <c r="AG402" s="135">
        <v>249.99</v>
      </c>
      <c r="AH402" s="135">
        <v>14848.924972804738</v>
      </c>
      <c r="AI402" s="135">
        <v>768.79999999999927</v>
      </c>
      <c r="AJ402" s="135">
        <v>0</v>
      </c>
      <c r="AK402" s="135">
        <v>-60.833351228764343</v>
      </c>
      <c r="AL402" s="135">
        <v>0</v>
      </c>
      <c r="AM402" s="135">
        <v>-54.674852941176454</v>
      </c>
      <c r="AN402" s="135">
        <v>321.17970588235312</v>
      </c>
      <c r="AO402" s="135">
        <v>0</v>
      </c>
      <c r="AP402" s="135">
        <v>-59.621844517084355</v>
      </c>
      <c r="AQ402" s="135">
        <v>0</v>
      </c>
      <c r="AR402" s="135">
        <v>42.574999999999996</v>
      </c>
      <c r="AS402" s="135">
        <v>19.49302941176461</v>
      </c>
      <c r="AT402" s="135">
        <v>1.4977941176470608</v>
      </c>
      <c r="AU402" s="135">
        <v>-15.600000000000023</v>
      </c>
      <c r="AV402" s="135">
        <v>962.81548137046207</v>
      </c>
      <c r="AW402" s="135"/>
      <c r="AX402" s="164"/>
      <c r="AY402" s="132"/>
      <c r="AZ402" s="135"/>
      <c r="BA402" s="135"/>
      <c r="BB402" s="132"/>
    </row>
    <row r="403" spans="1:54" ht="16.5" x14ac:dyDescent="0.3">
      <c r="A403" s="132">
        <v>4038</v>
      </c>
      <c r="B403" s="132">
        <v>7</v>
      </c>
      <c r="C403" s="132" t="s">
        <v>685</v>
      </c>
      <c r="D403" s="133">
        <v>7</v>
      </c>
      <c r="E403" s="163">
        <v>394</v>
      </c>
      <c r="F403" s="135">
        <v>5503.7624365482234</v>
      </c>
      <c r="G403" s="135">
        <v>78.637208121827413</v>
      </c>
      <c r="H403" s="135">
        <v>1.3873857868020305</v>
      </c>
      <c r="I403" s="135">
        <v>0</v>
      </c>
      <c r="J403" s="135">
        <v>104.50195431472081</v>
      </c>
      <c r="K403" s="135">
        <v>2468.8027918781727</v>
      </c>
      <c r="L403" s="135">
        <v>0</v>
      </c>
      <c r="M403" s="135">
        <v>2197.2496892052081</v>
      </c>
      <c r="N403" s="135">
        <v>0</v>
      </c>
      <c r="O403" s="135">
        <v>-34.503883248730965</v>
      </c>
      <c r="P403" s="135">
        <v>1139.7132233502539</v>
      </c>
      <c r="Q403" s="135">
        <v>27.940253807106597</v>
      </c>
      <c r="R403" s="135">
        <v>300.21941624365479</v>
      </c>
      <c r="S403" s="135">
        <v>11787.71047600724</v>
      </c>
      <c r="T403" s="135"/>
      <c r="U403" s="135">
        <v>6040.9644670050766</v>
      </c>
      <c r="V403" s="135">
        <v>0</v>
      </c>
      <c r="W403" s="135">
        <v>3.3740656440963157</v>
      </c>
      <c r="X403" s="135">
        <v>0</v>
      </c>
      <c r="Y403" s="135">
        <v>59.348680203045689</v>
      </c>
      <c r="Z403" s="135">
        <v>2794.9993586539208</v>
      </c>
      <c r="AA403" s="135">
        <v>0</v>
      </c>
      <c r="AB403" s="135">
        <v>2147.6662660287475</v>
      </c>
      <c r="AC403" s="135">
        <v>288.45672349661777</v>
      </c>
      <c r="AD403" s="135">
        <v>0</v>
      </c>
      <c r="AE403" s="135">
        <v>1138.829385786802</v>
      </c>
      <c r="AF403" s="135">
        <v>29.154162436548219</v>
      </c>
      <c r="AG403" s="135">
        <v>287.57677664974619</v>
      </c>
      <c r="AH403" s="135">
        <v>12790.369885904604</v>
      </c>
      <c r="AI403" s="135">
        <v>537.20203045685321</v>
      </c>
      <c r="AJ403" s="135">
        <v>-78.637208121827413</v>
      </c>
      <c r="AK403" s="135">
        <v>1.9866798572942852</v>
      </c>
      <c r="AL403" s="135">
        <v>0</v>
      </c>
      <c r="AM403" s="135">
        <v>-45.153274111675117</v>
      </c>
      <c r="AN403" s="135">
        <v>326.19656677574812</v>
      </c>
      <c r="AO403" s="135">
        <v>0</v>
      </c>
      <c r="AP403" s="135">
        <v>-49.583423176460656</v>
      </c>
      <c r="AQ403" s="135">
        <v>288.45672349661777</v>
      </c>
      <c r="AR403" s="135">
        <v>34.503883248730965</v>
      </c>
      <c r="AS403" s="135">
        <v>-0.88383756345183428</v>
      </c>
      <c r="AT403" s="135">
        <v>1.2139086294416224</v>
      </c>
      <c r="AU403" s="135">
        <v>-12.642639593908598</v>
      </c>
      <c r="AV403" s="135">
        <v>1002.6594116521229</v>
      </c>
      <c r="AW403" s="135"/>
      <c r="AX403" s="164"/>
      <c r="AY403" s="132"/>
      <c r="AZ403" s="135"/>
      <c r="BA403" s="135"/>
      <c r="BB403" s="132"/>
    </row>
    <row r="404" spans="1:54" ht="16.5" x14ac:dyDescent="0.3">
      <c r="A404" s="132">
        <v>4039</v>
      </c>
      <c r="B404" s="132">
        <v>7</v>
      </c>
      <c r="C404" s="132" t="s">
        <v>686</v>
      </c>
      <c r="D404" s="133">
        <v>7</v>
      </c>
      <c r="E404" s="163">
        <v>200</v>
      </c>
      <c r="F404" s="135">
        <v>6854.4104000000007</v>
      </c>
      <c r="G404" s="135">
        <v>106.98864999999999</v>
      </c>
      <c r="H404" s="135">
        <v>143.14894999999999</v>
      </c>
      <c r="I404" s="135">
        <v>0</v>
      </c>
      <c r="J404" s="135">
        <v>130.1472</v>
      </c>
      <c r="K404" s="135">
        <v>2625.7140000000004</v>
      </c>
      <c r="L404" s="135">
        <v>0</v>
      </c>
      <c r="M404" s="135">
        <v>655.5933500000001</v>
      </c>
      <c r="N404" s="135">
        <v>0</v>
      </c>
      <c r="O404" s="135">
        <v>-42.971299999999999</v>
      </c>
      <c r="P404" s="135">
        <v>1685.4141499999998</v>
      </c>
      <c r="Q404" s="135">
        <v>34.796900000000001</v>
      </c>
      <c r="R404" s="135">
        <v>15.745200000000001</v>
      </c>
      <c r="S404" s="135">
        <v>12208.987500000001</v>
      </c>
      <c r="T404" s="135"/>
      <c r="U404" s="135">
        <v>7645.8185999999996</v>
      </c>
      <c r="V404" s="135">
        <v>0</v>
      </c>
      <c r="W404" s="135">
        <v>99.968824929660045</v>
      </c>
      <c r="X404" s="135">
        <v>0</v>
      </c>
      <c r="Y404" s="135">
        <v>74.27225</v>
      </c>
      <c r="Z404" s="135">
        <v>2977.4769000000001</v>
      </c>
      <c r="AA404" s="135">
        <v>0</v>
      </c>
      <c r="AB404" s="135">
        <v>655.5933500000001</v>
      </c>
      <c r="AC404" s="135">
        <v>0</v>
      </c>
      <c r="AD404" s="135">
        <v>0</v>
      </c>
      <c r="AE404" s="135">
        <v>1685.6190499999998</v>
      </c>
      <c r="AF404" s="135">
        <v>36.308699999999995</v>
      </c>
      <c r="AG404" s="135">
        <v>0</v>
      </c>
      <c r="AH404" s="135">
        <v>13175.05767492966</v>
      </c>
      <c r="AI404" s="135">
        <v>791.40819999999894</v>
      </c>
      <c r="AJ404" s="135">
        <v>-106.98864999999999</v>
      </c>
      <c r="AK404" s="135">
        <v>-43.18012507033994</v>
      </c>
      <c r="AL404" s="135">
        <v>0</v>
      </c>
      <c r="AM404" s="135">
        <v>-55.874949999999998</v>
      </c>
      <c r="AN404" s="135">
        <v>351.76289999999972</v>
      </c>
      <c r="AO404" s="135">
        <v>0</v>
      </c>
      <c r="AP404" s="135">
        <v>0</v>
      </c>
      <c r="AQ404" s="135">
        <v>0</v>
      </c>
      <c r="AR404" s="135">
        <v>42.971299999999999</v>
      </c>
      <c r="AS404" s="135">
        <v>0.20489999999995234</v>
      </c>
      <c r="AT404" s="135">
        <v>1.5117999999999938</v>
      </c>
      <c r="AU404" s="135">
        <v>-15.745200000000001</v>
      </c>
      <c r="AV404" s="135">
        <v>966.070184355317</v>
      </c>
      <c r="AW404" s="135"/>
      <c r="AX404" s="164"/>
      <c r="AY404" s="132"/>
      <c r="AZ404" s="135"/>
      <c r="BA404" s="135"/>
      <c r="BB404" s="132"/>
    </row>
    <row r="405" spans="1:54" ht="16.5" x14ac:dyDescent="0.3">
      <c r="A405" s="132">
        <v>4042</v>
      </c>
      <c r="B405" s="132">
        <v>7</v>
      </c>
      <c r="C405" s="132" t="s">
        <v>579</v>
      </c>
      <c r="D405" s="133">
        <v>7</v>
      </c>
      <c r="E405" s="163">
        <v>200</v>
      </c>
      <c r="F405" s="135">
        <v>6465.2223999999997</v>
      </c>
      <c r="G405" s="135">
        <v>55.679600000000001</v>
      </c>
      <c r="H405" s="135">
        <v>157.3871</v>
      </c>
      <c r="I405" s="135">
        <v>0</v>
      </c>
      <c r="J405" s="135">
        <v>122.75754999999999</v>
      </c>
      <c r="K405" s="135">
        <v>350.28450000000004</v>
      </c>
      <c r="L405" s="135">
        <v>0</v>
      </c>
      <c r="M405" s="135">
        <v>312.73854999999998</v>
      </c>
      <c r="N405" s="135">
        <v>0</v>
      </c>
      <c r="O405" s="135">
        <v>-40.531399999999998</v>
      </c>
      <c r="P405" s="135">
        <v>1637.7876999999999</v>
      </c>
      <c r="Q405" s="135">
        <v>32.821149999999996</v>
      </c>
      <c r="R405" s="135">
        <v>14.851199999999999</v>
      </c>
      <c r="S405" s="135">
        <v>9108.9983499999998</v>
      </c>
      <c r="T405" s="135"/>
      <c r="U405" s="135">
        <v>7232.4</v>
      </c>
      <c r="V405" s="135">
        <v>0</v>
      </c>
      <c r="W405" s="135">
        <v>105.00495361320124</v>
      </c>
      <c r="X405" s="135">
        <v>0</v>
      </c>
      <c r="Y405" s="135">
        <v>71.053799999999995</v>
      </c>
      <c r="Z405" s="135">
        <v>432.0725875</v>
      </c>
      <c r="AA405" s="135">
        <v>0</v>
      </c>
      <c r="AB405" s="135">
        <v>303.35639349999997</v>
      </c>
      <c r="AC405" s="135">
        <v>0</v>
      </c>
      <c r="AD405" s="135">
        <v>0</v>
      </c>
      <c r="AE405" s="135">
        <v>1641.61148</v>
      </c>
      <c r="AF405" s="135">
        <v>34.247099999999996</v>
      </c>
      <c r="AG405" s="135">
        <v>0</v>
      </c>
      <c r="AH405" s="135">
        <v>9819.7463146132013</v>
      </c>
      <c r="AI405" s="135">
        <v>767.17759999999998</v>
      </c>
      <c r="AJ405" s="135">
        <v>-55.679600000000001</v>
      </c>
      <c r="AK405" s="135">
        <v>-52.382146386798766</v>
      </c>
      <c r="AL405" s="135">
        <v>0</v>
      </c>
      <c r="AM405" s="135">
        <v>-51.703749999999999</v>
      </c>
      <c r="AN405" s="135">
        <v>81.788087499999961</v>
      </c>
      <c r="AO405" s="135">
        <v>0</v>
      </c>
      <c r="AP405" s="135">
        <v>-9.3821565000000078</v>
      </c>
      <c r="AQ405" s="135">
        <v>0</v>
      </c>
      <c r="AR405" s="135">
        <v>40.531399999999998</v>
      </c>
      <c r="AS405" s="135">
        <v>3.8237800000001698</v>
      </c>
      <c r="AT405" s="135">
        <v>1.4259500000000003</v>
      </c>
      <c r="AU405" s="135">
        <v>-14.851199999999999</v>
      </c>
      <c r="AV405" s="135">
        <v>710.74796583294187</v>
      </c>
      <c r="AW405" s="135"/>
      <c r="AX405" s="164"/>
      <c r="AY405" s="132"/>
      <c r="AZ405" s="135"/>
      <c r="BA405" s="135"/>
      <c r="BB405" s="132"/>
    </row>
    <row r="406" spans="1:54" ht="16.5" x14ac:dyDescent="0.3">
      <c r="A406" s="132">
        <v>4043</v>
      </c>
      <c r="B406" s="132">
        <v>7</v>
      </c>
      <c r="C406" s="132" t="s">
        <v>570</v>
      </c>
      <c r="D406" s="133">
        <v>7</v>
      </c>
      <c r="E406" s="163">
        <v>385</v>
      </c>
      <c r="F406" s="135">
        <v>6514.3958441558443</v>
      </c>
      <c r="G406" s="135">
        <v>0.77314285714285724</v>
      </c>
      <c r="H406" s="135">
        <v>119.16994805194805</v>
      </c>
      <c r="I406" s="135">
        <v>0</v>
      </c>
      <c r="J406" s="135">
        <v>123.69122077922079</v>
      </c>
      <c r="K406" s="135">
        <v>0.24981818181818183</v>
      </c>
      <c r="L406" s="135">
        <v>0</v>
      </c>
      <c r="M406" s="135">
        <v>654.64464935064939</v>
      </c>
      <c r="N406" s="135">
        <v>0</v>
      </c>
      <c r="O406" s="135">
        <v>-40.839688311688313</v>
      </c>
      <c r="P406" s="135">
        <v>1620.3316883116881</v>
      </c>
      <c r="Q406" s="135">
        <v>33.070805194805196</v>
      </c>
      <c r="R406" s="135">
        <v>-301.29083116883112</v>
      </c>
      <c r="S406" s="135">
        <v>8724.1965974025989</v>
      </c>
      <c r="T406" s="135"/>
      <c r="U406" s="135">
        <v>7281.818181818182</v>
      </c>
      <c r="V406" s="135">
        <v>0</v>
      </c>
      <c r="W406" s="135">
        <v>111.3278123678628</v>
      </c>
      <c r="X406" s="135">
        <v>0</v>
      </c>
      <c r="Y406" s="135">
        <v>71.539298701298705</v>
      </c>
      <c r="Z406" s="135">
        <v>2.2867532467532468</v>
      </c>
      <c r="AA406" s="135">
        <v>0</v>
      </c>
      <c r="AB406" s="135">
        <v>626.34973124833562</v>
      </c>
      <c r="AC406" s="135">
        <v>0</v>
      </c>
      <c r="AD406" s="135">
        <v>0</v>
      </c>
      <c r="AE406" s="135">
        <v>1623.984909090909</v>
      </c>
      <c r="AF406" s="135">
        <v>34.507610389610392</v>
      </c>
      <c r="AG406" s="135">
        <v>-316.25498701298699</v>
      </c>
      <c r="AH406" s="135">
        <v>9435.559309849963</v>
      </c>
      <c r="AI406" s="135">
        <v>767.42233766233767</v>
      </c>
      <c r="AJ406" s="135">
        <v>-0.77314285714285724</v>
      </c>
      <c r="AK406" s="135">
        <v>-7.8421356840852496</v>
      </c>
      <c r="AL406" s="135">
        <v>0</v>
      </c>
      <c r="AM406" s="135">
        <v>-52.15192207792208</v>
      </c>
      <c r="AN406" s="135">
        <v>2.036935064935065</v>
      </c>
      <c r="AO406" s="135">
        <v>0</v>
      </c>
      <c r="AP406" s="135">
        <v>-28.294918102313773</v>
      </c>
      <c r="AQ406" s="135">
        <v>0</v>
      </c>
      <c r="AR406" s="135">
        <v>40.839688311688313</v>
      </c>
      <c r="AS406" s="135">
        <v>3.6532207792208737</v>
      </c>
      <c r="AT406" s="135">
        <v>1.4368051948051956</v>
      </c>
      <c r="AU406" s="135">
        <v>-14.964155844155869</v>
      </c>
      <c r="AV406" s="135">
        <v>711.36271633083209</v>
      </c>
      <c r="AW406" s="135"/>
      <c r="AX406" s="132"/>
      <c r="AY406" s="132"/>
      <c r="AZ406" s="155"/>
      <c r="BA406" s="155"/>
      <c r="BB406" s="132"/>
    </row>
    <row r="407" spans="1:54" ht="16.5" x14ac:dyDescent="0.3">
      <c r="A407" s="132">
        <v>4045</v>
      </c>
      <c r="B407" s="132">
        <v>7</v>
      </c>
      <c r="C407" s="132" t="s">
        <v>651</v>
      </c>
      <c r="D407" s="133">
        <v>7</v>
      </c>
      <c r="E407" s="163">
        <v>94</v>
      </c>
      <c r="F407" s="135">
        <v>6791.2000000000007</v>
      </c>
      <c r="G407" s="135">
        <v>0</v>
      </c>
      <c r="H407" s="135">
        <v>60.811276595744673</v>
      </c>
      <c r="I407" s="135">
        <v>0</v>
      </c>
      <c r="J407" s="135">
        <v>128.94702127659576</v>
      </c>
      <c r="K407" s="135">
        <v>213.33542553191489</v>
      </c>
      <c r="L407" s="135">
        <v>0</v>
      </c>
      <c r="M407" s="135">
        <v>804.21542553191489</v>
      </c>
      <c r="N407" s="135">
        <v>0</v>
      </c>
      <c r="O407" s="135">
        <v>-42.575000000000003</v>
      </c>
      <c r="P407" s="135">
        <v>899.2339361702127</v>
      </c>
      <c r="Q407" s="135">
        <v>243.26893617021278</v>
      </c>
      <c r="R407" s="135">
        <v>15.600000000000001</v>
      </c>
      <c r="S407" s="135">
        <v>9114.0370212765956</v>
      </c>
      <c r="T407" s="135"/>
      <c r="U407" s="135">
        <v>7560</v>
      </c>
      <c r="V407" s="135">
        <v>0</v>
      </c>
      <c r="W407" s="135">
        <v>89.319706089417181</v>
      </c>
      <c r="X407" s="135">
        <v>0</v>
      </c>
      <c r="Y407" s="135">
        <v>74.272234042553194</v>
      </c>
      <c r="Z407" s="135">
        <v>268.33053191489364</v>
      </c>
      <c r="AA407" s="135">
        <v>0</v>
      </c>
      <c r="AB407" s="135">
        <v>780.83559314361707</v>
      </c>
      <c r="AC407" s="135">
        <v>0</v>
      </c>
      <c r="AD407" s="135">
        <v>0</v>
      </c>
      <c r="AE407" s="135">
        <v>901.92689361702116</v>
      </c>
      <c r="AF407" s="135">
        <v>244.7668085106383</v>
      </c>
      <c r="AG407" s="135">
        <v>0</v>
      </c>
      <c r="AH407" s="135">
        <v>9919.4517673181399</v>
      </c>
      <c r="AI407" s="135">
        <v>768.79999999999927</v>
      </c>
      <c r="AJ407" s="135">
        <v>0</v>
      </c>
      <c r="AK407" s="135">
        <v>28.508429493672509</v>
      </c>
      <c r="AL407" s="135">
        <v>0</v>
      </c>
      <c r="AM407" s="135">
        <v>-54.674787234042569</v>
      </c>
      <c r="AN407" s="135">
        <v>54.995106382978747</v>
      </c>
      <c r="AO407" s="135">
        <v>0</v>
      </c>
      <c r="AP407" s="135">
        <v>-23.379832388297814</v>
      </c>
      <c r="AQ407" s="135">
        <v>0</v>
      </c>
      <c r="AR407" s="135">
        <v>42.575000000000003</v>
      </c>
      <c r="AS407" s="135">
        <v>2.6929574468084638</v>
      </c>
      <c r="AT407" s="135">
        <v>1.4978723404255163</v>
      </c>
      <c r="AU407" s="135">
        <v>-15.600000000000001</v>
      </c>
      <c r="AV407" s="135">
        <v>805.41475287359208</v>
      </c>
      <c r="AW407" s="135"/>
      <c r="AX407" s="164"/>
      <c r="AY407" s="132"/>
      <c r="AZ407" s="135"/>
      <c r="BA407" s="135"/>
      <c r="BB407" s="132"/>
    </row>
    <row r="408" spans="1:54" ht="16.5" x14ac:dyDescent="0.3">
      <c r="A408" s="132">
        <v>4049</v>
      </c>
      <c r="B408" s="132">
        <v>7</v>
      </c>
      <c r="C408" s="132" t="s">
        <v>688</v>
      </c>
      <c r="D408" s="133">
        <v>7</v>
      </c>
      <c r="E408" s="163">
        <v>149</v>
      </c>
      <c r="F408" s="135">
        <v>6977.020134228188</v>
      </c>
      <c r="G408" s="135">
        <v>0</v>
      </c>
      <c r="H408" s="135">
        <v>196.99463087248321</v>
      </c>
      <c r="I408" s="135">
        <v>0</v>
      </c>
      <c r="J408" s="135">
        <v>132.47523489932888</v>
      </c>
      <c r="K408" s="135">
        <v>679.81718120805363</v>
      </c>
      <c r="L408" s="135">
        <v>0</v>
      </c>
      <c r="M408" s="135">
        <v>2133.7634899328859</v>
      </c>
      <c r="N408" s="135">
        <v>0</v>
      </c>
      <c r="O408" s="135">
        <v>-43.739932885906043</v>
      </c>
      <c r="P408" s="135">
        <v>2054.4991275167786</v>
      </c>
      <c r="Q408" s="135">
        <v>35.4193288590604</v>
      </c>
      <c r="R408" s="135">
        <v>16.026845637583893</v>
      </c>
      <c r="S408" s="135">
        <v>12182.276040268454</v>
      </c>
      <c r="T408" s="135"/>
      <c r="U408" s="135">
        <v>7811.6955704697984</v>
      </c>
      <c r="V408" s="135">
        <v>0</v>
      </c>
      <c r="W408" s="135">
        <v>299.57663940886312</v>
      </c>
      <c r="X408" s="135">
        <v>0</v>
      </c>
      <c r="Y408" s="135">
        <v>74.272281879194622</v>
      </c>
      <c r="Z408" s="135">
        <v>818.05432773298492</v>
      </c>
      <c r="AA408" s="135">
        <v>0</v>
      </c>
      <c r="AB408" s="135">
        <v>2074.0650787099698</v>
      </c>
      <c r="AC408" s="135">
        <v>0</v>
      </c>
      <c r="AD408" s="135">
        <v>0</v>
      </c>
      <c r="AE408" s="135">
        <v>2069.0455570469799</v>
      </c>
      <c r="AF408" s="135">
        <v>36.958187919463086</v>
      </c>
      <c r="AG408" s="135">
        <v>0</v>
      </c>
      <c r="AH408" s="135">
        <v>13183.667643167253</v>
      </c>
      <c r="AI408" s="135">
        <v>834.67543624161044</v>
      </c>
      <c r="AJ408" s="135">
        <v>0</v>
      </c>
      <c r="AK408" s="135">
        <v>102.5820085363799</v>
      </c>
      <c r="AL408" s="135">
        <v>0</v>
      </c>
      <c r="AM408" s="135">
        <v>-58.20295302013426</v>
      </c>
      <c r="AN408" s="135">
        <v>138.23714652493129</v>
      </c>
      <c r="AO408" s="135">
        <v>0</v>
      </c>
      <c r="AP408" s="135">
        <v>-59.698411222916093</v>
      </c>
      <c r="AQ408" s="135">
        <v>0</v>
      </c>
      <c r="AR408" s="135">
        <v>43.739932885906043</v>
      </c>
      <c r="AS408" s="135">
        <v>14.546429530201294</v>
      </c>
      <c r="AT408" s="135">
        <v>1.5388590604026859</v>
      </c>
      <c r="AU408" s="135">
        <v>-16.026845637583893</v>
      </c>
      <c r="AV408" s="135">
        <v>1001.3916033959027</v>
      </c>
      <c r="AW408" s="135"/>
      <c r="AX408" s="164"/>
      <c r="AY408" s="132"/>
      <c r="AZ408" s="135"/>
      <c r="BA408" s="135"/>
      <c r="BB408" s="132"/>
    </row>
    <row r="409" spans="1:54" ht="16.5" x14ac:dyDescent="0.3">
      <c r="A409" s="132">
        <v>4050</v>
      </c>
      <c r="B409" s="132">
        <v>7</v>
      </c>
      <c r="C409" s="132" t="s">
        <v>666</v>
      </c>
      <c r="D409" s="133">
        <v>7</v>
      </c>
      <c r="E409" s="163">
        <v>100</v>
      </c>
      <c r="F409" s="135">
        <v>5416.2431999999999</v>
      </c>
      <c r="G409" s="135">
        <v>0</v>
      </c>
      <c r="H409" s="135">
        <v>121.37919999999998</v>
      </c>
      <c r="I409" s="135">
        <v>0</v>
      </c>
      <c r="J409" s="135">
        <v>102.84020000000001</v>
      </c>
      <c r="K409" s="135">
        <v>897.35940000000005</v>
      </c>
      <c r="L409" s="135">
        <v>0</v>
      </c>
      <c r="M409" s="135">
        <v>874.02479999999991</v>
      </c>
      <c r="N409" s="135">
        <v>0</v>
      </c>
      <c r="O409" s="135">
        <v>-33.955199999999998</v>
      </c>
      <c r="P409" s="135">
        <v>1457.3572000000001</v>
      </c>
      <c r="Q409" s="135">
        <v>177.55200000000002</v>
      </c>
      <c r="R409" s="135">
        <v>84.473299999999995</v>
      </c>
      <c r="S409" s="135">
        <v>9097.2740999999987</v>
      </c>
      <c r="T409" s="135"/>
      <c r="U409" s="135">
        <v>5922</v>
      </c>
      <c r="V409" s="135">
        <v>0</v>
      </c>
      <c r="W409" s="135">
        <v>186.06455140878387</v>
      </c>
      <c r="X409" s="135">
        <v>0</v>
      </c>
      <c r="Y409" s="135">
        <v>58.179899999999996</v>
      </c>
      <c r="Z409" s="135">
        <v>1055.0173</v>
      </c>
      <c r="AA409" s="135">
        <v>0</v>
      </c>
      <c r="AB409" s="135">
        <v>849.57175738499996</v>
      </c>
      <c r="AC409" s="135">
        <v>123.51645347462203</v>
      </c>
      <c r="AD409" s="135">
        <v>0</v>
      </c>
      <c r="AE409" s="135">
        <v>1446.6694</v>
      </c>
      <c r="AF409" s="135">
        <v>178.7466</v>
      </c>
      <c r="AG409" s="135">
        <v>72.031700000000001</v>
      </c>
      <c r="AH409" s="135">
        <v>9891.7976622684055</v>
      </c>
      <c r="AI409" s="135">
        <v>505.75680000000011</v>
      </c>
      <c r="AJ409" s="135">
        <v>0</v>
      </c>
      <c r="AK409" s="135">
        <v>64.685351408783887</v>
      </c>
      <c r="AL409" s="135">
        <v>0</v>
      </c>
      <c r="AM409" s="135">
        <v>-44.660300000000014</v>
      </c>
      <c r="AN409" s="135">
        <v>157.65789999999993</v>
      </c>
      <c r="AO409" s="135">
        <v>0</v>
      </c>
      <c r="AP409" s="135">
        <v>-24.453042614999958</v>
      </c>
      <c r="AQ409" s="135">
        <v>123.51645347462203</v>
      </c>
      <c r="AR409" s="135">
        <v>33.955199999999998</v>
      </c>
      <c r="AS409" s="135">
        <v>-10.687800000000152</v>
      </c>
      <c r="AT409" s="135">
        <v>1.1945999999999799</v>
      </c>
      <c r="AU409" s="135">
        <v>-12.441599999999994</v>
      </c>
      <c r="AV409" s="135">
        <v>794.523566016627</v>
      </c>
      <c r="AW409" s="135"/>
      <c r="AX409" s="164"/>
      <c r="AY409" s="132"/>
      <c r="AZ409" s="135"/>
      <c r="BA409" s="135"/>
      <c r="BB409" s="132"/>
    </row>
    <row r="410" spans="1:54" ht="16.5" x14ac:dyDescent="0.3">
      <c r="A410" s="132">
        <v>4053</v>
      </c>
      <c r="B410" s="132">
        <v>7</v>
      </c>
      <c r="C410" s="132" t="s">
        <v>653</v>
      </c>
      <c r="D410" s="133">
        <v>7</v>
      </c>
      <c r="E410" s="163">
        <v>351</v>
      </c>
      <c r="F410" s="135">
        <v>6544.7343589743587</v>
      </c>
      <c r="G410" s="135">
        <v>4.6730199430199431</v>
      </c>
      <c r="H410" s="135">
        <v>13.787663817663816</v>
      </c>
      <c r="I410" s="135">
        <v>0</v>
      </c>
      <c r="J410" s="135">
        <v>124.26726495726496</v>
      </c>
      <c r="K410" s="135">
        <v>235.65470085470085</v>
      </c>
      <c r="L410" s="135">
        <v>0</v>
      </c>
      <c r="M410" s="135">
        <v>708.40180092438743</v>
      </c>
      <c r="N410" s="135">
        <v>0</v>
      </c>
      <c r="O410" s="135">
        <v>-41.029886039886037</v>
      </c>
      <c r="P410" s="135">
        <v>1772.3525356125356</v>
      </c>
      <c r="Q410" s="135">
        <v>107.1537321937322</v>
      </c>
      <c r="R410" s="135">
        <v>-376.62290598290599</v>
      </c>
      <c r="S410" s="135">
        <v>9093.3722852548708</v>
      </c>
      <c r="T410" s="135"/>
      <c r="U410" s="135">
        <v>7312.3076923076924</v>
      </c>
      <c r="V410" s="135">
        <v>0</v>
      </c>
      <c r="W410" s="135">
        <v>26.799067820512533</v>
      </c>
      <c r="X410" s="135">
        <v>0</v>
      </c>
      <c r="Y410" s="135">
        <v>71.838831908831907</v>
      </c>
      <c r="Z410" s="135">
        <v>310.06450142450143</v>
      </c>
      <c r="AA410" s="135">
        <v>0</v>
      </c>
      <c r="AB410" s="135">
        <v>687.16048824265579</v>
      </c>
      <c r="AC410" s="135">
        <v>0</v>
      </c>
      <c r="AD410" s="135">
        <v>0</v>
      </c>
      <c r="AE410" s="135">
        <v>1781.8321196581196</v>
      </c>
      <c r="AF410" s="135">
        <v>108.59723646723647</v>
      </c>
      <c r="AG410" s="135">
        <v>-391.65675213675212</v>
      </c>
      <c r="AH410" s="135">
        <v>9906.9431856927968</v>
      </c>
      <c r="AI410" s="135">
        <v>767.57333333333372</v>
      </c>
      <c r="AJ410" s="135">
        <v>-4.6730199430199431</v>
      </c>
      <c r="AK410" s="135">
        <v>13.011404002848717</v>
      </c>
      <c r="AL410" s="135">
        <v>0</v>
      </c>
      <c r="AM410" s="135">
        <v>-52.42843304843305</v>
      </c>
      <c r="AN410" s="135">
        <v>74.409800569800581</v>
      </c>
      <c r="AO410" s="135">
        <v>0</v>
      </c>
      <c r="AP410" s="135">
        <v>-21.241312681731642</v>
      </c>
      <c r="AQ410" s="135">
        <v>0</v>
      </c>
      <c r="AR410" s="135">
        <v>41.029886039886037</v>
      </c>
      <c r="AS410" s="135">
        <v>9.4795840455840334</v>
      </c>
      <c r="AT410" s="135">
        <v>1.4435042735042742</v>
      </c>
      <c r="AU410" s="135">
        <v>-15.033846153846127</v>
      </c>
      <c r="AV410" s="135">
        <v>813.57090824459021</v>
      </c>
      <c r="AW410" s="135"/>
      <c r="AX410" s="164"/>
      <c r="AY410" s="132"/>
      <c r="AZ410" s="135"/>
      <c r="BA410" s="135"/>
      <c r="BB410" s="132"/>
    </row>
    <row r="411" spans="1:54" ht="16.5" x14ac:dyDescent="0.3">
      <c r="A411" s="132">
        <v>4054</v>
      </c>
      <c r="B411" s="132">
        <v>7</v>
      </c>
      <c r="C411" s="132" t="s">
        <v>624</v>
      </c>
      <c r="D411" s="133">
        <v>7</v>
      </c>
      <c r="E411" s="163">
        <v>60</v>
      </c>
      <c r="F411" s="135">
        <v>5359.8239999999996</v>
      </c>
      <c r="G411" s="135">
        <v>4.6375000000000002</v>
      </c>
      <c r="H411" s="135">
        <v>57.802499999999995</v>
      </c>
      <c r="I411" s="135">
        <v>0</v>
      </c>
      <c r="J411" s="135">
        <v>101.76900000000001</v>
      </c>
      <c r="K411" s="135">
        <v>515.36450000000002</v>
      </c>
      <c r="L411" s="135">
        <v>0</v>
      </c>
      <c r="M411" s="135">
        <v>155.87933333333334</v>
      </c>
      <c r="N411" s="135">
        <v>0</v>
      </c>
      <c r="O411" s="135">
        <v>-33.601500000000001</v>
      </c>
      <c r="P411" s="135">
        <v>1223.4763333333333</v>
      </c>
      <c r="Q411" s="135">
        <v>133.69799999999998</v>
      </c>
      <c r="R411" s="135">
        <v>-273.48149999999998</v>
      </c>
      <c r="S411" s="135">
        <v>7245.3681666666662</v>
      </c>
      <c r="T411" s="135"/>
      <c r="U411" s="135">
        <v>5922</v>
      </c>
      <c r="V411" s="135">
        <v>0</v>
      </c>
      <c r="W411" s="135">
        <v>86.179882359782795</v>
      </c>
      <c r="X411" s="135">
        <v>0</v>
      </c>
      <c r="Y411" s="135">
        <v>58.18</v>
      </c>
      <c r="Z411" s="135">
        <v>626.80149999999992</v>
      </c>
      <c r="AA411" s="135">
        <v>0</v>
      </c>
      <c r="AB411" s="135">
        <v>151.20295333333334</v>
      </c>
      <c r="AC411" s="135">
        <v>82.344302316414684</v>
      </c>
      <c r="AD411" s="135">
        <v>0</v>
      </c>
      <c r="AE411" s="135">
        <v>1224.0093999999999</v>
      </c>
      <c r="AF411" s="135">
        <v>134.88016666666667</v>
      </c>
      <c r="AG411" s="135">
        <v>-285.79349999999999</v>
      </c>
      <c r="AH411" s="135">
        <v>7999.8047046761967</v>
      </c>
      <c r="AI411" s="135">
        <v>562.17600000000039</v>
      </c>
      <c r="AJ411" s="135">
        <v>-4.6375000000000002</v>
      </c>
      <c r="AK411" s="135">
        <v>28.3773823597828</v>
      </c>
      <c r="AL411" s="135">
        <v>0</v>
      </c>
      <c r="AM411" s="135">
        <v>-43.589000000000006</v>
      </c>
      <c r="AN411" s="135">
        <v>111.4369999999999</v>
      </c>
      <c r="AO411" s="135">
        <v>0</v>
      </c>
      <c r="AP411" s="135">
        <v>-4.6763799999999947</v>
      </c>
      <c r="AQ411" s="135">
        <v>82.344302316414684</v>
      </c>
      <c r="AR411" s="135">
        <v>33.601500000000001</v>
      </c>
      <c r="AS411" s="135">
        <v>0.5330666666666275</v>
      </c>
      <c r="AT411" s="135">
        <v>1.1821666666666886</v>
      </c>
      <c r="AU411" s="135">
        <v>-12.312000000000012</v>
      </c>
      <c r="AV411" s="135">
        <v>754.43654473422191</v>
      </c>
      <c r="AW411" s="135"/>
      <c r="AX411" s="164"/>
      <c r="AY411" s="132"/>
      <c r="AZ411" s="135"/>
      <c r="BA411" s="135"/>
      <c r="BB411" s="132"/>
    </row>
    <row r="412" spans="1:54" ht="16.5" x14ac:dyDescent="0.3">
      <c r="A412" s="132">
        <v>4055</v>
      </c>
      <c r="B412" s="132">
        <v>7</v>
      </c>
      <c r="C412" s="132" t="s">
        <v>290</v>
      </c>
      <c r="D412" s="133">
        <v>7</v>
      </c>
      <c r="E412" s="163">
        <v>154</v>
      </c>
      <c r="F412" s="135">
        <v>5354.6</v>
      </c>
      <c r="G412" s="135">
        <v>5.2787662337662331</v>
      </c>
      <c r="H412" s="135">
        <v>96.179480519480521</v>
      </c>
      <c r="I412" s="135">
        <v>0</v>
      </c>
      <c r="J412" s="135">
        <v>101.66974025974025</v>
      </c>
      <c r="K412" s="135">
        <v>51.837272727272726</v>
      </c>
      <c r="L412" s="135">
        <v>0</v>
      </c>
      <c r="M412" s="135">
        <v>865.6443511987012</v>
      </c>
      <c r="N412" s="135">
        <v>0</v>
      </c>
      <c r="O412" s="135">
        <v>-33.568766233766233</v>
      </c>
      <c r="P412" s="135">
        <v>1438.0435064935064</v>
      </c>
      <c r="Q412" s="135">
        <v>114.11324675324676</v>
      </c>
      <c r="R412" s="135">
        <v>-181.63071428571425</v>
      </c>
      <c r="S412" s="135">
        <v>7812.1668836662338</v>
      </c>
      <c r="T412" s="135"/>
      <c r="U412" s="135">
        <v>5860.08</v>
      </c>
      <c r="V412" s="135">
        <v>0</v>
      </c>
      <c r="W412" s="135">
        <v>39.149869723588587</v>
      </c>
      <c r="X412" s="135">
        <v>0</v>
      </c>
      <c r="Y412" s="135">
        <v>57.472597402597408</v>
      </c>
      <c r="Z412" s="135">
        <v>85.344610389610381</v>
      </c>
      <c r="AA412" s="135">
        <v>0</v>
      </c>
      <c r="AB412" s="135">
        <v>838.30302314778373</v>
      </c>
      <c r="AC412" s="135">
        <v>64.164391415388067</v>
      </c>
      <c r="AD412" s="135">
        <v>0</v>
      </c>
      <c r="AE412" s="135">
        <v>1429.0807142857143</v>
      </c>
      <c r="AF412" s="135">
        <v>115.29422077922078</v>
      </c>
      <c r="AG412" s="135">
        <v>-193.93071428571426</v>
      </c>
      <c r="AH412" s="135">
        <v>8294.9587128581879</v>
      </c>
      <c r="AI412" s="135">
        <v>505.47999999999956</v>
      </c>
      <c r="AJ412" s="135">
        <v>-5.2787662337662331</v>
      </c>
      <c r="AK412" s="135">
        <v>-57.029610795891934</v>
      </c>
      <c r="AL412" s="135">
        <v>0</v>
      </c>
      <c r="AM412" s="135">
        <v>-44.197142857142843</v>
      </c>
      <c r="AN412" s="135">
        <v>33.507337662337655</v>
      </c>
      <c r="AO412" s="135">
        <v>0</v>
      </c>
      <c r="AP412" s="135">
        <v>-27.341328050917468</v>
      </c>
      <c r="AQ412" s="135">
        <v>64.164391415388067</v>
      </c>
      <c r="AR412" s="135">
        <v>33.568766233766233</v>
      </c>
      <c r="AS412" s="135">
        <v>-8.962792207792063</v>
      </c>
      <c r="AT412" s="135">
        <v>1.1809740259740238</v>
      </c>
      <c r="AU412" s="135">
        <v>-12.300000000000011</v>
      </c>
      <c r="AV412" s="135">
        <v>482.79183354635734</v>
      </c>
      <c r="AW412" s="135"/>
      <c r="AX412" s="132"/>
      <c r="AY412" s="132"/>
      <c r="AZ412" s="155"/>
      <c r="BA412" s="155"/>
      <c r="BB412" s="132"/>
    </row>
    <row r="413" spans="1:54" ht="16.5" x14ac:dyDescent="0.3">
      <c r="A413" s="132">
        <v>4056</v>
      </c>
      <c r="B413" s="132">
        <v>7</v>
      </c>
      <c r="C413" s="132" t="s">
        <v>689</v>
      </c>
      <c r="D413" s="133">
        <v>7</v>
      </c>
      <c r="E413" s="163">
        <v>100</v>
      </c>
      <c r="F413" s="135">
        <v>7018.4440000000004</v>
      </c>
      <c r="G413" s="135">
        <v>0</v>
      </c>
      <c r="H413" s="135">
        <v>42.336200000000005</v>
      </c>
      <c r="I413" s="135">
        <v>0</v>
      </c>
      <c r="J413" s="135">
        <v>133.26179999999999</v>
      </c>
      <c r="K413" s="135">
        <v>968.5326</v>
      </c>
      <c r="L413" s="135">
        <v>0</v>
      </c>
      <c r="M413" s="135">
        <v>3204.3530618212403</v>
      </c>
      <c r="N413" s="135">
        <v>0</v>
      </c>
      <c r="O413" s="135">
        <v>-43.999600000000001</v>
      </c>
      <c r="P413" s="135">
        <v>1836.2638999999999</v>
      </c>
      <c r="Q413" s="135">
        <v>72.844500000000011</v>
      </c>
      <c r="R413" s="135">
        <v>16.122</v>
      </c>
      <c r="S413" s="135">
        <v>13248.15846182124</v>
      </c>
      <c r="T413" s="135"/>
      <c r="U413" s="135">
        <v>7867.8180000000002</v>
      </c>
      <c r="V413" s="135">
        <v>0</v>
      </c>
      <c r="W413" s="135">
        <v>48.213514190724254</v>
      </c>
      <c r="X413" s="135">
        <v>0</v>
      </c>
      <c r="Y413" s="135">
        <v>74.272300000000001</v>
      </c>
      <c r="Z413" s="135">
        <v>1159.2121</v>
      </c>
      <c r="AA413" s="135">
        <v>0</v>
      </c>
      <c r="AB413" s="135">
        <v>3139.2616299639199</v>
      </c>
      <c r="AC413" s="135">
        <v>0</v>
      </c>
      <c r="AD413" s="135">
        <v>0</v>
      </c>
      <c r="AE413" s="135">
        <v>1846.8119999999999</v>
      </c>
      <c r="AF413" s="135">
        <v>74.392500000000013</v>
      </c>
      <c r="AG413" s="135">
        <v>0</v>
      </c>
      <c r="AH413" s="135">
        <v>14209.982044154644</v>
      </c>
      <c r="AI413" s="135">
        <v>849.3739999999998</v>
      </c>
      <c r="AJ413" s="135">
        <v>0</v>
      </c>
      <c r="AK413" s="135">
        <v>5.877314190724249</v>
      </c>
      <c r="AL413" s="135">
        <v>0</v>
      </c>
      <c r="AM413" s="135">
        <v>-58.989499999999992</v>
      </c>
      <c r="AN413" s="135">
        <v>190.67949999999996</v>
      </c>
      <c r="AO413" s="135">
        <v>0</v>
      </c>
      <c r="AP413" s="135">
        <v>-65.091431857320458</v>
      </c>
      <c r="AQ413" s="135">
        <v>0</v>
      </c>
      <c r="AR413" s="135">
        <v>43.999600000000001</v>
      </c>
      <c r="AS413" s="135">
        <v>10.548099999999977</v>
      </c>
      <c r="AT413" s="135">
        <v>1.5480000000000018</v>
      </c>
      <c r="AU413" s="135">
        <v>-16.122</v>
      </c>
      <c r="AV413" s="135">
        <v>961.82358525142524</v>
      </c>
      <c r="AW413" s="135"/>
      <c r="AX413" s="164"/>
      <c r="AY413" s="132"/>
      <c r="AZ413" s="135"/>
      <c r="BA413" s="135"/>
      <c r="BB413" s="132"/>
    </row>
    <row r="414" spans="1:54" ht="16.5" x14ac:dyDescent="0.3">
      <c r="A414" s="132">
        <v>4057</v>
      </c>
      <c r="B414" s="132">
        <v>7</v>
      </c>
      <c r="C414" s="132" t="s">
        <v>493</v>
      </c>
      <c r="D414" s="133">
        <v>7</v>
      </c>
      <c r="E414" s="163">
        <v>85</v>
      </c>
      <c r="F414" s="135">
        <v>6791.2</v>
      </c>
      <c r="G414" s="135">
        <v>0</v>
      </c>
      <c r="H414" s="135">
        <v>2.2751764705882351</v>
      </c>
      <c r="I414" s="135">
        <v>0</v>
      </c>
      <c r="J414" s="135">
        <v>128.9470588235294</v>
      </c>
      <c r="K414" s="135">
        <v>2575.7223529411763</v>
      </c>
      <c r="L414" s="135">
        <v>0</v>
      </c>
      <c r="M414" s="135">
        <v>1478.8020000000001</v>
      </c>
      <c r="N414" s="135">
        <v>0</v>
      </c>
      <c r="O414" s="135">
        <v>-42.57505882352941</v>
      </c>
      <c r="P414" s="135">
        <v>1827.3190588235293</v>
      </c>
      <c r="Q414" s="135">
        <v>34.476117647058821</v>
      </c>
      <c r="R414" s="135">
        <v>218.53305882352942</v>
      </c>
      <c r="S414" s="135">
        <v>13014.69976470588</v>
      </c>
      <c r="T414" s="135"/>
      <c r="U414" s="135">
        <v>7560</v>
      </c>
      <c r="V414" s="135">
        <v>0</v>
      </c>
      <c r="W414" s="135">
        <v>1.5146821692533625</v>
      </c>
      <c r="X414" s="135">
        <v>0</v>
      </c>
      <c r="Y414" s="135">
        <v>74.27223529411765</v>
      </c>
      <c r="Z414" s="135">
        <v>2916.5984705882352</v>
      </c>
      <c r="AA414" s="135">
        <v>0</v>
      </c>
      <c r="AB414" s="135">
        <v>1423.5706142741212</v>
      </c>
      <c r="AC414" s="135">
        <v>0</v>
      </c>
      <c r="AD414" s="135">
        <v>0</v>
      </c>
      <c r="AE414" s="135">
        <v>1846.8119999999999</v>
      </c>
      <c r="AF414" s="135">
        <v>35.973999999999997</v>
      </c>
      <c r="AG414" s="135">
        <v>202.93305882352942</v>
      </c>
      <c r="AH414" s="135">
        <v>14061.675061149257</v>
      </c>
      <c r="AI414" s="135">
        <v>768.80000000000018</v>
      </c>
      <c r="AJ414" s="135">
        <v>0</v>
      </c>
      <c r="AK414" s="135">
        <v>-0.76049430133487261</v>
      </c>
      <c r="AL414" s="135">
        <v>0</v>
      </c>
      <c r="AM414" s="135">
        <v>-54.674823529411753</v>
      </c>
      <c r="AN414" s="135">
        <v>340.87611764705889</v>
      </c>
      <c r="AO414" s="135">
        <v>0</v>
      </c>
      <c r="AP414" s="135">
        <v>-55.231385725878908</v>
      </c>
      <c r="AQ414" s="135">
        <v>0</v>
      </c>
      <c r="AR414" s="135">
        <v>42.57505882352941</v>
      </c>
      <c r="AS414" s="135">
        <v>19.492941176470595</v>
      </c>
      <c r="AT414" s="135">
        <v>1.4978823529411756</v>
      </c>
      <c r="AU414" s="135">
        <v>-15.599999999999994</v>
      </c>
      <c r="AV414" s="135">
        <v>1046.9752973190532</v>
      </c>
      <c r="AW414" s="135"/>
      <c r="AX414" s="132"/>
      <c r="AY414" s="132"/>
      <c r="AZ414" s="155"/>
      <c r="BA414" s="155"/>
      <c r="BB414" s="132"/>
    </row>
    <row r="415" spans="1:54" ht="16.5" x14ac:dyDescent="0.3">
      <c r="A415" s="132">
        <v>4058</v>
      </c>
      <c r="B415" s="132">
        <v>7</v>
      </c>
      <c r="C415" s="132" t="s">
        <v>495</v>
      </c>
      <c r="D415" s="133">
        <v>7</v>
      </c>
      <c r="E415" s="163">
        <v>188</v>
      </c>
      <c r="F415" s="135">
        <v>5643.5872340425531</v>
      </c>
      <c r="G415" s="135">
        <v>15.21090425531915</v>
      </c>
      <c r="H415" s="135">
        <v>154.08553191489364</v>
      </c>
      <c r="I415" s="135">
        <v>0</v>
      </c>
      <c r="J415" s="135">
        <v>107.15686170212767</v>
      </c>
      <c r="K415" s="135">
        <v>762.2776595744682</v>
      </c>
      <c r="L415" s="135">
        <v>0</v>
      </c>
      <c r="M415" s="135">
        <v>1810.4384368875001</v>
      </c>
      <c r="N415" s="135">
        <v>0</v>
      </c>
      <c r="O415" s="135">
        <v>-35.380478723404252</v>
      </c>
      <c r="P415" s="135">
        <v>1180.5426063829786</v>
      </c>
      <c r="Q415" s="135">
        <v>175.51946808510638</v>
      </c>
      <c r="R415" s="135">
        <v>-304.73319148936173</v>
      </c>
      <c r="S415" s="135">
        <v>9508.7050326321805</v>
      </c>
      <c r="T415" s="135"/>
      <c r="U415" s="135">
        <v>6216.2234042553191</v>
      </c>
      <c r="V415" s="135">
        <v>0</v>
      </c>
      <c r="W415" s="135">
        <v>35.408709582504684</v>
      </c>
      <c r="X415" s="135">
        <v>0</v>
      </c>
      <c r="Y415" s="135">
        <v>61.070478723404257</v>
      </c>
      <c r="Z415" s="135">
        <v>913.95558510638296</v>
      </c>
      <c r="AA415" s="135">
        <v>0</v>
      </c>
      <c r="AB415" s="135">
        <v>1763.8743302145604</v>
      </c>
      <c r="AC415" s="135">
        <v>118.87367885868066</v>
      </c>
      <c r="AD415" s="135">
        <v>0</v>
      </c>
      <c r="AE415" s="135">
        <v>1180.4144414893617</v>
      </c>
      <c r="AF415" s="135">
        <v>176.76420212765959</v>
      </c>
      <c r="AG415" s="135">
        <v>-317.69702127659571</v>
      </c>
      <c r="AH415" s="135">
        <v>10148.887809081278</v>
      </c>
      <c r="AI415" s="135">
        <v>572.63617021276605</v>
      </c>
      <c r="AJ415" s="135">
        <v>-15.21090425531915</v>
      </c>
      <c r="AK415" s="135">
        <v>-118.67682233238895</v>
      </c>
      <c r="AL415" s="135">
        <v>0</v>
      </c>
      <c r="AM415" s="135">
        <v>-46.086382978723414</v>
      </c>
      <c r="AN415" s="135">
        <v>151.67792553191475</v>
      </c>
      <c r="AO415" s="135">
        <v>0</v>
      </c>
      <c r="AP415" s="135">
        <v>-46.564106672939715</v>
      </c>
      <c r="AQ415" s="135">
        <v>118.87367885868066</v>
      </c>
      <c r="AR415" s="135">
        <v>35.380478723404252</v>
      </c>
      <c r="AS415" s="135">
        <v>-0.12816489361694039</v>
      </c>
      <c r="AT415" s="135">
        <v>1.2447340425532047</v>
      </c>
      <c r="AU415" s="135">
        <v>-12.963829787233976</v>
      </c>
      <c r="AV415" s="135">
        <v>640.18278043424345</v>
      </c>
      <c r="AW415" s="135"/>
      <c r="AX415" s="164"/>
      <c r="AY415" s="132"/>
      <c r="AZ415" s="135"/>
      <c r="BA415" s="135"/>
      <c r="BB415" s="132"/>
    </row>
    <row r="416" spans="1:54" ht="16.5" x14ac:dyDescent="0.3">
      <c r="A416" s="132">
        <v>4059</v>
      </c>
      <c r="B416" s="132">
        <v>7</v>
      </c>
      <c r="C416" s="132" t="s">
        <v>663</v>
      </c>
      <c r="D416" s="133">
        <v>7</v>
      </c>
      <c r="E416" s="163">
        <v>138</v>
      </c>
      <c r="F416" s="135">
        <v>5503.7489855072463</v>
      </c>
      <c r="G416" s="135">
        <v>27.402826086956523</v>
      </c>
      <c r="H416" s="135">
        <v>0.17159420289855074</v>
      </c>
      <c r="I416" s="135">
        <v>0</v>
      </c>
      <c r="J416" s="135">
        <v>104.50166666666667</v>
      </c>
      <c r="K416" s="135">
        <v>830.7721739130435</v>
      </c>
      <c r="L416" s="135">
        <v>0</v>
      </c>
      <c r="M416" s="135">
        <v>1045.5268664725654</v>
      </c>
      <c r="N416" s="135">
        <v>0</v>
      </c>
      <c r="O416" s="135">
        <v>-34.50376811594203</v>
      </c>
      <c r="P416" s="135">
        <v>1352.2915942028985</v>
      </c>
      <c r="Q416" s="135">
        <v>147.32855072463767</v>
      </c>
      <c r="R416" s="135">
        <v>366.41659420289858</v>
      </c>
      <c r="S416" s="135">
        <v>9343.6570838638709</v>
      </c>
      <c r="T416" s="135"/>
      <c r="U416" s="135">
        <v>6026.086956521739</v>
      </c>
      <c r="V416" s="135">
        <v>0</v>
      </c>
      <c r="W416" s="135">
        <v>0.13861336650085893</v>
      </c>
      <c r="X416" s="135">
        <v>0</v>
      </c>
      <c r="Y416" s="135">
        <v>59.202536231884054</v>
      </c>
      <c r="Z416" s="135">
        <v>990.61536231884043</v>
      </c>
      <c r="AA416" s="135">
        <v>0</v>
      </c>
      <c r="AB416" s="135">
        <v>1011.4930164769154</v>
      </c>
      <c r="AC416" s="135">
        <v>232.71215872030237</v>
      </c>
      <c r="AD416" s="135">
        <v>0</v>
      </c>
      <c r="AE416" s="135">
        <v>1350.876884057971</v>
      </c>
      <c r="AF416" s="135">
        <v>148.54246376811594</v>
      </c>
      <c r="AG416" s="135">
        <v>353.77398550724638</v>
      </c>
      <c r="AH416" s="135">
        <v>10173.441976969514</v>
      </c>
      <c r="AI416" s="135">
        <v>522.33797101449272</v>
      </c>
      <c r="AJ416" s="135">
        <v>-27.402826086956523</v>
      </c>
      <c r="AK416" s="135">
        <v>-3.298083639769181E-2</v>
      </c>
      <c r="AL416" s="135">
        <v>0</v>
      </c>
      <c r="AM416" s="135">
        <v>-45.299130434782612</v>
      </c>
      <c r="AN416" s="135">
        <v>159.84318840579692</v>
      </c>
      <c r="AO416" s="135">
        <v>0</v>
      </c>
      <c r="AP416" s="135">
        <v>-34.03384999565003</v>
      </c>
      <c r="AQ416" s="135">
        <v>232.71215872030237</v>
      </c>
      <c r="AR416" s="135">
        <v>34.50376811594203</v>
      </c>
      <c r="AS416" s="135">
        <v>-1.4147101449275397</v>
      </c>
      <c r="AT416" s="135">
        <v>1.2139130434782714</v>
      </c>
      <c r="AU416" s="135">
        <v>-12.6426086956522</v>
      </c>
      <c r="AV416" s="135">
        <v>829.78489320279834</v>
      </c>
      <c r="AW416" s="135"/>
      <c r="AX416" s="164"/>
      <c r="AY416" s="132"/>
      <c r="AZ416" s="135"/>
      <c r="BA416" s="135"/>
      <c r="BB416" s="132"/>
    </row>
    <row r="417" spans="1:53" ht="16.5" x14ac:dyDescent="0.3">
      <c r="A417" s="132">
        <v>4064</v>
      </c>
      <c r="B417" s="132">
        <v>7</v>
      </c>
      <c r="C417" s="132" t="s">
        <v>691</v>
      </c>
      <c r="D417" s="133">
        <v>7</v>
      </c>
      <c r="E417" s="163">
        <v>98</v>
      </c>
      <c r="F417" s="135">
        <v>5895.6571428571433</v>
      </c>
      <c r="G417" s="135">
        <v>0</v>
      </c>
      <c r="H417" s="135">
        <v>8.3134693877551022</v>
      </c>
      <c r="I417" s="135">
        <v>0</v>
      </c>
      <c r="J417" s="135">
        <v>111.94295918367347</v>
      </c>
      <c r="K417" s="135">
        <v>1604.6357142857141</v>
      </c>
      <c r="L417" s="135">
        <v>0</v>
      </c>
      <c r="M417" s="135">
        <v>2258.8257142857142</v>
      </c>
      <c r="N417" s="135">
        <v>0</v>
      </c>
      <c r="O417" s="135">
        <v>-36.960714285714289</v>
      </c>
      <c r="P417" s="135">
        <v>1304.5608163265306</v>
      </c>
      <c r="Q417" s="135">
        <v>141.33102040816325</v>
      </c>
      <c r="R417" s="135">
        <v>44.556938775510204</v>
      </c>
      <c r="S417" s="135">
        <v>11332.863061224487</v>
      </c>
      <c r="T417" s="135"/>
      <c r="U417" s="135">
        <v>6480</v>
      </c>
      <c r="V417" s="135">
        <v>0</v>
      </c>
      <c r="W417" s="135">
        <v>38.186554439178053</v>
      </c>
      <c r="X417" s="135">
        <v>0</v>
      </c>
      <c r="Y417" s="135">
        <v>63.661938775510201</v>
      </c>
      <c r="Z417" s="135">
        <v>1835.524693877551</v>
      </c>
      <c r="AA417" s="135">
        <v>0</v>
      </c>
      <c r="AB417" s="135">
        <v>2216.2687850025509</v>
      </c>
      <c r="AC417" s="135">
        <v>152.421065479129</v>
      </c>
      <c r="AD417" s="135">
        <v>0</v>
      </c>
      <c r="AE417" s="135">
        <v>1303.9315102040816</v>
      </c>
      <c r="AF417" s="135">
        <v>142.63132653061223</v>
      </c>
      <c r="AG417" s="135">
        <v>31.014081632653063</v>
      </c>
      <c r="AH417" s="135">
        <v>12263.639955941268</v>
      </c>
      <c r="AI417" s="135">
        <v>584.3428571428567</v>
      </c>
      <c r="AJ417" s="135">
        <v>0</v>
      </c>
      <c r="AK417" s="135">
        <v>29.873085051422951</v>
      </c>
      <c r="AL417" s="135">
        <v>0</v>
      </c>
      <c r="AM417" s="135">
        <v>-48.281020408163265</v>
      </c>
      <c r="AN417" s="135">
        <v>230.88897959183691</v>
      </c>
      <c r="AO417" s="135">
        <v>0</v>
      </c>
      <c r="AP417" s="135">
        <v>-42.556929283163299</v>
      </c>
      <c r="AQ417" s="135">
        <v>152.421065479129</v>
      </c>
      <c r="AR417" s="135">
        <v>36.960714285714289</v>
      </c>
      <c r="AS417" s="135">
        <v>-0.62930612244895201</v>
      </c>
      <c r="AT417" s="135">
        <v>1.3003061224489727</v>
      </c>
      <c r="AU417" s="135">
        <v>-13.542857142857141</v>
      </c>
      <c r="AV417" s="135">
        <v>930.77689471939937</v>
      </c>
      <c r="AW417" s="135"/>
      <c r="AX417" s="164"/>
      <c r="AY417" s="132"/>
      <c r="AZ417" s="135"/>
      <c r="BA417" s="135"/>
    </row>
    <row r="418" spans="1:53" ht="16.5" x14ac:dyDescent="0.3">
      <c r="A418" s="132">
        <v>4066</v>
      </c>
      <c r="B418" s="132">
        <v>7</v>
      </c>
      <c r="C418" s="132" t="s">
        <v>692</v>
      </c>
      <c r="D418" s="133">
        <v>7</v>
      </c>
      <c r="E418" s="163">
        <v>85</v>
      </c>
      <c r="F418" s="135">
        <v>6702.6992941176468</v>
      </c>
      <c r="G418" s="135">
        <v>11.201058823529412</v>
      </c>
      <c r="H418" s="135">
        <v>30.740470588235294</v>
      </c>
      <c r="I418" s="135">
        <v>0</v>
      </c>
      <c r="J418" s="135">
        <v>127.26658823529412</v>
      </c>
      <c r="K418" s="135">
        <v>1042.7043529411765</v>
      </c>
      <c r="L418" s="135">
        <v>0</v>
      </c>
      <c r="M418" s="135">
        <v>1433.0230615604705</v>
      </c>
      <c r="N418" s="135">
        <v>0</v>
      </c>
      <c r="O418" s="135">
        <v>-42.020235294117647</v>
      </c>
      <c r="P418" s="135">
        <v>1725.0118823529413</v>
      </c>
      <c r="Q418" s="135">
        <v>90.712352941176476</v>
      </c>
      <c r="R418" s="135">
        <v>15.396705882352942</v>
      </c>
      <c r="S418" s="135">
        <v>11136.735532148705</v>
      </c>
      <c r="T418" s="135"/>
      <c r="U418" s="135">
        <v>7471.0588235294117</v>
      </c>
      <c r="V418" s="135">
        <v>0</v>
      </c>
      <c r="W418" s="135">
        <v>88.616917081872586</v>
      </c>
      <c r="X418" s="135">
        <v>0</v>
      </c>
      <c r="Y418" s="135">
        <v>73.398470588235298</v>
      </c>
      <c r="Z418" s="135">
        <v>1221.4958823529412</v>
      </c>
      <c r="AA418" s="135">
        <v>0</v>
      </c>
      <c r="AB418" s="135">
        <v>1400.5882769642496</v>
      </c>
      <c r="AC418" s="135">
        <v>0</v>
      </c>
      <c r="AD418" s="135">
        <v>0</v>
      </c>
      <c r="AE418" s="135">
        <v>1728.0118588235296</v>
      </c>
      <c r="AF418" s="135">
        <v>92.190705882352944</v>
      </c>
      <c r="AG418" s="135">
        <v>0</v>
      </c>
      <c r="AH418" s="135">
        <v>12075.360935222592</v>
      </c>
      <c r="AI418" s="135">
        <v>768.35952941176492</v>
      </c>
      <c r="AJ418" s="135">
        <v>-11.201058823529412</v>
      </c>
      <c r="AK418" s="135">
        <v>57.876446493637289</v>
      </c>
      <c r="AL418" s="135">
        <v>0</v>
      </c>
      <c r="AM418" s="135">
        <v>-53.868117647058824</v>
      </c>
      <c r="AN418" s="135">
        <v>178.79152941176471</v>
      </c>
      <c r="AO418" s="135">
        <v>0</v>
      </c>
      <c r="AP418" s="135">
        <v>-32.434784596220879</v>
      </c>
      <c r="AQ418" s="135">
        <v>0</v>
      </c>
      <c r="AR418" s="135">
        <v>42.020235294117647</v>
      </c>
      <c r="AS418" s="135">
        <v>2.9999764705883081</v>
      </c>
      <c r="AT418" s="135">
        <v>1.4783529411764675</v>
      </c>
      <c r="AU418" s="135">
        <v>-15.396705882352942</v>
      </c>
      <c r="AV418" s="135">
        <v>938.62540901717944</v>
      </c>
      <c r="AW418" s="135"/>
      <c r="AX418" s="164"/>
      <c r="AY418" s="132"/>
      <c r="AZ418" s="135"/>
      <c r="BA418" s="135"/>
    </row>
    <row r="419" spans="1:53" ht="16.5" x14ac:dyDescent="0.3">
      <c r="A419" s="132">
        <v>4067</v>
      </c>
      <c r="B419" s="132">
        <v>7</v>
      </c>
      <c r="C419" s="132" t="s">
        <v>693</v>
      </c>
      <c r="D419" s="133">
        <v>7</v>
      </c>
      <c r="E419" s="163">
        <v>307</v>
      </c>
      <c r="F419" s="135">
        <v>5580.4912052117261</v>
      </c>
      <c r="G419" s="135">
        <v>69.76680781758958</v>
      </c>
      <c r="H419" s="135">
        <v>3.7907817589576545</v>
      </c>
      <c r="I419" s="135">
        <v>0</v>
      </c>
      <c r="J419" s="135">
        <v>105.95882736156352</v>
      </c>
      <c r="K419" s="135">
        <v>3428.5120521172635</v>
      </c>
      <c r="L419" s="135">
        <v>0</v>
      </c>
      <c r="M419" s="135">
        <v>465.06342019543973</v>
      </c>
      <c r="N419" s="135">
        <v>0</v>
      </c>
      <c r="O419" s="135">
        <v>-34.984885993485342</v>
      </c>
      <c r="P419" s="135">
        <v>1144.2768403908794</v>
      </c>
      <c r="Q419" s="135">
        <v>28.329771986970684</v>
      </c>
      <c r="R419" s="135">
        <v>77.504495114006517</v>
      </c>
      <c r="S419" s="135">
        <v>10868.709315960912</v>
      </c>
      <c r="T419" s="135"/>
      <c r="U419" s="135">
        <v>6135.830618892508</v>
      </c>
      <c r="V419" s="135">
        <v>0</v>
      </c>
      <c r="W419" s="135">
        <v>4.3822171229414542</v>
      </c>
      <c r="X419" s="135">
        <v>0</v>
      </c>
      <c r="Y419" s="135">
        <v>60.280684039087944</v>
      </c>
      <c r="Z419" s="135">
        <v>3883.3578501628663</v>
      </c>
      <c r="AA419" s="135">
        <v>0</v>
      </c>
      <c r="AB419" s="135">
        <v>451.11151758957652</v>
      </c>
      <c r="AC419" s="135">
        <v>265.54025828420373</v>
      </c>
      <c r="AD419" s="135">
        <v>0</v>
      </c>
      <c r="AE419" s="135">
        <v>1143.760977198697</v>
      </c>
      <c r="AF419" s="135">
        <v>29.560586319218242</v>
      </c>
      <c r="AG419" s="135">
        <v>64.685602605863195</v>
      </c>
      <c r="AH419" s="135">
        <v>12038.510312214959</v>
      </c>
      <c r="AI419" s="135">
        <v>555.33941368078195</v>
      </c>
      <c r="AJ419" s="135">
        <v>-69.76680781758958</v>
      </c>
      <c r="AK419" s="135">
        <v>0.5914353639837997</v>
      </c>
      <c r="AL419" s="135">
        <v>0</v>
      </c>
      <c r="AM419" s="135">
        <v>-45.678143322475577</v>
      </c>
      <c r="AN419" s="135">
        <v>454.84579804560281</v>
      </c>
      <c r="AO419" s="135">
        <v>0</v>
      </c>
      <c r="AP419" s="135">
        <v>-13.951902605863211</v>
      </c>
      <c r="AQ419" s="135">
        <v>265.54025828420373</v>
      </c>
      <c r="AR419" s="135">
        <v>34.984885993485342</v>
      </c>
      <c r="AS419" s="135">
        <v>-0.5158631921824508</v>
      </c>
      <c r="AT419" s="135">
        <v>1.230814332247558</v>
      </c>
      <c r="AU419" s="135">
        <v>-12.818892508143321</v>
      </c>
      <c r="AV419" s="135">
        <v>1169.8009971535255</v>
      </c>
      <c r="AW419" s="135"/>
      <c r="AX419" s="164"/>
      <c r="AY419" s="132"/>
      <c r="AZ419" s="135"/>
      <c r="BA419" s="135"/>
    </row>
    <row r="420" spans="1:53" ht="16.5" x14ac:dyDescent="0.3">
      <c r="A420" s="132">
        <v>4068</v>
      </c>
      <c r="B420" s="132">
        <v>7</v>
      </c>
      <c r="C420" s="132" t="s">
        <v>694</v>
      </c>
      <c r="D420" s="133">
        <v>7</v>
      </c>
      <c r="E420" s="163">
        <v>465</v>
      </c>
      <c r="F420" s="135">
        <v>5461.7200860215053</v>
      </c>
      <c r="G420" s="135">
        <v>94.168666666666667</v>
      </c>
      <c r="H420" s="135">
        <v>22.305419354838712</v>
      </c>
      <c r="I420" s="135">
        <v>0</v>
      </c>
      <c r="J420" s="135">
        <v>103.70367741935483</v>
      </c>
      <c r="K420" s="135">
        <v>2878.2563440860213</v>
      </c>
      <c r="L420" s="135">
        <v>0</v>
      </c>
      <c r="M420" s="135">
        <v>576.26368878530116</v>
      </c>
      <c r="N420" s="135">
        <v>0</v>
      </c>
      <c r="O420" s="135">
        <v>-34.240301075268817</v>
      </c>
      <c r="P420" s="135">
        <v>1469.5937204301074</v>
      </c>
      <c r="Q420" s="135">
        <v>27.726795698924729</v>
      </c>
      <c r="R420" s="135">
        <v>316.71782795698925</v>
      </c>
      <c r="S420" s="135">
        <v>10916.215925344441</v>
      </c>
      <c r="T420" s="135"/>
      <c r="U420" s="135">
        <v>5974.8387096774195</v>
      </c>
      <c r="V420" s="135">
        <v>0</v>
      </c>
      <c r="W420" s="135">
        <v>70.981309159891524</v>
      </c>
      <c r="X420" s="135">
        <v>0</v>
      </c>
      <c r="Y420" s="135">
        <v>58.699053763440865</v>
      </c>
      <c r="Z420" s="135">
        <v>3254.3809677419354</v>
      </c>
      <c r="AA420" s="135">
        <v>0</v>
      </c>
      <c r="AB420" s="135">
        <v>560.89906527984203</v>
      </c>
      <c r="AC420" s="135">
        <v>334.68974489897585</v>
      </c>
      <c r="AD420" s="135">
        <v>0</v>
      </c>
      <c r="AE420" s="135">
        <v>1459.5772258064517</v>
      </c>
      <c r="AF420" s="135">
        <v>28.93141935483871</v>
      </c>
      <c r="AG420" s="135">
        <v>304.17176344086022</v>
      </c>
      <c r="AH420" s="135">
        <v>12047.169259123655</v>
      </c>
      <c r="AI420" s="135">
        <v>513.11862365591423</v>
      </c>
      <c r="AJ420" s="135">
        <v>-94.168666666666667</v>
      </c>
      <c r="AK420" s="135">
        <v>48.675889805052812</v>
      </c>
      <c r="AL420" s="135">
        <v>0</v>
      </c>
      <c r="AM420" s="135">
        <v>-45.004623655913967</v>
      </c>
      <c r="AN420" s="135">
        <v>376.12462365591409</v>
      </c>
      <c r="AO420" s="135">
        <v>0</v>
      </c>
      <c r="AP420" s="135">
        <v>-15.364623505459122</v>
      </c>
      <c r="AQ420" s="135">
        <v>334.68974489897585</v>
      </c>
      <c r="AR420" s="135">
        <v>34.240301075268817</v>
      </c>
      <c r="AS420" s="135">
        <v>-10.016494623655717</v>
      </c>
      <c r="AT420" s="135">
        <v>1.2046236559139807</v>
      </c>
      <c r="AU420" s="135">
        <v>-12.546064516129036</v>
      </c>
      <c r="AV420" s="135">
        <v>1130.9533434179898</v>
      </c>
      <c r="AW420" s="135"/>
      <c r="AX420" s="164"/>
      <c r="AY420" s="132"/>
      <c r="AZ420" s="135"/>
      <c r="BA420" s="135"/>
    </row>
    <row r="421" spans="1:53" ht="16.5" x14ac:dyDescent="0.3">
      <c r="A421" s="132">
        <v>4070</v>
      </c>
      <c r="B421" s="132">
        <v>7</v>
      </c>
      <c r="C421" s="132" t="s">
        <v>419</v>
      </c>
      <c r="D421" s="133">
        <v>7</v>
      </c>
      <c r="E421" s="163">
        <v>475</v>
      </c>
      <c r="F421" s="135">
        <v>5537.5499789473688</v>
      </c>
      <c r="G421" s="135">
        <v>295.66107368421052</v>
      </c>
      <c r="H421" s="135">
        <v>141.51930526315789</v>
      </c>
      <c r="I421" s="135">
        <v>0</v>
      </c>
      <c r="J421" s="135">
        <v>105.14349473684211</v>
      </c>
      <c r="K421" s="135">
        <v>2726.904</v>
      </c>
      <c r="L421" s="135">
        <v>0</v>
      </c>
      <c r="M421" s="135">
        <v>722.98492687868645</v>
      </c>
      <c r="N421" s="135">
        <v>0</v>
      </c>
      <c r="O421" s="135">
        <v>-34.715684210526319</v>
      </c>
      <c r="P421" s="135">
        <v>1489.9973894736841</v>
      </c>
      <c r="Q421" s="135">
        <v>28.111768421052631</v>
      </c>
      <c r="R421" s="135">
        <v>309.90298947368422</v>
      </c>
      <c r="S421" s="135">
        <v>11323.05924266816</v>
      </c>
      <c r="T421" s="135"/>
      <c r="U421" s="135">
        <v>6090.4421052631578</v>
      </c>
      <c r="V421" s="135">
        <v>0</v>
      </c>
      <c r="W421" s="135">
        <v>95.135822956466143</v>
      </c>
      <c r="X421" s="135">
        <v>0</v>
      </c>
      <c r="Y421" s="135">
        <v>59.83477894736842</v>
      </c>
      <c r="Z421" s="135">
        <v>3123.9124210526315</v>
      </c>
      <c r="AA421" s="135">
        <v>0</v>
      </c>
      <c r="AB421" s="135">
        <v>703.16159176019437</v>
      </c>
      <c r="AC421" s="135">
        <v>213.22840389303173</v>
      </c>
      <c r="AD421" s="135">
        <v>0</v>
      </c>
      <c r="AE421" s="135">
        <v>1487.8176673684211</v>
      </c>
      <c r="AF421" s="135">
        <v>29.333115789473688</v>
      </c>
      <c r="AG421" s="135">
        <v>297.18273684210527</v>
      </c>
      <c r="AH421" s="135">
        <v>12100.048643872849</v>
      </c>
      <c r="AI421" s="135">
        <v>552.89212631578903</v>
      </c>
      <c r="AJ421" s="135">
        <v>-295.66107368421052</v>
      </c>
      <c r="AK421" s="135">
        <v>-46.383482306691747</v>
      </c>
      <c r="AL421" s="135">
        <v>0</v>
      </c>
      <c r="AM421" s="135">
        <v>-45.308715789473695</v>
      </c>
      <c r="AN421" s="135">
        <v>397.00842105263155</v>
      </c>
      <c r="AO421" s="135">
        <v>0</v>
      </c>
      <c r="AP421" s="135">
        <v>-19.823335118492082</v>
      </c>
      <c r="AQ421" s="135">
        <v>213.22840389303173</v>
      </c>
      <c r="AR421" s="135">
        <v>34.715684210526319</v>
      </c>
      <c r="AS421" s="135">
        <v>-2.1797221052629538</v>
      </c>
      <c r="AT421" s="135">
        <v>1.221347368421057</v>
      </c>
      <c r="AU421" s="135">
        <v>-12.720252631578944</v>
      </c>
      <c r="AV421" s="135">
        <v>776.98940130463666</v>
      </c>
      <c r="AW421" s="135"/>
      <c r="AX421" s="164"/>
      <c r="AY421" s="132"/>
      <c r="AZ421" s="135"/>
      <c r="BA421" s="135"/>
    </row>
    <row r="422" spans="1:53" ht="16.5" x14ac:dyDescent="0.3">
      <c r="A422" s="132">
        <v>4073</v>
      </c>
      <c r="B422" s="132">
        <v>7</v>
      </c>
      <c r="C422" s="132" t="s">
        <v>695</v>
      </c>
      <c r="D422" s="133">
        <v>7</v>
      </c>
      <c r="E422" s="163">
        <v>370</v>
      </c>
      <c r="F422" s="135">
        <v>5286.8291891891895</v>
      </c>
      <c r="G422" s="135">
        <v>0</v>
      </c>
      <c r="H422" s="135">
        <v>134.95572972972974</v>
      </c>
      <c r="I422" s="135">
        <v>0</v>
      </c>
      <c r="J422" s="135">
        <v>100.38297297297296</v>
      </c>
      <c r="K422" s="135">
        <v>3071.7564864864867</v>
      </c>
      <c r="L422" s="135">
        <v>0</v>
      </c>
      <c r="M422" s="135">
        <v>845.32953359325415</v>
      </c>
      <c r="N422" s="135">
        <v>0</v>
      </c>
      <c r="O422" s="135">
        <v>-33.14389189189189</v>
      </c>
      <c r="P422" s="135">
        <v>1422.5355405405405</v>
      </c>
      <c r="Q422" s="135">
        <v>26.838945945945945</v>
      </c>
      <c r="R422" s="135">
        <v>335.41383783783783</v>
      </c>
      <c r="S422" s="135">
        <v>11190.898344404066</v>
      </c>
      <c r="T422" s="135"/>
      <c r="U422" s="135">
        <v>5789.1891891891892</v>
      </c>
      <c r="V422" s="135">
        <v>0</v>
      </c>
      <c r="W422" s="135">
        <v>92.057748828701747</v>
      </c>
      <c r="X422" s="135">
        <v>0</v>
      </c>
      <c r="Y422" s="135">
        <v>56.875162162162162</v>
      </c>
      <c r="Z422" s="135">
        <v>3480.5862432432436</v>
      </c>
      <c r="AA422" s="135">
        <v>0</v>
      </c>
      <c r="AB422" s="135">
        <v>822.74700905289001</v>
      </c>
      <c r="AC422" s="135">
        <v>366.7696385571478</v>
      </c>
      <c r="AD422" s="135">
        <v>0</v>
      </c>
      <c r="AE422" s="135">
        <v>1414.2254054054054</v>
      </c>
      <c r="AF422" s="135">
        <v>28.004999999999999</v>
      </c>
      <c r="AG422" s="135">
        <v>323.26951351351352</v>
      </c>
      <c r="AH422" s="135">
        <v>12373.724909952251</v>
      </c>
      <c r="AI422" s="135">
        <v>502.35999999999967</v>
      </c>
      <c r="AJ422" s="135">
        <v>0</v>
      </c>
      <c r="AK422" s="135">
        <v>-42.897980901027992</v>
      </c>
      <c r="AL422" s="135">
        <v>0</v>
      </c>
      <c r="AM422" s="135">
        <v>-43.507810810810803</v>
      </c>
      <c r="AN422" s="135">
        <v>408.82975675675698</v>
      </c>
      <c r="AO422" s="135">
        <v>0</v>
      </c>
      <c r="AP422" s="135">
        <v>-22.582524540364147</v>
      </c>
      <c r="AQ422" s="135">
        <v>366.7696385571478</v>
      </c>
      <c r="AR422" s="135">
        <v>33.14389189189189</v>
      </c>
      <c r="AS422" s="135">
        <v>-8.3101351351351695</v>
      </c>
      <c r="AT422" s="135">
        <v>1.1660540540540545</v>
      </c>
      <c r="AU422" s="135">
        <v>-12.144324324324316</v>
      </c>
      <c r="AV422" s="135">
        <v>1182.826573488886</v>
      </c>
      <c r="AW422" s="135"/>
      <c r="AX422" s="164"/>
      <c r="AY422" s="132"/>
      <c r="AZ422" s="135"/>
      <c r="BA422" s="135"/>
    </row>
    <row r="423" spans="1:53" ht="16.5" x14ac:dyDescent="0.3">
      <c r="A423" s="132">
        <v>4074</v>
      </c>
      <c r="B423" s="132">
        <v>7</v>
      </c>
      <c r="C423" s="132" t="s">
        <v>491</v>
      </c>
      <c r="D423" s="133">
        <v>7</v>
      </c>
      <c r="E423" s="163">
        <v>300</v>
      </c>
      <c r="F423" s="135">
        <v>6791.2</v>
      </c>
      <c r="G423" s="135">
        <v>0</v>
      </c>
      <c r="H423" s="135">
        <v>50.341133333333325</v>
      </c>
      <c r="I423" s="135">
        <v>0</v>
      </c>
      <c r="J423" s="135">
        <v>128.947</v>
      </c>
      <c r="K423" s="135">
        <v>415.81820000000005</v>
      </c>
      <c r="L423" s="135">
        <v>0</v>
      </c>
      <c r="M423" s="135">
        <v>2301.3306123448538</v>
      </c>
      <c r="N423" s="135">
        <v>0</v>
      </c>
      <c r="O423" s="135">
        <v>-42.575000000000003</v>
      </c>
      <c r="P423" s="135">
        <v>1827.319</v>
      </c>
      <c r="Q423" s="135">
        <v>34.475999999999999</v>
      </c>
      <c r="R423" s="135">
        <v>233.09129999999999</v>
      </c>
      <c r="S423" s="135">
        <v>11739.948245678186</v>
      </c>
      <c r="T423" s="135"/>
      <c r="U423" s="135">
        <v>7560</v>
      </c>
      <c r="V423" s="135">
        <v>0</v>
      </c>
      <c r="W423" s="135">
        <v>38.018938737886259</v>
      </c>
      <c r="X423" s="135">
        <v>0</v>
      </c>
      <c r="Y423" s="135">
        <v>74.272266666666667</v>
      </c>
      <c r="Z423" s="135">
        <v>516.38916666666671</v>
      </c>
      <c r="AA423" s="135">
        <v>0</v>
      </c>
      <c r="AB423" s="135">
        <v>2250.4523957146689</v>
      </c>
      <c r="AC423" s="135">
        <v>0</v>
      </c>
      <c r="AD423" s="135">
        <v>0</v>
      </c>
      <c r="AE423" s="135">
        <v>1846.8119999999999</v>
      </c>
      <c r="AF423" s="135">
        <v>35.973866666666666</v>
      </c>
      <c r="AG423" s="135">
        <v>217.4913</v>
      </c>
      <c r="AH423" s="135">
        <v>12539.409934452555</v>
      </c>
      <c r="AI423" s="135">
        <v>768.80000000000018</v>
      </c>
      <c r="AJ423" s="135">
        <v>0</v>
      </c>
      <c r="AK423" s="135">
        <v>-12.322194595447066</v>
      </c>
      <c r="AL423" s="135">
        <v>0</v>
      </c>
      <c r="AM423" s="135">
        <v>-54.674733333333336</v>
      </c>
      <c r="AN423" s="135">
        <v>100.57096666666666</v>
      </c>
      <c r="AO423" s="135">
        <v>0</v>
      </c>
      <c r="AP423" s="135">
        <v>-50.878216630184852</v>
      </c>
      <c r="AQ423" s="135">
        <v>0</v>
      </c>
      <c r="AR423" s="135">
        <v>42.575000000000003</v>
      </c>
      <c r="AS423" s="135">
        <v>19.492999999999938</v>
      </c>
      <c r="AT423" s="135">
        <v>1.4978666666666669</v>
      </c>
      <c r="AU423" s="135">
        <v>-15.599999999999994</v>
      </c>
      <c r="AV423" s="135">
        <v>799.46169325260439</v>
      </c>
      <c r="AW423" s="135"/>
      <c r="AX423" s="164"/>
      <c r="AY423" s="132"/>
      <c r="AZ423" s="135"/>
      <c r="BA423" s="135"/>
    </row>
    <row r="424" spans="1:53" ht="16.5" x14ac:dyDescent="0.3">
      <c r="A424" s="132">
        <v>4075</v>
      </c>
      <c r="B424" s="132">
        <v>7</v>
      </c>
      <c r="C424" s="132" t="s">
        <v>645</v>
      </c>
      <c r="D424" s="133">
        <v>7</v>
      </c>
      <c r="E424" s="163">
        <v>190</v>
      </c>
      <c r="F424" s="135">
        <v>6791.2</v>
      </c>
      <c r="G424" s="135">
        <v>0</v>
      </c>
      <c r="H424" s="135">
        <v>100.41652631578947</v>
      </c>
      <c r="I424" s="135">
        <v>0</v>
      </c>
      <c r="J424" s="135">
        <v>128.947</v>
      </c>
      <c r="K424" s="135">
        <v>366.59278947368421</v>
      </c>
      <c r="L424" s="135">
        <v>0</v>
      </c>
      <c r="M424" s="135">
        <v>1389.6929214004736</v>
      </c>
      <c r="N424" s="135">
        <v>0</v>
      </c>
      <c r="O424" s="135">
        <v>-42.575000000000003</v>
      </c>
      <c r="P424" s="135">
        <v>1703.7064736842106</v>
      </c>
      <c r="Q424" s="135">
        <v>34.475999999999999</v>
      </c>
      <c r="R424" s="135">
        <v>264.27426315789472</v>
      </c>
      <c r="S424" s="135">
        <v>10736.730974032052</v>
      </c>
      <c r="T424" s="135"/>
      <c r="U424" s="135">
        <v>7560</v>
      </c>
      <c r="V424" s="135">
        <v>0</v>
      </c>
      <c r="W424" s="135">
        <v>73.235931662849552</v>
      </c>
      <c r="X424" s="135">
        <v>0</v>
      </c>
      <c r="Y424" s="135">
        <v>74.272263157894741</v>
      </c>
      <c r="Z424" s="135">
        <v>453.32633240997222</v>
      </c>
      <c r="AA424" s="135">
        <v>0</v>
      </c>
      <c r="AB424" s="135">
        <v>1357.0658083210346</v>
      </c>
      <c r="AC424" s="135">
        <v>0</v>
      </c>
      <c r="AD424" s="135">
        <v>0</v>
      </c>
      <c r="AE424" s="135">
        <v>1706.3994736842105</v>
      </c>
      <c r="AF424" s="135">
        <v>35.973842105263159</v>
      </c>
      <c r="AG424" s="135">
        <v>248.67426315789473</v>
      </c>
      <c r="AH424" s="135">
        <v>11508.94791449912</v>
      </c>
      <c r="AI424" s="135">
        <v>768.80000000000018</v>
      </c>
      <c r="AJ424" s="135">
        <v>0</v>
      </c>
      <c r="AK424" s="135">
        <v>-27.180594652939917</v>
      </c>
      <c r="AL424" s="135">
        <v>0</v>
      </c>
      <c r="AM424" s="135">
        <v>-54.674736842105261</v>
      </c>
      <c r="AN424" s="135">
        <v>86.733542936288018</v>
      </c>
      <c r="AO424" s="135">
        <v>0</v>
      </c>
      <c r="AP424" s="135">
        <v>-32.627113079438914</v>
      </c>
      <c r="AQ424" s="135">
        <v>0</v>
      </c>
      <c r="AR424" s="135">
        <v>42.575000000000003</v>
      </c>
      <c r="AS424" s="135">
        <v>2.6929999999999836</v>
      </c>
      <c r="AT424" s="135">
        <v>1.4978421052631603</v>
      </c>
      <c r="AU424" s="135">
        <v>-15.599999999999994</v>
      </c>
      <c r="AV424" s="135">
        <v>772.21695000187538</v>
      </c>
      <c r="AW424" s="135"/>
      <c r="AX424" s="132"/>
      <c r="AY424" s="132"/>
      <c r="AZ424" s="155"/>
      <c r="BA424" s="155"/>
    </row>
    <row r="425" spans="1:53" ht="16.5" x14ac:dyDescent="0.3">
      <c r="A425" s="132">
        <v>4077</v>
      </c>
      <c r="B425" s="132">
        <v>7</v>
      </c>
      <c r="C425" s="132" t="s">
        <v>696</v>
      </c>
      <c r="D425" s="133">
        <v>7</v>
      </c>
      <c r="E425" s="163">
        <v>581</v>
      </c>
      <c r="F425" s="135">
        <v>5263.4722203098108</v>
      </c>
      <c r="G425" s="135">
        <v>136.80593803786576</v>
      </c>
      <c r="H425" s="135">
        <v>11.418812392426851</v>
      </c>
      <c r="I425" s="135">
        <v>0</v>
      </c>
      <c r="J425" s="135">
        <v>99.939466437177288</v>
      </c>
      <c r="K425" s="135">
        <v>3570.5578313253009</v>
      </c>
      <c r="L425" s="135">
        <v>0</v>
      </c>
      <c r="M425" s="135">
        <v>766.77798817878147</v>
      </c>
      <c r="N425" s="135">
        <v>0</v>
      </c>
      <c r="O425" s="135">
        <v>-32.997452667814116</v>
      </c>
      <c r="P425" s="135">
        <v>1315.6977796901895</v>
      </c>
      <c r="Q425" s="135">
        <v>26.720395869191051</v>
      </c>
      <c r="R425" s="135">
        <v>157.60242685025818</v>
      </c>
      <c r="S425" s="135">
        <v>11315.99540642319</v>
      </c>
      <c r="T425" s="135"/>
      <c r="U425" s="135">
        <v>5699.5633734939756</v>
      </c>
      <c r="V425" s="135">
        <v>0</v>
      </c>
      <c r="W425" s="135">
        <v>12.150830420496881</v>
      </c>
      <c r="X425" s="135">
        <v>0</v>
      </c>
      <c r="Y425" s="135">
        <v>55.714853700516358</v>
      </c>
      <c r="Z425" s="135">
        <v>4027.2157487091226</v>
      </c>
      <c r="AA425" s="135">
        <v>0</v>
      </c>
      <c r="AB425" s="135">
        <v>752.12135096575389</v>
      </c>
      <c r="AC425" s="135">
        <v>480.75752126100826</v>
      </c>
      <c r="AD425" s="135">
        <v>0</v>
      </c>
      <c r="AE425" s="135">
        <v>1311.0617728055079</v>
      </c>
      <c r="AF425" s="135">
        <v>27.881290877796904</v>
      </c>
      <c r="AG425" s="135">
        <v>145.5117555938038</v>
      </c>
      <c r="AH425" s="135">
        <v>12511.97849782798</v>
      </c>
      <c r="AI425" s="135">
        <v>436.0911531841648</v>
      </c>
      <c r="AJ425" s="135">
        <v>-136.80593803786576</v>
      </c>
      <c r="AK425" s="135">
        <v>0.73201802807002991</v>
      </c>
      <c r="AL425" s="135">
        <v>0</v>
      </c>
      <c r="AM425" s="135">
        <v>-44.22461273666093</v>
      </c>
      <c r="AN425" s="135">
        <v>456.65791738382177</v>
      </c>
      <c r="AO425" s="135">
        <v>0</v>
      </c>
      <c r="AP425" s="135">
        <v>-14.656637213027579</v>
      </c>
      <c r="AQ425" s="135">
        <v>480.75752126100826</v>
      </c>
      <c r="AR425" s="135">
        <v>32.997452667814116</v>
      </c>
      <c r="AS425" s="135">
        <v>-4.6360068846815921</v>
      </c>
      <c r="AT425" s="135">
        <v>1.160895008605852</v>
      </c>
      <c r="AU425" s="135">
        <v>-12.090671256454385</v>
      </c>
      <c r="AV425" s="135">
        <v>1195.9830946096174</v>
      </c>
      <c r="AW425" s="135"/>
      <c r="AX425" s="164"/>
      <c r="AY425" s="132"/>
      <c r="AZ425" s="135"/>
      <c r="BA425" s="135"/>
    </row>
    <row r="426" spans="1:53" ht="16.5" x14ac:dyDescent="0.3">
      <c r="A426" s="132">
        <v>4078</v>
      </c>
      <c r="B426" s="132">
        <v>7</v>
      </c>
      <c r="C426" s="132" t="s">
        <v>618</v>
      </c>
      <c r="D426" s="133">
        <v>7</v>
      </c>
      <c r="E426" s="163">
        <v>380</v>
      </c>
      <c r="F426" s="135">
        <v>6131.3263157894735</v>
      </c>
      <c r="G426" s="135">
        <v>488.44042105263156</v>
      </c>
      <c r="H426" s="135">
        <v>13.199157894736842</v>
      </c>
      <c r="I426" s="135">
        <v>0</v>
      </c>
      <c r="J426" s="135">
        <v>116.41773684210526</v>
      </c>
      <c r="K426" s="135">
        <v>3101.9186842105264</v>
      </c>
      <c r="L426" s="135">
        <v>0</v>
      </c>
      <c r="M426" s="135">
        <v>466.27786982404211</v>
      </c>
      <c r="N426" s="135">
        <v>0</v>
      </c>
      <c r="O426" s="135">
        <v>-38.43815789473684</v>
      </c>
      <c r="P426" s="135">
        <v>1453.5821578947368</v>
      </c>
      <c r="Q426" s="135">
        <v>31.126105263157896</v>
      </c>
      <c r="R426" s="135">
        <v>14.08421052631579</v>
      </c>
      <c r="S426" s="135">
        <v>11777.93450140299</v>
      </c>
      <c r="T426" s="135"/>
      <c r="U426" s="135">
        <v>6896.8421052631575</v>
      </c>
      <c r="V426" s="135">
        <v>0</v>
      </c>
      <c r="W426" s="135">
        <v>14.59516083852969</v>
      </c>
      <c r="X426" s="135">
        <v>0</v>
      </c>
      <c r="Y426" s="135">
        <v>67.757157894736849</v>
      </c>
      <c r="Z426" s="135">
        <v>3594.1344473684208</v>
      </c>
      <c r="AA426" s="135">
        <v>0</v>
      </c>
      <c r="AB426" s="135">
        <v>458.34278123804086</v>
      </c>
      <c r="AC426" s="135">
        <v>0</v>
      </c>
      <c r="AD426" s="135">
        <v>0</v>
      </c>
      <c r="AE426" s="135">
        <v>1458.5642105263157</v>
      </c>
      <c r="AF426" s="135">
        <v>32.478421052631575</v>
      </c>
      <c r="AG426" s="135">
        <v>0</v>
      </c>
      <c r="AH426" s="135">
        <v>12522.714284181835</v>
      </c>
      <c r="AI426" s="135">
        <v>765.51578947368398</v>
      </c>
      <c r="AJ426" s="135">
        <v>-488.44042105263156</v>
      </c>
      <c r="AK426" s="135">
        <v>1.3960029437928476</v>
      </c>
      <c r="AL426" s="135">
        <v>0</v>
      </c>
      <c r="AM426" s="135">
        <v>-48.660578947368407</v>
      </c>
      <c r="AN426" s="135">
        <v>492.21576315789434</v>
      </c>
      <c r="AO426" s="135">
        <v>0</v>
      </c>
      <c r="AP426" s="135">
        <v>-7.9350885860012568</v>
      </c>
      <c r="AQ426" s="135">
        <v>0</v>
      </c>
      <c r="AR426" s="135">
        <v>38.43815789473684</v>
      </c>
      <c r="AS426" s="135">
        <v>4.9820526315788811</v>
      </c>
      <c r="AT426" s="135">
        <v>1.3523157894736784</v>
      </c>
      <c r="AU426" s="135">
        <v>-14.08421052631579</v>
      </c>
      <c r="AV426" s="135">
        <v>744.77978798810375</v>
      </c>
      <c r="AW426" s="135"/>
      <c r="AX426" s="164"/>
      <c r="AY426" s="132"/>
      <c r="AZ426" s="135"/>
      <c r="BA426" s="135"/>
    </row>
    <row r="427" spans="1:53" ht="16.5" x14ac:dyDescent="0.3">
      <c r="A427" s="132">
        <v>4079</v>
      </c>
      <c r="B427" s="132">
        <v>7</v>
      </c>
      <c r="C427" s="132" t="s">
        <v>697</v>
      </c>
      <c r="D427" s="133">
        <v>7</v>
      </c>
      <c r="E427" s="163">
        <v>120</v>
      </c>
      <c r="F427" s="135">
        <v>5227.9180000000006</v>
      </c>
      <c r="G427" s="135">
        <v>0</v>
      </c>
      <c r="H427" s="135">
        <v>0</v>
      </c>
      <c r="I427" s="135">
        <v>0</v>
      </c>
      <c r="J427" s="135">
        <v>99.264416666666662</v>
      </c>
      <c r="K427" s="135">
        <v>2212.14</v>
      </c>
      <c r="L427" s="135">
        <v>0</v>
      </c>
      <c r="M427" s="135">
        <v>686.8218333333333</v>
      </c>
      <c r="N427" s="135">
        <v>0</v>
      </c>
      <c r="O427" s="135">
        <v>-32.774583333333332</v>
      </c>
      <c r="P427" s="135">
        <v>861.43966666666665</v>
      </c>
      <c r="Q427" s="135">
        <v>26.539833333333334</v>
      </c>
      <c r="R427" s="135">
        <v>40.605333333333306</v>
      </c>
      <c r="S427" s="135">
        <v>9121.9545000000016</v>
      </c>
      <c r="T427" s="135"/>
      <c r="U427" s="135">
        <v>5696.25</v>
      </c>
      <c r="V427" s="135">
        <v>0</v>
      </c>
      <c r="W427" s="135">
        <v>0</v>
      </c>
      <c r="X427" s="135">
        <v>0</v>
      </c>
      <c r="Y427" s="135">
        <v>55.962083333333332</v>
      </c>
      <c r="Z427" s="135">
        <v>2508.4970000000003</v>
      </c>
      <c r="AA427" s="135">
        <v>0</v>
      </c>
      <c r="AB427" s="135">
        <v>666.21717833333321</v>
      </c>
      <c r="AC427" s="135">
        <v>596.99619179400656</v>
      </c>
      <c r="AD427" s="135">
        <v>0</v>
      </c>
      <c r="AE427" s="135">
        <v>859.1019583333333</v>
      </c>
      <c r="AF427" s="135">
        <v>27.692916666666665</v>
      </c>
      <c r="AG427" s="135">
        <v>28.59633333333332</v>
      </c>
      <c r="AH427" s="135">
        <v>10439.313661794005</v>
      </c>
      <c r="AI427" s="135">
        <v>468.33199999999943</v>
      </c>
      <c r="AJ427" s="135">
        <v>0</v>
      </c>
      <c r="AK427" s="135">
        <v>0</v>
      </c>
      <c r="AL427" s="135">
        <v>0</v>
      </c>
      <c r="AM427" s="135">
        <v>-43.30233333333333</v>
      </c>
      <c r="AN427" s="135">
        <v>296.35700000000043</v>
      </c>
      <c r="AO427" s="135">
        <v>0</v>
      </c>
      <c r="AP427" s="135">
        <v>-20.604655000000093</v>
      </c>
      <c r="AQ427" s="135">
        <v>596.99619179400656</v>
      </c>
      <c r="AR427" s="135">
        <v>32.774583333333332</v>
      </c>
      <c r="AS427" s="135">
        <v>-2.337708333333353</v>
      </c>
      <c r="AT427" s="135">
        <v>1.1530833333333312</v>
      </c>
      <c r="AU427" s="135">
        <v>-12.008999999999986</v>
      </c>
      <c r="AV427" s="135">
        <v>1317.3591692543048</v>
      </c>
      <c r="AW427" s="135"/>
      <c r="AX427" s="164"/>
      <c r="AY427" s="132"/>
      <c r="AZ427" s="135"/>
      <c r="BA427" s="135"/>
    </row>
    <row r="428" spans="1:53" ht="16.5" x14ac:dyDescent="0.3">
      <c r="A428" s="132">
        <v>4080</v>
      </c>
      <c r="B428" s="132">
        <v>7</v>
      </c>
      <c r="C428" s="132" t="s">
        <v>683</v>
      </c>
      <c r="D428" s="133">
        <v>7</v>
      </c>
      <c r="E428" s="163">
        <v>40</v>
      </c>
      <c r="F428" s="135">
        <v>6930.942</v>
      </c>
      <c r="G428" s="135">
        <v>153.39875000000001</v>
      </c>
      <c r="H428" s="135">
        <v>19.172249999999998</v>
      </c>
      <c r="I428" s="135">
        <v>0</v>
      </c>
      <c r="J428" s="135">
        <v>131.60025000000002</v>
      </c>
      <c r="K428" s="135">
        <v>1859.8807499999998</v>
      </c>
      <c r="L428" s="135">
        <v>0</v>
      </c>
      <c r="M428" s="135">
        <v>3675.8642500000001</v>
      </c>
      <c r="N428" s="135">
        <v>0</v>
      </c>
      <c r="O428" s="135">
        <v>-43.451000000000001</v>
      </c>
      <c r="P428" s="135">
        <v>1832.8195000000001</v>
      </c>
      <c r="Q428" s="135">
        <v>234.68874999999997</v>
      </c>
      <c r="R428" s="135">
        <v>15.921000000000001</v>
      </c>
      <c r="S428" s="135">
        <v>14810.836500000001</v>
      </c>
      <c r="T428" s="135"/>
      <c r="U428" s="135">
        <v>7748.7479999999996</v>
      </c>
      <c r="V428" s="135">
        <v>0</v>
      </c>
      <c r="W428" s="135">
        <v>15.48684493647481</v>
      </c>
      <c r="X428" s="135">
        <v>0</v>
      </c>
      <c r="Y428" s="135">
        <v>74.27225</v>
      </c>
      <c r="Z428" s="135">
        <v>2123.4544999999998</v>
      </c>
      <c r="AA428" s="135">
        <v>0</v>
      </c>
      <c r="AB428" s="135">
        <v>3601.3284493841229</v>
      </c>
      <c r="AC428" s="135">
        <v>0</v>
      </c>
      <c r="AD428" s="135">
        <v>0</v>
      </c>
      <c r="AE428" s="135">
        <v>1846.8119999999999</v>
      </c>
      <c r="AF428" s="135">
        <v>236.21749999999997</v>
      </c>
      <c r="AG428" s="135">
        <v>0</v>
      </c>
      <c r="AH428" s="135">
        <v>15646.319544320599</v>
      </c>
      <c r="AI428" s="135">
        <v>817.80599999999959</v>
      </c>
      <c r="AJ428" s="135">
        <v>-153.39875000000001</v>
      </c>
      <c r="AK428" s="135">
        <v>-3.685405063525188</v>
      </c>
      <c r="AL428" s="135">
        <v>0</v>
      </c>
      <c r="AM428" s="135">
        <v>-57.328000000000017</v>
      </c>
      <c r="AN428" s="135">
        <v>263.57375000000002</v>
      </c>
      <c r="AO428" s="135">
        <v>0</v>
      </c>
      <c r="AP428" s="135">
        <v>-74.535800615877179</v>
      </c>
      <c r="AQ428" s="135">
        <v>0</v>
      </c>
      <c r="AR428" s="135">
        <v>43.451000000000001</v>
      </c>
      <c r="AS428" s="135">
        <v>13.992499999999836</v>
      </c>
      <c r="AT428" s="135">
        <v>1.5287500000000023</v>
      </c>
      <c r="AU428" s="135">
        <v>-15.921000000000001</v>
      </c>
      <c r="AV428" s="135">
        <v>835.48305024938918</v>
      </c>
      <c r="AW428" s="135"/>
      <c r="AX428" s="164"/>
      <c r="AY428" s="132"/>
      <c r="AZ428" s="135"/>
      <c r="BA428" s="135"/>
    </row>
    <row r="429" spans="1:53" ht="16.5" x14ac:dyDescent="0.3">
      <c r="A429" s="132">
        <v>4081</v>
      </c>
      <c r="B429" s="132">
        <v>7</v>
      </c>
      <c r="C429" s="132" t="s">
        <v>687</v>
      </c>
      <c r="D429" s="133">
        <v>7</v>
      </c>
      <c r="E429" s="163">
        <v>59</v>
      </c>
      <c r="F429" s="135">
        <v>6787.6583050847466</v>
      </c>
      <c r="G429" s="135">
        <v>0</v>
      </c>
      <c r="H429" s="135">
        <v>101.86050847457628</v>
      </c>
      <c r="I429" s="135">
        <v>0</v>
      </c>
      <c r="J429" s="135">
        <v>128.87983050847458</v>
      </c>
      <c r="K429" s="135">
        <v>2094.2701694915254</v>
      </c>
      <c r="L429" s="135">
        <v>0</v>
      </c>
      <c r="M429" s="135">
        <v>1633.1293220338985</v>
      </c>
      <c r="N429" s="135">
        <v>0</v>
      </c>
      <c r="O429" s="135">
        <v>-42.5528813559322</v>
      </c>
      <c r="P429" s="135">
        <v>1389.8915254237288</v>
      </c>
      <c r="Q429" s="135">
        <v>144.65355932203391</v>
      </c>
      <c r="R429" s="135">
        <v>-424.12474576271183</v>
      </c>
      <c r="S429" s="135">
        <v>11813.665593220339</v>
      </c>
      <c r="T429" s="135"/>
      <c r="U429" s="135">
        <v>7570.5071186440691</v>
      </c>
      <c r="V429" s="135">
        <v>0</v>
      </c>
      <c r="W429" s="135">
        <v>6.055789469180981</v>
      </c>
      <c r="X429" s="135">
        <v>0</v>
      </c>
      <c r="Y429" s="135">
        <v>73.852711864406785</v>
      </c>
      <c r="Z429" s="135">
        <v>2365.2171527578284</v>
      </c>
      <c r="AA429" s="135">
        <v>0</v>
      </c>
      <c r="AB429" s="135">
        <v>1586.8532389830507</v>
      </c>
      <c r="AC429" s="135">
        <v>0</v>
      </c>
      <c r="AD429" s="135">
        <v>0</v>
      </c>
      <c r="AE429" s="135">
        <v>1391.1983728813559</v>
      </c>
      <c r="AF429" s="135">
        <v>146.15067796610168</v>
      </c>
      <c r="AG429" s="135">
        <v>-439.7166101694915</v>
      </c>
      <c r="AH429" s="135">
        <v>12700.118452396502</v>
      </c>
      <c r="AI429" s="135">
        <v>782.84881355932248</v>
      </c>
      <c r="AJ429" s="135">
        <v>0</v>
      </c>
      <c r="AK429" s="135">
        <v>-95.804719005395299</v>
      </c>
      <c r="AL429" s="135">
        <v>0</v>
      </c>
      <c r="AM429" s="135">
        <v>-55.027118644067798</v>
      </c>
      <c r="AN429" s="135">
        <v>270.94698326630305</v>
      </c>
      <c r="AO429" s="135">
        <v>0</v>
      </c>
      <c r="AP429" s="135">
        <v>-46.276083050847774</v>
      </c>
      <c r="AQ429" s="135">
        <v>0</v>
      </c>
      <c r="AR429" s="135">
        <v>42.5528813559322</v>
      </c>
      <c r="AS429" s="135">
        <v>1.3068474576271001</v>
      </c>
      <c r="AT429" s="135">
        <v>1.4971186440677684</v>
      </c>
      <c r="AU429" s="135">
        <v>-15.591864406779678</v>
      </c>
      <c r="AV429" s="135">
        <v>886.45286240313476</v>
      </c>
      <c r="AW429" s="135"/>
      <c r="AX429" s="164"/>
      <c r="AY429" s="132"/>
      <c r="AZ429" s="135"/>
      <c r="BA429" s="135"/>
    </row>
    <row r="430" spans="1:53" ht="16.5" x14ac:dyDescent="0.3">
      <c r="A430" s="132">
        <v>4082</v>
      </c>
      <c r="B430" s="132">
        <v>7</v>
      </c>
      <c r="C430" s="132" t="s">
        <v>609</v>
      </c>
      <c r="D430" s="133">
        <v>7</v>
      </c>
      <c r="E430" s="163">
        <v>500</v>
      </c>
      <c r="F430" s="135">
        <v>6791.2</v>
      </c>
      <c r="G430" s="135">
        <v>1.833</v>
      </c>
      <c r="H430" s="135">
        <v>127.92084000000003</v>
      </c>
      <c r="I430" s="135">
        <v>0</v>
      </c>
      <c r="J430" s="135">
        <v>128.947</v>
      </c>
      <c r="K430" s="135">
        <v>60.208680000000001</v>
      </c>
      <c r="L430" s="135">
        <v>0</v>
      </c>
      <c r="M430" s="135">
        <v>1067.71486</v>
      </c>
      <c r="N430" s="135">
        <v>0</v>
      </c>
      <c r="O430" s="135">
        <v>-42.575000000000003</v>
      </c>
      <c r="P430" s="135">
        <v>627.64056000000005</v>
      </c>
      <c r="Q430" s="135">
        <v>38.584000000000003</v>
      </c>
      <c r="R430" s="135">
        <v>15.6</v>
      </c>
      <c r="S430" s="135">
        <v>8817.0739400000002</v>
      </c>
      <c r="T430" s="135"/>
      <c r="U430" s="135">
        <v>7560</v>
      </c>
      <c r="V430" s="135">
        <v>0</v>
      </c>
      <c r="W430" s="135">
        <v>123.63128089856215</v>
      </c>
      <c r="X430" s="135">
        <v>0</v>
      </c>
      <c r="Y430" s="135">
        <v>74.272259999999989</v>
      </c>
      <c r="Z430" s="135">
        <v>91.709419999999994</v>
      </c>
      <c r="AA430" s="135">
        <v>0</v>
      </c>
      <c r="AB430" s="135">
        <v>1035.6834142</v>
      </c>
      <c r="AC430" s="135">
        <v>0</v>
      </c>
      <c r="AD430" s="135">
        <v>0</v>
      </c>
      <c r="AE430" s="135">
        <v>630.33356000000003</v>
      </c>
      <c r="AF430" s="135">
        <v>40.081859999999999</v>
      </c>
      <c r="AG430" s="135">
        <v>0</v>
      </c>
      <c r="AH430" s="135">
        <v>9555.7117950985612</v>
      </c>
      <c r="AI430" s="135">
        <v>768.80000000000018</v>
      </c>
      <c r="AJ430" s="135">
        <v>-1.833</v>
      </c>
      <c r="AK430" s="135">
        <v>-4.2895591014378738</v>
      </c>
      <c r="AL430" s="135">
        <v>0</v>
      </c>
      <c r="AM430" s="135">
        <v>-54.674740000000014</v>
      </c>
      <c r="AN430" s="135">
        <v>31.500739999999993</v>
      </c>
      <c r="AO430" s="135">
        <v>0</v>
      </c>
      <c r="AP430" s="135">
        <v>-32.031445800000029</v>
      </c>
      <c r="AQ430" s="135">
        <v>0</v>
      </c>
      <c r="AR430" s="135">
        <v>42.575000000000003</v>
      </c>
      <c r="AS430" s="135">
        <v>2.6929999999999836</v>
      </c>
      <c r="AT430" s="135">
        <v>1.4978599999999958</v>
      </c>
      <c r="AU430" s="135">
        <v>-15.6</v>
      </c>
      <c r="AV430" s="135">
        <v>738.63786008588454</v>
      </c>
      <c r="AW430" s="135"/>
      <c r="AX430" s="164"/>
      <c r="AY430" s="132"/>
      <c r="AZ430" s="135"/>
      <c r="BA430" s="135"/>
    </row>
    <row r="431" spans="1:53" ht="16.5" x14ac:dyDescent="0.3">
      <c r="A431" s="132">
        <v>4083</v>
      </c>
      <c r="B431" s="132">
        <v>7</v>
      </c>
      <c r="C431" s="132" t="s">
        <v>443</v>
      </c>
      <c r="D431" s="133">
        <v>7</v>
      </c>
      <c r="E431" s="163">
        <v>102</v>
      </c>
      <c r="F431" s="135">
        <v>5290.5803921568622</v>
      </c>
      <c r="G431" s="135">
        <v>18.239509803921568</v>
      </c>
      <c r="H431" s="135">
        <v>14.153725490196079</v>
      </c>
      <c r="I431" s="135">
        <v>0</v>
      </c>
      <c r="J431" s="135">
        <v>100.45421568627451</v>
      </c>
      <c r="K431" s="135">
        <v>255.53705882352941</v>
      </c>
      <c r="L431" s="135">
        <v>0</v>
      </c>
      <c r="M431" s="135">
        <v>658.15490196078429</v>
      </c>
      <c r="N431" s="135">
        <v>0</v>
      </c>
      <c r="O431" s="135">
        <v>-33.167450980392154</v>
      </c>
      <c r="P431" s="135">
        <v>1382.2507843137255</v>
      </c>
      <c r="Q431" s="135">
        <v>126.82607843137255</v>
      </c>
      <c r="R431" s="135">
        <v>-18.961764705882416</v>
      </c>
      <c r="S431" s="135">
        <v>7794.0674509803912</v>
      </c>
      <c r="T431" s="135"/>
      <c r="U431" s="135">
        <v>5775</v>
      </c>
      <c r="V431" s="135">
        <v>0</v>
      </c>
      <c r="W431" s="135">
        <v>29.739954243748272</v>
      </c>
      <c r="X431" s="135">
        <v>0</v>
      </c>
      <c r="Y431" s="135">
        <v>56.735784313725489</v>
      </c>
      <c r="Z431" s="135">
        <v>331.74480392156863</v>
      </c>
      <c r="AA431" s="135">
        <v>0</v>
      </c>
      <c r="AB431" s="135">
        <v>638.4102549019608</v>
      </c>
      <c r="AC431" s="135">
        <v>96.87564978401727</v>
      </c>
      <c r="AD431" s="135">
        <v>0</v>
      </c>
      <c r="AE431" s="135">
        <v>1365.6709313725491</v>
      </c>
      <c r="AF431" s="135">
        <v>127.99294117647059</v>
      </c>
      <c r="AG431" s="135">
        <v>-31.114705882353007</v>
      </c>
      <c r="AH431" s="135">
        <v>8391.0556138316879</v>
      </c>
      <c r="AI431" s="135">
        <v>484.41960784313778</v>
      </c>
      <c r="AJ431" s="135">
        <v>-18.239509803921568</v>
      </c>
      <c r="AK431" s="135">
        <v>15.586228753552193</v>
      </c>
      <c r="AL431" s="135">
        <v>0</v>
      </c>
      <c r="AM431" s="135">
        <v>-43.71843137254902</v>
      </c>
      <c r="AN431" s="135">
        <v>76.207745098039226</v>
      </c>
      <c r="AO431" s="135">
        <v>0</v>
      </c>
      <c r="AP431" s="135">
        <v>-19.744647058823489</v>
      </c>
      <c r="AQ431" s="135">
        <v>96.87564978401727</v>
      </c>
      <c r="AR431" s="135">
        <v>33.167450980392154</v>
      </c>
      <c r="AS431" s="135">
        <v>-16.579852941176341</v>
      </c>
      <c r="AT431" s="135">
        <v>1.1668627450980438</v>
      </c>
      <c r="AU431" s="135">
        <v>-12.152941176470591</v>
      </c>
      <c r="AV431" s="135">
        <v>596.98816513025758</v>
      </c>
      <c r="AW431" s="135"/>
      <c r="AX431" s="132"/>
      <c r="AY431" s="132"/>
      <c r="AZ431" s="155"/>
      <c r="BA431" s="155"/>
    </row>
    <row r="432" spans="1:53" ht="16.5" x14ac:dyDescent="0.3">
      <c r="A432" s="132">
        <v>4084</v>
      </c>
      <c r="B432" s="132">
        <v>7</v>
      </c>
      <c r="C432" s="132" t="s">
        <v>518</v>
      </c>
      <c r="D432" s="133">
        <v>7</v>
      </c>
      <c r="E432" s="163">
        <v>341</v>
      </c>
      <c r="F432" s="135">
        <v>5310.2496187683291</v>
      </c>
      <c r="G432" s="135">
        <v>18.348005865102639</v>
      </c>
      <c r="H432" s="135">
        <v>0</v>
      </c>
      <c r="I432" s="135">
        <v>0</v>
      </c>
      <c r="J432" s="135">
        <v>100.8276539589443</v>
      </c>
      <c r="K432" s="135">
        <v>374.84815249266865</v>
      </c>
      <c r="L432" s="135">
        <v>0</v>
      </c>
      <c r="M432" s="135">
        <v>1052.1089745134311</v>
      </c>
      <c r="N432" s="135">
        <v>0</v>
      </c>
      <c r="O432" s="135">
        <v>-33.290703812316714</v>
      </c>
      <c r="P432" s="135">
        <v>1351.8402639296187</v>
      </c>
      <c r="Q432" s="135">
        <v>446.30900293255127</v>
      </c>
      <c r="R432" s="135">
        <v>118.08912023460411</v>
      </c>
      <c r="S432" s="135">
        <v>8739.3300888829344</v>
      </c>
      <c r="T432" s="135"/>
      <c r="U432" s="135">
        <v>5819.6480938416425</v>
      </c>
      <c r="V432" s="135">
        <v>0</v>
      </c>
      <c r="W432" s="135">
        <v>0</v>
      </c>
      <c r="X432" s="135">
        <v>0</v>
      </c>
      <c r="Y432" s="135">
        <v>57.174398826979477</v>
      </c>
      <c r="Z432" s="135">
        <v>472.49120234604106</v>
      </c>
      <c r="AA432" s="135">
        <v>0</v>
      </c>
      <c r="AB432" s="135">
        <v>1018.9580304720067</v>
      </c>
      <c r="AC432" s="135">
        <v>130.39860190869189</v>
      </c>
      <c r="AD432" s="135">
        <v>0</v>
      </c>
      <c r="AE432" s="135">
        <v>1350.6690615835776</v>
      </c>
      <c r="AF432" s="135">
        <v>447.48020527859234</v>
      </c>
      <c r="AG432" s="135">
        <v>105.89099706744868</v>
      </c>
      <c r="AH432" s="135">
        <v>9402.7105913249798</v>
      </c>
      <c r="AI432" s="135">
        <v>509.39847507331342</v>
      </c>
      <c r="AJ432" s="135">
        <v>-18.348005865102639</v>
      </c>
      <c r="AK432" s="135">
        <v>0</v>
      </c>
      <c r="AL432" s="135">
        <v>0</v>
      </c>
      <c r="AM432" s="135">
        <v>-43.653255131964819</v>
      </c>
      <c r="AN432" s="135">
        <v>97.643049853372418</v>
      </c>
      <c r="AO432" s="135">
        <v>0</v>
      </c>
      <c r="AP432" s="135">
        <v>-33.150944041424395</v>
      </c>
      <c r="AQ432" s="135">
        <v>130.39860190869189</v>
      </c>
      <c r="AR432" s="135">
        <v>33.290703812316714</v>
      </c>
      <c r="AS432" s="135">
        <v>-1.1712023460411274</v>
      </c>
      <c r="AT432" s="135">
        <v>1.1712023460410705</v>
      </c>
      <c r="AU432" s="135">
        <v>-12.19812316715543</v>
      </c>
      <c r="AV432" s="135">
        <v>663.38050457063844</v>
      </c>
      <c r="AW432" s="135"/>
      <c r="AX432" s="164"/>
      <c r="AY432" s="132"/>
      <c r="AZ432" s="135"/>
      <c r="BA432" s="135"/>
    </row>
    <row r="433" spans="1:53" ht="16.5" x14ac:dyDescent="0.3">
      <c r="A433" s="132">
        <v>4085</v>
      </c>
      <c r="B433" s="132">
        <v>7</v>
      </c>
      <c r="C433" s="132" t="s">
        <v>681</v>
      </c>
      <c r="D433" s="133">
        <v>7</v>
      </c>
      <c r="E433" s="163">
        <v>160</v>
      </c>
      <c r="F433" s="135">
        <v>6912.6580000000004</v>
      </c>
      <c r="G433" s="135">
        <v>15.6805</v>
      </c>
      <c r="H433" s="135">
        <v>0.31443750000000004</v>
      </c>
      <c r="I433" s="135">
        <v>0</v>
      </c>
      <c r="J433" s="135">
        <v>131.2531875</v>
      </c>
      <c r="K433" s="135">
        <v>556.04062499999998</v>
      </c>
      <c r="L433" s="135">
        <v>0</v>
      </c>
      <c r="M433" s="135">
        <v>2423.1255647484004</v>
      </c>
      <c r="N433" s="135">
        <v>0</v>
      </c>
      <c r="O433" s="135">
        <v>-43.336437500000002</v>
      </c>
      <c r="P433" s="135">
        <v>1832.0998749999999</v>
      </c>
      <c r="Q433" s="135">
        <v>122.55937500000002</v>
      </c>
      <c r="R433" s="135">
        <v>15.879</v>
      </c>
      <c r="S433" s="135">
        <v>11966.274127248404</v>
      </c>
      <c r="T433" s="135"/>
      <c r="U433" s="135">
        <v>7724.4930000000004</v>
      </c>
      <c r="V433" s="135">
        <v>0</v>
      </c>
      <c r="W433" s="135">
        <v>0</v>
      </c>
      <c r="X433" s="135">
        <v>0</v>
      </c>
      <c r="Y433" s="135">
        <v>74.27225</v>
      </c>
      <c r="Z433" s="135">
        <v>689.30337499999996</v>
      </c>
      <c r="AA433" s="135">
        <v>0</v>
      </c>
      <c r="AB433" s="135">
        <v>2373.4284071624143</v>
      </c>
      <c r="AC433" s="135">
        <v>0</v>
      </c>
      <c r="AD433" s="135">
        <v>0</v>
      </c>
      <c r="AE433" s="135">
        <v>1846.8119999999999</v>
      </c>
      <c r="AF433" s="135">
        <v>124.084</v>
      </c>
      <c r="AG433" s="135">
        <v>0</v>
      </c>
      <c r="AH433" s="135">
        <v>12832.393032162414</v>
      </c>
      <c r="AI433" s="135">
        <v>811.83500000000004</v>
      </c>
      <c r="AJ433" s="135">
        <v>-15.6805</v>
      </c>
      <c r="AK433" s="135">
        <v>-0.31443750000000004</v>
      </c>
      <c r="AL433" s="135">
        <v>0</v>
      </c>
      <c r="AM433" s="135">
        <v>-56.980937499999996</v>
      </c>
      <c r="AN433" s="135">
        <v>133.26274999999998</v>
      </c>
      <c r="AO433" s="135">
        <v>0</v>
      </c>
      <c r="AP433" s="135">
        <v>-49.697157585986133</v>
      </c>
      <c r="AQ433" s="135">
        <v>0</v>
      </c>
      <c r="AR433" s="135">
        <v>43.336437500000002</v>
      </c>
      <c r="AS433" s="135">
        <v>14.712125000000015</v>
      </c>
      <c r="AT433" s="135">
        <v>1.5246249999999861</v>
      </c>
      <c r="AU433" s="135">
        <v>-15.879</v>
      </c>
      <c r="AV433" s="135">
        <v>866.11890545361518</v>
      </c>
      <c r="AW433" s="135"/>
      <c r="AX433" s="164"/>
      <c r="AY433" s="132"/>
      <c r="AZ433" s="135"/>
      <c r="BA433" s="135"/>
    </row>
    <row r="434" spans="1:53" ht="16.5" x14ac:dyDescent="0.3">
      <c r="A434" s="132">
        <v>4086</v>
      </c>
      <c r="B434" s="132">
        <v>7</v>
      </c>
      <c r="C434" s="132" t="s">
        <v>354</v>
      </c>
      <c r="D434" s="133">
        <v>7</v>
      </c>
      <c r="E434" s="163">
        <v>300</v>
      </c>
      <c r="F434" s="135">
        <v>5489.9016000000001</v>
      </c>
      <c r="G434" s="135">
        <v>137.40516666666667</v>
      </c>
      <c r="H434" s="135">
        <v>6.9039000000000001</v>
      </c>
      <c r="I434" s="135">
        <v>0</v>
      </c>
      <c r="J434" s="135">
        <v>104.23876666666666</v>
      </c>
      <c r="K434" s="135">
        <v>2173.6680000000001</v>
      </c>
      <c r="L434" s="135">
        <v>0</v>
      </c>
      <c r="M434" s="135">
        <v>1551.9269086442132</v>
      </c>
      <c r="N434" s="135">
        <v>0</v>
      </c>
      <c r="O434" s="135">
        <v>-34.416966666666667</v>
      </c>
      <c r="P434" s="135">
        <v>1359.7365666666667</v>
      </c>
      <c r="Q434" s="135">
        <v>27.869866666666663</v>
      </c>
      <c r="R434" s="135">
        <v>51.506066666666662</v>
      </c>
      <c r="S434" s="135">
        <v>10868.739875310879</v>
      </c>
      <c r="T434" s="135"/>
      <c r="U434" s="135">
        <v>6012.3</v>
      </c>
      <c r="V434" s="135">
        <v>0</v>
      </c>
      <c r="W434" s="135">
        <v>13.833267170321964</v>
      </c>
      <c r="X434" s="135">
        <v>0</v>
      </c>
      <c r="Y434" s="135">
        <v>59.067066666666662</v>
      </c>
      <c r="Z434" s="135">
        <v>2464.8709666666668</v>
      </c>
      <c r="AA434" s="135">
        <v>0</v>
      </c>
      <c r="AB434" s="135">
        <v>1502.6780304978058</v>
      </c>
      <c r="AC434" s="135">
        <v>317.57598833909287</v>
      </c>
      <c r="AD434" s="135">
        <v>0</v>
      </c>
      <c r="AE434" s="135">
        <v>1356.1625433333334</v>
      </c>
      <c r="AF434" s="135">
        <v>29.080699999999997</v>
      </c>
      <c r="AG434" s="135">
        <v>38.895266666666664</v>
      </c>
      <c r="AH434" s="135">
        <v>11794.463829340555</v>
      </c>
      <c r="AI434" s="135">
        <v>522.39840000000004</v>
      </c>
      <c r="AJ434" s="135">
        <v>-137.40516666666667</v>
      </c>
      <c r="AK434" s="135">
        <v>6.9293671703219637</v>
      </c>
      <c r="AL434" s="135">
        <v>0</v>
      </c>
      <c r="AM434" s="135">
        <v>-45.171700000000001</v>
      </c>
      <c r="AN434" s="135">
        <v>291.20296666666673</v>
      </c>
      <c r="AO434" s="135">
        <v>0</v>
      </c>
      <c r="AP434" s="135">
        <v>-49.248878146407378</v>
      </c>
      <c r="AQ434" s="135">
        <v>317.57598833909287</v>
      </c>
      <c r="AR434" s="135">
        <v>34.416966666666667</v>
      </c>
      <c r="AS434" s="135">
        <v>-3.5740233333333435</v>
      </c>
      <c r="AT434" s="135">
        <v>1.2108333333333334</v>
      </c>
      <c r="AU434" s="135">
        <v>-12.610799999999998</v>
      </c>
      <c r="AV434" s="135">
        <v>925.72396197104206</v>
      </c>
      <c r="AW434" s="135"/>
      <c r="AX434" s="164"/>
      <c r="AY434" s="132"/>
      <c r="AZ434" s="135"/>
      <c r="BA434" s="135"/>
    </row>
    <row r="435" spans="1:53" ht="16.5" x14ac:dyDescent="0.3">
      <c r="A435" s="132">
        <v>4087</v>
      </c>
      <c r="B435" s="132">
        <v>7</v>
      </c>
      <c r="C435" s="132" t="s">
        <v>698</v>
      </c>
      <c r="D435" s="133">
        <v>7</v>
      </c>
      <c r="E435" s="163">
        <v>75</v>
      </c>
      <c r="F435" s="135">
        <v>6791.2</v>
      </c>
      <c r="G435" s="135">
        <v>11.648</v>
      </c>
      <c r="H435" s="135">
        <v>25.835333333333335</v>
      </c>
      <c r="I435" s="135">
        <v>0</v>
      </c>
      <c r="J435" s="135">
        <v>128.94706666666667</v>
      </c>
      <c r="K435" s="135">
        <v>1563.5837333333334</v>
      </c>
      <c r="L435" s="135">
        <v>0</v>
      </c>
      <c r="M435" s="135">
        <v>2252.9838938944667</v>
      </c>
      <c r="N435" s="135">
        <v>0</v>
      </c>
      <c r="O435" s="135">
        <v>-42.575066666666665</v>
      </c>
      <c r="P435" s="135">
        <v>1827.3190666666667</v>
      </c>
      <c r="Q435" s="135">
        <v>34.47613333333333</v>
      </c>
      <c r="R435" s="135">
        <v>15.6</v>
      </c>
      <c r="S435" s="135">
        <v>12609.018160561134</v>
      </c>
      <c r="T435" s="135"/>
      <c r="U435" s="135">
        <v>7560</v>
      </c>
      <c r="V435" s="135">
        <v>0</v>
      </c>
      <c r="W435" s="135">
        <v>98.189587893998947</v>
      </c>
      <c r="X435" s="135">
        <v>0</v>
      </c>
      <c r="Y435" s="135">
        <v>74.272266666666667</v>
      </c>
      <c r="Z435" s="135">
        <v>1788.5228000000002</v>
      </c>
      <c r="AA435" s="135">
        <v>0</v>
      </c>
      <c r="AB435" s="135">
        <v>2189.1064205529997</v>
      </c>
      <c r="AC435" s="135">
        <v>0</v>
      </c>
      <c r="AD435" s="135">
        <v>0</v>
      </c>
      <c r="AE435" s="135">
        <v>1846.8119999999999</v>
      </c>
      <c r="AF435" s="135">
        <v>35.973999999999997</v>
      </c>
      <c r="AG435" s="135">
        <v>0</v>
      </c>
      <c r="AH435" s="135">
        <v>13592.877075113665</v>
      </c>
      <c r="AI435" s="135">
        <v>768.80000000000018</v>
      </c>
      <c r="AJ435" s="135">
        <v>-11.648</v>
      </c>
      <c r="AK435" s="135">
        <v>72.354254560665609</v>
      </c>
      <c r="AL435" s="135">
        <v>0</v>
      </c>
      <c r="AM435" s="135">
        <v>-54.674800000000005</v>
      </c>
      <c r="AN435" s="135">
        <v>224.9390666666668</v>
      </c>
      <c r="AO435" s="135">
        <v>0</v>
      </c>
      <c r="AP435" s="135">
        <v>-63.877473341467066</v>
      </c>
      <c r="AQ435" s="135">
        <v>0</v>
      </c>
      <c r="AR435" s="135">
        <v>42.575066666666665</v>
      </c>
      <c r="AS435" s="135">
        <v>19.492933333333212</v>
      </c>
      <c r="AT435" s="135">
        <v>1.4978666666666669</v>
      </c>
      <c r="AU435" s="135">
        <v>-15.6</v>
      </c>
      <c r="AV435" s="135">
        <v>983.85892377227196</v>
      </c>
      <c r="AW435" s="135"/>
      <c r="AX435" s="164"/>
      <c r="AY435" s="132"/>
      <c r="AZ435" s="135"/>
      <c r="BA435" s="135"/>
    </row>
    <row r="436" spans="1:53" ht="16.5" x14ac:dyDescent="0.3">
      <c r="A436" s="132">
        <v>4088</v>
      </c>
      <c r="B436" s="132">
        <v>7</v>
      </c>
      <c r="C436" s="132" t="s">
        <v>699</v>
      </c>
      <c r="D436" s="133">
        <v>7</v>
      </c>
      <c r="E436" s="163">
        <v>269</v>
      </c>
      <c r="F436" s="135">
        <v>5350.4246840148699</v>
      </c>
      <c r="G436" s="135">
        <v>0</v>
      </c>
      <c r="H436" s="135">
        <v>140.18144981412638</v>
      </c>
      <c r="I436" s="135">
        <v>0</v>
      </c>
      <c r="J436" s="135">
        <v>101.59048327137546</v>
      </c>
      <c r="K436" s="135">
        <v>3077.0085501858734</v>
      </c>
      <c r="L436" s="135">
        <v>0</v>
      </c>
      <c r="M436" s="135">
        <v>1220.8100446205799</v>
      </c>
      <c r="N436" s="135">
        <v>0</v>
      </c>
      <c r="O436" s="135">
        <v>-33.542565055762083</v>
      </c>
      <c r="P436" s="135">
        <v>1434.8294423791822</v>
      </c>
      <c r="Q436" s="135">
        <v>27.161821561338289</v>
      </c>
      <c r="R436" s="135">
        <v>84.892862453531592</v>
      </c>
      <c r="S436" s="135">
        <v>11403.356773245114</v>
      </c>
      <c r="T436" s="135"/>
      <c r="U436" s="135">
        <v>5871.5718959107799</v>
      </c>
      <c r="V436" s="135">
        <v>0</v>
      </c>
      <c r="W436" s="135">
        <v>94.732597033913279</v>
      </c>
      <c r="X436" s="135">
        <v>0</v>
      </c>
      <c r="Y436" s="135">
        <v>57.406840148698883</v>
      </c>
      <c r="Z436" s="135">
        <v>3482.6050242533961</v>
      </c>
      <c r="AA436" s="135">
        <v>0</v>
      </c>
      <c r="AB436" s="135">
        <v>1190.1909105692994</v>
      </c>
      <c r="AC436" s="135">
        <v>324.26659588568975</v>
      </c>
      <c r="AD436" s="135">
        <v>0</v>
      </c>
      <c r="AE436" s="135">
        <v>1427.4460780669144</v>
      </c>
      <c r="AF436" s="135">
        <v>28.341895910780671</v>
      </c>
      <c r="AG436" s="135">
        <v>72.602453531598513</v>
      </c>
      <c r="AH436" s="135">
        <v>12549.164291311072</v>
      </c>
      <c r="AI436" s="135">
        <v>521.14721189591</v>
      </c>
      <c r="AJ436" s="135">
        <v>0</v>
      </c>
      <c r="AK436" s="135">
        <v>-45.448852780213102</v>
      </c>
      <c r="AL436" s="135">
        <v>0</v>
      </c>
      <c r="AM436" s="135">
        <v>-44.183643122676578</v>
      </c>
      <c r="AN436" s="135">
        <v>405.59647406752265</v>
      </c>
      <c r="AO436" s="135">
        <v>0</v>
      </c>
      <c r="AP436" s="135">
        <v>-30.619134051280525</v>
      </c>
      <c r="AQ436" s="135">
        <v>324.26659588568975</v>
      </c>
      <c r="AR436" s="135">
        <v>33.542565055762083</v>
      </c>
      <c r="AS436" s="135">
        <v>-7.3833643122677586</v>
      </c>
      <c r="AT436" s="135">
        <v>1.180074349442382</v>
      </c>
      <c r="AU436" s="135">
        <v>-12.290408921933079</v>
      </c>
      <c r="AV436" s="135">
        <v>1145.8075234709572</v>
      </c>
      <c r="AW436" s="135"/>
      <c r="AX436" s="164"/>
      <c r="AY436" s="132"/>
      <c r="AZ436" s="135"/>
      <c r="BA436" s="135"/>
    </row>
    <row r="437" spans="1:53" ht="16.5" x14ac:dyDescent="0.3">
      <c r="A437" s="132">
        <v>4089</v>
      </c>
      <c r="B437" s="132">
        <v>7</v>
      </c>
      <c r="C437" s="132" t="s">
        <v>661</v>
      </c>
      <c r="D437" s="133">
        <v>7</v>
      </c>
      <c r="E437" s="163">
        <v>126</v>
      </c>
      <c r="F437" s="135">
        <v>5672.1860317460314</v>
      </c>
      <c r="G437" s="135">
        <v>0</v>
      </c>
      <c r="H437" s="135">
        <v>4.1507142857142858</v>
      </c>
      <c r="I437" s="135">
        <v>0</v>
      </c>
      <c r="J437" s="135">
        <v>107.69984126984127</v>
      </c>
      <c r="K437" s="135">
        <v>663.55666666666662</v>
      </c>
      <c r="L437" s="135">
        <v>0</v>
      </c>
      <c r="M437" s="135">
        <v>903.04547619047628</v>
      </c>
      <c r="N437" s="135">
        <v>0</v>
      </c>
      <c r="O437" s="135">
        <v>-35.559761904761906</v>
      </c>
      <c r="P437" s="135">
        <v>1173.271746031746</v>
      </c>
      <c r="Q437" s="135">
        <v>28.795238095238098</v>
      </c>
      <c r="R437" s="135">
        <v>-183.9226984126984</v>
      </c>
      <c r="S437" s="135">
        <v>8333.2232539682536</v>
      </c>
      <c r="T437" s="135"/>
      <c r="U437" s="135">
        <v>6235</v>
      </c>
      <c r="V437" s="135">
        <v>0</v>
      </c>
      <c r="W437" s="135">
        <v>4.4655796799072629</v>
      </c>
      <c r="X437" s="135">
        <v>0</v>
      </c>
      <c r="Y437" s="135">
        <v>61.255000000000003</v>
      </c>
      <c r="Z437" s="135">
        <v>787.42728395061727</v>
      </c>
      <c r="AA437" s="135">
        <v>0</v>
      </c>
      <c r="AB437" s="135">
        <v>866.70712176750772</v>
      </c>
      <c r="AC437" s="135">
        <v>200.83300386069112</v>
      </c>
      <c r="AD437" s="135">
        <v>0</v>
      </c>
      <c r="AE437" s="135">
        <v>1172.6884682539683</v>
      </c>
      <c r="AF437" s="135">
        <v>30.046269841269844</v>
      </c>
      <c r="AG437" s="135">
        <v>-196.95222222222222</v>
      </c>
      <c r="AH437" s="135">
        <v>9161.4705051317396</v>
      </c>
      <c r="AI437" s="135">
        <v>562.8139682539686</v>
      </c>
      <c r="AJ437" s="135">
        <v>0</v>
      </c>
      <c r="AK437" s="135">
        <v>0.3148653941929771</v>
      </c>
      <c r="AL437" s="135">
        <v>0</v>
      </c>
      <c r="AM437" s="135">
        <v>-46.44484126984127</v>
      </c>
      <c r="AN437" s="135">
        <v>123.87061728395065</v>
      </c>
      <c r="AO437" s="135">
        <v>0</v>
      </c>
      <c r="AP437" s="135">
        <v>-36.338354422968564</v>
      </c>
      <c r="AQ437" s="135">
        <v>200.83300386069112</v>
      </c>
      <c r="AR437" s="135">
        <v>35.559761904761906</v>
      </c>
      <c r="AS437" s="135">
        <v>-0.58327777777776646</v>
      </c>
      <c r="AT437" s="135">
        <v>1.2510317460317459</v>
      </c>
      <c r="AU437" s="135">
        <v>-13.029523809523823</v>
      </c>
      <c r="AV437" s="135">
        <v>828.24725748582239</v>
      </c>
      <c r="AW437" s="135"/>
      <c r="AX437" s="132"/>
      <c r="AY437" s="132"/>
      <c r="AZ437" s="155"/>
      <c r="BA437" s="155"/>
    </row>
    <row r="438" spans="1:53" ht="16.5" x14ac:dyDescent="0.3">
      <c r="A438" s="132">
        <v>4090</v>
      </c>
      <c r="B438" s="132">
        <v>7</v>
      </c>
      <c r="C438" s="132" t="s">
        <v>480</v>
      </c>
      <c r="D438" s="133">
        <v>7</v>
      </c>
      <c r="E438" s="163">
        <v>180</v>
      </c>
      <c r="F438" s="135">
        <v>5313.6786666666667</v>
      </c>
      <c r="G438" s="135">
        <v>8.676444444444444</v>
      </c>
      <c r="H438" s="135">
        <v>38.493388888888887</v>
      </c>
      <c r="I438" s="135">
        <v>0</v>
      </c>
      <c r="J438" s="135">
        <v>100.89277777777778</v>
      </c>
      <c r="K438" s="135">
        <v>72.402166666666659</v>
      </c>
      <c r="L438" s="135">
        <v>0</v>
      </c>
      <c r="M438" s="135">
        <v>1054.9881359692556</v>
      </c>
      <c r="N438" s="135">
        <v>0</v>
      </c>
      <c r="O438" s="135">
        <v>-33.312222222222218</v>
      </c>
      <c r="P438" s="135">
        <v>1390.41</v>
      </c>
      <c r="Q438" s="135">
        <v>107.58572222222222</v>
      </c>
      <c r="R438" s="135">
        <v>-192.15533333333332</v>
      </c>
      <c r="S438" s="135">
        <v>7861.6597470803672</v>
      </c>
      <c r="T438" s="135"/>
      <c r="U438" s="135">
        <v>5810</v>
      </c>
      <c r="V438" s="135">
        <v>0</v>
      </c>
      <c r="W438" s="135">
        <v>125.72965285736706</v>
      </c>
      <c r="X438" s="135">
        <v>0</v>
      </c>
      <c r="Y438" s="135">
        <v>57.079611111111113</v>
      </c>
      <c r="Z438" s="135">
        <v>112.41105555555555</v>
      </c>
      <c r="AA438" s="135">
        <v>0</v>
      </c>
      <c r="AB438" s="135">
        <v>1021.5638805145666</v>
      </c>
      <c r="AC438" s="135">
        <v>68.620251930345574</v>
      </c>
      <c r="AD438" s="135">
        <v>0</v>
      </c>
      <c r="AE438" s="135">
        <v>1388.7592222222222</v>
      </c>
      <c r="AF438" s="135">
        <v>108.75766666666667</v>
      </c>
      <c r="AG438" s="135">
        <v>-204.36133333333333</v>
      </c>
      <c r="AH438" s="135">
        <v>8488.5600075245002</v>
      </c>
      <c r="AI438" s="135">
        <v>496.32133333333331</v>
      </c>
      <c r="AJ438" s="135">
        <v>-8.676444444444444</v>
      </c>
      <c r="AK438" s="135">
        <v>87.23626396847817</v>
      </c>
      <c r="AL438" s="135">
        <v>0</v>
      </c>
      <c r="AM438" s="135">
        <v>-43.813166666666667</v>
      </c>
      <c r="AN438" s="135">
        <v>40.00888888888889</v>
      </c>
      <c r="AO438" s="135">
        <v>0</v>
      </c>
      <c r="AP438" s="135">
        <v>-33.424255454689046</v>
      </c>
      <c r="AQ438" s="135">
        <v>68.620251930345574</v>
      </c>
      <c r="AR438" s="135">
        <v>33.312222222222218</v>
      </c>
      <c r="AS438" s="135">
        <v>-1.6507777777778756</v>
      </c>
      <c r="AT438" s="135">
        <v>1.1719444444444491</v>
      </c>
      <c r="AU438" s="135">
        <v>-12.206000000000017</v>
      </c>
      <c r="AV438" s="135">
        <v>626.90026440384156</v>
      </c>
      <c r="AW438" s="135"/>
      <c r="AX438" s="164"/>
      <c r="AY438" s="132"/>
      <c r="AZ438" s="135"/>
      <c r="BA438" s="135"/>
    </row>
    <row r="439" spans="1:53" ht="16.5" x14ac:dyDescent="0.3">
      <c r="A439" s="132">
        <v>4091</v>
      </c>
      <c r="B439" s="132">
        <v>7</v>
      </c>
      <c r="C439" s="132" t="s">
        <v>700</v>
      </c>
      <c r="D439" s="133">
        <v>7</v>
      </c>
      <c r="E439" s="163">
        <v>120</v>
      </c>
      <c r="F439" s="135">
        <v>6603.1359999999995</v>
      </c>
      <c r="G439" s="135">
        <v>0</v>
      </c>
      <c r="H439" s="135">
        <v>32.883749999999999</v>
      </c>
      <c r="I439" s="135">
        <v>0</v>
      </c>
      <c r="J439" s="135">
        <v>125.37616666666666</v>
      </c>
      <c r="K439" s="135">
        <v>170.71950000000001</v>
      </c>
      <c r="L439" s="135">
        <v>0</v>
      </c>
      <c r="M439" s="135">
        <v>2099.5390987238002</v>
      </c>
      <c r="N439" s="135">
        <v>0</v>
      </c>
      <c r="O439" s="135">
        <v>-41.396000000000001</v>
      </c>
      <c r="P439" s="135">
        <v>1776.7163333333333</v>
      </c>
      <c r="Q439" s="135">
        <v>133.69325000000001</v>
      </c>
      <c r="R439" s="135">
        <v>-157.66024999999996</v>
      </c>
      <c r="S439" s="135">
        <v>10743.007848723799</v>
      </c>
      <c r="T439" s="135"/>
      <c r="U439" s="135">
        <v>7371</v>
      </c>
      <c r="V439" s="135">
        <v>0</v>
      </c>
      <c r="W439" s="135">
        <v>153.84524488197033</v>
      </c>
      <c r="X439" s="135">
        <v>0</v>
      </c>
      <c r="Y439" s="135">
        <v>72.415416666666673</v>
      </c>
      <c r="Z439" s="135">
        <v>351.35907638888892</v>
      </c>
      <c r="AA439" s="135">
        <v>0</v>
      </c>
      <c r="AB439" s="135">
        <v>2037.8290068173999</v>
      </c>
      <c r="AC439" s="135">
        <v>0</v>
      </c>
      <c r="AD439" s="135">
        <v>0</v>
      </c>
      <c r="AE439" s="135">
        <v>1800.6417000000001</v>
      </c>
      <c r="AF439" s="135">
        <v>135.14958333333334</v>
      </c>
      <c r="AG439" s="135">
        <v>-172.82824999999994</v>
      </c>
      <c r="AH439" s="135">
        <v>11749.411778088259</v>
      </c>
      <c r="AI439" s="135">
        <v>767.86400000000049</v>
      </c>
      <c r="AJ439" s="135">
        <v>0</v>
      </c>
      <c r="AK439" s="135">
        <v>120.96149488197034</v>
      </c>
      <c r="AL439" s="135">
        <v>0</v>
      </c>
      <c r="AM439" s="135">
        <v>-52.96074999999999</v>
      </c>
      <c r="AN439" s="135">
        <v>180.63957638888891</v>
      </c>
      <c r="AO439" s="135">
        <v>0</v>
      </c>
      <c r="AP439" s="135">
        <v>-61.710091906400294</v>
      </c>
      <c r="AQ439" s="135">
        <v>0</v>
      </c>
      <c r="AR439" s="135">
        <v>41.396000000000001</v>
      </c>
      <c r="AS439" s="135">
        <v>23.925366666666832</v>
      </c>
      <c r="AT439" s="135">
        <v>1.4563333333333333</v>
      </c>
      <c r="AU439" s="135">
        <v>-15.167999999999978</v>
      </c>
      <c r="AV439" s="135">
        <v>1006.4039312339406</v>
      </c>
      <c r="AW439" s="135"/>
      <c r="AX439" s="164"/>
      <c r="AY439" s="132"/>
      <c r="AZ439" s="135"/>
      <c r="BA439" s="135"/>
    </row>
    <row r="440" spans="1:53" ht="16.5" x14ac:dyDescent="0.3">
      <c r="A440" s="132">
        <v>4092</v>
      </c>
      <c r="B440" s="132">
        <v>7</v>
      </c>
      <c r="C440" s="132" t="s">
        <v>677</v>
      </c>
      <c r="D440" s="133">
        <v>7</v>
      </c>
      <c r="E440" s="163">
        <v>78</v>
      </c>
      <c r="F440" s="135">
        <v>6791.2</v>
      </c>
      <c r="G440" s="135">
        <v>1.7810256410256409</v>
      </c>
      <c r="H440" s="135">
        <v>9.1456410256410265</v>
      </c>
      <c r="I440" s="135">
        <v>0</v>
      </c>
      <c r="J440" s="135">
        <v>128.94705128205129</v>
      </c>
      <c r="K440" s="135">
        <v>803.55871794871791</v>
      </c>
      <c r="L440" s="135">
        <v>0</v>
      </c>
      <c r="M440" s="135">
        <v>847.45369348020517</v>
      </c>
      <c r="N440" s="135">
        <v>0</v>
      </c>
      <c r="O440" s="135">
        <v>-42.574999999999996</v>
      </c>
      <c r="P440" s="135">
        <v>1827.0189743589744</v>
      </c>
      <c r="Q440" s="135">
        <v>34.476025641025643</v>
      </c>
      <c r="R440" s="135">
        <v>255.97499999999999</v>
      </c>
      <c r="S440" s="135">
        <v>10656.981129377642</v>
      </c>
      <c r="T440" s="135"/>
      <c r="U440" s="135">
        <v>7560</v>
      </c>
      <c r="V440" s="135">
        <v>0</v>
      </c>
      <c r="W440" s="135">
        <v>8.230710640041984</v>
      </c>
      <c r="X440" s="135">
        <v>0</v>
      </c>
      <c r="Y440" s="135">
        <v>74.272307692307692</v>
      </c>
      <c r="Z440" s="135">
        <v>857.31141025641034</v>
      </c>
      <c r="AA440" s="135">
        <v>0</v>
      </c>
      <c r="AB440" s="135">
        <v>828.00290074176826</v>
      </c>
      <c r="AC440" s="135">
        <v>0</v>
      </c>
      <c r="AD440" s="135">
        <v>0</v>
      </c>
      <c r="AE440" s="135">
        <v>1829.712</v>
      </c>
      <c r="AF440" s="135">
        <v>35.973846153846161</v>
      </c>
      <c r="AG440" s="135">
        <v>240.375</v>
      </c>
      <c r="AH440" s="135">
        <v>11433.878175484373</v>
      </c>
      <c r="AI440" s="135">
        <v>768.80000000000018</v>
      </c>
      <c r="AJ440" s="135">
        <v>-1.7810256410256409</v>
      </c>
      <c r="AK440" s="135">
        <v>-0.91493038559904249</v>
      </c>
      <c r="AL440" s="135">
        <v>0</v>
      </c>
      <c r="AM440" s="135">
        <v>-54.674743589743599</v>
      </c>
      <c r="AN440" s="135">
        <v>53.752692307692428</v>
      </c>
      <c r="AO440" s="135">
        <v>0</v>
      </c>
      <c r="AP440" s="135">
        <v>-19.450792738436917</v>
      </c>
      <c r="AQ440" s="135">
        <v>0</v>
      </c>
      <c r="AR440" s="135">
        <v>42.574999999999996</v>
      </c>
      <c r="AS440" s="135">
        <v>2.6930256410255424</v>
      </c>
      <c r="AT440" s="135">
        <v>1.4978205128205175</v>
      </c>
      <c r="AU440" s="135">
        <v>-15.599999999999994</v>
      </c>
      <c r="AV440" s="135">
        <v>776.89704850525402</v>
      </c>
      <c r="AW440" s="135"/>
      <c r="AX440" s="164"/>
      <c r="AY440" s="132"/>
      <c r="AZ440" s="135"/>
      <c r="BA440" s="135"/>
    </row>
    <row r="441" spans="1:53" ht="16.5" x14ac:dyDescent="0.3">
      <c r="A441" s="132">
        <v>4093</v>
      </c>
      <c r="B441" s="132">
        <v>7</v>
      </c>
      <c r="C441" s="132" t="s">
        <v>671</v>
      </c>
      <c r="D441" s="133">
        <v>7</v>
      </c>
      <c r="E441" s="163">
        <v>140</v>
      </c>
      <c r="F441" s="135">
        <v>6791.2</v>
      </c>
      <c r="G441" s="135">
        <v>4.3029999999999999</v>
      </c>
      <c r="H441" s="135">
        <v>236.64385714285714</v>
      </c>
      <c r="I441" s="135">
        <v>0</v>
      </c>
      <c r="J441" s="135">
        <v>128.947</v>
      </c>
      <c r="K441" s="135">
        <v>915.42750000000001</v>
      </c>
      <c r="L441" s="135">
        <v>0</v>
      </c>
      <c r="M441" s="135">
        <v>1226.4822434185714</v>
      </c>
      <c r="N441" s="135">
        <v>0</v>
      </c>
      <c r="O441" s="135">
        <v>-42.575000000000003</v>
      </c>
      <c r="P441" s="135">
        <v>1827.319</v>
      </c>
      <c r="Q441" s="135">
        <v>150.774</v>
      </c>
      <c r="R441" s="135">
        <v>-430.39099999999996</v>
      </c>
      <c r="S441" s="135">
        <v>10808.130600561426</v>
      </c>
      <c r="T441" s="135"/>
      <c r="U441" s="135">
        <v>7560</v>
      </c>
      <c r="V441" s="135">
        <v>0</v>
      </c>
      <c r="W441" s="135">
        <v>212.49560377931132</v>
      </c>
      <c r="X441" s="135">
        <v>0</v>
      </c>
      <c r="Y441" s="135">
        <v>74.272285714285715</v>
      </c>
      <c r="Z441" s="135">
        <v>1083.7207142857142</v>
      </c>
      <c r="AA441" s="135">
        <v>0</v>
      </c>
      <c r="AB441" s="135">
        <v>1189.8095290292999</v>
      </c>
      <c r="AC441" s="135">
        <v>0</v>
      </c>
      <c r="AD441" s="135">
        <v>0</v>
      </c>
      <c r="AE441" s="135">
        <v>1846.8119999999999</v>
      </c>
      <c r="AF441" s="135">
        <v>152.27185714285713</v>
      </c>
      <c r="AG441" s="135">
        <v>-445.99099999999999</v>
      </c>
      <c r="AH441" s="135">
        <v>11673.390989951469</v>
      </c>
      <c r="AI441" s="135">
        <v>768.80000000000018</v>
      </c>
      <c r="AJ441" s="135">
        <v>-4.3029999999999999</v>
      </c>
      <c r="AK441" s="135">
        <v>-24.14825336354582</v>
      </c>
      <c r="AL441" s="135">
        <v>0</v>
      </c>
      <c r="AM441" s="135">
        <v>-54.674714285714288</v>
      </c>
      <c r="AN441" s="135">
        <v>168.29321428571416</v>
      </c>
      <c r="AO441" s="135">
        <v>0</v>
      </c>
      <c r="AP441" s="135">
        <v>-36.672714389271505</v>
      </c>
      <c r="AQ441" s="135">
        <v>0</v>
      </c>
      <c r="AR441" s="135">
        <v>42.575000000000003</v>
      </c>
      <c r="AS441" s="135">
        <v>19.492999999999938</v>
      </c>
      <c r="AT441" s="135">
        <v>1.4978571428571286</v>
      </c>
      <c r="AU441" s="135">
        <v>-15.600000000000023</v>
      </c>
      <c r="AV441" s="135">
        <v>865.26039180386056</v>
      </c>
      <c r="AW441" s="135"/>
      <c r="AX441" s="164"/>
      <c r="AY441" s="132"/>
      <c r="AZ441" s="135"/>
      <c r="BA441" s="135"/>
    </row>
    <row r="442" spans="1:53" ht="16.5" x14ac:dyDescent="0.3">
      <c r="A442" s="132">
        <v>4095</v>
      </c>
      <c r="B442" s="132">
        <v>7</v>
      </c>
      <c r="C442" s="132" t="s">
        <v>548</v>
      </c>
      <c r="D442" s="133">
        <v>7</v>
      </c>
      <c r="E442" s="163">
        <v>140</v>
      </c>
      <c r="F442" s="135">
        <v>6791.2</v>
      </c>
      <c r="G442" s="135">
        <v>13.637</v>
      </c>
      <c r="H442" s="135">
        <v>37.566357142857143</v>
      </c>
      <c r="I442" s="135">
        <v>0</v>
      </c>
      <c r="J442" s="135">
        <v>128.947</v>
      </c>
      <c r="K442" s="135">
        <v>295.50571428571425</v>
      </c>
      <c r="L442" s="135">
        <v>0</v>
      </c>
      <c r="M442" s="135">
        <v>473.18064285714291</v>
      </c>
      <c r="N442" s="135">
        <v>0</v>
      </c>
      <c r="O442" s="135">
        <v>-42.575000000000003</v>
      </c>
      <c r="P442" s="135">
        <v>1346.7730714285715</v>
      </c>
      <c r="Q442" s="135">
        <v>137.64400000000001</v>
      </c>
      <c r="R442" s="135">
        <v>-171.5876428571429</v>
      </c>
      <c r="S442" s="135">
        <v>9010.2911428571424</v>
      </c>
      <c r="T442" s="135"/>
      <c r="U442" s="135">
        <v>7560</v>
      </c>
      <c r="V442" s="135">
        <v>0</v>
      </c>
      <c r="W442" s="135">
        <v>20.609151678310397</v>
      </c>
      <c r="X442" s="135">
        <v>0</v>
      </c>
      <c r="Y442" s="135">
        <v>74.272285714285715</v>
      </c>
      <c r="Z442" s="135">
        <v>277.71235714285712</v>
      </c>
      <c r="AA442" s="135">
        <v>0</v>
      </c>
      <c r="AB442" s="135">
        <v>458.98522357142855</v>
      </c>
      <c r="AC442" s="135">
        <v>0</v>
      </c>
      <c r="AD442" s="135">
        <v>0</v>
      </c>
      <c r="AE442" s="135">
        <v>1349.4660714285715</v>
      </c>
      <c r="AF442" s="135">
        <v>139.14185714285716</v>
      </c>
      <c r="AG442" s="135">
        <v>-187.18764285714289</v>
      </c>
      <c r="AH442" s="135">
        <v>9692.9993038211669</v>
      </c>
      <c r="AI442" s="135">
        <v>768.80000000000018</v>
      </c>
      <c r="AJ442" s="135">
        <v>-13.637</v>
      </c>
      <c r="AK442" s="135">
        <v>-16.957205464546746</v>
      </c>
      <c r="AL442" s="135">
        <v>0</v>
      </c>
      <c r="AM442" s="135">
        <v>-54.674714285714288</v>
      </c>
      <c r="AN442" s="135">
        <v>-17.793357142857133</v>
      </c>
      <c r="AO442" s="135">
        <v>0</v>
      </c>
      <c r="AP442" s="135">
        <v>-14.195419285714365</v>
      </c>
      <c r="AQ442" s="135">
        <v>0</v>
      </c>
      <c r="AR442" s="135">
        <v>42.575000000000003</v>
      </c>
      <c r="AS442" s="135">
        <v>2.6929999999999836</v>
      </c>
      <c r="AT442" s="135">
        <v>1.497857142857157</v>
      </c>
      <c r="AU442" s="135">
        <v>-15.599999999999994</v>
      </c>
      <c r="AV442" s="135">
        <v>682.70816132084406</v>
      </c>
      <c r="AW442" s="135"/>
      <c r="AX442" s="164"/>
      <c r="AY442" s="132"/>
      <c r="AZ442" s="135"/>
      <c r="BA442" s="135"/>
    </row>
    <row r="443" spans="1:53" ht="16.5" x14ac:dyDescent="0.3">
      <c r="A443" s="132">
        <v>4097</v>
      </c>
      <c r="B443" s="132">
        <v>7</v>
      </c>
      <c r="C443" s="132" t="s">
        <v>255</v>
      </c>
      <c r="D443" s="133">
        <v>7</v>
      </c>
      <c r="E443" s="163">
        <v>262</v>
      </c>
      <c r="F443" s="135">
        <v>5277.8351145038168</v>
      </c>
      <c r="G443" s="135">
        <v>251.3841603053435</v>
      </c>
      <c r="H443" s="135">
        <v>0.33801526717557251</v>
      </c>
      <c r="I443" s="135">
        <v>0</v>
      </c>
      <c r="J443" s="135">
        <v>100.21217557251909</v>
      </c>
      <c r="K443" s="135">
        <v>4240.4010687022901</v>
      </c>
      <c r="L443" s="135">
        <v>0</v>
      </c>
      <c r="M443" s="135">
        <v>434.25750008916037</v>
      </c>
      <c r="N443" s="135">
        <v>0</v>
      </c>
      <c r="O443" s="135">
        <v>-33.087519083969468</v>
      </c>
      <c r="P443" s="135">
        <v>1420.115496183206</v>
      </c>
      <c r="Q443" s="135">
        <v>26.793320610687022</v>
      </c>
      <c r="R443" s="135">
        <v>51.917022900763399</v>
      </c>
      <c r="S443" s="135">
        <v>11770.166355050993</v>
      </c>
      <c r="T443" s="135"/>
      <c r="U443" s="135">
        <v>5746.9465648854966</v>
      </c>
      <c r="V443" s="135">
        <v>0</v>
      </c>
      <c r="W443" s="135">
        <v>0.14559248398436642</v>
      </c>
      <c r="X443" s="135">
        <v>0</v>
      </c>
      <c r="Y443" s="135">
        <v>56.460152671755722</v>
      </c>
      <c r="Z443" s="135">
        <v>3976.8422137404577</v>
      </c>
      <c r="AA443" s="135">
        <v>0</v>
      </c>
      <c r="AB443" s="135">
        <v>421.30538005723361</v>
      </c>
      <c r="AC443" s="135">
        <v>367.72073935192822</v>
      </c>
      <c r="AD443" s="135">
        <v>0</v>
      </c>
      <c r="AE443" s="135">
        <v>1403.90606870229</v>
      </c>
      <c r="AF443" s="135">
        <v>27.957404580152669</v>
      </c>
      <c r="AG443" s="135">
        <v>39.793358778626015</v>
      </c>
      <c r="AH443" s="135">
        <v>12041.077475251926</v>
      </c>
      <c r="AI443" s="135">
        <v>469.11145038167979</v>
      </c>
      <c r="AJ443" s="135">
        <v>-251.3841603053435</v>
      </c>
      <c r="AK443" s="135">
        <v>-0.19242278319120609</v>
      </c>
      <c r="AL443" s="135">
        <v>0</v>
      </c>
      <c r="AM443" s="135">
        <v>-43.752022900763365</v>
      </c>
      <c r="AN443" s="135">
        <v>-263.55885496183237</v>
      </c>
      <c r="AO443" s="135">
        <v>0</v>
      </c>
      <c r="AP443" s="135">
        <v>-12.952120031926768</v>
      </c>
      <c r="AQ443" s="135">
        <v>367.72073935192822</v>
      </c>
      <c r="AR443" s="135">
        <v>33.087519083969468</v>
      </c>
      <c r="AS443" s="135">
        <v>-16.20942748091602</v>
      </c>
      <c r="AT443" s="135">
        <v>1.1640839694656471</v>
      </c>
      <c r="AU443" s="135">
        <v>-12.123664122137384</v>
      </c>
      <c r="AV443" s="135">
        <v>270.91112223831851</v>
      </c>
      <c r="AW443" s="135"/>
      <c r="AX443" s="164"/>
      <c r="AY443" s="132"/>
      <c r="AZ443" s="135"/>
      <c r="BA443" s="135"/>
    </row>
    <row r="444" spans="1:53" ht="16.5" x14ac:dyDescent="0.3">
      <c r="A444" s="132">
        <v>4098</v>
      </c>
      <c r="B444" s="132">
        <v>7</v>
      </c>
      <c r="C444" s="132" t="s">
        <v>428</v>
      </c>
      <c r="D444" s="133">
        <v>7</v>
      </c>
      <c r="E444" s="163">
        <v>848</v>
      </c>
      <c r="F444" s="135">
        <v>5843.6107547169813</v>
      </c>
      <c r="G444" s="135">
        <v>0</v>
      </c>
      <c r="H444" s="135">
        <v>81.936591981132068</v>
      </c>
      <c r="I444" s="135">
        <v>0</v>
      </c>
      <c r="J444" s="135">
        <v>110.95477594339621</v>
      </c>
      <c r="K444" s="135">
        <v>47.293372641509436</v>
      </c>
      <c r="L444" s="135">
        <v>0</v>
      </c>
      <c r="M444" s="135">
        <v>333.60558315215212</v>
      </c>
      <c r="N444" s="135">
        <v>0</v>
      </c>
      <c r="O444" s="135">
        <v>-36.634433962264154</v>
      </c>
      <c r="P444" s="135">
        <v>1572.349658018868</v>
      </c>
      <c r="Q444" s="135">
        <v>29.665507075471698</v>
      </c>
      <c r="R444" s="135">
        <v>294.66426886792453</v>
      </c>
      <c r="S444" s="135">
        <v>8277.4460784351704</v>
      </c>
      <c r="T444" s="135"/>
      <c r="U444" s="135">
        <v>6453.0424528301883</v>
      </c>
      <c r="V444" s="135">
        <v>0</v>
      </c>
      <c r="W444" s="135">
        <v>58.910583509234428</v>
      </c>
      <c r="X444" s="135">
        <v>0</v>
      </c>
      <c r="Y444" s="135">
        <v>63.397099056603771</v>
      </c>
      <c r="Z444" s="135">
        <v>70.258541963332149</v>
      </c>
      <c r="AA444" s="135">
        <v>0</v>
      </c>
      <c r="AB444" s="135">
        <v>323.60682067091597</v>
      </c>
      <c r="AC444" s="135">
        <v>23.586814252885709</v>
      </c>
      <c r="AD444" s="135">
        <v>0</v>
      </c>
      <c r="AE444" s="135">
        <v>1576.3963278301885</v>
      </c>
      <c r="AF444" s="135">
        <v>30.954363207547171</v>
      </c>
      <c r="AG444" s="135">
        <v>281.24096698113203</v>
      </c>
      <c r="AH444" s="135">
        <v>8881.3939703020278</v>
      </c>
      <c r="AI444" s="135">
        <v>609.43169811320695</v>
      </c>
      <c r="AJ444" s="135">
        <v>0</v>
      </c>
      <c r="AK444" s="135">
        <v>-23.02600847189764</v>
      </c>
      <c r="AL444" s="135">
        <v>0</v>
      </c>
      <c r="AM444" s="135">
        <v>-47.557676886792443</v>
      </c>
      <c r="AN444" s="135">
        <v>22.965169321822714</v>
      </c>
      <c r="AO444" s="135">
        <v>0</v>
      </c>
      <c r="AP444" s="135">
        <v>-9.998762481236156</v>
      </c>
      <c r="AQ444" s="135">
        <v>23.586814252885709</v>
      </c>
      <c r="AR444" s="135">
        <v>36.634433962264154</v>
      </c>
      <c r="AS444" s="135">
        <v>4.0466698113204984</v>
      </c>
      <c r="AT444" s="135">
        <v>1.2888561320754732</v>
      </c>
      <c r="AU444" s="135">
        <v>-13.423301886792501</v>
      </c>
      <c r="AV444" s="135">
        <v>603.94789754582723</v>
      </c>
      <c r="AW444" s="135"/>
      <c r="AX444" s="164"/>
      <c r="AY444" s="132"/>
      <c r="AZ444" s="135"/>
      <c r="BA444" s="135"/>
    </row>
    <row r="445" spans="1:53" ht="16.5" x14ac:dyDescent="0.3">
      <c r="A445" s="132">
        <v>4100</v>
      </c>
      <c r="B445" s="132">
        <v>7</v>
      </c>
      <c r="C445" s="132" t="s">
        <v>545</v>
      </c>
      <c r="D445" s="133">
        <v>7</v>
      </c>
      <c r="E445" s="163">
        <v>82</v>
      </c>
      <c r="F445" s="135">
        <v>5571.2048780487803</v>
      </c>
      <c r="G445" s="135">
        <v>0</v>
      </c>
      <c r="H445" s="135">
        <v>0</v>
      </c>
      <c r="I445" s="135">
        <v>0</v>
      </c>
      <c r="J445" s="135">
        <v>105.78256097560975</v>
      </c>
      <c r="K445" s="135">
        <v>492.62926829268292</v>
      </c>
      <c r="L445" s="135">
        <v>0</v>
      </c>
      <c r="M445" s="135">
        <v>2102.211707317073</v>
      </c>
      <c r="N445" s="135">
        <v>0</v>
      </c>
      <c r="O445" s="135">
        <v>-34.926707317073166</v>
      </c>
      <c r="P445" s="135">
        <v>1167.5895121951219</v>
      </c>
      <c r="Q445" s="135">
        <v>586.18158536585372</v>
      </c>
      <c r="R445" s="135">
        <v>-702.1320731707317</v>
      </c>
      <c r="S445" s="135">
        <v>9288.5407317073168</v>
      </c>
      <c r="T445" s="135"/>
      <c r="U445" s="135">
        <v>6130.9756097560976</v>
      </c>
      <c r="V445" s="135">
        <v>0</v>
      </c>
      <c r="W445" s="135">
        <v>0</v>
      </c>
      <c r="X445" s="135">
        <v>0</v>
      </c>
      <c r="Y445" s="135">
        <v>60.233048780487799</v>
      </c>
      <c r="Z445" s="135">
        <v>603.01634146341462</v>
      </c>
      <c r="AA445" s="135">
        <v>0</v>
      </c>
      <c r="AB445" s="135">
        <v>2044.9322320805957</v>
      </c>
      <c r="AC445" s="135">
        <v>90.377892786308806</v>
      </c>
      <c r="AD445" s="135">
        <v>0</v>
      </c>
      <c r="AE445" s="135">
        <v>1167.2658292682927</v>
      </c>
      <c r="AF445" s="135">
        <v>587.41036585365862</v>
      </c>
      <c r="AG445" s="135">
        <v>-714.92963414634141</v>
      </c>
      <c r="AH445" s="135">
        <v>9969.281685842514</v>
      </c>
      <c r="AI445" s="135">
        <v>559.77073170731728</v>
      </c>
      <c r="AJ445" s="135">
        <v>0</v>
      </c>
      <c r="AK445" s="135">
        <v>0</v>
      </c>
      <c r="AL445" s="135">
        <v>0</v>
      </c>
      <c r="AM445" s="135">
        <v>-45.549512195121956</v>
      </c>
      <c r="AN445" s="135">
        <v>110.3870731707317</v>
      </c>
      <c r="AO445" s="135">
        <v>0</v>
      </c>
      <c r="AP445" s="135">
        <v>-57.27947523647731</v>
      </c>
      <c r="AQ445" s="135">
        <v>90.377892786308806</v>
      </c>
      <c r="AR445" s="135">
        <v>34.926707317073166</v>
      </c>
      <c r="AS445" s="135">
        <v>-0.32368292682917854</v>
      </c>
      <c r="AT445" s="135">
        <v>1.2287804878048973</v>
      </c>
      <c r="AU445" s="135">
        <v>-12.797560975609713</v>
      </c>
      <c r="AV445" s="135">
        <v>680.74095734743764</v>
      </c>
      <c r="AW445" s="135"/>
      <c r="AX445" s="132"/>
      <c r="AY445" s="132"/>
      <c r="AZ445" s="155"/>
      <c r="BA445" s="155"/>
    </row>
    <row r="446" spans="1:53" ht="16.5" x14ac:dyDescent="0.3">
      <c r="A446" s="132">
        <v>4102</v>
      </c>
      <c r="B446" s="132">
        <v>7</v>
      </c>
      <c r="C446" s="132" t="s">
        <v>701</v>
      </c>
      <c r="D446" s="133">
        <v>7</v>
      </c>
      <c r="E446" s="163">
        <v>230</v>
      </c>
      <c r="F446" s="135">
        <v>6795.9697391304353</v>
      </c>
      <c r="G446" s="135">
        <v>0</v>
      </c>
      <c r="H446" s="135">
        <v>13.687521739130437</v>
      </c>
      <c r="I446" s="135">
        <v>0</v>
      </c>
      <c r="J446" s="135">
        <v>129.03756521739129</v>
      </c>
      <c r="K446" s="135">
        <v>2996.1017391304354</v>
      </c>
      <c r="L446" s="135">
        <v>0</v>
      </c>
      <c r="M446" s="135">
        <v>1123.1100896997564</v>
      </c>
      <c r="N446" s="135">
        <v>0</v>
      </c>
      <c r="O446" s="135">
        <v>-42.604913043478255</v>
      </c>
      <c r="P446" s="135">
        <v>1827.5067391304349</v>
      </c>
      <c r="Q446" s="135">
        <v>34.500217391304346</v>
      </c>
      <c r="R446" s="135">
        <v>15.61095652173913</v>
      </c>
      <c r="S446" s="135">
        <v>12892.919654917148</v>
      </c>
      <c r="T446" s="135"/>
      <c r="U446" s="135">
        <v>7566.5191304347827</v>
      </c>
      <c r="V446" s="135">
        <v>0</v>
      </c>
      <c r="W446" s="135">
        <v>20.735470664699552</v>
      </c>
      <c r="X446" s="135">
        <v>0</v>
      </c>
      <c r="Y446" s="135">
        <v>74.272260869565216</v>
      </c>
      <c r="Z446" s="135">
        <v>3394.2006441398862</v>
      </c>
      <c r="AA446" s="135">
        <v>0</v>
      </c>
      <c r="AB446" s="135">
        <v>1098.37271771787</v>
      </c>
      <c r="AC446" s="135">
        <v>0</v>
      </c>
      <c r="AD446" s="135">
        <v>0</v>
      </c>
      <c r="AE446" s="135">
        <v>1846.8119999999999</v>
      </c>
      <c r="AF446" s="135">
        <v>35.999130434782607</v>
      </c>
      <c r="AG446" s="135">
        <v>0</v>
      </c>
      <c r="AH446" s="135">
        <v>14036.911354261585</v>
      </c>
      <c r="AI446" s="135">
        <v>770.54939130434741</v>
      </c>
      <c r="AJ446" s="135">
        <v>0</v>
      </c>
      <c r="AK446" s="135">
        <v>7.0479489255691146</v>
      </c>
      <c r="AL446" s="135">
        <v>0</v>
      </c>
      <c r="AM446" s="135">
        <v>-54.765304347826074</v>
      </c>
      <c r="AN446" s="135">
        <v>398.09890500945085</v>
      </c>
      <c r="AO446" s="135">
        <v>0</v>
      </c>
      <c r="AP446" s="135">
        <v>-24.737371981886326</v>
      </c>
      <c r="AQ446" s="135">
        <v>0</v>
      </c>
      <c r="AR446" s="135">
        <v>42.604913043478255</v>
      </c>
      <c r="AS446" s="135">
        <v>19.305260869565018</v>
      </c>
      <c r="AT446" s="135">
        <v>1.4989130434782609</v>
      </c>
      <c r="AU446" s="135">
        <v>-15.61095652173913</v>
      </c>
      <c r="AV446" s="135">
        <v>1143.9917079698321</v>
      </c>
      <c r="AW446" s="135"/>
      <c r="AX446" s="132"/>
      <c r="AY446" s="132"/>
      <c r="AZ446" s="155"/>
      <c r="BA446" s="155"/>
    </row>
    <row r="447" spans="1:53" ht="16.5" x14ac:dyDescent="0.3">
      <c r="A447" s="132">
        <v>4103</v>
      </c>
      <c r="B447" s="132">
        <v>7</v>
      </c>
      <c r="C447" s="132" t="s">
        <v>690</v>
      </c>
      <c r="D447" s="133">
        <v>7</v>
      </c>
      <c r="E447" s="163">
        <v>810</v>
      </c>
      <c r="F447" s="135">
        <v>6158.1930864197539</v>
      </c>
      <c r="G447" s="135">
        <v>0</v>
      </c>
      <c r="H447" s="135">
        <v>95.508654320987645</v>
      </c>
      <c r="I447" s="135">
        <v>0</v>
      </c>
      <c r="J447" s="135">
        <v>116.92786419753087</v>
      </c>
      <c r="K447" s="135">
        <v>1981.2708518518518</v>
      </c>
      <c r="L447" s="135">
        <v>0</v>
      </c>
      <c r="M447" s="135">
        <v>424.35485929246914</v>
      </c>
      <c r="N447" s="135">
        <v>0</v>
      </c>
      <c r="O447" s="135">
        <v>-38.606592592592591</v>
      </c>
      <c r="P447" s="135">
        <v>1328.2081728395062</v>
      </c>
      <c r="Q447" s="135">
        <v>31.262493827160494</v>
      </c>
      <c r="R447" s="135">
        <v>235.47372839506173</v>
      </c>
      <c r="S447" s="135">
        <v>10332.593118551727</v>
      </c>
      <c r="T447" s="135"/>
      <c r="U447" s="135">
        <v>6821.1111111111113</v>
      </c>
      <c r="V447" s="135">
        <v>0</v>
      </c>
      <c r="W447" s="135">
        <v>71.815620341127598</v>
      </c>
      <c r="X447" s="135">
        <v>0</v>
      </c>
      <c r="Y447" s="135">
        <v>67.013135802469137</v>
      </c>
      <c r="Z447" s="135">
        <v>2276.5316543209874</v>
      </c>
      <c r="AA447" s="135">
        <v>0</v>
      </c>
      <c r="AB447" s="135">
        <v>412.05136734417658</v>
      </c>
      <c r="AC447" s="135">
        <v>0</v>
      </c>
      <c r="AD447" s="135">
        <v>0</v>
      </c>
      <c r="AE447" s="135">
        <v>1329.42787654321</v>
      </c>
      <c r="AF447" s="135">
        <v>32.620728395061732</v>
      </c>
      <c r="AG447" s="135">
        <v>221.3278024691358</v>
      </c>
      <c r="AH447" s="135">
        <v>11231.899296327279</v>
      </c>
      <c r="AI447" s="135">
        <v>662.91802469135746</v>
      </c>
      <c r="AJ447" s="135">
        <v>0</v>
      </c>
      <c r="AK447" s="135">
        <v>-23.693033979860047</v>
      </c>
      <c r="AL447" s="135">
        <v>0</v>
      </c>
      <c r="AM447" s="135">
        <v>-49.914728395061729</v>
      </c>
      <c r="AN447" s="135">
        <v>295.26080246913557</v>
      </c>
      <c r="AO447" s="135">
        <v>0</v>
      </c>
      <c r="AP447" s="135">
        <v>-12.30349194829256</v>
      </c>
      <c r="AQ447" s="135">
        <v>0</v>
      </c>
      <c r="AR447" s="135">
        <v>38.606592592592591</v>
      </c>
      <c r="AS447" s="135">
        <v>1.2197037037037717</v>
      </c>
      <c r="AT447" s="135">
        <v>1.3582345679012384</v>
      </c>
      <c r="AU447" s="135">
        <v>-14.145925925925923</v>
      </c>
      <c r="AV447" s="135">
        <v>899.30618531912296</v>
      </c>
      <c r="AW447" s="135"/>
      <c r="AX447" s="164"/>
      <c r="AY447" s="132"/>
      <c r="AZ447" s="135"/>
      <c r="BA447" s="135"/>
    </row>
    <row r="448" spans="1:53" ht="16.5" x14ac:dyDescent="0.3">
      <c r="A448" s="132">
        <v>4104</v>
      </c>
      <c r="B448" s="132">
        <v>7</v>
      </c>
      <c r="C448" s="132" t="s">
        <v>702</v>
      </c>
      <c r="D448" s="133">
        <v>7</v>
      </c>
      <c r="E448" s="163">
        <v>185</v>
      </c>
      <c r="F448" s="135">
        <v>6791.2</v>
      </c>
      <c r="G448" s="135">
        <v>0</v>
      </c>
      <c r="H448" s="135">
        <v>113.11681081081079</v>
      </c>
      <c r="I448" s="135">
        <v>0</v>
      </c>
      <c r="J448" s="135">
        <v>128.94702702702702</v>
      </c>
      <c r="K448" s="135">
        <v>1609.0936216216214</v>
      </c>
      <c r="L448" s="135">
        <v>0</v>
      </c>
      <c r="M448" s="135">
        <v>1277.7790702593622</v>
      </c>
      <c r="N448" s="135">
        <v>0</v>
      </c>
      <c r="O448" s="135">
        <v>-42.575027027027026</v>
      </c>
      <c r="P448" s="135">
        <v>1132.0246486486485</v>
      </c>
      <c r="Q448" s="135">
        <v>34.476054054054053</v>
      </c>
      <c r="R448" s="135">
        <v>15.6</v>
      </c>
      <c r="S448" s="135">
        <v>11059.662205394496</v>
      </c>
      <c r="T448" s="135"/>
      <c r="U448" s="135">
        <v>7560</v>
      </c>
      <c r="V448" s="135">
        <v>0</v>
      </c>
      <c r="W448" s="135">
        <v>172.56586507812625</v>
      </c>
      <c r="X448" s="135">
        <v>0</v>
      </c>
      <c r="Y448" s="135">
        <v>74.272270270270269</v>
      </c>
      <c r="Z448" s="135">
        <v>1818.9850664718772</v>
      </c>
      <c r="AA448" s="135">
        <v>0</v>
      </c>
      <c r="AB448" s="135">
        <v>1243.3648654730507</v>
      </c>
      <c r="AC448" s="135">
        <v>0</v>
      </c>
      <c r="AD448" s="135">
        <v>0</v>
      </c>
      <c r="AE448" s="135">
        <v>1134.7176216216217</v>
      </c>
      <c r="AF448" s="135">
        <v>35.973891891891888</v>
      </c>
      <c r="AG448" s="135">
        <v>0</v>
      </c>
      <c r="AH448" s="135">
        <v>12039.879580806839</v>
      </c>
      <c r="AI448" s="135">
        <v>768.80000000000018</v>
      </c>
      <c r="AJ448" s="135">
        <v>0</v>
      </c>
      <c r="AK448" s="135">
        <v>59.449054267315461</v>
      </c>
      <c r="AL448" s="135">
        <v>0</v>
      </c>
      <c r="AM448" s="135">
        <v>-54.67475675675675</v>
      </c>
      <c r="AN448" s="135">
        <v>209.89144485025577</v>
      </c>
      <c r="AO448" s="135">
        <v>0</v>
      </c>
      <c r="AP448" s="135">
        <v>-34.414204786311529</v>
      </c>
      <c r="AQ448" s="135">
        <v>0</v>
      </c>
      <c r="AR448" s="135">
        <v>42.575027027027026</v>
      </c>
      <c r="AS448" s="135">
        <v>2.6929729729731662</v>
      </c>
      <c r="AT448" s="135">
        <v>1.4978378378378352</v>
      </c>
      <c r="AU448" s="135">
        <v>-15.6</v>
      </c>
      <c r="AV448" s="135">
        <v>980.21737578851071</v>
      </c>
      <c r="AW448" s="135"/>
      <c r="AX448" s="164"/>
      <c r="AY448" s="132"/>
      <c r="AZ448" s="135"/>
      <c r="BA448" s="135"/>
    </row>
    <row r="449" spans="1:54" ht="16.5" x14ac:dyDescent="0.3">
      <c r="A449" s="132">
        <v>4105</v>
      </c>
      <c r="B449" s="132">
        <v>7</v>
      </c>
      <c r="C449" s="132" t="s">
        <v>568</v>
      </c>
      <c r="D449" s="133">
        <v>7</v>
      </c>
      <c r="E449" s="163">
        <v>340</v>
      </c>
      <c r="F449" s="135">
        <v>6610.3574117647058</v>
      </c>
      <c r="G449" s="135">
        <v>0</v>
      </c>
      <c r="H449" s="135">
        <v>111.40382352941175</v>
      </c>
      <c r="I449" s="135">
        <v>0</v>
      </c>
      <c r="J449" s="135">
        <v>125.51326470588236</v>
      </c>
      <c r="K449" s="135">
        <v>102.67264705882353</v>
      </c>
      <c r="L449" s="135">
        <v>0</v>
      </c>
      <c r="M449" s="135">
        <v>577.03700000000003</v>
      </c>
      <c r="N449" s="135">
        <v>0</v>
      </c>
      <c r="O449" s="135">
        <v>-41.441264705882354</v>
      </c>
      <c r="P449" s="135">
        <v>1778.6555882352943</v>
      </c>
      <c r="Q449" s="135">
        <v>33.557941176470585</v>
      </c>
      <c r="R449" s="135">
        <v>15.184588235294118</v>
      </c>
      <c r="S449" s="135">
        <v>9312.9410000000007</v>
      </c>
      <c r="T449" s="135"/>
      <c r="U449" s="135">
        <v>7356.1764705882351</v>
      </c>
      <c r="V449" s="135">
        <v>0</v>
      </c>
      <c r="W449" s="135">
        <v>76.194644611526115</v>
      </c>
      <c r="X449" s="135">
        <v>0</v>
      </c>
      <c r="Y449" s="135">
        <v>72.269823529411767</v>
      </c>
      <c r="Z449" s="135">
        <v>136.17916868512111</v>
      </c>
      <c r="AA449" s="135">
        <v>0</v>
      </c>
      <c r="AB449" s="135">
        <v>559.72588999999994</v>
      </c>
      <c r="AC449" s="135">
        <v>0</v>
      </c>
      <c r="AD449" s="135">
        <v>0</v>
      </c>
      <c r="AE449" s="135">
        <v>1781.1872941176471</v>
      </c>
      <c r="AF449" s="135">
        <v>35.015911764705884</v>
      </c>
      <c r="AG449" s="135">
        <v>0</v>
      </c>
      <c r="AH449" s="135">
        <v>10016.749203296647</v>
      </c>
      <c r="AI449" s="135">
        <v>745.8190588235293</v>
      </c>
      <c r="AJ449" s="135">
        <v>0</v>
      </c>
      <c r="AK449" s="135">
        <v>-35.209178917885637</v>
      </c>
      <c r="AL449" s="135">
        <v>0</v>
      </c>
      <c r="AM449" s="135">
        <v>-53.243441176470597</v>
      </c>
      <c r="AN449" s="135">
        <v>33.506521626297584</v>
      </c>
      <c r="AO449" s="135">
        <v>0</v>
      </c>
      <c r="AP449" s="135">
        <v>-17.311110000000099</v>
      </c>
      <c r="AQ449" s="135">
        <v>0</v>
      </c>
      <c r="AR449" s="135">
        <v>41.441264705882354</v>
      </c>
      <c r="AS449" s="135">
        <v>2.5317058823527532</v>
      </c>
      <c r="AT449" s="135">
        <v>1.4579705882352982</v>
      </c>
      <c r="AU449" s="135">
        <v>-15.184588235294118</v>
      </c>
      <c r="AV449" s="135">
        <v>703.80820503270922</v>
      </c>
      <c r="AW449" s="135"/>
      <c r="AX449" s="164"/>
      <c r="AY449" s="132"/>
      <c r="AZ449" s="135"/>
      <c r="BA449" s="135"/>
      <c r="BB449" s="132"/>
    </row>
    <row r="450" spans="1:54" ht="16.5" x14ac:dyDescent="0.3">
      <c r="A450" s="132">
        <v>4106</v>
      </c>
      <c r="B450" s="132">
        <v>7</v>
      </c>
      <c r="C450" s="132" t="s">
        <v>636</v>
      </c>
      <c r="D450" s="133">
        <v>7</v>
      </c>
      <c r="E450" s="163">
        <v>170</v>
      </c>
      <c r="F450" s="135">
        <v>6791.2</v>
      </c>
      <c r="G450" s="135">
        <v>0</v>
      </c>
      <c r="H450" s="135">
        <v>248.38800000000001</v>
      </c>
      <c r="I450" s="135">
        <v>0</v>
      </c>
      <c r="J450" s="135">
        <v>128.947</v>
      </c>
      <c r="K450" s="135">
        <v>558.97552941176468</v>
      </c>
      <c r="L450" s="135">
        <v>0</v>
      </c>
      <c r="M450" s="135">
        <v>1276.3022941176471</v>
      </c>
      <c r="N450" s="135">
        <v>0</v>
      </c>
      <c r="O450" s="135">
        <v>-42.575000000000003</v>
      </c>
      <c r="P450" s="135">
        <v>1749.6341176470589</v>
      </c>
      <c r="Q450" s="135">
        <v>211.21100000000001</v>
      </c>
      <c r="R450" s="135">
        <v>-490.82799999999997</v>
      </c>
      <c r="S450" s="135">
        <v>10431.25494117647</v>
      </c>
      <c r="T450" s="135"/>
      <c r="U450" s="135">
        <v>7560</v>
      </c>
      <c r="V450" s="135">
        <v>0</v>
      </c>
      <c r="W450" s="135">
        <v>139.65343467514049</v>
      </c>
      <c r="X450" s="135">
        <v>0</v>
      </c>
      <c r="Y450" s="135">
        <v>74.27223529411765</v>
      </c>
      <c r="Z450" s="135">
        <v>686.72729411764703</v>
      </c>
      <c r="AA450" s="135">
        <v>0</v>
      </c>
      <c r="AB450" s="135">
        <v>1238.0816060367647</v>
      </c>
      <c r="AC450" s="135">
        <v>0</v>
      </c>
      <c r="AD450" s="135">
        <v>0</v>
      </c>
      <c r="AE450" s="135">
        <v>1752.3271176470589</v>
      </c>
      <c r="AF450" s="135">
        <v>212.70882352941177</v>
      </c>
      <c r="AG450" s="135">
        <v>-506.428</v>
      </c>
      <c r="AH450" s="135">
        <v>11157.342511300141</v>
      </c>
      <c r="AI450" s="135">
        <v>768.80000000000018</v>
      </c>
      <c r="AJ450" s="135">
        <v>0</v>
      </c>
      <c r="AK450" s="135">
        <v>-108.73456532485952</v>
      </c>
      <c r="AL450" s="135">
        <v>0</v>
      </c>
      <c r="AM450" s="135">
        <v>-54.674764705882353</v>
      </c>
      <c r="AN450" s="135">
        <v>127.75176470588235</v>
      </c>
      <c r="AO450" s="135">
        <v>0</v>
      </c>
      <c r="AP450" s="135">
        <v>-38.220688080882383</v>
      </c>
      <c r="AQ450" s="135">
        <v>0</v>
      </c>
      <c r="AR450" s="135">
        <v>42.575000000000003</v>
      </c>
      <c r="AS450" s="135">
        <v>2.6929999999999836</v>
      </c>
      <c r="AT450" s="135">
        <v>1.497823529411761</v>
      </c>
      <c r="AU450" s="135">
        <v>-15.600000000000023</v>
      </c>
      <c r="AV450" s="135">
        <v>726.08757918345827</v>
      </c>
      <c r="AW450" s="135"/>
      <c r="AX450" s="164"/>
      <c r="AY450" s="132"/>
      <c r="AZ450" s="135"/>
      <c r="BA450" s="135"/>
      <c r="BB450" s="132"/>
    </row>
    <row r="451" spans="1:54" ht="16.5" x14ac:dyDescent="0.3">
      <c r="A451" s="132">
        <v>4107</v>
      </c>
      <c r="B451" s="132">
        <v>7</v>
      </c>
      <c r="C451" s="132" t="s">
        <v>655</v>
      </c>
      <c r="D451" s="133">
        <v>7</v>
      </c>
      <c r="E451" s="163">
        <v>68</v>
      </c>
      <c r="F451" s="135">
        <v>6791.2</v>
      </c>
      <c r="G451" s="135">
        <v>0</v>
      </c>
      <c r="H451" s="135">
        <v>398.07529411764705</v>
      </c>
      <c r="I451" s="135">
        <v>0</v>
      </c>
      <c r="J451" s="135">
        <v>128.9470588235294</v>
      </c>
      <c r="K451" s="135">
        <v>2827.9426470588232</v>
      </c>
      <c r="L451" s="135">
        <v>0</v>
      </c>
      <c r="M451" s="135">
        <v>1889.5661009162793</v>
      </c>
      <c r="N451" s="135">
        <v>0</v>
      </c>
      <c r="O451" s="135">
        <v>-42.574999999999996</v>
      </c>
      <c r="P451" s="135">
        <v>1827.3189705882353</v>
      </c>
      <c r="Q451" s="135">
        <v>211.21102941176471</v>
      </c>
      <c r="R451" s="135">
        <v>-499.3544117647059</v>
      </c>
      <c r="S451" s="135">
        <v>13532.331689151573</v>
      </c>
      <c r="T451" s="135"/>
      <c r="U451" s="135">
        <v>7559.9999999999991</v>
      </c>
      <c r="V451" s="135">
        <v>0</v>
      </c>
      <c r="W451" s="135">
        <v>308.03658514208746</v>
      </c>
      <c r="X451" s="135">
        <v>0</v>
      </c>
      <c r="Y451" s="135">
        <v>74.272205882352949</v>
      </c>
      <c r="Z451" s="135">
        <v>3007.3094117647061</v>
      </c>
      <c r="AA451" s="135">
        <v>0</v>
      </c>
      <c r="AB451" s="135">
        <v>1842.050904086726</v>
      </c>
      <c r="AC451" s="135">
        <v>0</v>
      </c>
      <c r="AD451" s="135">
        <v>0</v>
      </c>
      <c r="AE451" s="135">
        <v>1846.8119999999999</v>
      </c>
      <c r="AF451" s="135">
        <v>212.70882352941177</v>
      </c>
      <c r="AG451" s="135">
        <v>-514.95441176470592</v>
      </c>
      <c r="AH451" s="135">
        <v>14336.235518640577</v>
      </c>
      <c r="AI451" s="135">
        <v>768.79999999999927</v>
      </c>
      <c r="AJ451" s="135">
        <v>0</v>
      </c>
      <c r="AK451" s="135">
        <v>-90.038708975559587</v>
      </c>
      <c r="AL451" s="135">
        <v>0</v>
      </c>
      <c r="AM451" s="135">
        <v>-54.674852941176454</v>
      </c>
      <c r="AN451" s="135">
        <v>179.36676470588282</v>
      </c>
      <c r="AO451" s="135">
        <v>0</v>
      </c>
      <c r="AP451" s="135">
        <v>-47.515196829553361</v>
      </c>
      <c r="AQ451" s="135">
        <v>0</v>
      </c>
      <c r="AR451" s="135">
        <v>42.574999999999996</v>
      </c>
      <c r="AS451" s="135">
        <v>19.49302941176461</v>
      </c>
      <c r="AT451" s="135">
        <v>1.4977941176470608</v>
      </c>
      <c r="AU451" s="135">
        <v>-15.600000000000023</v>
      </c>
      <c r="AV451" s="135">
        <v>803.9038311891286</v>
      </c>
      <c r="AW451" s="135"/>
      <c r="AX451" s="132"/>
      <c r="AY451" s="132"/>
      <c r="AZ451" s="155"/>
      <c r="BA451" s="155"/>
      <c r="BB451" s="132"/>
    </row>
    <row r="452" spans="1:54" ht="16.5" x14ac:dyDescent="0.3">
      <c r="A452" s="132">
        <v>4109</v>
      </c>
      <c r="B452" s="132">
        <v>7</v>
      </c>
      <c r="C452" s="132" t="s">
        <v>703</v>
      </c>
      <c r="D452" s="133">
        <v>7</v>
      </c>
      <c r="E452" s="163">
        <v>50</v>
      </c>
      <c r="F452" s="135">
        <v>7487.0368000000008</v>
      </c>
      <c r="G452" s="135">
        <v>0</v>
      </c>
      <c r="H452" s="135">
        <v>157.19579999999999</v>
      </c>
      <c r="I452" s="135">
        <v>0</v>
      </c>
      <c r="J452" s="135">
        <v>142.1592</v>
      </c>
      <c r="K452" s="135">
        <v>250.06799999999998</v>
      </c>
      <c r="L452" s="135">
        <v>0</v>
      </c>
      <c r="M452" s="135">
        <v>3216.2593999999999</v>
      </c>
      <c r="N452" s="135">
        <v>0</v>
      </c>
      <c r="O452" s="135">
        <v>-46.937399999999997</v>
      </c>
      <c r="P452" s="135">
        <v>2478.7089999999998</v>
      </c>
      <c r="Q452" s="135">
        <v>38.008600000000001</v>
      </c>
      <c r="R452" s="135">
        <v>185.44739999999999</v>
      </c>
      <c r="S452" s="135">
        <v>13907.946799999998</v>
      </c>
      <c r="T452" s="135"/>
      <c r="U452" s="135">
        <v>8503.3871999999992</v>
      </c>
      <c r="V452" s="135">
        <v>0</v>
      </c>
      <c r="W452" s="135">
        <v>207.92205763447353</v>
      </c>
      <c r="X452" s="135">
        <v>0</v>
      </c>
      <c r="Y452" s="135">
        <v>74.272199999999998</v>
      </c>
      <c r="Z452" s="135">
        <v>333.83580000000001</v>
      </c>
      <c r="AA452" s="135">
        <v>0</v>
      </c>
      <c r="AB452" s="135">
        <v>3130.5923870096026</v>
      </c>
      <c r="AC452" s="135">
        <v>0</v>
      </c>
      <c r="AD452" s="135">
        <v>0</v>
      </c>
      <c r="AE452" s="135">
        <v>2477.5320000000002</v>
      </c>
      <c r="AF452" s="135">
        <v>39.660000000000004</v>
      </c>
      <c r="AG452" s="135">
        <v>168.249</v>
      </c>
      <c r="AH452" s="135">
        <v>14935.450644644076</v>
      </c>
      <c r="AI452" s="135">
        <v>1016.3503999999984</v>
      </c>
      <c r="AJ452" s="135">
        <v>0</v>
      </c>
      <c r="AK452" s="135">
        <v>50.726257634473541</v>
      </c>
      <c r="AL452" s="135">
        <v>0</v>
      </c>
      <c r="AM452" s="135">
        <v>-67.887</v>
      </c>
      <c r="AN452" s="135">
        <v>83.767800000000022</v>
      </c>
      <c r="AO452" s="135">
        <v>0</v>
      </c>
      <c r="AP452" s="135">
        <v>-85.667012990397325</v>
      </c>
      <c r="AQ452" s="135">
        <v>0</v>
      </c>
      <c r="AR452" s="135">
        <v>46.937399999999997</v>
      </c>
      <c r="AS452" s="135">
        <v>-1.1769999999996799</v>
      </c>
      <c r="AT452" s="135">
        <v>1.6514000000000024</v>
      </c>
      <c r="AU452" s="135">
        <v>-17.198399999999992</v>
      </c>
      <c r="AV452" s="135">
        <v>1027.5038518561896</v>
      </c>
      <c r="AW452" s="135"/>
      <c r="AX452" s="132"/>
      <c r="AY452" s="132"/>
      <c r="AZ452" s="155"/>
      <c r="BA452" s="155"/>
      <c r="BB452" s="132"/>
    </row>
    <row r="453" spans="1:54" ht="16.5" x14ac:dyDescent="0.3">
      <c r="A453" s="132">
        <v>4110</v>
      </c>
      <c r="B453" s="132">
        <v>7</v>
      </c>
      <c r="C453" s="132" t="s">
        <v>650</v>
      </c>
      <c r="D453" s="133">
        <v>7</v>
      </c>
      <c r="E453" s="163">
        <v>280</v>
      </c>
      <c r="F453" s="135">
        <v>6791.2</v>
      </c>
      <c r="G453" s="135">
        <v>0</v>
      </c>
      <c r="H453" s="135">
        <v>15.09864285714286</v>
      </c>
      <c r="I453" s="135">
        <v>0</v>
      </c>
      <c r="J453" s="135">
        <v>128.947</v>
      </c>
      <c r="K453" s="135">
        <v>184.63124999999999</v>
      </c>
      <c r="L453" s="135">
        <v>0</v>
      </c>
      <c r="M453" s="135">
        <v>712.70760714285711</v>
      </c>
      <c r="N453" s="135">
        <v>0</v>
      </c>
      <c r="O453" s="135">
        <v>-42.575000000000003</v>
      </c>
      <c r="P453" s="135">
        <v>1827.3159999999998</v>
      </c>
      <c r="Q453" s="135">
        <v>34.476000000000006</v>
      </c>
      <c r="R453" s="135">
        <v>254.87614285714287</v>
      </c>
      <c r="S453" s="135">
        <v>9906.6776428571447</v>
      </c>
      <c r="T453" s="135"/>
      <c r="U453" s="135">
        <v>7560</v>
      </c>
      <c r="V453" s="135">
        <v>0</v>
      </c>
      <c r="W453" s="135">
        <v>28.710587507830919</v>
      </c>
      <c r="X453" s="135">
        <v>0</v>
      </c>
      <c r="Y453" s="135">
        <v>74.27225</v>
      </c>
      <c r="Z453" s="135">
        <v>250.3005357142857</v>
      </c>
      <c r="AA453" s="135">
        <v>0</v>
      </c>
      <c r="AB453" s="135">
        <v>691.32637892857144</v>
      </c>
      <c r="AC453" s="135">
        <v>0</v>
      </c>
      <c r="AD453" s="135">
        <v>0</v>
      </c>
      <c r="AE453" s="135">
        <v>1830.0089999999998</v>
      </c>
      <c r="AF453" s="135">
        <v>35.973857142857149</v>
      </c>
      <c r="AG453" s="135">
        <v>239.27614285714287</v>
      </c>
      <c r="AH453" s="135">
        <v>10709.868752150687</v>
      </c>
      <c r="AI453" s="135">
        <v>768.80000000000018</v>
      </c>
      <c r="AJ453" s="135">
        <v>0</v>
      </c>
      <c r="AK453" s="135">
        <v>13.611944650688059</v>
      </c>
      <c r="AL453" s="135">
        <v>0</v>
      </c>
      <c r="AM453" s="135">
        <v>-54.674750000000003</v>
      </c>
      <c r="AN453" s="135">
        <v>65.669285714285706</v>
      </c>
      <c r="AO453" s="135">
        <v>0</v>
      </c>
      <c r="AP453" s="135">
        <v>-21.38122821428567</v>
      </c>
      <c r="AQ453" s="135">
        <v>0</v>
      </c>
      <c r="AR453" s="135">
        <v>42.575000000000003</v>
      </c>
      <c r="AS453" s="135">
        <v>2.6929999999999836</v>
      </c>
      <c r="AT453" s="135">
        <v>1.4978571428571428</v>
      </c>
      <c r="AU453" s="135">
        <v>-15.599999999999994</v>
      </c>
      <c r="AV453" s="135">
        <v>803.19111335670004</v>
      </c>
      <c r="AW453" s="135"/>
      <c r="AX453" s="164"/>
      <c r="AY453" s="132"/>
      <c r="AZ453" s="135"/>
      <c r="BA453" s="135"/>
      <c r="BB453" s="132"/>
    </row>
    <row r="454" spans="1:54" ht="16.5" x14ac:dyDescent="0.3">
      <c r="A454" s="132">
        <v>4111</v>
      </c>
      <c r="B454" s="132">
        <v>7</v>
      </c>
      <c r="C454" s="132" t="s">
        <v>704</v>
      </c>
      <c r="D454" s="133">
        <v>7</v>
      </c>
      <c r="E454" s="163">
        <v>132</v>
      </c>
      <c r="F454" s="135">
        <v>6840.2739393939401</v>
      </c>
      <c r="G454" s="135">
        <v>0</v>
      </c>
      <c r="H454" s="135">
        <v>14.869696969696969</v>
      </c>
      <c r="I454" s="135">
        <v>0</v>
      </c>
      <c r="J454" s="135">
        <v>129.87878787878788</v>
      </c>
      <c r="K454" s="135">
        <v>2437.2886363636362</v>
      </c>
      <c r="L454" s="135">
        <v>0</v>
      </c>
      <c r="M454" s="135">
        <v>512.17854024363635</v>
      </c>
      <c r="N454" s="135">
        <v>0</v>
      </c>
      <c r="O454" s="135">
        <v>-42.882651515151515</v>
      </c>
      <c r="P454" s="135">
        <v>1829.2506818181819</v>
      </c>
      <c r="Q454" s="135">
        <v>34.725151515151516</v>
      </c>
      <c r="R454" s="135">
        <v>15.712727272727273</v>
      </c>
      <c r="S454" s="135">
        <v>11771.295509940606</v>
      </c>
      <c r="T454" s="135"/>
      <c r="U454" s="135">
        <v>7626.6845454545455</v>
      </c>
      <c r="V454" s="135">
        <v>0</v>
      </c>
      <c r="W454" s="135">
        <v>24.76298266382042</v>
      </c>
      <c r="X454" s="135">
        <v>0</v>
      </c>
      <c r="Y454" s="135">
        <v>74.272272727272735</v>
      </c>
      <c r="Z454" s="135">
        <v>2763.8084848484846</v>
      </c>
      <c r="AA454" s="135">
        <v>0</v>
      </c>
      <c r="AB454" s="135">
        <v>498.20330321220604</v>
      </c>
      <c r="AC454" s="135">
        <v>0</v>
      </c>
      <c r="AD454" s="135">
        <v>0</v>
      </c>
      <c r="AE454" s="135">
        <v>1846.8119999999999</v>
      </c>
      <c r="AF454" s="135">
        <v>36.233863636363637</v>
      </c>
      <c r="AG454" s="135">
        <v>0</v>
      </c>
      <c r="AH454" s="135">
        <v>12870.777452542692</v>
      </c>
      <c r="AI454" s="135">
        <v>786.41060606060546</v>
      </c>
      <c r="AJ454" s="135">
        <v>0</v>
      </c>
      <c r="AK454" s="135">
        <v>9.8932856941234508</v>
      </c>
      <c r="AL454" s="135">
        <v>0</v>
      </c>
      <c r="AM454" s="135">
        <v>-55.60651515151514</v>
      </c>
      <c r="AN454" s="135">
        <v>326.51984848484835</v>
      </c>
      <c r="AO454" s="135">
        <v>0</v>
      </c>
      <c r="AP454" s="135">
        <v>-13.975237031430311</v>
      </c>
      <c r="AQ454" s="135">
        <v>0</v>
      </c>
      <c r="AR454" s="135">
        <v>42.882651515151515</v>
      </c>
      <c r="AS454" s="135">
        <v>17.561318181818024</v>
      </c>
      <c r="AT454" s="135">
        <v>1.5087121212121204</v>
      </c>
      <c r="AU454" s="135">
        <v>-15.712727272727273</v>
      </c>
      <c r="AV454" s="135">
        <v>1099.4819489321701</v>
      </c>
      <c r="AW454" s="135"/>
      <c r="AX454" s="132"/>
      <c r="AY454" s="132"/>
      <c r="AZ454" s="155"/>
      <c r="BA454" s="155"/>
      <c r="BB454" s="132"/>
    </row>
    <row r="455" spans="1:54" ht="16.5" x14ac:dyDescent="0.3">
      <c r="A455" s="132">
        <v>4112</v>
      </c>
      <c r="B455" s="132">
        <v>7</v>
      </c>
      <c r="C455" s="132" t="s">
        <v>622</v>
      </c>
      <c r="D455" s="133">
        <v>7</v>
      </c>
      <c r="E455" s="163">
        <v>547</v>
      </c>
      <c r="F455" s="135">
        <v>6791.2</v>
      </c>
      <c r="G455" s="135">
        <v>0</v>
      </c>
      <c r="H455" s="135">
        <v>92.196563071297987</v>
      </c>
      <c r="I455" s="135">
        <v>0</v>
      </c>
      <c r="J455" s="135">
        <v>128.94700182815356</v>
      </c>
      <c r="K455" s="135">
        <v>16.35235831809872</v>
      </c>
      <c r="L455" s="135">
        <v>0</v>
      </c>
      <c r="M455" s="135">
        <v>195.61853747714807</v>
      </c>
      <c r="N455" s="135">
        <v>0</v>
      </c>
      <c r="O455" s="135">
        <v>-42.575009140767825</v>
      </c>
      <c r="P455" s="135">
        <v>1653.2037294332724</v>
      </c>
      <c r="Q455" s="135">
        <v>34.476014625228515</v>
      </c>
      <c r="R455" s="135">
        <v>261.47681901279708</v>
      </c>
      <c r="S455" s="135">
        <v>9130.8960146252284</v>
      </c>
      <c r="T455" s="135"/>
      <c r="U455" s="135">
        <v>7560</v>
      </c>
      <c r="V455" s="135">
        <v>0</v>
      </c>
      <c r="W455" s="135">
        <v>85.282934431489196</v>
      </c>
      <c r="X455" s="135">
        <v>0</v>
      </c>
      <c r="Y455" s="135">
        <v>74.27226691042047</v>
      </c>
      <c r="Z455" s="135">
        <v>34.418738574040219</v>
      </c>
      <c r="AA455" s="135">
        <v>0</v>
      </c>
      <c r="AB455" s="135">
        <v>189.74998135283363</v>
      </c>
      <c r="AC455" s="135">
        <v>0</v>
      </c>
      <c r="AD455" s="135">
        <v>0</v>
      </c>
      <c r="AE455" s="135">
        <v>1655.8967349177331</v>
      </c>
      <c r="AF455" s="135">
        <v>35.973857404021935</v>
      </c>
      <c r="AG455" s="135">
        <v>245.87681901279706</v>
      </c>
      <c r="AH455" s="135">
        <v>9881.4713326033379</v>
      </c>
      <c r="AI455" s="135">
        <v>768.80000000000018</v>
      </c>
      <c r="AJ455" s="135">
        <v>0</v>
      </c>
      <c r="AK455" s="135">
        <v>-6.9136286398087918</v>
      </c>
      <c r="AL455" s="135">
        <v>0</v>
      </c>
      <c r="AM455" s="135">
        <v>-54.67473491773309</v>
      </c>
      <c r="AN455" s="135">
        <v>18.0663802559415</v>
      </c>
      <c r="AO455" s="135">
        <v>0</v>
      </c>
      <c r="AP455" s="135">
        <v>-5.8685561243144377</v>
      </c>
      <c r="AQ455" s="135">
        <v>0</v>
      </c>
      <c r="AR455" s="135">
        <v>42.575009140767825</v>
      </c>
      <c r="AS455" s="135">
        <v>2.6930054844606275</v>
      </c>
      <c r="AT455" s="135">
        <v>1.4978427787934194</v>
      </c>
      <c r="AU455" s="135">
        <v>-15.600000000000023</v>
      </c>
      <c r="AV455" s="135">
        <v>750.57532269464036</v>
      </c>
      <c r="AW455" s="135"/>
      <c r="AX455" s="164"/>
      <c r="AY455" s="132"/>
      <c r="AZ455" s="135"/>
      <c r="BA455" s="135"/>
      <c r="BB455" s="132"/>
    </row>
    <row r="456" spans="1:54" ht="16.5" x14ac:dyDescent="0.3">
      <c r="A456" s="132">
        <v>4113</v>
      </c>
      <c r="B456" s="132">
        <v>7</v>
      </c>
      <c r="C456" s="132" t="s">
        <v>672</v>
      </c>
      <c r="D456" s="133">
        <v>7</v>
      </c>
      <c r="E456" s="163">
        <v>85</v>
      </c>
      <c r="F456" s="135">
        <v>5504.2522352941178</v>
      </c>
      <c r="G456" s="135">
        <v>0</v>
      </c>
      <c r="H456" s="135">
        <v>29.96705882352941</v>
      </c>
      <c r="I456" s="135">
        <v>0</v>
      </c>
      <c r="J456" s="135">
        <v>104.51129411764705</v>
      </c>
      <c r="K456" s="135">
        <v>618.38082352941183</v>
      </c>
      <c r="L456" s="135">
        <v>0</v>
      </c>
      <c r="M456" s="135">
        <v>21441.619688786883</v>
      </c>
      <c r="N456" s="135">
        <v>0</v>
      </c>
      <c r="O456" s="135">
        <v>-34.50694117647059</v>
      </c>
      <c r="P456" s="135">
        <v>1481.0378823529413</v>
      </c>
      <c r="Q456" s="135">
        <v>27.942705882352939</v>
      </c>
      <c r="R456" s="135">
        <v>99.230470588235292</v>
      </c>
      <c r="S456" s="135">
        <v>29272.435218198647</v>
      </c>
      <c r="T456" s="135"/>
      <c r="U456" s="135">
        <v>6077.6470588235297</v>
      </c>
      <c r="V456" s="135">
        <v>0</v>
      </c>
      <c r="W456" s="135">
        <v>38.824905890226191</v>
      </c>
      <c r="X456" s="135">
        <v>0</v>
      </c>
      <c r="Y456" s="135">
        <v>59.709058823529418</v>
      </c>
      <c r="Z456" s="135">
        <v>747.97341176470582</v>
      </c>
      <c r="AA456" s="135">
        <v>0</v>
      </c>
      <c r="AB456" s="135">
        <v>21441.619688786883</v>
      </c>
      <c r="AC456" s="135">
        <v>115.28999999999999</v>
      </c>
      <c r="AD456" s="135">
        <v>0</v>
      </c>
      <c r="AE456" s="135">
        <v>1484.692</v>
      </c>
      <c r="AF456" s="135">
        <v>29.156705882352938</v>
      </c>
      <c r="AG456" s="135">
        <v>86.586705882352945</v>
      </c>
      <c r="AH456" s="135">
        <v>30081.499535853582</v>
      </c>
      <c r="AI456" s="135">
        <v>573.39482352941195</v>
      </c>
      <c r="AJ456" s="135">
        <v>0</v>
      </c>
      <c r="AK456" s="135">
        <v>8.857847066696781</v>
      </c>
      <c r="AL456" s="135">
        <v>0</v>
      </c>
      <c r="AM456" s="135">
        <v>-44.802235294117636</v>
      </c>
      <c r="AN456" s="135">
        <v>129.59258823529399</v>
      </c>
      <c r="AO456" s="135">
        <v>0</v>
      </c>
      <c r="AP456" s="135">
        <v>0</v>
      </c>
      <c r="AQ456" s="135">
        <v>115.28999999999999</v>
      </c>
      <c r="AR456" s="135">
        <v>34.50694117647059</v>
      </c>
      <c r="AS456" s="135">
        <v>3.6541176470586834</v>
      </c>
      <c r="AT456" s="135">
        <v>1.2139999999999986</v>
      </c>
      <c r="AU456" s="135">
        <v>-12.643764705882347</v>
      </c>
      <c r="AV456" s="135">
        <v>809.06431975907219</v>
      </c>
      <c r="AW456" s="135"/>
      <c r="AX456" s="132"/>
      <c r="AY456" s="132"/>
      <c r="AZ456" s="155"/>
      <c r="BA456" s="155"/>
      <c r="BB456" s="132"/>
    </row>
    <row r="457" spans="1:54" ht="16.5" x14ac:dyDescent="0.3">
      <c r="A457" s="132">
        <v>4115</v>
      </c>
      <c r="B457" s="132">
        <v>7</v>
      </c>
      <c r="C457" s="132" t="s">
        <v>674</v>
      </c>
      <c r="D457" s="133">
        <v>7</v>
      </c>
      <c r="E457" s="163">
        <v>180</v>
      </c>
      <c r="F457" s="135">
        <v>6233.9733333333334</v>
      </c>
      <c r="G457" s="135">
        <v>0</v>
      </c>
      <c r="H457" s="135">
        <v>3.9282777777777773</v>
      </c>
      <c r="I457" s="135">
        <v>0</v>
      </c>
      <c r="J457" s="135">
        <v>118.36672222222221</v>
      </c>
      <c r="K457" s="135">
        <v>2842.7753333333335</v>
      </c>
      <c r="L457" s="135">
        <v>0</v>
      </c>
      <c r="M457" s="135">
        <v>437.12466666666666</v>
      </c>
      <c r="N457" s="135">
        <v>0</v>
      </c>
      <c r="O457" s="135">
        <v>-39.081666666666663</v>
      </c>
      <c r="P457" s="135">
        <v>1080.8976111111112</v>
      </c>
      <c r="Q457" s="135">
        <v>31.647222222222222</v>
      </c>
      <c r="R457" s="135">
        <v>14.32</v>
      </c>
      <c r="S457" s="135">
        <v>10723.951499999999</v>
      </c>
      <c r="T457" s="135"/>
      <c r="U457" s="135">
        <v>7000</v>
      </c>
      <c r="V457" s="135">
        <v>0</v>
      </c>
      <c r="W457" s="135">
        <v>3.6484977702293362</v>
      </c>
      <c r="X457" s="135">
        <v>0</v>
      </c>
      <c r="Y457" s="135">
        <v>68.770611111111108</v>
      </c>
      <c r="Z457" s="135">
        <v>2960.7468888888889</v>
      </c>
      <c r="AA457" s="135">
        <v>0</v>
      </c>
      <c r="AB457" s="135">
        <v>424.01092666666665</v>
      </c>
      <c r="AC457" s="135">
        <v>0</v>
      </c>
      <c r="AD457" s="135">
        <v>0</v>
      </c>
      <c r="AE457" s="135">
        <v>1085.5236111111112</v>
      </c>
      <c r="AF457" s="135">
        <v>33.022166666666664</v>
      </c>
      <c r="AG457" s="135">
        <v>0</v>
      </c>
      <c r="AH457" s="135">
        <v>11575.722702214674</v>
      </c>
      <c r="AI457" s="135">
        <v>766.02666666666664</v>
      </c>
      <c r="AJ457" s="135">
        <v>0</v>
      </c>
      <c r="AK457" s="135">
        <v>-0.27978000754844112</v>
      </c>
      <c r="AL457" s="135">
        <v>0</v>
      </c>
      <c r="AM457" s="135">
        <v>-49.596111111111099</v>
      </c>
      <c r="AN457" s="135">
        <v>117.97155555555537</v>
      </c>
      <c r="AO457" s="135">
        <v>0</v>
      </c>
      <c r="AP457" s="135">
        <v>-13.113740000000007</v>
      </c>
      <c r="AQ457" s="135">
        <v>0</v>
      </c>
      <c r="AR457" s="135">
        <v>39.081666666666663</v>
      </c>
      <c r="AS457" s="135">
        <v>4.6259999999999764</v>
      </c>
      <c r="AT457" s="135">
        <v>1.3749444444444414</v>
      </c>
      <c r="AU457" s="135">
        <v>-14.32</v>
      </c>
      <c r="AV457" s="135">
        <v>851.77120631528294</v>
      </c>
      <c r="AW457" s="135"/>
      <c r="AX457" s="132"/>
      <c r="AY457" s="132"/>
      <c r="AZ457" s="155"/>
      <c r="BA457" s="155"/>
      <c r="BB457" s="132"/>
    </row>
    <row r="458" spans="1:54" ht="16.5" x14ac:dyDescent="0.3">
      <c r="A458" s="132">
        <v>4116</v>
      </c>
      <c r="B458" s="132">
        <v>7</v>
      </c>
      <c r="C458" s="132" t="s">
        <v>368</v>
      </c>
      <c r="D458" s="133">
        <v>7</v>
      </c>
      <c r="E458" s="163">
        <v>686</v>
      </c>
      <c r="F458" s="135">
        <v>5248.825422740525</v>
      </c>
      <c r="G458" s="135">
        <v>0</v>
      </c>
      <c r="H458" s="135">
        <v>16.340218658892127</v>
      </c>
      <c r="I458" s="135">
        <v>0</v>
      </c>
      <c r="J458" s="135">
        <v>99.661370262390662</v>
      </c>
      <c r="K458" s="135">
        <v>35.752040816326534</v>
      </c>
      <c r="L458" s="135">
        <v>0</v>
      </c>
      <c r="M458" s="135">
        <v>481.2830131903936</v>
      </c>
      <c r="N458" s="135">
        <v>0</v>
      </c>
      <c r="O458" s="135">
        <v>-32.905641399416908</v>
      </c>
      <c r="P458" s="135">
        <v>1307.8529591836734</v>
      </c>
      <c r="Q458" s="135">
        <v>85.93645772594752</v>
      </c>
      <c r="R458" s="135">
        <v>46.894125364431488</v>
      </c>
      <c r="S458" s="135">
        <v>7289.6399665431636</v>
      </c>
      <c r="T458" s="135"/>
      <c r="U458" s="135">
        <v>5730.6122448979595</v>
      </c>
      <c r="V458" s="135">
        <v>0</v>
      </c>
      <c r="W458" s="135">
        <v>20.43202504751244</v>
      </c>
      <c r="X458" s="135">
        <v>0</v>
      </c>
      <c r="Y458" s="135">
        <v>56.299664723032066</v>
      </c>
      <c r="Z458" s="135">
        <v>62.334693877551018</v>
      </c>
      <c r="AA458" s="135">
        <v>0</v>
      </c>
      <c r="AB458" s="135">
        <v>460.73306082463506</v>
      </c>
      <c r="AC458" s="135">
        <v>83.895823271744675</v>
      </c>
      <c r="AD458" s="135">
        <v>0</v>
      </c>
      <c r="AE458" s="135">
        <v>1305.9195918367348</v>
      </c>
      <c r="AF458" s="135">
        <v>87.094125364431491</v>
      </c>
      <c r="AG458" s="135">
        <v>34.837099125364432</v>
      </c>
      <c r="AH458" s="135">
        <v>7842.1583289689652</v>
      </c>
      <c r="AI458" s="135">
        <v>481.78682215743447</v>
      </c>
      <c r="AJ458" s="135">
        <v>0</v>
      </c>
      <c r="AK458" s="135">
        <v>4.0918063886203129</v>
      </c>
      <c r="AL458" s="135">
        <v>0</v>
      </c>
      <c r="AM458" s="135">
        <v>-43.361705539358596</v>
      </c>
      <c r="AN458" s="135">
        <v>26.582653061224484</v>
      </c>
      <c r="AO458" s="135">
        <v>0</v>
      </c>
      <c r="AP458" s="135">
        <v>-20.549952365758543</v>
      </c>
      <c r="AQ458" s="135">
        <v>83.895823271744675</v>
      </c>
      <c r="AR458" s="135">
        <v>32.905641399416908</v>
      </c>
      <c r="AS458" s="135">
        <v>-1.9333673469386667</v>
      </c>
      <c r="AT458" s="135">
        <v>1.1576676384839715</v>
      </c>
      <c r="AU458" s="135">
        <v>-12.057026239067056</v>
      </c>
      <c r="AV458" s="135">
        <v>552.51836417155243</v>
      </c>
      <c r="AW458" s="135"/>
      <c r="AX458" s="132"/>
      <c r="AY458" s="132"/>
      <c r="AZ458" s="155"/>
      <c r="BA458" s="155"/>
      <c r="BB458" s="132"/>
    </row>
    <row r="459" spans="1:54" ht="16.5" x14ac:dyDescent="0.3">
      <c r="A459" s="132">
        <v>4118</v>
      </c>
      <c r="B459" s="132">
        <v>7</v>
      </c>
      <c r="C459" s="132" t="s">
        <v>520</v>
      </c>
      <c r="D459" s="133">
        <v>7</v>
      </c>
      <c r="E459" s="163">
        <v>424</v>
      </c>
      <c r="F459" s="135">
        <v>5686.7675471698112</v>
      </c>
      <c r="G459" s="135">
        <v>0</v>
      </c>
      <c r="H459" s="135">
        <v>150.82419811320756</v>
      </c>
      <c r="I459" s="135">
        <v>0</v>
      </c>
      <c r="J459" s="135">
        <v>107.97674528301887</v>
      </c>
      <c r="K459" s="135">
        <v>38.789575471698107</v>
      </c>
      <c r="L459" s="135">
        <v>0</v>
      </c>
      <c r="M459" s="135">
        <v>872.015054648302</v>
      </c>
      <c r="N459" s="135">
        <v>0</v>
      </c>
      <c r="O459" s="135">
        <v>-35.651155660377356</v>
      </c>
      <c r="P459" s="135">
        <v>1530.1475943396226</v>
      </c>
      <c r="Q459" s="135">
        <v>59.023066037735852</v>
      </c>
      <c r="R459" s="135">
        <v>-198.54025943396226</v>
      </c>
      <c r="S459" s="135">
        <v>8211.3523659690582</v>
      </c>
      <c r="T459" s="135"/>
      <c r="U459" s="135">
        <v>6288.1132075471696</v>
      </c>
      <c r="V459" s="135">
        <v>0</v>
      </c>
      <c r="W459" s="135">
        <v>106.78843989909021</v>
      </c>
      <c r="X459" s="135">
        <v>0</v>
      </c>
      <c r="Y459" s="135">
        <v>61.776768867924524</v>
      </c>
      <c r="Z459" s="135">
        <v>66.858797169811325</v>
      </c>
      <c r="AA459" s="135">
        <v>0</v>
      </c>
      <c r="AB459" s="135">
        <v>842.82162896826321</v>
      </c>
      <c r="AC459" s="135">
        <v>90.835069379610019</v>
      </c>
      <c r="AD459" s="135">
        <v>0</v>
      </c>
      <c r="AE459" s="135">
        <v>1536.1062075471698</v>
      </c>
      <c r="AF459" s="135">
        <v>60.277334905660382</v>
      </c>
      <c r="AG459" s="135">
        <v>-211.6032783018868</v>
      </c>
      <c r="AH459" s="135">
        <v>8841.9741759828121</v>
      </c>
      <c r="AI459" s="135">
        <v>601.3456603773584</v>
      </c>
      <c r="AJ459" s="135">
        <v>0</v>
      </c>
      <c r="AK459" s="135">
        <v>-44.035758214117351</v>
      </c>
      <c r="AL459" s="135">
        <v>0</v>
      </c>
      <c r="AM459" s="135">
        <v>-46.199976415094348</v>
      </c>
      <c r="AN459" s="135">
        <v>28.069221698113218</v>
      </c>
      <c r="AO459" s="135">
        <v>0</v>
      </c>
      <c r="AP459" s="135">
        <v>-29.193425680038786</v>
      </c>
      <c r="AQ459" s="135">
        <v>90.835069379610019</v>
      </c>
      <c r="AR459" s="135">
        <v>35.651155660377356</v>
      </c>
      <c r="AS459" s="135">
        <v>5.9586132075471596</v>
      </c>
      <c r="AT459" s="135">
        <v>1.2542688679245302</v>
      </c>
      <c r="AU459" s="135">
        <v>-13.063018867924541</v>
      </c>
      <c r="AV459" s="135">
        <v>630.62181017522482</v>
      </c>
      <c r="AW459" s="135"/>
      <c r="AX459" s="164"/>
      <c r="AY459" s="132"/>
      <c r="AZ459" s="135"/>
      <c r="BA459" s="135"/>
      <c r="BB459" s="132"/>
    </row>
    <row r="460" spans="1:54" ht="16.5" x14ac:dyDescent="0.3">
      <c r="A460" s="132">
        <v>4119</v>
      </c>
      <c r="B460" s="132">
        <v>7</v>
      </c>
      <c r="C460" s="132" t="s">
        <v>613</v>
      </c>
      <c r="D460" s="133">
        <v>7</v>
      </c>
      <c r="E460" s="163">
        <v>90</v>
      </c>
      <c r="F460" s="135">
        <v>6791.2</v>
      </c>
      <c r="G460" s="135">
        <v>0</v>
      </c>
      <c r="H460" s="135">
        <v>62.449888888888886</v>
      </c>
      <c r="I460" s="135">
        <v>0</v>
      </c>
      <c r="J460" s="135">
        <v>128.947</v>
      </c>
      <c r="K460" s="135">
        <v>0</v>
      </c>
      <c r="L460" s="135">
        <v>0</v>
      </c>
      <c r="M460" s="135">
        <v>618.98144444444449</v>
      </c>
      <c r="N460" s="135">
        <v>0</v>
      </c>
      <c r="O460" s="135">
        <v>-42.575000000000003</v>
      </c>
      <c r="P460" s="135">
        <v>1497.3789999999999</v>
      </c>
      <c r="Q460" s="135">
        <v>38.584000000000003</v>
      </c>
      <c r="R460" s="135">
        <v>15.6</v>
      </c>
      <c r="S460" s="135">
        <v>9110.5663333333359</v>
      </c>
      <c r="T460" s="135"/>
      <c r="U460" s="135">
        <v>7560</v>
      </c>
      <c r="V460" s="135">
        <v>0</v>
      </c>
      <c r="W460" s="135">
        <v>60.906392944462418</v>
      </c>
      <c r="X460" s="135">
        <v>0</v>
      </c>
      <c r="Y460" s="135">
        <v>74.272222222222226</v>
      </c>
      <c r="Z460" s="135">
        <v>0</v>
      </c>
      <c r="AA460" s="135">
        <v>0</v>
      </c>
      <c r="AB460" s="135">
        <v>595.67980100939781</v>
      </c>
      <c r="AC460" s="135">
        <v>0</v>
      </c>
      <c r="AD460" s="135">
        <v>0</v>
      </c>
      <c r="AE460" s="135">
        <v>1500.0719999999999</v>
      </c>
      <c r="AF460" s="135">
        <v>40.081888888888891</v>
      </c>
      <c r="AG460" s="135">
        <v>0</v>
      </c>
      <c r="AH460" s="135">
        <v>9831.0123050649709</v>
      </c>
      <c r="AI460" s="135">
        <v>768.80000000000018</v>
      </c>
      <c r="AJ460" s="135">
        <v>0</v>
      </c>
      <c r="AK460" s="135">
        <v>-1.5434959444264678</v>
      </c>
      <c r="AL460" s="135">
        <v>0</v>
      </c>
      <c r="AM460" s="135">
        <v>-54.674777777777777</v>
      </c>
      <c r="AN460" s="135">
        <v>0</v>
      </c>
      <c r="AO460" s="135">
        <v>0</v>
      </c>
      <c r="AP460" s="135">
        <v>-23.301643435046685</v>
      </c>
      <c r="AQ460" s="135">
        <v>0</v>
      </c>
      <c r="AR460" s="135">
        <v>42.575000000000003</v>
      </c>
      <c r="AS460" s="135">
        <v>2.6929999999999836</v>
      </c>
      <c r="AT460" s="135">
        <v>1.4978888888888875</v>
      </c>
      <c r="AU460" s="135">
        <v>-15.6</v>
      </c>
      <c r="AV460" s="135">
        <v>720.44597579173387</v>
      </c>
      <c r="AW460" s="135"/>
      <c r="AX460" s="164"/>
      <c r="AY460" s="132"/>
      <c r="AZ460" s="135"/>
      <c r="BA460" s="135"/>
      <c r="BB460" s="132"/>
    </row>
    <row r="461" spans="1:54" ht="16.5" x14ac:dyDescent="0.3">
      <c r="A461" s="132">
        <v>4120</v>
      </c>
      <c r="B461" s="132">
        <v>7</v>
      </c>
      <c r="C461" s="132" t="s">
        <v>476</v>
      </c>
      <c r="D461" s="133">
        <v>7</v>
      </c>
      <c r="E461" s="163">
        <v>1086</v>
      </c>
      <c r="F461" s="135">
        <v>5943.4304235727441</v>
      </c>
      <c r="G461" s="135">
        <v>0</v>
      </c>
      <c r="H461" s="135">
        <v>11.355773480662984</v>
      </c>
      <c r="I461" s="135">
        <v>0</v>
      </c>
      <c r="J461" s="135">
        <v>112.85009208103131</v>
      </c>
      <c r="K461" s="135">
        <v>36.406721915285452</v>
      </c>
      <c r="L461" s="135">
        <v>0</v>
      </c>
      <c r="M461" s="135">
        <v>458.01371560205337</v>
      </c>
      <c r="N461" s="135">
        <v>0</v>
      </c>
      <c r="O461" s="135">
        <v>-37.260211786372004</v>
      </c>
      <c r="P461" s="135">
        <v>1599.2082872928179</v>
      </c>
      <c r="Q461" s="135">
        <v>71.482716390423576</v>
      </c>
      <c r="R461" s="135">
        <v>-10.886593001841618</v>
      </c>
      <c r="S461" s="135">
        <v>8184.6009255468052</v>
      </c>
      <c r="T461" s="135"/>
      <c r="U461" s="135">
        <v>6570.3314917127063</v>
      </c>
      <c r="V461" s="135">
        <v>0</v>
      </c>
      <c r="W461" s="135">
        <v>12.023932761347421</v>
      </c>
      <c r="X461" s="135">
        <v>0</v>
      </c>
      <c r="Y461" s="135">
        <v>64.549383057090239</v>
      </c>
      <c r="Z461" s="135">
        <v>57.546903143643021</v>
      </c>
      <c r="AA461" s="135">
        <v>0</v>
      </c>
      <c r="AB461" s="135">
        <v>444.30318858554153</v>
      </c>
      <c r="AC461" s="135">
        <v>13.648226903273153</v>
      </c>
      <c r="AD461" s="135">
        <v>0</v>
      </c>
      <c r="AE461" s="135">
        <v>1605.0485506445673</v>
      </c>
      <c r="AF461" s="135">
        <v>72.793581952117876</v>
      </c>
      <c r="AG461" s="135">
        <v>-24.539189686924487</v>
      </c>
      <c r="AH461" s="135">
        <v>8815.7060690733615</v>
      </c>
      <c r="AI461" s="135">
        <v>626.90106813996226</v>
      </c>
      <c r="AJ461" s="135">
        <v>0</v>
      </c>
      <c r="AK461" s="135">
        <v>0.66815928068443675</v>
      </c>
      <c r="AL461" s="135">
        <v>0</v>
      </c>
      <c r="AM461" s="135">
        <v>-48.300709023941067</v>
      </c>
      <c r="AN461" s="135">
        <v>21.140181228357569</v>
      </c>
      <c r="AO461" s="135">
        <v>0</v>
      </c>
      <c r="AP461" s="135">
        <v>-13.710527016511833</v>
      </c>
      <c r="AQ461" s="135">
        <v>13.648226903273153</v>
      </c>
      <c r="AR461" s="135">
        <v>37.260211786372004</v>
      </c>
      <c r="AS461" s="135">
        <v>5.8402633517493996</v>
      </c>
      <c r="AT461" s="135">
        <v>1.3108655616942997</v>
      </c>
      <c r="AU461" s="135">
        <v>-13.652596685082869</v>
      </c>
      <c r="AV461" s="135">
        <v>631.10514456988165</v>
      </c>
      <c r="AW461" s="135"/>
      <c r="AX461" s="164"/>
      <c r="AY461" s="132"/>
      <c r="AZ461" s="135"/>
      <c r="BA461" s="135"/>
      <c r="BB461" s="132"/>
    </row>
    <row r="462" spans="1:54" ht="16.5" x14ac:dyDescent="0.3">
      <c r="A462" s="132">
        <v>4121</v>
      </c>
      <c r="B462" s="132">
        <v>7</v>
      </c>
      <c r="C462" s="132" t="s">
        <v>706</v>
      </c>
      <c r="D462" s="133">
        <v>7</v>
      </c>
      <c r="E462" s="163">
        <v>265</v>
      </c>
      <c r="F462" s="135">
        <v>6797.1139622641504</v>
      </c>
      <c r="G462" s="135">
        <v>0</v>
      </c>
      <c r="H462" s="135">
        <v>19.056264150943395</v>
      </c>
      <c r="I462" s="135">
        <v>0</v>
      </c>
      <c r="J462" s="135">
        <v>129.05928301886792</v>
      </c>
      <c r="K462" s="135">
        <v>2675.5577358490573</v>
      </c>
      <c r="L462" s="135">
        <v>0</v>
      </c>
      <c r="M462" s="135">
        <v>693.95804805441503</v>
      </c>
      <c r="N462" s="135">
        <v>0</v>
      </c>
      <c r="O462" s="135">
        <v>-42.612075471698112</v>
      </c>
      <c r="P462" s="135">
        <v>1671.5517735849057</v>
      </c>
      <c r="Q462" s="135">
        <v>34.506037735849048</v>
      </c>
      <c r="R462" s="135">
        <v>15.613584905660378</v>
      </c>
      <c r="S462" s="135">
        <v>11993.804614092154</v>
      </c>
      <c r="T462" s="135"/>
      <c r="U462" s="135">
        <v>7567.9213584905665</v>
      </c>
      <c r="V462" s="135">
        <v>0</v>
      </c>
      <c r="W462" s="135">
        <v>21.415038384770423</v>
      </c>
      <c r="X462" s="135">
        <v>0</v>
      </c>
      <c r="Y462" s="135">
        <v>74.2722641509434</v>
      </c>
      <c r="Z462" s="135">
        <v>3070.2623018867926</v>
      </c>
      <c r="AA462" s="135">
        <v>0</v>
      </c>
      <c r="AB462" s="135">
        <v>671.47774159165272</v>
      </c>
      <c r="AC462" s="135">
        <v>0</v>
      </c>
      <c r="AD462" s="135">
        <v>0</v>
      </c>
      <c r="AE462" s="135">
        <v>1674.0119999999999</v>
      </c>
      <c r="AF462" s="135">
        <v>36.00520754716981</v>
      </c>
      <c r="AG462" s="135">
        <v>0</v>
      </c>
      <c r="AH462" s="135">
        <v>13115.365912051895</v>
      </c>
      <c r="AI462" s="135">
        <v>770.80739622641613</v>
      </c>
      <c r="AJ462" s="135">
        <v>0</v>
      </c>
      <c r="AK462" s="135">
        <v>2.3587742338270274</v>
      </c>
      <c r="AL462" s="135">
        <v>0</v>
      </c>
      <c r="AM462" s="135">
        <v>-54.787018867924516</v>
      </c>
      <c r="AN462" s="135">
        <v>394.70456603773528</v>
      </c>
      <c r="AO462" s="135">
        <v>0</v>
      </c>
      <c r="AP462" s="135">
        <v>-22.480306462762314</v>
      </c>
      <c r="AQ462" s="135">
        <v>0</v>
      </c>
      <c r="AR462" s="135">
        <v>42.612075471698112</v>
      </c>
      <c r="AS462" s="135">
        <v>2.4602264150942119</v>
      </c>
      <c r="AT462" s="135">
        <v>1.4991698113207619</v>
      </c>
      <c r="AU462" s="135">
        <v>-15.613584905660378</v>
      </c>
      <c r="AV462" s="135">
        <v>1121.56130592923</v>
      </c>
      <c r="AW462" s="135"/>
      <c r="AX462" s="164"/>
      <c r="AY462" s="132"/>
      <c r="AZ462" s="135"/>
      <c r="BA462" s="135"/>
      <c r="BB462" s="132"/>
    </row>
    <row r="463" spans="1:54" ht="16.5" x14ac:dyDescent="0.3">
      <c r="A463" s="132">
        <v>4122</v>
      </c>
      <c r="B463" s="132">
        <v>7</v>
      </c>
      <c r="C463" s="132" t="s">
        <v>470</v>
      </c>
      <c r="D463" s="133">
        <v>7</v>
      </c>
      <c r="E463" s="163">
        <v>814</v>
      </c>
      <c r="F463" s="135">
        <v>5931.1653071253068</v>
      </c>
      <c r="G463" s="135">
        <v>0</v>
      </c>
      <c r="H463" s="135">
        <v>12.600233415233415</v>
      </c>
      <c r="I463" s="135">
        <v>0</v>
      </c>
      <c r="J463" s="135">
        <v>112.6172113022113</v>
      </c>
      <c r="K463" s="135">
        <v>41.118722358722358</v>
      </c>
      <c r="L463" s="135">
        <v>0</v>
      </c>
      <c r="M463" s="135">
        <v>346.81971216511056</v>
      </c>
      <c r="N463" s="135">
        <v>0</v>
      </c>
      <c r="O463" s="135">
        <v>-37.183316953316954</v>
      </c>
      <c r="P463" s="135">
        <v>1595.9080958230959</v>
      </c>
      <c r="Q463" s="135">
        <v>30.109975429975428</v>
      </c>
      <c r="R463" s="135">
        <v>231.50648648648647</v>
      </c>
      <c r="S463" s="135">
        <v>8264.6624271528253</v>
      </c>
      <c r="T463" s="135"/>
      <c r="U463" s="135">
        <v>6557.727272727273</v>
      </c>
      <c r="V463" s="135">
        <v>0</v>
      </c>
      <c r="W463" s="135">
        <v>15.429276828444415</v>
      </c>
      <c r="X463" s="135">
        <v>0</v>
      </c>
      <c r="Y463" s="135">
        <v>64.425552825552828</v>
      </c>
      <c r="Z463" s="135">
        <v>69.752641277641274</v>
      </c>
      <c r="AA463" s="135">
        <v>0</v>
      </c>
      <c r="AB463" s="135">
        <v>336.48897653755284</v>
      </c>
      <c r="AC463" s="135">
        <v>0</v>
      </c>
      <c r="AD463" s="135">
        <v>0</v>
      </c>
      <c r="AE463" s="135">
        <v>1601.9694999999999</v>
      </c>
      <c r="AF463" s="135">
        <v>31.418144963144961</v>
      </c>
      <c r="AG463" s="135">
        <v>217.88206388206387</v>
      </c>
      <c r="AH463" s="135">
        <v>8895.0934290416717</v>
      </c>
      <c r="AI463" s="135">
        <v>626.56196560196622</v>
      </c>
      <c r="AJ463" s="135">
        <v>0</v>
      </c>
      <c r="AK463" s="135">
        <v>2.8290434132110001</v>
      </c>
      <c r="AL463" s="135">
        <v>0</v>
      </c>
      <c r="AM463" s="135">
        <v>-48.191658476658475</v>
      </c>
      <c r="AN463" s="135">
        <v>28.633918918918916</v>
      </c>
      <c r="AO463" s="135">
        <v>0</v>
      </c>
      <c r="AP463" s="135">
        <v>-10.330735627557715</v>
      </c>
      <c r="AQ463" s="135">
        <v>0</v>
      </c>
      <c r="AR463" s="135">
        <v>37.183316953316954</v>
      </c>
      <c r="AS463" s="135">
        <v>6.0614041769040341</v>
      </c>
      <c r="AT463" s="135">
        <v>1.3081695331695329</v>
      </c>
      <c r="AU463" s="135">
        <v>-13.624422604422591</v>
      </c>
      <c r="AV463" s="135">
        <v>630.43100255082038</v>
      </c>
      <c r="AW463" s="135"/>
      <c r="AX463" s="164"/>
      <c r="AY463" s="132"/>
      <c r="AZ463" s="135"/>
      <c r="BA463" s="135"/>
      <c r="BB463" s="134"/>
    </row>
    <row r="464" spans="1:54" ht="16.5" x14ac:dyDescent="0.3">
      <c r="A464" s="132">
        <v>4123</v>
      </c>
      <c r="B464" s="132">
        <v>7</v>
      </c>
      <c r="C464" s="132" t="s">
        <v>385</v>
      </c>
      <c r="D464" s="133">
        <v>7</v>
      </c>
      <c r="E464" s="163">
        <v>45</v>
      </c>
      <c r="F464" s="135">
        <v>5190.3342222222227</v>
      </c>
      <c r="G464" s="135">
        <v>0</v>
      </c>
      <c r="H464" s="135">
        <v>2.9060000000000001</v>
      </c>
      <c r="I464" s="135">
        <v>0</v>
      </c>
      <c r="J464" s="135">
        <v>98.550666666666658</v>
      </c>
      <c r="K464" s="135">
        <v>147.476</v>
      </c>
      <c r="L464" s="135">
        <v>0</v>
      </c>
      <c r="M464" s="135">
        <v>654.1824444444444</v>
      </c>
      <c r="N464" s="135">
        <v>0</v>
      </c>
      <c r="O464" s="135">
        <v>-32.538888888888891</v>
      </c>
      <c r="P464" s="135">
        <v>1396.2735555555555</v>
      </c>
      <c r="Q464" s="135">
        <v>124.42288888888889</v>
      </c>
      <c r="R464" s="135">
        <v>-161.65644444444447</v>
      </c>
      <c r="S464" s="135">
        <v>7419.9504444444447</v>
      </c>
      <c r="T464" s="135"/>
      <c r="U464" s="135">
        <v>5670</v>
      </c>
      <c r="V464" s="135">
        <v>0</v>
      </c>
      <c r="W464" s="135">
        <v>32.211229573127383</v>
      </c>
      <c r="X464" s="135">
        <v>0</v>
      </c>
      <c r="Y464" s="135">
        <v>55.704222222222221</v>
      </c>
      <c r="Z464" s="135">
        <v>205.94422222222221</v>
      </c>
      <c r="AA464" s="135">
        <v>0</v>
      </c>
      <c r="AB464" s="135">
        <v>625.41074852373333</v>
      </c>
      <c r="AC464" s="135">
        <v>54.896201544276451</v>
      </c>
      <c r="AD464" s="135">
        <v>0</v>
      </c>
      <c r="AE464" s="135">
        <v>1385.1089999999999</v>
      </c>
      <c r="AF464" s="135">
        <v>125.56755555555556</v>
      </c>
      <c r="AG464" s="135">
        <v>-173.57911111111113</v>
      </c>
      <c r="AH464" s="135">
        <v>7981.2640685300275</v>
      </c>
      <c r="AI464" s="135">
        <v>479.66577777777729</v>
      </c>
      <c r="AJ464" s="135">
        <v>0</v>
      </c>
      <c r="AK464" s="135">
        <v>29.305229573127384</v>
      </c>
      <c r="AL464" s="135">
        <v>0</v>
      </c>
      <c r="AM464" s="135">
        <v>-42.846444444444437</v>
      </c>
      <c r="AN464" s="135">
        <v>58.468222222222209</v>
      </c>
      <c r="AO464" s="135">
        <v>0</v>
      </c>
      <c r="AP464" s="135">
        <v>-28.771695920711068</v>
      </c>
      <c r="AQ464" s="135">
        <v>54.896201544276451</v>
      </c>
      <c r="AR464" s="135">
        <v>32.538888888888891</v>
      </c>
      <c r="AS464" s="135">
        <v>-11.16455555555558</v>
      </c>
      <c r="AT464" s="135">
        <v>1.1446666666666658</v>
      </c>
      <c r="AU464" s="135">
        <v>-11.922666666666657</v>
      </c>
      <c r="AV464" s="135">
        <v>561.3136281690463</v>
      </c>
      <c r="AW464" s="135"/>
      <c r="AX464" s="132"/>
      <c r="AY464" s="132"/>
      <c r="AZ464" s="155"/>
      <c r="BA464" s="155"/>
      <c r="BB464" s="132"/>
    </row>
    <row r="465" spans="1:53" ht="16.5" x14ac:dyDescent="0.3">
      <c r="A465" s="132">
        <v>4124</v>
      </c>
      <c r="B465" s="132">
        <v>7</v>
      </c>
      <c r="C465" s="132" t="s">
        <v>523</v>
      </c>
      <c r="D465" s="133">
        <v>7</v>
      </c>
      <c r="E465" s="163">
        <v>415</v>
      </c>
      <c r="F465" s="135">
        <v>5680.0614939759034</v>
      </c>
      <c r="G465" s="135">
        <v>0</v>
      </c>
      <c r="H465" s="135">
        <v>15.040361445783132</v>
      </c>
      <c r="I465" s="135">
        <v>0</v>
      </c>
      <c r="J465" s="135">
        <v>107.84939759036145</v>
      </c>
      <c r="K465" s="135">
        <v>97.897807228915667</v>
      </c>
      <c r="L465" s="135">
        <v>0</v>
      </c>
      <c r="M465" s="135">
        <v>1852.4005147173011</v>
      </c>
      <c r="N465" s="135">
        <v>0</v>
      </c>
      <c r="O465" s="135">
        <v>-35.609108433734939</v>
      </c>
      <c r="P465" s="135">
        <v>1486.1841445783134</v>
      </c>
      <c r="Q465" s="135">
        <v>28.835228915662647</v>
      </c>
      <c r="R465" s="135">
        <v>358.59202409638556</v>
      </c>
      <c r="S465" s="135">
        <v>9591.2518641148909</v>
      </c>
      <c r="T465" s="135"/>
      <c r="U465" s="135">
        <v>6272.674698795181</v>
      </c>
      <c r="V465" s="135">
        <v>0</v>
      </c>
      <c r="W465" s="135">
        <v>64.474661150162376</v>
      </c>
      <c r="X465" s="135">
        <v>0</v>
      </c>
      <c r="Y465" s="135">
        <v>61.625084337349399</v>
      </c>
      <c r="Z465" s="135">
        <v>134.97470489185659</v>
      </c>
      <c r="AA465" s="135">
        <v>0</v>
      </c>
      <c r="AB465" s="135">
        <v>1801.625774593369</v>
      </c>
      <c r="AC465" s="135">
        <v>61.948128883005012</v>
      </c>
      <c r="AD465" s="135">
        <v>0</v>
      </c>
      <c r="AE465" s="135">
        <v>1486.6364626506024</v>
      </c>
      <c r="AF465" s="135">
        <v>30.087999999999997</v>
      </c>
      <c r="AG465" s="135">
        <v>345.54440963855421</v>
      </c>
      <c r="AH465" s="135">
        <v>10259.591924940079</v>
      </c>
      <c r="AI465" s="135">
        <v>592.6132048192776</v>
      </c>
      <c r="AJ465" s="135">
        <v>0</v>
      </c>
      <c r="AK465" s="135">
        <v>49.434299704379242</v>
      </c>
      <c r="AL465" s="135">
        <v>0</v>
      </c>
      <c r="AM465" s="135">
        <v>-46.224313253012049</v>
      </c>
      <c r="AN465" s="135">
        <v>37.076897662940922</v>
      </c>
      <c r="AO465" s="135">
        <v>0</v>
      </c>
      <c r="AP465" s="135">
        <v>-50.774740123932133</v>
      </c>
      <c r="AQ465" s="135">
        <v>61.948128883005012</v>
      </c>
      <c r="AR465" s="135">
        <v>35.609108433734939</v>
      </c>
      <c r="AS465" s="135">
        <v>0.45231807228901744</v>
      </c>
      <c r="AT465" s="135">
        <v>1.2527710843373505</v>
      </c>
      <c r="AU465" s="135">
        <v>-13.047614457831344</v>
      </c>
      <c r="AV465" s="135">
        <v>668.34006612303028</v>
      </c>
      <c r="AW465" s="135"/>
      <c r="AX465" s="164"/>
      <c r="AY465" s="132"/>
      <c r="AZ465" s="135"/>
      <c r="BA465" s="135"/>
    </row>
    <row r="466" spans="1:53" ht="16.5" x14ac:dyDescent="0.3">
      <c r="A466" s="132">
        <v>4126</v>
      </c>
      <c r="B466" s="132">
        <v>7</v>
      </c>
      <c r="C466" s="132" t="s">
        <v>707</v>
      </c>
      <c r="D466" s="133">
        <v>7</v>
      </c>
      <c r="E466" s="163">
        <v>766</v>
      </c>
      <c r="F466" s="135">
        <v>6013.1240731070493</v>
      </c>
      <c r="G466" s="135">
        <v>0</v>
      </c>
      <c r="H466" s="135">
        <v>20.52554830287206</v>
      </c>
      <c r="I466" s="135">
        <v>0</v>
      </c>
      <c r="J466" s="135">
        <v>114.17338120104438</v>
      </c>
      <c r="K466" s="135">
        <v>1716.8948433420367</v>
      </c>
      <c r="L466" s="135">
        <v>0</v>
      </c>
      <c r="M466" s="135">
        <v>157.49092689295037</v>
      </c>
      <c r="N466" s="135">
        <v>0</v>
      </c>
      <c r="O466" s="135">
        <v>-37.697127937336816</v>
      </c>
      <c r="P466" s="135">
        <v>1617.9608746736294</v>
      </c>
      <c r="Q466" s="135">
        <v>30.526044386422978</v>
      </c>
      <c r="R466" s="135">
        <v>300.08216710182768</v>
      </c>
      <c r="S466" s="135">
        <v>9933.0807310704968</v>
      </c>
      <c r="T466" s="135"/>
      <c r="U466" s="135">
        <v>6649.5430809399477</v>
      </c>
      <c r="V466" s="135">
        <v>0</v>
      </c>
      <c r="W466" s="135">
        <v>54.832207491377822</v>
      </c>
      <c r="X466" s="135">
        <v>0</v>
      </c>
      <c r="Y466" s="135">
        <v>65.327584856396868</v>
      </c>
      <c r="Z466" s="135">
        <v>1992.923002610966</v>
      </c>
      <c r="AA466" s="135">
        <v>0</v>
      </c>
      <c r="AB466" s="135">
        <v>152.76619908616186</v>
      </c>
      <c r="AC466" s="135">
        <v>122.54896167194875</v>
      </c>
      <c r="AD466" s="135">
        <v>0</v>
      </c>
      <c r="AE466" s="135">
        <v>1624.3989360313317</v>
      </c>
      <c r="AF466" s="135">
        <v>31.852284595300258</v>
      </c>
      <c r="AG466" s="135">
        <v>286.26947780678853</v>
      </c>
      <c r="AH466" s="135">
        <v>10980.461735090217</v>
      </c>
      <c r="AI466" s="135">
        <v>636.41900783289839</v>
      </c>
      <c r="AJ466" s="135">
        <v>0</v>
      </c>
      <c r="AK466" s="135">
        <v>34.306659188505762</v>
      </c>
      <c r="AL466" s="135">
        <v>0</v>
      </c>
      <c r="AM466" s="135">
        <v>-48.845796344647511</v>
      </c>
      <c r="AN466" s="135">
        <v>276.02815926892936</v>
      </c>
      <c r="AO466" s="135">
        <v>0</v>
      </c>
      <c r="AP466" s="135">
        <v>-4.7247278067885077</v>
      </c>
      <c r="AQ466" s="135">
        <v>122.54896167194875</v>
      </c>
      <c r="AR466" s="135">
        <v>37.697127937336816</v>
      </c>
      <c r="AS466" s="135">
        <v>6.4380613577022814</v>
      </c>
      <c r="AT466" s="135">
        <v>1.3262402088772802</v>
      </c>
      <c r="AU466" s="135">
        <v>-13.812689295039149</v>
      </c>
      <c r="AV466" s="135">
        <v>1047.3810108375092</v>
      </c>
      <c r="AW466" s="135"/>
      <c r="AX466" s="164"/>
      <c r="AY466" s="132"/>
      <c r="AZ466" s="135"/>
      <c r="BA466" s="135"/>
    </row>
    <row r="467" spans="1:53" ht="16.5" x14ac:dyDescent="0.3">
      <c r="A467" s="132">
        <v>4127</v>
      </c>
      <c r="B467" s="132">
        <v>7</v>
      </c>
      <c r="C467" s="132" t="s">
        <v>610</v>
      </c>
      <c r="D467" s="133">
        <v>7</v>
      </c>
      <c r="E467" s="163">
        <v>144</v>
      </c>
      <c r="F467" s="135">
        <v>5294.7416666666668</v>
      </c>
      <c r="G467" s="135">
        <v>0</v>
      </c>
      <c r="H467" s="135">
        <v>246.52277777777778</v>
      </c>
      <c r="I467" s="135">
        <v>0</v>
      </c>
      <c r="J467" s="135">
        <v>100.53319444444445</v>
      </c>
      <c r="K467" s="135">
        <v>1075.1349305555557</v>
      </c>
      <c r="L467" s="135">
        <v>0</v>
      </c>
      <c r="M467" s="135">
        <v>1168.6971527777778</v>
      </c>
      <c r="N467" s="135">
        <v>0</v>
      </c>
      <c r="O467" s="135">
        <v>-33.193472222222219</v>
      </c>
      <c r="P467" s="135">
        <v>1308.2640972222221</v>
      </c>
      <c r="Q467" s="135">
        <v>133.46319444444444</v>
      </c>
      <c r="R467" s="135">
        <v>19.650069444444455</v>
      </c>
      <c r="S467" s="135">
        <v>9313.8136111111107</v>
      </c>
      <c r="T467" s="135"/>
      <c r="U467" s="135">
        <v>5821.6724999999997</v>
      </c>
      <c r="V467" s="135">
        <v>0</v>
      </c>
      <c r="W467" s="135">
        <v>234.83469472301977</v>
      </c>
      <c r="X467" s="135">
        <v>0</v>
      </c>
      <c r="Y467" s="135">
        <v>56.73576388888889</v>
      </c>
      <c r="Z467" s="135">
        <v>1255.2350964506172</v>
      </c>
      <c r="AA467" s="135">
        <v>0</v>
      </c>
      <c r="AB467" s="135">
        <v>1132.701732614192</v>
      </c>
      <c r="AC467" s="135">
        <v>102.93037789551836</v>
      </c>
      <c r="AD467" s="135">
        <v>0</v>
      </c>
      <c r="AE467" s="135">
        <v>1306.1086805555556</v>
      </c>
      <c r="AF467" s="135">
        <v>134.63097222222223</v>
      </c>
      <c r="AG467" s="135">
        <v>7.4875694444444321</v>
      </c>
      <c r="AH467" s="135">
        <v>10052.337387794456</v>
      </c>
      <c r="AI467" s="135">
        <v>526.93083333333288</v>
      </c>
      <c r="AJ467" s="135">
        <v>0</v>
      </c>
      <c r="AK467" s="135">
        <v>-11.68808305475801</v>
      </c>
      <c r="AL467" s="135">
        <v>0</v>
      </c>
      <c r="AM467" s="135">
        <v>-43.797430555555557</v>
      </c>
      <c r="AN467" s="135">
        <v>180.10016589506154</v>
      </c>
      <c r="AO467" s="135">
        <v>0</v>
      </c>
      <c r="AP467" s="135">
        <v>-35.995420163585777</v>
      </c>
      <c r="AQ467" s="135">
        <v>102.93037789551836</v>
      </c>
      <c r="AR467" s="135">
        <v>33.193472222222219</v>
      </c>
      <c r="AS467" s="135">
        <v>-2.1554166666664969</v>
      </c>
      <c r="AT467" s="135">
        <v>1.1677777777777862</v>
      </c>
      <c r="AU467" s="135">
        <v>-12.162500000000023</v>
      </c>
      <c r="AV467" s="135">
        <v>738.52378360968237</v>
      </c>
      <c r="AW467" s="135"/>
      <c r="AX467" s="164"/>
      <c r="AY467" s="132"/>
      <c r="AZ467" s="135"/>
      <c r="BA467" s="135"/>
    </row>
    <row r="468" spans="1:53" ht="16.5" x14ac:dyDescent="0.3">
      <c r="A468" s="132">
        <v>4131</v>
      </c>
      <c r="B468" s="132">
        <v>7</v>
      </c>
      <c r="C468" s="132" t="s">
        <v>708</v>
      </c>
      <c r="D468" s="133">
        <v>7</v>
      </c>
      <c r="E468" s="163">
        <v>232</v>
      </c>
      <c r="F468" s="135">
        <v>6510.1848275862067</v>
      </c>
      <c r="G468" s="135">
        <v>0</v>
      </c>
      <c r="H468" s="135">
        <v>4.2740086206896555</v>
      </c>
      <c r="I468" s="135">
        <v>0</v>
      </c>
      <c r="J468" s="135">
        <v>123.61125000000001</v>
      </c>
      <c r="K468" s="135">
        <v>1880.2821551724137</v>
      </c>
      <c r="L468" s="135">
        <v>0</v>
      </c>
      <c r="M468" s="135">
        <v>268.89336206896553</v>
      </c>
      <c r="N468" s="135">
        <v>0</v>
      </c>
      <c r="O468" s="135">
        <v>-40.81327586206897</v>
      </c>
      <c r="P468" s="135">
        <v>1640.7459482758622</v>
      </c>
      <c r="Q468" s="135">
        <v>33.049396551724136</v>
      </c>
      <c r="R468" s="135">
        <v>14.95448275862069</v>
      </c>
      <c r="S468" s="135">
        <v>10435.182155172415</v>
      </c>
      <c r="T468" s="135"/>
      <c r="U468" s="135">
        <v>7277.5862068965516</v>
      </c>
      <c r="V468" s="135">
        <v>0</v>
      </c>
      <c r="W468" s="135">
        <v>4.6690677390748938</v>
      </c>
      <c r="X468" s="135">
        <v>0</v>
      </c>
      <c r="Y468" s="135">
        <v>71.497715517241389</v>
      </c>
      <c r="Z468" s="135">
        <v>2182.2525431034483</v>
      </c>
      <c r="AA468" s="135">
        <v>0</v>
      </c>
      <c r="AB468" s="135">
        <v>268.89336206896553</v>
      </c>
      <c r="AC468" s="135">
        <v>0</v>
      </c>
      <c r="AD468" s="135">
        <v>0</v>
      </c>
      <c r="AE468" s="135">
        <v>1644.4137500000002</v>
      </c>
      <c r="AF468" s="135">
        <v>34.485258620689656</v>
      </c>
      <c r="AG468" s="135">
        <v>0</v>
      </c>
      <c r="AH468" s="135">
        <v>11483.797903945971</v>
      </c>
      <c r="AI468" s="135">
        <v>767.40137931034496</v>
      </c>
      <c r="AJ468" s="135">
        <v>0</v>
      </c>
      <c r="AK468" s="135">
        <v>0.39505911838523833</v>
      </c>
      <c r="AL468" s="135">
        <v>0</v>
      </c>
      <c r="AM468" s="135">
        <v>-52.113534482758624</v>
      </c>
      <c r="AN468" s="135">
        <v>301.97038793103457</v>
      </c>
      <c r="AO468" s="135">
        <v>0</v>
      </c>
      <c r="AP468" s="135">
        <v>0</v>
      </c>
      <c r="AQ468" s="135">
        <v>0</v>
      </c>
      <c r="AR468" s="135">
        <v>40.81327586206897</v>
      </c>
      <c r="AS468" s="135">
        <v>3.6678017241379166</v>
      </c>
      <c r="AT468" s="135">
        <v>1.4358620689655197</v>
      </c>
      <c r="AU468" s="135">
        <v>-14.95448275862069</v>
      </c>
      <c r="AV468" s="135">
        <v>1048.6157501317662</v>
      </c>
      <c r="AW468" s="135"/>
      <c r="AX468" s="164"/>
      <c r="AY468" s="132"/>
      <c r="AZ468" s="135"/>
      <c r="BA468" s="135"/>
    </row>
    <row r="469" spans="1:53" ht="16.5" x14ac:dyDescent="0.3">
      <c r="A469" s="132">
        <v>4132</v>
      </c>
      <c r="B469" s="132">
        <v>7</v>
      </c>
      <c r="C469" s="132" t="s">
        <v>652</v>
      </c>
      <c r="D469" s="133">
        <v>7</v>
      </c>
      <c r="E469" s="163">
        <v>181</v>
      </c>
      <c r="F469" s="135">
        <v>6791.2</v>
      </c>
      <c r="G469" s="135">
        <v>0</v>
      </c>
      <c r="H469" s="135">
        <v>137.95585635359117</v>
      </c>
      <c r="I469" s="135">
        <v>0</v>
      </c>
      <c r="J469" s="135">
        <v>128.94701657458563</v>
      </c>
      <c r="K469" s="135">
        <v>506.93767955801104</v>
      </c>
      <c r="L469" s="135">
        <v>0</v>
      </c>
      <c r="M469" s="135">
        <v>297.66574585635357</v>
      </c>
      <c r="N469" s="135">
        <v>0</v>
      </c>
      <c r="O469" s="135">
        <v>-42.575027624309392</v>
      </c>
      <c r="P469" s="135">
        <v>1374.1698342541438</v>
      </c>
      <c r="Q469" s="135">
        <v>34.476022099447512</v>
      </c>
      <c r="R469" s="135">
        <v>15.6</v>
      </c>
      <c r="S469" s="135">
        <v>9244.3771270718225</v>
      </c>
      <c r="T469" s="135"/>
      <c r="U469" s="135">
        <v>7560</v>
      </c>
      <c r="V469" s="135">
        <v>0</v>
      </c>
      <c r="W469" s="135">
        <v>95.229612187090481</v>
      </c>
      <c r="X469" s="135">
        <v>0</v>
      </c>
      <c r="Y469" s="135">
        <v>74.272265193370174</v>
      </c>
      <c r="Z469" s="135">
        <v>619.66900552486186</v>
      </c>
      <c r="AA469" s="135">
        <v>0</v>
      </c>
      <c r="AB469" s="135">
        <v>288.735773480663</v>
      </c>
      <c r="AC469" s="135">
        <v>0</v>
      </c>
      <c r="AD469" s="135">
        <v>0</v>
      </c>
      <c r="AE469" s="135">
        <v>1376.8628287292818</v>
      </c>
      <c r="AF469" s="135">
        <v>35.973867403314912</v>
      </c>
      <c r="AG469" s="135">
        <v>0</v>
      </c>
      <c r="AH469" s="135">
        <v>10050.743352518581</v>
      </c>
      <c r="AI469" s="135">
        <v>768.80000000000018</v>
      </c>
      <c r="AJ469" s="135">
        <v>0</v>
      </c>
      <c r="AK469" s="135">
        <v>-42.726244166500692</v>
      </c>
      <c r="AL469" s="135">
        <v>0</v>
      </c>
      <c r="AM469" s="135">
        <v>-54.674751381215458</v>
      </c>
      <c r="AN469" s="135">
        <v>112.73132596685082</v>
      </c>
      <c r="AO469" s="135">
        <v>0</v>
      </c>
      <c r="AP469" s="135">
        <v>-8.9299723756905678</v>
      </c>
      <c r="AQ469" s="135">
        <v>0</v>
      </c>
      <c r="AR469" s="135">
        <v>42.575027624309392</v>
      </c>
      <c r="AS469" s="135">
        <v>2.6929944751379935</v>
      </c>
      <c r="AT469" s="135">
        <v>1.4978453038674004</v>
      </c>
      <c r="AU469" s="135">
        <v>-15.6</v>
      </c>
      <c r="AV469" s="135">
        <v>806.36623141663677</v>
      </c>
      <c r="AW469" s="135"/>
      <c r="AX469" s="132"/>
      <c r="AY469" s="132"/>
      <c r="AZ469" s="155"/>
      <c r="BA469" s="155"/>
    </row>
    <row r="470" spans="1:53" ht="16.5" x14ac:dyDescent="0.3">
      <c r="A470" s="132">
        <v>4133</v>
      </c>
      <c r="B470" s="132">
        <v>7</v>
      </c>
      <c r="C470" s="132" t="s">
        <v>632</v>
      </c>
      <c r="D470" s="133">
        <v>7</v>
      </c>
      <c r="E470" s="163">
        <v>165</v>
      </c>
      <c r="F470" s="135">
        <v>6213.7105454545454</v>
      </c>
      <c r="G470" s="135">
        <v>0</v>
      </c>
      <c r="H470" s="135">
        <v>6.0947878787878791</v>
      </c>
      <c r="I470" s="135">
        <v>0</v>
      </c>
      <c r="J470" s="135">
        <v>117.982</v>
      </c>
      <c r="K470" s="135">
        <v>128.53145454545455</v>
      </c>
      <c r="L470" s="135">
        <v>0</v>
      </c>
      <c r="M470" s="135">
        <v>1508.5667878787881</v>
      </c>
      <c r="N470" s="135">
        <v>0</v>
      </c>
      <c r="O470" s="135">
        <v>-38.954666666666668</v>
      </c>
      <c r="P470" s="135">
        <v>1671.9329696969696</v>
      </c>
      <c r="Q470" s="135">
        <v>31.544363636363634</v>
      </c>
      <c r="R470" s="135">
        <v>238.50690909090906</v>
      </c>
      <c r="S470" s="135">
        <v>9877.9151515151516</v>
      </c>
      <c r="T470" s="135"/>
      <c r="U470" s="135">
        <v>6979.636363636364</v>
      </c>
      <c r="V470" s="135">
        <v>0</v>
      </c>
      <c r="W470" s="135">
        <v>15.427229181397671</v>
      </c>
      <c r="X470" s="135">
        <v>0</v>
      </c>
      <c r="Y470" s="135">
        <v>68.570545454545453</v>
      </c>
      <c r="Z470" s="135">
        <v>180.65363636363637</v>
      </c>
      <c r="AA470" s="135">
        <v>0</v>
      </c>
      <c r="AB470" s="135">
        <v>1463.9387889358727</v>
      </c>
      <c r="AC470" s="135">
        <v>0</v>
      </c>
      <c r="AD470" s="135">
        <v>0</v>
      </c>
      <c r="AE470" s="135">
        <v>1705.0365333333334</v>
      </c>
      <c r="AF470" s="135">
        <v>32.914848484848491</v>
      </c>
      <c r="AG470" s="135">
        <v>224.23345454545452</v>
      </c>
      <c r="AH470" s="135">
        <v>10670.411399935452</v>
      </c>
      <c r="AI470" s="135">
        <v>765.92581818181861</v>
      </c>
      <c r="AJ470" s="135">
        <v>0</v>
      </c>
      <c r="AK470" s="135">
        <v>9.3324413026097908</v>
      </c>
      <c r="AL470" s="135">
        <v>0</v>
      </c>
      <c r="AM470" s="135">
        <v>-49.411454545454546</v>
      </c>
      <c r="AN470" s="135">
        <v>52.122181818181815</v>
      </c>
      <c r="AO470" s="135">
        <v>0</v>
      </c>
      <c r="AP470" s="135">
        <v>-44.627998942915383</v>
      </c>
      <c r="AQ470" s="135">
        <v>0</v>
      </c>
      <c r="AR470" s="135">
        <v>38.954666666666668</v>
      </c>
      <c r="AS470" s="135">
        <v>33.103563636363788</v>
      </c>
      <c r="AT470" s="135">
        <v>1.3704848484848569</v>
      </c>
      <c r="AU470" s="135">
        <v>-14.273454545454541</v>
      </c>
      <c r="AV470" s="135">
        <v>792.49625224733074</v>
      </c>
      <c r="AW470" s="135"/>
      <c r="AX470" s="164"/>
      <c r="AY470" s="132"/>
      <c r="AZ470" s="135"/>
      <c r="BA470" s="135"/>
    </row>
    <row r="471" spans="1:53" ht="16.5" x14ac:dyDescent="0.3">
      <c r="A471" s="132">
        <v>4135</v>
      </c>
      <c r="B471" s="132">
        <v>7</v>
      </c>
      <c r="C471" s="132" t="s">
        <v>710</v>
      </c>
      <c r="D471" s="133">
        <v>7</v>
      </c>
      <c r="E471" s="163">
        <v>252</v>
      </c>
      <c r="F471" s="135">
        <v>5651.8704761904764</v>
      </c>
      <c r="G471" s="135">
        <v>0</v>
      </c>
      <c r="H471" s="135">
        <v>0</v>
      </c>
      <c r="I471" s="135">
        <v>0</v>
      </c>
      <c r="J471" s="135">
        <v>107.31412698412699</v>
      </c>
      <c r="K471" s="135">
        <v>3269.5523809523811</v>
      </c>
      <c r="L471" s="135">
        <v>0</v>
      </c>
      <c r="M471" s="135">
        <v>161.20710317460319</v>
      </c>
      <c r="N471" s="135">
        <v>0</v>
      </c>
      <c r="O471" s="135">
        <v>-35.432380952380946</v>
      </c>
      <c r="P471" s="135">
        <v>1085.4361904761904</v>
      </c>
      <c r="Q471" s="135">
        <v>58.660873015873015</v>
      </c>
      <c r="R471" s="135">
        <v>77.424999999999997</v>
      </c>
      <c r="S471" s="135">
        <v>10376.03376984127</v>
      </c>
      <c r="T471" s="135"/>
      <c r="U471" s="135">
        <v>6230</v>
      </c>
      <c r="V471" s="135">
        <v>0</v>
      </c>
      <c r="W471" s="135">
        <v>11.773495560561017</v>
      </c>
      <c r="X471" s="135">
        <v>0</v>
      </c>
      <c r="Y471" s="135">
        <v>61.205833333333338</v>
      </c>
      <c r="Z471" s="135">
        <v>3729.6267460317458</v>
      </c>
      <c r="AA471" s="135">
        <v>0</v>
      </c>
      <c r="AB471" s="135">
        <v>156.37089007936507</v>
      </c>
      <c r="AC471" s="135">
        <v>245.0723283226628</v>
      </c>
      <c r="AD471" s="135">
        <v>0</v>
      </c>
      <c r="AE471" s="135">
        <v>1085.474015873016</v>
      </c>
      <c r="AF471" s="135">
        <v>59.907420634920634</v>
      </c>
      <c r="AG471" s="135">
        <v>64.442142857142855</v>
      </c>
      <c r="AH471" s="135">
        <v>11643.872872692747</v>
      </c>
      <c r="AI471" s="135">
        <v>578.12952380952356</v>
      </c>
      <c r="AJ471" s="135">
        <v>0</v>
      </c>
      <c r="AK471" s="135">
        <v>11.773495560561017</v>
      </c>
      <c r="AL471" s="135">
        <v>0</v>
      </c>
      <c r="AM471" s="135">
        <v>-46.108293650793648</v>
      </c>
      <c r="AN471" s="135">
        <v>460.07436507936472</v>
      </c>
      <c r="AO471" s="135">
        <v>0</v>
      </c>
      <c r="AP471" s="135">
        <v>-4.8362130952381222</v>
      </c>
      <c r="AQ471" s="135">
        <v>245.0723283226628</v>
      </c>
      <c r="AR471" s="135">
        <v>35.432380952380946</v>
      </c>
      <c r="AS471" s="135">
        <v>3.7825396825610369E-2</v>
      </c>
      <c r="AT471" s="135">
        <v>1.2465476190476181</v>
      </c>
      <c r="AU471" s="135">
        <v>-12.982857142857142</v>
      </c>
      <c r="AV471" s="135">
        <v>1267.8391109275547</v>
      </c>
      <c r="AW471" s="135"/>
      <c r="AX471" s="164"/>
      <c r="AY471" s="132"/>
      <c r="AZ471" s="135"/>
      <c r="BA471" s="135"/>
    </row>
    <row r="472" spans="1:53" ht="16.5" x14ac:dyDescent="0.3">
      <c r="A472" s="132">
        <v>4137</v>
      </c>
      <c r="B472" s="132">
        <v>7</v>
      </c>
      <c r="C472" s="132" t="s">
        <v>371</v>
      </c>
      <c r="D472" s="133">
        <v>7</v>
      </c>
      <c r="E472" s="163">
        <v>150</v>
      </c>
      <c r="F472" s="135">
        <v>5333.7039999999997</v>
      </c>
      <c r="G472" s="135">
        <v>0</v>
      </c>
      <c r="H472" s="135">
        <v>139.09086666666664</v>
      </c>
      <c r="I472" s="135">
        <v>0</v>
      </c>
      <c r="J472" s="135">
        <v>101.27300000000001</v>
      </c>
      <c r="K472" s="135">
        <v>7.0532000000000004</v>
      </c>
      <c r="L472" s="135">
        <v>0</v>
      </c>
      <c r="M472" s="135">
        <v>1110.9523390474665</v>
      </c>
      <c r="N472" s="135">
        <v>0</v>
      </c>
      <c r="O472" s="135">
        <v>-33.437733333333334</v>
      </c>
      <c r="P472" s="135">
        <v>1370.8339333333333</v>
      </c>
      <c r="Q472" s="135">
        <v>76.146199999999993</v>
      </c>
      <c r="R472" s="135">
        <v>-149.81506666666664</v>
      </c>
      <c r="S472" s="135">
        <v>7955.8007390474659</v>
      </c>
      <c r="T472" s="135"/>
      <c r="U472" s="135">
        <v>5838</v>
      </c>
      <c r="V472" s="135">
        <v>0</v>
      </c>
      <c r="W472" s="135">
        <v>109.83527869870495</v>
      </c>
      <c r="X472" s="135">
        <v>0</v>
      </c>
      <c r="Y472" s="135">
        <v>57.354666666666674</v>
      </c>
      <c r="Z472" s="135">
        <v>18.629200000000001</v>
      </c>
      <c r="AA472" s="135">
        <v>0</v>
      </c>
      <c r="AB472" s="135">
        <v>1073.9007966430026</v>
      </c>
      <c r="AC472" s="135">
        <v>128.57238138984883</v>
      </c>
      <c r="AD472" s="135">
        <v>0</v>
      </c>
      <c r="AE472" s="135">
        <v>1369.395</v>
      </c>
      <c r="AF472" s="135">
        <v>77.322599999999994</v>
      </c>
      <c r="AG472" s="135">
        <v>-162.06706666666665</v>
      </c>
      <c r="AH472" s="135">
        <v>8510.9428567315572</v>
      </c>
      <c r="AI472" s="135">
        <v>504.29600000000028</v>
      </c>
      <c r="AJ472" s="135">
        <v>0</v>
      </c>
      <c r="AK472" s="135">
        <v>-29.255587967961688</v>
      </c>
      <c r="AL472" s="135">
        <v>0</v>
      </c>
      <c r="AM472" s="135">
        <v>-43.918333333333337</v>
      </c>
      <c r="AN472" s="135">
        <v>11.576000000000001</v>
      </c>
      <c r="AO472" s="135">
        <v>0</v>
      </c>
      <c r="AP472" s="135">
        <v>-37.051542404463817</v>
      </c>
      <c r="AQ472" s="135">
        <v>128.57238138984883</v>
      </c>
      <c r="AR472" s="135">
        <v>33.437733333333334</v>
      </c>
      <c r="AS472" s="135">
        <v>-1.4389333333333525</v>
      </c>
      <c r="AT472" s="135">
        <v>1.176400000000001</v>
      </c>
      <c r="AU472" s="135">
        <v>-12.25200000000001</v>
      </c>
      <c r="AV472" s="135">
        <v>555.14212414455142</v>
      </c>
      <c r="AW472" s="135"/>
      <c r="AX472" s="132"/>
      <c r="AY472" s="132"/>
      <c r="AZ472" s="155"/>
      <c r="BA472" s="155"/>
    </row>
    <row r="473" spans="1:53" ht="16.5" x14ac:dyDescent="0.3">
      <c r="A473" s="132">
        <v>4138</v>
      </c>
      <c r="B473" s="132">
        <v>7</v>
      </c>
      <c r="C473" s="132" t="s">
        <v>345</v>
      </c>
      <c r="D473" s="133">
        <v>7</v>
      </c>
      <c r="E473" s="163">
        <v>46</v>
      </c>
      <c r="F473" s="135">
        <v>5184.2521739130434</v>
      </c>
      <c r="G473" s="135">
        <v>0</v>
      </c>
      <c r="H473" s="135">
        <v>361.24260869565217</v>
      </c>
      <c r="I473" s="135">
        <v>0</v>
      </c>
      <c r="J473" s="135">
        <v>98.435217391304363</v>
      </c>
      <c r="K473" s="135">
        <v>801.96195652173913</v>
      </c>
      <c r="L473" s="135">
        <v>0</v>
      </c>
      <c r="M473" s="135">
        <v>804.42511200260856</v>
      </c>
      <c r="N473" s="135">
        <v>0</v>
      </c>
      <c r="O473" s="135">
        <v>-32.500869565217393</v>
      </c>
      <c r="P473" s="135">
        <v>1273.2115217391304</v>
      </c>
      <c r="Q473" s="135">
        <v>348.47826086956525</v>
      </c>
      <c r="R473" s="135">
        <v>-417.72130434782605</v>
      </c>
      <c r="S473" s="135">
        <v>8421.7846772199991</v>
      </c>
      <c r="T473" s="135"/>
      <c r="U473" s="135">
        <v>5615.217391304348</v>
      </c>
      <c r="V473" s="135">
        <v>0</v>
      </c>
      <c r="W473" s="135">
        <v>392.12976926012578</v>
      </c>
      <c r="X473" s="135">
        <v>0</v>
      </c>
      <c r="Y473" s="135">
        <v>55.166086956521738</v>
      </c>
      <c r="Z473" s="135">
        <v>917.00400756143665</v>
      </c>
      <c r="AA473" s="135">
        <v>0</v>
      </c>
      <c r="AB473" s="135">
        <v>781.10410897322606</v>
      </c>
      <c r="AC473" s="135">
        <v>0</v>
      </c>
      <c r="AD473" s="135">
        <v>0</v>
      </c>
      <c r="AE473" s="135">
        <v>1269.6984782608695</v>
      </c>
      <c r="AF473" s="135">
        <v>349.62173913043478</v>
      </c>
      <c r="AG473" s="135">
        <v>-429.63</v>
      </c>
      <c r="AH473" s="135">
        <v>8950.3115814469638</v>
      </c>
      <c r="AI473" s="135">
        <v>430.96521739130458</v>
      </c>
      <c r="AJ473" s="135">
        <v>0</v>
      </c>
      <c r="AK473" s="135">
        <v>30.887160564473618</v>
      </c>
      <c r="AL473" s="135">
        <v>0</v>
      </c>
      <c r="AM473" s="135">
        <v>-43.269130434782625</v>
      </c>
      <c r="AN473" s="135">
        <v>115.04205103969753</v>
      </c>
      <c r="AO473" s="135">
        <v>0</v>
      </c>
      <c r="AP473" s="135">
        <v>-23.321003029382496</v>
      </c>
      <c r="AQ473" s="135">
        <v>0</v>
      </c>
      <c r="AR473" s="135">
        <v>32.500869565217393</v>
      </c>
      <c r="AS473" s="135">
        <v>-3.5130434782608972</v>
      </c>
      <c r="AT473" s="135">
        <v>1.1434782608695286</v>
      </c>
      <c r="AU473" s="135">
        <v>-11.908695652173947</v>
      </c>
      <c r="AV473" s="135">
        <v>528.52691394567341</v>
      </c>
      <c r="AW473" s="135"/>
      <c r="AX473" s="164"/>
      <c r="AY473" s="132"/>
      <c r="AZ473" s="135"/>
      <c r="BA473" s="135"/>
    </row>
    <row r="474" spans="1:53" ht="16.5" x14ac:dyDescent="0.3">
      <c r="A474" s="132">
        <v>4139</v>
      </c>
      <c r="B474" s="132">
        <v>7</v>
      </c>
      <c r="C474" s="132" t="s">
        <v>711</v>
      </c>
      <c r="D474" s="133">
        <v>7</v>
      </c>
      <c r="E474" s="163">
        <v>235</v>
      </c>
      <c r="F474" s="135">
        <v>5551.8893617021276</v>
      </c>
      <c r="G474" s="135">
        <v>0</v>
      </c>
      <c r="H474" s="135">
        <v>4.0936170212765957</v>
      </c>
      <c r="I474" s="135">
        <v>0</v>
      </c>
      <c r="J474" s="135">
        <v>105.41574468085106</v>
      </c>
      <c r="K474" s="135">
        <v>1085.1968936170213</v>
      </c>
      <c r="L474" s="135">
        <v>0</v>
      </c>
      <c r="M474" s="135">
        <v>565.61208510638301</v>
      </c>
      <c r="N474" s="135">
        <v>0</v>
      </c>
      <c r="O474" s="135">
        <v>-34.805574468085105</v>
      </c>
      <c r="P474" s="135">
        <v>1348.7986808510636</v>
      </c>
      <c r="Q474" s="135">
        <v>28.184553191489361</v>
      </c>
      <c r="R474" s="135">
        <v>-194.38842553191486</v>
      </c>
      <c r="S474" s="135">
        <v>8459.9969361702133</v>
      </c>
      <c r="T474" s="135"/>
      <c r="U474" s="135">
        <v>6088.2127659574471</v>
      </c>
      <c r="V474" s="135">
        <v>0</v>
      </c>
      <c r="W474" s="135">
        <v>24.780375013361763</v>
      </c>
      <c r="X474" s="135">
        <v>0</v>
      </c>
      <c r="Y474" s="135">
        <v>59.812893617021281</v>
      </c>
      <c r="Z474" s="135">
        <v>1271.0911063829785</v>
      </c>
      <c r="AA474" s="135">
        <v>0</v>
      </c>
      <c r="AB474" s="135">
        <v>553.21393531914896</v>
      </c>
      <c r="AC474" s="135">
        <v>346.89727358830015</v>
      </c>
      <c r="AD474" s="135">
        <v>0</v>
      </c>
      <c r="AE474" s="135">
        <v>1347.7079617021275</v>
      </c>
      <c r="AF474" s="135">
        <v>29.409063829787232</v>
      </c>
      <c r="AG474" s="135">
        <v>-207.14161702127657</v>
      </c>
      <c r="AH474" s="135">
        <v>9513.9837583888966</v>
      </c>
      <c r="AI474" s="135">
        <v>536.32340425531947</v>
      </c>
      <c r="AJ474" s="135">
        <v>0</v>
      </c>
      <c r="AK474" s="135">
        <v>20.686757992085166</v>
      </c>
      <c r="AL474" s="135">
        <v>0</v>
      </c>
      <c r="AM474" s="135">
        <v>-45.602851063829782</v>
      </c>
      <c r="AN474" s="135">
        <v>185.89421276595726</v>
      </c>
      <c r="AO474" s="135">
        <v>0</v>
      </c>
      <c r="AP474" s="135">
        <v>-12.398149787234047</v>
      </c>
      <c r="AQ474" s="135">
        <v>346.89727358830015</v>
      </c>
      <c r="AR474" s="135">
        <v>34.805574468085105</v>
      </c>
      <c r="AS474" s="135">
        <v>-1.0907191489361594</v>
      </c>
      <c r="AT474" s="135">
        <v>1.2245106382978719</v>
      </c>
      <c r="AU474" s="135">
        <v>-12.753191489361711</v>
      </c>
      <c r="AV474" s="135">
        <v>1053.9868277237272</v>
      </c>
      <c r="AW474" s="135"/>
      <c r="AX474" s="132"/>
      <c r="AY474" s="132"/>
      <c r="AZ474" s="155"/>
      <c r="BA474" s="155"/>
    </row>
    <row r="475" spans="1:53" ht="16.5" x14ac:dyDescent="0.3">
      <c r="A475" s="132">
        <v>4140</v>
      </c>
      <c r="B475" s="132">
        <v>7</v>
      </c>
      <c r="C475" s="132" t="s">
        <v>300</v>
      </c>
      <c r="D475" s="133">
        <v>7</v>
      </c>
      <c r="E475" s="163">
        <v>496</v>
      </c>
      <c r="F475" s="135">
        <v>5301.3067741935483</v>
      </c>
      <c r="G475" s="135">
        <v>0</v>
      </c>
      <c r="H475" s="135">
        <v>52.885705645161295</v>
      </c>
      <c r="I475" s="135">
        <v>0</v>
      </c>
      <c r="J475" s="135">
        <v>100.65784274193548</v>
      </c>
      <c r="K475" s="135">
        <v>31.277076612903226</v>
      </c>
      <c r="L475" s="135">
        <v>0</v>
      </c>
      <c r="M475" s="135">
        <v>341.33487903225807</v>
      </c>
      <c r="N475" s="135">
        <v>0</v>
      </c>
      <c r="O475" s="135">
        <v>-33.234657258064516</v>
      </c>
      <c r="P475" s="135">
        <v>1406.9283870967743</v>
      </c>
      <c r="Q475" s="135">
        <v>26.912459677419356</v>
      </c>
      <c r="R475" s="135">
        <v>325.70108870967744</v>
      </c>
      <c r="S475" s="135">
        <v>7553.7695564516125</v>
      </c>
      <c r="T475" s="135"/>
      <c r="U475" s="135">
        <v>5777.9637096774195</v>
      </c>
      <c r="V475" s="135">
        <v>0</v>
      </c>
      <c r="W475" s="135">
        <v>46.684038229588552</v>
      </c>
      <c r="X475" s="135">
        <v>0</v>
      </c>
      <c r="Y475" s="135">
        <v>56.764879032258065</v>
      </c>
      <c r="Z475" s="135">
        <v>37.946539981139438</v>
      </c>
      <c r="AA475" s="135">
        <v>0</v>
      </c>
      <c r="AB475" s="135">
        <v>331.09483266129035</v>
      </c>
      <c r="AC475" s="135">
        <v>29.883012937408559</v>
      </c>
      <c r="AD475" s="135">
        <v>0</v>
      </c>
      <c r="AE475" s="135">
        <v>1404.6204213709677</v>
      </c>
      <c r="AF475" s="135">
        <v>28.081693548387097</v>
      </c>
      <c r="AG475" s="135">
        <v>313.52350806451614</v>
      </c>
      <c r="AH475" s="135">
        <v>8026.5626355029763</v>
      </c>
      <c r="AI475" s="135">
        <v>476.65693548387117</v>
      </c>
      <c r="AJ475" s="135">
        <v>0</v>
      </c>
      <c r="AK475" s="135">
        <v>-6.2016674155727429</v>
      </c>
      <c r="AL475" s="135">
        <v>0</v>
      </c>
      <c r="AM475" s="135">
        <v>-43.892963709677417</v>
      </c>
      <c r="AN475" s="135">
        <v>6.6694633682362117</v>
      </c>
      <c r="AO475" s="135">
        <v>0</v>
      </c>
      <c r="AP475" s="135">
        <v>-10.240046370967718</v>
      </c>
      <c r="AQ475" s="135">
        <v>29.883012937408559</v>
      </c>
      <c r="AR475" s="135">
        <v>33.234657258064516</v>
      </c>
      <c r="AS475" s="135">
        <v>-2.3079657258065254</v>
      </c>
      <c r="AT475" s="135">
        <v>1.1692338709677408</v>
      </c>
      <c r="AU475" s="135">
        <v>-12.177580645161299</v>
      </c>
      <c r="AV475" s="135">
        <v>472.79308081016643</v>
      </c>
      <c r="AW475" s="135"/>
      <c r="AX475" s="132"/>
      <c r="AY475" s="132"/>
      <c r="AZ475" s="155"/>
      <c r="BA475" s="155"/>
    </row>
    <row r="476" spans="1:53" ht="16.5" x14ac:dyDescent="0.3">
      <c r="A476" s="132">
        <v>4141</v>
      </c>
      <c r="B476" s="132">
        <v>7</v>
      </c>
      <c r="C476" s="132" t="s">
        <v>517</v>
      </c>
      <c r="D476" s="133">
        <v>7</v>
      </c>
      <c r="E476" s="163">
        <v>393</v>
      </c>
      <c r="F476" s="135">
        <v>5648.4333842239184</v>
      </c>
      <c r="G476" s="135">
        <v>0</v>
      </c>
      <c r="H476" s="135">
        <v>87.317379134860047</v>
      </c>
      <c r="I476" s="135">
        <v>0</v>
      </c>
      <c r="J476" s="135">
        <v>107.24888040712467</v>
      </c>
      <c r="K476" s="135">
        <v>52.250458015267178</v>
      </c>
      <c r="L476" s="135">
        <v>0</v>
      </c>
      <c r="M476" s="135">
        <v>2181.0202531964733</v>
      </c>
      <c r="N476" s="135">
        <v>0</v>
      </c>
      <c r="O476" s="135">
        <v>-35.410839694656488</v>
      </c>
      <c r="P476" s="135">
        <v>1518.6116030534349</v>
      </c>
      <c r="Q476" s="135">
        <v>28.674656488549616</v>
      </c>
      <c r="R476" s="135">
        <v>353.64531806615776</v>
      </c>
      <c r="S476" s="135">
        <v>9941.7910928911278</v>
      </c>
      <c r="T476" s="135"/>
      <c r="U476" s="135">
        <v>6229.5425954198472</v>
      </c>
      <c r="V476" s="135">
        <v>0</v>
      </c>
      <c r="W476" s="135">
        <v>108.21889137363426</v>
      </c>
      <c r="X476" s="135">
        <v>0</v>
      </c>
      <c r="Y476" s="135">
        <v>61.106106870229013</v>
      </c>
      <c r="Z476" s="135">
        <v>85.967073791348597</v>
      </c>
      <c r="AA476" s="135">
        <v>0</v>
      </c>
      <c r="AB476" s="135">
        <v>2124.210778665426</v>
      </c>
      <c r="AC476" s="135">
        <v>59.842146275946774</v>
      </c>
      <c r="AD476" s="135">
        <v>0</v>
      </c>
      <c r="AE476" s="135">
        <v>1519.4297201017812</v>
      </c>
      <c r="AF476" s="135">
        <v>29.920458015267176</v>
      </c>
      <c r="AG476" s="135">
        <v>340.67035623409669</v>
      </c>
      <c r="AH476" s="135">
        <v>10558.908126747579</v>
      </c>
      <c r="AI476" s="135">
        <v>581.10921119592876</v>
      </c>
      <c r="AJ476" s="135">
        <v>0</v>
      </c>
      <c r="AK476" s="135">
        <v>20.901512238774217</v>
      </c>
      <c r="AL476" s="135">
        <v>0</v>
      </c>
      <c r="AM476" s="135">
        <v>-46.14277353689566</v>
      </c>
      <c r="AN476" s="135">
        <v>33.716615776081419</v>
      </c>
      <c r="AO476" s="135">
        <v>0</v>
      </c>
      <c r="AP476" s="135">
        <v>-56.809474531047272</v>
      </c>
      <c r="AQ476" s="135">
        <v>59.842146275946774</v>
      </c>
      <c r="AR476" s="135">
        <v>35.410839694656488</v>
      </c>
      <c r="AS476" s="135">
        <v>0.81811704834626653</v>
      </c>
      <c r="AT476" s="135">
        <v>1.2458015267175604</v>
      </c>
      <c r="AU476" s="135">
        <v>-12.974961832061069</v>
      </c>
      <c r="AV476" s="135">
        <v>617.11704228123017</v>
      </c>
      <c r="AW476" s="135"/>
      <c r="AX476" s="164"/>
      <c r="AY476" s="132"/>
      <c r="AZ476" s="135"/>
      <c r="BA476" s="135"/>
    </row>
    <row r="477" spans="1:53" ht="16.5" x14ac:dyDescent="0.3">
      <c r="A477" s="132">
        <v>4142</v>
      </c>
      <c r="B477" s="132">
        <v>7</v>
      </c>
      <c r="C477" s="132" t="s">
        <v>621</v>
      </c>
      <c r="D477" s="133">
        <v>7</v>
      </c>
      <c r="E477" s="163">
        <v>473</v>
      </c>
      <c r="F477" s="135">
        <v>5470.4005073995768</v>
      </c>
      <c r="G477" s="135">
        <v>0</v>
      </c>
      <c r="H477" s="135">
        <v>14.098139534883719</v>
      </c>
      <c r="I477" s="135">
        <v>0</v>
      </c>
      <c r="J477" s="135">
        <v>103.86849894291755</v>
      </c>
      <c r="K477" s="135">
        <v>327.17467230443975</v>
      </c>
      <c r="L477" s="135">
        <v>0</v>
      </c>
      <c r="M477" s="135">
        <v>899.97777504756868</v>
      </c>
      <c r="N477" s="135">
        <v>0</v>
      </c>
      <c r="O477" s="135">
        <v>-34.294714587737843</v>
      </c>
      <c r="P477" s="135">
        <v>1471.9293868921775</v>
      </c>
      <c r="Q477" s="135">
        <v>86.22372093023256</v>
      </c>
      <c r="R477" s="135">
        <v>-88.234101479915438</v>
      </c>
      <c r="S477" s="135">
        <v>8251.1438849841434</v>
      </c>
      <c r="T477" s="135"/>
      <c r="U477" s="135">
        <v>5997.6532769556025</v>
      </c>
      <c r="V477" s="135">
        <v>0</v>
      </c>
      <c r="W477" s="135">
        <v>13.9534889049344</v>
      </c>
      <c r="X477" s="135">
        <v>0</v>
      </c>
      <c r="Y477" s="135">
        <v>58.923192389006338</v>
      </c>
      <c r="Z477" s="135">
        <v>413.80773784355182</v>
      </c>
      <c r="AA477" s="135">
        <v>0</v>
      </c>
      <c r="AB477" s="135">
        <v>876.48715039208503</v>
      </c>
      <c r="AC477" s="135">
        <v>141.03274274916782</v>
      </c>
      <c r="AD477" s="135">
        <v>0</v>
      </c>
      <c r="AE477" s="135">
        <v>1465.1505348837209</v>
      </c>
      <c r="AF477" s="135">
        <v>87.43025369978858</v>
      </c>
      <c r="AG477" s="135">
        <v>-100.80010570824524</v>
      </c>
      <c r="AH477" s="135">
        <v>8953.6382721096124</v>
      </c>
      <c r="AI477" s="135">
        <v>527.25276955602567</v>
      </c>
      <c r="AJ477" s="135">
        <v>0</v>
      </c>
      <c r="AK477" s="135">
        <v>-0.14465062994931976</v>
      </c>
      <c r="AL477" s="135">
        <v>0</v>
      </c>
      <c r="AM477" s="135">
        <v>-44.945306553911216</v>
      </c>
      <c r="AN477" s="135">
        <v>86.633065539112067</v>
      </c>
      <c r="AO477" s="135">
        <v>0</v>
      </c>
      <c r="AP477" s="135">
        <v>-23.490624655483657</v>
      </c>
      <c r="AQ477" s="135">
        <v>141.03274274916782</v>
      </c>
      <c r="AR477" s="135">
        <v>34.294714587737843</v>
      </c>
      <c r="AS477" s="135">
        <v>-6.7788520084566244</v>
      </c>
      <c r="AT477" s="135">
        <v>1.20653276955602</v>
      </c>
      <c r="AU477" s="135">
        <v>-12.566004228329803</v>
      </c>
      <c r="AV477" s="135">
        <v>702.49439619369775</v>
      </c>
      <c r="AW477" s="135"/>
      <c r="AX477" s="132"/>
      <c r="AY477" s="132"/>
      <c r="AZ477" s="155"/>
      <c r="BA477" s="155"/>
    </row>
    <row r="478" spans="1:53" ht="16.5" x14ac:dyDescent="0.3">
      <c r="A478" s="132">
        <v>4143</v>
      </c>
      <c r="B478" s="132">
        <v>7</v>
      </c>
      <c r="C478" s="132" t="s">
        <v>713</v>
      </c>
      <c r="D478" s="133">
        <v>7</v>
      </c>
      <c r="E478" s="163">
        <v>450</v>
      </c>
      <c r="F478" s="135">
        <v>5587.4743111111111</v>
      </c>
      <c r="G478" s="135">
        <v>0</v>
      </c>
      <c r="H478" s="135">
        <v>17.706399999999999</v>
      </c>
      <c r="I478" s="135">
        <v>0</v>
      </c>
      <c r="J478" s="135">
        <v>106.09142222222222</v>
      </c>
      <c r="K478" s="135">
        <v>2925.865777777778</v>
      </c>
      <c r="L478" s="135">
        <v>0</v>
      </c>
      <c r="M478" s="135">
        <v>903.43899002033334</v>
      </c>
      <c r="N478" s="135">
        <v>0</v>
      </c>
      <c r="O478" s="135">
        <v>-35.028666666666666</v>
      </c>
      <c r="P478" s="135">
        <v>1503.4274</v>
      </c>
      <c r="Q478" s="135">
        <v>28.365199999999998</v>
      </c>
      <c r="R478" s="135">
        <v>332.38024444444443</v>
      </c>
      <c r="S478" s="135">
        <v>11369.721078909222</v>
      </c>
      <c r="T478" s="135"/>
      <c r="U478" s="135">
        <v>6146</v>
      </c>
      <c r="V478" s="135">
        <v>0</v>
      </c>
      <c r="W478" s="135">
        <v>27.695964650891433</v>
      </c>
      <c r="X478" s="135">
        <v>0</v>
      </c>
      <c r="Y478" s="135">
        <v>60.380600000000001</v>
      </c>
      <c r="Z478" s="135">
        <v>3448.0328444444444</v>
      </c>
      <c r="AA478" s="135">
        <v>0</v>
      </c>
      <c r="AB478" s="135">
        <v>866.60308310941116</v>
      </c>
      <c r="AC478" s="135">
        <v>204.01264571382293</v>
      </c>
      <c r="AD478" s="135">
        <v>0</v>
      </c>
      <c r="AE478" s="135">
        <v>1501.3897555555557</v>
      </c>
      <c r="AF478" s="135">
        <v>29.597555555555555</v>
      </c>
      <c r="AG478" s="135">
        <v>319.54531111111112</v>
      </c>
      <c r="AH478" s="135">
        <v>12603.257760140792</v>
      </c>
      <c r="AI478" s="135">
        <v>558.52568888888891</v>
      </c>
      <c r="AJ478" s="135">
        <v>0</v>
      </c>
      <c r="AK478" s="135">
        <v>9.9895646508914346</v>
      </c>
      <c r="AL478" s="135">
        <v>0</v>
      </c>
      <c r="AM478" s="135">
        <v>-45.71082222222222</v>
      </c>
      <c r="AN478" s="135">
        <v>522.16706666666641</v>
      </c>
      <c r="AO478" s="135">
        <v>0</v>
      </c>
      <c r="AP478" s="135">
        <v>-36.835906910922176</v>
      </c>
      <c r="AQ478" s="135">
        <v>204.01264571382293</v>
      </c>
      <c r="AR478" s="135">
        <v>35.028666666666666</v>
      </c>
      <c r="AS478" s="135">
        <v>-2.0376444444443678</v>
      </c>
      <c r="AT478" s="135">
        <v>1.2323555555555572</v>
      </c>
      <c r="AU478" s="135">
        <v>-12.834933333333311</v>
      </c>
      <c r="AV478" s="135">
        <v>1233.5366867730659</v>
      </c>
      <c r="AW478" s="135"/>
      <c r="AX478" s="164"/>
      <c r="AY478" s="132"/>
      <c r="AZ478" s="135"/>
      <c r="BA478" s="135"/>
    </row>
    <row r="479" spans="1:53" ht="16.5" x14ac:dyDescent="0.3">
      <c r="A479" s="132">
        <v>4144</v>
      </c>
      <c r="B479" s="132">
        <v>7</v>
      </c>
      <c r="C479" s="132" t="s">
        <v>664</v>
      </c>
      <c r="D479" s="133">
        <v>7</v>
      </c>
      <c r="E479" s="163">
        <v>66</v>
      </c>
      <c r="F479" s="135">
        <v>5672.7890909090911</v>
      </c>
      <c r="G479" s="135">
        <v>0</v>
      </c>
      <c r="H479" s="135">
        <v>242.31863636363639</v>
      </c>
      <c r="I479" s="135">
        <v>0</v>
      </c>
      <c r="J479" s="135">
        <v>107.71136363636363</v>
      </c>
      <c r="K479" s="135">
        <v>638.13727272727283</v>
      </c>
      <c r="L479" s="135">
        <v>0</v>
      </c>
      <c r="M479" s="135">
        <v>1740.7281279248482</v>
      </c>
      <c r="N479" s="135">
        <v>0</v>
      </c>
      <c r="O479" s="135">
        <v>-35.563484848484848</v>
      </c>
      <c r="P479" s="135">
        <v>1493.6590909090908</v>
      </c>
      <c r="Q479" s="135">
        <v>192.14075757575759</v>
      </c>
      <c r="R479" s="135">
        <v>-324.38393939393944</v>
      </c>
      <c r="S479" s="135">
        <v>9727.5369158036374</v>
      </c>
      <c r="T479" s="135"/>
      <c r="U479" s="135">
        <v>6298.5872727272726</v>
      </c>
      <c r="V479" s="135">
        <v>0</v>
      </c>
      <c r="W479" s="135">
        <v>206.41736891917719</v>
      </c>
      <c r="X479" s="135">
        <v>0</v>
      </c>
      <c r="Y479" s="135">
        <v>60.018030303030301</v>
      </c>
      <c r="Z479" s="135">
        <v>751.3558172635444</v>
      </c>
      <c r="AA479" s="135">
        <v>0</v>
      </c>
      <c r="AB479" s="135">
        <v>1693.594534097243</v>
      </c>
      <c r="AC479" s="135">
        <v>149.71691330257215</v>
      </c>
      <c r="AD479" s="135">
        <v>0</v>
      </c>
      <c r="AE479" s="135">
        <v>1492.3733333333334</v>
      </c>
      <c r="AF479" s="135">
        <v>193.39196969696971</v>
      </c>
      <c r="AG479" s="135">
        <v>-337.41484848484851</v>
      </c>
      <c r="AH479" s="135">
        <v>10508.040391158294</v>
      </c>
      <c r="AI479" s="135">
        <v>625.79818181818155</v>
      </c>
      <c r="AJ479" s="135">
        <v>0</v>
      </c>
      <c r="AK479" s="135">
        <v>-35.901267444459194</v>
      </c>
      <c r="AL479" s="135">
        <v>0</v>
      </c>
      <c r="AM479" s="135">
        <v>-47.693333333333328</v>
      </c>
      <c r="AN479" s="135">
        <v>113.21854453627157</v>
      </c>
      <c r="AO479" s="135">
        <v>0</v>
      </c>
      <c r="AP479" s="135">
        <v>-47.133593827605182</v>
      </c>
      <c r="AQ479" s="135">
        <v>149.71691330257215</v>
      </c>
      <c r="AR479" s="135">
        <v>35.563484848484848</v>
      </c>
      <c r="AS479" s="135">
        <v>-1.2857575757573159</v>
      </c>
      <c r="AT479" s="135">
        <v>1.2512121212121201</v>
      </c>
      <c r="AU479" s="135">
        <v>-13.030909090909063</v>
      </c>
      <c r="AV479" s="135">
        <v>780.50348047680723</v>
      </c>
      <c r="AW479" s="135"/>
      <c r="AX479" s="132"/>
      <c r="AY479" s="132"/>
      <c r="AZ479" s="155"/>
      <c r="BA479" s="155"/>
    </row>
    <row r="480" spans="1:53" ht="16.5" x14ac:dyDescent="0.3">
      <c r="A480" s="132">
        <v>4145</v>
      </c>
      <c r="B480" s="132">
        <v>7</v>
      </c>
      <c r="C480" s="132" t="s">
        <v>562</v>
      </c>
      <c r="D480" s="133">
        <v>7</v>
      </c>
      <c r="E480" s="163">
        <v>34</v>
      </c>
      <c r="F480" s="135">
        <v>5337.698823529412</v>
      </c>
      <c r="G480" s="135">
        <v>0</v>
      </c>
      <c r="H480" s="135">
        <v>0</v>
      </c>
      <c r="I480" s="135">
        <v>0</v>
      </c>
      <c r="J480" s="135">
        <v>101.34882352941177</v>
      </c>
      <c r="K480" s="135">
        <v>403.10735294117649</v>
      </c>
      <c r="L480" s="135">
        <v>0</v>
      </c>
      <c r="M480" s="135">
        <v>1974.3158823529413</v>
      </c>
      <c r="N480" s="135">
        <v>0</v>
      </c>
      <c r="O480" s="135">
        <v>-33.462941176470586</v>
      </c>
      <c r="P480" s="135">
        <v>1436.2232352941176</v>
      </c>
      <c r="Q480" s="135">
        <v>561.6129411764706</v>
      </c>
      <c r="R480" s="135">
        <v>335.65</v>
      </c>
      <c r="S480" s="135">
        <v>10116.494117647058</v>
      </c>
      <c r="T480" s="135"/>
      <c r="U480" s="135">
        <v>5836.7647058823532</v>
      </c>
      <c r="V480" s="135">
        <v>0</v>
      </c>
      <c r="W480" s="135">
        <v>0</v>
      </c>
      <c r="X480" s="135">
        <v>0</v>
      </c>
      <c r="Y480" s="135">
        <v>57.34264705882353</v>
      </c>
      <c r="Z480" s="135">
        <v>501.08176470588234</v>
      </c>
      <c r="AA480" s="135">
        <v>0</v>
      </c>
      <c r="AB480" s="135">
        <v>1910.4530306946849</v>
      </c>
      <c r="AC480" s="135">
        <v>145.31347467602589</v>
      </c>
      <c r="AD480" s="135">
        <v>0</v>
      </c>
      <c r="AE480" s="135">
        <v>1425.8475000000001</v>
      </c>
      <c r="AF480" s="135">
        <v>562.79029411764702</v>
      </c>
      <c r="AG480" s="135">
        <v>323.38882352941175</v>
      </c>
      <c r="AH480" s="135">
        <v>10762.982240664829</v>
      </c>
      <c r="AI480" s="135">
        <v>499.06588235294112</v>
      </c>
      <c r="AJ480" s="135">
        <v>0</v>
      </c>
      <c r="AK480" s="135">
        <v>0</v>
      </c>
      <c r="AL480" s="135">
        <v>0</v>
      </c>
      <c r="AM480" s="135">
        <v>-44.006176470588244</v>
      </c>
      <c r="AN480" s="135">
        <v>97.974411764705849</v>
      </c>
      <c r="AO480" s="135">
        <v>0</v>
      </c>
      <c r="AP480" s="135">
        <v>-63.862851658256432</v>
      </c>
      <c r="AQ480" s="135">
        <v>145.31347467602589</v>
      </c>
      <c r="AR480" s="135">
        <v>33.462941176470586</v>
      </c>
      <c r="AS480" s="135">
        <v>-10.375735294117476</v>
      </c>
      <c r="AT480" s="135">
        <v>1.177352941176423</v>
      </c>
      <c r="AU480" s="135">
        <v>-12.261176470588225</v>
      </c>
      <c r="AV480" s="135">
        <v>646.48812793386401</v>
      </c>
      <c r="AW480" s="135"/>
      <c r="AX480" s="164"/>
      <c r="AY480" s="132"/>
      <c r="AZ480" s="135"/>
      <c r="BA480" s="135"/>
    </row>
    <row r="481" spans="1:53" ht="16.5" x14ac:dyDescent="0.3">
      <c r="A481" s="132">
        <v>4146</v>
      </c>
      <c r="B481" s="132">
        <v>7</v>
      </c>
      <c r="C481" s="132" t="s">
        <v>714</v>
      </c>
      <c r="D481" s="133">
        <v>7</v>
      </c>
      <c r="E481" s="163">
        <v>100</v>
      </c>
      <c r="F481" s="135">
        <v>6853.8880000000008</v>
      </c>
      <c r="G481" s="135">
        <v>0</v>
      </c>
      <c r="H481" s="135">
        <v>33.038000000000004</v>
      </c>
      <c r="I481" s="135">
        <v>0</v>
      </c>
      <c r="J481" s="135">
        <v>130.13729999999998</v>
      </c>
      <c r="K481" s="135">
        <v>2265.5198999999998</v>
      </c>
      <c r="L481" s="135">
        <v>0</v>
      </c>
      <c r="M481" s="135">
        <v>4198.6778829598006</v>
      </c>
      <c r="N481" s="135">
        <v>0</v>
      </c>
      <c r="O481" s="135">
        <v>-42.968000000000004</v>
      </c>
      <c r="P481" s="135">
        <v>1741.2865999999999</v>
      </c>
      <c r="Q481" s="135">
        <v>363.76510000000002</v>
      </c>
      <c r="R481" s="135">
        <v>-645.96320000000003</v>
      </c>
      <c r="S481" s="135">
        <v>14897.381582959801</v>
      </c>
      <c r="T481" s="135"/>
      <c r="U481" s="135">
        <v>7666.5204000000003</v>
      </c>
      <c r="V481" s="135">
        <v>0</v>
      </c>
      <c r="W481" s="135">
        <v>23.466349131587595</v>
      </c>
      <c r="X481" s="135">
        <v>0</v>
      </c>
      <c r="Y481" s="135">
        <v>73.653300000000002</v>
      </c>
      <c r="Z481" s="135">
        <v>2581.9848000000002</v>
      </c>
      <c r="AA481" s="135">
        <v>0</v>
      </c>
      <c r="AB481" s="135">
        <v>4136.7840144365964</v>
      </c>
      <c r="AC481" s="135">
        <v>0</v>
      </c>
      <c r="AD481" s="135">
        <v>0</v>
      </c>
      <c r="AE481" s="135">
        <v>1739.2619</v>
      </c>
      <c r="AF481" s="135">
        <v>365.27679999999998</v>
      </c>
      <c r="AG481" s="135">
        <v>-661.70720000000006</v>
      </c>
      <c r="AH481" s="135">
        <v>15925.240363568184</v>
      </c>
      <c r="AI481" s="135">
        <v>812.63239999999951</v>
      </c>
      <c r="AJ481" s="135">
        <v>0</v>
      </c>
      <c r="AK481" s="135">
        <v>-9.5716508684124086</v>
      </c>
      <c r="AL481" s="135">
        <v>0</v>
      </c>
      <c r="AM481" s="135">
        <v>-56.48399999999998</v>
      </c>
      <c r="AN481" s="135">
        <v>316.4649000000004</v>
      </c>
      <c r="AO481" s="135">
        <v>0</v>
      </c>
      <c r="AP481" s="135">
        <v>-61.893868523204219</v>
      </c>
      <c r="AQ481" s="135">
        <v>0</v>
      </c>
      <c r="AR481" s="135">
        <v>42.968000000000004</v>
      </c>
      <c r="AS481" s="135">
        <v>-2.0246999999999389</v>
      </c>
      <c r="AT481" s="135">
        <v>1.5116999999999621</v>
      </c>
      <c r="AU481" s="135">
        <v>-15.744000000000028</v>
      </c>
      <c r="AV481" s="135">
        <v>1027.8587833290617</v>
      </c>
      <c r="AW481" s="135"/>
      <c r="AX481" s="164"/>
      <c r="AY481" s="132"/>
      <c r="AZ481" s="135"/>
      <c r="BA481" s="135"/>
    </row>
    <row r="482" spans="1:53" ht="16.5" x14ac:dyDescent="0.3">
      <c r="A482" s="132">
        <v>4150</v>
      </c>
      <c r="B482" s="132">
        <v>7</v>
      </c>
      <c r="C482" s="132" t="s">
        <v>658</v>
      </c>
      <c r="D482" s="133">
        <v>7</v>
      </c>
      <c r="E482" s="163">
        <v>98</v>
      </c>
      <c r="F482" s="135">
        <v>6949.5191836734693</v>
      </c>
      <c r="G482" s="135">
        <v>0</v>
      </c>
      <c r="H482" s="135">
        <v>157.43336734693889</v>
      </c>
      <c r="I482" s="135">
        <v>0</v>
      </c>
      <c r="J482" s="135">
        <v>131.9530612244898</v>
      </c>
      <c r="K482" s="135">
        <v>163.40785714285713</v>
      </c>
      <c r="L482" s="135">
        <v>0</v>
      </c>
      <c r="M482" s="135">
        <v>1552.4921428571427</v>
      </c>
      <c r="N482" s="135">
        <v>0</v>
      </c>
      <c r="O482" s="135">
        <v>-43.56755102040816</v>
      </c>
      <c r="P482" s="135">
        <v>647.06846938775516</v>
      </c>
      <c r="Q482" s="135">
        <v>35.279693877551018</v>
      </c>
      <c r="R482" s="135">
        <v>15.963673469387755</v>
      </c>
      <c r="S482" s="135">
        <v>9609.5498979591866</v>
      </c>
      <c r="T482" s="135"/>
      <c r="U482" s="135">
        <v>7774.2</v>
      </c>
      <c r="V482" s="135">
        <v>0</v>
      </c>
      <c r="W482" s="135">
        <v>161.73168304251885</v>
      </c>
      <c r="X482" s="135">
        <v>0</v>
      </c>
      <c r="Y482" s="135">
        <v>74.272244897959183</v>
      </c>
      <c r="Z482" s="135">
        <v>230.26877551020408</v>
      </c>
      <c r="AA482" s="135">
        <v>0</v>
      </c>
      <c r="AB482" s="135">
        <v>1507.392705630102</v>
      </c>
      <c r="AC482" s="135">
        <v>0</v>
      </c>
      <c r="AD482" s="135">
        <v>0</v>
      </c>
      <c r="AE482" s="135">
        <v>643.52965306122451</v>
      </c>
      <c r="AF482" s="135">
        <v>36.812448979591835</v>
      </c>
      <c r="AG482" s="135">
        <v>0</v>
      </c>
      <c r="AH482" s="135">
        <v>10428.2075111216</v>
      </c>
      <c r="AI482" s="135">
        <v>824.68081632653048</v>
      </c>
      <c r="AJ482" s="135">
        <v>0</v>
      </c>
      <c r="AK482" s="135">
        <v>4.2983156955799586</v>
      </c>
      <c r="AL482" s="135">
        <v>0</v>
      </c>
      <c r="AM482" s="135">
        <v>-57.680816326530618</v>
      </c>
      <c r="AN482" s="135">
        <v>66.860918367346954</v>
      </c>
      <c r="AO482" s="135">
        <v>0</v>
      </c>
      <c r="AP482" s="135">
        <v>-45.099437227040653</v>
      </c>
      <c r="AQ482" s="135">
        <v>0</v>
      </c>
      <c r="AR482" s="135">
        <v>43.56755102040816</v>
      </c>
      <c r="AS482" s="135">
        <v>-3.5388163265306503</v>
      </c>
      <c r="AT482" s="135">
        <v>1.5327551020408166</v>
      </c>
      <c r="AU482" s="135">
        <v>-15.963673469387755</v>
      </c>
      <c r="AV482" s="135">
        <v>818.65762104941939</v>
      </c>
      <c r="AW482" s="135"/>
      <c r="AX482" s="132"/>
      <c r="AY482" s="132"/>
      <c r="AZ482" s="155"/>
      <c r="BA482" s="155"/>
    </row>
    <row r="483" spans="1:53" ht="16.5" x14ac:dyDescent="0.3">
      <c r="A483" s="132">
        <v>4151</v>
      </c>
      <c r="B483" s="132">
        <v>7</v>
      </c>
      <c r="C483" s="132" t="s">
        <v>657</v>
      </c>
      <c r="D483" s="133">
        <v>7</v>
      </c>
      <c r="E483" s="163">
        <v>94</v>
      </c>
      <c r="F483" s="135">
        <v>6791.2000000000007</v>
      </c>
      <c r="G483" s="135">
        <v>0</v>
      </c>
      <c r="H483" s="135">
        <v>104.4845744680851</v>
      </c>
      <c r="I483" s="135">
        <v>0</v>
      </c>
      <c r="J483" s="135">
        <v>128.94702127659576</v>
      </c>
      <c r="K483" s="135">
        <v>409.78819148936168</v>
      </c>
      <c r="L483" s="135">
        <v>0</v>
      </c>
      <c r="M483" s="135">
        <v>831.83680851063832</v>
      </c>
      <c r="N483" s="135">
        <v>0</v>
      </c>
      <c r="O483" s="135">
        <v>-42.575000000000003</v>
      </c>
      <c r="P483" s="135">
        <v>267.31904255319148</v>
      </c>
      <c r="Q483" s="135">
        <v>206.19297872340428</v>
      </c>
      <c r="R483" s="135">
        <v>254.95212765957444</v>
      </c>
      <c r="S483" s="135">
        <v>8952.1457446808508</v>
      </c>
      <c r="T483" s="135"/>
      <c r="U483" s="135">
        <v>7560</v>
      </c>
      <c r="V483" s="135">
        <v>0</v>
      </c>
      <c r="W483" s="135">
        <v>96.577067570285706</v>
      </c>
      <c r="X483" s="135">
        <v>0</v>
      </c>
      <c r="Y483" s="135">
        <v>74.272234042553194</v>
      </c>
      <c r="Z483" s="135">
        <v>513.50606382978719</v>
      </c>
      <c r="AA483" s="135">
        <v>0</v>
      </c>
      <c r="AB483" s="135">
        <v>806.88170425531916</v>
      </c>
      <c r="AC483" s="135">
        <v>0</v>
      </c>
      <c r="AD483" s="135">
        <v>0</v>
      </c>
      <c r="AE483" s="135">
        <v>270.01199999999994</v>
      </c>
      <c r="AF483" s="135">
        <v>207.6908510638298</v>
      </c>
      <c r="AG483" s="135">
        <v>239.35212765957445</v>
      </c>
      <c r="AH483" s="135">
        <v>9768.29204842135</v>
      </c>
      <c r="AI483" s="135">
        <v>768.79999999999927</v>
      </c>
      <c r="AJ483" s="135">
        <v>0</v>
      </c>
      <c r="AK483" s="135">
        <v>-7.9075068977993936</v>
      </c>
      <c r="AL483" s="135">
        <v>0</v>
      </c>
      <c r="AM483" s="135">
        <v>-54.674787234042569</v>
      </c>
      <c r="AN483" s="135">
        <v>103.71787234042552</v>
      </c>
      <c r="AO483" s="135">
        <v>0</v>
      </c>
      <c r="AP483" s="135">
        <v>-24.955104255319156</v>
      </c>
      <c r="AQ483" s="135">
        <v>0</v>
      </c>
      <c r="AR483" s="135">
        <v>42.575000000000003</v>
      </c>
      <c r="AS483" s="135">
        <v>2.6929574468084638</v>
      </c>
      <c r="AT483" s="135">
        <v>1.4978723404255163</v>
      </c>
      <c r="AU483" s="135">
        <v>-15.599999999999994</v>
      </c>
      <c r="AV483" s="135">
        <v>816.14630695855033</v>
      </c>
      <c r="AW483" s="135"/>
      <c r="AX483" s="164"/>
      <c r="AY483" s="132"/>
      <c r="AZ483" s="135"/>
      <c r="BA483" s="135"/>
    </row>
    <row r="484" spans="1:53" ht="16.5" x14ac:dyDescent="0.3">
      <c r="A484" s="132">
        <v>4152</v>
      </c>
      <c r="B484" s="132">
        <v>7</v>
      </c>
      <c r="C484" s="132" t="s">
        <v>318</v>
      </c>
      <c r="D484" s="133">
        <v>7</v>
      </c>
      <c r="E484" s="163">
        <v>308</v>
      </c>
      <c r="F484" s="135">
        <v>5317.4553246753248</v>
      </c>
      <c r="G484" s="135">
        <v>0</v>
      </c>
      <c r="H484" s="135">
        <v>54.412435064935075</v>
      </c>
      <c r="I484" s="135">
        <v>0</v>
      </c>
      <c r="J484" s="135">
        <v>100.96448051948052</v>
      </c>
      <c r="K484" s="135">
        <v>73.896071428571432</v>
      </c>
      <c r="L484" s="135">
        <v>0</v>
      </c>
      <c r="M484" s="135">
        <v>879.05149175506506</v>
      </c>
      <c r="N484" s="135">
        <v>0</v>
      </c>
      <c r="O484" s="135">
        <v>-33.335876623376627</v>
      </c>
      <c r="P484" s="135">
        <v>1430.7761688311689</v>
      </c>
      <c r="Q484" s="135">
        <v>26.994448051948051</v>
      </c>
      <c r="R484" s="135">
        <v>113.3387987012987</v>
      </c>
      <c r="S484" s="135">
        <v>7963.5533424044161</v>
      </c>
      <c r="T484" s="135"/>
      <c r="U484" s="135">
        <v>5796.8181818181811</v>
      </c>
      <c r="V484" s="135">
        <v>0</v>
      </c>
      <c r="W484" s="135">
        <v>45.913308225091889</v>
      </c>
      <c r="X484" s="135">
        <v>0</v>
      </c>
      <c r="Y484" s="135">
        <v>56.950097402597407</v>
      </c>
      <c r="Z484" s="135">
        <v>95.275315820543085</v>
      </c>
      <c r="AA484" s="135">
        <v>0</v>
      </c>
      <c r="AB484" s="135">
        <v>848.87362746953625</v>
      </c>
      <c r="AC484" s="135">
        <v>57.855566288813776</v>
      </c>
      <c r="AD484" s="135">
        <v>0</v>
      </c>
      <c r="AE484" s="135">
        <v>1416.0890714285715</v>
      </c>
      <c r="AF484" s="135">
        <v>28.167240259740257</v>
      </c>
      <c r="AG484" s="135">
        <v>101.12412337662337</v>
      </c>
      <c r="AH484" s="135">
        <v>8447.0665320896987</v>
      </c>
      <c r="AI484" s="135">
        <v>479.36285714285623</v>
      </c>
      <c r="AJ484" s="135">
        <v>0</v>
      </c>
      <c r="AK484" s="135">
        <v>-8.4991268398431856</v>
      </c>
      <c r="AL484" s="135">
        <v>0</v>
      </c>
      <c r="AM484" s="135">
        <v>-44.01438311688311</v>
      </c>
      <c r="AN484" s="135">
        <v>21.379244391971653</v>
      </c>
      <c r="AO484" s="135">
        <v>0</v>
      </c>
      <c r="AP484" s="135">
        <v>-30.177864285528813</v>
      </c>
      <c r="AQ484" s="135">
        <v>57.855566288813776</v>
      </c>
      <c r="AR484" s="135">
        <v>33.335876623376627</v>
      </c>
      <c r="AS484" s="135">
        <v>-14.687097402597374</v>
      </c>
      <c r="AT484" s="135">
        <v>1.1727922077922059</v>
      </c>
      <c r="AU484" s="135">
        <v>-12.214675324675326</v>
      </c>
      <c r="AV484" s="135">
        <v>483.51319783514998</v>
      </c>
      <c r="AW484" s="135"/>
      <c r="AX484" s="164"/>
      <c r="AY484" s="132"/>
      <c r="AZ484" s="135"/>
      <c r="BA484" s="135"/>
    </row>
    <row r="485" spans="1:53" ht="16.5" x14ac:dyDescent="0.3">
      <c r="A485" s="132">
        <v>4153</v>
      </c>
      <c r="B485" s="132">
        <v>7</v>
      </c>
      <c r="C485" s="132" t="s">
        <v>715</v>
      </c>
      <c r="D485" s="133">
        <v>7</v>
      </c>
      <c r="E485" s="163">
        <v>320</v>
      </c>
      <c r="F485" s="135">
        <v>5482.09825</v>
      </c>
      <c r="G485" s="135">
        <v>0</v>
      </c>
      <c r="H485" s="135">
        <v>43.912374999999997</v>
      </c>
      <c r="I485" s="135">
        <v>0</v>
      </c>
      <c r="J485" s="135">
        <v>104.09059375</v>
      </c>
      <c r="K485" s="135">
        <v>3391.8303124999998</v>
      </c>
      <c r="L485" s="135">
        <v>0</v>
      </c>
      <c r="M485" s="135">
        <v>456.56326323049996</v>
      </c>
      <c r="N485" s="135">
        <v>0</v>
      </c>
      <c r="O485" s="135">
        <v>-34.368062500000001</v>
      </c>
      <c r="P485" s="135">
        <v>1420.28940625</v>
      </c>
      <c r="Q485" s="135">
        <v>27.830249999999999</v>
      </c>
      <c r="R485" s="135">
        <v>318.8083125</v>
      </c>
      <c r="S485" s="135">
        <v>11211.054700730501</v>
      </c>
      <c r="T485" s="135"/>
      <c r="U485" s="135">
        <v>6034.21875</v>
      </c>
      <c r="V485" s="135">
        <v>0</v>
      </c>
      <c r="W485" s="135">
        <v>29.787010532994628</v>
      </c>
      <c r="X485" s="135">
        <v>0</v>
      </c>
      <c r="Y485" s="135">
        <v>59.282406249999994</v>
      </c>
      <c r="Z485" s="135">
        <v>3826.7609374999997</v>
      </c>
      <c r="AA485" s="135">
        <v>0</v>
      </c>
      <c r="AB485" s="135">
        <v>446.26346978163502</v>
      </c>
      <c r="AC485" s="135">
        <v>247.03290694924402</v>
      </c>
      <c r="AD485" s="135">
        <v>0</v>
      </c>
      <c r="AE485" s="135">
        <v>1418.6486406249999</v>
      </c>
      <c r="AF485" s="135">
        <v>29.039375</v>
      </c>
      <c r="AG485" s="135">
        <v>306.21543750000001</v>
      </c>
      <c r="AH485" s="135">
        <v>12397.248934138875</v>
      </c>
      <c r="AI485" s="135">
        <v>552.12049999999999</v>
      </c>
      <c r="AJ485" s="135">
        <v>0</v>
      </c>
      <c r="AK485" s="135">
        <v>-14.125364467005369</v>
      </c>
      <c r="AL485" s="135">
        <v>0</v>
      </c>
      <c r="AM485" s="135">
        <v>-44.808187500000003</v>
      </c>
      <c r="AN485" s="135">
        <v>434.93062499999996</v>
      </c>
      <c r="AO485" s="135">
        <v>0</v>
      </c>
      <c r="AP485" s="135">
        <v>-10.299793448864932</v>
      </c>
      <c r="AQ485" s="135">
        <v>247.03290694924402</v>
      </c>
      <c r="AR485" s="135">
        <v>34.368062500000001</v>
      </c>
      <c r="AS485" s="135">
        <v>-1.6407656250000855</v>
      </c>
      <c r="AT485" s="135">
        <v>1.2091250000000002</v>
      </c>
      <c r="AU485" s="135">
        <v>-12.592874999999992</v>
      </c>
      <c r="AV485" s="135">
        <v>1186.1942382929385</v>
      </c>
      <c r="AW485" s="135"/>
      <c r="AX485" s="132"/>
      <c r="AY485" s="132"/>
      <c r="AZ485" s="155"/>
      <c r="BA485" s="155"/>
    </row>
    <row r="486" spans="1:53" ht="16.5" x14ac:dyDescent="0.3">
      <c r="A486" s="132">
        <v>4155</v>
      </c>
      <c r="B486" s="132">
        <v>7</v>
      </c>
      <c r="C486" s="132" t="s">
        <v>716</v>
      </c>
      <c r="D486" s="133">
        <v>7</v>
      </c>
      <c r="E486" s="163">
        <v>119</v>
      </c>
      <c r="F486" s="135">
        <v>5345.6006722689071</v>
      </c>
      <c r="G486" s="135">
        <v>0</v>
      </c>
      <c r="H486" s="135">
        <v>0</v>
      </c>
      <c r="I486" s="135">
        <v>0</v>
      </c>
      <c r="J486" s="135">
        <v>101.49890756302521</v>
      </c>
      <c r="K486" s="135">
        <v>3398.9529411764706</v>
      </c>
      <c r="L486" s="135">
        <v>0</v>
      </c>
      <c r="M486" s="135">
        <v>1057.4601896287729</v>
      </c>
      <c r="N486" s="135">
        <v>0</v>
      </c>
      <c r="O486" s="135">
        <v>-33.512352941176466</v>
      </c>
      <c r="P486" s="135">
        <v>1117.9795798319328</v>
      </c>
      <c r="Q486" s="135">
        <v>300.86403361344537</v>
      </c>
      <c r="R486" s="135">
        <v>-470.74201680672275</v>
      </c>
      <c r="S486" s="135">
        <v>10818.101954334656</v>
      </c>
      <c r="T486" s="135"/>
      <c r="U486" s="135">
        <v>5876.4705882352937</v>
      </c>
      <c r="V486" s="135">
        <v>0</v>
      </c>
      <c r="W486" s="135">
        <v>0</v>
      </c>
      <c r="X486" s="135">
        <v>0</v>
      </c>
      <c r="Y486" s="135">
        <v>57.732605042016807</v>
      </c>
      <c r="Z486" s="135">
        <v>3827.0354621848737</v>
      </c>
      <c r="AA486" s="135">
        <v>0</v>
      </c>
      <c r="AB486" s="135">
        <v>1027.5315961800982</v>
      </c>
      <c r="AC486" s="135">
        <v>262.67234314209486</v>
      </c>
      <c r="AD486" s="135">
        <v>0</v>
      </c>
      <c r="AE486" s="135">
        <v>1117.4463025210084</v>
      </c>
      <c r="AF486" s="135">
        <v>302.04302521008401</v>
      </c>
      <c r="AG486" s="135">
        <v>-483.02134453781514</v>
      </c>
      <c r="AH486" s="135">
        <v>11987.910577977653</v>
      </c>
      <c r="AI486" s="135">
        <v>530.86991596638654</v>
      </c>
      <c r="AJ486" s="135">
        <v>0</v>
      </c>
      <c r="AK486" s="135">
        <v>0</v>
      </c>
      <c r="AL486" s="135">
        <v>0</v>
      </c>
      <c r="AM486" s="135">
        <v>-43.766302521008406</v>
      </c>
      <c r="AN486" s="135">
        <v>428.08252100840309</v>
      </c>
      <c r="AO486" s="135">
        <v>0</v>
      </c>
      <c r="AP486" s="135">
        <v>-29.928593448674746</v>
      </c>
      <c r="AQ486" s="135">
        <v>262.67234314209486</v>
      </c>
      <c r="AR486" s="135">
        <v>33.512352941176466</v>
      </c>
      <c r="AS486" s="135">
        <v>-0.53327731092440445</v>
      </c>
      <c r="AT486" s="135">
        <v>1.1789915966386388</v>
      </c>
      <c r="AU486" s="135">
        <v>-12.279327731092394</v>
      </c>
      <c r="AV486" s="135">
        <v>1169.8086297869572</v>
      </c>
      <c r="AW486" s="135"/>
      <c r="AX486" s="164"/>
      <c r="AY486" s="132"/>
      <c r="AZ486" s="135"/>
      <c r="BA486" s="135"/>
    </row>
    <row r="487" spans="1:53" ht="16.5" x14ac:dyDescent="0.3">
      <c r="A487" s="132">
        <v>4159</v>
      </c>
      <c r="B487" s="132">
        <v>7</v>
      </c>
      <c r="C487" s="132" t="s">
        <v>321</v>
      </c>
      <c r="D487" s="133">
        <v>7</v>
      </c>
      <c r="E487" s="163">
        <v>435</v>
      </c>
      <c r="F487" s="135">
        <v>5203.2240919540227</v>
      </c>
      <c r="G487" s="135">
        <v>0</v>
      </c>
      <c r="H487" s="135">
        <v>8.9019770114942531</v>
      </c>
      <c r="I487" s="135">
        <v>0</v>
      </c>
      <c r="J487" s="135">
        <v>98.795517241379315</v>
      </c>
      <c r="K487" s="135">
        <v>150.51816091954021</v>
      </c>
      <c r="L487" s="135">
        <v>0</v>
      </c>
      <c r="M487" s="135">
        <v>1591.3037577812277</v>
      </c>
      <c r="N487" s="135">
        <v>0</v>
      </c>
      <c r="O487" s="135">
        <v>-32.619747126436785</v>
      </c>
      <c r="P487" s="135">
        <v>1394.8832413793104</v>
      </c>
      <c r="Q487" s="135">
        <v>26.414528735632182</v>
      </c>
      <c r="R487" s="135">
        <v>391.79298850574713</v>
      </c>
      <c r="S487" s="135">
        <v>8833.2145164019166</v>
      </c>
      <c r="T487" s="135"/>
      <c r="U487" s="135">
        <v>5648.2758620689656</v>
      </c>
      <c r="V487" s="135">
        <v>0</v>
      </c>
      <c r="W487" s="135">
        <v>15.848530387380604</v>
      </c>
      <c r="X487" s="135">
        <v>0</v>
      </c>
      <c r="Y487" s="135">
        <v>55.490758620689654</v>
      </c>
      <c r="Z487" s="135">
        <v>201.98628405337561</v>
      </c>
      <c r="AA487" s="135">
        <v>0</v>
      </c>
      <c r="AB487" s="135">
        <v>1543.1554573978258</v>
      </c>
      <c r="AC487" s="135">
        <v>68.147008813584577</v>
      </c>
      <c r="AD487" s="135">
        <v>0</v>
      </c>
      <c r="AE487" s="135">
        <v>1379.8020689655173</v>
      </c>
      <c r="AF487" s="135">
        <v>27.562137931034481</v>
      </c>
      <c r="AG487" s="135">
        <v>379.84071264367816</v>
      </c>
      <c r="AH487" s="135">
        <v>9320.1088208820511</v>
      </c>
      <c r="AI487" s="135">
        <v>445.05177011494288</v>
      </c>
      <c r="AJ487" s="135">
        <v>0</v>
      </c>
      <c r="AK487" s="135">
        <v>6.9465533758863511</v>
      </c>
      <c r="AL487" s="135">
        <v>0</v>
      </c>
      <c r="AM487" s="135">
        <v>-43.304758620689661</v>
      </c>
      <c r="AN487" s="135">
        <v>51.468123133835405</v>
      </c>
      <c r="AO487" s="135">
        <v>0</v>
      </c>
      <c r="AP487" s="135">
        <v>-48.148300383401875</v>
      </c>
      <c r="AQ487" s="135">
        <v>68.147008813584577</v>
      </c>
      <c r="AR487" s="135">
        <v>32.619747126436785</v>
      </c>
      <c r="AS487" s="135">
        <v>-15.081172413793183</v>
      </c>
      <c r="AT487" s="135">
        <v>1.1476091954022998</v>
      </c>
      <c r="AU487" s="135">
        <v>-11.952275862068973</v>
      </c>
      <c r="AV487" s="135">
        <v>486.89430579291474</v>
      </c>
      <c r="AW487" s="135"/>
      <c r="AX487" s="164"/>
      <c r="AY487" s="132"/>
      <c r="AZ487" s="135"/>
      <c r="BA487" s="135"/>
    </row>
    <row r="488" spans="1:53" ht="16.5" x14ac:dyDescent="0.3">
      <c r="A488" s="132">
        <v>4160</v>
      </c>
      <c r="B488" s="132">
        <v>7</v>
      </c>
      <c r="C488" s="132" t="s">
        <v>614</v>
      </c>
      <c r="D488" s="133">
        <v>7</v>
      </c>
      <c r="E488" s="163">
        <v>490</v>
      </c>
      <c r="F488" s="135">
        <v>6599.2979591836738</v>
      </c>
      <c r="G488" s="135">
        <v>0</v>
      </c>
      <c r="H488" s="135">
        <v>136.21038775510203</v>
      </c>
      <c r="I488" s="135">
        <v>0</v>
      </c>
      <c r="J488" s="135">
        <v>125.30328571428572</v>
      </c>
      <c r="K488" s="135">
        <v>95.394857142857148</v>
      </c>
      <c r="L488" s="135">
        <v>0</v>
      </c>
      <c r="M488" s="135">
        <v>288.3152653061224</v>
      </c>
      <c r="N488" s="135">
        <v>0</v>
      </c>
      <c r="O488" s="135">
        <v>-41.371938775510202</v>
      </c>
      <c r="P488" s="135">
        <v>1535.8985714285714</v>
      </c>
      <c r="Q488" s="135">
        <v>68.494244897959192</v>
      </c>
      <c r="R488" s="135">
        <v>213.62063265306122</v>
      </c>
      <c r="S488" s="135">
        <v>9021.1632653061242</v>
      </c>
      <c r="T488" s="135"/>
      <c r="U488" s="135">
        <v>7367.1428571428569</v>
      </c>
      <c r="V488" s="135">
        <v>0</v>
      </c>
      <c r="W488" s="135">
        <v>100.09423035683369</v>
      </c>
      <c r="X488" s="135">
        <v>0</v>
      </c>
      <c r="Y488" s="135">
        <v>72.377551020408163</v>
      </c>
      <c r="Z488" s="135">
        <v>137.252306122449</v>
      </c>
      <c r="AA488" s="135">
        <v>0</v>
      </c>
      <c r="AB488" s="135">
        <v>279.66580734693878</v>
      </c>
      <c r="AC488" s="135">
        <v>0</v>
      </c>
      <c r="AD488" s="135">
        <v>0</v>
      </c>
      <c r="AE488" s="135">
        <v>1539.2572653061222</v>
      </c>
      <c r="AF488" s="135">
        <v>69.949775510204091</v>
      </c>
      <c r="AG488" s="135">
        <v>198.46144897959184</v>
      </c>
      <c r="AH488" s="135">
        <v>9764.2012417854039</v>
      </c>
      <c r="AI488" s="135">
        <v>767.84489795918307</v>
      </c>
      <c r="AJ488" s="135">
        <v>0</v>
      </c>
      <c r="AK488" s="135">
        <v>-36.116157398268342</v>
      </c>
      <c r="AL488" s="135">
        <v>0</v>
      </c>
      <c r="AM488" s="135">
        <v>-52.925734693877558</v>
      </c>
      <c r="AN488" s="135">
        <v>41.857448979591851</v>
      </c>
      <c r="AO488" s="135">
        <v>0</v>
      </c>
      <c r="AP488" s="135">
        <v>-8.6494579591836214</v>
      </c>
      <c r="AQ488" s="135">
        <v>0</v>
      </c>
      <c r="AR488" s="135">
        <v>41.371938775510202</v>
      </c>
      <c r="AS488" s="135">
        <v>3.358693877550877</v>
      </c>
      <c r="AT488" s="135">
        <v>1.4555306122448997</v>
      </c>
      <c r="AU488" s="135">
        <v>-15.159183673469386</v>
      </c>
      <c r="AV488" s="135">
        <v>743.03798563338557</v>
      </c>
      <c r="AW488" s="135"/>
      <c r="AX488" s="132"/>
      <c r="AY488" s="132"/>
      <c r="AZ488" s="155"/>
      <c r="BA488" s="155"/>
    </row>
    <row r="489" spans="1:53" ht="16.5" x14ac:dyDescent="0.3">
      <c r="A489" s="132">
        <v>4161</v>
      </c>
      <c r="B489" s="132">
        <v>7</v>
      </c>
      <c r="C489" s="132" t="s">
        <v>665</v>
      </c>
      <c r="D489" s="133">
        <v>7</v>
      </c>
      <c r="E489" s="163">
        <v>176</v>
      </c>
      <c r="F489" s="135">
        <v>5363.2077272727274</v>
      </c>
      <c r="G489" s="135">
        <v>0</v>
      </c>
      <c r="H489" s="135">
        <v>202.25437500000001</v>
      </c>
      <c r="I489" s="135">
        <v>0</v>
      </c>
      <c r="J489" s="135">
        <v>101.83318181818181</v>
      </c>
      <c r="K489" s="135">
        <v>871.90448863636368</v>
      </c>
      <c r="L489" s="135">
        <v>0</v>
      </c>
      <c r="M489" s="135">
        <v>2266.3581903846361</v>
      </c>
      <c r="N489" s="135">
        <v>0</v>
      </c>
      <c r="O489" s="135">
        <v>-33.622727272727275</v>
      </c>
      <c r="P489" s="135">
        <v>1437.0868181818182</v>
      </c>
      <c r="Q489" s="135">
        <v>119.07062500000001</v>
      </c>
      <c r="R489" s="135">
        <v>10.118693181818216</v>
      </c>
      <c r="S489" s="135">
        <v>10338.211372202819</v>
      </c>
      <c r="T489" s="135"/>
      <c r="U489" s="135">
        <v>5903.73</v>
      </c>
      <c r="V489" s="135">
        <v>0</v>
      </c>
      <c r="W489" s="135">
        <v>183.38322822620697</v>
      </c>
      <c r="X489" s="135">
        <v>0</v>
      </c>
      <c r="Y489" s="135">
        <v>57.673522727272733</v>
      </c>
      <c r="Z489" s="135">
        <v>1040.1459090909091</v>
      </c>
      <c r="AA489" s="135">
        <v>0</v>
      </c>
      <c r="AB489" s="135">
        <v>2209.6897569087023</v>
      </c>
      <c r="AC489" s="135">
        <v>196.50344870962593</v>
      </c>
      <c r="AD489" s="135">
        <v>0</v>
      </c>
      <c r="AE489" s="135">
        <v>1434.0775000000001</v>
      </c>
      <c r="AF489" s="135">
        <v>120.25352272727274</v>
      </c>
      <c r="AG489" s="135">
        <v>-2.2010795454544905</v>
      </c>
      <c r="AH489" s="135">
        <v>11143.255808844533</v>
      </c>
      <c r="AI489" s="135">
        <v>540.52227272727214</v>
      </c>
      <c r="AJ489" s="135">
        <v>0</v>
      </c>
      <c r="AK489" s="135">
        <v>-18.871146773793043</v>
      </c>
      <c r="AL489" s="135">
        <v>0</v>
      </c>
      <c r="AM489" s="135">
        <v>-44.159659090909081</v>
      </c>
      <c r="AN489" s="135">
        <v>168.24142045454539</v>
      </c>
      <c r="AO489" s="135">
        <v>0</v>
      </c>
      <c r="AP489" s="135">
        <v>-56.668433475933853</v>
      </c>
      <c r="AQ489" s="135">
        <v>196.50344870962593</v>
      </c>
      <c r="AR489" s="135">
        <v>33.622727272727275</v>
      </c>
      <c r="AS489" s="135">
        <v>-3.0093181818181165</v>
      </c>
      <c r="AT489" s="135">
        <v>1.1828977272727315</v>
      </c>
      <c r="AU489" s="135">
        <v>-12.319772727272706</v>
      </c>
      <c r="AV489" s="135">
        <v>805.04443935909762</v>
      </c>
      <c r="AW489" s="135"/>
      <c r="AX489" s="132"/>
      <c r="AY489" s="132"/>
      <c r="AZ489" s="155"/>
      <c r="BA489" s="155"/>
    </row>
    <row r="490" spans="1:53" ht="16.5" x14ac:dyDescent="0.3">
      <c r="A490" s="132">
        <v>4162</v>
      </c>
      <c r="B490" s="132">
        <v>7</v>
      </c>
      <c r="C490" s="132" t="s">
        <v>667</v>
      </c>
      <c r="D490" s="133">
        <v>7</v>
      </c>
      <c r="E490" s="163">
        <v>114</v>
      </c>
      <c r="F490" s="135">
        <v>5664.3740350877197</v>
      </c>
      <c r="G490" s="135">
        <v>0</v>
      </c>
      <c r="H490" s="135">
        <v>0.92780701754385964</v>
      </c>
      <c r="I490" s="135">
        <v>0</v>
      </c>
      <c r="J490" s="135">
        <v>107.55157894736841</v>
      </c>
      <c r="K490" s="135">
        <v>862.0498245614034</v>
      </c>
      <c r="L490" s="135">
        <v>0</v>
      </c>
      <c r="M490" s="135">
        <v>497.26789473684209</v>
      </c>
      <c r="N490" s="135">
        <v>0</v>
      </c>
      <c r="O490" s="135">
        <v>-35.510789473684213</v>
      </c>
      <c r="P490" s="135">
        <v>1407.1747368421052</v>
      </c>
      <c r="Q490" s="135">
        <v>28.755526315789474</v>
      </c>
      <c r="R490" s="135">
        <v>-181.04894736842101</v>
      </c>
      <c r="S490" s="135">
        <v>8351.5416666666679</v>
      </c>
      <c r="T490" s="135"/>
      <c r="U490" s="135">
        <v>6244.7368421052633</v>
      </c>
      <c r="V490" s="135">
        <v>0</v>
      </c>
      <c r="W490" s="135">
        <v>1.8806164345598011</v>
      </c>
      <c r="X490" s="135">
        <v>0</v>
      </c>
      <c r="Y490" s="135">
        <v>61.350614035087723</v>
      </c>
      <c r="Z490" s="135">
        <v>1008.4930578639581</v>
      </c>
      <c r="AA490" s="135">
        <v>0</v>
      </c>
      <c r="AB490" s="135">
        <v>482.34985789473683</v>
      </c>
      <c r="AC490" s="135">
        <v>151.6868726881323</v>
      </c>
      <c r="AD490" s="135">
        <v>0</v>
      </c>
      <c r="AE490" s="135">
        <v>1407.2467543859648</v>
      </c>
      <c r="AF490" s="135">
        <v>30.00482456140351</v>
      </c>
      <c r="AG490" s="135">
        <v>-194.06052631578945</v>
      </c>
      <c r="AH490" s="135">
        <v>9193.6889136533155</v>
      </c>
      <c r="AI490" s="135">
        <v>580.36280701754367</v>
      </c>
      <c r="AJ490" s="135">
        <v>0</v>
      </c>
      <c r="AK490" s="135">
        <v>0.95280941701594146</v>
      </c>
      <c r="AL490" s="135">
        <v>0</v>
      </c>
      <c r="AM490" s="135">
        <v>-46.200964912280689</v>
      </c>
      <c r="AN490" s="135">
        <v>146.44323330255475</v>
      </c>
      <c r="AO490" s="135">
        <v>0</v>
      </c>
      <c r="AP490" s="135">
        <v>-14.918036842105266</v>
      </c>
      <c r="AQ490" s="135">
        <v>151.6868726881323</v>
      </c>
      <c r="AR490" s="135">
        <v>35.510789473684213</v>
      </c>
      <c r="AS490" s="135">
        <v>7.2017543859601574E-2</v>
      </c>
      <c r="AT490" s="135">
        <v>1.2492982456140354</v>
      </c>
      <c r="AU490" s="135">
        <v>-13.011578947368434</v>
      </c>
      <c r="AV490" s="135">
        <v>842.14724915879731</v>
      </c>
      <c r="AW490" s="135"/>
      <c r="AX490" s="132"/>
      <c r="AY490" s="132"/>
      <c r="AZ490" s="155"/>
      <c r="BA490" s="155"/>
    </row>
    <row r="491" spans="1:53" ht="16.5" x14ac:dyDescent="0.3">
      <c r="A491" s="132">
        <v>4163</v>
      </c>
      <c r="B491" s="132">
        <v>7</v>
      </c>
      <c r="C491" s="132" t="s">
        <v>253</v>
      </c>
      <c r="D491" s="133">
        <v>7</v>
      </c>
      <c r="E491" s="163">
        <v>268</v>
      </c>
      <c r="F491" s="135">
        <v>5684.0238805970148</v>
      </c>
      <c r="G491" s="135">
        <v>0</v>
      </c>
      <c r="H491" s="135">
        <v>40.563507462686566</v>
      </c>
      <c r="I491" s="135">
        <v>0</v>
      </c>
      <c r="J491" s="135">
        <v>107.92462686567164</v>
      </c>
      <c r="K491" s="135">
        <v>3009.0013805970148</v>
      </c>
      <c r="L491" s="135">
        <v>0</v>
      </c>
      <c r="M491" s="135">
        <v>1642.3044117276418</v>
      </c>
      <c r="N491" s="135">
        <v>0</v>
      </c>
      <c r="O491" s="135">
        <v>-35.633955223880598</v>
      </c>
      <c r="P491" s="135">
        <v>1529.4093656716418</v>
      </c>
      <c r="Q491" s="135">
        <v>28.855335820895522</v>
      </c>
      <c r="R491" s="135">
        <v>283.57152985074629</v>
      </c>
      <c r="S491" s="135">
        <v>12290.020083369431</v>
      </c>
      <c r="T491" s="135"/>
      <c r="U491" s="135">
        <v>6260.0373134328356</v>
      </c>
      <c r="V491" s="135">
        <v>0</v>
      </c>
      <c r="W491" s="135">
        <v>52.592705749712579</v>
      </c>
      <c r="X491" s="135">
        <v>0</v>
      </c>
      <c r="Y491" s="135">
        <v>61.500932835820898</v>
      </c>
      <c r="Z491" s="135">
        <v>2628.426417910448</v>
      </c>
      <c r="AA491" s="135">
        <v>0</v>
      </c>
      <c r="AB491" s="135">
        <v>1597.6342990473931</v>
      </c>
      <c r="AC491" s="135">
        <v>92.176457816882106</v>
      </c>
      <c r="AD491" s="135">
        <v>0</v>
      </c>
      <c r="AE491" s="135">
        <v>1529.2476231343285</v>
      </c>
      <c r="AF491" s="135">
        <v>30.108992537313434</v>
      </c>
      <c r="AG491" s="135">
        <v>270.51481343283581</v>
      </c>
      <c r="AH491" s="135">
        <v>12522.23955589757</v>
      </c>
      <c r="AI491" s="135">
        <v>576.01343283582082</v>
      </c>
      <c r="AJ491" s="135">
        <v>0</v>
      </c>
      <c r="AK491" s="135">
        <v>12.029198287026013</v>
      </c>
      <c r="AL491" s="135">
        <v>0</v>
      </c>
      <c r="AM491" s="135">
        <v>-46.423694029850743</v>
      </c>
      <c r="AN491" s="135">
        <v>-380.57496268656678</v>
      </c>
      <c r="AO491" s="135">
        <v>0</v>
      </c>
      <c r="AP491" s="135">
        <v>-44.670112680248621</v>
      </c>
      <c r="AQ491" s="135">
        <v>92.176457816882106</v>
      </c>
      <c r="AR491" s="135">
        <v>35.633955223880598</v>
      </c>
      <c r="AS491" s="135">
        <v>-0.1617425373133301</v>
      </c>
      <c r="AT491" s="135">
        <v>1.2536567164179111</v>
      </c>
      <c r="AU491" s="135">
        <v>-13.056716417910479</v>
      </c>
      <c r="AV491" s="135">
        <v>232.21947774198242</v>
      </c>
      <c r="AW491" s="135"/>
      <c r="AX491" s="132"/>
      <c r="AY491" s="132"/>
      <c r="AZ491" s="155"/>
      <c r="BA491" s="155"/>
    </row>
    <row r="492" spans="1:53" ht="16.5" x14ac:dyDescent="0.3">
      <c r="A492" s="132">
        <v>4164</v>
      </c>
      <c r="B492" s="132">
        <v>7</v>
      </c>
      <c r="C492" s="132" t="s">
        <v>259</v>
      </c>
      <c r="D492" s="133">
        <v>7</v>
      </c>
      <c r="E492" s="163">
        <v>200</v>
      </c>
      <c r="F492" s="135">
        <v>6301.1887999999999</v>
      </c>
      <c r="G492" s="135">
        <v>0</v>
      </c>
      <c r="H492" s="135">
        <v>136.19114999999999</v>
      </c>
      <c r="I492" s="135">
        <v>0</v>
      </c>
      <c r="J492" s="135">
        <v>119.64299999999999</v>
      </c>
      <c r="K492" s="135">
        <v>820.90689999999995</v>
      </c>
      <c r="L492" s="135">
        <v>0</v>
      </c>
      <c r="M492" s="135">
        <v>1307.9399363271402</v>
      </c>
      <c r="N492" s="135">
        <v>0</v>
      </c>
      <c r="O492" s="135">
        <v>-39.503050000000002</v>
      </c>
      <c r="P492" s="135">
        <v>1665.2069000000001</v>
      </c>
      <c r="Q492" s="135">
        <v>31.988399999999999</v>
      </c>
      <c r="R492" s="135">
        <v>285.71355</v>
      </c>
      <c r="S492" s="135">
        <v>10629.27558632714</v>
      </c>
      <c r="T492" s="135"/>
      <c r="U492" s="135">
        <v>7107.2064</v>
      </c>
      <c r="V492" s="135">
        <v>0</v>
      </c>
      <c r="W492" s="135">
        <v>94.605873401474412</v>
      </c>
      <c r="X492" s="135">
        <v>0</v>
      </c>
      <c r="Y492" s="135">
        <v>68.392349999999993</v>
      </c>
      <c r="Z492" s="135">
        <v>449.00385546874998</v>
      </c>
      <c r="AA492" s="135">
        <v>0</v>
      </c>
      <c r="AB492" s="135">
        <v>1281.3173018700397</v>
      </c>
      <c r="AC492" s="135">
        <v>0</v>
      </c>
      <c r="AD492" s="135">
        <v>0</v>
      </c>
      <c r="AE492" s="135">
        <v>1665.8120500000002</v>
      </c>
      <c r="AF492" s="135">
        <v>33.378149999999998</v>
      </c>
      <c r="AG492" s="135">
        <v>271.23915</v>
      </c>
      <c r="AH492" s="135">
        <v>10970.955130740263</v>
      </c>
      <c r="AI492" s="135">
        <v>806.01760000000013</v>
      </c>
      <c r="AJ492" s="135">
        <v>0</v>
      </c>
      <c r="AK492" s="135">
        <v>-41.585276598525581</v>
      </c>
      <c r="AL492" s="135">
        <v>0</v>
      </c>
      <c r="AM492" s="135">
        <v>-51.250649999999993</v>
      </c>
      <c r="AN492" s="135">
        <v>-371.90304453124998</v>
      </c>
      <c r="AO492" s="135">
        <v>0</v>
      </c>
      <c r="AP492" s="135">
        <v>-26.622634457100503</v>
      </c>
      <c r="AQ492" s="135">
        <v>0</v>
      </c>
      <c r="AR492" s="135">
        <v>39.503050000000002</v>
      </c>
      <c r="AS492" s="135">
        <v>0.60515000000009422</v>
      </c>
      <c r="AT492" s="135">
        <v>1.3897499999999994</v>
      </c>
      <c r="AU492" s="135">
        <v>-14.474400000000003</v>
      </c>
      <c r="AV492" s="135">
        <v>341.67955287105207</v>
      </c>
      <c r="AW492" s="135"/>
      <c r="AX492" s="164"/>
      <c r="AY492" s="132"/>
      <c r="AZ492" s="135"/>
      <c r="BA492" s="135"/>
    </row>
    <row r="493" spans="1:53" ht="16.5" x14ac:dyDescent="0.3">
      <c r="A493" s="132">
        <v>4166</v>
      </c>
      <c r="B493" s="132">
        <v>7</v>
      </c>
      <c r="C493" s="132" t="s">
        <v>678</v>
      </c>
      <c r="D493" s="133">
        <v>7</v>
      </c>
      <c r="E493" s="163">
        <v>110</v>
      </c>
      <c r="F493" s="135">
        <v>6791.2</v>
      </c>
      <c r="G493" s="135">
        <v>0</v>
      </c>
      <c r="H493" s="135">
        <v>245.89336363636363</v>
      </c>
      <c r="I493" s="135">
        <v>0</v>
      </c>
      <c r="J493" s="135">
        <v>128.947</v>
      </c>
      <c r="K493" s="135">
        <v>960.92563636363639</v>
      </c>
      <c r="L493" s="135">
        <v>0</v>
      </c>
      <c r="M493" s="135">
        <v>1248.0663544829547</v>
      </c>
      <c r="N493" s="135">
        <v>0</v>
      </c>
      <c r="O493" s="135">
        <v>-42.575000000000003</v>
      </c>
      <c r="P493" s="135">
        <v>1514.228090909091</v>
      </c>
      <c r="Q493" s="135">
        <v>191.13900000000001</v>
      </c>
      <c r="R493" s="135">
        <v>258.77209090909093</v>
      </c>
      <c r="S493" s="135">
        <v>11296.596536301136</v>
      </c>
      <c r="T493" s="135"/>
      <c r="U493" s="135">
        <v>7560</v>
      </c>
      <c r="V493" s="135">
        <v>0</v>
      </c>
      <c r="W493" s="135">
        <v>221.74025172101963</v>
      </c>
      <c r="X493" s="135">
        <v>0</v>
      </c>
      <c r="Y493" s="135">
        <v>74.272272727272721</v>
      </c>
      <c r="Z493" s="135">
        <v>1135.4350909090908</v>
      </c>
      <c r="AA493" s="135">
        <v>0</v>
      </c>
      <c r="AB493" s="135">
        <v>1217.7789265694887</v>
      </c>
      <c r="AC493" s="135">
        <v>0</v>
      </c>
      <c r="AD493" s="135">
        <v>0</v>
      </c>
      <c r="AE493" s="135">
        <v>1516.9210909090909</v>
      </c>
      <c r="AF493" s="135">
        <v>192.63681818181817</v>
      </c>
      <c r="AG493" s="135">
        <v>243.17209090909091</v>
      </c>
      <c r="AH493" s="135">
        <v>12161.956541926871</v>
      </c>
      <c r="AI493" s="135">
        <v>768.80000000000018</v>
      </c>
      <c r="AJ493" s="135">
        <v>0</v>
      </c>
      <c r="AK493" s="135">
        <v>-24.153111915343999</v>
      </c>
      <c r="AL493" s="135">
        <v>0</v>
      </c>
      <c r="AM493" s="135">
        <v>-54.674727272727282</v>
      </c>
      <c r="AN493" s="135">
        <v>174.50945454545445</v>
      </c>
      <c r="AO493" s="135">
        <v>0</v>
      </c>
      <c r="AP493" s="135">
        <v>-30.28742791346599</v>
      </c>
      <c r="AQ493" s="135">
        <v>0</v>
      </c>
      <c r="AR493" s="135">
        <v>42.575000000000003</v>
      </c>
      <c r="AS493" s="135">
        <v>2.6929999999999836</v>
      </c>
      <c r="AT493" s="135">
        <v>1.4978181818181611</v>
      </c>
      <c r="AU493" s="135">
        <v>-15.600000000000023</v>
      </c>
      <c r="AV493" s="135">
        <v>865.3600105859158</v>
      </c>
      <c r="AW493" s="135"/>
      <c r="AX493" s="164"/>
      <c r="AY493" s="132"/>
      <c r="AZ493" s="135"/>
      <c r="BA493" s="135"/>
    </row>
    <row r="494" spans="1:53" ht="16.5" x14ac:dyDescent="0.3">
      <c r="A494" s="132">
        <v>4167</v>
      </c>
      <c r="B494" s="132">
        <v>7</v>
      </c>
      <c r="C494" s="132" t="s">
        <v>411</v>
      </c>
      <c r="D494" s="133">
        <v>7</v>
      </c>
      <c r="E494" s="163">
        <v>257</v>
      </c>
      <c r="F494" s="135">
        <v>5235.3830350194548</v>
      </c>
      <c r="G494" s="135">
        <v>0</v>
      </c>
      <c r="H494" s="135">
        <v>1.5861867704280155</v>
      </c>
      <c r="I494" s="135">
        <v>0</v>
      </c>
      <c r="J494" s="135">
        <v>99.406147859922186</v>
      </c>
      <c r="K494" s="135">
        <v>955.98785992217904</v>
      </c>
      <c r="L494" s="135">
        <v>0</v>
      </c>
      <c r="M494" s="135">
        <v>132.19766536964983</v>
      </c>
      <c r="N494" s="135">
        <v>0</v>
      </c>
      <c r="O494" s="135">
        <v>-32.821361867704283</v>
      </c>
      <c r="P494" s="135">
        <v>1408.6928404669261</v>
      </c>
      <c r="Q494" s="135">
        <v>26.577782101167315</v>
      </c>
      <c r="R494" s="135">
        <v>-135.10272373540857</v>
      </c>
      <c r="S494" s="135">
        <v>7691.9074319066149</v>
      </c>
      <c r="T494" s="135"/>
      <c r="U494" s="135">
        <v>5687.1595330739301</v>
      </c>
      <c r="V494" s="135">
        <v>0</v>
      </c>
      <c r="W494" s="135">
        <v>7.8753107244517997</v>
      </c>
      <c r="X494" s="135">
        <v>0</v>
      </c>
      <c r="Y494" s="135">
        <v>55.872762645914392</v>
      </c>
      <c r="Z494" s="135">
        <v>1066.3671984435798</v>
      </c>
      <c r="AA494" s="135">
        <v>0</v>
      </c>
      <c r="AB494" s="135">
        <v>128.2317354085603</v>
      </c>
      <c r="AC494" s="135">
        <v>48.060876838374334</v>
      </c>
      <c r="AD494" s="135">
        <v>0</v>
      </c>
      <c r="AE494" s="135">
        <v>1389.3008560311284</v>
      </c>
      <c r="AF494" s="135">
        <v>27.732490272373539</v>
      </c>
      <c r="AG494" s="135">
        <v>-147.12887159533074</v>
      </c>
      <c r="AH494" s="135">
        <v>8263.4718918429826</v>
      </c>
      <c r="AI494" s="135">
        <v>451.77649805447527</v>
      </c>
      <c r="AJ494" s="135">
        <v>0</v>
      </c>
      <c r="AK494" s="135">
        <v>6.2891239540237844</v>
      </c>
      <c r="AL494" s="135">
        <v>0</v>
      </c>
      <c r="AM494" s="135">
        <v>-43.533385214007794</v>
      </c>
      <c r="AN494" s="135">
        <v>110.37933852140077</v>
      </c>
      <c r="AO494" s="135">
        <v>0</v>
      </c>
      <c r="AP494" s="135">
        <v>-3.9659299610895289</v>
      </c>
      <c r="AQ494" s="135">
        <v>48.060876838374334</v>
      </c>
      <c r="AR494" s="135">
        <v>32.821361867704283</v>
      </c>
      <c r="AS494" s="135">
        <v>-19.391984435797667</v>
      </c>
      <c r="AT494" s="135">
        <v>1.1547081712062237</v>
      </c>
      <c r="AU494" s="135">
        <v>-12.026147859922162</v>
      </c>
      <c r="AV494" s="135">
        <v>571.56446889481992</v>
      </c>
      <c r="AW494" s="135"/>
      <c r="AX494" s="132"/>
      <c r="AY494" s="132"/>
      <c r="AZ494" s="155"/>
      <c r="BA494" s="155"/>
    </row>
    <row r="495" spans="1:53" ht="16.5" x14ac:dyDescent="0.3">
      <c r="A495" s="132">
        <v>4168</v>
      </c>
      <c r="B495" s="132">
        <v>7</v>
      </c>
      <c r="C495" s="132" t="s">
        <v>620</v>
      </c>
      <c r="D495" s="133">
        <v>7</v>
      </c>
      <c r="E495" s="163">
        <v>116</v>
      </c>
      <c r="F495" s="135">
        <v>5312.7179310344827</v>
      </c>
      <c r="G495" s="135">
        <v>0</v>
      </c>
      <c r="H495" s="135">
        <v>1.7749999999999999</v>
      </c>
      <c r="I495" s="135">
        <v>0</v>
      </c>
      <c r="J495" s="135">
        <v>100.8744827586207</v>
      </c>
      <c r="K495" s="135">
        <v>665.79775862068959</v>
      </c>
      <c r="L495" s="135">
        <v>0</v>
      </c>
      <c r="M495" s="135">
        <v>1077.6012615963793</v>
      </c>
      <c r="N495" s="135">
        <v>0</v>
      </c>
      <c r="O495" s="135">
        <v>-33.306206896551721</v>
      </c>
      <c r="P495" s="135">
        <v>1116.880775862069</v>
      </c>
      <c r="Q495" s="135">
        <v>260.80517241379312</v>
      </c>
      <c r="R495" s="135">
        <v>-390.83086206896547</v>
      </c>
      <c r="S495" s="135">
        <v>8112.315313320516</v>
      </c>
      <c r="T495" s="135"/>
      <c r="U495" s="135">
        <v>5811.2068965517237</v>
      </c>
      <c r="V495" s="135">
        <v>0</v>
      </c>
      <c r="W495" s="135">
        <v>43.25858605629368</v>
      </c>
      <c r="X495" s="135">
        <v>0</v>
      </c>
      <c r="Y495" s="135">
        <v>57.091465517241375</v>
      </c>
      <c r="Z495" s="135">
        <v>799.22353448275851</v>
      </c>
      <c r="AA495" s="135">
        <v>0</v>
      </c>
      <c r="AB495" s="135">
        <v>1044.8502620987988</v>
      </c>
      <c r="AC495" s="135">
        <v>127.77564152547107</v>
      </c>
      <c r="AD495" s="135">
        <v>0</v>
      </c>
      <c r="AE495" s="135">
        <v>1115.3109482758621</v>
      </c>
      <c r="AF495" s="135">
        <v>261.97689655172417</v>
      </c>
      <c r="AG495" s="135">
        <v>-403.03465517241375</v>
      </c>
      <c r="AH495" s="135">
        <v>8857.6595758874573</v>
      </c>
      <c r="AI495" s="135">
        <v>498.48896551724101</v>
      </c>
      <c r="AJ495" s="135">
        <v>0</v>
      </c>
      <c r="AK495" s="135">
        <v>41.483586056293682</v>
      </c>
      <c r="AL495" s="135">
        <v>0</v>
      </c>
      <c r="AM495" s="135">
        <v>-43.783017241379326</v>
      </c>
      <c r="AN495" s="135">
        <v>133.42577586206892</v>
      </c>
      <c r="AO495" s="135">
        <v>0</v>
      </c>
      <c r="AP495" s="135">
        <v>-32.750999497580551</v>
      </c>
      <c r="AQ495" s="135">
        <v>127.77564152547107</v>
      </c>
      <c r="AR495" s="135">
        <v>33.306206896551721</v>
      </c>
      <c r="AS495" s="135">
        <v>-1.569827586206884</v>
      </c>
      <c r="AT495" s="135">
        <v>1.1717241379310508</v>
      </c>
      <c r="AU495" s="135">
        <v>-12.203793103448277</v>
      </c>
      <c r="AV495" s="135">
        <v>745.34427006374267</v>
      </c>
      <c r="AW495" s="135"/>
      <c r="AX495" s="164"/>
      <c r="AY495" s="132"/>
      <c r="AZ495" s="135"/>
      <c r="BA495" s="135"/>
    </row>
    <row r="496" spans="1:53" ht="16.5" x14ac:dyDescent="0.3">
      <c r="A496" s="132">
        <v>4169</v>
      </c>
      <c r="B496" s="132">
        <v>7</v>
      </c>
      <c r="C496" s="132" t="s">
        <v>593</v>
      </c>
      <c r="D496" s="133">
        <v>7</v>
      </c>
      <c r="E496" s="163">
        <v>231</v>
      </c>
      <c r="F496" s="135">
        <v>5259.731255411255</v>
      </c>
      <c r="G496" s="135">
        <v>0</v>
      </c>
      <c r="H496" s="135">
        <v>1.0473160173160174</v>
      </c>
      <c r="I496" s="135">
        <v>0</v>
      </c>
      <c r="J496" s="135">
        <v>99.86844155844156</v>
      </c>
      <c r="K496" s="135">
        <v>3084.2815584415584</v>
      </c>
      <c r="L496" s="135">
        <v>0</v>
      </c>
      <c r="M496" s="135">
        <v>454.22945794377489</v>
      </c>
      <c r="N496" s="135">
        <v>0</v>
      </c>
      <c r="O496" s="135">
        <v>-32.974025974025977</v>
      </c>
      <c r="P496" s="135">
        <v>1415.2412554112555</v>
      </c>
      <c r="Q496" s="135">
        <v>26.701428571428572</v>
      </c>
      <c r="R496" s="135">
        <v>300.11926406926409</v>
      </c>
      <c r="S496" s="135">
        <v>10608.245951450268</v>
      </c>
      <c r="T496" s="135"/>
      <c r="U496" s="135">
        <v>5727.272727272727</v>
      </c>
      <c r="V496" s="135">
        <v>0</v>
      </c>
      <c r="W496" s="135">
        <v>1.1285324858811792</v>
      </c>
      <c r="X496" s="135">
        <v>0</v>
      </c>
      <c r="Y496" s="135">
        <v>56.266883116883115</v>
      </c>
      <c r="Z496" s="135">
        <v>2967.8916830644102</v>
      </c>
      <c r="AA496" s="135">
        <v>0</v>
      </c>
      <c r="AB496" s="135">
        <v>443.32906978338895</v>
      </c>
      <c r="AC496" s="135">
        <v>406.37447896412442</v>
      </c>
      <c r="AD496" s="135">
        <v>0</v>
      </c>
      <c r="AE496" s="135">
        <v>1399.1</v>
      </c>
      <c r="AF496" s="135">
        <v>27.86151515151515</v>
      </c>
      <c r="AG496" s="135">
        <v>288.03718614718616</v>
      </c>
      <c r="AH496" s="135">
        <v>11317.262075986117</v>
      </c>
      <c r="AI496" s="135">
        <v>467.54147186147202</v>
      </c>
      <c r="AJ496" s="135">
        <v>0</v>
      </c>
      <c r="AK496" s="135">
        <v>8.1216468565161737E-2</v>
      </c>
      <c r="AL496" s="135">
        <v>0</v>
      </c>
      <c r="AM496" s="135">
        <v>-43.601558441558446</v>
      </c>
      <c r="AN496" s="135">
        <v>-116.3898753771482</v>
      </c>
      <c r="AO496" s="135">
        <v>0</v>
      </c>
      <c r="AP496" s="135">
        <v>-10.900388160385944</v>
      </c>
      <c r="AQ496" s="135">
        <v>406.37447896412442</v>
      </c>
      <c r="AR496" s="135">
        <v>32.974025974025977</v>
      </c>
      <c r="AS496" s="135">
        <v>-16.141255411255543</v>
      </c>
      <c r="AT496" s="135">
        <v>1.1600865800865776</v>
      </c>
      <c r="AU496" s="135">
        <v>-12.082077922077929</v>
      </c>
      <c r="AV496" s="135">
        <v>709.01613293490936</v>
      </c>
      <c r="AW496" s="135"/>
      <c r="AX496" s="132"/>
      <c r="AY496" s="132"/>
      <c r="AZ496" s="155"/>
      <c r="BA496" s="155"/>
    </row>
    <row r="497" spans="1:53" ht="16.5" x14ac:dyDescent="0.3">
      <c r="A497" s="132">
        <v>4170</v>
      </c>
      <c r="B497" s="132">
        <v>7</v>
      </c>
      <c r="C497" s="132" t="s">
        <v>721</v>
      </c>
      <c r="D497" s="133">
        <v>7</v>
      </c>
      <c r="E497" s="163">
        <v>468</v>
      </c>
      <c r="F497" s="135">
        <v>5309.9504273504272</v>
      </c>
      <c r="G497" s="135">
        <v>0</v>
      </c>
      <c r="H497" s="135">
        <v>0.37899572649572649</v>
      </c>
      <c r="I497" s="135">
        <v>0</v>
      </c>
      <c r="J497" s="135">
        <v>100.82196581196581</v>
      </c>
      <c r="K497" s="135">
        <v>2866.1670940170939</v>
      </c>
      <c r="L497" s="135">
        <v>0</v>
      </c>
      <c r="M497" s="135">
        <v>406.87492790099145</v>
      </c>
      <c r="N497" s="135">
        <v>0</v>
      </c>
      <c r="O497" s="135">
        <v>-33.288846153846151</v>
      </c>
      <c r="P497" s="135">
        <v>1428.7537606837607</v>
      </c>
      <c r="Q497" s="135">
        <v>26.956346153846155</v>
      </c>
      <c r="R497" s="135">
        <v>353.99782051282051</v>
      </c>
      <c r="S497" s="135">
        <v>10460.612492003556</v>
      </c>
      <c r="T497" s="135"/>
      <c r="U497" s="135">
        <v>5815.3846153846152</v>
      </c>
      <c r="V497" s="135">
        <v>0</v>
      </c>
      <c r="W497" s="135">
        <v>0.31688704559580899</v>
      </c>
      <c r="X497" s="135">
        <v>0</v>
      </c>
      <c r="Y497" s="135">
        <v>57.132499999999993</v>
      </c>
      <c r="Z497" s="135">
        <v>3201.1686111111107</v>
      </c>
      <c r="AA497" s="135">
        <v>0</v>
      </c>
      <c r="AB497" s="135">
        <v>397.56418140106939</v>
      </c>
      <c r="AC497" s="135">
        <v>510.80143629236591</v>
      </c>
      <c r="AD497" s="135">
        <v>0</v>
      </c>
      <c r="AE497" s="135">
        <v>1420.6246153846153</v>
      </c>
      <c r="AF497" s="135">
        <v>28.127499999999998</v>
      </c>
      <c r="AG497" s="135">
        <v>341.80038461538459</v>
      </c>
      <c r="AH497" s="135">
        <v>11772.920731234755</v>
      </c>
      <c r="AI497" s="135">
        <v>505.43418803418808</v>
      </c>
      <c r="AJ497" s="135">
        <v>0</v>
      </c>
      <c r="AK497" s="135">
        <v>-6.2108680899917501E-2</v>
      </c>
      <c r="AL497" s="135">
        <v>0</v>
      </c>
      <c r="AM497" s="135">
        <v>-43.689465811965817</v>
      </c>
      <c r="AN497" s="135">
        <v>335.00151709401689</v>
      </c>
      <c r="AO497" s="135">
        <v>0</v>
      </c>
      <c r="AP497" s="135">
        <v>-9.310746499922061</v>
      </c>
      <c r="AQ497" s="135">
        <v>510.80143629236591</v>
      </c>
      <c r="AR497" s="135">
        <v>33.288846153846151</v>
      </c>
      <c r="AS497" s="135">
        <v>-8.1291452991454207</v>
      </c>
      <c r="AT497" s="135">
        <v>1.1711538461538424</v>
      </c>
      <c r="AU497" s="135">
        <v>-12.197435897435923</v>
      </c>
      <c r="AV497" s="135">
        <v>1312.3082418967344</v>
      </c>
      <c r="AW497" s="135"/>
      <c r="AX497" s="164"/>
      <c r="AY497" s="132"/>
      <c r="AZ497" s="135"/>
      <c r="BA497" s="135"/>
    </row>
    <row r="498" spans="1:53" ht="16.5" x14ac:dyDescent="0.3">
      <c r="A498" s="132">
        <v>4171</v>
      </c>
      <c r="B498" s="132">
        <v>7</v>
      </c>
      <c r="C498" s="132" t="s">
        <v>722</v>
      </c>
      <c r="D498" s="133">
        <v>7</v>
      </c>
      <c r="E498" s="163">
        <v>500</v>
      </c>
      <c r="F498" s="135">
        <v>5572.1273600000004</v>
      </c>
      <c r="G498" s="135">
        <v>0</v>
      </c>
      <c r="H498" s="135">
        <v>12.043920000000002</v>
      </c>
      <c r="I498" s="135">
        <v>0</v>
      </c>
      <c r="J498" s="135">
        <v>105.80002</v>
      </c>
      <c r="K498" s="135">
        <v>2866.1522399999994</v>
      </c>
      <c r="L498" s="135">
        <v>0</v>
      </c>
      <c r="M498" s="135">
        <v>290.03465999999997</v>
      </c>
      <c r="N498" s="135">
        <v>0</v>
      </c>
      <c r="O498" s="135">
        <v>-34.932459999999999</v>
      </c>
      <c r="P498" s="135">
        <v>1487.92794</v>
      </c>
      <c r="Q498" s="135">
        <v>28.287300000000002</v>
      </c>
      <c r="R498" s="135">
        <v>335.25774000000001</v>
      </c>
      <c r="S498" s="135">
        <v>10662.69872</v>
      </c>
      <c r="T498" s="135"/>
      <c r="U498" s="135">
        <v>6123.6</v>
      </c>
      <c r="V498" s="135">
        <v>0</v>
      </c>
      <c r="W498" s="135">
        <v>42.148512365685214</v>
      </c>
      <c r="X498" s="135">
        <v>0</v>
      </c>
      <c r="Y498" s="135">
        <v>60.160539999999997</v>
      </c>
      <c r="Z498" s="135">
        <v>3308.1268599999999</v>
      </c>
      <c r="AA498" s="135">
        <v>0</v>
      </c>
      <c r="AB498" s="135">
        <v>283.29671819999999</v>
      </c>
      <c r="AC498" s="135">
        <v>340.90541158995683</v>
      </c>
      <c r="AD498" s="135">
        <v>0</v>
      </c>
      <c r="AE498" s="135">
        <v>1487.30448</v>
      </c>
      <c r="AF498" s="135">
        <v>29.516280000000002</v>
      </c>
      <c r="AG498" s="135">
        <v>322.45805999999999</v>
      </c>
      <c r="AH498" s="135">
        <v>11997.516862155642</v>
      </c>
      <c r="AI498" s="135">
        <v>551.47263999999996</v>
      </c>
      <c r="AJ498" s="135">
        <v>0</v>
      </c>
      <c r="AK498" s="135">
        <v>30.104592365685214</v>
      </c>
      <c r="AL498" s="135">
        <v>0</v>
      </c>
      <c r="AM498" s="135">
        <v>-45.639480000000006</v>
      </c>
      <c r="AN498" s="135">
        <v>441.97462000000041</v>
      </c>
      <c r="AO498" s="135">
        <v>0</v>
      </c>
      <c r="AP498" s="135">
        <v>-6.7379417999999873</v>
      </c>
      <c r="AQ498" s="135">
        <v>340.90541158995683</v>
      </c>
      <c r="AR498" s="135">
        <v>34.932459999999999</v>
      </c>
      <c r="AS498" s="135">
        <v>-0.62346000000002277</v>
      </c>
      <c r="AT498" s="135">
        <v>1.22898</v>
      </c>
      <c r="AU498" s="135">
        <v>-12.799680000000023</v>
      </c>
      <c r="AV498" s="135">
        <v>1334.818144948413</v>
      </c>
      <c r="AW498" s="135"/>
      <c r="AX498" s="164"/>
      <c r="AY498" s="132"/>
      <c r="AZ498" s="135"/>
      <c r="BA498" s="135"/>
    </row>
    <row r="499" spans="1:53" ht="16.5" x14ac:dyDescent="0.3">
      <c r="A499" s="132">
        <v>4172</v>
      </c>
      <c r="B499" s="132">
        <v>7</v>
      </c>
      <c r="C499" s="132" t="s">
        <v>712</v>
      </c>
      <c r="D499" s="133">
        <v>7</v>
      </c>
      <c r="E499" s="163">
        <v>61</v>
      </c>
      <c r="F499" s="135">
        <v>5371.2996721311483</v>
      </c>
      <c r="G499" s="135">
        <v>0</v>
      </c>
      <c r="H499" s="135">
        <v>390.41442622950825</v>
      </c>
      <c r="I499" s="135">
        <v>0</v>
      </c>
      <c r="J499" s="135">
        <v>101.98688524590163</v>
      </c>
      <c r="K499" s="135">
        <v>1285.0278688524591</v>
      </c>
      <c r="L499" s="135">
        <v>0</v>
      </c>
      <c r="M499" s="135">
        <v>1492.9209777171313</v>
      </c>
      <c r="N499" s="135">
        <v>0</v>
      </c>
      <c r="O499" s="135">
        <v>-33.673442622950816</v>
      </c>
      <c r="P499" s="135">
        <v>1445.2640983606557</v>
      </c>
      <c r="Q499" s="135">
        <v>246.48950819672129</v>
      </c>
      <c r="R499" s="135">
        <v>-95.949508196721325</v>
      </c>
      <c r="S499" s="135">
        <v>10203.780485913852</v>
      </c>
      <c r="T499" s="135"/>
      <c r="U499" s="135">
        <v>5886.8852459016398</v>
      </c>
      <c r="V499" s="135">
        <v>0</v>
      </c>
      <c r="W499" s="135">
        <v>388.2077994228772</v>
      </c>
      <c r="X499" s="135">
        <v>0</v>
      </c>
      <c r="Y499" s="135">
        <v>57.834918032786881</v>
      </c>
      <c r="Z499" s="135">
        <v>1499.0936065573771</v>
      </c>
      <c r="AA499" s="135">
        <v>0</v>
      </c>
      <c r="AB499" s="135">
        <v>1446.3701785155704</v>
      </c>
      <c r="AC499" s="135">
        <v>404.97197860531816</v>
      </c>
      <c r="AD499" s="135">
        <v>0</v>
      </c>
      <c r="AE499" s="135">
        <v>1438.0913114754098</v>
      </c>
      <c r="AF499" s="135">
        <v>247.67426229508195</v>
      </c>
      <c r="AG499" s="135">
        <v>-108.28786885245904</v>
      </c>
      <c r="AH499" s="135">
        <v>11260.8414319536</v>
      </c>
      <c r="AI499" s="135">
        <v>515.58557377049146</v>
      </c>
      <c r="AJ499" s="135">
        <v>0</v>
      </c>
      <c r="AK499" s="135">
        <v>-2.2066268066310499</v>
      </c>
      <c r="AL499" s="135">
        <v>0</v>
      </c>
      <c r="AM499" s="135">
        <v>-44.151967213114752</v>
      </c>
      <c r="AN499" s="135">
        <v>214.06573770491809</v>
      </c>
      <c r="AO499" s="135">
        <v>0</v>
      </c>
      <c r="AP499" s="135">
        <v>-46.550799201560949</v>
      </c>
      <c r="AQ499" s="135">
        <v>404.97197860531816</v>
      </c>
      <c r="AR499" s="135">
        <v>33.673442622950816</v>
      </c>
      <c r="AS499" s="135">
        <v>-7.1727868852458414</v>
      </c>
      <c r="AT499" s="135">
        <v>1.1847540983606564</v>
      </c>
      <c r="AU499" s="135">
        <v>-12.338360655737716</v>
      </c>
      <c r="AV499" s="135">
        <v>1057.0609468269522</v>
      </c>
      <c r="AW499" s="135"/>
      <c r="AX499" s="132"/>
      <c r="AY499" s="132"/>
      <c r="AZ499" s="155"/>
      <c r="BA499" s="155"/>
    </row>
    <row r="500" spans="1:53" ht="16.5" x14ac:dyDescent="0.3">
      <c r="A500" s="132">
        <v>4173</v>
      </c>
      <c r="B500" s="132">
        <v>7</v>
      </c>
      <c r="C500" s="132" t="s">
        <v>251</v>
      </c>
      <c r="D500" s="133">
        <v>7</v>
      </c>
      <c r="E500" s="163">
        <v>72</v>
      </c>
      <c r="F500" s="135">
        <v>6791.2000000000007</v>
      </c>
      <c r="G500" s="135">
        <v>0</v>
      </c>
      <c r="H500" s="135">
        <v>2.7441666666666666</v>
      </c>
      <c r="I500" s="135">
        <v>0</v>
      </c>
      <c r="J500" s="135">
        <v>128.94694444444445</v>
      </c>
      <c r="K500" s="135">
        <v>2501.1956944444446</v>
      </c>
      <c r="L500" s="135">
        <v>0</v>
      </c>
      <c r="M500" s="135">
        <v>1475.7793931494446</v>
      </c>
      <c r="N500" s="135">
        <v>0</v>
      </c>
      <c r="O500" s="135">
        <v>-42.575000000000003</v>
      </c>
      <c r="P500" s="135">
        <v>1783.9819444444445</v>
      </c>
      <c r="Q500" s="135">
        <v>34.475972222222225</v>
      </c>
      <c r="R500" s="135">
        <v>-354.35694444444442</v>
      </c>
      <c r="S500" s="135">
        <v>12321.392170927224</v>
      </c>
      <c r="T500" s="135"/>
      <c r="U500" s="135">
        <v>7560</v>
      </c>
      <c r="V500" s="135">
        <v>0</v>
      </c>
      <c r="W500" s="135">
        <v>4.2686973829792656</v>
      </c>
      <c r="X500" s="135">
        <v>0</v>
      </c>
      <c r="Y500" s="135">
        <v>74.272222222222226</v>
      </c>
      <c r="Z500" s="135">
        <v>1920.6698611111108</v>
      </c>
      <c r="AA500" s="135">
        <v>0</v>
      </c>
      <c r="AB500" s="135">
        <v>1454.3523395587945</v>
      </c>
      <c r="AC500" s="135">
        <v>0</v>
      </c>
      <c r="AD500" s="135">
        <v>0</v>
      </c>
      <c r="AE500" s="135">
        <v>1786.6749166666666</v>
      </c>
      <c r="AF500" s="135">
        <v>35.973888888888887</v>
      </c>
      <c r="AG500" s="135">
        <v>-369.95694444444445</v>
      </c>
      <c r="AH500" s="135">
        <v>12466.254981386219</v>
      </c>
      <c r="AI500" s="135">
        <v>768.79999999999927</v>
      </c>
      <c r="AJ500" s="135">
        <v>0</v>
      </c>
      <c r="AK500" s="135">
        <v>1.524530716312599</v>
      </c>
      <c r="AL500" s="135">
        <v>0</v>
      </c>
      <c r="AM500" s="135">
        <v>-54.674722222222229</v>
      </c>
      <c r="AN500" s="135">
        <v>-580.52583333333382</v>
      </c>
      <c r="AO500" s="135">
        <v>0</v>
      </c>
      <c r="AP500" s="135">
        <v>-21.427053590650075</v>
      </c>
      <c r="AQ500" s="135">
        <v>0</v>
      </c>
      <c r="AR500" s="135">
        <v>42.575000000000003</v>
      </c>
      <c r="AS500" s="135">
        <v>2.6929722222221244</v>
      </c>
      <c r="AT500" s="135">
        <v>1.4979166666666615</v>
      </c>
      <c r="AU500" s="135">
        <v>-15.600000000000023</v>
      </c>
      <c r="AV500" s="135">
        <v>144.86281666807224</v>
      </c>
      <c r="AW500" s="135"/>
      <c r="AX500" s="164"/>
      <c r="AY500" s="132"/>
      <c r="AZ500" s="135"/>
      <c r="BA500" s="135"/>
    </row>
    <row r="501" spans="1:53" ht="16.5" x14ac:dyDescent="0.3">
      <c r="A501" s="132">
        <v>4177</v>
      </c>
      <c r="B501" s="132">
        <v>7</v>
      </c>
      <c r="C501" s="132" t="s">
        <v>705</v>
      </c>
      <c r="D501" s="133">
        <v>7</v>
      </c>
      <c r="E501" s="163">
        <v>28</v>
      </c>
      <c r="F501" s="135">
        <v>6468.4314285714281</v>
      </c>
      <c r="G501" s="135">
        <v>0</v>
      </c>
      <c r="H501" s="135">
        <v>0</v>
      </c>
      <c r="I501" s="135">
        <v>0</v>
      </c>
      <c r="J501" s="135">
        <v>122.81857142857143</v>
      </c>
      <c r="K501" s="135">
        <v>0</v>
      </c>
      <c r="L501" s="135">
        <v>0</v>
      </c>
      <c r="M501" s="135">
        <v>4713.74</v>
      </c>
      <c r="N501" s="135">
        <v>0</v>
      </c>
      <c r="O501" s="135">
        <v>-40.551428571428573</v>
      </c>
      <c r="P501" s="135">
        <v>254.61392857142854</v>
      </c>
      <c r="Q501" s="135">
        <v>566.5821428571428</v>
      </c>
      <c r="R501" s="135">
        <v>65.687142857142859</v>
      </c>
      <c r="S501" s="135">
        <v>12151.321785714286</v>
      </c>
      <c r="T501" s="135"/>
      <c r="U501" s="135">
        <v>7292.34</v>
      </c>
      <c r="V501" s="135">
        <v>0</v>
      </c>
      <c r="W501" s="135">
        <v>0</v>
      </c>
      <c r="X501" s="135">
        <v>0</v>
      </c>
      <c r="Y501" s="135">
        <v>67.198571428571427</v>
      </c>
      <c r="Z501" s="135">
        <v>0</v>
      </c>
      <c r="AA501" s="135">
        <v>0</v>
      </c>
      <c r="AB501" s="135">
        <v>4604.3397402461669</v>
      </c>
      <c r="AC501" s="135">
        <v>326.74082639231722</v>
      </c>
      <c r="AD501" s="135">
        <v>0</v>
      </c>
      <c r="AE501" s="135">
        <v>244.29657142857141</v>
      </c>
      <c r="AF501" s="135">
        <v>568.00892857142856</v>
      </c>
      <c r="AG501" s="135">
        <v>50.828571428571429</v>
      </c>
      <c r="AH501" s="135">
        <v>13153.753209495628</v>
      </c>
      <c r="AI501" s="135">
        <v>823.90857142857203</v>
      </c>
      <c r="AJ501" s="135">
        <v>0</v>
      </c>
      <c r="AK501" s="135">
        <v>0</v>
      </c>
      <c r="AL501" s="135">
        <v>0</v>
      </c>
      <c r="AM501" s="135">
        <v>-55.620000000000005</v>
      </c>
      <c r="AN501" s="135">
        <v>0</v>
      </c>
      <c r="AO501" s="135">
        <v>0</v>
      </c>
      <c r="AP501" s="135">
        <v>-109.40025975383287</v>
      </c>
      <c r="AQ501" s="135">
        <v>326.74082639231722</v>
      </c>
      <c r="AR501" s="135">
        <v>40.551428571428573</v>
      </c>
      <c r="AS501" s="135">
        <v>-10.317357142857134</v>
      </c>
      <c r="AT501" s="135">
        <v>1.4267857142857565</v>
      </c>
      <c r="AU501" s="135">
        <v>-14.85857142857143</v>
      </c>
      <c r="AV501" s="135">
        <v>1002.4314252501425</v>
      </c>
      <c r="AW501" s="135"/>
      <c r="AX501" s="164"/>
      <c r="AY501" s="132"/>
      <c r="AZ501" s="135"/>
      <c r="BA501" s="135"/>
    </row>
    <row r="502" spans="1:53" ht="16.5" x14ac:dyDescent="0.3">
      <c r="A502" s="132">
        <v>4178</v>
      </c>
      <c r="B502" s="132">
        <v>7</v>
      </c>
      <c r="C502" s="132" t="s">
        <v>723</v>
      </c>
      <c r="D502" s="133">
        <v>7</v>
      </c>
      <c r="E502" s="163">
        <v>115</v>
      </c>
      <c r="F502" s="135">
        <v>6791.2</v>
      </c>
      <c r="G502" s="135">
        <v>0</v>
      </c>
      <c r="H502" s="135">
        <v>3.7310434782608697</v>
      </c>
      <c r="I502" s="135">
        <v>0</v>
      </c>
      <c r="J502" s="135">
        <v>128.94704347826087</v>
      </c>
      <c r="K502" s="135">
        <v>3384.3878260869565</v>
      </c>
      <c r="L502" s="135">
        <v>0</v>
      </c>
      <c r="M502" s="135">
        <v>525.28686956521744</v>
      </c>
      <c r="N502" s="135">
        <v>0</v>
      </c>
      <c r="O502" s="135">
        <v>-42.575043478260874</v>
      </c>
      <c r="P502" s="135">
        <v>1636.8842608695652</v>
      </c>
      <c r="Q502" s="135">
        <v>34.476086956521733</v>
      </c>
      <c r="R502" s="135">
        <v>15.6</v>
      </c>
      <c r="S502" s="135">
        <v>12477.938086956523</v>
      </c>
      <c r="T502" s="135"/>
      <c r="U502" s="135">
        <v>7560</v>
      </c>
      <c r="V502" s="135">
        <v>0</v>
      </c>
      <c r="W502" s="135">
        <v>7.400466758327525</v>
      </c>
      <c r="X502" s="135">
        <v>0</v>
      </c>
      <c r="Y502" s="135">
        <v>74.272260869565216</v>
      </c>
      <c r="Z502" s="135">
        <v>3843.3505217391303</v>
      </c>
      <c r="AA502" s="135">
        <v>0</v>
      </c>
      <c r="AB502" s="135">
        <v>507.45902496062615</v>
      </c>
      <c r="AC502" s="135">
        <v>0</v>
      </c>
      <c r="AD502" s="135">
        <v>0</v>
      </c>
      <c r="AE502" s="135">
        <v>1639.5772173913042</v>
      </c>
      <c r="AF502" s="135">
        <v>35.973913043478255</v>
      </c>
      <c r="AG502" s="135">
        <v>0</v>
      </c>
      <c r="AH502" s="135">
        <v>13668.033404762433</v>
      </c>
      <c r="AI502" s="135">
        <v>768.80000000000018</v>
      </c>
      <c r="AJ502" s="135">
        <v>0</v>
      </c>
      <c r="AK502" s="135">
        <v>3.6694232800666553</v>
      </c>
      <c r="AL502" s="135">
        <v>0</v>
      </c>
      <c r="AM502" s="135">
        <v>-54.674782608695651</v>
      </c>
      <c r="AN502" s="135">
        <v>458.96269565217381</v>
      </c>
      <c r="AO502" s="135">
        <v>0</v>
      </c>
      <c r="AP502" s="135">
        <v>-17.827844604591291</v>
      </c>
      <c r="AQ502" s="135">
        <v>0</v>
      </c>
      <c r="AR502" s="135">
        <v>42.575043478260874</v>
      </c>
      <c r="AS502" s="135">
        <v>2.6929565217390063</v>
      </c>
      <c r="AT502" s="135">
        <v>1.4978260869565219</v>
      </c>
      <c r="AU502" s="135">
        <v>-15.6</v>
      </c>
      <c r="AV502" s="135">
        <v>1190.0953264444684</v>
      </c>
      <c r="AW502" s="135"/>
      <c r="AX502" s="132"/>
      <c r="AY502" s="132"/>
      <c r="AZ502" s="155"/>
      <c r="BA502" s="155"/>
    </row>
    <row r="503" spans="1:53" ht="16.5" x14ac:dyDescent="0.3">
      <c r="A503" s="132">
        <v>4180</v>
      </c>
      <c r="B503" s="132">
        <v>7</v>
      </c>
      <c r="C503" s="132" t="s">
        <v>367</v>
      </c>
      <c r="D503" s="133">
        <v>7</v>
      </c>
      <c r="E503" s="163">
        <v>284</v>
      </c>
      <c r="F503" s="135">
        <v>5583.2419718309857</v>
      </c>
      <c r="G503" s="135">
        <v>0</v>
      </c>
      <c r="H503" s="135">
        <v>10.194401408450704</v>
      </c>
      <c r="I503" s="135">
        <v>0</v>
      </c>
      <c r="J503" s="135">
        <v>106.01105633802817</v>
      </c>
      <c r="K503" s="135">
        <v>3457.0161267605636</v>
      </c>
      <c r="L503" s="135">
        <v>0</v>
      </c>
      <c r="M503" s="135">
        <v>891.65342260647878</v>
      </c>
      <c r="N503" s="135">
        <v>0</v>
      </c>
      <c r="O503" s="135">
        <v>-35.002147887323943</v>
      </c>
      <c r="P503" s="135">
        <v>1502.2917957746479</v>
      </c>
      <c r="Q503" s="135">
        <v>28.343697183098588</v>
      </c>
      <c r="R503" s="135">
        <v>328.90295774647888</v>
      </c>
      <c r="S503" s="135">
        <v>11872.65328176141</v>
      </c>
      <c r="T503" s="135"/>
      <c r="U503" s="135">
        <v>6144.7183098591549</v>
      </c>
      <c r="V503" s="135">
        <v>0</v>
      </c>
      <c r="W503" s="135">
        <v>7.4909860705687263</v>
      </c>
      <c r="X503" s="135">
        <v>0</v>
      </c>
      <c r="Y503" s="135">
        <v>60.367992957746473</v>
      </c>
      <c r="Z503" s="135">
        <v>3289.3284507042254</v>
      </c>
      <c r="AA503" s="135">
        <v>0</v>
      </c>
      <c r="AB503" s="135">
        <v>875.32093683681956</v>
      </c>
      <c r="AC503" s="135">
        <v>200.06186126171175</v>
      </c>
      <c r="AD503" s="135">
        <v>0</v>
      </c>
      <c r="AE503" s="135">
        <v>1501.0766549295774</v>
      </c>
      <c r="AF503" s="135">
        <v>29.575140845070418</v>
      </c>
      <c r="AG503" s="135">
        <v>316.07774647887322</v>
      </c>
      <c r="AH503" s="135">
        <v>12424.018079943746</v>
      </c>
      <c r="AI503" s="135">
        <v>561.47633802816927</v>
      </c>
      <c r="AJ503" s="135">
        <v>0</v>
      </c>
      <c r="AK503" s="135">
        <v>-2.7034153378819772</v>
      </c>
      <c r="AL503" s="135">
        <v>0</v>
      </c>
      <c r="AM503" s="135">
        <v>-45.643063380281696</v>
      </c>
      <c r="AN503" s="135">
        <v>-167.6876760563382</v>
      </c>
      <c r="AO503" s="135">
        <v>0</v>
      </c>
      <c r="AP503" s="135">
        <v>-16.332485769659229</v>
      </c>
      <c r="AQ503" s="135">
        <v>200.06186126171175</v>
      </c>
      <c r="AR503" s="135">
        <v>35.002147887323943</v>
      </c>
      <c r="AS503" s="135">
        <v>-1.2151408450704366</v>
      </c>
      <c r="AT503" s="135">
        <v>1.2314436619718307</v>
      </c>
      <c r="AU503" s="135">
        <v>-12.825211267605653</v>
      </c>
      <c r="AV503" s="135">
        <v>551.36480354432422</v>
      </c>
      <c r="AW503" s="135"/>
      <c r="AX503" s="132"/>
      <c r="AY503" s="132"/>
      <c r="AZ503" s="155"/>
      <c r="BA503" s="155"/>
    </row>
    <row r="504" spans="1:53" ht="16.5" x14ac:dyDescent="0.3">
      <c r="A504" s="132">
        <v>4181</v>
      </c>
      <c r="B504" s="132">
        <v>7</v>
      </c>
      <c r="C504" s="132" t="s">
        <v>718</v>
      </c>
      <c r="D504" s="133">
        <v>7</v>
      </c>
      <c r="E504" s="163">
        <v>870</v>
      </c>
      <c r="F504" s="135">
        <v>5539.0011954022993</v>
      </c>
      <c r="G504" s="135">
        <v>0</v>
      </c>
      <c r="H504" s="135">
        <v>133.76072413793105</v>
      </c>
      <c r="I504" s="135">
        <v>0</v>
      </c>
      <c r="J504" s="135">
        <v>105.17104597701149</v>
      </c>
      <c r="K504" s="135">
        <v>3016.1536781609198</v>
      </c>
      <c r="L504" s="135">
        <v>0</v>
      </c>
      <c r="M504" s="135">
        <v>259.46880074018389</v>
      </c>
      <c r="N504" s="135">
        <v>0</v>
      </c>
      <c r="O504" s="135">
        <v>-34.724793103448278</v>
      </c>
      <c r="P504" s="135">
        <v>1090.4240804597703</v>
      </c>
      <c r="Q504" s="135">
        <v>28.11912643678161</v>
      </c>
      <c r="R504" s="135">
        <v>317.09597701149426</v>
      </c>
      <c r="S504" s="135">
        <v>10454.469835222942</v>
      </c>
      <c r="T504" s="135"/>
      <c r="U504" s="135">
        <v>6086.3793103448279</v>
      </c>
      <c r="V504" s="135">
        <v>0</v>
      </c>
      <c r="W504" s="135">
        <v>91.189488640808634</v>
      </c>
      <c r="X504" s="135">
        <v>0</v>
      </c>
      <c r="Y504" s="135">
        <v>59.794862068965514</v>
      </c>
      <c r="Z504" s="135">
        <v>3449.807597701149</v>
      </c>
      <c r="AA504" s="135">
        <v>0</v>
      </c>
      <c r="AB504" s="135">
        <v>251.72335702188181</v>
      </c>
      <c r="AC504" s="135">
        <v>184.56481553679154</v>
      </c>
      <c r="AD504" s="135">
        <v>0</v>
      </c>
      <c r="AE504" s="135">
        <v>1089.7751781609195</v>
      </c>
      <c r="AF504" s="135">
        <v>29.340793103448274</v>
      </c>
      <c r="AG504" s="135">
        <v>304.37239080459767</v>
      </c>
      <c r="AH504" s="135">
        <v>11546.947793383391</v>
      </c>
      <c r="AI504" s="135">
        <v>547.37811494252855</v>
      </c>
      <c r="AJ504" s="135">
        <v>0</v>
      </c>
      <c r="AK504" s="135">
        <v>-42.571235497122416</v>
      </c>
      <c r="AL504" s="135">
        <v>0</v>
      </c>
      <c r="AM504" s="135">
        <v>-45.376183908045974</v>
      </c>
      <c r="AN504" s="135">
        <v>433.65391954022925</v>
      </c>
      <c r="AO504" s="135">
        <v>0</v>
      </c>
      <c r="AP504" s="135">
        <v>-7.7454437183020843</v>
      </c>
      <c r="AQ504" s="135">
        <v>184.56481553679154</v>
      </c>
      <c r="AR504" s="135">
        <v>34.724793103448278</v>
      </c>
      <c r="AS504" s="135">
        <v>-0.64890229885077133</v>
      </c>
      <c r="AT504" s="135">
        <v>1.221666666666664</v>
      </c>
      <c r="AU504" s="135">
        <v>-12.723586206896584</v>
      </c>
      <c r="AV504" s="135">
        <v>1092.477960985367</v>
      </c>
      <c r="AW504" s="135"/>
      <c r="AX504" s="132"/>
      <c r="AY504" s="132"/>
      <c r="AZ504" s="155"/>
      <c r="BA504" s="155"/>
    </row>
    <row r="505" spans="1:53" ht="16.5" x14ac:dyDescent="0.3">
      <c r="A505" s="132">
        <v>4182</v>
      </c>
      <c r="B505" s="132">
        <v>7</v>
      </c>
      <c r="C505" s="132" t="s">
        <v>633</v>
      </c>
      <c r="D505" s="133">
        <v>7</v>
      </c>
      <c r="E505" s="163">
        <v>70</v>
      </c>
      <c r="F505" s="135">
        <v>6701.6457142857143</v>
      </c>
      <c r="G505" s="135">
        <v>0</v>
      </c>
      <c r="H505" s="135">
        <v>4.3121428571428568</v>
      </c>
      <c r="I505" s="135">
        <v>0</v>
      </c>
      <c r="J505" s="135">
        <v>127.24657142857143</v>
      </c>
      <c r="K505" s="135">
        <v>446.55</v>
      </c>
      <c r="L505" s="135">
        <v>0</v>
      </c>
      <c r="M505" s="135">
        <v>6212.9996327528279</v>
      </c>
      <c r="N505" s="135">
        <v>0</v>
      </c>
      <c r="O505" s="135">
        <v>-42.013571428571424</v>
      </c>
      <c r="P505" s="135">
        <v>1559.7938571428572</v>
      </c>
      <c r="Q505" s="135">
        <v>34.021428571428579</v>
      </c>
      <c r="R505" s="135">
        <v>-309.95114285714283</v>
      </c>
      <c r="S505" s="135">
        <v>14734.604632752827</v>
      </c>
      <c r="T505" s="135"/>
      <c r="U505" s="135">
        <v>7470</v>
      </c>
      <c r="V505" s="135">
        <v>0</v>
      </c>
      <c r="W505" s="135">
        <v>30.819042651286516</v>
      </c>
      <c r="X505" s="135">
        <v>0</v>
      </c>
      <c r="Y505" s="135">
        <v>73.387999999999991</v>
      </c>
      <c r="Z505" s="135">
        <v>551.56414285714288</v>
      </c>
      <c r="AA505" s="135">
        <v>0</v>
      </c>
      <c r="AB505" s="135">
        <v>6103.7295300607393</v>
      </c>
      <c r="AC505" s="135">
        <v>0</v>
      </c>
      <c r="AD505" s="135">
        <v>0</v>
      </c>
      <c r="AE505" s="135">
        <v>1562.7975714285715</v>
      </c>
      <c r="AF505" s="135">
        <v>35.499571428571429</v>
      </c>
      <c r="AG505" s="135">
        <v>-325.34542857142856</v>
      </c>
      <c r="AH505" s="135">
        <v>15502.45242985488</v>
      </c>
      <c r="AI505" s="135">
        <v>768.35428571428565</v>
      </c>
      <c r="AJ505" s="135">
        <v>0</v>
      </c>
      <c r="AK505" s="135">
        <v>26.50689979414366</v>
      </c>
      <c r="AL505" s="135">
        <v>0</v>
      </c>
      <c r="AM505" s="135">
        <v>-53.858571428571437</v>
      </c>
      <c r="AN505" s="135">
        <v>105.01414285714287</v>
      </c>
      <c r="AO505" s="135">
        <v>0</v>
      </c>
      <c r="AP505" s="135">
        <v>-109.27010269208859</v>
      </c>
      <c r="AQ505" s="135">
        <v>0</v>
      </c>
      <c r="AR505" s="135">
        <v>42.013571428571424</v>
      </c>
      <c r="AS505" s="135">
        <v>3.0037142857142953</v>
      </c>
      <c r="AT505" s="135">
        <v>1.4781428571428492</v>
      </c>
      <c r="AU505" s="135">
        <v>-15.394285714285729</v>
      </c>
      <c r="AV505" s="135">
        <v>767.84780145562615</v>
      </c>
      <c r="AW505" s="135"/>
      <c r="AX505" s="132"/>
      <c r="AY505" s="132"/>
      <c r="AZ505" s="155"/>
      <c r="BA505" s="155"/>
    </row>
    <row r="506" spans="1:53" ht="16.5" x14ac:dyDescent="0.3">
      <c r="A506" s="132">
        <v>4183</v>
      </c>
      <c r="B506" s="132">
        <v>7</v>
      </c>
      <c r="C506" s="132" t="s">
        <v>670</v>
      </c>
      <c r="D506" s="133">
        <v>7</v>
      </c>
      <c r="E506" s="163">
        <v>149</v>
      </c>
      <c r="F506" s="135">
        <v>6791.2000000000007</v>
      </c>
      <c r="G506" s="135">
        <v>0</v>
      </c>
      <c r="H506" s="135">
        <v>39.640134228187918</v>
      </c>
      <c r="I506" s="135">
        <v>0</v>
      </c>
      <c r="J506" s="135">
        <v>128.94697986577179</v>
      </c>
      <c r="K506" s="135">
        <v>71.328120805369124</v>
      </c>
      <c r="L506" s="135">
        <v>0</v>
      </c>
      <c r="M506" s="135">
        <v>26755.919278730202</v>
      </c>
      <c r="N506" s="135">
        <v>0</v>
      </c>
      <c r="O506" s="135">
        <v>-42.575033557046979</v>
      </c>
      <c r="P506" s="135">
        <v>1827.3189932885907</v>
      </c>
      <c r="Q506" s="135">
        <v>34.476040268456373</v>
      </c>
      <c r="R506" s="135">
        <v>15.600000000000001</v>
      </c>
      <c r="S506" s="135">
        <v>35621.854513629529</v>
      </c>
      <c r="T506" s="135"/>
      <c r="U506" s="135">
        <v>7560</v>
      </c>
      <c r="V506" s="135">
        <v>0</v>
      </c>
      <c r="W506" s="135">
        <v>62.483593172113736</v>
      </c>
      <c r="X506" s="135">
        <v>0</v>
      </c>
      <c r="Y506" s="135">
        <v>74.272281879194622</v>
      </c>
      <c r="Z506" s="135">
        <v>110.22838926174497</v>
      </c>
      <c r="AA506" s="135">
        <v>0</v>
      </c>
      <c r="AB506" s="135">
        <v>26755.919278730202</v>
      </c>
      <c r="AC506" s="135">
        <v>0</v>
      </c>
      <c r="AD506" s="135">
        <v>0</v>
      </c>
      <c r="AE506" s="135">
        <v>1846.8120000000001</v>
      </c>
      <c r="AF506" s="135">
        <v>35.973892617449664</v>
      </c>
      <c r="AG506" s="135">
        <v>0</v>
      </c>
      <c r="AH506" s="135">
        <v>36445.689435660701</v>
      </c>
      <c r="AI506" s="135">
        <v>768.79999999999927</v>
      </c>
      <c r="AJ506" s="135">
        <v>0</v>
      </c>
      <c r="AK506" s="135">
        <v>22.843458943925818</v>
      </c>
      <c r="AL506" s="135">
        <v>0</v>
      </c>
      <c r="AM506" s="135">
        <v>-54.674697986577172</v>
      </c>
      <c r="AN506" s="135">
        <v>38.900268456375841</v>
      </c>
      <c r="AO506" s="135">
        <v>0</v>
      </c>
      <c r="AP506" s="135">
        <v>0</v>
      </c>
      <c r="AQ506" s="135">
        <v>0</v>
      </c>
      <c r="AR506" s="135">
        <v>42.575033557046979</v>
      </c>
      <c r="AS506" s="135">
        <v>19.493006711409407</v>
      </c>
      <c r="AT506" s="135">
        <v>1.4978523489932911</v>
      </c>
      <c r="AU506" s="135">
        <v>-15.600000000000001</v>
      </c>
      <c r="AV506" s="135">
        <v>823.83492220418566</v>
      </c>
      <c r="AW506" s="135"/>
      <c r="AX506" s="132"/>
      <c r="AY506" s="132"/>
      <c r="AZ506" s="155"/>
      <c r="BA506" s="155"/>
    </row>
    <row r="507" spans="1:53" ht="16.5" x14ac:dyDescent="0.3">
      <c r="A507" s="132">
        <v>4184</v>
      </c>
      <c r="B507" s="132">
        <v>7</v>
      </c>
      <c r="C507" s="132" t="s">
        <v>400</v>
      </c>
      <c r="D507" s="133">
        <v>7</v>
      </c>
      <c r="E507" s="163">
        <v>477</v>
      </c>
      <c r="F507" s="135">
        <v>5464.282096436059</v>
      </c>
      <c r="G507" s="135">
        <v>0</v>
      </c>
      <c r="H507" s="135">
        <v>7.6167714884696025</v>
      </c>
      <c r="I507" s="135">
        <v>0</v>
      </c>
      <c r="J507" s="135">
        <v>103.75232704402517</v>
      </c>
      <c r="K507" s="135">
        <v>60.651194968553455</v>
      </c>
      <c r="L507" s="135">
        <v>0</v>
      </c>
      <c r="M507" s="135">
        <v>209.43549266247382</v>
      </c>
      <c r="N507" s="135">
        <v>0</v>
      </c>
      <c r="O507" s="135">
        <v>-34.256373165618449</v>
      </c>
      <c r="P507" s="135">
        <v>1470.2830817610063</v>
      </c>
      <c r="Q507" s="135">
        <v>34.099454926624738</v>
      </c>
      <c r="R507" s="135">
        <v>92.794591194968547</v>
      </c>
      <c r="S507" s="135">
        <v>7408.6586373165628</v>
      </c>
      <c r="T507" s="135"/>
      <c r="U507" s="135">
        <v>5996.2264150943392</v>
      </c>
      <c r="V507" s="135">
        <v>0</v>
      </c>
      <c r="W507" s="135">
        <v>41.207812724174673</v>
      </c>
      <c r="X507" s="135">
        <v>0</v>
      </c>
      <c r="Y507" s="135">
        <v>58.909161425576514</v>
      </c>
      <c r="Z507" s="135">
        <v>65.697471223448431</v>
      </c>
      <c r="AA507" s="135">
        <v>0</v>
      </c>
      <c r="AB507" s="135">
        <v>203.1524278825996</v>
      </c>
      <c r="AC507" s="135">
        <v>40.086641800806881</v>
      </c>
      <c r="AD507" s="135">
        <v>0</v>
      </c>
      <c r="AE507" s="135">
        <v>1464.8019706498951</v>
      </c>
      <c r="AF507" s="135">
        <v>35.304654088050313</v>
      </c>
      <c r="AG507" s="135">
        <v>80.242641509433952</v>
      </c>
      <c r="AH507" s="135">
        <v>7985.6291963983267</v>
      </c>
      <c r="AI507" s="135">
        <v>531.94431865828028</v>
      </c>
      <c r="AJ507" s="135">
        <v>0</v>
      </c>
      <c r="AK507" s="135">
        <v>33.59104123570507</v>
      </c>
      <c r="AL507" s="135">
        <v>0</v>
      </c>
      <c r="AM507" s="135">
        <v>-44.843165618448651</v>
      </c>
      <c r="AN507" s="135">
        <v>5.0462762548949769</v>
      </c>
      <c r="AO507" s="135">
        <v>0</v>
      </c>
      <c r="AP507" s="135">
        <v>-6.2830647798742234</v>
      </c>
      <c r="AQ507" s="135">
        <v>40.086641800806881</v>
      </c>
      <c r="AR507" s="135">
        <v>34.256373165618449</v>
      </c>
      <c r="AS507" s="135">
        <v>-5.4811111111112041</v>
      </c>
      <c r="AT507" s="135">
        <v>1.2051991614255755</v>
      </c>
      <c r="AU507" s="135">
        <v>-12.551949685534595</v>
      </c>
      <c r="AV507" s="135">
        <v>576.97056617759313</v>
      </c>
      <c r="AW507" s="135"/>
      <c r="AX507" s="132"/>
      <c r="AY507" s="132"/>
      <c r="AZ507" s="155"/>
      <c r="BA507" s="155"/>
    </row>
    <row r="508" spans="1:53" ht="16.5" x14ac:dyDescent="0.3">
      <c r="A508" s="132">
        <v>4185</v>
      </c>
      <c r="B508" s="132">
        <v>7</v>
      </c>
      <c r="C508" s="132" t="s">
        <v>578</v>
      </c>
      <c r="D508" s="133">
        <v>7</v>
      </c>
      <c r="E508" s="163">
        <v>427</v>
      </c>
      <c r="F508" s="135">
        <v>5577.5681498829044</v>
      </c>
      <c r="G508" s="135">
        <v>0</v>
      </c>
      <c r="H508" s="135">
        <v>125.25557377049184</v>
      </c>
      <c r="I508" s="135">
        <v>0</v>
      </c>
      <c r="J508" s="135">
        <v>105.90332552693209</v>
      </c>
      <c r="K508" s="135">
        <v>137.28374707259954</v>
      </c>
      <c r="L508" s="135">
        <v>0</v>
      </c>
      <c r="M508" s="135">
        <v>704.32105932192974</v>
      </c>
      <c r="N508" s="135">
        <v>0</v>
      </c>
      <c r="O508" s="135">
        <v>-34.966580796252927</v>
      </c>
      <c r="P508" s="135">
        <v>1500.7651522248245</v>
      </c>
      <c r="Q508" s="135">
        <v>28.314918032786885</v>
      </c>
      <c r="R508" s="135">
        <v>117.80487119437939</v>
      </c>
      <c r="S508" s="135">
        <v>8262.2502162305973</v>
      </c>
      <c r="T508" s="135"/>
      <c r="U508" s="135">
        <v>6140.6557377049185</v>
      </c>
      <c r="V508" s="135">
        <v>0</v>
      </c>
      <c r="W508" s="135">
        <v>177.08913096297093</v>
      </c>
      <c r="X508" s="135">
        <v>0</v>
      </c>
      <c r="Y508" s="135">
        <v>60.328103044496487</v>
      </c>
      <c r="Z508" s="135">
        <v>185.07844550236112</v>
      </c>
      <c r="AA508" s="135">
        <v>0</v>
      </c>
      <c r="AB508" s="135">
        <v>683.80249131989808</v>
      </c>
      <c r="AC508" s="135">
        <v>54.36282582068376</v>
      </c>
      <c r="AD508" s="135">
        <v>0</v>
      </c>
      <c r="AE508" s="135">
        <v>1500.0842201405153</v>
      </c>
      <c r="AF508" s="135">
        <v>29.545081967213115</v>
      </c>
      <c r="AG508" s="135">
        <v>104.99269320843091</v>
      </c>
      <c r="AH508" s="135">
        <v>8935.9387296714885</v>
      </c>
      <c r="AI508" s="135">
        <v>563.08758782201403</v>
      </c>
      <c r="AJ508" s="135">
        <v>0</v>
      </c>
      <c r="AK508" s="135">
        <v>51.833557192479091</v>
      </c>
      <c r="AL508" s="135">
        <v>0</v>
      </c>
      <c r="AM508" s="135">
        <v>-45.575222482435606</v>
      </c>
      <c r="AN508" s="135">
        <v>47.794698429761581</v>
      </c>
      <c r="AO508" s="135">
        <v>0</v>
      </c>
      <c r="AP508" s="135">
        <v>-20.518568002031657</v>
      </c>
      <c r="AQ508" s="135">
        <v>54.36282582068376</v>
      </c>
      <c r="AR508" s="135">
        <v>34.966580796252927</v>
      </c>
      <c r="AS508" s="135">
        <v>-0.68093208430923369</v>
      </c>
      <c r="AT508" s="135">
        <v>1.2301639344262298</v>
      </c>
      <c r="AU508" s="135">
        <v>-12.81217798594848</v>
      </c>
      <c r="AV508" s="135">
        <v>673.68851470477864</v>
      </c>
      <c r="AW508" s="135"/>
      <c r="AX508" s="164"/>
      <c r="AY508" s="132"/>
      <c r="AZ508" s="135"/>
      <c r="BA508" s="135"/>
    </row>
    <row r="509" spans="1:53" ht="16.5" x14ac:dyDescent="0.3">
      <c r="A509" s="132">
        <v>4186</v>
      </c>
      <c r="B509" s="132">
        <v>7</v>
      </c>
      <c r="C509" s="132" t="s">
        <v>725</v>
      </c>
      <c r="D509" s="133">
        <v>7</v>
      </c>
      <c r="E509" s="163">
        <v>414</v>
      </c>
      <c r="F509" s="135">
        <v>5671.5731400966179</v>
      </c>
      <c r="G509" s="135">
        <v>0</v>
      </c>
      <c r="H509" s="135">
        <v>43.66335748792271</v>
      </c>
      <c r="I509" s="135">
        <v>0</v>
      </c>
      <c r="J509" s="135">
        <v>107.68823671497584</v>
      </c>
      <c r="K509" s="135">
        <v>2961.0041062801929</v>
      </c>
      <c r="L509" s="135">
        <v>0</v>
      </c>
      <c r="M509" s="135">
        <v>1039.1118599033816</v>
      </c>
      <c r="N509" s="135">
        <v>0</v>
      </c>
      <c r="O509" s="135">
        <v>-35.555893719806761</v>
      </c>
      <c r="P509" s="135">
        <v>1132.3796618357487</v>
      </c>
      <c r="Q509" s="135">
        <v>28.792149758454105</v>
      </c>
      <c r="R509" s="135">
        <v>114.77214975845411</v>
      </c>
      <c r="S509" s="135">
        <v>11063.428768115939</v>
      </c>
      <c r="T509" s="135"/>
      <c r="U509" s="135">
        <v>6257.391304347826</v>
      </c>
      <c r="V509" s="135">
        <v>0</v>
      </c>
      <c r="W509" s="135">
        <v>60.228575190072007</v>
      </c>
      <c r="X509" s="135">
        <v>0</v>
      </c>
      <c r="Y509" s="135">
        <v>61.474951690821257</v>
      </c>
      <c r="Z509" s="135">
        <v>3341.8107004830913</v>
      </c>
      <c r="AA509" s="135">
        <v>0</v>
      </c>
      <c r="AB509" s="135">
        <v>1011.3809876149651</v>
      </c>
      <c r="AC509" s="135">
        <v>334.15079200863926</v>
      </c>
      <c r="AD509" s="135">
        <v>0</v>
      </c>
      <c r="AE509" s="135">
        <v>1132.6202222222221</v>
      </c>
      <c r="AF509" s="135">
        <v>30.043067632850239</v>
      </c>
      <c r="AG509" s="135">
        <v>101.74403381642512</v>
      </c>
      <c r="AH509" s="135">
        <v>12330.844635006912</v>
      </c>
      <c r="AI509" s="135">
        <v>585.81816425120815</v>
      </c>
      <c r="AJ509" s="135">
        <v>0</v>
      </c>
      <c r="AK509" s="135">
        <v>16.565217702149297</v>
      </c>
      <c r="AL509" s="135">
        <v>0</v>
      </c>
      <c r="AM509" s="135">
        <v>-46.213285024154587</v>
      </c>
      <c r="AN509" s="135">
        <v>380.8065942028984</v>
      </c>
      <c r="AO509" s="135">
        <v>0</v>
      </c>
      <c r="AP509" s="135">
        <v>-27.730872288416549</v>
      </c>
      <c r="AQ509" s="135">
        <v>334.15079200863926</v>
      </c>
      <c r="AR509" s="135">
        <v>35.555893719806761</v>
      </c>
      <c r="AS509" s="135">
        <v>0.24056038647336209</v>
      </c>
      <c r="AT509" s="135">
        <v>1.2509178743961336</v>
      </c>
      <c r="AU509" s="135">
        <v>-13.02811594202899</v>
      </c>
      <c r="AV509" s="135">
        <v>1267.4158731228358</v>
      </c>
      <c r="AW509" s="135"/>
      <c r="AX509" s="164"/>
      <c r="AY509" s="132"/>
      <c r="AZ509" s="135"/>
      <c r="BA509" s="135"/>
    </row>
    <row r="510" spans="1:53" ht="16.5" x14ac:dyDescent="0.3">
      <c r="A510" s="132">
        <v>4187</v>
      </c>
      <c r="B510" s="132">
        <v>7</v>
      </c>
      <c r="C510" s="132" t="s">
        <v>421</v>
      </c>
      <c r="D510" s="133">
        <v>7</v>
      </c>
      <c r="E510" s="163">
        <v>55</v>
      </c>
      <c r="F510" s="135">
        <v>5153.7134545454546</v>
      </c>
      <c r="G510" s="135">
        <v>0</v>
      </c>
      <c r="H510" s="135">
        <v>121.41745454545455</v>
      </c>
      <c r="I510" s="135">
        <v>0</v>
      </c>
      <c r="J510" s="135">
        <v>97.855454545454549</v>
      </c>
      <c r="K510" s="135">
        <v>70.823454545454538</v>
      </c>
      <c r="L510" s="135">
        <v>0</v>
      </c>
      <c r="M510" s="135">
        <v>1275.5881818181817</v>
      </c>
      <c r="N510" s="135">
        <v>0</v>
      </c>
      <c r="O510" s="135">
        <v>-32.309454545454543</v>
      </c>
      <c r="P510" s="135">
        <v>1332.9359999999999</v>
      </c>
      <c r="Q510" s="135">
        <v>26.16327272727273</v>
      </c>
      <c r="R510" s="135">
        <v>-91.96745454545453</v>
      </c>
      <c r="S510" s="135">
        <v>7954.2203636363629</v>
      </c>
      <c r="T510" s="135"/>
      <c r="U510" s="135">
        <v>5622.4865454545452</v>
      </c>
      <c r="V510" s="135">
        <v>0</v>
      </c>
      <c r="W510" s="135">
        <v>122.97015652993181</v>
      </c>
      <c r="X510" s="135">
        <v>0</v>
      </c>
      <c r="Y510" s="135">
        <v>54.578909090909093</v>
      </c>
      <c r="Z510" s="135">
        <v>111.74799999999999</v>
      </c>
      <c r="AA510" s="135">
        <v>0</v>
      </c>
      <c r="AB510" s="135">
        <v>1235.5537517217515</v>
      </c>
      <c r="AC510" s="135">
        <v>149.72416489986253</v>
      </c>
      <c r="AD510" s="135">
        <v>0</v>
      </c>
      <c r="AE510" s="135">
        <v>1328.4906363636362</v>
      </c>
      <c r="AF510" s="135">
        <v>27.3</v>
      </c>
      <c r="AG510" s="135">
        <v>-103.80599999999998</v>
      </c>
      <c r="AH510" s="135">
        <v>8549.0461640606354</v>
      </c>
      <c r="AI510" s="135">
        <v>468.77309090909057</v>
      </c>
      <c r="AJ510" s="135">
        <v>0</v>
      </c>
      <c r="AK510" s="135">
        <v>1.5527019844772667</v>
      </c>
      <c r="AL510" s="135">
        <v>0</v>
      </c>
      <c r="AM510" s="135">
        <v>-43.276545454545456</v>
      </c>
      <c r="AN510" s="135">
        <v>40.924545454545452</v>
      </c>
      <c r="AO510" s="135">
        <v>0</v>
      </c>
      <c r="AP510" s="135">
        <v>-40.034430096430242</v>
      </c>
      <c r="AQ510" s="135">
        <v>149.72416489986253</v>
      </c>
      <c r="AR510" s="135">
        <v>32.309454545454543</v>
      </c>
      <c r="AS510" s="135">
        <v>-4.4453636363637088</v>
      </c>
      <c r="AT510" s="135">
        <v>1.1367272727272706</v>
      </c>
      <c r="AU510" s="135">
        <v>-11.838545454545454</v>
      </c>
      <c r="AV510" s="135">
        <v>594.82580485439166</v>
      </c>
      <c r="AW510" s="135"/>
      <c r="AX510" s="132"/>
      <c r="AY510" s="132"/>
      <c r="AZ510" s="155"/>
      <c r="BA510" s="155"/>
    </row>
    <row r="511" spans="1:53" ht="16.5" x14ac:dyDescent="0.3">
      <c r="A511" s="132">
        <v>4188</v>
      </c>
      <c r="B511" s="132">
        <v>7</v>
      </c>
      <c r="C511" s="132" t="s">
        <v>326</v>
      </c>
      <c r="D511" s="133">
        <v>7</v>
      </c>
      <c r="E511" s="163">
        <v>385</v>
      </c>
      <c r="F511" s="135">
        <v>5329.0227532467534</v>
      </c>
      <c r="G511" s="135">
        <v>0</v>
      </c>
      <c r="H511" s="135">
        <v>43.724753246753245</v>
      </c>
      <c r="I511" s="135">
        <v>0</v>
      </c>
      <c r="J511" s="135">
        <v>101.18410389610389</v>
      </c>
      <c r="K511" s="135">
        <v>129.05114285714288</v>
      </c>
      <c r="L511" s="135">
        <v>0</v>
      </c>
      <c r="M511" s="135">
        <v>1152.7611383288415</v>
      </c>
      <c r="N511" s="135">
        <v>0</v>
      </c>
      <c r="O511" s="135">
        <v>-33.408415584415586</v>
      </c>
      <c r="P511" s="135">
        <v>1433.8886493506493</v>
      </c>
      <c r="Q511" s="135">
        <v>143.93664935064936</v>
      </c>
      <c r="R511" s="135">
        <v>289.07311688311688</v>
      </c>
      <c r="S511" s="135">
        <v>8589.2338915755954</v>
      </c>
      <c r="T511" s="135"/>
      <c r="U511" s="135">
        <v>5805.818181818182</v>
      </c>
      <c r="V511" s="135">
        <v>0</v>
      </c>
      <c r="W511" s="135">
        <v>24.665273043016402</v>
      </c>
      <c r="X511" s="135">
        <v>0</v>
      </c>
      <c r="Y511" s="135">
        <v>57.038519480519483</v>
      </c>
      <c r="Z511" s="135">
        <v>170.49263754427392</v>
      </c>
      <c r="AA511" s="135">
        <v>0</v>
      </c>
      <c r="AB511" s="135">
        <v>1119.9458098199416</v>
      </c>
      <c r="AC511" s="135">
        <v>64.164391415388067</v>
      </c>
      <c r="AD511" s="135">
        <v>0</v>
      </c>
      <c r="AE511" s="135">
        <v>1418.2876571428571</v>
      </c>
      <c r="AF511" s="135">
        <v>145.11200000000002</v>
      </c>
      <c r="AG511" s="135">
        <v>276.83187012987014</v>
      </c>
      <c r="AH511" s="135">
        <v>9082.3563403940479</v>
      </c>
      <c r="AI511" s="135">
        <v>476.7954285714286</v>
      </c>
      <c r="AJ511" s="135">
        <v>0</v>
      </c>
      <c r="AK511" s="135">
        <v>-19.059480203736843</v>
      </c>
      <c r="AL511" s="135">
        <v>0</v>
      </c>
      <c r="AM511" s="135">
        <v>-44.145584415584409</v>
      </c>
      <c r="AN511" s="135">
        <v>41.441494687131041</v>
      </c>
      <c r="AO511" s="135">
        <v>0</v>
      </c>
      <c r="AP511" s="135">
        <v>-32.815328508899938</v>
      </c>
      <c r="AQ511" s="135">
        <v>64.164391415388067</v>
      </c>
      <c r="AR511" s="135">
        <v>33.408415584415586</v>
      </c>
      <c r="AS511" s="135">
        <v>-15.60099220779216</v>
      </c>
      <c r="AT511" s="135">
        <v>1.175350649350662</v>
      </c>
      <c r="AU511" s="135">
        <v>-12.241246753246742</v>
      </c>
      <c r="AV511" s="135">
        <v>493.12245715876463</v>
      </c>
      <c r="AW511" s="135"/>
      <c r="AX511" s="164"/>
      <c r="AY511" s="132"/>
      <c r="AZ511" s="135"/>
      <c r="BA511" s="135"/>
    </row>
    <row r="512" spans="1:53" ht="16.5" x14ac:dyDescent="0.3">
      <c r="A512" s="132">
        <v>4189</v>
      </c>
      <c r="B512" s="132">
        <v>7</v>
      </c>
      <c r="C512" s="132" t="s">
        <v>564</v>
      </c>
      <c r="D512" s="133">
        <v>7</v>
      </c>
      <c r="E512" s="163">
        <v>141</v>
      </c>
      <c r="F512" s="135">
        <v>5175.8354609929083</v>
      </c>
      <c r="G512" s="135">
        <v>0</v>
      </c>
      <c r="H512" s="135">
        <v>9.5815602836879427E-2</v>
      </c>
      <c r="I512" s="135">
        <v>0</v>
      </c>
      <c r="J512" s="135">
        <v>98.275460992907796</v>
      </c>
      <c r="K512" s="135">
        <v>656.07148936170211</v>
      </c>
      <c r="L512" s="135">
        <v>0</v>
      </c>
      <c r="M512" s="135">
        <v>1085.2867783028084</v>
      </c>
      <c r="N512" s="135">
        <v>0</v>
      </c>
      <c r="O512" s="135">
        <v>-32.448085106382983</v>
      </c>
      <c r="P512" s="135">
        <v>1392.6702836879433</v>
      </c>
      <c r="Q512" s="135">
        <v>26.275531914893616</v>
      </c>
      <c r="R512" s="135">
        <v>90.885531914893605</v>
      </c>
      <c r="S512" s="135">
        <v>8492.9482676645111</v>
      </c>
      <c r="T512" s="135"/>
      <c r="U512" s="135">
        <v>5629.7872340425529</v>
      </c>
      <c r="V512" s="135">
        <v>0</v>
      </c>
      <c r="W512" s="135">
        <v>6.1984292579590461</v>
      </c>
      <c r="X512" s="135">
        <v>0</v>
      </c>
      <c r="Y512" s="135">
        <v>55.309148936170217</v>
      </c>
      <c r="Z512" s="135">
        <v>771.5179985916202</v>
      </c>
      <c r="AA512" s="135">
        <v>0</v>
      </c>
      <c r="AB512" s="135">
        <v>1057.058927734904</v>
      </c>
      <c r="AC512" s="135">
        <v>176.48674911653876</v>
      </c>
      <c r="AD512" s="135">
        <v>0</v>
      </c>
      <c r="AE512" s="135">
        <v>1375.2855319148937</v>
      </c>
      <c r="AF512" s="135">
        <v>27.41709219858156</v>
      </c>
      <c r="AG512" s="135">
        <v>78.996170212765946</v>
      </c>
      <c r="AH512" s="135">
        <v>9178.0572820059861</v>
      </c>
      <c r="AI512" s="135">
        <v>453.95177304964454</v>
      </c>
      <c r="AJ512" s="135">
        <v>0</v>
      </c>
      <c r="AK512" s="135">
        <v>6.102613655122167</v>
      </c>
      <c r="AL512" s="135">
        <v>0</v>
      </c>
      <c r="AM512" s="135">
        <v>-42.966312056737578</v>
      </c>
      <c r="AN512" s="135">
        <v>115.44650922991809</v>
      </c>
      <c r="AO512" s="135">
        <v>0</v>
      </c>
      <c r="AP512" s="135">
        <v>-28.227850567904397</v>
      </c>
      <c r="AQ512" s="135">
        <v>176.48674911653876</v>
      </c>
      <c r="AR512" s="135">
        <v>32.448085106382983</v>
      </c>
      <c r="AS512" s="135">
        <v>-17.384751773049629</v>
      </c>
      <c r="AT512" s="135">
        <v>1.1415602836879444</v>
      </c>
      <c r="AU512" s="135">
        <v>-11.889361702127658</v>
      </c>
      <c r="AV512" s="135">
        <v>685.10902199638383</v>
      </c>
      <c r="AW512" s="135"/>
      <c r="AX512" s="132"/>
      <c r="AY512" s="132"/>
      <c r="AZ512" s="155"/>
      <c r="BA512" s="155"/>
    </row>
    <row r="513" spans="1:53" ht="16.5" x14ac:dyDescent="0.3">
      <c r="A513" s="132">
        <v>4190</v>
      </c>
      <c r="B513" s="132">
        <v>7</v>
      </c>
      <c r="C513" s="132" t="s">
        <v>654</v>
      </c>
      <c r="D513" s="133">
        <v>7</v>
      </c>
      <c r="E513" s="163">
        <v>65</v>
      </c>
      <c r="F513" s="135">
        <v>6833.7956923076918</v>
      </c>
      <c r="G513" s="135">
        <v>0</v>
      </c>
      <c r="H513" s="135">
        <v>183.04338461538461</v>
      </c>
      <c r="I513" s="135">
        <v>0</v>
      </c>
      <c r="J513" s="135">
        <v>129.75584615384614</v>
      </c>
      <c r="K513" s="135">
        <v>699.15461538461545</v>
      </c>
      <c r="L513" s="135">
        <v>0</v>
      </c>
      <c r="M513" s="135">
        <v>1148.5333846153846</v>
      </c>
      <c r="N513" s="135">
        <v>0</v>
      </c>
      <c r="O513" s="135">
        <v>-42.841999999999999</v>
      </c>
      <c r="P513" s="135">
        <v>1828.9956923076923</v>
      </c>
      <c r="Q513" s="135">
        <v>34.692307692307686</v>
      </c>
      <c r="R513" s="135">
        <v>15.697846153846154</v>
      </c>
      <c r="S513" s="135">
        <v>10830.826769230769</v>
      </c>
      <c r="T513" s="135"/>
      <c r="U513" s="135">
        <v>7617.2621538461535</v>
      </c>
      <c r="V513" s="135">
        <v>0</v>
      </c>
      <c r="W513" s="135">
        <v>123.46392038241935</v>
      </c>
      <c r="X513" s="135">
        <v>0</v>
      </c>
      <c r="Y513" s="135">
        <v>74.272307692307692</v>
      </c>
      <c r="Z513" s="135">
        <v>839.81923076923078</v>
      </c>
      <c r="AA513" s="135">
        <v>0</v>
      </c>
      <c r="AB513" s="135">
        <v>1118.1049531730769</v>
      </c>
      <c r="AC513" s="135">
        <v>0</v>
      </c>
      <c r="AD513" s="135">
        <v>0</v>
      </c>
      <c r="AE513" s="135">
        <v>1846.8119999999999</v>
      </c>
      <c r="AF513" s="135">
        <v>36.199538461538459</v>
      </c>
      <c r="AG513" s="135">
        <v>0</v>
      </c>
      <c r="AH513" s="135">
        <v>11655.934104324726</v>
      </c>
      <c r="AI513" s="135">
        <v>783.46646153846177</v>
      </c>
      <c r="AJ513" s="135">
        <v>0</v>
      </c>
      <c r="AK513" s="135">
        <v>-59.579464232965265</v>
      </c>
      <c r="AL513" s="135">
        <v>0</v>
      </c>
      <c r="AM513" s="135">
        <v>-55.483538461538444</v>
      </c>
      <c r="AN513" s="135">
        <v>140.66461538461533</v>
      </c>
      <c r="AO513" s="135">
        <v>0</v>
      </c>
      <c r="AP513" s="135">
        <v>-30.428431442307783</v>
      </c>
      <c r="AQ513" s="135">
        <v>0</v>
      </c>
      <c r="AR513" s="135">
        <v>42.841999999999999</v>
      </c>
      <c r="AS513" s="135">
        <v>17.816307692307646</v>
      </c>
      <c r="AT513" s="135">
        <v>1.5072307692307731</v>
      </c>
      <c r="AU513" s="135">
        <v>-15.697846153846154</v>
      </c>
      <c r="AV513" s="135">
        <v>825.10734195262</v>
      </c>
      <c r="AW513" s="135"/>
      <c r="AX513" s="164"/>
      <c r="AY513" s="132"/>
      <c r="AZ513" s="135"/>
      <c r="BA513" s="135"/>
    </row>
    <row r="514" spans="1:53" ht="16.5" x14ac:dyDescent="0.3">
      <c r="A514" s="132">
        <v>4191</v>
      </c>
      <c r="B514" s="132">
        <v>7</v>
      </c>
      <c r="C514" s="132" t="s">
        <v>709</v>
      </c>
      <c r="D514" s="133">
        <v>7</v>
      </c>
      <c r="E514" s="163">
        <v>200</v>
      </c>
      <c r="F514" s="135">
        <v>6164.32</v>
      </c>
      <c r="G514" s="135">
        <v>0</v>
      </c>
      <c r="H514" s="135">
        <v>0</v>
      </c>
      <c r="I514" s="135">
        <v>0</v>
      </c>
      <c r="J514" s="135">
        <v>117.0442</v>
      </c>
      <c r="K514" s="135">
        <v>2272.2525000000001</v>
      </c>
      <c r="L514" s="135">
        <v>0</v>
      </c>
      <c r="M514" s="135">
        <v>717.75303761343991</v>
      </c>
      <c r="N514" s="135">
        <v>0</v>
      </c>
      <c r="O514" s="135">
        <v>-38.645000000000003</v>
      </c>
      <c r="P514" s="135">
        <v>1658.6433999999999</v>
      </c>
      <c r="Q514" s="135">
        <v>31.293600000000001</v>
      </c>
      <c r="R514" s="135">
        <v>14.16</v>
      </c>
      <c r="S514" s="135">
        <v>10936.821737613442</v>
      </c>
      <c r="T514" s="135"/>
      <c r="U514" s="135">
        <v>6930</v>
      </c>
      <c r="V514" s="135">
        <v>0</v>
      </c>
      <c r="W514" s="135">
        <v>0</v>
      </c>
      <c r="X514" s="135">
        <v>0</v>
      </c>
      <c r="Y514" s="135">
        <v>68.082899999999995</v>
      </c>
      <c r="Z514" s="135">
        <v>2576.6626999999999</v>
      </c>
      <c r="AA514" s="135">
        <v>0</v>
      </c>
      <c r="AB514" s="135">
        <v>698.96490002812004</v>
      </c>
      <c r="AC514" s="135">
        <v>0</v>
      </c>
      <c r="AD514" s="135">
        <v>0</v>
      </c>
      <c r="AE514" s="135">
        <v>1692.9110000000001</v>
      </c>
      <c r="AF514" s="135">
        <v>32.653200000000005</v>
      </c>
      <c r="AG514" s="135">
        <v>0</v>
      </c>
      <c r="AH514" s="135">
        <v>11999.274700028122</v>
      </c>
      <c r="AI514" s="135">
        <v>765.68000000000029</v>
      </c>
      <c r="AJ514" s="135">
        <v>0</v>
      </c>
      <c r="AK514" s="135">
        <v>0</v>
      </c>
      <c r="AL514" s="135">
        <v>0</v>
      </c>
      <c r="AM514" s="135">
        <v>-48.961300000000008</v>
      </c>
      <c r="AN514" s="135">
        <v>304.4101999999998</v>
      </c>
      <c r="AO514" s="135">
        <v>0</v>
      </c>
      <c r="AP514" s="135">
        <v>-18.788137585319873</v>
      </c>
      <c r="AQ514" s="135">
        <v>0</v>
      </c>
      <c r="AR514" s="135">
        <v>38.645000000000003</v>
      </c>
      <c r="AS514" s="135">
        <v>34.26760000000013</v>
      </c>
      <c r="AT514" s="135">
        <v>1.3596000000000039</v>
      </c>
      <c r="AU514" s="135">
        <v>-14.16</v>
      </c>
      <c r="AV514" s="135">
        <v>1062.4529720237429</v>
      </c>
      <c r="AW514" s="135"/>
      <c r="AX514" s="164"/>
      <c r="AY514" s="132"/>
      <c r="AZ514" s="135"/>
      <c r="BA514" s="135"/>
    </row>
    <row r="515" spans="1:53" ht="16.5" x14ac:dyDescent="0.3">
      <c r="A515" s="132">
        <v>4192</v>
      </c>
      <c r="B515" s="132">
        <v>7</v>
      </c>
      <c r="C515" s="132" t="s">
        <v>257</v>
      </c>
      <c r="D515" s="133">
        <v>7</v>
      </c>
      <c r="E515" s="163">
        <v>490</v>
      </c>
      <c r="F515" s="135">
        <v>5471.6602448979593</v>
      </c>
      <c r="G515" s="135">
        <v>0</v>
      </c>
      <c r="H515" s="135">
        <v>7.1996938775510211</v>
      </c>
      <c r="I515" s="135">
        <v>0</v>
      </c>
      <c r="J515" s="135">
        <v>103.8924081632653</v>
      </c>
      <c r="K515" s="135">
        <v>4234.327346938775</v>
      </c>
      <c r="L515" s="135">
        <v>0</v>
      </c>
      <c r="M515" s="135">
        <v>1281.0502952579591</v>
      </c>
      <c r="N515" s="135">
        <v>0</v>
      </c>
      <c r="O515" s="135">
        <v>-34.302612244897958</v>
      </c>
      <c r="P515" s="135">
        <v>1472.2683265306123</v>
      </c>
      <c r="Q515" s="135">
        <v>27.777265306122448</v>
      </c>
      <c r="R515" s="135">
        <v>386.2130408163265</v>
      </c>
      <c r="S515" s="135">
        <v>12950.086009543671</v>
      </c>
      <c r="T515" s="135"/>
      <c r="U515" s="135">
        <v>5994</v>
      </c>
      <c r="V515" s="135">
        <v>0</v>
      </c>
      <c r="W515" s="135">
        <v>7.8631201566759144</v>
      </c>
      <c r="X515" s="135">
        <v>0</v>
      </c>
      <c r="Y515" s="135">
        <v>58.887285714285717</v>
      </c>
      <c r="Z515" s="135">
        <v>3855.4280816326532</v>
      </c>
      <c r="AA515" s="135">
        <v>0</v>
      </c>
      <c r="AB515" s="135">
        <v>1237.1541059327249</v>
      </c>
      <c r="AC515" s="135">
        <v>201.65951587693394</v>
      </c>
      <c r="AD515" s="135">
        <v>0</v>
      </c>
      <c r="AE515" s="135">
        <v>1464.2580857142859</v>
      </c>
      <c r="AF515" s="135">
        <v>28.984081632653059</v>
      </c>
      <c r="AG515" s="135">
        <v>373.64414285714281</v>
      </c>
      <c r="AH515" s="135">
        <v>13221.878419517356</v>
      </c>
      <c r="AI515" s="135">
        <v>522.33975510204073</v>
      </c>
      <c r="AJ515" s="135">
        <v>0</v>
      </c>
      <c r="AK515" s="135">
        <v>0.66342627912489327</v>
      </c>
      <c r="AL515" s="135">
        <v>0</v>
      </c>
      <c r="AM515" s="135">
        <v>-45.005122448979584</v>
      </c>
      <c r="AN515" s="135">
        <v>-378.89926530612183</v>
      </c>
      <c r="AO515" s="135">
        <v>0</v>
      </c>
      <c r="AP515" s="135">
        <v>-43.896189325234218</v>
      </c>
      <c r="AQ515" s="135">
        <v>201.65951587693394</v>
      </c>
      <c r="AR515" s="135">
        <v>34.302612244897958</v>
      </c>
      <c r="AS515" s="135">
        <v>-8.010240816326359</v>
      </c>
      <c r="AT515" s="135">
        <v>1.2068163265306104</v>
      </c>
      <c r="AU515" s="135">
        <v>-12.568897959183687</v>
      </c>
      <c r="AV515" s="135">
        <v>271.79241358182855</v>
      </c>
      <c r="AW515" s="135"/>
      <c r="AX515" s="132"/>
      <c r="AY515" s="132"/>
      <c r="AZ515" s="155"/>
      <c r="BA515" s="155"/>
    </row>
    <row r="516" spans="1:53" ht="16.5" x14ac:dyDescent="0.3">
      <c r="A516" s="132">
        <v>4193</v>
      </c>
      <c r="B516" s="132">
        <v>7</v>
      </c>
      <c r="C516" s="132" t="s">
        <v>717</v>
      </c>
      <c r="D516" s="133">
        <v>7</v>
      </c>
      <c r="E516" s="163">
        <v>265</v>
      </c>
      <c r="F516" s="135">
        <v>5178.2653584905665</v>
      </c>
      <c r="G516" s="135">
        <v>0</v>
      </c>
      <c r="H516" s="135">
        <v>107.75283018867924</v>
      </c>
      <c r="I516" s="135">
        <v>0</v>
      </c>
      <c r="J516" s="135">
        <v>98.321622641509435</v>
      </c>
      <c r="K516" s="135">
        <v>2996.889056603773</v>
      </c>
      <c r="L516" s="135">
        <v>0</v>
      </c>
      <c r="M516" s="135">
        <v>809.17503960234342</v>
      </c>
      <c r="N516" s="135">
        <v>0</v>
      </c>
      <c r="O516" s="135">
        <v>-32.463283018867926</v>
      </c>
      <c r="P516" s="135">
        <v>1082.3205283018867</v>
      </c>
      <c r="Q516" s="135">
        <v>26.28781132075472</v>
      </c>
      <c r="R516" s="135">
        <v>64.710150943396229</v>
      </c>
      <c r="S516" s="135">
        <v>10331.259115074043</v>
      </c>
      <c r="T516" s="135"/>
      <c r="U516" s="135">
        <v>5622.4528301886794</v>
      </c>
      <c r="V516" s="135">
        <v>0</v>
      </c>
      <c r="W516" s="135">
        <v>74.703850616173156</v>
      </c>
      <c r="X516" s="135">
        <v>0</v>
      </c>
      <c r="Y516" s="135">
        <v>55.237056603773581</v>
      </c>
      <c r="Z516" s="135">
        <v>3414.8975849056601</v>
      </c>
      <c r="AA516" s="135">
        <v>0</v>
      </c>
      <c r="AB516" s="135">
        <v>778.27312975415543</v>
      </c>
      <c r="AC516" s="135">
        <v>316.94788061412447</v>
      </c>
      <c r="AD516" s="135">
        <v>0</v>
      </c>
      <c r="AE516" s="135">
        <v>1079.3015660377357</v>
      </c>
      <c r="AF516" s="135">
        <v>27.429924528301889</v>
      </c>
      <c r="AG516" s="135">
        <v>52.815207547169813</v>
      </c>
      <c r="AH516" s="135">
        <v>11422.059030795774</v>
      </c>
      <c r="AI516" s="135">
        <v>444.18747169811286</v>
      </c>
      <c r="AJ516" s="135">
        <v>0</v>
      </c>
      <c r="AK516" s="135">
        <v>-33.048979572506084</v>
      </c>
      <c r="AL516" s="135">
        <v>0</v>
      </c>
      <c r="AM516" s="135">
        <v>-43.084566037735854</v>
      </c>
      <c r="AN516" s="135">
        <v>418.00852830188705</v>
      </c>
      <c r="AO516" s="135">
        <v>0</v>
      </c>
      <c r="AP516" s="135">
        <v>-30.901909848187984</v>
      </c>
      <c r="AQ516" s="135">
        <v>316.94788061412447</v>
      </c>
      <c r="AR516" s="135">
        <v>32.463283018867926</v>
      </c>
      <c r="AS516" s="135">
        <v>-3.0189622641510141</v>
      </c>
      <c r="AT516" s="135">
        <v>1.1421132075471689</v>
      </c>
      <c r="AU516" s="135">
        <v>-11.894943396226417</v>
      </c>
      <c r="AV516" s="135">
        <v>1090.7999211214487</v>
      </c>
      <c r="AW516" s="135"/>
      <c r="AX516" s="132"/>
      <c r="AY516" s="132"/>
      <c r="AZ516" s="155"/>
      <c r="BA516" s="155"/>
    </row>
    <row r="517" spans="1:53" ht="16.5" x14ac:dyDescent="0.3">
      <c r="A517" s="132">
        <v>4194</v>
      </c>
      <c r="B517" s="132">
        <v>7</v>
      </c>
      <c r="C517" s="132" t="s">
        <v>341</v>
      </c>
      <c r="D517" s="133">
        <v>7</v>
      </c>
      <c r="E517" s="163">
        <v>264</v>
      </c>
      <c r="F517" s="135">
        <v>5524.5778787878789</v>
      </c>
      <c r="G517" s="135">
        <v>0</v>
      </c>
      <c r="H517" s="135">
        <v>67.66458333333334</v>
      </c>
      <c r="I517" s="135">
        <v>0</v>
      </c>
      <c r="J517" s="135">
        <v>104.89719696969698</v>
      </c>
      <c r="K517" s="135">
        <v>169.77227272727271</v>
      </c>
      <c r="L517" s="135">
        <v>0</v>
      </c>
      <c r="M517" s="135">
        <v>562.19524444049239</v>
      </c>
      <c r="N517" s="135">
        <v>0</v>
      </c>
      <c r="O517" s="135">
        <v>-34.634356060606059</v>
      </c>
      <c r="P517" s="135">
        <v>1466.6037121212121</v>
      </c>
      <c r="Q517" s="135">
        <v>117.73568181818182</v>
      </c>
      <c r="R517" s="135">
        <v>-277.61007575757571</v>
      </c>
      <c r="S517" s="135">
        <v>7701.2021383798856</v>
      </c>
      <c r="T517" s="135"/>
      <c r="U517" s="135">
        <v>6051.818181818182</v>
      </c>
      <c r="V517" s="135">
        <v>0</v>
      </c>
      <c r="W517" s="135">
        <v>3.5548298261543891</v>
      </c>
      <c r="X517" s="135">
        <v>0</v>
      </c>
      <c r="Y517" s="135">
        <v>59.455303030303035</v>
      </c>
      <c r="Z517" s="135">
        <v>229.41537878787881</v>
      </c>
      <c r="AA517" s="135">
        <v>0</v>
      </c>
      <c r="AB517" s="135">
        <v>542.69445055750964</v>
      </c>
      <c r="AC517" s="135">
        <v>37.429228325643038</v>
      </c>
      <c r="AD517" s="135">
        <v>0</v>
      </c>
      <c r="AE517" s="135">
        <v>1465.2881666666665</v>
      </c>
      <c r="AF517" s="135">
        <v>118.95416666666667</v>
      </c>
      <c r="AG517" s="135">
        <v>-290.30053030303031</v>
      </c>
      <c r="AH517" s="135">
        <v>8218.3091753759745</v>
      </c>
      <c r="AI517" s="135">
        <v>527.24030303030304</v>
      </c>
      <c r="AJ517" s="135">
        <v>0</v>
      </c>
      <c r="AK517" s="135">
        <v>-64.109753507178951</v>
      </c>
      <c r="AL517" s="135">
        <v>0</v>
      </c>
      <c r="AM517" s="135">
        <v>-45.441893939393943</v>
      </c>
      <c r="AN517" s="135">
        <v>59.643106060606101</v>
      </c>
      <c r="AO517" s="135">
        <v>0</v>
      </c>
      <c r="AP517" s="135">
        <v>-19.500793882982748</v>
      </c>
      <c r="AQ517" s="135">
        <v>37.429228325643038</v>
      </c>
      <c r="AR517" s="135">
        <v>34.634356060606059</v>
      </c>
      <c r="AS517" s="135">
        <v>-1.3155454545455996</v>
      </c>
      <c r="AT517" s="135">
        <v>1.2184848484848487</v>
      </c>
      <c r="AU517" s="135">
        <v>-12.6904545454546</v>
      </c>
      <c r="AV517" s="135">
        <v>517.10704448968488</v>
      </c>
      <c r="AW517" s="135"/>
      <c r="AX517" s="132"/>
      <c r="AY517" s="132"/>
      <c r="AZ517" s="155"/>
      <c r="BA517" s="155"/>
    </row>
    <row r="518" spans="1:53" ht="16.5" x14ac:dyDescent="0.3">
      <c r="A518" s="132">
        <v>4195</v>
      </c>
      <c r="B518" s="132">
        <v>7</v>
      </c>
      <c r="C518" s="132" t="s">
        <v>724</v>
      </c>
      <c r="D518" s="133">
        <v>7</v>
      </c>
      <c r="E518" s="163">
        <v>33</v>
      </c>
      <c r="F518" s="135">
        <v>5216.0848484848484</v>
      </c>
      <c r="G518" s="135">
        <v>0</v>
      </c>
      <c r="H518" s="135">
        <v>0</v>
      </c>
      <c r="I518" s="135">
        <v>0</v>
      </c>
      <c r="J518" s="135">
        <v>99.039696969696962</v>
      </c>
      <c r="K518" s="135">
        <v>2273.3454545454542</v>
      </c>
      <c r="L518" s="135">
        <v>0</v>
      </c>
      <c r="M518" s="135">
        <v>2731.6815151515148</v>
      </c>
      <c r="N518" s="135">
        <v>0</v>
      </c>
      <c r="O518" s="135">
        <v>-32.700303030303026</v>
      </c>
      <c r="P518" s="135">
        <v>205.31848484848484</v>
      </c>
      <c r="Q518" s="135">
        <v>548.81727272727267</v>
      </c>
      <c r="R518" s="135">
        <v>105.28030303030303</v>
      </c>
      <c r="S518" s="135">
        <v>11146.867272727273</v>
      </c>
      <c r="T518" s="135"/>
      <c r="U518" s="135">
        <v>5727.272727272727</v>
      </c>
      <c r="V518" s="135">
        <v>0</v>
      </c>
      <c r="W518" s="135">
        <v>0</v>
      </c>
      <c r="X518" s="135">
        <v>0</v>
      </c>
      <c r="Y518" s="135">
        <v>56.266969696969696</v>
      </c>
      <c r="Z518" s="135">
        <v>2577.9021212121215</v>
      </c>
      <c r="AA518" s="135">
        <v>0</v>
      </c>
      <c r="AB518" s="135">
        <v>2674.9230058433209</v>
      </c>
      <c r="AC518" s="135">
        <v>449.15073990771651</v>
      </c>
      <c r="AD518" s="135">
        <v>0</v>
      </c>
      <c r="AE518" s="135">
        <v>204.55454545454543</v>
      </c>
      <c r="AF518" s="135">
        <v>549.96757575757567</v>
      </c>
      <c r="AG518" s="135">
        <v>93.298484848484847</v>
      </c>
      <c r="AH518" s="135">
        <v>12333.336169993461</v>
      </c>
      <c r="AI518" s="135">
        <v>511.18787878787862</v>
      </c>
      <c r="AJ518" s="135">
        <v>0</v>
      </c>
      <c r="AK518" s="135">
        <v>0</v>
      </c>
      <c r="AL518" s="135">
        <v>0</v>
      </c>
      <c r="AM518" s="135">
        <v>-42.772727272727266</v>
      </c>
      <c r="AN518" s="135">
        <v>304.5566666666673</v>
      </c>
      <c r="AO518" s="135">
        <v>0</v>
      </c>
      <c r="AP518" s="135">
        <v>-56.758509308193879</v>
      </c>
      <c r="AQ518" s="135">
        <v>449.15073990771651</v>
      </c>
      <c r="AR518" s="135">
        <v>32.700303030303026</v>
      </c>
      <c r="AS518" s="135">
        <v>-0.76393939393940968</v>
      </c>
      <c r="AT518" s="135">
        <v>1.1503030303030073</v>
      </c>
      <c r="AU518" s="135">
        <v>-11.981818181818184</v>
      </c>
      <c r="AV518" s="135">
        <v>1186.4689008959624</v>
      </c>
      <c r="AW518" s="135"/>
      <c r="AX518" s="164"/>
      <c r="AY518" s="132"/>
      <c r="AZ518" s="135"/>
      <c r="BA518" s="135"/>
    </row>
    <row r="519" spans="1:53" ht="16.5" x14ac:dyDescent="0.3">
      <c r="A519" s="132">
        <v>4198</v>
      </c>
      <c r="B519" s="132">
        <v>7</v>
      </c>
      <c r="C519" s="132" t="s">
        <v>413</v>
      </c>
      <c r="D519" s="133">
        <v>7</v>
      </c>
      <c r="E519" s="163">
        <v>122</v>
      </c>
      <c r="F519" s="135">
        <v>5178.1829508196715</v>
      </c>
      <c r="G519" s="135">
        <v>0</v>
      </c>
      <c r="H519" s="135">
        <v>0</v>
      </c>
      <c r="I519" s="135">
        <v>0</v>
      </c>
      <c r="J519" s="135">
        <v>98.320081967213113</v>
      </c>
      <c r="K519" s="135">
        <v>717.01401639344272</v>
      </c>
      <c r="L519" s="135">
        <v>0</v>
      </c>
      <c r="M519" s="135">
        <v>0</v>
      </c>
      <c r="N519" s="135">
        <v>0</v>
      </c>
      <c r="O519" s="135">
        <v>-32.462786885245905</v>
      </c>
      <c r="P519" s="135">
        <v>1307.3740983606556</v>
      </c>
      <c r="Q519" s="135">
        <v>130.20786885245903</v>
      </c>
      <c r="R519" s="135">
        <v>-280.01745901639345</v>
      </c>
      <c r="S519" s="135">
        <v>7118.6187704918029</v>
      </c>
      <c r="T519" s="135"/>
      <c r="U519" s="135">
        <v>5654.5081967213118</v>
      </c>
      <c r="V519" s="135">
        <v>0</v>
      </c>
      <c r="W519" s="135">
        <v>0</v>
      </c>
      <c r="X519" s="135">
        <v>0</v>
      </c>
      <c r="Y519" s="135">
        <v>55.551967213114757</v>
      </c>
      <c r="Z519" s="135">
        <v>852.88819672131149</v>
      </c>
      <c r="AA519" s="135">
        <v>0</v>
      </c>
      <c r="AB519" s="135">
        <v>0</v>
      </c>
      <c r="AC519" s="135">
        <v>0</v>
      </c>
      <c r="AD519" s="135">
        <v>0</v>
      </c>
      <c r="AE519" s="135">
        <v>1305.5032377049179</v>
      </c>
      <c r="AF519" s="135">
        <v>131.34991803278689</v>
      </c>
      <c r="AG519" s="135">
        <v>-291.91221311475408</v>
      </c>
      <c r="AH519" s="135">
        <v>7707.8893032786891</v>
      </c>
      <c r="AI519" s="135">
        <v>476.3252459016403</v>
      </c>
      <c r="AJ519" s="135">
        <v>0</v>
      </c>
      <c r="AK519" s="135">
        <v>0</v>
      </c>
      <c r="AL519" s="135">
        <v>0</v>
      </c>
      <c r="AM519" s="135">
        <v>-42.768114754098356</v>
      </c>
      <c r="AN519" s="135">
        <v>135.87418032786877</v>
      </c>
      <c r="AO519" s="135">
        <v>0</v>
      </c>
      <c r="AP519" s="135">
        <v>0</v>
      </c>
      <c r="AQ519" s="135">
        <v>0</v>
      </c>
      <c r="AR519" s="135">
        <v>32.462786885245905</v>
      </c>
      <c r="AS519" s="135">
        <v>-1.8708606557377152</v>
      </c>
      <c r="AT519" s="135">
        <v>1.1420491803278594</v>
      </c>
      <c r="AU519" s="135">
        <v>-11.894754098360636</v>
      </c>
      <c r="AV519" s="135">
        <v>589.27054088962143</v>
      </c>
      <c r="AW519" s="135"/>
      <c r="AX519" s="164"/>
      <c r="AY519" s="132"/>
      <c r="AZ519" s="135"/>
      <c r="BA519" s="135"/>
    </row>
    <row r="520" spans="1:53" ht="16.5" x14ac:dyDescent="0.3">
      <c r="A520" s="132">
        <v>4199</v>
      </c>
      <c r="B520" s="132">
        <v>7</v>
      </c>
      <c r="C520" s="132" t="s">
        <v>330</v>
      </c>
      <c r="D520" s="133">
        <v>7</v>
      </c>
      <c r="E520" s="163">
        <v>612</v>
      </c>
      <c r="F520" s="135">
        <v>5296.1287581699344</v>
      </c>
      <c r="G520" s="135">
        <v>0</v>
      </c>
      <c r="H520" s="135">
        <v>1.8763725490196077</v>
      </c>
      <c r="I520" s="135">
        <v>0</v>
      </c>
      <c r="J520" s="135">
        <v>100.55954248366014</v>
      </c>
      <c r="K520" s="135">
        <v>44.613398692810456</v>
      </c>
      <c r="L520" s="135">
        <v>0</v>
      </c>
      <c r="M520" s="135">
        <v>0</v>
      </c>
      <c r="N520" s="135">
        <v>0</v>
      </c>
      <c r="O520" s="135">
        <v>-33.202189542483666</v>
      </c>
      <c r="P520" s="135">
        <v>1284.6260294117649</v>
      </c>
      <c r="Q520" s="135">
        <v>26.886160130718952</v>
      </c>
      <c r="R520" s="135">
        <v>68.992810457516327</v>
      </c>
      <c r="S520" s="135">
        <v>6790.4808823529411</v>
      </c>
      <c r="T520" s="135"/>
      <c r="U520" s="135">
        <v>5775</v>
      </c>
      <c r="V520" s="135">
        <v>0</v>
      </c>
      <c r="W520" s="135">
        <v>38.958649877470855</v>
      </c>
      <c r="X520" s="135">
        <v>0</v>
      </c>
      <c r="Y520" s="135">
        <v>56.735751633986929</v>
      </c>
      <c r="Z520" s="135">
        <v>60.385650230680511</v>
      </c>
      <c r="AA520" s="135">
        <v>0</v>
      </c>
      <c r="AB520" s="135">
        <v>0</v>
      </c>
      <c r="AC520" s="135">
        <v>0</v>
      </c>
      <c r="AD520" s="135">
        <v>0</v>
      </c>
      <c r="AE520" s="135">
        <v>1269.0532843137255</v>
      </c>
      <c r="AF520" s="135">
        <v>28.05426470588235</v>
      </c>
      <c r="AG520" s="135">
        <v>56.827124183006532</v>
      </c>
      <c r="AH520" s="135">
        <v>7285.0147249447518</v>
      </c>
      <c r="AI520" s="135">
        <v>478.87124183006563</v>
      </c>
      <c r="AJ520" s="135">
        <v>0</v>
      </c>
      <c r="AK520" s="135">
        <v>37.082277328451248</v>
      </c>
      <c r="AL520" s="135">
        <v>0</v>
      </c>
      <c r="AM520" s="135">
        <v>-43.823790849673209</v>
      </c>
      <c r="AN520" s="135">
        <v>15.772251537870055</v>
      </c>
      <c r="AO520" s="135">
        <v>0</v>
      </c>
      <c r="AP520" s="135">
        <v>0</v>
      </c>
      <c r="AQ520" s="135">
        <v>0</v>
      </c>
      <c r="AR520" s="135">
        <v>33.202189542483666</v>
      </c>
      <c r="AS520" s="135">
        <v>-15.572745098039377</v>
      </c>
      <c r="AT520" s="135">
        <v>1.1681045751633974</v>
      </c>
      <c r="AU520" s="135">
        <v>-12.165686274509795</v>
      </c>
      <c r="AV520" s="135">
        <v>494.53385108448407</v>
      </c>
      <c r="AW520" s="135"/>
      <c r="AX520" s="164"/>
      <c r="AY520" s="132"/>
      <c r="AZ520" s="135"/>
      <c r="BA520" s="135"/>
    </row>
    <row r="521" spans="1:53" ht="16.5" x14ac:dyDescent="0.3">
      <c r="A521" s="132">
        <v>4200</v>
      </c>
      <c r="B521" s="132">
        <v>7</v>
      </c>
      <c r="C521" s="132" t="s">
        <v>726</v>
      </c>
      <c r="D521" s="133">
        <v>7</v>
      </c>
      <c r="E521" s="163">
        <v>154</v>
      </c>
      <c r="F521" s="135">
        <v>6730.1402597402594</v>
      </c>
      <c r="G521" s="135">
        <v>0</v>
      </c>
      <c r="H521" s="135">
        <v>75.378701298701301</v>
      </c>
      <c r="I521" s="135">
        <v>0</v>
      </c>
      <c r="J521" s="135">
        <v>127.78766233766234</v>
      </c>
      <c r="K521" s="135">
        <v>3691.0636363636368</v>
      </c>
      <c r="L521" s="135">
        <v>0</v>
      </c>
      <c r="M521" s="135">
        <v>0</v>
      </c>
      <c r="N521" s="135">
        <v>0</v>
      </c>
      <c r="O521" s="135">
        <v>-42.192207792207796</v>
      </c>
      <c r="P521" s="135">
        <v>1772.548116883117</v>
      </c>
      <c r="Q521" s="135">
        <v>34.166038961038964</v>
      </c>
      <c r="R521" s="135">
        <v>15.459740259740261</v>
      </c>
      <c r="S521" s="135">
        <v>12404.351948051948</v>
      </c>
      <c r="T521" s="135"/>
      <c r="U521" s="135">
        <v>7561.26</v>
      </c>
      <c r="V521" s="135">
        <v>0</v>
      </c>
      <c r="W521" s="135">
        <v>83.855194082058802</v>
      </c>
      <c r="X521" s="135">
        <v>0</v>
      </c>
      <c r="Y521" s="135">
        <v>72.02155844155844</v>
      </c>
      <c r="Z521" s="135">
        <v>4185.5498051948052</v>
      </c>
      <c r="AA521" s="135">
        <v>0</v>
      </c>
      <c r="AB521" s="135">
        <v>0</v>
      </c>
      <c r="AC521" s="135">
        <v>0</v>
      </c>
      <c r="AD521" s="135">
        <v>0</v>
      </c>
      <c r="AE521" s="135">
        <v>1769.4624155844156</v>
      </c>
      <c r="AF521" s="135">
        <v>35.650454545454544</v>
      </c>
      <c r="AG521" s="135">
        <v>0</v>
      </c>
      <c r="AH521" s="135">
        <v>13707.799427848293</v>
      </c>
      <c r="AI521" s="135">
        <v>831.11974025974087</v>
      </c>
      <c r="AJ521" s="135">
        <v>0</v>
      </c>
      <c r="AK521" s="135">
        <v>8.4764927833575001</v>
      </c>
      <c r="AL521" s="135">
        <v>0</v>
      </c>
      <c r="AM521" s="135">
        <v>-55.7661038961039</v>
      </c>
      <c r="AN521" s="135">
        <v>494.48616883116847</v>
      </c>
      <c r="AO521" s="135">
        <v>0</v>
      </c>
      <c r="AP521" s="135">
        <v>0</v>
      </c>
      <c r="AQ521" s="135">
        <v>0</v>
      </c>
      <c r="AR521" s="135">
        <v>42.192207792207796</v>
      </c>
      <c r="AS521" s="135">
        <v>-3.0857012987014514</v>
      </c>
      <c r="AT521" s="135">
        <v>1.4844155844155793</v>
      </c>
      <c r="AU521" s="135">
        <v>-15.459740259740261</v>
      </c>
      <c r="AV521" s="135">
        <v>1303.4474895770127</v>
      </c>
      <c r="AW521" s="135"/>
      <c r="AX521" s="132"/>
      <c r="AY521" s="132"/>
      <c r="AZ521" s="155"/>
      <c r="BA521" s="155"/>
    </row>
    <row r="522" spans="1:53" ht="16.5" x14ac:dyDescent="0.3">
      <c r="A522" s="132">
        <v>4201</v>
      </c>
      <c r="B522" s="132">
        <v>7</v>
      </c>
      <c r="C522" s="132" t="s">
        <v>296</v>
      </c>
      <c r="D522" s="133">
        <v>7</v>
      </c>
      <c r="E522" s="163">
        <v>82</v>
      </c>
      <c r="F522" s="135">
        <v>5152.0107317073171</v>
      </c>
      <c r="G522" s="135">
        <v>0</v>
      </c>
      <c r="H522" s="135">
        <v>89.209878048780482</v>
      </c>
      <c r="I522" s="135">
        <v>0</v>
      </c>
      <c r="J522" s="135">
        <v>97.823170731707322</v>
      </c>
      <c r="K522" s="135">
        <v>1232.1596341463414</v>
      </c>
      <c r="L522" s="135">
        <v>0</v>
      </c>
      <c r="M522" s="135">
        <v>0</v>
      </c>
      <c r="N522" s="135">
        <v>0</v>
      </c>
      <c r="O522" s="135">
        <v>-32.298658536585364</v>
      </c>
      <c r="P522" s="135">
        <v>1393.5737804878049</v>
      </c>
      <c r="Q522" s="135">
        <v>26.154512195121949</v>
      </c>
      <c r="R522" s="135">
        <v>11.834634146341465</v>
      </c>
      <c r="S522" s="135">
        <v>7970.4676829268292</v>
      </c>
      <c r="T522" s="135"/>
      <c r="U522" s="135">
        <v>5493.292682926829</v>
      </c>
      <c r="V522" s="135">
        <v>0</v>
      </c>
      <c r="W522" s="135">
        <v>62.221987416500006</v>
      </c>
      <c r="X522" s="135">
        <v>0</v>
      </c>
      <c r="Y522" s="135">
        <v>53.968170731707318</v>
      </c>
      <c r="Z522" s="135">
        <v>1416.201707317073</v>
      </c>
      <c r="AA522" s="135">
        <v>0</v>
      </c>
      <c r="AB522" s="135">
        <v>0</v>
      </c>
      <c r="AC522" s="135">
        <v>0</v>
      </c>
      <c r="AD522" s="135">
        <v>0</v>
      </c>
      <c r="AE522" s="135">
        <v>1382.0026219512195</v>
      </c>
      <c r="AF522" s="135">
        <v>27.290853658536587</v>
      </c>
      <c r="AG522" s="135">
        <v>0</v>
      </c>
      <c r="AH522" s="135">
        <v>8434.9780240018663</v>
      </c>
      <c r="AI522" s="135">
        <v>341.28195121951194</v>
      </c>
      <c r="AJ522" s="135">
        <v>0</v>
      </c>
      <c r="AK522" s="135">
        <v>-26.987890632280475</v>
      </c>
      <c r="AL522" s="135">
        <v>0</v>
      </c>
      <c r="AM522" s="135">
        <v>-43.855000000000004</v>
      </c>
      <c r="AN522" s="135">
        <v>184.04207317073156</v>
      </c>
      <c r="AO522" s="135">
        <v>0</v>
      </c>
      <c r="AP522" s="135">
        <v>0</v>
      </c>
      <c r="AQ522" s="135">
        <v>0</v>
      </c>
      <c r="AR522" s="135">
        <v>32.298658536585364</v>
      </c>
      <c r="AS522" s="135">
        <v>-11.571158536585472</v>
      </c>
      <c r="AT522" s="135">
        <v>1.136341463414638</v>
      </c>
      <c r="AU522" s="135">
        <v>-11.834634146341465</v>
      </c>
      <c r="AV522" s="135">
        <v>464.51035008173591</v>
      </c>
      <c r="AW522" s="135"/>
      <c r="AX522" s="164"/>
      <c r="AY522" s="132"/>
      <c r="AZ522" s="135"/>
      <c r="BA522" s="135"/>
    </row>
    <row r="523" spans="1:53" ht="16.5" x14ac:dyDescent="0.3">
      <c r="A523" s="132">
        <v>4202</v>
      </c>
      <c r="B523" s="132">
        <v>7</v>
      </c>
      <c r="C523" s="132" t="s">
        <v>527</v>
      </c>
      <c r="D523" s="133">
        <v>7</v>
      </c>
      <c r="E523" s="163">
        <v>326</v>
      </c>
      <c r="F523" s="135">
        <v>5165.1899386503064</v>
      </c>
      <c r="G523" s="135">
        <v>0</v>
      </c>
      <c r="H523" s="135">
        <v>2.9540184049079756</v>
      </c>
      <c r="I523" s="135">
        <v>0</v>
      </c>
      <c r="J523" s="135">
        <v>98.073343558282204</v>
      </c>
      <c r="K523" s="135">
        <v>1827.7150306748465</v>
      </c>
      <c r="L523" s="135">
        <v>0</v>
      </c>
      <c r="M523" s="135">
        <v>0</v>
      </c>
      <c r="N523" s="135">
        <v>0</v>
      </c>
      <c r="O523" s="135">
        <v>-32.381319018404909</v>
      </c>
      <c r="P523" s="135">
        <v>1392.3796012269938</v>
      </c>
      <c r="Q523" s="135">
        <v>26.221441717791414</v>
      </c>
      <c r="R523" s="135">
        <v>71.119631901840492</v>
      </c>
      <c r="S523" s="135">
        <v>8551.271687116563</v>
      </c>
      <c r="T523" s="135"/>
      <c r="U523" s="135">
        <v>5613.9570552147243</v>
      </c>
      <c r="V523" s="135">
        <v>0</v>
      </c>
      <c r="W523" s="135">
        <v>4.6522576687610044</v>
      </c>
      <c r="X523" s="135">
        <v>0</v>
      </c>
      <c r="Y523" s="135">
        <v>55.153619631901847</v>
      </c>
      <c r="Z523" s="135">
        <v>2072.5712269938649</v>
      </c>
      <c r="AA523" s="135">
        <v>0</v>
      </c>
      <c r="AB523" s="135">
        <v>0</v>
      </c>
      <c r="AC523" s="135">
        <v>0</v>
      </c>
      <c r="AD523" s="135">
        <v>0</v>
      </c>
      <c r="AE523" s="135">
        <v>1379.4797699386504</v>
      </c>
      <c r="AF523" s="135">
        <v>27.360674846625766</v>
      </c>
      <c r="AG523" s="135">
        <v>59.254723926380372</v>
      </c>
      <c r="AH523" s="135">
        <v>9212.4293282209092</v>
      </c>
      <c r="AI523" s="135">
        <v>448.76711656441785</v>
      </c>
      <c r="AJ523" s="135">
        <v>0</v>
      </c>
      <c r="AK523" s="135">
        <v>1.6982392638530288</v>
      </c>
      <c r="AL523" s="135">
        <v>0</v>
      </c>
      <c r="AM523" s="135">
        <v>-42.919723926380357</v>
      </c>
      <c r="AN523" s="135">
        <v>244.85619631901841</v>
      </c>
      <c r="AO523" s="135">
        <v>0</v>
      </c>
      <c r="AP523" s="135">
        <v>0</v>
      </c>
      <c r="AQ523" s="135">
        <v>0</v>
      </c>
      <c r="AR523" s="135">
        <v>32.381319018404909</v>
      </c>
      <c r="AS523" s="135">
        <v>-12.899831288343421</v>
      </c>
      <c r="AT523" s="135">
        <v>1.139233128834352</v>
      </c>
      <c r="AU523" s="135">
        <v>-11.86490797546012</v>
      </c>
      <c r="AV523" s="135">
        <v>661.15764193937946</v>
      </c>
      <c r="AW523" s="135"/>
      <c r="AX523" s="164"/>
      <c r="AY523" s="132"/>
      <c r="AZ523" s="135"/>
      <c r="BA523" s="135"/>
    </row>
    <row r="524" spans="1:53" ht="16.5" x14ac:dyDescent="0.3">
      <c r="A524" s="132">
        <v>4203</v>
      </c>
      <c r="B524" s="132">
        <v>7</v>
      </c>
      <c r="C524" s="132" t="s">
        <v>719</v>
      </c>
      <c r="D524" s="133">
        <v>7</v>
      </c>
      <c r="E524" s="163">
        <v>51</v>
      </c>
      <c r="F524" s="135">
        <v>6791.2</v>
      </c>
      <c r="G524" s="135">
        <v>0</v>
      </c>
      <c r="H524" s="135">
        <v>0</v>
      </c>
      <c r="I524" s="135">
        <v>0</v>
      </c>
      <c r="J524" s="135">
        <v>128.9470588235294</v>
      </c>
      <c r="K524" s="135">
        <v>2784.6058823529411</v>
      </c>
      <c r="L524" s="135">
        <v>0</v>
      </c>
      <c r="M524" s="135">
        <v>0</v>
      </c>
      <c r="N524" s="135">
        <v>0</v>
      </c>
      <c r="O524" s="135">
        <v>-42.575098039215682</v>
      </c>
      <c r="P524" s="135">
        <v>2500.2547058823529</v>
      </c>
      <c r="Q524" s="135">
        <v>34.476078431372549</v>
      </c>
      <c r="R524" s="135">
        <v>-314.09313725490193</v>
      </c>
      <c r="S524" s="135">
        <v>11882.815490196079</v>
      </c>
      <c r="T524" s="135"/>
      <c r="U524" s="135">
        <v>7560</v>
      </c>
      <c r="V524" s="135">
        <v>0</v>
      </c>
      <c r="W524" s="135">
        <v>0</v>
      </c>
      <c r="X524" s="135">
        <v>0</v>
      </c>
      <c r="Y524" s="135">
        <v>74.272352941176464</v>
      </c>
      <c r="Z524" s="135">
        <v>3133.9203921568628</v>
      </c>
      <c r="AA524" s="135">
        <v>0</v>
      </c>
      <c r="AB524" s="135">
        <v>0</v>
      </c>
      <c r="AC524" s="135">
        <v>0</v>
      </c>
      <c r="AD524" s="135">
        <v>0</v>
      </c>
      <c r="AE524" s="135">
        <v>2502.94768627451</v>
      </c>
      <c r="AF524" s="135">
        <v>35.973921568627453</v>
      </c>
      <c r="AG524" s="135">
        <v>-329.69313725490196</v>
      </c>
      <c r="AH524" s="135">
        <v>12977.421215686276</v>
      </c>
      <c r="AI524" s="135">
        <v>768.80000000000018</v>
      </c>
      <c r="AJ524" s="135">
        <v>0</v>
      </c>
      <c r="AK524" s="135">
        <v>0</v>
      </c>
      <c r="AL524" s="135">
        <v>0</v>
      </c>
      <c r="AM524" s="135">
        <v>-54.674705882352939</v>
      </c>
      <c r="AN524" s="135">
        <v>349.31450980392174</v>
      </c>
      <c r="AO524" s="135">
        <v>0</v>
      </c>
      <c r="AP524" s="135">
        <v>0</v>
      </c>
      <c r="AQ524" s="135">
        <v>0</v>
      </c>
      <c r="AR524" s="135">
        <v>42.575098039215682</v>
      </c>
      <c r="AS524" s="135">
        <v>2.6929803921570965</v>
      </c>
      <c r="AT524" s="135">
        <v>1.4978431372549039</v>
      </c>
      <c r="AU524" s="135">
        <v>-15.600000000000023</v>
      </c>
      <c r="AV524" s="135">
        <v>1094.6057337832117</v>
      </c>
      <c r="AW524" s="135"/>
      <c r="AX524" s="132"/>
      <c r="AY524" s="132"/>
      <c r="AZ524" s="155"/>
      <c r="BA524" s="155"/>
    </row>
    <row r="525" spans="1:53" ht="16.5" x14ac:dyDescent="0.3">
      <c r="A525" s="132">
        <v>4204</v>
      </c>
      <c r="B525" s="132">
        <v>7</v>
      </c>
      <c r="C525" s="132" t="s">
        <v>720</v>
      </c>
      <c r="D525" s="133">
        <v>7</v>
      </c>
      <c r="E525" s="163">
        <v>59</v>
      </c>
      <c r="F525" s="135">
        <v>6820.4189830508467</v>
      </c>
      <c r="G525" s="135">
        <v>0</v>
      </c>
      <c r="H525" s="135">
        <v>0</v>
      </c>
      <c r="I525" s="135">
        <v>0</v>
      </c>
      <c r="J525" s="135">
        <v>129.50186440677965</v>
      </c>
      <c r="K525" s="135">
        <v>2885.4</v>
      </c>
      <c r="L525" s="135">
        <v>0</v>
      </c>
      <c r="M525" s="135">
        <v>0</v>
      </c>
      <c r="N525" s="135">
        <v>0</v>
      </c>
      <c r="O525" s="135">
        <v>-42.758135593220338</v>
      </c>
      <c r="P525" s="135">
        <v>2489.4861016949153</v>
      </c>
      <c r="Q525" s="135">
        <v>70.789322033898287</v>
      </c>
      <c r="R525" s="135">
        <v>15.667118644067797</v>
      </c>
      <c r="S525" s="135">
        <v>12368.505254237287</v>
      </c>
      <c r="T525" s="135"/>
      <c r="U525" s="135">
        <v>7599.465762711864</v>
      </c>
      <c r="V525" s="135">
        <v>0</v>
      </c>
      <c r="W525" s="135">
        <v>15.978962347138559</v>
      </c>
      <c r="X525" s="135">
        <v>0</v>
      </c>
      <c r="Y525" s="135">
        <v>74.272203389830509</v>
      </c>
      <c r="Z525" s="135">
        <v>3271.9527118644069</v>
      </c>
      <c r="AA525" s="135">
        <v>0</v>
      </c>
      <c r="AB525" s="135">
        <v>0</v>
      </c>
      <c r="AC525" s="135">
        <v>0</v>
      </c>
      <c r="AD525" s="135">
        <v>0</v>
      </c>
      <c r="AE525" s="135">
        <v>2514.9475932203395</v>
      </c>
      <c r="AF525" s="135">
        <v>72.2935593220339</v>
      </c>
      <c r="AG525" s="135">
        <v>0</v>
      </c>
      <c r="AH525" s="135">
        <v>13548.910792855613</v>
      </c>
      <c r="AI525" s="135">
        <v>779.04677966101735</v>
      </c>
      <c r="AJ525" s="135">
        <v>0</v>
      </c>
      <c r="AK525" s="135">
        <v>15.978962347138559</v>
      </c>
      <c r="AL525" s="135">
        <v>0</v>
      </c>
      <c r="AM525" s="135">
        <v>-55.229661016949137</v>
      </c>
      <c r="AN525" s="135">
        <v>386.55271186440677</v>
      </c>
      <c r="AO525" s="135">
        <v>0</v>
      </c>
      <c r="AP525" s="135">
        <v>0</v>
      </c>
      <c r="AQ525" s="135">
        <v>0</v>
      </c>
      <c r="AR525" s="135">
        <v>42.758135593220338</v>
      </c>
      <c r="AS525" s="135">
        <v>25.461491525424208</v>
      </c>
      <c r="AT525" s="135">
        <v>1.504237288135613</v>
      </c>
      <c r="AU525" s="135">
        <v>-15.667118644067797</v>
      </c>
      <c r="AV525" s="135">
        <v>1180.4055444820617</v>
      </c>
      <c r="AW525" s="135"/>
      <c r="AX525" s="132"/>
      <c r="AY525" s="132"/>
      <c r="AZ525" s="155"/>
      <c r="BA525" s="155"/>
    </row>
    <row r="526" spans="1:53" ht="16.5" x14ac:dyDescent="0.3">
      <c r="A526" s="132">
        <v>4205</v>
      </c>
      <c r="B526" s="132">
        <v>7</v>
      </c>
      <c r="C526" s="132" t="s">
        <v>459</v>
      </c>
      <c r="D526" s="133">
        <v>7</v>
      </c>
      <c r="E526" s="163">
        <v>146</v>
      </c>
      <c r="F526" s="135">
        <v>4492.9978082191783</v>
      </c>
      <c r="G526" s="135">
        <v>0</v>
      </c>
      <c r="H526" s="135">
        <v>0</v>
      </c>
      <c r="I526" s="135">
        <v>0</v>
      </c>
      <c r="J526" s="135">
        <v>85.310205479452065</v>
      </c>
      <c r="K526" s="135">
        <v>3425.9335616438357</v>
      </c>
      <c r="L526" s="135">
        <v>0</v>
      </c>
      <c r="M526" s="135">
        <v>0</v>
      </c>
      <c r="N526" s="135">
        <v>0</v>
      </c>
      <c r="O526" s="135">
        <v>-28.167260273972602</v>
      </c>
      <c r="P526" s="135">
        <v>1020.6367123287671</v>
      </c>
      <c r="Q526" s="135">
        <v>22.808972602739725</v>
      </c>
      <c r="R526" s="135">
        <v>-207.80116438356166</v>
      </c>
      <c r="S526" s="135">
        <v>8811.718835616437</v>
      </c>
      <c r="T526" s="135"/>
      <c r="U526" s="135">
        <v>4703.4246575342468</v>
      </c>
      <c r="V526" s="135">
        <v>0</v>
      </c>
      <c r="W526" s="135">
        <v>0</v>
      </c>
      <c r="X526" s="135">
        <v>0</v>
      </c>
      <c r="Y526" s="135">
        <v>46.208219178082189</v>
      </c>
      <c r="Z526" s="135">
        <v>3862.8604794520547</v>
      </c>
      <c r="AA526" s="135">
        <v>0</v>
      </c>
      <c r="AB526" s="135">
        <v>0</v>
      </c>
      <c r="AC526" s="135">
        <v>0</v>
      </c>
      <c r="AD526" s="135">
        <v>0</v>
      </c>
      <c r="AE526" s="135">
        <v>964.48691780821923</v>
      </c>
      <c r="AF526" s="135">
        <v>23.799931506849315</v>
      </c>
      <c r="AG526" s="135">
        <v>-218.12198630136987</v>
      </c>
      <c r="AH526" s="135">
        <v>9382.6582191780817</v>
      </c>
      <c r="AI526" s="135">
        <v>210.42684931506847</v>
      </c>
      <c r="AJ526" s="135">
        <v>0</v>
      </c>
      <c r="AK526" s="135">
        <v>0</v>
      </c>
      <c r="AL526" s="135">
        <v>0</v>
      </c>
      <c r="AM526" s="135">
        <v>-39.101986301369877</v>
      </c>
      <c r="AN526" s="135">
        <v>436.92691780821906</v>
      </c>
      <c r="AO526" s="135">
        <v>0</v>
      </c>
      <c r="AP526" s="135">
        <v>0</v>
      </c>
      <c r="AQ526" s="135">
        <v>0</v>
      </c>
      <c r="AR526" s="135">
        <v>28.167260273972602</v>
      </c>
      <c r="AS526" s="135">
        <v>-56.149794520547857</v>
      </c>
      <c r="AT526" s="135">
        <v>0.99095890410958987</v>
      </c>
      <c r="AU526" s="135">
        <v>-10.320821917808217</v>
      </c>
      <c r="AV526" s="135">
        <v>570.9393916847788</v>
      </c>
      <c r="AW526" s="135"/>
      <c r="AX526" s="132"/>
      <c r="AY526" s="132"/>
      <c r="AZ526" s="155"/>
      <c r="BA526" s="155"/>
    </row>
    <row r="527" spans="1:53" ht="16.5" x14ac:dyDescent="0.3">
      <c r="A527" s="132">
        <v>4208</v>
      </c>
      <c r="B527" s="132">
        <v>7</v>
      </c>
      <c r="C527" s="132" t="s">
        <v>465</v>
      </c>
      <c r="D527" s="133">
        <v>7</v>
      </c>
      <c r="E527" s="163">
        <v>95</v>
      </c>
      <c r="F527" s="135">
        <v>5027.6875789473688</v>
      </c>
      <c r="G527" s="135">
        <v>0</v>
      </c>
      <c r="H527" s="135">
        <v>0</v>
      </c>
      <c r="I527" s="135">
        <v>0</v>
      </c>
      <c r="J527" s="135">
        <v>95.462526315789475</v>
      </c>
      <c r="K527" s="135">
        <v>1246.8469473684211</v>
      </c>
      <c r="L527" s="135">
        <v>0</v>
      </c>
      <c r="M527" s="135">
        <v>0</v>
      </c>
      <c r="N527" s="135">
        <v>0</v>
      </c>
      <c r="O527" s="135">
        <v>-31.519263157894738</v>
      </c>
      <c r="P527" s="135">
        <v>1424.5552631578948</v>
      </c>
      <c r="Q527" s="135">
        <v>25.523473684210526</v>
      </c>
      <c r="R527" s="135">
        <v>11.549052631578949</v>
      </c>
      <c r="S527" s="135">
        <v>7800.1055789473685</v>
      </c>
      <c r="T527" s="135"/>
      <c r="U527" s="135">
        <v>5471.0526315789475</v>
      </c>
      <c r="V527" s="135">
        <v>0</v>
      </c>
      <c r="W527" s="135">
        <v>0</v>
      </c>
      <c r="X527" s="135">
        <v>0</v>
      </c>
      <c r="Y527" s="135">
        <v>53.749684210526318</v>
      </c>
      <c r="Z527" s="135">
        <v>1449.3481163434903</v>
      </c>
      <c r="AA527" s="135">
        <v>0</v>
      </c>
      <c r="AB527" s="135">
        <v>0</v>
      </c>
      <c r="AC527" s="135">
        <v>0</v>
      </c>
      <c r="AD527" s="135">
        <v>0</v>
      </c>
      <c r="AE527" s="135">
        <v>1405.6665789473684</v>
      </c>
      <c r="AF527" s="135">
        <v>26.632421052631578</v>
      </c>
      <c r="AG527" s="135">
        <v>0</v>
      </c>
      <c r="AH527" s="135">
        <v>8406.4494321329639</v>
      </c>
      <c r="AI527" s="135">
        <v>443.36505263157869</v>
      </c>
      <c r="AJ527" s="135">
        <v>0</v>
      </c>
      <c r="AK527" s="135">
        <v>0</v>
      </c>
      <c r="AL527" s="135">
        <v>0</v>
      </c>
      <c r="AM527" s="135">
        <v>-41.712842105263157</v>
      </c>
      <c r="AN527" s="135">
        <v>202.50116897506928</v>
      </c>
      <c r="AO527" s="135">
        <v>0</v>
      </c>
      <c r="AP527" s="135">
        <v>0</v>
      </c>
      <c r="AQ527" s="135">
        <v>0</v>
      </c>
      <c r="AR527" s="135">
        <v>31.519263157894738</v>
      </c>
      <c r="AS527" s="135">
        <v>-18.888684210526435</v>
      </c>
      <c r="AT527" s="135">
        <v>1.1089473684210525</v>
      </c>
      <c r="AU527" s="135">
        <v>-11.549052631578949</v>
      </c>
      <c r="AV527" s="135">
        <v>606.34385988538247</v>
      </c>
      <c r="AW527" s="135"/>
      <c r="AX527" s="164"/>
      <c r="AY527" s="132"/>
      <c r="AZ527" s="135"/>
      <c r="BA527" s="135"/>
    </row>
    <row r="528" spans="1:53" ht="16.5" x14ac:dyDescent="0.3">
      <c r="A528" s="132">
        <v>4209</v>
      </c>
      <c r="B528" s="132">
        <v>7</v>
      </c>
      <c r="C528" s="132" t="s">
        <v>304</v>
      </c>
      <c r="D528" s="133">
        <v>7</v>
      </c>
      <c r="E528" s="163">
        <v>150</v>
      </c>
      <c r="F528" s="135">
        <v>4843.6928000000007</v>
      </c>
      <c r="G528" s="135">
        <v>0</v>
      </c>
      <c r="H528" s="135">
        <v>0</v>
      </c>
      <c r="I528" s="135">
        <v>0</v>
      </c>
      <c r="J528" s="135">
        <v>91.969000000000008</v>
      </c>
      <c r="K528" s="135">
        <v>1401.3426000000002</v>
      </c>
      <c r="L528" s="135">
        <v>0</v>
      </c>
      <c r="M528" s="135">
        <v>0</v>
      </c>
      <c r="N528" s="135">
        <v>0</v>
      </c>
      <c r="O528" s="135">
        <v>-30.3658</v>
      </c>
      <c r="P528" s="135">
        <v>1392.8201333333334</v>
      </c>
      <c r="Q528" s="135">
        <v>24.589333333333332</v>
      </c>
      <c r="R528" s="135">
        <v>11.1264</v>
      </c>
      <c r="S528" s="135">
        <v>7735.1744666666682</v>
      </c>
      <c r="T528" s="135"/>
      <c r="U528" s="135">
        <v>5124</v>
      </c>
      <c r="V528" s="135">
        <v>0</v>
      </c>
      <c r="W528" s="135">
        <v>0</v>
      </c>
      <c r="X528" s="135">
        <v>0</v>
      </c>
      <c r="Y528" s="135">
        <v>50.340066666666665</v>
      </c>
      <c r="Z528" s="135">
        <v>1624.8716666666667</v>
      </c>
      <c r="AA528" s="135">
        <v>0</v>
      </c>
      <c r="AB528" s="135">
        <v>0</v>
      </c>
      <c r="AC528" s="135">
        <v>0</v>
      </c>
      <c r="AD528" s="135">
        <v>0</v>
      </c>
      <c r="AE528" s="135">
        <v>1334.9481333333333</v>
      </c>
      <c r="AF528" s="135">
        <v>25.657666666666668</v>
      </c>
      <c r="AG528" s="135">
        <v>0</v>
      </c>
      <c r="AH528" s="135">
        <v>8159.8175333333338</v>
      </c>
      <c r="AI528" s="135">
        <v>280.30719999999928</v>
      </c>
      <c r="AJ528" s="135">
        <v>0</v>
      </c>
      <c r="AK528" s="135">
        <v>0</v>
      </c>
      <c r="AL528" s="135">
        <v>0</v>
      </c>
      <c r="AM528" s="135">
        <v>-41.628933333333343</v>
      </c>
      <c r="AN528" s="135">
        <v>223.52906666666649</v>
      </c>
      <c r="AO528" s="135">
        <v>0</v>
      </c>
      <c r="AP528" s="135">
        <v>0</v>
      </c>
      <c r="AQ528" s="135">
        <v>0</v>
      </c>
      <c r="AR528" s="135">
        <v>30.3658</v>
      </c>
      <c r="AS528" s="135">
        <v>-57.872000000000071</v>
      </c>
      <c r="AT528" s="135">
        <v>1.0683333333333351</v>
      </c>
      <c r="AU528" s="135">
        <v>-11.1264</v>
      </c>
      <c r="AV528" s="135">
        <v>424.64307292453054</v>
      </c>
      <c r="AW528" s="135"/>
      <c r="AX528" s="164"/>
      <c r="AY528" s="132"/>
      <c r="AZ528" s="135"/>
      <c r="BA528" s="135"/>
    </row>
    <row r="529" spans="1:50" ht="16.5" hidden="1" x14ac:dyDescent="0.3">
      <c r="A529" s="132">
        <v>6666</v>
      </c>
      <c r="B529" s="132">
        <v>8</v>
      </c>
      <c r="C529" s="132" t="s">
        <v>727</v>
      </c>
      <c r="D529" s="133">
        <v>8</v>
      </c>
      <c r="E529" s="163">
        <v>0</v>
      </c>
      <c r="F529" s="135">
        <v>0</v>
      </c>
      <c r="G529" s="135">
        <v>0</v>
      </c>
      <c r="H529" s="135">
        <v>0</v>
      </c>
      <c r="I529" s="135">
        <v>0</v>
      </c>
      <c r="J529" s="135">
        <v>0</v>
      </c>
      <c r="K529" s="135">
        <v>0</v>
      </c>
      <c r="L529" s="135">
        <v>0</v>
      </c>
      <c r="M529" s="135">
        <v>0</v>
      </c>
      <c r="N529" s="135">
        <v>0</v>
      </c>
      <c r="O529" s="135">
        <v>0</v>
      </c>
      <c r="P529" s="135">
        <v>0</v>
      </c>
      <c r="Q529" s="135">
        <v>0</v>
      </c>
      <c r="R529" s="135">
        <v>0</v>
      </c>
      <c r="S529" s="135">
        <v>0</v>
      </c>
      <c r="T529" s="135"/>
      <c r="U529" s="135">
        <v>0</v>
      </c>
      <c r="V529" s="135">
        <v>0</v>
      </c>
      <c r="W529" s="135">
        <v>0</v>
      </c>
      <c r="X529" s="135">
        <v>0</v>
      </c>
      <c r="Y529" s="135">
        <v>0</v>
      </c>
      <c r="Z529" s="135">
        <v>0</v>
      </c>
      <c r="AA529" s="135">
        <v>0</v>
      </c>
      <c r="AB529" s="135">
        <v>0</v>
      </c>
      <c r="AC529" s="135">
        <v>0</v>
      </c>
      <c r="AD529" s="135">
        <v>0</v>
      </c>
      <c r="AE529" s="135">
        <v>0</v>
      </c>
      <c r="AF529" s="135">
        <v>0</v>
      </c>
      <c r="AG529" s="135">
        <v>0</v>
      </c>
      <c r="AH529" s="135">
        <v>0</v>
      </c>
      <c r="AI529" s="135">
        <v>0</v>
      </c>
      <c r="AJ529" s="135">
        <v>0</v>
      </c>
      <c r="AK529" s="135">
        <v>0</v>
      </c>
      <c r="AL529" s="135">
        <v>0</v>
      </c>
      <c r="AM529" s="135">
        <v>0</v>
      </c>
      <c r="AN529" s="135">
        <v>0</v>
      </c>
      <c r="AO529" s="135">
        <v>0</v>
      </c>
      <c r="AP529" s="135">
        <v>0</v>
      </c>
      <c r="AQ529" s="135">
        <v>0</v>
      </c>
      <c r="AR529" s="135">
        <v>0</v>
      </c>
      <c r="AS529" s="135">
        <v>0</v>
      </c>
      <c r="AT529" s="135">
        <v>0</v>
      </c>
      <c r="AU529" s="135">
        <v>0</v>
      </c>
      <c r="AV529" s="135">
        <v>5.7429053531460301E-6</v>
      </c>
      <c r="AW529" s="135"/>
      <c r="AX529" s="132"/>
    </row>
    <row r="530" spans="1:50" ht="16.5" hidden="1" x14ac:dyDescent="0.3">
      <c r="B530" s="132">
        <v>9</v>
      </c>
      <c r="C530" s="132" t="s">
        <v>728</v>
      </c>
      <c r="D530" s="133">
        <v>7</v>
      </c>
      <c r="E530" s="163">
        <v>0</v>
      </c>
      <c r="F530" s="135">
        <v>0</v>
      </c>
      <c r="G530" s="135">
        <v>0</v>
      </c>
      <c r="H530" s="135">
        <v>0</v>
      </c>
      <c r="I530" s="135">
        <v>0</v>
      </c>
      <c r="J530" s="135">
        <v>0</v>
      </c>
      <c r="K530" s="135">
        <v>0</v>
      </c>
      <c r="L530" s="135">
        <v>0</v>
      </c>
      <c r="M530" s="135">
        <v>0</v>
      </c>
      <c r="N530" s="135">
        <v>0</v>
      </c>
      <c r="O530" s="135">
        <v>0</v>
      </c>
      <c r="P530" s="135">
        <v>0</v>
      </c>
      <c r="Q530" s="135">
        <v>0</v>
      </c>
      <c r="R530" s="135">
        <v>0</v>
      </c>
      <c r="S530" s="135">
        <v>0</v>
      </c>
      <c r="T530" s="135"/>
      <c r="U530" s="135">
        <v>0</v>
      </c>
      <c r="V530" s="135">
        <v>0</v>
      </c>
      <c r="W530" s="135">
        <v>0</v>
      </c>
      <c r="X530" s="135">
        <v>0</v>
      </c>
      <c r="Y530" s="135">
        <v>0</v>
      </c>
      <c r="Z530" s="135">
        <v>0</v>
      </c>
      <c r="AA530" s="135">
        <v>0</v>
      </c>
      <c r="AB530" s="135">
        <v>0</v>
      </c>
      <c r="AC530" s="135">
        <v>0</v>
      </c>
      <c r="AD530" s="135">
        <v>0</v>
      </c>
      <c r="AE530" s="135">
        <v>0</v>
      </c>
      <c r="AF530" s="135">
        <v>0</v>
      </c>
      <c r="AG530" s="135">
        <v>0</v>
      </c>
      <c r="AH530" s="135">
        <v>0</v>
      </c>
      <c r="AI530" s="135">
        <v>0</v>
      </c>
      <c r="AJ530" s="135">
        <v>0</v>
      </c>
      <c r="AK530" s="135">
        <v>0</v>
      </c>
      <c r="AL530" s="135">
        <v>0</v>
      </c>
      <c r="AM530" s="135">
        <v>0</v>
      </c>
      <c r="AN530" s="135">
        <v>0</v>
      </c>
      <c r="AO530" s="135">
        <v>0</v>
      </c>
      <c r="AP530" s="135">
        <v>0</v>
      </c>
      <c r="AQ530" s="135">
        <v>0</v>
      </c>
      <c r="AR530" s="135">
        <v>0</v>
      </c>
      <c r="AS530" s="135">
        <v>0</v>
      </c>
      <c r="AT530" s="135">
        <v>0</v>
      </c>
      <c r="AU530" s="135">
        <v>0</v>
      </c>
      <c r="AV530" s="135">
        <v>3.3835729598220602E-6</v>
      </c>
      <c r="AW530" s="135"/>
      <c r="AX530" s="132"/>
    </row>
    <row r="531" spans="1:50" ht="16.5" hidden="1" x14ac:dyDescent="0.3">
      <c r="A531" s="132">
        <v>8888</v>
      </c>
      <c r="B531" s="132">
        <v>8</v>
      </c>
      <c r="C531" s="132" t="s">
        <v>729</v>
      </c>
      <c r="D531" s="133">
        <v>8</v>
      </c>
      <c r="E531" s="163">
        <v>0</v>
      </c>
      <c r="F531" s="135">
        <v>0</v>
      </c>
      <c r="G531" s="135">
        <v>0</v>
      </c>
      <c r="H531" s="135">
        <v>0</v>
      </c>
      <c r="I531" s="135">
        <v>0</v>
      </c>
      <c r="J531" s="135">
        <v>0</v>
      </c>
      <c r="K531" s="135">
        <v>0</v>
      </c>
      <c r="L531" s="135">
        <v>0</v>
      </c>
      <c r="M531" s="135">
        <v>0</v>
      </c>
      <c r="N531" s="135">
        <v>0</v>
      </c>
      <c r="O531" s="135">
        <v>0</v>
      </c>
      <c r="P531" s="135">
        <v>0</v>
      </c>
      <c r="Q531" s="135">
        <v>0</v>
      </c>
      <c r="R531" s="135">
        <v>0</v>
      </c>
      <c r="S531" s="135">
        <v>0</v>
      </c>
      <c r="T531" s="135"/>
      <c r="U531" s="135">
        <v>0</v>
      </c>
      <c r="V531" s="135">
        <v>0</v>
      </c>
      <c r="W531" s="135">
        <v>0</v>
      </c>
      <c r="X531" s="135">
        <v>0</v>
      </c>
      <c r="Y531" s="135">
        <v>0</v>
      </c>
      <c r="Z531" s="135">
        <v>0</v>
      </c>
      <c r="AA531" s="135">
        <v>0</v>
      </c>
      <c r="AB531" s="135">
        <v>0</v>
      </c>
      <c r="AC531" s="135">
        <v>0</v>
      </c>
      <c r="AD531" s="135">
        <v>0</v>
      </c>
      <c r="AE531" s="135">
        <v>0</v>
      </c>
      <c r="AF531" s="135">
        <v>0</v>
      </c>
      <c r="AG531" s="135">
        <v>0</v>
      </c>
      <c r="AH531" s="135">
        <v>0</v>
      </c>
      <c r="AI531" s="135">
        <v>0</v>
      </c>
      <c r="AJ531" s="135">
        <v>0</v>
      </c>
      <c r="AK531" s="135">
        <v>0</v>
      </c>
      <c r="AL531" s="135">
        <v>0</v>
      </c>
      <c r="AM531" s="135">
        <v>0</v>
      </c>
      <c r="AN531" s="135">
        <v>0</v>
      </c>
      <c r="AO531" s="135">
        <v>0</v>
      </c>
      <c r="AP531" s="135">
        <v>0</v>
      </c>
      <c r="AQ531" s="135">
        <v>0</v>
      </c>
      <c r="AR531" s="135">
        <v>0</v>
      </c>
      <c r="AS531" s="135">
        <v>0</v>
      </c>
      <c r="AT531" s="135">
        <v>0</v>
      </c>
      <c r="AU531" s="135">
        <v>0</v>
      </c>
      <c r="AV531" s="135">
        <v>2.6402639065618574E-6</v>
      </c>
      <c r="AW531" s="135"/>
      <c r="AX531" s="132"/>
    </row>
    <row r="532" spans="1:50" ht="16.5" x14ac:dyDescent="0.3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2"/>
      <c r="AW532" s="132"/>
      <c r="AX532" s="132"/>
    </row>
  </sheetData>
  <mergeCells count="3">
    <mergeCell ref="F29:S29"/>
    <mergeCell ref="U29:AH29"/>
    <mergeCell ref="AI29:AV29"/>
  </mergeCells>
  <printOptions gridLines="1"/>
  <pageMargins left="0.25" right="0.25" top="0.5" bottom="0.5" header="0.3" footer="0.3"/>
  <pageSetup scale="84" fitToHeight="0" orientation="landscape" r:id="rId1"/>
  <headerFooter>
    <oddHeader>&amp;LMDE / School Finance Division&amp;C&amp;"-,Bold"&amp;12REPORT #3:  REVENUE PER ADM BY CATEGORY; CURRENT LAW VS WORKING GROUP RECOMMENDATION&amp;R12/10/2012</oddHeader>
    <oddFooter>&amp;R&amp;P of &amp;N</oddFooter>
  </headerFooter>
  <colBreaks count="2" manualBreakCount="2">
    <brk id="20" max="1048575" man="1"/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7"/>
  <sheetViews>
    <sheetView topLeftCell="V22" zoomScale="75" zoomScaleNormal="75" workbookViewId="0">
      <selection activeCell="AV49" sqref="AV49"/>
    </sheetView>
  </sheetViews>
  <sheetFormatPr defaultRowHeight="15" x14ac:dyDescent="0.25"/>
  <cols>
    <col min="1" max="1" width="6.7109375" customWidth="1"/>
    <col min="2" max="2" width="3.7109375" hidden="1" customWidth="1"/>
    <col min="3" max="3" width="20" customWidth="1"/>
    <col min="4" max="4" width="6.7109375" hidden="1" customWidth="1"/>
    <col min="5" max="5" width="12.42578125" customWidth="1"/>
    <col min="6" max="6" width="14.42578125" customWidth="1"/>
    <col min="7" max="7" width="12" customWidth="1"/>
    <col min="8" max="8" width="13.85546875" customWidth="1"/>
    <col min="9" max="9" width="12" customWidth="1"/>
    <col min="10" max="10" width="11.42578125" customWidth="1"/>
    <col min="11" max="11" width="11.28515625" customWidth="1"/>
    <col min="12" max="12" width="12.85546875" customWidth="1"/>
    <col min="13" max="13" width="11.7109375" customWidth="1"/>
    <col min="14" max="14" width="9.5703125" customWidth="1"/>
    <col min="15" max="15" width="11.42578125" customWidth="1"/>
    <col min="16" max="16" width="9.28515625" customWidth="1"/>
    <col min="17" max="17" width="10" customWidth="1"/>
    <col min="18" max="18" width="9.28515625" customWidth="1"/>
    <col min="19" max="19" width="9.85546875" customWidth="1"/>
    <col min="20" max="20" width="8.28515625" customWidth="1"/>
    <col min="21" max="21" width="9.140625" customWidth="1"/>
    <col min="22" max="22" width="9.85546875" customWidth="1"/>
    <col min="23" max="23" width="8.140625" customWidth="1"/>
    <col min="24" max="24" width="8.7109375" customWidth="1"/>
    <col min="25" max="26" width="8.28515625" customWidth="1"/>
    <col min="27" max="27" width="9.28515625" customWidth="1"/>
    <col min="28" max="28" width="8.140625" customWidth="1"/>
    <col min="29" max="29" width="9.140625" customWidth="1"/>
    <col min="30" max="31" width="7.42578125" customWidth="1"/>
    <col min="32" max="32" width="10" hidden="1" customWidth="1"/>
    <col min="33" max="33" width="9.85546875" hidden="1" customWidth="1"/>
    <col min="34" max="35" width="10.5703125" hidden="1" customWidth="1"/>
    <col min="36" max="40" width="14.7109375" hidden="1" customWidth="1"/>
    <col min="41" max="41" width="24" customWidth="1"/>
    <col min="42" max="43" width="14.7109375" customWidth="1"/>
  </cols>
  <sheetData>
    <row r="1" spans="1:34" hidden="1" x14ac:dyDescent="0.25">
      <c r="A1" s="170"/>
      <c r="B1" s="170"/>
      <c r="C1" s="171"/>
      <c r="D1" s="170"/>
      <c r="E1" s="172"/>
      <c r="F1" s="173"/>
      <c r="G1" s="172"/>
      <c r="H1" s="172"/>
      <c r="I1" s="173"/>
      <c r="J1" s="170"/>
      <c r="K1" s="170"/>
      <c r="L1" s="171"/>
      <c r="M1" s="170"/>
      <c r="N1" s="170"/>
      <c r="O1" s="170"/>
      <c r="P1" s="171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0"/>
      <c r="AG1" s="170"/>
      <c r="AH1" s="170"/>
    </row>
    <row r="2" spans="1:34" hidden="1" x14ac:dyDescent="0.25">
      <c r="A2" s="170" t="s">
        <v>730</v>
      </c>
      <c r="B2" s="170"/>
      <c r="C2" s="171"/>
      <c r="D2" s="170"/>
      <c r="E2" s="172"/>
      <c r="F2" s="173"/>
      <c r="G2" s="172"/>
      <c r="H2" s="172"/>
      <c r="I2" s="173"/>
      <c r="J2" s="170"/>
      <c r="K2" s="170"/>
      <c r="L2" s="171"/>
      <c r="M2" s="170"/>
      <c r="N2" s="170"/>
      <c r="O2" s="170"/>
      <c r="P2" s="171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0"/>
      <c r="AG2" s="170"/>
      <c r="AH2" s="170"/>
    </row>
    <row r="3" spans="1:34" hidden="1" x14ac:dyDescent="0.25">
      <c r="A3" s="170" t="s">
        <v>730</v>
      </c>
      <c r="B3" s="170"/>
      <c r="C3" s="171"/>
      <c r="D3" s="170"/>
      <c r="E3" s="172"/>
      <c r="F3" s="173"/>
      <c r="G3" s="172"/>
      <c r="H3" s="172"/>
      <c r="I3" s="173"/>
      <c r="J3" s="170"/>
      <c r="K3" s="170"/>
      <c r="L3" s="171"/>
      <c r="M3" s="170"/>
      <c r="N3" s="170"/>
      <c r="O3" s="170"/>
      <c r="P3" s="171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0"/>
      <c r="AG3" s="170"/>
      <c r="AH3" s="170"/>
    </row>
    <row r="4" spans="1:34" hidden="1" x14ac:dyDescent="0.25">
      <c r="A4" s="170" t="s">
        <v>730</v>
      </c>
      <c r="B4" s="170"/>
      <c r="C4" s="171"/>
      <c r="D4" s="170"/>
      <c r="E4" s="172"/>
      <c r="F4" s="173"/>
      <c r="G4" s="172"/>
      <c r="H4" s="172"/>
      <c r="I4" s="173"/>
      <c r="J4" s="170"/>
      <c r="K4" s="170"/>
      <c r="L4" s="171"/>
      <c r="M4" s="170"/>
      <c r="N4" s="170"/>
      <c r="O4" s="170"/>
      <c r="P4" s="171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0"/>
      <c r="AG4" s="170"/>
      <c r="AH4" s="170"/>
    </row>
    <row r="5" spans="1:34" hidden="1" x14ac:dyDescent="0.25">
      <c r="A5" s="170" t="s">
        <v>730</v>
      </c>
      <c r="B5" s="170"/>
      <c r="C5" s="171"/>
      <c r="D5" s="170"/>
      <c r="E5" s="172"/>
      <c r="F5" s="173"/>
      <c r="G5" s="172"/>
      <c r="H5" s="172"/>
      <c r="I5" s="173"/>
      <c r="J5" s="170"/>
      <c r="K5" s="170"/>
      <c r="L5" s="171"/>
      <c r="M5" s="170"/>
      <c r="N5" s="170"/>
      <c r="O5" s="170"/>
      <c r="P5" s="171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0"/>
      <c r="AG5" s="170"/>
      <c r="AH5" s="170"/>
    </row>
    <row r="6" spans="1:34" hidden="1" x14ac:dyDescent="0.25">
      <c r="A6" s="170" t="s">
        <v>730</v>
      </c>
      <c r="B6" s="170"/>
      <c r="C6" s="171"/>
      <c r="D6" s="170"/>
      <c r="E6" s="172"/>
      <c r="F6" s="173"/>
      <c r="G6" s="172"/>
      <c r="H6" s="172"/>
      <c r="I6" s="173"/>
      <c r="J6" s="170"/>
      <c r="K6" s="170"/>
      <c r="L6" s="171"/>
      <c r="M6" s="170"/>
      <c r="N6" s="170"/>
      <c r="O6" s="170"/>
      <c r="P6" s="171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0"/>
      <c r="AG6" s="170"/>
      <c r="AH6" s="170"/>
    </row>
    <row r="7" spans="1:34" hidden="1" x14ac:dyDescent="0.25">
      <c r="A7" s="170" t="s">
        <v>730</v>
      </c>
      <c r="B7" s="170"/>
      <c r="C7" s="171"/>
      <c r="D7" s="170"/>
      <c r="E7" s="172"/>
      <c r="F7" s="173"/>
      <c r="G7" s="172"/>
      <c r="H7" s="172"/>
      <c r="I7" s="173"/>
      <c r="J7" s="170"/>
      <c r="K7" s="170"/>
      <c r="L7" s="171"/>
      <c r="M7" s="170"/>
      <c r="N7" s="170"/>
      <c r="O7" s="170"/>
      <c r="P7" s="171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0"/>
      <c r="AG7" s="170"/>
      <c r="AH7" s="170"/>
    </row>
    <row r="8" spans="1:34" hidden="1" x14ac:dyDescent="0.25">
      <c r="A8" s="170" t="s">
        <v>730</v>
      </c>
      <c r="B8" s="170"/>
      <c r="C8" s="171"/>
      <c r="D8" s="170"/>
      <c r="E8" s="172"/>
      <c r="F8" s="173"/>
      <c r="G8" s="172"/>
      <c r="H8" s="172"/>
      <c r="I8" s="173"/>
      <c r="J8" s="170"/>
      <c r="K8" s="170"/>
      <c r="L8" s="171"/>
      <c r="M8" s="170"/>
      <c r="N8" s="170"/>
      <c r="O8" s="170"/>
      <c r="P8" s="171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0"/>
      <c r="AG8" s="170"/>
      <c r="AH8" s="170"/>
    </row>
    <row r="9" spans="1:34" hidden="1" x14ac:dyDescent="0.25">
      <c r="A9" s="170" t="s">
        <v>730</v>
      </c>
      <c r="B9" s="170"/>
      <c r="C9" s="171"/>
      <c r="D9" s="170"/>
      <c r="E9" s="172"/>
      <c r="F9" s="173"/>
      <c r="G9" s="172"/>
      <c r="H9" s="172"/>
      <c r="I9" s="173"/>
      <c r="J9" s="170"/>
      <c r="K9" s="170"/>
      <c r="L9" s="171"/>
      <c r="M9" s="170"/>
      <c r="N9" s="170"/>
      <c r="O9" s="170"/>
      <c r="P9" s="171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0"/>
      <c r="AG9" s="170"/>
      <c r="AH9" s="170"/>
    </row>
    <row r="10" spans="1:34" hidden="1" x14ac:dyDescent="0.25">
      <c r="A10" s="170"/>
      <c r="B10" s="170"/>
      <c r="C10" s="171"/>
      <c r="D10" s="170"/>
      <c r="E10" s="172"/>
      <c r="F10" s="173"/>
      <c r="G10" s="172"/>
      <c r="H10" s="172"/>
      <c r="I10" s="173"/>
      <c r="J10" s="170"/>
      <c r="K10" s="170"/>
      <c r="L10" s="171"/>
      <c r="M10" s="170"/>
      <c r="N10" s="170"/>
      <c r="O10" s="170"/>
      <c r="P10" s="171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0"/>
      <c r="AG10" s="170"/>
      <c r="AH10" s="170"/>
    </row>
    <row r="11" spans="1:34" hidden="1" x14ac:dyDescent="0.25">
      <c r="A11" s="170" t="s">
        <v>197</v>
      </c>
      <c r="B11" s="170"/>
      <c r="C11" s="171"/>
      <c r="D11" s="170"/>
      <c r="E11" s="172"/>
      <c r="F11" s="173"/>
      <c r="G11" s="172"/>
      <c r="H11" s="172"/>
      <c r="I11" s="173"/>
      <c r="J11" s="170"/>
      <c r="K11" s="170"/>
      <c r="L11" s="171"/>
      <c r="M11" s="170"/>
      <c r="N11" s="170"/>
      <c r="O11" s="170"/>
      <c r="P11" s="171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0"/>
      <c r="AG11" s="170"/>
      <c r="AH11" s="170"/>
    </row>
    <row r="12" spans="1:34" hidden="1" x14ac:dyDescent="0.25">
      <c r="A12" s="170" t="s">
        <v>198</v>
      </c>
      <c r="B12" s="170"/>
      <c r="C12" s="171"/>
      <c r="D12" s="170"/>
      <c r="E12" s="172"/>
      <c r="F12" s="173"/>
      <c r="G12" s="172"/>
      <c r="H12" s="172"/>
      <c r="I12" s="173"/>
      <c r="J12" s="170"/>
      <c r="K12" s="170"/>
      <c r="L12" s="171"/>
      <c r="M12" s="170"/>
      <c r="N12" s="170"/>
      <c r="O12" s="170"/>
      <c r="P12" s="171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0"/>
      <c r="AG12" s="170"/>
      <c r="AH12" s="170"/>
    </row>
    <row r="13" spans="1:34" hidden="1" x14ac:dyDescent="0.25">
      <c r="A13" s="170" t="s">
        <v>199</v>
      </c>
      <c r="B13" s="170"/>
      <c r="C13" s="171"/>
      <c r="D13" s="170"/>
      <c r="E13" s="172"/>
      <c r="F13" s="173"/>
      <c r="G13" s="172"/>
      <c r="H13" s="172"/>
      <c r="I13" s="174" t="e">
        <v>#REF!</v>
      </c>
      <c r="J13" s="170"/>
      <c r="K13" s="170"/>
      <c r="L13" s="171"/>
      <c r="M13" s="170"/>
      <c r="N13" s="170"/>
      <c r="O13" s="170"/>
      <c r="P13" s="171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0"/>
      <c r="AG13" s="170"/>
      <c r="AH13" s="170"/>
    </row>
    <row r="14" spans="1:34" hidden="1" x14ac:dyDescent="0.25">
      <c r="A14" s="170" t="s">
        <v>200</v>
      </c>
      <c r="B14" s="170"/>
      <c r="C14" s="171"/>
      <c r="D14" s="170"/>
      <c r="E14" s="172"/>
      <c r="F14" s="173"/>
      <c r="G14" s="172"/>
      <c r="H14" s="172"/>
      <c r="I14" s="173"/>
      <c r="J14" s="170"/>
      <c r="K14" s="170"/>
      <c r="L14" s="175" t="e">
        <v>#REF!</v>
      </c>
      <c r="M14" s="170"/>
      <c r="N14" s="170"/>
      <c r="O14" s="170"/>
      <c r="P14" s="171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0"/>
      <c r="AG14" s="170"/>
      <c r="AH14" s="170"/>
    </row>
    <row r="15" spans="1:34" hidden="1" x14ac:dyDescent="0.25">
      <c r="A15" s="170"/>
      <c r="B15" s="170"/>
      <c r="C15" s="171"/>
      <c r="D15" s="170"/>
      <c r="E15" s="172"/>
      <c r="F15" s="173"/>
      <c r="G15" s="172"/>
      <c r="H15" s="172"/>
      <c r="I15" s="173"/>
      <c r="J15" s="170"/>
      <c r="K15" s="170"/>
      <c r="L15" s="171"/>
      <c r="M15" s="170"/>
      <c r="N15" s="170"/>
      <c r="O15" s="170"/>
      <c r="P15" s="171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0"/>
      <c r="AG15" s="170"/>
      <c r="AH15" s="170"/>
    </row>
    <row r="16" spans="1:34" s="177" customFormat="1" ht="12.75" hidden="1" x14ac:dyDescent="0.2">
      <c r="A16" s="176"/>
      <c r="C16" s="178"/>
      <c r="E16" s="179" t="s">
        <v>731</v>
      </c>
      <c r="F16" s="180" t="s">
        <v>732</v>
      </c>
      <c r="G16" s="179" t="s">
        <v>733</v>
      </c>
      <c r="H16" s="179" t="s">
        <v>734</v>
      </c>
      <c r="I16" s="180" t="s">
        <v>735</v>
      </c>
      <c r="J16" s="177" t="s">
        <v>736</v>
      </c>
      <c r="K16" s="177" t="s">
        <v>737</v>
      </c>
      <c r="L16" s="178" t="s">
        <v>738</v>
      </c>
      <c r="P16" s="178"/>
      <c r="Q16" s="179"/>
      <c r="R16" s="179"/>
      <c r="S16" s="179"/>
      <c r="T16" s="179"/>
      <c r="U16" s="179" t="s">
        <v>739</v>
      </c>
      <c r="V16" s="179" t="s">
        <v>740</v>
      </c>
      <c r="W16" s="179"/>
      <c r="X16" s="179"/>
      <c r="Y16" s="179"/>
      <c r="Z16" s="179"/>
      <c r="AA16" s="179"/>
      <c r="AB16" s="179"/>
      <c r="AC16" s="179"/>
      <c r="AD16" s="179"/>
      <c r="AE16" s="179"/>
      <c r="AF16" s="177" t="s">
        <v>741</v>
      </c>
      <c r="AH16" s="177" t="s">
        <v>742</v>
      </c>
    </row>
    <row r="17" spans="1:42" ht="15.75" hidden="1" x14ac:dyDescent="0.25">
      <c r="A17" s="181"/>
      <c r="B17" s="170"/>
      <c r="C17" s="171"/>
      <c r="D17" s="170"/>
      <c r="E17" s="172"/>
      <c r="F17" s="173"/>
      <c r="G17" s="172"/>
      <c r="H17" s="172"/>
      <c r="I17" s="173"/>
      <c r="J17" s="170"/>
      <c r="K17" s="170"/>
      <c r="L17" s="171"/>
      <c r="M17" s="170"/>
      <c r="N17" s="170"/>
      <c r="O17" s="170"/>
      <c r="P17" s="171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</row>
    <row r="18" spans="1:42" hidden="1" x14ac:dyDescent="0.25">
      <c r="A18" s="182"/>
      <c r="B18" s="183"/>
      <c r="C18" s="184"/>
      <c r="D18" s="185"/>
      <c r="E18" s="186"/>
      <c r="F18" s="187"/>
      <c r="G18" s="186"/>
      <c r="H18" s="186"/>
      <c r="I18" s="187"/>
      <c r="J18" s="185"/>
      <c r="K18" s="185"/>
      <c r="L18" s="184"/>
      <c r="M18" s="185"/>
      <c r="N18" s="185"/>
      <c r="O18" s="185"/>
      <c r="P18" s="184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5"/>
      <c r="AG18" s="185"/>
      <c r="AH18" s="188" t="s">
        <v>743</v>
      </c>
      <c r="AI18" s="188"/>
      <c r="AJ18" s="170"/>
      <c r="AK18" t="s">
        <v>744</v>
      </c>
      <c r="AP18" s="170"/>
    </row>
    <row r="19" spans="1:42" s="177" customFormat="1" hidden="1" x14ac:dyDescent="0.25">
      <c r="A19" s="189"/>
      <c r="B19" s="190"/>
      <c r="C19" s="178"/>
      <c r="D19" s="190"/>
      <c r="E19" s="191"/>
      <c r="F19" s="180"/>
      <c r="G19" s="191"/>
      <c r="H19" s="191"/>
      <c r="I19" s="180"/>
      <c r="J19" s="190"/>
      <c r="K19" s="190"/>
      <c r="L19" s="178"/>
      <c r="M19" s="190"/>
      <c r="N19" s="190"/>
      <c r="O19" s="190"/>
      <c r="P19" s="178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0"/>
      <c r="AG19" s="190"/>
      <c r="AH19" s="190" t="s">
        <v>745</v>
      </c>
      <c r="AI19" s="190"/>
      <c r="AK19"/>
      <c r="AL19"/>
      <c r="AM19"/>
      <c r="AN19"/>
      <c r="AO19"/>
    </row>
    <row r="20" spans="1:42" s="177" customFormat="1" hidden="1" x14ac:dyDescent="0.25">
      <c r="A20" s="189"/>
      <c r="B20" s="190"/>
      <c r="C20" s="178"/>
      <c r="D20" s="190"/>
      <c r="E20" s="191"/>
      <c r="F20" s="180"/>
      <c r="G20" s="191"/>
      <c r="H20" s="191"/>
      <c r="I20" s="180"/>
      <c r="J20" s="190"/>
      <c r="K20" s="190"/>
      <c r="L20" s="178"/>
      <c r="M20" s="190"/>
      <c r="N20" s="190"/>
      <c r="O20" s="190"/>
      <c r="P20" s="178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2"/>
      <c r="AD20" s="191"/>
      <c r="AE20" s="191"/>
      <c r="AF20" s="193"/>
      <c r="AG20" s="190"/>
      <c r="AH20" s="194">
        <v>150000</v>
      </c>
      <c r="AI20" s="195"/>
      <c r="AK20" t="s">
        <v>746</v>
      </c>
      <c r="AL20" s="101">
        <v>76000</v>
      </c>
      <c r="AM20" s="101">
        <f>AH20</f>
        <v>150000</v>
      </c>
      <c r="AN20" s="101">
        <f>AM20-AL20</f>
        <v>74000</v>
      </c>
      <c r="AO20"/>
    </row>
    <row r="21" spans="1:42" s="177" customFormat="1" hidden="1" x14ac:dyDescent="0.25">
      <c r="A21" s="189"/>
      <c r="B21" s="190"/>
      <c r="C21" s="178"/>
      <c r="D21" s="190"/>
      <c r="E21" s="191"/>
      <c r="F21" s="180"/>
      <c r="G21" s="191"/>
      <c r="H21" s="191"/>
      <c r="I21" s="180"/>
      <c r="J21" s="190"/>
      <c r="K21" s="190"/>
      <c r="L21" s="178"/>
      <c r="M21" s="190"/>
      <c r="N21" s="190"/>
      <c r="O21" s="190"/>
      <c r="P21" s="178"/>
      <c r="Q21" s="191"/>
      <c r="R21" s="191"/>
      <c r="S21" s="191"/>
      <c r="T21" s="191"/>
      <c r="U21" s="191"/>
      <c r="V21" s="191"/>
      <c r="W21" s="196"/>
      <c r="X21" s="191"/>
      <c r="Y21" s="191"/>
      <c r="Z21" s="196"/>
      <c r="AA21" s="191"/>
      <c r="AB21" s="191"/>
      <c r="AC21" s="196"/>
      <c r="AD21" s="191"/>
      <c r="AE21" s="191"/>
      <c r="AF21" s="190"/>
      <c r="AG21" s="190"/>
      <c r="AH21" s="190" t="s">
        <v>747</v>
      </c>
      <c r="AI21" s="190"/>
      <c r="AK21" s="197">
        <v>0.4</v>
      </c>
      <c r="AL21" s="101">
        <f>AL20*$AK21</f>
        <v>30400</v>
      </c>
      <c r="AM21" s="101">
        <f>AL21-0.09*AN20</f>
        <v>23740</v>
      </c>
      <c r="AN21" s="101"/>
      <c r="AO21"/>
    </row>
    <row r="22" spans="1:42" s="177" customFormat="1" x14ac:dyDescent="0.25">
      <c r="A22" s="189"/>
      <c r="B22" s="190"/>
      <c r="C22" s="178"/>
      <c r="D22" s="190"/>
      <c r="E22" s="198" t="s">
        <v>748</v>
      </c>
      <c r="F22" s="199"/>
      <c r="G22" s="200" t="s">
        <v>749</v>
      </c>
      <c r="H22" s="201"/>
      <c r="I22" s="202"/>
      <c r="J22" s="203" t="s">
        <v>206</v>
      </c>
      <c r="K22" s="203"/>
      <c r="L22" s="204"/>
      <c r="M22" s="198" t="s">
        <v>750</v>
      </c>
      <c r="N22" s="205"/>
      <c r="O22" s="205"/>
      <c r="P22" s="199"/>
      <c r="Q22" s="206" t="s">
        <v>751</v>
      </c>
      <c r="R22" s="207"/>
      <c r="S22" s="207"/>
      <c r="T22" s="207"/>
      <c r="U22" s="207"/>
      <c r="V22" s="208"/>
      <c r="W22" s="209" t="s">
        <v>752</v>
      </c>
      <c r="X22" s="210"/>
      <c r="Y22" s="210"/>
      <c r="Z22" s="210"/>
      <c r="AA22" s="210"/>
      <c r="AB22" s="210"/>
      <c r="AC22" s="210"/>
      <c r="AD22" s="210"/>
      <c r="AE22" s="211"/>
      <c r="AF22" s="190"/>
      <c r="AG22" s="190"/>
      <c r="AH22" s="190" t="str">
        <f>+"= "&amp;+U16&amp;" *"</f>
        <v>= M *</v>
      </c>
      <c r="AI22" s="190"/>
      <c r="AK22" t="s">
        <v>753</v>
      </c>
      <c r="AL22" s="101">
        <f>AL20-AL21</f>
        <v>45600</v>
      </c>
      <c r="AM22" s="101">
        <f>AM20-AM21</f>
        <v>126260</v>
      </c>
      <c r="AN22" s="101"/>
      <c r="AO22"/>
    </row>
    <row r="23" spans="1:42" s="177" customFormat="1" x14ac:dyDescent="0.25">
      <c r="A23" s="189"/>
      <c r="B23" s="190"/>
      <c r="C23" s="178"/>
      <c r="D23" s="190"/>
      <c r="E23" s="212"/>
      <c r="F23" s="213"/>
      <c r="G23" s="191"/>
      <c r="H23" s="191"/>
      <c r="I23" s="180"/>
      <c r="J23" s="190"/>
      <c r="K23" s="190"/>
      <c r="L23" s="178"/>
      <c r="M23" s="214"/>
      <c r="N23" s="214"/>
      <c r="O23" s="215"/>
      <c r="P23" s="215"/>
      <c r="Q23" s="206" t="s">
        <v>205</v>
      </c>
      <c r="R23" s="208"/>
      <c r="S23" s="206" t="s">
        <v>754</v>
      </c>
      <c r="T23" s="208"/>
      <c r="U23" s="216" t="s">
        <v>208</v>
      </c>
      <c r="V23" s="217"/>
      <c r="W23" s="206" t="s">
        <v>205</v>
      </c>
      <c r="X23" s="207"/>
      <c r="Y23" s="208"/>
      <c r="Z23" s="206" t="s">
        <v>754</v>
      </c>
      <c r="AA23" s="207"/>
      <c r="AB23" s="208"/>
      <c r="AC23" s="206" t="s">
        <v>208</v>
      </c>
      <c r="AD23" s="207"/>
      <c r="AE23" s="208"/>
      <c r="AF23" s="190"/>
      <c r="AG23" s="190"/>
      <c r="AH23" s="218">
        <f>AM23</f>
        <v>1262.6000000000001</v>
      </c>
      <c r="AI23" s="218"/>
      <c r="AK23" t="s">
        <v>236</v>
      </c>
      <c r="AL23" s="101">
        <f>AL22*0.01</f>
        <v>456</v>
      </c>
      <c r="AM23" s="29">
        <f>AM22*0.01</f>
        <v>1262.6000000000001</v>
      </c>
      <c r="AN23" s="101"/>
      <c r="AO23"/>
    </row>
    <row r="24" spans="1:42" s="177" customFormat="1" x14ac:dyDescent="0.25">
      <c r="A24" s="219"/>
      <c r="B24" s="191"/>
      <c r="C24" s="180"/>
      <c r="D24" s="191"/>
      <c r="E24" s="220"/>
      <c r="F24" s="215"/>
      <c r="G24" s="191" t="s">
        <v>235</v>
      </c>
      <c r="H24" s="191" t="s">
        <v>236</v>
      </c>
      <c r="I24" s="180" t="s">
        <v>755</v>
      </c>
      <c r="J24" s="190" t="s">
        <v>235</v>
      </c>
      <c r="K24" s="190" t="s">
        <v>236</v>
      </c>
      <c r="L24" s="178" t="s">
        <v>755</v>
      </c>
      <c r="M24" s="190" t="s">
        <v>235</v>
      </c>
      <c r="N24" s="190" t="s">
        <v>236</v>
      </c>
      <c r="O24" s="178" t="s">
        <v>755</v>
      </c>
      <c r="P24" s="178" t="s">
        <v>756</v>
      </c>
      <c r="Q24" s="212" t="s">
        <v>757</v>
      </c>
      <c r="R24" s="213" t="s">
        <v>235</v>
      </c>
      <c r="S24" s="212" t="s">
        <v>757</v>
      </c>
      <c r="T24" s="213" t="s">
        <v>235</v>
      </c>
      <c r="U24" s="221" t="s">
        <v>757</v>
      </c>
      <c r="V24" s="213" t="s">
        <v>235</v>
      </c>
      <c r="W24" s="220" t="s">
        <v>757</v>
      </c>
      <c r="X24" s="214" t="s">
        <v>235</v>
      </c>
      <c r="Y24" s="215" t="s">
        <v>196</v>
      </c>
      <c r="Z24" s="214" t="s">
        <v>757</v>
      </c>
      <c r="AA24" s="221" t="s">
        <v>235</v>
      </c>
      <c r="AB24" s="213" t="s">
        <v>196</v>
      </c>
      <c r="AC24" s="214" t="s">
        <v>757</v>
      </c>
      <c r="AD24" s="214" t="s">
        <v>235</v>
      </c>
      <c r="AE24" s="213" t="s">
        <v>196</v>
      </c>
      <c r="AF24" s="190" t="s">
        <v>758</v>
      </c>
      <c r="AG24" s="190"/>
      <c r="AH24" s="190" t="str">
        <f>+"+ "&amp;+V16&amp;" *"</f>
        <v>+ N *</v>
      </c>
      <c r="AI24" s="190"/>
      <c r="AK24"/>
      <c r="AL24"/>
      <c r="AM24"/>
      <c r="AN24"/>
    </row>
    <row r="25" spans="1:42" s="177" customFormat="1" ht="12.75" x14ac:dyDescent="0.2">
      <c r="A25" s="222"/>
      <c r="B25" s="223"/>
      <c r="C25" s="224"/>
      <c r="D25" s="223" t="s">
        <v>229</v>
      </c>
      <c r="E25" s="225" t="s">
        <v>759</v>
      </c>
      <c r="F25" s="226" t="s">
        <v>235</v>
      </c>
      <c r="G25" s="223" t="s">
        <v>209</v>
      </c>
      <c r="H25" s="223" t="s">
        <v>209</v>
      </c>
      <c r="I25" s="224" t="s">
        <v>209</v>
      </c>
      <c r="J25" s="227" t="s">
        <v>209</v>
      </c>
      <c r="K25" s="227" t="s">
        <v>209</v>
      </c>
      <c r="L25" s="228" t="s">
        <v>209</v>
      </c>
      <c r="M25" s="227" t="s">
        <v>209</v>
      </c>
      <c r="N25" s="227" t="s">
        <v>209</v>
      </c>
      <c r="O25" s="228" t="s">
        <v>209</v>
      </c>
      <c r="P25" s="229" t="s">
        <v>208</v>
      </c>
      <c r="Q25" s="225" t="s">
        <v>760</v>
      </c>
      <c r="R25" s="226" t="s">
        <v>761</v>
      </c>
      <c r="S25" s="225" t="s">
        <v>760</v>
      </c>
      <c r="T25" s="226" t="s">
        <v>761</v>
      </c>
      <c r="U25" s="230" t="s">
        <v>760</v>
      </c>
      <c r="V25" s="226" t="s">
        <v>761</v>
      </c>
      <c r="W25" s="225" t="s">
        <v>762</v>
      </c>
      <c r="X25" s="230" t="s">
        <v>762</v>
      </c>
      <c r="Y25" s="226" t="s">
        <v>762</v>
      </c>
      <c r="Z25" s="230" t="s">
        <v>762</v>
      </c>
      <c r="AA25" s="230" t="s">
        <v>762</v>
      </c>
      <c r="AB25" s="226" t="s">
        <v>762</v>
      </c>
      <c r="AC25" s="230" t="s">
        <v>762</v>
      </c>
      <c r="AD25" s="230" t="s">
        <v>762</v>
      </c>
      <c r="AE25" s="226" t="s">
        <v>762</v>
      </c>
      <c r="AF25" s="227" t="s">
        <v>763</v>
      </c>
      <c r="AG25" s="227"/>
      <c r="AH25" s="231">
        <f>AH20</f>
        <v>150000</v>
      </c>
      <c r="AI25" s="231"/>
    </row>
    <row r="26" spans="1:42" s="177" customFormat="1" ht="12.75" x14ac:dyDescent="0.2">
      <c r="A26" s="191"/>
      <c r="B26" s="191"/>
      <c r="C26" s="180"/>
      <c r="D26" s="191"/>
      <c r="E26" s="232"/>
      <c r="F26" s="215"/>
      <c r="G26" s="179"/>
      <c r="H26" s="179"/>
      <c r="I26" s="180"/>
      <c r="L26" s="178"/>
      <c r="M26" s="232"/>
      <c r="N26" s="221"/>
      <c r="O26" s="213"/>
      <c r="P26" s="215"/>
      <c r="Q26" s="214"/>
      <c r="R26" s="215"/>
      <c r="S26" s="220"/>
      <c r="T26" s="215"/>
      <c r="U26" s="191"/>
      <c r="V26" s="180"/>
      <c r="W26" s="220"/>
      <c r="X26" s="214"/>
      <c r="Y26" s="215"/>
      <c r="Z26" s="232"/>
      <c r="AA26" s="214"/>
      <c r="AB26" s="215"/>
      <c r="AC26" s="179"/>
      <c r="AD26" s="179"/>
      <c r="AE26" s="180"/>
    </row>
    <row r="27" spans="1:42" x14ac:dyDescent="0.25">
      <c r="A27" s="233"/>
      <c r="B27" s="233"/>
      <c r="C27" s="173" t="s">
        <v>242</v>
      </c>
      <c r="D27" s="233"/>
      <c r="E27" s="234">
        <v>5809934989</v>
      </c>
      <c r="F27" s="174">
        <v>446467719794</v>
      </c>
      <c r="G27" s="234">
        <v>861493300.92318451</v>
      </c>
      <c r="H27" s="234">
        <v>1112304470.6065619</v>
      </c>
      <c r="I27" s="174">
        <v>1973797771.5297446</v>
      </c>
      <c r="J27" s="235">
        <v>861493300.92318511</v>
      </c>
      <c r="K27" s="235">
        <v>1112304470.7446809</v>
      </c>
      <c r="L27" s="175">
        <v>1973797771.6678665</v>
      </c>
      <c r="M27" s="235">
        <v>0</v>
      </c>
      <c r="N27" s="236">
        <v>0.13811898231506348</v>
      </c>
      <c r="O27" s="175">
        <v>0.1381218433380127</v>
      </c>
      <c r="P27" s="237">
        <v>6.9977707610321529E-11</v>
      </c>
      <c r="Q27" s="238">
        <v>0.19144869481543211</v>
      </c>
      <c r="R27" s="239">
        <v>1.929575785054913E-3</v>
      </c>
      <c r="S27" s="240">
        <v>0.19144869483920501</v>
      </c>
      <c r="T27" s="239">
        <v>1.9295757850549145E-3</v>
      </c>
      <c r="U27" s="241">
        <v>2.3772900314966705E-11</v>
      </c>
      <c r="V27" s="242">
        <v>0</v>
      </c>
      <c r="W27" s="243">
        <v>241.72312207396462</v>
      </c>
      <c r="X27" s="244">
        <v>192.95757850549131</v>
      </c>
      <c r="Y27" s="245">
        <v>434.6807005794559</v>
      </c>
      <c r="Z27" s="246">
        <v>241.72312210398027</v>
      </c>
      <c r="AA27" s="244">
        <v>192.95757850549145</v>
      </c>
      <c r="AB27" s="245">
        <v>434.68070060947173</v>
      </c>
      <c r="AC27" s="247">
        <v>3.0015655738679925E-8</v>
      </c>
      <c r="AD27" s="247">
        <v>0</v>
      </c>
      <c r="AE27" s="248">
        <v>3.0015826268936507E-8</v>
      </c>
      <c r="AF27" s="235">
        <f>SUM(AF38:AF524)</f>
        <v>0.13811943016480654</v>
      </c>
      <c r="AG27" s="247">
        <f>Q27*AH$23+R27*AH$25</f>
        <v>531.15948983220153</v>
      </c>
      <c r="AH27" s="234">
        <f>U27*$AH$23+V27*$AH$25</f>
        <v>3.0015663937676964E-8</v>
      </c>
      <c r="AI27" s="234"/>
      <c r="AJ27" s="170"/>
      <c r="AK27" s="170"/>
      <c r="AL27" s="170"/>
      <c r="AM27" s="170"/>
      <c r="AN27" s="170"/>
      <c r="AO27" s="174"/>
      <c r="AP27" s="249"/>
    </row>
    <row r="28" spans="1:42" x14ac:dyDescent="0.25">
      <c r="A28" s="233"/>
      <c r="B28" s="233"/>
      <c r="C28" s="173"/>
      <c r="D28" s="233"/>
      <c r="E28" s="234"/>
      <c r="F28" s="174"/>
      <c r="G28" s="234"/>
      <c r="H28" s="234"/>
      <c r="I28" s="174"/>
      <c r="J28" s="235"/>
      <c r="K28" s="235"/>
      <c r="L28" s="175"/>
      <c r="M28" s="235"/>
      <c r="N28" s="236"/>
      <c r="O28" s="175"/>
      <c r="P28" s="237"/>
      <c r="Q28" s="238"/>
      <c r="R28" s="239"/>
      <c r="S28" s="240"/>
      <c r="T28" s="239"/>
      <c r="U28" s="241"/>
      <c r="V28" s="242"/>
      <c r="W28" s="243"/>
      <c r="X28" s="244"/>
      <c r="Y28" s="245"/>
      <c r="Z28" s="246"/>
      <c r="AA28" s="244"/>
      <c r="AB28" s="245"/>
      <c r="AC28" s="247"/>
      <c r="AD28" s="247"/>
      <c r="AE28" s="248"/>
      <c r="AF28" s="235"/>
      <c r="AG28" s="247"/>
      <c r="AH28" s="234"/>
      <c r="AI28" s="234"/>
      <c r="AJ28" s="170"/>
      <c r="AK28" s="170"/>
      <c r="AL28" s="170"/>
      <c r="AM28" s="170"/>
      <c r="AN28" s="170"/>
      <c r="AO28" s="174"/>
      <c r="AP28" s="170"/>
    </row>
    <row r="29" spans="1:42" x14ac:dyDescent="0.25">
      <c r="A29" s="233" t="s">
        <v>11</v>
      </c>
      <c r="B29" s="233"/>
      <c r="C29" s="171"/>
      <c r="D29" s="233">
        <v>1</v>
      </c>
      <c r="E29" s="234">
        <v>629854107</v>
      </c>
      <c r="F29" s="174">
        <v>54702053930</v>
      </c>
      <c r="G29" s="234">
        <v>111664617.42943688</v>
      </c>
      <c r="H29" s="234">
        <v>111504308.60316718</v>
      </c>
      <c r="I29" s="174">
        <v>223168926.03260407</v>
      </c>
      <c r="J29" s="235">
        <v>124296911.36517769</v>
      </c>
      <c r="K29" s="235">
        <v>103821057.75502737</v>
      </c>
      <c r="L29" s="175">
        <v>228117969.12020504</v>
      </c>
      <c r="M29" s="235">
        <v>12632293.935740814</v>
      </c>
      <c r="N29" s="236">
        <v>-7683250.8481398076</v>
      </c>
      <c r="O29" s="175">
        <v>4949043.0876009762</v>
      </c>
      <c r="P29" s="237">
        <v>2.2176219492484099E-2</v>
      </c>
      <c r="Q29" s="238">
        <v>0.17703196242422403</v>
      </c>
      <c r="R29" s="239">
        <v>2.0413240346026048E-3</v>
      </c>
      <c r="S29" s="240">
        <v>0.16483350128417495</v>
      </c>
      <c r="T29" s="239">
        <v>2.2722530953633918E-3</v>
      </c>
      <c r="U29" s="241">
        <v>-1.2198461140049077E-2</v>
      </c>
      <c r="V29" s="242">
        <v>2.3092906076078697E-4</v>
      </c>
      <c r="W29" s="243">
        <v>223.52055575682527</v>
      </c>
      <c r="X29" s="244">
        <v>204.13240346026049</v>
      </c>
      <c r="Y29" s="245">
        <v>427.65295921708577</v>
      </c>
      <c r="Z29" s="246">
        <v>208.11877872139931</v>
      </c>
      <c r="AA29" s="244">
        <v>227.22530953633918</v>
      </c>
      <c r="AB29" s="245">
        <v>435.34408825773846</v>
      </c>
      <c r="AC29" s="247">
        <v>-15.401777035425965</v>
      </c>
      <c r="AD29" s="247">
        <v>23.092906076078691</v>
      </c>
      <c r="AE29" s="248">
        <v>7.6911290406526973</v>
      </c>
      <c r="AF29" s="235">
        <f t="shared" ref="AF29:AF36" si="0">SUMIF($D$38:$D$524,$D29,AF$38:AF$524)</f>
        <v>-67392.961640313733</v>
      </c>
      <c r="AG29" s="247">
        <f t="shared" ref="AG29:AG36" si="1">Q29*AH$23+R29*AH$25</f>
        <v>529.71916094721598</v>
      </c>
      <c r="AH29" s="234">
        <f t="shared" ref="AH29:AH36" si="2">U29*$AH$23+V29*$AH$25</f>
        <v>19.237582078692078</v>
      </c>
      <c r="AI29" s="234">
        <f>AG29+AH29</f>
        <v>548.95674302590805</v>
      </c>
      <c r="AJ29" s="170"/>
      <c r="AK29" s="170"/>
      <c r="AL29" s="170"/>
      <c r="AM29" s="170"/>
      <c r="AN29" s="170"/>
      <c r="AO29" s="174"/>
      <c r="AP29" s="170"/>
    </row>
    <row r="30" spans="1:42" x14ac:dyDescent="0.25">
      <c r="A30" s="233" t="s">
        <v>12</v>
      </c>
      <c r="B30" s="233"/>
      <c r="C30" s="171"/>
      <c r="D30" s="233">
        <v>2</v>
      </c>
      <c r="E30" s="234">
        <v>708687241</v>
      </c>
      <c r="F30" s="174">
        <v>64040730650</v>
      </c>
      <c r="G30" s="234">
        <v>136263439.81903362</v>
      </c>
      <c r="H30" s="234">
        <v>152431648.82829574</v>
      </c>
      <c r="I30" s="174">
        <v>288695088.64732933</v>
      </c>
      <c r="J30" s="235">
        <v>142060498.52095801</v>
      </c>
      <c r="K30" s="235">
        <v>153331282.05391958</v>
      </c>
      <c r="L30" s="175">
        <v>295391780.57487756</v>
      </c>
      <c r="M30" s="235">
        <v>5797058.7019243836</v>
      </c>
      <c r="N30" s="236">
        <v>899633.22562384605</v>
      </c>
      <c r="O30" s="175">
        <v>6696691.9275482297</v>
      </c>
      <c r="P30" s="237">
        <v>2.3196417919422681E-2</v>
      </c>
      <c r="Q30" s="238">
        <v>0.21509015544460147</v>
      </c>
      <c r="R30" s="239">
        <v>2.1277621044605245E-3</v>
      </c>
      <c r="S30" s="240">
        <v>0.21635959162685078</v>
      </c>
      <c r="T30" s="239">
        <v>2.2182835373530832E-3</v>
      </c>
      <c r="U30" s="241">
        <v>1.2694361822493117E-3</v>
      </c>
      <c r="V30" s="242">
        <v>9.0521432892558696E-5</v>
      </c>
      <c r="W30" s="243">
        <v>271.57283026435385</v>
      </c>
      <c r="X30" s="244">
        <v>212.77621044605246</v>
      </c>
      <c r="Y30" s="245">
        <v>484.34904071040631</v>
      </c>
      <c r="Z30" s="246">
        <v>273.17562038806182</v>
      </c>
      <c r="AA30" s="244">
        <v>221.82835373530833</v>
      </c>
      <c r="AB30" s="245">
        <v>495.00397412337014</v>
      </c>
      <c r="AC30" s="247">
        <v>1.6027901237079618</v>
      </c>
      <c r="AD30" s="247">
        <v>9.0521432892558664</v>
      </c>
      <c r="AE30" s="248">
        <v>10.654933412963828</v>
      </c>
      <c r="AF30" s="235">
        <f t="shared" si="0"/>
        <v>900000</v>
      </c>
      <c r="AG30" s="247">
        <f t="shared" si="1"/>
        <v>590.73714593343254</v>
      </c>
      <c r="AH30" s="234">
        <f t="shared" si="2"/>
        <v>15.181005057591786</v>
      </c>
      <c r="AI30" s="234">
        <f t="shared" ref="AI30:AI93" si="3">AG30+AH30</f>
        <v>605.91815099102428</v>
      </c>
      <c r="AJ30" s="170"/>
      <c r="AK30" s="170"/>
      <c r="AL30" s="170"/>
      <c r="AM30" s="170"/>
      <c r="AN30" s="170"/>
      <c r="AO30" s="174"/>
      <c r="AP30" s="170"/>
    </row>
    <row r="31" spans="1:42" x14ac:dyDescent="0.25">
      <c r="A31" s="233" t="s">
        <v>13</v>
      </c>
      <c r="B31" s="233"/>
      <c r="C31" s="171"/>
      <c r="D31" s="233">
        <v>3</v>
      </c>
      <c r="E31" s="234">
        <v>1845195167</v>
      </c>
      <c r="F31" s="174">
        <v>167005606150</v>
      </c>
      <c r="G31" s="234">
        <v>378766761.26122165</v>
      </c>
      <c r="H31" s="234">
        <v>403027312.44340962</v>
      </c>
      <c r="I31" s="174">
        <v>781794073.70463109</v>
      </c>
      <c r="J31" s="235">
        <v>367326612.69402695</v>
      </c>
      <c r="K31" s="235">
        <v>402997566.49266958</v>
      </c>
      <c r="L31" s="175">
        <v>770324179.18669665</v>
      </c>
      <c r="M31" s="235">
        <v>-11440148.5671947</v>
      </c>
      <c r="N31" s="236">
        <v>-29745.950740039349</v>
      </c>
      <c r="O31" s="175">
        <v>-11469894.517934442</v>
      </c>
      <c r="P31" s="237">
        <v>-1.4671247715632944E-2</v>
      </c>
      <c r="Q31" s="238">
        <v>0.21841988297566878</v>
      </c>
      <c r="R31" s="239">
        <v>2.2679883028658534E-3</v>
      </c>
      <c r="S31" s="240">
        <v>0.21840376221442248</v>
      </c>
      <c r="T31" s="239">
        <v>2.1994867188117263E-3</v>
      </c>
      <c r="U31" s="241">
        <v>-1.6120761246296578E-5</v>
      </c>
      <c r="V31" s="242">
        <v>-6.8501584054127002E-5</v>
      </c>
      <c r="W31" s="243">
        <v>275.77694424507945</v>
      </c>
      <c r="X31" s="244">
        <v>226.79883028658534</v>
      </c>
      <c r="Y31" s="245">
        <v>502.57577453166482</v>
      </c>
      <c r="Z31" s="246">
        <v>275.75659017192987</v>
      </c>
      <c r="AA31" s="244">
        <v>219.94867188117263</v>
      </c>
      <c r="AB31" s="245">
        <v>495.7052620531025</v>
      </c>
      <c r="AC31" s="247">
        <v>-2.0354073149576379E-2</v>
      </c>
      <c r="AD31" s="247">
        <v>-6.8501584054127136</v>
      </c>
      <c r="AE31" s="248">
        <v>-6.8705124785623184</v>
      </c>
      <c r="AF31" s="235">
        <f t="shared" si="0"/>
        <v>-341654.63673566992</v>
      </c>
      <c r="AG31" s="247">
        <f t="shared" si="1"/>
        <v>615.97518967495739</v>
      </c>
      <c r="AH31" s="234">
        <f t="shared" si="2"/>
        <v>-10.295591681268625</v>
      </c>
      <c r="AI31" s="234">
        <f t="shared" si="3"/>
        <v>605.67959799368873</v>
      </c>
      <c r="AJ31" s="170"/>
      <c r="AK31" s="170"/>
      <c r="AL31" s="170"/>
      <c r="AM31" s="170"/>
      <c r="AN31" s="170"/>
      <c r="AO31" s="174"/>
      <c r="AP31" s="170"/>
    </row>
    <row r="32" spans="1:42" x14ac:dyDescent="0.25">
      <c r="A32" s="233" t="s">
        <v>14</v>
      </c>
      <c r="B32" s="233"/>
      <c r="C32" s="171"/>
      <c r="D32" s="233">
        <v>4</v>
      </c>
      <c r="E32" s="234">
        <v>1124049513</v>
      </c>
      <c r="F32" s="174">
        <v>90056082950</v>
      </c>
      <c r="G32" s="234">
        <v>122641492.59900014</v>
      </c>
      <c r="H32" s="234">
        <v>223911013.15530297</v>
      </c>
      <c r="I32" s="174">
        <v>346552505.75430322</v>
      </c>
      <c r="J32" s="235">
        <v>121481124.93422222</v>
      </c>
      <c r="K32" s="235">
        <v>220681044.96124724</v>
      </c>
      <c r="L32" s="175">
        <v>342162169.89546925</v>
      </c>
      <c r="M32" s="235">
        <v>-1160367.6647779197</v>
      </c>
      <c r="N32" s="236">
        <v>-3229968.1940557361</v>
      </c>
      <c r="O32" s="175">
        <v>-4390335.8588339686</v>
      </c>
      <c r="P32" s="237">
        <v>-1.2668602263538685E-2</v>
      </c>
      <c r="Q32" s="238">
        <v>0.19920031152160017</v>
      </c>
      <c r="R32" s="239">
        <v>1.3618346321712868E-3</v>
      </c>
      <c r="S32" s="240">
        <v>0.19632680091846386</v>
      </c>
      <c r="T32" s="239">
        <v>1.3489496872928584E-3</v>
      </c>
      <c r="U32" s="241">
        <v>-2.8735106031363145E-3</v>
      </c>
      <c r="V32" s="242">
        <v>-1.2884944878428436E-5</v>
      </c>
      <c r="W32" s="243">
        <v>251.51031332717241</v>
      </c>
      <c r="X32" s="244">
        <v>136.18346321712869</v>
      </c>
      <c r="Y32" s="245">
        <v>387.6937765443011</v>
      </c>
      <c r="Z32" s="246">
        <v>247.8822188396525</v>
      </c>
      <c r="AA32" s="244">
        <v>134.89496872928584</v>
      </c>
      <c r="AB32" s="245">
        <v>382.7771875689383</v>
      </c>
      <c r="AC32" s="247">
        <v>-3.6280944875199168</v>
      </c>
      <c r="AD32" s="247">
        <v>-1.2884944878428541</v>
      </c>
      <c r="AE32" s="248">
        <v>-4.9165889753627994</v>
      </c>
      <c r="AF32" s="235">
        <f t="shared" si="0"/>
        <v>-490952.2635045863</v>
      </c>
      <c r="AG32" s="247">
        <f t="shared" si="1"/>
        <v>455.78550815286542</v>
      </c>
      <c r="AH32" s="234">
        <f t="shared" si="2"/>
        <v>-5.5608362192841767</v>
      </c>
      <c r="AI32" s="234">
        <f t="shared" si="3"/>
        <v>450.22467193358125</v>
      </c>
      <c r="AJ32" s="170"/>
      <c r="AK32" s="170"/>
      <c r="AL32" s="170"/>
      <c r="AM32" s="170"/>
      <c r="AN32" s="170"/>
      <c r="AO32" s="174"/>
      <c r="AP32" s="170"/>
    </row>
    <row r="33" spans="1:41" x14ac:dyDescent="0.25">
      <c r="A33" s="233" t="s">
        <v>15</v>
      </c>
      <c r="B33" s="233"/>
      <c r="C33" s="171"/>
      <c r="D33" s="233">
        <v>5</v>
      </c>
      <c r="E33" s="234">
        <v>648164533</v>
      </c>
      <c r="F33" s="174">
        <v>38252675709</v>
      </c>
      <c r="G33" s="234">
        <v>50760913.503216624</v>
      </c>
      <c r="H33" s="234">
        <v>114509780.27338408</v>
      </c>
      <c r="I33" s="174">
        <v>165270693.77660066</v>
      </c>
      <c r="J33" s="235">
        <v>48789200.139249258</v>
      </c>
      <c r="K33" s="235">
        <v>117151262.86915116</v>
      </c>
      <c r="L33" s="175">
        <v>165940463.00840038</v>
      </c>
      <c r="M33" s="235">
        <v>-1971713.3639673665</v>
      </c>
      <c r="N33" s="236">
        <v>2641482.5957670808</v>
      </c>
      <c r="O33" s="175">
        <v>669769.23179972172</v>
      </c>
      <c r="P33" s="237">
        <v>4.0525589655057703E-3</v>
      </c>
      <c r="Q33" s="238">
        <v>0.17666776635151693</v>
      </c>
      <c r="R33" s="239">
        <v>1.3269898788092808E-3</v>
      </c>
      <c r="S33" s="240">
        <v>0.18074309361995153</v>
      </c>
      <c r="T33" s="239">
        <v>1.2754454227046463E-3</v>
      </c>
      <c r="U33" s="241">
        <v>4.0753272684345976E-3</v>
      </c>
      <c r="V33" s="242">
        <v>-5.1544456104634468E-5</v>
      </c>
      <c r="W33" s="243">
        <v>223.06072179542531</v>
      </c>
      <c r="X33" s="244">
        <v>132.69898788092809</v>
      </c>
      <c r="Y33" s="245">
        <v>355.7597096763534</v>
      </c>
      <c r="Z33" s="246">
        <v>228.20623000455083</v>
      </c>
      <c r="AA33" s="244">
        <v>127.54454227046463</v>
      </c>
      <c r="AB33" s="245">
        <v>355.75077227501549</v>
      </c>
      <c r="AC33" s="247">
        <v>5.1455082091255235</v>
      </c>
      <c r="AD33" s="247">
        <v>-5.1544456104634548</v>
      </c>
      <c r="AE33" s="248">
        <v>-8.9374013379028838E-3</v>
      </c>
      <c r="AF33" s="235">
        <f t="shared" si="0"/>
        <v>0</v>
      </c>
      <c r="AG33" s="247">
        <f t="shared" si="1"/>
        <v>422.10920361681741</v>
      </c>
      <c r="AH33" s="234">
        <f t="shared" si="2"/>
        <v>-2.5861602065696463</v>
      </c>
      <c r="AI33" s="234">
        <f t="shared" si="3"/>
        <v>419.52304341024774</v>
      </c>
      <c r="AJ33" s="170"/>
      <c r="AK33" s="170"/>
      <c r="AL33" s="170"/>
      <c r="AM33" s="170"/>
      <c r="AN33" s="170"/>
      <c r="AO33" s="174"/>
    </row>
    <row r="34" spans="1:41" s="267" customFormat="1" ht="13.5" thickBot="1" x14ac:dyDescent="0.25">
      <c r="A34" s="250" t="s">
        <v>16</v>
      </c>
      <c r="B34" s="250"/>
      <c r="C34" s="251"/>
      <c r="D34" s="250">
        <v>6</v>
      </c>
      <c r="E34" s="252">
        <v>853984428</v>
      </c>
      <c r="F34" s="253">
        <v>32410570405</v>
      </c>
      <c r="G34" s="252">
        <v>61396076.31127584</v>
      </c>
      <c r="H34" s="252">
        <v>106260519.86300127</v>
      </c>
      <c r="I34" s="253">
        <v>167656596.17427707</v>
      </c>
      <c r="J34" s="254">
        <v>57538953.26955051</v>
      </c>
      <c r="K34" s="254">
        <v>114385401.39266536</v>
      </c>
      <c r="L34" s="255">
        <v>171924354.66221589</v>
      </c>
      <c r="M34" s="254">
        <v>-3857123.0417253301</v>
      </c>
      <c r="N34" s="254">
        <v>8124881.5296640843</v>
      </c>
      <c r="O34" s="255">
        <v>4267758.4879388213</v>
      </c>
      <c r="P34" s="256">
        <v>2.5455356874253467E-2</v>
      </c>
      <c r="Q34" s="257">
        <v>0.12442910711130821</v>
      </c>
      <c r="R34" s="258">
        <v>1.8943226096941579E-3</v>
      </c>
      <c r="S34" s="259">
        <v>0.13394319339118599</v>
      </c>
      <c r="T34" s="258">
        <v>1.7753144283037343E-3</v>
      </c>
      <c r="U34" s="260">
        <v>9.5140862798777787E-3</v>
      </c>
      <c r="V34" s="261">
        <v>-1.1900818139042361E-4</v>
      </c>
      <c r="W34" s="262">
        <v>157.10419063873778</v>
      </c>
      <c r="X34" s="263">
        <v>189.43226096941581</v>
      </c>
      <c r="Y34" s="264">
        <v>346.53645160815358</v>
      </c>
      <c r="Z34" s="263">
        <v>169.11667597571144</v>
      </c>
      <c r="AA34" s="263">
        <v>177.53144283037344</v>
      </c>
      <c r="AB34" s="264">
        <v>346.64811880608488</v>
      </c>
      <c r="AC34" s="265">
        <v>12.012485336973668</v>
      </c>
      <c r="AD34" s="265">
        <v>-11.900818139042372</v>
      </c>
      <c r="AE34" s="266">
        <v>0.11166719793129687</v>
      </c>
      <c r="AF34" s="254">
        <f t="shared" si="0"/>
        <v>0</v>
      </c>
      <c r="AG34" s="265">
        <f t="shared" si="1"/>
        <v>441.25258209286142</v>
      </c>
      <c r="AH34" s="252">
        <f t="shared" si="2"/>
        <v>-5.8387418715898551</v>
      </c>
      <c r="AI34" s="252">
        <f t="shared" si="3"/>
        <v>435.41384022127158</v>
      </c>
      <c r="AO34" s="253"/>
    </row>
    <row r="35" spans="1:41" hidden="1" x14ac:dyDescent="0.25">
      <c r="A35" s="233" t="s">
        <v>17</v>
      </c>
      <c r="B35" s="233"/>
      <c r="C35" s="171"/>
      <c r="D35" s="233">
        <v>7</v>
      </c>
      <c r="E35" s="234">
        <v>0</v>
      </c>
      <c r="F35" s="174">
        <v>0</v>
      </c>
      <c r="G35" s="234">
        <v>0</v>
      </c>
      <c r="H35" s="234">
        <v>0</v>
      </c>
      <c r="I35" s="174">
        <v>0</v>
      </c>
      <c r="J35" s="235">
        <v>0</v>
      </c>
      <c r="K35" s="235">
        <v>0</v>
      </c>
      <c r="L35" s="175">
        <v>0</v>
      </c>
      <c r="M35" s="235">
        <v>0</v>
      </c>
      <c r="N35" s="236">
        <v>0</v>
      </c>
      <c r="O35" s="175">
        <v>0</v>
      </c>
      <c r="P35" s="237" t="e">
        <v>#DIV/0!</v>
      </c>
      <c r="Q35" s="238" t="e">
        <v>#DIV/0!</v>
      </c>
      <c r="R35" s="239" t="e">
        <v>#DIV/0!</v>
      </c>
      <c r="S35" s="240" t="e">
        <v>#DIV/0!</v>
      </c>
      <c r="T35" s="239" t="e">
        <v>#DIV/0!</v>
      </c>
      <c r="U35" s="241" t="e">
        <v>#DIV/0!</v>
      </c>
      <c r="V35" s="242" t="e">
        <v>#DIV/0!</v>
      </c>
      <c r="W35" s="243" t="e">
        <v>#DIV/0!</v>
      </c>
      <c r="X35" s="244" t="e">
        <v>#DIV/0!</v>
      </c>
      <c r="Y35" s="245" t="e">
        <v>#DIV/0!</v>
      </c>
      <c r="Z35" s="246" t="e">
        <v>#DIV/0!</v>
      </c>
      <c r="AA35" s="244" t="e">
        <v>#DIV/0!</v>
      </c>
      <c r="AB35" s="245" t="e">
        <v>#DIV/0!</v>
      </c>
      <c r="AC35" s="247" t="e">
        <v>#DIV/0!</v>
      </c>
      <c r="AD35" s="247" t="e">
        <v>#DIV/0!</v>
      </c>
      <c r="AE35" s="248" t="e">
        <v>#DIV/0!</v>
      </c>
      <c r="AF35" s="235">
        <f t="shared" si="0"/>
        <v>0</v>
      </c>
      <c r="AG35" s="247" t="e">
        <f t="shared" si="1"/>
        <v>#DIV/0!</v>
      </c>
      <c r="AH35" s="234" t="e">
        <f t="shared" si="2"/>
        <v>#DIV/0!</v>
      </c>
      <c r="AI35" s="234" t="e">
        <f t="shared" si="3"/>
        <v>#DIV/0!</v>
      </c>
      <c r="AJ35" s="170"/>
      <c r="AK35" s="170"/>
      <c r="AL35" s="170"/>
      <c r="AM35" s="170"/>
      <c r="AN35" s="170"/>
      <c r="AO35" s="170"/>
    </row>
    <row r="36" spans="1:41" hidden="1" x14ac:dyDescent="0.25">
      <c r="A36" s="233" t="s">
        <v>243</v>
      </c>
      <c r="B36" s="233"/>
      <c r="C36" s="171"/>
      <c r="D36" s="233">
        <v>8</v>
      </c>
      <c r="E36" s="234">
        <v>0</v>
      </c>
      <c r="F36" s="174">
        <v>0</v>
      </c>
      <c r="G36" s="234">
        <v>0</v>
      </c>
      <c r="H36" s="234">
        <v>659887.43999999831</v>
      </c>
      <c r="I36" s="174">
        <v>659887.43999999831</v>
      </c>
      <c r="J36" s="235">
        <v>0</v>
      </c>
      <c r="K36" s="235">
        <v>-63144.780000000494</v>
      </c>
      <c r="L36" s="175">
        <v>-63144.780000000494</v>
      </c>
      <c r="M36" s="235">
        <v>0</v>
      </c>
      <c r="N36" s="236">
        <v>-723032.21999999881</v>
      </c>
      <c r="O36" s="175">
        <v>-723032.21999999881</v>
      </c>
      <c r="P36" s="237">
        <v>-1.0956902286244463</v>
      </c>
      <c r="Q36" s="238" t="e">
        <v>#DIV/0!</v>
      </c>
      <c r="R36" s="239" t="e">
        <v>#DIV/0!</v>
      </c>
      <c r="S36" s="240" t="e">
        <v>#DIV/0!</v>
      </c>
      <c r="T36" s="239" t="e">
        <v>#DIV/0!</v>
      </c>
      <c r="U36" s="241" t="e">
        <v>#DIV/0!</v>
      </c>
      <c r="V36" s="242" t="e">
        <v>#DIV/0!</v>
      </c>
      <c r="W36" s="243" t="e">
        <v>#DIV/0!</v>
      </c>
      <c r="X36" s="244" t="e">
        <v>#DIV/0!</v>
      </c>
      <c r="Y36" s="245" t="e">
        <v>#DIV/0!</v>
      </c>
      <c r="Z36" s="246" t="e">
        <v>#DIV/0!</v>
      </c>
      <c r="AA36" s="244" t="e">
        <v>#DIV/0!</v>
      </c>
      <c r="AB36" s="245" t="e">
        <v>#DIV/0!</v>
      </c>
      <c r="AC36" s="247" t="e">
        <v>#DIV/0!</v>
      </c>
      <c r="AD36" s="247" t="e">
        <v>#DIV/0!</v>
      </c>
      <c r="AE36" s="248" t="e">
        <v>#DIV/0!</v>
      </c>
      <c r="AF36" s="235">
        <f t="shared" si="0"/>
        <v>0</v>
      </c>
      <c r="AG36" s="247" t="e">
        <f t="shared" si="1"/>
        <v>#DIV/0!</v>
      </c>
      <c r="AH36" s="234" t="e">
        <f t="shared" si="2"/>
        <v>#DIV/0!</v>
      </c>
      <c r="AI36" s="234" t="e">
        <f t="shared" si="3"/>
        <v>#DIV/0!</v>
      </c>
      <c r="AJ36" s="170"/>
      <c r="AK36" s="170"/>
      <c r="AL36" s="170"/>
      <c r="AM36" s="170"/>
      <c r="AN36" s="170"/>
      <c r="AO36" s="170"/>
    </row>
    <row r="37" spans="1:41" x14ac:dyDescent="0.25">
      <c r="A37" s="233"/>
      <c r="B37" s="233"/>
      <c r="C37" s="173"/>
      <c r="D37" s="233"/>
      <c r="E37" s="172"/>
      <c r="F37" s="173"/>
      <c r="G37" s="172"/>
      <c r="H37" s="234"/>
      <c r="I37" s="173"/>
      <c r="J37" s="170"/>
      <c r="K37" s="170"/>
      <c r="L37" s="171"/>
      <c r="M37" s="235"/>
      <c r="N37" s="236"/>
      <c r="O37" s="175"/>
      <c r="P37" s="237"/>
      <c r="Q37" s="238"/>
      <c r="R37" s="239"/>
      <c r="S37" s="240"/>
      <c r="T37" s="239"/>
      <c r="U37" s="241"/>
      <c r="V37" s="242"/>
      <c r="W37" s="243"/>
      <c r="X37" s="244"/>
      <c r="Y37" s="245"/>
      <c r="Z37" s="246"/>
      <c r="AA37" s="244"/>
      <c r="AB37" s="245"/>
      <c r="AC37" s="247"/>
      <c r="AD37" s="247"/>
      <c r="AE37" s="248"/>
      <c r="AF37" s="170"/>
      <c r="AG37" s="268"/>
      <c r="AH37" s="234"/>
      <c r="AI37" s="234"/>
      <c r="AJ37" s="170"/>
      <c r="AK37" s="170"/>
      <c r="AL37" s="170"/>
      <c r="AM37" s="170"/>
      <c r="AN37" s="170"/>
      <c r="AO37" s="170"/>
    </row>
    <row r="38" spans="1:41" s="172" customFormat="1" ht="12.75" x14ac:dyDescent="0.2">
      <c r="A38" s="269">
        <v>1</v>
      </c>
      <c r="B38" s="269">
        <v>1</v>
      </c>
      <c r="C38" s="270" t="s">
        <v>244</v>
      </c>
      <c r="D38" s="271">
        <v>5</v>
      </c>
      <c r="E38" s="272">
        <v>18259188</v>
      </c>
      <c r="F38" s="273">
        <v>832399770</v>
      </c>
      <c r="G38" s="234">
        <v>349806.13999999996</v>
      </c>
      <c r="H38" s="234">
        <v>493777.79800000001</v>
      </c>
      <c r="I38" s="174">
        <v>843583.93799999997</v>
      </c>
      <c r="J38" s="234">
        <v>670435.26609399437</v>
      </c>
      <c r="K38" s="234">
        <v>882874.92164377403</v>
      </c>
      <c r="L38" s="174">
        <v>1553310.1877377685</v>
      </c>
      <c r="M38" s="235">
        <v>320629.12609399442</v>
      </c>
      <c r="N38" s="236">
        <v>389097.12364377402</v>
      </c>
      <c r="O38" s="175">
        <v>709726.24973776855</v>
      </c>
      <c r="P38" s="237">
        <v>0.84132262098353106</v>
      </c>
      <c r="Q38" s="238">
        <v>2.704270299424049E-2</v>
      </c>
      <c r="R38" s="239">
        <v>4.202381507145298E-4</v>
      </c>
      <c r="S38" s="240">
        <v>4.8352364937793185E-2</v>
      </c>
      <c r="T38" s="239">
        <v>8.0542461718123061E-4</v>
      </c>
      <c r="U38" s="241">
        <v>2.1309661943552695E-2</v>
      </c>
      <c r="V38" s="242">
        <v>3.851864664667008E-4</v>
      </c>
      <c r="W38" s="243">
        <v>34.144116800528046</v>
      </c>
      <c r="X38" s="244">
        <v>42.023815071452979</v>
      </c>
      <c r="Y38" s="245">
        <v>76.167931871981025</v>
      </c>
      <c r="Z38" s="246">
        <v>61.049695970457684</v>
      </c>
      <c r="AA38" s="244">
        <v>80.542461718123064</v>
      </c>
      <c r="AB38" s="245">
        <v>141.59215768858076</v>
      </c>
      <c r="AC38" s="247">
        <v>26.905579169929638</v>
      </c>
      <c r="AD38" s="247">
        <v>38.518646646670085</v>
      </c>
      <c r="AE38" s="248">
        <v>65.42422581659973</v>
      </c>
      <c r="AF38" s="234">
        <f>-SUMIF('[1]Alt Fac'!$A$18:$A$139,'REPORT 4 - PROPERTY TAX'!A38,'[1]Alt Fac'!$U$18:$U$139)</f>
        <v>0</v>
      </c>
      <c r="AG38" s="247">
        <f t="shared" ref="AG38:AG101" si="4">Q38*AH$23+R38*AH$25</f>
        <v>97.179839407707519</v>
      </c>
      <c r="AH38" s="234">
        <f t="shared" ref="AH38:AH101" si="5">U38*$AH$23+V38*$AH$25</f>
        <v>84.683549139934755</v>
      </c>
      <c r="AI38" s="234">
        <f t="shared" si="3"/>
        <v>181.86338854764227</v>
      </c>
      <c r="AO38" s="234"/>
    </row>
    <row r="39" spans="1:41" x14ac:dyDescent="0.25">
      <c r="A39" s="269">
        <v>1.2</v>
      </c>
      <c r="B39" s="274">
        <v>3</v>
      </c>
      <c r="C39" s="275" t="s">
        <v>246</v>
      </c>
      <c r="D39" s="276">
        <v>1</v>
      </c>
      <c r="E39" s="272">
        <v>388311447</v>
      </c>
      <c r="F39" s="273">
        <v>34734592730</v>
      </c>
      <c r="G39" s="234">
        <v>75438186.669999987</v>
      </c>
      <c r="H39" s="234">
        <v>64403596.640346609</v>
      </c>
      <c r="I39" s="174">
        <v>139841783.3103466</v>
      </c>
      <c r="J39" s="234">
        <v>85912922.201543048</v>
      </c>
      <c r="K39" s="234">
        <v>58876386.736580655</v>
      </c>
      <c r="L39" s="175">
        <v>144789308.9381237</v>
      </c>
      <c r="M39" s="235">
        <v>10474735.531543061</v>
      </c>
      <c r="N39" s="236">
        <v>-5527209.9037659541</v>
      </c>
      <c r="O39" s="175">
        <v>4947525.6277770996</v>
      </c>
      <c r="P39" s="237">
        <v>3.5379451767982725E-2</v>
      </c>
      <c r="Q39" s="238">
        <v>0.16585551916615687</v>
      </c>
      <c r="R39" s="239">
        <v>2.1718460111623708E-3</v>
      </c>
      <c r="S39" s="240">
        <v>0.15162155839454472</v>
      </c>
      <c r="T39" s="239">
        <v>2.4734109557398298E-3</v>
      </c>
      <c r="U39" s="241">
        <v>-1.4233960771612153E-2</v>
      </c>
      <c r="V39" s="242">
        <v>3.0156494457745904E-4</v>
      </c>
      <c r="W39" s="243">
        <v>209.40917849918969</v>
      </c>
      <c r="X39" s="244">
        <v>217.18460111623708</v>
      </c>
      <c r="Y39" s="245">
        <v>426.5937796154268</v>
      </c>
      <c r="Z39" s="246">
        <v>191.43737962895219</v>
      </c>
      <c r="AA39" s="244">
        <v>247.34109557398298</v>
      </c>
      <c r="AB39" s="245">
        <v>438.77847520293517</v>
      </c>
      <c r="AC39" s="247">
        <v>-17.971798870237507</v>
      </c>
      <c r="AD39" s="247">
        <v>30.156494457745907</v>
      </c>
      <c r="AE39" s="248">
        <v>12.184695587508372</v>
      </c>
      <c r="AF39" s="234">
        <f>-SUMIF('[1]Alt Fac'!$A$18:$A$139,'REPORT 4 - PROPERTY TAX'!A39,'[1]Alt Fac'!$U$18:$U$139)</f>
        <v>-2218396.0997597435</v>
      </c>
      <c r="AG39" s="247">
        <f t="shared" si="4"/>
        <v>535.18608017354529</v>
      </c>
      <c r="AH39" s="234">
        <f t="shared" si="5"/>
        <v>27.262942816381347</v>
      </c>
      <c r="AI39" s="234">
        <f t="shared" si="3"/>
        <v>562.44902298992668</v>
      </c>
      <c r="AJ39" s="170"/>
      <c r="AK39" s="170"/>
      <c r="AL39" s="170"/>
      <c r="AM39" s="170"/>
      <c r="AN39" s="170"/>
      <c r="AO39" s="234"/>
    </row>
    <row r="40" spans="1:41" x14ac:dyDescent="0.25">
      <c r="A40" s="274">
        <v>2</v>
      </c>
      <c r="B40" s="274">
        <v>1</v>
      </c>
      <c r="C40" s="275" t="s">
        <v>248</v>
      </c>
      <c r="D40" s="276">
        <v>6</v>
      </c>
      <c r="E40" s="272">
        <v>1589511</v>
      </c>
      <c r="F40" s="273">
        <v>81131225</v>
      </c>
      <c r="G40" s="234">
        <v>36295.800000000003</v>
      </c>
      <c r="H40" s="234">
        <v>290515.57881896652</v>
      </c>
      <c r="I40" s="174">
        <v>326811.37881896651</v>
      </c>
      <c r="J40" s="234">
        <v>65345.087845693211</v>
      </c>
      <c r="K40" s="234">
        <v>302536.99961107562</v>
      </c>
      <c r="L40" s="175">
        <v>367882.08745676884</v>
      </c>
      <c r="M40" s="235">
        <v>29049.287845693209</v>
      </c>
      <c r="N40" s="236">
        <v>12021.4207921091</v>
      </c>
      <c r="O40" s="175">
        <v>41070.708637802338</v>
      </c>
      <c r="P40" s="237">
        <v>0.12567098730229034</v>
      </c>
      <c r="Q40" s="238">
        <v>0.18277041103771319</v>
      </c>
      <c r="R40" s="239">
        <v>4.4737152680734212E-4</v>
      </c>
      <c r="S40" s="240">
        <v>0.19033337901472566</v>
      </c>
      <c r="T40" s="239">
        <v>8.0542464193894786E-4</v>
      </c>
      <c r="U40" s="241">
        <v>7.5629679770124747E-3</v>
      </c>
      <c r="V40" s="242">
        <v>3.5805311513160574E-4</v>
      </c>
      <c r="W40" s="243">
        <v>230.76592097621671</v>
      </c>
      <c r="X40" s="244">
        <v>44.737152680734212</v>
      </c>
      <c r="Y40" s="245">
        <v>275.5030736569509</v>
      </c>
      <c r="Z40" s="246">
        <v>240.31492434399266</v>
      </c>
      <c r="AA40" s="244">
        <v>80.542464193894787</v>
      </c>
      <c r="AB40" s="245">
        <v>320.85738853788746</v>
      </c>
      <c r="AC40" s="247">
        <v>9.5490033677759527</v>
      </c>
      <c r="AD40" s="247">
        <v>35.805311513160575</v>
      </c>
      <c r="AE40" s="248">
        <v>45.354314880936556</v>
      </c>
      <c r="AF40" s="234">
        <f>-SUMIF('[1]Alt Fac'!$A$18:$A$139,'REPORT 4 - PROPERTY TAX'!A40,'[1]Alt Fac'!$U$18:$U$139)</f>
        <v>0</v>
      </c>
      <c r="AG40" s="247">
        <f t="shared" si="4"/>
        <v>297.871649997318</v>
      </c>
      <c r="AH40" s="234">
        <f t="shared" si="5"/>
        <v>63.256970637516815</v>
      </c>
      <c r="AI40" s="234">
        <f t="shared" si="3"/>
        <v>361.12862063483482</v>
      </c>
      <c r="AJ40" s="170"/>
      <c r="AK40" s="170"/>
      <c r="AL40" s="170"/>
      <c r="AM40" s="170"/>
      <c r="AN40" s="170"/>
      <c r="AO40" s="234"/>
    </row>
    <row r="41" spans="1:41" x14ac:dyDescent="0.25">
      <c r="A41" s="274">
        <v>4</v>
      </c>
      <c r="B41" s="274">
        <v>1</v>
      </c>
      <c r="C41" s="275" t="s">
        <v>250</v>
      </c>
      <c r="D41" s="276">
        <v>6</v>
      </c>
      <c r="E41" s="272">
        <v>9847758</v>
      </c>
      <c r="F41" s="273">
        <v>324940018</v>
      </c>
      <c r="G41" s="234">
        <v>69670.59</v>
      </c>
      <c r="H41" s="234">
        <v>968963.16800000006</v>
      </c>
      <c r="I41" s="174">
        <v>1038633.758</v>
      </c>
      <c r="J41" s="234">
        <v>254656.39829025377</v>
      </c>
      <c r="K41" s="234">
        <v>1176714.5776635876</v>
      </c>
      <c r="L41" s="175">
        <v>1431370.9759538413</v>
      </c>
      <c r="M41" s="235">
        <v>184985.80829025377</v>
      </c>
      <c r="N41" s="236">
        <v>207751.40966358758</v>
      </c>
      <c r="O41" s="175">
        <v>392737.21795384132</v>
      </c>
      <c r="P41" s="237">
        <v>0.37812868581327325</v>
      </c>
      <c r="Q41" s="238">
        <v>9.8394291167593684E-2</v>
      </c>
      <c r="R41" s="239">
        <v>2.1441061777746314E-4</v>
      </c>
      <c r="S41" s="240">
        <v>0.11949060666027614</v>
      </c>
      <c r="T41" s="239">
        <v>7.8370278877209197E-4</v>
      </c>
      <c r="U41" s="241">
        <v>2.1096315492682455E-2</v>
      </c>
      <c r="V41" s="242">
        <v>5.6929217099462883E-4</v>
      </c>
      <c r="W41" s="243">
        <v>124.2326320282038</v>
      </c>
      <c r="X41" s="244">
        <v>21.441061777746313</v>
      </c>
      <c r="Y41" s="245">
        <v>145.67369380595011</v>
      </c>
      <c r="Z41" s="246">
        <v>150.86883996926466</v>
      </c>
      <c r="AA41" s="244">
        <v>78.370278877209202</v>
      </c>
      <c r="AB41" s="245">
        <v>229.23911884647384</v>
      </c>
      <c r="AC41" s="247">
        <v>26.63620794106086</v>
      </c>
      <c r="AD41" s="247">
        <v>56.929217099462889</v>
      </c>
      <c r="AE41" s="248">
        <v>83.565425040523735</v>
      </c>
      <c r="AF41" s="234">
        <f>-SUMIF('[1]Alt Fac'!$A$18:$A$139,'REPORT 4 - PROPERTY TAX'!A41,'[1]Alt Fac'!$U$18:$U$139)</f>
        <v>0</v>
      </c>
      <c r="AG41" s="247">
        <f t="shared" si="4"/>
        <v>156.39422469482327</v>
      </c>
      <c r="AH41" s="234">
        <f t="shared" si="5"/>
        <v>112.0300335902552</v>
      </c>
      <c r="AI41" s="234">
        <f t="shared" si="3"/>
        <v>268.42425828507845</v>
      </c>
      <c r="AJ41" s="170"/>
      <c r="AK41" s="170"/>
      <c r="AL41" s="170"/>
      <c r="AM41" s="170"/>
      <c r="AN41" s="170"/>
      <c r="AO41" s="234"/>
    </row>
    <row r="42" spans="1:41" x14ac:dyDescent="0.25">
      <c r="A42" s="274">
        <v>6</v>
      </c>
      <c r="B42" s="274">
        <v>3</v>
      </c>
      <c r="C42" s="275" t="s">
        <v>252</v>
      </c>
      <c r="D42" s="276">
        <v>2</v>
      </c>
      <c r="E42" s="272">
        <v>15767204</v>
      </c>
      <c r="F42" s="273">
        <v>1329568050</v>
      </c>
      <c r="G42" s="234">
        <v>3479364.4923529411</v>
      </c>
      <c r="H42" s="234">
        <v>2995297.1421504761</v>
      </c>
      <c r="I42" s="174">
        <v>6474661.6345034167</v>
      </c>
      <c r="J42" s="234">
        <v>2512140.9159086291</v>
      </c>
      <c r="K42" s="234">
        <v>2623860.5023189839</v>
      </c>
      <c r="L42" s="175">
        <v>5136001.418227613</v>
      </c>
      <c r="M42" s="235">
        <v>-967223.576444312</v>
      </c>
      <c r="N42" s="236">
        <v>-371436.63983149221</v>
      </c>
      <c r="O42" s="175">
        <v>-1338660.2162758037</v>
      </c>
      <c r="P42" s="237">
        <v>-0.20675369491775367</v>
      </c>
      <c r="Q42" s="238">
        <v>0.18997008868220872</v>
      </c>
      <c r="R42" s="239">
        <v>2.61691343466996E-3</v>
      </c>
      <c r="S42" s="240">
        <v>0.16641254228200408</v>
      </c>
      <c r="T42" s="239">
        <v>1.8894413985870292E-3</v>
      </c>
      <c r="U42" s="241">
        <v>-2.3557546400204632E-2</v>
      </c>
      <c r="V42" s="242">
        <v>-7.2747203608293075E-4</v>
      </c>
      <c r="W42" s="243">
        <v>239.85623397015675</v>
      </c>
      <c r="X42" s="244">
        <v>261.69134346699599</v>
      </c>
      <c r="Y42" s="245">
        <v>501.54757743715277</v>
      </c>
      <c r="Z42" s="246">
        <v>210.11247588525839</v>
      </c>
      <c r="AA42" s="244">
        <v>188.94413985870293</v>
      </c>
      <c r="AB42" s="245">
        <v>399.05661574396129</v>
      </c>
      <c r="AC42" s="247">
        <v>-29.74375808489836</v>
      </c>
      <c r="AD42" s="247">
        <v>-72.747203608293063</v>
      </c>
      <c r="AE42" s="248">
        <v>-102.49096169319148</v>
      </c>
      <c r="AF42" s="234">
        <f>-SUMIF('[1]Alt Fac'!$A$18:$A$139,'REPORT 4 - PROPERTY TAX'!A42,'[1]Alt Fac'!$U$18:$U$139)</f>
        <v>0</v>
      </c>
      <c r="AG42" s="247">
        <f t="shared" si="4"/>
        <v>632.39324917065073</v>
      </c>
      <c r="AH42" s="234">
        <f t="shared" si="5"/>
        <v>-138.86456349733797</v>
      </c>
      <c r="AI42" s="234">
        <f t="shared" si="3"/>
        <v>493.52868567331279</v>
      </c>
      <c r="AJ42" s="170"/>
      <c r="AK42" s="170"/>
      <c r="AL42" s="170"/>
      <c r="AM42" s="170"/>
      <c r="AN42" s="170"/>
      <c r="AO42" s="234"/>
    </row>
    <row r="43" spans="1:41" x14ac:dyDescent="0.25">
      <c r="A43" s="274">
        <v>11</v>
      </c>
      <c r="B43" s="274">
        <v>1</v>
      </c>
      <c r="C43" s="275" t="s">
        <v>254</v>
      </c>
      <c r="D43" s="276">
        <v>3</v>
      </c>
      <c r="E43" s="272">
        <v>187404610</v>
      </c>
      <c r="F43" s="273">
        <v>17436117350</v>
      </c>
      <c r="G43" s="234">
        <v>54540512.864117652</v>
      </c>
      <c r="H43" s="234">
        <v>34667660.317014761</v>
      </c>
      <c r="I43" s="174">
        <v>89208173.181132406</v>
      </c>
      <c r="J43" s="234">
        <v>43863640.951423883</v>
      </c>
      <c r="K43" s="234">
        <v>34464833.691919714</v>
      </c>
      <c r="L43" s="175">
        <v>78328474.643343598</v>
      </c>
      <c r="M43" s="235">
        <v>-10676871.912693769</v>
      </c>
      <c r="N43" s="236">
        <v>-202826.62509504706</v>
      </c>
      <c r="O43" s="175">
        <v>-10879698.537788808</v>
      </c>
      <c r="P43" s="237">
        <v>-0.121958539781979</v>
      </c>
      <c r="Q43" s="238">
        <v>0.18498830053868345</v>
      </c>
      <c r="R43" s="239">
        <v>3.1280193731959283E-3</v>
      </c>
      <c r="S43" s="240">
        <v>0.18390600792541717</v>
      </c>
      <c r="T43" s="239">
        <v>2.5156770897406173E-3</v>
      </c>
      <c r="U43" s="241">
        <v>-1.0822926132662836E-3</v>
      </c>
      <c r="V43" s="242">
        <v>-6.1234228345531097E-4</v>
      </c>
      <c r="W43" s="243">
        <v>233.56622826014174</v>
      </c>
      <c r="X43" s="244">
        <v>312.80193731959281</v>
      </c>
      <c r="Y43" s="245">
        <v>546.36816557973452</v>
      </c>
      <c r="Z43" s="246">
        <v>232.19972560663174</v>
      </c>
      <c r="AA43" s="244">
        <v>251.56770897406173</v>
      </c>
      <c r="AB43" s="245">
        <v>483.76743458069348</v>
      </c>
      <c r="AC43" s="247">
        <v>-1.3665026535099969</v>
      </c>
      <c r="AD43" s="247">
        <v>-61.234228345531079</v>
      </c>
      <c r="AE43" s="248">
        <v>-62.600730999041048</v>
      </c>
      <c r="AF43" s="234">
        <f>-SUMIF('[1]Alt Fac'!$A$18:$A$139,'REPORT 4 - PROPERTY TAX'!A43,'[1]Alt Fac'!$U$18:$U$139)</f>
        <v>610295</v>
      </c>
      <c r="AG43" s="247">
        <f t="shared" si="4"/>
        <v>702.76913423953101</v>
      </c>
      <c r="AH43" s="234">
        <f t="shared" si="5"/>
        <v>-93.217845171806658</v>
      </c>
      <c r="AI43" s="234">
        <f t="shared" si="3"/>
        <v>609.55128906772438</v>
      </c>
      <c r="AJ43" s="170"/>
      <c r="AK43" s="170"/>
      <c r="AL43" s="170"/>
      <c r="AM43" s="170"/>
      <c r="AN43" s="170"/>
      <c r="AO43" s="234"/>
    </row>
    <row r="44" spans="1:41" x14ac:dyDescent="0.25">
      <c r="A44" s="274">
        <v>12</v>
      </c>
      <c r="B44" s="274">
        <v>1</v>
      </c>
      <c r="C44" s="275" t="s">
        <v>256</v>
      </c>
      <c r="D44" s="276">
        <v>3</v>
      </c>
      <c r="E44" s="272">
        <v>28966785</v>
      </c>
      <c r="F44" s="273">
        <v>2673246800</v>
      </c>
      <c r="G44" s="234">
        <v>6472474.3241176475</v>
      </c>
      <c r="H44" s="234">
        <v>9196163.1127972715</v>
      </c>
      <c r="I44" s="174">
        <v>15668637.436914919</v>
      </c>
      <c r="J44" s="234">
        <v>4729318.3974842038</v>
      </c>
      <c r="K44" s="234">
        <v>9111818.9904455431</v>
      </c>
      <c r="L44" s="175">
        <v>13841137.387929747</v>
      </c>
      <c r="M44" s="235">
        <v>-1743155.9266334437</v>
      </c>
      <c r="N44" s="236">
        <v>-84344.12235172838</v>
      </c>
      <c r="O44" s="175">
        <v>-1827500.0489851721</v>
      </c>
      <c r="P44" s="237">
        <v>-0.11663426742389402</v>
      </c>
      <c r="Q44" s="238">
        <v>0.31747268855681676</v>
      </c>
      <c r="R44" s="239">
        <v>2.4212034310179095E-3</v>
      </c>
      <c r="S44" s="240">
        <v>0.31456093558348097</v>
      </c>
      <c r="T44" s="239">
        <v>1.7691289848300591E-3</v>
      </c>
      <c r="U44" s="241">
        <v>-2.9117529733357905E-3</v>
      </c>
      <c r="V44" s="242">
        <v>-6.5207444618785044E-4</v>
      </c>
      <c r="W44" s="243">
        <v>400.84101657183686</v>
      </c>
      <c r="X44" s="244">
        <v>242.12034310179095</v>
      </c>
      <c r="Y44" s="245">
        <v>642.96135967362784</v>
      </c>
      <c r="Z44" s="246">
        <v>397.16463726770314</v>
      </c>
      <c r="AA44" s="244">
        <v>176.9128984830059</v>
      </c>
      <c r="AB44" s="245">
        <v>574.0775357507091</v>
      </c>
      <c r="AC44" s="247">
        <v>-3.6763793041337181</v>
      </c>
      <c r="AD44" s="247">
        <v>-65.207444618785047</v>
      </c>
      <c r="AE44" s="248">
        <v>-68.883823922918737</v>
      </c>
      <c r="AF44" s="234">
        <f>-SUMIF('[1]Alt Fac'!$A$18:$A$139,'REPORT 4 - PROPERTY TAX'!A44,'[1]Alt Fac'!$U$18:$U$139)</f>
        <v>0</v>
      </c>
      <c r="AG44" s="247">
        <f t="shared" si="4"/>
        <v>764.0215312245233</v>
      </c>
      <c r="AH44" s="234">
        <f t="shared" si="5"/>
        <v>-101.48754623231135</v>
      </c>
      <c r="AI44" s="234">
        <f t="shared" si="3"/>
        <v>662.53398499221191</v>
      </c>
      <c r="AJ44" s="170"/>
      <c r="AK44" s="170"/>
      <c r="AL44" s="170"/>
      <c r="AM44" s="170"/>
      <c r="AN44" s="170"/>
      <c r="AO44" s="234"/>
    </row>
    <row r="45" spans="1:41" x14ac:dyDescent="0.25">
      <c r="A45" s="274">
        <v>13</v>
      </c>
      <c r="B45" s="274">
        <v>1</v>
      </c>
      <c r="C45" s="275" t="s">
        <v>258</v>
      </c>
      <c r="D45" s="276">
        <v>2</v>
      </c>
      <c r="E45" s="272">
        <v>19762462</v>
      </c>
      <c r="F45" s="273">
        <v>1729165900</v>
      </c>
      <c r="G45" s="234">
        <v>3616710.8094117651</v>
      </c>
      <c r="H45" s="234">
        <v>4321302.4779291656</v>
      </c>
      <c r="I45" s="174">
        <v>7938013.2873409307</v>
      </c>
      <c r="J45" s="234">
        <v>3383044.4578036377</v>
      </c>
      <c r="K45" s="234">
        <v>3974560.0513650784</v>
      </c>
      <c r="L45" s="175">
        <v>7357604.5091687161</v>
      </c>
      <c r="M45" s="235">
        <v>-233666.35160812736</v>
      </c>
      <c r="N45" s="236">
        <v>-346742.42656408716</v>
      </c>
      <c r="O45" s="175">
        <v>-580408.77817221452</v>
      </c>
      <c r="P45" s="237">
        <v>-7.3117637519934081E-2</v>
      </c>
      <c r="Q45" s="238">
        <v>0.21866215241446971</v>
      </c>
      <c r="R45" s="239">
        <v>2.0915927207515281E-3</v>
      </c>
      <c r="S45" s="240">
        <v>0.20111664484744252</v>
      </c>
      <c r="T45" s="239">
        <v>1.9564603129194474E-3</v>
      </c>
      <c r="U45" s="241">
        <v>-1.7545507567027191E-2</v>
      </c>
      <c r="V45" s="242">
        <v>-1.3513240783208065E-4</v>
      </c>
      <c r="W45" s="243">
        <v>276.0828336385095</v>
      </c>
      <c r="X45" s="244">
        <v>209.15927207515281</v>
      </c>
      <c r="Y45" s="245">
        <v>485.24210571366234</v>
      </c>
      <c r="Z45" s="246">
        <v>253.92987578438095</v>
      </c>
      <c r="AA45" s="244">
        <v>195.64603129194475</v>
      </c>
      <c r="AB45" s="245">
        <v>449.57590707632573</v>
      </c>
      <c r="AC45" s="247">
        <v>-22.152957854128545</v>
      </c>
      <c r="AD45" s="247">
        <v>-13.513240783208062</v>
      </c>
      <c r="AE45" s="248">
        <v>-35.666198637336606</v>
      </c>
      <c r="AF45" s="234">
        <f>-SUMIF('[1]Alt Fac'!$A$18:$A$139,'REPORT 4 - PROPERTY TAX'!A45,'[1]Alt Fac'!$U$18:$U$139)</f>
        <v>0</v>
      </c>
      <c r="AG45" s="247">
        <f t="shared" si="4"/>
        <v>589.82174175123873</v>
      </c>
      <c r="AH45" s="234">
        <f t="shared" si="5"/>
        <v>-42.422819028940637</v>
      </c>
      <c r="AI45" s="234">
        <f t="shared" si="3"/>
        <v>547.39892272229804</v>
      </c>
      <c r="AJ45" s="170"/>
      <c r="AK45" s="170"/>
      <c r="AL45" s="170"/>
      <c r="AM45" s="170"/>
      <c r="AN45" s="170"/>
      <c r="AO45" s="234"/>
    </row>
    <row r="46" spans="1:41" x14ac:dyDescent="0.25">
      <c r="A46" s="274">
        <v>14</v>
      </c>
      <c r="B46" s="274">
        <v>1</v>
      </c>
      <c r="C46" s="275" t="s">
        <v>260</v>
      </c>
      <c r="D46" s="276">
        <v>3</v>
      </c>
      <c r="E46" s="272">
        <v>13615367</v>
      </c>
      <c r="F46" s="273">
        <v>1131944200</v>
      </c>
      <c r="G46" s="234">
        <v>2874947.1735294117</v>
      </c>
      <c r="H46" s="234">
        <v>3958773.5425621397</v>
      </c>
      <c r="I46" s="174">
        <v>6833720.7160915509</v>
      </c>
      <c r="J46" s="234">
        <v>1916053.5187511332</v>
      </c>
      <c r="K46" s="234">
        <v>3495443.5773385093</v>
      </c>
      <c r="L46" s="175">
        <v>5411497.0960896425</v>
      </c>
      <c r="M46" s="235">
        <v>-958893.65477827843</v>
      </c>
      <c r="N46" s="236">
        <v>-463329.96522363042</v>
      </c>
      <c r="O46" s="175">
        <v>-1422223.6200019084</v>
      </c>
      <c r="P46" s="237">
        <v>-0.20811848758363202</v>
      </c>
      <c r="Q46" s="238">
        <v>0.29075775501035994</v>
      </c>
      <c r="R46" s="239">
        <v>2.5398311803085448E-3</v>
      </c>
      <c r="S46" s="240">
        <v>0.25672782653148529</v>
      </c>
      <c r="T46" s="239">
        <v>1.6927102225985462E-3</v>
      </c>
      <c r="U46" s="241">
        <v>-3.4029928478874649E-2</v>
      </c>
      <c r="V46" s="242">
        <v>-8.4712095770999858E-4</v>
      </c>
      <c r="W46" s="243">
        <v>367.11074147608048</v>
      </c>
      <c r="X46" s="244">
        <v>253.98311803085448</v>
      </c>
      <c r="Y46" s="245">
        <v>621.0938595069349</v>
      </c>
      <c r="Z46" s="246">
        <v>324.14455377865335</v>
      </c>
      <c r="AA46" s="244">
        <v>169.27102225985462</v>
      </c>
      <c r="AB46" s="245">
        <v>493.41557603850799</v>
      </c>
      <c r="AC46" s="247">
        <v>-42.966187697427131</v>
      </c>
      <c r="AD46" s="247">
        <v>-84.712095770999866</v>
      </c>
      <c r="AE46" s="248">
        <v>-127.67828346842691</v>
      </c>
      <c r="AF46" s="234">
        <f>-SUMIF('[1]Alt Fac'!$A$18:$A$139,'REPORT 4 - PROPERTY TAX'!A46,'[1]Alt Fac'!$U$18:$U$139)</f>
        <v>0</v>
      </c>
      <c r="AG46" s="247">
        <f t="shared" si="4"/>
        <v>748.08541852236226</v>
      </c>
      <c r="AH46" s="234">
        <f t="shared" si="5"/>
        <v>-170.03433135392692</v>
      </c>
      <c r="AI46" s="234">
        <f t="shared" si="3"/>
        <v>578.05108716843529</v>
      </c>
      <c r="AJ46" s="170"/>
      <c r="AK46" s="170"/>
      <c r="AL46" s="170"/>
      <c r="AM46" s="170"/>
      <c r="AN46" s="170"/>
      <c r="AO46" s="234"/>
    </row>
    <row r="47" spans="1:41" x14ac:dyDescent="0.25">
      <c r="A47" s="274">
        <v>15</v>
      </c>
      <c r="B47" s="274">
        <v>1</v>
      </c>
      <c r="C47" s="275" t="s">
        <v>262</v>
      </c>
      <c r="D47" s="276">
        <v>3</v>
      </c>
      <c r="E47" s="272">
        <v>27669124</v>
      </c>
      <c r="F47" s="273">
        <v>2375466900</v>
      </c>
      <c r="G47" s="234">
        <v>2532537.4484453779</v>
      </c>
      <c r="H47" s="234">
        <v>7545139.2505798712</v>
      </c>
      <c r="I47" s="174">
        <v>10077676.699025249</v>
      </c>
      <c r="J47" s="234">
        <v>2471545.5517117088</v>
      </c>
      <c r="K47" s="234">
        <v>7717772.8446210967</v>
      </c>
      <c r="L47" s="175">
        <v>10189318.396332806</v>
      </c>
      <c r="M47" s="235">
        <v>-60991.896733669098</v>
      </c>
      <c r="N47" s="236">
        <v>172633.5940412255</v>
      </c>
      <c r="O47" s="175">
        <v>111641.69730755687</v>
      </c>
      <c r="P47" s="237">
        <v>1.1078118562620219E-2</v>
      </c>
      <c r="Q47" s="238">
        <v>0.27269165625120156</v>
      </c>
      <c r="R47" s="239">
        <v>1.0661219688834131E-3</v>
      </c>
      <c r="S47" s="240">
        <v>0.27893087054801941</v>
      </c>
      <c r="T47" s="239">
        <v>1.0404462178410941E-3</v>
      </c>
      <c r="U47" s="241">
        <v>6.239214296817841E-3</v>
      </c>
      <c r="V47" s="242">
        <v>-2.5675751042319008E-5</v>
      </c>
      <c r="W47" s="243">
        <v>344.30048518276715</v>
      </c>
      <c r="X47" s="244">
        <v>106.61219688834132</v>
      </c>
      <c r="Y47" s="245">
        <v>450.91268207110846</v>
      </c>
      <c r="Z47" s="246">
        <v>352.17811715392935</v>
      </c>
      <c r="AA47" s="244">
        <v>104.04462178410941</v>
      </c>
      <c r="AB47" s="245">
        <v>456.22273893803879</v>
      </c>
      <c r="AC47" s="247">
        <v>7.8776319711622023</v>
      </c>
      <c r="AD47" s="247">
        <v>-2.5675751042319064</v>
      </c>
      <c r="AE47" s="248">
        <v>5.3100568669303243</v>
      </c>
      <c r="AF47" s="234">
        <f>-SUMIF('[1]Alt Fac'!$A$18:$A$139,'REPORT 4 - PROPERTY TAX'!A47,'[1]Alt Fac'!$U$18:$U$139)</f>
        <v>0</v>
      </c>
      <c r="AG47" s="247">
        <f t="shared" si="4"/>
        <v>504.21878051527915</v>
      </c>
      <c r="AH47" s="234">
        <f t="shared" si="5"/>
        <v>4.0262693148143551</v>
      </c>
      <c r="AI47" s="234">
        <f t="shared" si="3"/>
        <v>508.24504983009348</v>
      </c>
      <c r="AJ47" s="170"/>
      <c r="AK47" s="170"/>
      <c r="AL47" s="170"/>
      <c r="AM47" s="170"/>
      <c r="AN47" s="170"/>
      <c r="AO47" s="234"/>
    </row>
    <row r="48" spans="1:41" x14ac:dyDescent="0.25">
      <c r="A48" s="274">
        <v>16</v>
      </c>
      <c r="B48" s="274">
        <v>1</v>
      </c>
      <c r="C48" s="275" t="s">
        <v>264</v>
      </c>
      <c r="D48" s="276">
        <v>3</v>
      </c>
      <c r="E48" s="272">
        <v>36240993</v>
      </c>
      <c r="F48" s="273">
        <v>3124028600</v>
      </c>
      <c r="G48" s="234">
        <v>5908960.6099999994</v>
      </c>
      <c r="H48" s="234">
        <v>12102804.129809862</v>
      </c>
      <c r="I48" s="174">
        <v>18011764.739809863</v>
      </c>
      <c r="J48" s="234">
        <v>5547209.3909950107</v>
      </c>
      <c r="K48" s="234">
        <v>12003897.597849529</v>
      </c>
      <c r="L48" s="175">
        <v>17551106.98884454</v>
      </c>
      <c r="M48" s="235">
        <v>-361751.21900498867</v>
      </c>
      <c r="N48" s="236">
        <v>-98906.531960332766</v>
      </c>
      <c r="O48" s="175">
        <v>-460657.7509653233</v>
      </c>
      <c r="P48" s="237">
        <v>-2.5575381292160165E-2</v>
      </c>
      <c r="Q48" s="238">
        <v>0.33395343581810416</v>
      </c>
      <c r="R48" s="239">
        <v>1.8914553503127339E-3</v>
      </c>
      <c r="S48" s="240">
        <v>0.33122430165888472</v>
      </c>
      <c r="T48" s="239">
        <v>1.7756589651564043E-3</v>
      </c>
      <c r="U48" s="241">
        <v>-2.7291341592194374E-3</v>
      </c>
      <c r="V48" s="242">
        <v>-1.1579638515632961E-4</v>
      </c>
      <c r="W48" s="243">
        <v>421.64960806393833</v>
      </c>
      <c r="X48" s="244">
        <v>189.1455350312734</v>
      </c>
      <c r="Y48" s="245">
        <v>610.79514309521176</v>
      </c>
      <c r="Z48" s="246">
        <v>418.20380327450789</v>
      </c>
      <c r="AA48" s="244">
        <v>177.56589651564042</v>
      </c>
      <c r="AB48" s="245">
        <v>595.76969979014825</v>
      </c>
      <c r="AC48" s="247">
        <v>-3.44580478943044</v>
      </c>
      <c r="AD48" s="247">
        <v>-11.579638515632979</v>
      </c>
      <c r="AE48" s="248">
        <v>-15.025443305063504</v>
      </c>
      <c r="AF48" s="234">
        <f>-SUMIF('[1]Alt Fac'!$A$18:$A$139,'REPORT 4 - PROPERTY TAX'!A48,'[1]Alt Fac'!$U$18:$U$139)</f>
        <v>0</v>
      </c>
      <c r="AG48" s="247">
        <f t="shared" si="4"/>
        <v>705.36791061084841</v>
      </c>
      <c r="AH48" s="234">
        <f t="shared" si="5"/>
        <v>-20.815262562879905</v>
      </c>
      <c r="AI48" s="234">
        <f t="shared" si="3"/>
        <v>684.55264804796855</v>
      </c>
      <c r="AJ48" s="170"/>
      <c r="AK48" s="170"/>
      <c r="AL48" s="170"/>
      <c r="AM48" s="170"/>
      <c r="AN48" s="170"/>
      <c r="AO48" s="234"/>
    </row>
    <row r="49" spans="1:41" x14ac:dyDescent="0.25">
      <c r="A49" s="274">
        <v>22</v>
      </c>
      <c r="B49" s="274">
        <v>1</v>
      </c>
      <c r="C49" s="275" t="s">
        <v>266</v>
      </c>
      <c r="D49" s="276">
        <v>4</v>
      </c>
      <c r="E49" s="272">
        <v>20668172</v>
      </c>
      <c r="F49" s="273">
        <v>1391529800</v>
      </c>
      <c r="G49" s="234">
        <v>1710613.8718235979</v>
      </c>
      <c r="H49" s="234">
        <v>1842850.8843410644</v>
      </c>
      <c r="I49" s="174">
        <v>3553464.7561646625</v>
      </c>
      <c r="J49" s="234">
        <v>1527759.0675305799</v>
      </c>
      <c r="K49" s="234">
        <v>1969642.003856176</v>
      </c>
      <c r="L49" s="175">
        <v>3497401.0713867559</v>
      </c>
      <c r="M49" s="235">
        <v>-182854.80429301807</v>
      </c>
      <c r="N49" s="236">
        <v>126791.11951511167</v>
      </c>
      <c r="O49" s="175">
        <v>-56063.68477790663</v>
      </c>
      <c r="P49" s="237">
        <v>-1.5777188919812862E-2</v>
      </c>
      <c r="Q49" s="238">
        <v>8.9163709511468375E-2</v>
      </c>
      <c r="R49" s="239">
        <v>1.2293045192590182E-3</v>
      </c>
      <c r="S49" s="240">
        <v>9.5298316844671896E-2</v>
      </c>
      <c r="T49" s="239">
        <v>1.0978989221291414E-3</v>
      </c>
      <c r="U49" s="241">
        <v>6.1346073332035206E-3</v>
      </c>
      <c r="V49" s="242">
        <v>-1.3140559712987681E-4</v>
      </c>
      <c r="W49" s="243">
        <v>112.57809962917999</v>
      </c>
      <c r="X49" s="244">
        <v>122.93045192590182</v>
      </c>
      <c r="Y49" s="245">
        <v>235.50855155508179</v>
      </c>
      <c r="Z49" s="246">
        <v>120.32365484808275</v>
      </c>
      <c r="AA49" s="244">
        <v>109.78989221291414</v>
      </c>
      <c r="AB49" s="245">
        <v>230.11354706099689</v>
      </c>
      <c r="AC49" s="247">
        <v>7.7455552189027657</v>
      </c>
      <c r="AD49" s="247">
        <v>-13.140559712987681</v>
      </c>
      <c r="AE49" s="248">
        <v>-5.3950044940849011</v>
      </c>
      <c r="AF49" s="234">
        <f>-SUMIF('[1]Alt Fac'!$A$18:$A$139,'REPORT 4 - PROPERTY TAX'!A49,'[1]Alt Fac'!$U$18:$U$139)</f>
        <v>0</v>
      </c>
      <c r="AG49" s="247">
        <f t="shared" si="4"/>
        <v>296.9737775180327</v>
      </c>
      <c r="AH49" s="234">
        <f t="shared" si="5"/>
        <v>-11.965284350578756</v>
      </c>
      <c r="AI49" s="234">
        <f t="shared" si="3"/>
        <v>285.00849316745393</v>
      </c>
      <c r="AJ49" s="170"/>
      <c r="AK49" s="170"/>
      <c r="AL49" s="170"/>
      <c r="AM49" s="170"/>
      <c r="AN49" s="170"/>
      <c r="AO49" s="234"/>
    </row>
    <row r="50" spans="1:41" x14ac:dyDescent="0.25">
      <c r="A50" s="274">
        <v>23</v>
      </c>
      <c r="B50" s="274">
        <v>1</v>
      </c>
      <c r="C50" s="275" t="s">
        <v>268</v>
      </c>
      <c r="D50" s="276">
        <v>6</v>
      </c>
      <c r="E50" s="272">
        <v>7046901</v>
      </c>
      <c r="F50" s="273">
        <v>417796210</v>
      </c>
      <c r="G50" s="234">
        <v>1085789.7911764705</v>
      </c>
      <c r="H50" s="234">
        <v>1141066.6532011656</v>
      </c>
      <c r="I50" s="174">
        <v>2226856.4443776361</v>
      </c>
      <c r="J50" s="234">
        <v>1032266.912193584</v>
      </c>
      <c r="K50" s="234">
        <v>1195756.2810577771</v>
      </c>
      <c r="L50" s="175">
        <v>2228023.1932513611</v>
      </c>
      <c r="M50" s="235">
        <v>-53522.878982886439</v>
      </c>
      <c r="N50" s="236">
        <v>54689.627856611507</v>
      </c>
      <c r="O50" s="175">
        <v>1166.7488737250678</v>
      </c>
      <c r="P50" s="237">
        <v>5.2394435962447141E-4</v>
      </c>
      <c r="Q50" s="238">
        <v>0.16192460390761351</v>
      </c>
      <c r="R50" s="239">
        <v>2.5988502652440778E-3</v>
      </c>
      <c r="S50" s="240">
        <v>0.16968540938176613</v>
      </c>
      <c r="T50" s="239">
        <v>2.4707426431503149E-3</v>
      </c>
      <c r="U50" s="241">
        <v>7.7608054741526156E-3</v>
      </c>
      <c r="V50" s="242">
        <v>-1.2810762209376292E-4</v>
      </c>
      <c r="W50" s="243">
        <v>204.44600489375284</v>
      </c>
      <c r="X50" s="244">
        <v>259.88502652440775</v>
      </c>
      <c r="Y50" s="245">
        <v>464.33103141816059</v>
      </c>
      <c r="Z50" s="246">
        <v>214.24479788541794</v>
      </c>
      <c r="AA50" s="244">
        <v>247.07426431503148</v>
      </c>
      <c r="AB50" s="245">
        <v>461.31906220044942</v>
      </c>
      <c r="AC50" s="247">
        <v>9.7987929916650955</v>
      </c>
      <c r="AD50" s="247">
        <v>-12.810762209376264</v>
      </c>
      <c r="AE50" s="248">
        <v>-3.0119692177111688</v>
      </c>
      <c r="AF50" s="234">
        <f>-SUMIF('[1]Alt Fac'!$A$18:$A$139,'REPORT 4 - PROPERTY TAX'!A50,'[1]Alt Fac'!$U$18:$U$139)</f>
        <v>0</v>
      </c>
      <c r="AG50" s="247">
        <f t="shared" si="4"/>
        <v>594.27354468036447</v>
      </c>
      <c r="AH50" s="234">
        <f t="shared" si="5"/>
        <v>-9.4173503223993453</v>
      </c>
      <c r="AI50" s="234">
        <f t="shared" si="3"/>
        <v>584.85619435796514</v>
      </c>
      <c r="AJ50" s="170"/>
      <c r="AK50" s="170"/>
      <c r="AL50" s="170"/>
      <c r="AM50" s="170"/>
      <c r="AN50" s="170"/>
      <c r="AO50" s="234"/>
    </row>
    <row r="51" spans="1:41" x14ac:dyDescent="0.25">
      <c r="A51" s="274">
        <v>25</v>
      </c>
      <c r="B51" s="274">
        <v>1</v>
      </c>
      <c r="C51" s="275" t="s">
        <v>270</v>
      </c>
      <c r="D51" s="276">
        <v>6</v>
      </c>
      <c r="E51" s="272">
        <v>0</v>
      </c>
      <c r="F51" s="273">
        <v>0</v>
      </c>
      <c r="G51" s="234">
        <v>0</v>
      </c>
      <c r="H51" s="234">
        <v>2472.6679999999997</v>
      </c>
      <c r="I51" s="174">
        <v>2472.6679999999997</v>
      </c>
      <c r="J51" s="234">
        <v>0</v>
      </c>
      <c r="K51" s="234">
        <v>0</v>
      </c>
      <c r="L51" s="175">
        <v>0</v>
      </c>
      <c r="M51" s="235">
        <v>0</v>
      </c>
      <c r="N51" s="236">
        <v>-2472.6679999999997</v>
      </c>
      <c r="O51" s="175">
        <v>-2472.6679999999997</v>
      </c>
      <c r="P51" s="237">
        <v>-1</v>
      </c>
      <c r="Q51" s="238">
        <v>0</v>
      </c>
      <c r="R51" s="239">
        <v>0</v>
      </c>
      <c r="S51" s="240">
        <v>0</v>
      </c>
      <c r="T51" s="239">
        <v>0</v>
      </c>
      <c r="U51" s="241">
        <v>0</v>
      </c>
      <c r="V51" s="242">
        <v>0</v>
      </c>
      <c r="W51" s="243">
        <v>0</v>
      </c>
      <c r="X51" s="244">
        <v>0</v>
      </c>
      <c r="Y51" s="245">
        <v>0</v>
      </c>
      <c r="Z51" s="246">
        <v>0</v>
      </c>
      <c r="AA51" s="244">
        <v>0</v>
      </c>
      <c r="AB51" s="245">
        <v>0</v>
      </c>
      <c r="AC51" s="247">
        <v>0</v>
      </c>
      <c r="AD51" s="247">
        <v>0</v>
      </c>
      <c r="AE51" s="248">
        <v>0</v>
      </c>
      <c r="AF51" s="234">
        <f>-SUMIF('[1]Alt Fac'!$A$18:$A$139,'REPORT 4 - PROPERTY TAX'!A51,'[1]Alt Fac'!$U$18:$U$139)</f>
        <v>0</v>
      </c>
      <c r="AG51" s="247">
        <f t="shared" si="4"/>
        <v>0</v>
      </c>
      <c r="AH51" s="234">
        <f t="shared" si="5"/>
        <v>0</v>
      </c>
      <c r="AI51" s="234">
        <f t="shared" si="3"/>
        <v>0</v>
      </c>
      <c r="AJ51" s="170"/>
      <c r="AK51" s="170"/>
      <c r="AL51" s="170"/>
      <c r="AM51" s="170"/>
      <c r="AN51" s="170"/>
      <c r="AO51" s="234"/>
    </row>
    <row r="52" spans="1:41" x14ac:dyDescent="0.25">
      <c r="A52" s="274">
        <v>31</v>
      </c>
      <c r="B52" s="274">
        <v>1</v>
      </c>
      <c r="C52" s="275" t="s">
        <v>272</v>
      </c>
      <c r="D52" s="276">
        <v>4</v>
      </c>
      <c r="E52" s="272">
        <v>28921282</v>
      </c>
      <c r="F52" s="273">
        <v>2138544375</v>
      </c>
      <c r="G52" s="234">
        <v>2711190.3820903366</v>
      </c>
      <c r="H52" s="234">
        <v>5265227.8501057513</v>
      </c>
      <c r="I52" s="174">
        <v>7976418.2321960879</v>
      </c>
      <c r="J52" s="234">
        <v>2616217.0067639365</v>
      </c>
      <c r="K52" s="234">
        <v>5353373.9824624667</v>
      </c>
      <c r="L52" s="175">
        <v>7969590.9892264027</v>
      </c>
      <c r="M52" s="235">
        <v>-94973.375326400157</v>
      </c>
      <c r="N52" s="236">
        <v>88146.132356715389</v>
      </c>
      <c r="O52" s="175">
        <v>-6827.2429696852341</v>
      </c>
      <c r="P52" s="237">
        <v>-8.5592840933637203E-4</v>
      </c>
      <c r="Q52" s="238">
        <v>0.18205375024889114</v>
      </c>
      <c r="R52" s="239">
        <v>1.267773731415013E-3</v>
      </c>
      <c r="S52" s="240">
        <v>0.18510154503048884</v>
      </c>
      <c r="T52" s="239">
        <v>1.2233634416699613E-3</v>
      </c>
      <c r="U52" s="241">
        <v>3.0477947815976958E-3</v>
      </c>
      <c r="V52" s="242">
        <v>-4.4410289745051672E-5</v>
      </c>
      <c r="W52" s="243">
        <v>229.86106506424997</v>
      </c>
      <c r="X52" s="244">
        <v>126.7773731415013</v>
      </c>
      <c r="Y52" s="245">
        <v>356.6384382057513</v>
      </c>
      <c r="Z52" s="246">
        <v>233.70921075549523</v>
      </c>
      <c r="AA52" s="244">
        <v>122.33634416699613</v>
      </c>
      <c r="AB52" s="245">
        <v>356.04555492249136</v>
      </c>
      <c r="AC52" s="247">
        <v>3.8481456912452643</v>
      </c>
      <c r="AD52" s="247">
        <v>-4.4410289745051728</v>
      </c>
      <c r="AE52" s="248">
        <v>-0.59288328325993689</v>
      </c>
      <c r="AF52" s="234">
        <f>-SUMIF('[1]Alt Fac'!$A$18:$A$139,'REPORT 4 - PROPERTY TAX'!A52,'[1]Alt Fac'!$U$18:$U$139)</f>
        <v>0</v>
      </c>
      <c r="AG52" s="247">
        <f t="shared" si="4"/>
        <v>420.02712477650192</v>
      </c>
      <c r="AH52" s="234">
        <f t="shared" si="5"/>
        <v>-2.8133977705125002</v>
      </c>
      <c r="AI52" s="234">
        <f t="shared" si="3"/>
        <v>417.21372700598943</v>
      </c>
      <c r="AJ52" s="170"/>
      <c r="AK52" s="170"/>
      <c r="AL52" s="170"/>
      <c r="AM52" s="170"/>
      <c r="AN52" s="170"/>
      <c r="AO52" s="234"/>
    </row>
    <row r="53" spans="1:41" x14ac:dyDescent="0.25">
      <c r="A53" s="274">
        <v>32</v>
      </c>
      <c r="B53" s="274">
        <v>1</v>
      </c>
      <c r="C53" s="275" t="s">
        <v>274</v>
      </c>
      <c r="D53" s="276">
        <v>6</v>
      </c>
      <c r="E53" s="272">
        <v>3189423</v>
      </c>
      <c r="F53" s="273">
        <v>182142146</v>
      </c>
      <c r="G53" s="234">
        <v>77292.7</v>
      </c>
      <c r="H53" s="234">
        <v>706035.80305904127</v>
      </c>
      <c r="I53" s="174">
        <v>783328.50305904122</v>
      </c>
      <c r="J53" s="234">
        <v>146701.76676115635</v>
      </c>
      <c r="K53" s="234">
        <v>722684.46855253424</v>
      </c>
      <c r="L53" s="175">
        <v>869386.23531369062</v>
      </c>
      <c r="M53" s="235">
        <v>69409.066761156355</v>
      </c>
      <c r="N53" s="236">
        <v>16648.665493492968</v>
      </c>
      <c r="O53" s="175">
        <v>86057.732254649396</v>
      </c>
      <c r="P53" s="237">
        <v>0.10986161223366467</v>
      </c>
      <c r="Q53" s="238">
        <v>0.22136787847176159</v>
      </c>
      <c r="R53" s="239">
        <v>4.2435373524148551E-4</v>
      </c>
      <c r="S53" s="240">
        <v>0.2265878400427081</v>
      </c>
      <c r="T53" s="239">
        <v>8.05424609201411E-4</v>
      </c>
      <c r="U53" s="241">
        <v>5.2199615709465075E-3</v>
      </c>
      <c r="V53" s="242">
        <v>3.8107087395992549E-4</v>
      </c>
      <c r="W53" s="243">
        <v>279.49908335844623</v>
      </c>
      <c r="X53" s="244">
        <v>42.435373524148552</v>
      </c>
      <c r="Y53" s="245">
        <v>321.93445688259476</v>
      </c>
      <c r="Z53" s="246">
        <v>286.08980683792328</v>
      </c>
      <c r="AA53" s="244">
        <v>80.542460920141096</v>
      </c>
      <c r="AB53" s="245">
        <v>366.63226775806436</v>
      </c>
      <c r="AC53" s="247">
        <v>6.5907234794770488</v>
      </c>
      <c r="AD53" s="247">
        <v>38.107087395992544</v>
      </c>
      <c r="AE53" s="248">
        <v>44.6978108754696</v>
      </c>
      <c r="AF53" s="234">
        <f>-SUMIF('[1]Alt Fac'!$A$18:$A$139,'REPORT 4 - PROPERTY TAX'!A53,'[1]Alt Fac'!$U$18:$U$139)</f>
        <v>0</v>
      </c>
      <c r="AG53" s="247">
        <f t="shared" si="4"/>
        <v>343.15214364466908</v>
      </c>
      <c r="AH53" s="234">
        <f t="shared" si="5"/>
        <v>63.751354573465889</v>
      </c>
      <c r="AI53" s="234">
        <f t="shared" si="3"/>
        <v>406.90349821813498</v>
      </c>
      <c r="AJ53" s="170"/>
      <c r="AK53" s="170"/>
      <c r="AL53" s="170"/>
      <c r="AM53" s="170"/>
      <c r="AN53" s="170"/>
      <c r="AO53" s="234"/>
    </row>
    <row r="54" spans="1:41" x14ac:dyDescent="0.25">
      <c r="A54" s="274">
        <v>36</v>
      </c>
      <c r="B54" s="274">
        <v>1</v>
      </c>
      <c r="C54" s="275" t="s">
        <v>276</v>
      </c>
      <c r="D54" s="276">
        <v>6</v>
      </c>
      <c r="E54" s="272">
        <v>1109623</v>
      </c>
      <c r="F54" s="273">
        <v>41714958</v>
      </c>
      <c r="G54" s="234">
        <v>35112.67</v>
      </c>
      <c r="H54" s="234">
        <v>318722.16456364462</v>
      </c>
      <c r="I54" s="174">
        <v>353834.8345636446</v>
      </c>
      <c r="J54" s="234">
        <v>33598.256621048342</v>
      </c>
      <c r="K54" s="234">
        <v>330455.47179447842</v>
      </c>
      <c r="L54" s="175">
        <v>364053.72841552674</v>
      </c>
      <c r="M54" s="235">
        <v>-1514.4133789516563</v>
      </c>
      <c r="N54" s="236">
        <v>11733.307230833801</v>
      </c>
      <c r="O54" s="175">
        <v>10218.893851882138</v>
      </c>
      <c r="P54" s="237">
        <v>2.8880406488197407E-2</v>
      </c>
      <c r="Q54" s="238">
        <v>0.28723464146259098</v>
      </c>
      <c r="R54" s="239">
        <v>8.417285233752363E-4</v>
      </c>
      <c r="S54" s="240">
        <v>0.29780877991396937</v>
      </c>
      <c r="T54" s="239">
        <v>8.0542467814658577E-4</v>
      </c>
      <c r="U54" s="241">
        <v>1.057413845137839E-2</v>
      </c>
      <c r="V54" s="242">
        <v>-3.6303845228650533E-5</v>
      </c>
      <c r="W54" s="243">
        <v>362.66245831066743</v>
      </c>
      <c r="X54" s="244">
        <v>84.172852337523636</v>
      </c>
      <c r="Y54" s="245">
        <v>446.83531064819107</v>
      </c>
      <c r="Z54" s="246">
        <v>376.01336551937777</v>
      </c>
      <c r="AA54" s="244">
        <v>80.542467814658579</v>
      </c>
      <c r="AB54" s="245">
        <v>456.55583333403638</v>
      </c>
      <c r="AC54" s="247">
        <v>13.350907208710339</v>
      </c>
      <c r="AD54" s="247">
        <v>-3.6303845228650573</v>
      </c>
      <c r="AE54" s="248">
        <v>9.7205226858453102</v>
      </c>
      <c r="AF54" s="234">
        <f>-SUMIF('[1]Alt Fac'!$A$18:$A$139,'REPORT 4 - PROPERTY TAX'!A54,'[1]Alt Fac'!$U$18:$U$139)</f>
        <v>0</v>
      </c>
      <c r="AG54" s="247">
        <f t="shared" si="4"/>
        <v>488.92173681695289</v>
      </c>
      <c r="AH54" s="234">
        <f t="shared" si="5"/>
        <v>7.9053304244127771</v>
      </c>
      <c r="AI54" s="234">
        <f t="shared" si="3"/>
        <v>496.82706724136568</v>
      </c>
      <c r="AJ54" s="170"/>
      <c r="AK54" s="170"/>
      <c r="AL54" s="170"/>
      <c r="AM54" s="170"/>
      <c r="AN54" s="170"/>
      <c r="AO54" s="234"/>
    </row>
    <row r="55" spans="1:41" x14ac:dyDescent="0.25">
      <c r="A55" s="274">
        <v>38</v>
      </c>
      <c r="B55" s="274">
        <v>1</v>
      </c>
      <c r="C55" s="275" t="s">
        <v>278</v>
      </c>
      <c r="D55" s="276">
        <v>5</v>
      </c>
      <c r="E55" s="272">
        <v>11055</v>
      </c>
      <c r="F55" s="273">
        <v>653800</v>
      </c>
      <c r="G55" s="234">
        <v>2854.3465575706587</v>
      </c>
      <c r="H55" s="234">
        <v>11065.728989658584</v>
      </c>
      <c r="I55" s="174">
        <v>13920.075547229244</v>
      </c>
      <c r="J55" s="234">
        <v>6625.7134173255381</v>
      </c>
      <c r="K55" s="234">
        <v>2222.9770126706603</v>
      </c>
      <c r="L55" s="175">
        <v>8848.6904299961989</v>
      </c>
      <c r="M55" s="235">
        <v>3771.3668597548794</v>
      </c>
      <c r="N55" s="236">
        <v>-8842.7519769879236</v>
      </c>
      <c r="O55" s="175">
        <v>-5071.3851172330451</v>
      </c>
      <c r="P55" s="237">
        <v>-0.36432166621699774</v>
      </c>
      <c r="Q55" s="238">
        <v>1.0009705101455073</v>
      </c>
      <c r="R55" s="239">
        <v>4.3657793783583032E-3</v>
      </c>
      <c r="S55" s="240">
        <v>0.20108340232208596</v>
      </c>
      <c r="T55" s="239">
        <v>1.0134159402455703E-2</v>
      </c>
      <c r="U55" s="241">
        <v>-0.79988710782342132</v>
      </c>
      <c r="V55" s="242">
        <v>5.7683800240973995E-3</v>
      </c>
      <c r="W55" s="243">
        <v>1263.8253661097176</v>
      </c>
      <c r="X55" s="244">
        <v>436.57793783583031</v>
      </c>
      <c r="Y55" s="245">
        <v>1700.403303945548</v>
      </c>
      <c r="Z55" s="246">
        <v>253.88790377186575</v>
      </c>
      <c r="AA55" s="244">
        <v>1013.4159402455703</v>
      </c>
      <c r="AB55" s="245">
        <v>1267.3038440174359</v>
      </c>
      <c r="AC55" s="247">
        <v>-1009.9374623378519</v>
      </c>
      <c r="AD55" s="247">
        <v>576.83800240973994</v>
      </c>
      <c r="AE55" s="248">
        <v>-433.09945992811208</v>
      </c>
      <c r="AF55" s="234">
        <f>-SUMIF('[1]Alt Fac'!$A$18:$A$139,'REPORT 4 - PROPERTY TAX'!A55,'[1]Alt Fac'!$U$18:$U$139)</f>
        <v>0</v>
      </c>
      <c r="AG55" s="247">
        <f t="shared" si="4"/>
        <v>1918.6922728634631</v>
      </c>
      <c r="AH55" s="234">
        <f t="shared" si="5"/>
        <v>-144.68045872324194</v>
      </c>
      <c r="AI55" s="234">
        <f t="shared" si="3"/>
        <v>1774.0118141402213</v>
      </c>
      <c r="AJ55" s="170"/>
      <c r="AK55" s="170"/>
      <c r="AL55" s="170"/>
      <c r="AM55" s="170"/>
      <c r="AN55" s="170"/>
      <c r="AO55" s="234"/>
    </row>
    <row r="56" spans="1:41" x14ac:dyDescent="0.25">
      <c r="A56" s="274">
        <v>47</v>
      </c>
      <c r="B56" s="274">
        <v>1</v>
      </c>
      <c r="C56" s="275" t="s">
        <v>280</v>
      </c>
      <c r="D56" s="276">
        <v>4</v>
      </c>
      <c r="E56" s="272">
        <v>15923225</v>
      </c>
      <c r="F56" s="273">
        <v>1418262105</v>
      </c>
      <c r="G56" s="234">
        <v>269688.64999999997</v>
      </c>
      <c r="H56" s="234">
        <v>5617067.5187625773</v>
      </c>
      <c r="I56" s="174">
        <v>5886756.1687625777</v>
      </c>
      <c r="J56" s="234">
        <v>1142303.2172228277</v>
      </c>
      <c r="K56" s="234">
        <v>5070069.9009408811</v>
      </c>
      <c r="L56" s="175">
        <v>6212373.1181637086</v>
      </c>
      <c r="M56" s="235">
        <v>872614.56722282781</v>
      </c>
      <c r="N56" s="236">
        <v>-546997.61782169621</v>
      </c>
      <c r="O56" s="175">
        <v>325616.9494011309</v>
      </c>
      <c r="P56" s="237">
        <v>5.5313476567788102E-2</v>
      </c>
      <c r="Q56" s="238">
        <v>0.35275941392290677</v>
      </c>
      <c r="R56" s="239">
        <v>1.9015430860715266E-4</v>
      </c>
      <c r="S56" s="240">
        <v>0.31840722598222915</v>
      </c>
      <c r="T56" s="239">
        <v>8.0542462017119728E-4</v>
      </c>
      <c r="U56" s="241">
        <v>-3.4352187940677625E-2</v>
      </c>
      <c r="V56" s="242">
        <v>6.1527031156404465E-4</v>
      </c>
      <c r="W56" s="243">
        <v>445.39403601906213</v>
      </c>
      <c r="X56" s="244">
        <v>19.015430860715266</v>
      </c>
      <c r="Y56" s="245">
        <v>464.40946687977737</v>
      </c>
      <c r="Z56" s="246">
        <v>402.02096352516259</v>
      </c>
      <c r="AA56" s="244">
        <v>80.542462017119732</v>
      </c>
      <c r="AB56" s="245">
        <v>482.56342554228229</v>
      </c>
      <c r="AC56" s="247">
        <v>-43.373072493899542</v>
      </c>
      <c r="AD56" s="247">
        <v>61.527031156404462</v>
      </c>
      <c r="AE56" s="248">
        <v>18.15395866250492</v>
      </c>
      <c r="AF56" s="234">
        <f>-SUMIF('[1]Alt Fac'!$A$18:$A$139,'REPORT 4 - PROPERTY TAX'!A56,'[1]Alt Fac'!$U$18:$U$139)</f>
        <v>0</v>
      </c>
      <c r="AG56" s="247">
        <f t="shared" si="4"/>
        <v>473.91718231013505</v>
      </c>
      <c r="AH56" s="234">
        <f t="shared" si="5"/>
        <v>48.917474240707115</v>
      </c>
      <c r="AI56" s="234">
        <f t="shared" si="3"/>
        <v>522.83465655084217</v>
      </c>
      <c r="AJ56" s="170"/>
      <c r="AK56" s="170"/>
      <c r="AL56" s="170"/>
      <c r="AM56" s="170"/>
      <c r="AN56" s="170"/>
      <c r="AO56" s="234"/>
    </row>
    <row r="57" spans="1:41" x14ac:dyDescent="0.25">
      <c r="A57" s="274">
        <v>51</v>
      </c>
      <c r="B57" s="274">
        <v>1</v>
      </c>
      <c r="C57" s="275" t="s">
        <v>282</v>
      </c>
      <c r="D57" s="276">
        <v>5</v>
      </c>
      <c r="E57" s="272">
        <v>6751891</v>
      </c>
      <c r="F57" s="273">
        <v>488312355</v>
      </c>
      <c r="G57" s="234">
        <v>434834.41322479001</v>
      </c>
      <c r="H57" s="234">
        <v>2234293.329919579</v>
      </c>
      <c r="I57" s="174">
        <v>2669127.7431443688</v>
      </c>
      <c r="J57" s="234">
        <v>402323.19233224163</v>
      </c>
      <c r="K57" s="234">
        <v>1945888.5858281781</v>
      </c>
      <c r="L57" s="175">
        <v>2348211.7781604198</v>
      </c>
      <c r="M57" s="235">
        <v>-32511.220892548386</v>
      </c>
      <c r="N57" s="236">
        <v>-288404.74409140088</v>
      </c>
      <c r="O57" s="175">
        <v>-320915.96498394897</v>
      </c>
      <c r="P57" s="237">
        <v>-0.12023252383038573</v>
      </c>
      <c r="Q57" s="238">
        <v>0.33091371438306377</v>
      </c>
      <c r="R57" s="239">
        <v>8.904841517368325E-4</v>
      </c>
      <c r="S57" s="240">
        <v>0.2881990520623301</v>
      </c>
      <c r="T57" s="239">
        <v>8.2390541261697465E-4</v>
      </c>
      <c r="U57" s="241">
        <v>-4.2714662320733676E-2</v>
      </c>
      <c r="V57" s="242">
        <v>-6.6578739119857845E-5</v>
      </c>
      <c r="W57" s="243">
        <v>417.81165578005636</v>
      </c>
      <c r="X57" s="244">
        <v>89.048415173683253</v>
      </c>
      <c r="Y57" s="245">
        <v>506.86007095373964</v>
      </c>
      <c r="Z57" s="246">
        <v>363.880123133898</v>
      </c>
      <c r="AA57" s="244">
        <v>82.390541261697464</v>
      </c>
      <c r="AB57" s="245">
        <v>446.27066439559547</v>
      </c>
      <c r="AC57" s="247">
        <v>-53.93153264615836</v>
      </c>
      <c r="AD57" s="247">
        <v>-6.6578739119857886</v>
      </c>
      <c r="AE57" s="248">
        <v>-60.589406558144162</v>
      </c>
      <c r="AF57" s="234">
        <f>-SUMIF('[1]Alt Fac'!$A$18:$A$139,'REPORT 4 - PROPERTY TAX'!A57,'[1]Alt Fac'!$U$18:$U$139)</f>
        <v>0</v>
      </c>
      <c r="AG57" s="247">
        <f t="shared" si="4"/>
        <v>551.38427854058125</v>
      </c>
      <c r="AH57" s="234">
        <f t="shared" si="5"/>
        <v>-63.918343514137021</v>
      </c>
      <c r="AI57" s="234">
        <f t="shared" si="3"/>
        <v>487.46593502644424</v>
      </c>
      <c r="AJ57" s="170"/>
      <c r="AK57" s="170"/>
      <c r="AL57" s="170"/>
      <c r="AM57" s="170"/>
      <c r="AN57" s="170"/>
      <c r="AO57" s="234"/>
    </row>
    <row r="58" spans="1:41" x14ac:dyDescent="0.25">
      <c r="A58" s="274">
        <v>75</v>
      </c>
      <c r="B58" s="274">
        <v>1</v>
      </c>
      <c r="C58" s="275" t="s">
        <v>284</v>
      </c>
      <c r="D58" s="276">
        <v>6</v>
      </c>
      <c r="E58" s="272">
        <v>3118593</v>
      </c>
      <c r="F58" s="273">
        <v>190652800</v>
      </c>
      <c r="G58" s="234">
        <v>306331.04549616115</v>
      </c>
      <c r="H58" s="234">
        <v>1073362.1773017854</v>
      </c>
      <c r="I58" s="174">
        <v>1379693.2227979465</v>
      </c>
      <c r="J58" s="234">
        <v>210880.056202017</v>
      </c>
      <c r="K58" s="234">
        <v>1034251.1196636019</v>
      </c>
      <c r="L58" s="175">
        <v>1245131.175865619</v>
      </c>
      <c r="M58" s="235">
        <v>-95450.98929414415</v>
      </c>
      <c r="N58" s="236">
        <v>-39111.057638183585</v>
      </c>
      <c r="O58" s="175">
        <v>-134562.04693232756</v>
      </c>
      <c r="P58" s="237">
        <v>-9.7530410897752107E-2</v>
      </c>
      <c r="Q58" s="238">
        <v>0.34418155152076124</v>
      </c>
      <c r="R58" s="239">
        <v>1.6067482119127606E-3</v>
      </c>
      <c r="S58" s="240">
        <v>0.33164030050205395</v>
      </c>
      <c r="T58" s="239">
        <v>1.1060947240324663E-3</v>
      </c>
      <c r="U58" s="241">
        <v>-1.2541251018707289E-2</v>
      </c>
      <c r="V58" s="242">
        <v>-5.0065348788029432E-4</v>
      </c>
      <c r="W58" s="243">
        <v>434.56362695011319</v>
      </c>
      <c r="X58" s="244">
        <v>160.67482119127607</v>
      </c>
      <c r="Y58" s="245">
        <v>595.2384481413892</v>
      </c>
      <c r="Z58" s="246">
        <v>418.72904341389335</v>
      </c>
      <c r="AA58" s="244">
        <v>110.60947240324663</v>
      </c>
      <c r="AB58" s="245">
        <v>529.33851581713998</v>
      </c>
      <c r="AC58" s="247">
        <v>-15.834583536219839</v>
      </c>
      <c r="AD58" s="247">
        <v>-50.065348788029439</v>
      </c>
      <c r="AE58" s="248">
        <v>-65.899932324249221</v>
      </c>
      <c r="AF58" s="234">
        <f>-SUMIF('[1]Alt Fac'!$A$18:$A$139,'REPORT 4 - PROPERTY TAX'!A58,'[1]Alt Fac'!$U$18:$U$139)</f>
        <v>0</v>
      </c>
      <c r="AG58" s="247">
        <f t="shared" si="4"/>
        <v>675.57585873702726</v>
      </c>
      <c r="AH58" s="234">
        <f t="shared" si="5"/>
        <v>-90.932606718263969</v>
      </c>
      <c r="AI58" s="234">
        <f t="shared" si="3"/>
        <v>584.64325201876329</v>
      </c>
      <c r="AJ58" s="170"/>
      <c r="AK58" s="170"/>
      <c r="AL58" s="170"/>
      <c r="AM58" s="170"/>
      <c r="AN58" s="170"/>
      <c r="AO58" s="234"/>
    </row>
    <row r="59" spans="1:41" x14ac:dyDescent="0.25">
      <c r="A59" s="274">
        <v>77</v>
      </c>
      <c r="B59" s="274">
        <v>1</v>
      </c>
      <c r="C59" s="275" t="s">
        <v>286</v>
      </c>
      <c r="D59" s="276">
        <v>4</v>
      </c>
      <c r="E59" s="272">
        <v>55387105</v>
      </c>
      <c r="F59" s="273">
        <v>4374228700</v>
      </c>
      <c r="G59" s="234">
        <v>7164272.5700000003</v>
      </c>
      <c r="H59" s="234">
        <v>8653750.992214106</v>
      </c>
      <c r="I59" s="174">
        <v>15818023.562214106</v>
      </c>
      <c r="J59" s="234">
        <v>6352150.2184077557</v>
      </c>
      <c r="K59" s="234">
        <v>9021753.1276155654</v>
      </c>
      <c r="L59" s="175">
        <v>15373903.346023321</v>
      </c>
      <c r="M59" s="235">
        <v>-812122.35159224458</v>
      </c>
      <c r="N59" s="236">
        <v>368002.13540145941</v>
      </c>
      <c r="O59" s="175">
        <v>-444120.21619078517</v>
      </c>
      <c r="P59" s="237">
        <v>-2.8076846291447806E-2</v>
      </c>
      <c r="Q59" s="238">
        <v>0.15624125854229257</v>
      </c>
      <c r="R59" s="239">
        <v>1.6378367619415968E-3</v>
      </c>
      <c r="S59" s="240">
        <v>0.16288544287728282</v>
      </c>
      <c r="T59" s="239">
        <v>1.4521760644128543E-3</v>
      </c>
      <c r="U59" s="241">
        <v>6.6441843349902552E-3</v>
      </c>
      <c r="V59" s="242">
        <v>-1.8566069752874248E-4</v>
      </c>
      <c r="W59" s="243">
        <v>197.27021303549861</v>
      </c>
      <c r="X59" s="244">
        <v>163.78367619415968</v>
      </c>
      <c r="Y59" s="245">
        <v>361.0538892296583</v>
      </c>
      <c r="Z59" s="246">
        <v>205.65916017685731</v>
      </c>
      <c r="AA59" s="244">
        <v>145.21760644128543</v>
      </c>
      <c r="AB59" s="245">
        <v>350.87676661814271</v>
      </c>
      <c r="AC59" s="247">
        <v>8.3889471413586989</v>
      </c>
      <c r="AD59" s="247">
        <v>-18.566069752874256</v>
      </c>
      <c r="AE59" s="248">
        <v>-10.177122611515586</v>
      </c>
      <c r="AF59" s="234">
        <f>-SUMIF('[1]Alt Fac'!$A$18:$A$139,'REPORT 4 - PROPERTY TAX'!A59,'[1]Alt Fac'!$U$18:$U$139)</f>
        <v>0</v>
      </c>
      <c r="AG59" s="247">
        <f t="shared" si="4"/>
        <v>442.94572732673817</v>
      </c>
      <c r="AH59" s="234">
        <f t="shared" si="5"/>
        <v>-19.460157487952678</v>
      </c>
      <c r="AI59" s="234">
        <f t="shared" si="3"/>
        <v>423.48556983878547</v>
      </c>
      <c r="AJ59" s="170"/>
      <c r="AK59" s="170"/>
      <c r="AL59" s="170"/>
      <c r="AM59" s="170"/>
      <c r="AN59" s="170"/>
      <c r="AO59" s="234"/>
    </row>
    <row r="60" spans="1:41" x14ac:dyDescent="0.25">
      <c r="A60" s="274">
        <v>81</v>
      </c>
      <c r="B60" s="274">
        <v>1</v>
      </c>
      <c r="C60" s="275" t="s">
        <v>288</v>
      </c>
      <c r="D60" s="276">
        <v>6</v>
      </c>
      <c r="E60" s="272">
        <v>2845020</v>
      </c>
      <c r="F60" s="273">
        <v>38347490</v>
      </c>
      <c r="G60" s="234">
        <v>181087.41371224402</v>
      </c>
      <c r="H60" s="234">
        <v>78709.499200000006</v>
      </c>
      <c r="I60" s="174">
        <v>259796.91291224404</v>
      </c>
      <c r="J60" s="234">
        <v>155545.03441047718</v>
      </c>
      <c r="K60" s="234">
        <v>130739.5528299599</v>
      </c>
      <c r="L60" s="175">
        <v>286284.58724043705</v>
      </c>
      <c r="M60" s="235">
        <v>-25542.379301766836</v>
      </c>
      <c r="N60" s="236">
        <v>52030.05362995989</v>
      </c>
      <c r="O60" s="175">
        <v>26487.67432819301</v>
      </c>
      <c r="P60" s="237">
        <v>0.10195530821084159</v>
      </c>
      <c r="Q60" s="238">
        <v>2.7665710328925633E-2</v>
      </c>
      <c r="R60" s="239">
        <v>4.7222755312601693E-3</v>
      </c>
      <c r="S60" s="240">
        <v>4.5953825572389612E-2</v>
      </c>
      <c r="T60" s="239">
        <v>4.0561985780680088E-3</v>
      </c>
      <c r="U60" s="241">
        <v>1.8288115243463979E-2</v>
      </c>
      <c r="V60" s="242">
        <v>-6.6607695319216044E-4</v>
      </c>
      <c r="W60" s="243">
        <v>34.930725861301511</v>
      </c>
      <c r="X60" s="244">
        <v>472.22755312601691</v>
      </c>
      <c r="Y60" s="245">
        <v>507.15827898731845</v>
      </c>
      <c r="Z60" s="246">
        <v>58.021300167699131</v>
      </c>
      <c r="AA60" s="244">
        <v>405.61985780680089</v>
      </c>
      <c r="AB60" s="245">
        <v>463.6411579745</v>
      </c>
      <c r="AC60" s="247">
        <v>23.09057430639762</v>
      </c>
      <c r="AD60" s="247">
        <v>-66.60769531921602</v>
      </c>
      <c r="AE60" s="248">
        <v>-43.51712101281845</v>
      </c>
      <c r="AF60" s="234">
        <f>-SUMIF('[1]Alt Fac'!$A$18:$A$139,'REPORT 4 - PROPERTY TAX'!A60,'[1]Alt Fac'!$U$18:$U$139)</f>
        <v>0</v>
      </c>
      <c r="AG60" s="247">
        <f t="shared" si="4"/>
        <v>743.27205555032697</v>
      </c>
      <c r="AH60" s="234">
        <f t="shared" si="5"/>
        <v>-76.820968672426432</v>
      </c>
      <c r="AI60" s="234">
        <f t="shared" si="3"/>
        <v>666.45108687790048</v>
      </c>
      <c r="AJ60" s="170"/>
      <c r="AK60" s="170"/>
      <c r="AL60" s="170"/>
      <c r="AM60" s="170"/>
      <c r="AN60" s="170"/>
      <c r="AO60" s="234"/>
    </row>
    <row r="61" spans="1:41" x14ac:dyDescent="0.25">
      <c r="A61" s="274">
        <v>84</v>
      </c>
      <c r="B61" s="274">
        <v>1</v>
      </c>
      <c r="C61" s="275" t="s">
        <v>289</v>
      </c>
      <c r="D61" s="276">
        <v>6</v>
      </c>
      <c r="E61" s="272">
        <v>7272120</v>
      </c>
      <c r="F61" s="273">
        <v>236387665</v>
      </c>
      <c r="G61" s="234">
        <v>75163.509999999995</v>
      </c>
      <c r="H61" s="234">
        <v>639063.04515000002</v>
      </c>
      <c r="I61" s="174">
        <v>714226.55515000003</v>
      </c>
      <c r="J61" s="234">
        <v>190392.44556676666</v>
      </c>
      <c r="K61" s="234">
        <v>710238.16894145135</v>
      </c>
      <c r="L61" s="175">
        <v>900630.61450821802</v>
      </c>
      <c r="M61" s="235">
        <v>115228.93556676667</v>
      </c>
      <c r="N61" s="236">
        <v>71175.123791451333</v>
      </c>
      <c r="O61" s="175">
        <v>186404.05935821799</v>
      </c>
      <c r="P61" s="237">
        <v>0.26098729879774618</v>
      </c>
      <c r="Q61" s="238">
        <v>8.7878506563423053E-2</v>
      </c>
      <c r="R61" s="239">
        <v>3.1796714096735969E-4</v>
      </c>
      <c r="S61" s="240">
        <v>9.7665903332377818E-2</v>
      </c>
      <c r="T61" s="239">
        <v>8.0542462131755763E-4</v>
      </c>
      <c r="U61" s="241">
        <v>9.7873967689547647E-3</v>
      </c>
      <c r="V61" s="242">
        <v>4.8745748035019794E-4</v>
      </c>
      <c r="W61" s="243">
        <v>110.95540238697797</v>
      </c>
      <c r="X61" s="244">
        <v>31.796714096735968</v>
      </c>
      <c r="Y61" s="245">
        <v>142.75211648371393</v>
      </c>
      <c r="Z61" s="246">
        <v>123.31296954746024</v>
      </c>
      <c r="AA61" s="244">
        <v>80.542462131755769</v>
      </c>
      <c r="AB61" s="245">
        <v>203.855431679216</v>
      </c>
      <c r="AC61" s="247">
        <v>12.357567160482276</v>
      </c>
      <c r="AD61" s="247">
        <v>48.745748035019801</v>
      </c>
      <c r="AE61" s="248">
        <v>61.103315195502063</v>
      </c>
      <c r="AF61" s="234">
        <f>-SUMIF('[1]Alt Fac'!$A$18:$A$139,'REPORT 4 - PROPERTY TAX'!A61,'[1]Alt Fac'!$U$18:$U$139)</f>
        <v>0</v>
      </c>
      <c r="AG61" s="247">
        <f t="shared" si="4"/>
        <v>158.65047353208192</v>
      </c>
      <c r="AH61" s="234">
        <f t="shared" si="5"/>
        <v>85.476189213011978</v>
      </c>
      <c r="AI61" s="234">
        <f t="shared" si="3"/>
        <v>244.12666274509388</v>
      </c>
      <c r="AJ61" s="170"/>
      <c r="AK61" s="170"/>
      <c r="AL61" s="170"/>
      <c r="AM61" s="170"/>
      <c r="AN61" s="170"/>
      <c r="AO61" s="234"/>
    </row>
    <row r="62" spans="1:41" x14ac:dyDescent="0.25">
      <c r="A62" s="274">
        <v>85</v>
      </c>
      <c r="B62" s="274">
        <v>1</v>
      </c>
      <c r="C62" s="275" t="s">
        <v>291</v>
      </c>
      <c r="D62" s="276">
        <v>6</v>
      </c>
      <c r="E62" s="272">
        <v>4513912</v>
      </c>
      <c r="F62" s="273">
        <v>125582590</v>
      </c>
      <c r="G62" s="234">
        <v>198485.39235294115</v>
      </c>
      <c r="H62" s="234">
        <v>666439.27775461017</v>
      </c>
      <c r="I62" s="174">
        <v>864924.67010755138</v>
      </c>
      <c r="J62" s="234">
        <v>156787.18809765752</v>
      </c>
      <c r="K62" s="234">
        <v>714780.89788788476</v>
      </c>
      <c r="L62" s="175">
        <v>871568.08598554228</v>
      </c>
      <c r="M62" s="235">
        <v>-41698.204255283636</v>
      </c>
      <c r="N62" s="236">
        <v>48341.620133274584</v>
      </c>
      <c r="O62" s="175">
        <v>6643.4158779908903</v>
      </c>
      <c r="P62" s="237">
        <v>7.6809184748595468E-3</v>
      </c>
      <c r="Q62" s="238">
        <v>0.14764117637973673</v>
      </c>
      <c r="R62" s="239">
        <v>1.5805167925979323E-3</v>
      </c>
      <c r="S62" s="240">
        <v>0.1583506496998357</v>
      </c>
      <c r="T62" s="239">
        <v>1.2484786951571672E-3</v>
      </c>
      <c r="U62" s="241">
        <v>1.0709473320098972E-2</v>
      </c>
      <c r="V62" s="242">
        <v>-3.3203809744076509E-4</v>
      </c>
      <c r="W62" s="243">
        <v>186.41174929705562</v>
      </c>
      <c r="X62" s="244">
        <v>158.05167925979322</v>
      </c>
      <c r="Y62" s="245">
        <v>344.46342855684884</v>
      </c>
      <c r="Z62" s="246">
        <v>199.93353031101259</v>
      </c>
      <c r="AA62" s="244">
        <v>124.84786951571672</v>
      </c>
      <c r="AB62" s="245">
        <v>324.78139982672928</v>
      </c>
      <c r="AC62" s="247">
        <v>13.521781013956968</v>
      </c>
      <c r="AD62" s="247">
        <v>-33.203809744076494</v>
      </c>
      <c r="AE62" s="248">
        <v>-19.682028730119555</v>
      </c>
      <c r="AF62" s="234">
        <f>-SUMIF('[1]Alt Fac'!$A$18:$A$139,'REPORT 4 - PROPERTY TAX'!A62,'[1]Alt Fac'!$U$18:$U$139)</f>
        <v>0</v>
      </c>
      <c r="AG62" s="247">
        <f t="shared" si="4"/>
        <v>423.48926818674545</v>
      </c>
      <c r="AH62" s="234">
        <f t="shared" si="5"/>
        <v>-36.283933602157802</v>
      </c>
      <c r="AI62" s="234">
        <f t="shared" si="3"/>
        <v>387.20533458458766</v>
      </c>
      <c r="AJ62" s="170"/>
      <c r="AK62" s="170"/>
      <c r="AL62" s="170"/>
      <c r="AM62" s="170"/>
      <c r="AN62" s="170"/>
      <c r="AO62" s="234"/>
    </row>
    <row r="63" spans="1:41" x14ac:dyDescent="0.25">
      <c r="A63" s="274">
        <v>88</v>
      </c>
      <c r="B63" s="274">
        <v>1</v>
      </c>
      <c r="C63" s="275" t="s">
        <v>293</v>
      </c>
      <c r="D63" s="276">
        <v>4</v>
      </c>
      <c r="E63" s="272">
        <v>16803550</v>
      </c>
      <c r="F63" s="273">
        <v>1103627725</v>
      </c>
      <c r="G63" s="234">
        <v>2030375.4285294118</v>
      </c>
      <c r="H63" s="234">
        <v>2607074.0037353546</v>
      </c>
      <c r="I63" s="174">
        <v>4637449.4322647667</v>
      </c>
      <c r="J63" s="234">
        <v>1786959.5692400467</v>
      </c>
      <c r="K63" s="234">
        <v>2594465.2303418159</v>
      </c>
      <c r="L63" s="175">
        <v>4381424.799581863</v>
      </c>
      <c r="M63" s="235">
        <v>-243415.85928936512</v>
      </c>
      <c r="N63" s="236">
        <v>-12608.773393538781</v>
      </c>
      <c r="O63" s="175">
        <v>-256024.63268290367</v>
      </c>
      <c r="P63" s="237">
        <v>-5.520806995794459E-2</v>
      </c>
      <c r="Q63" s="238">
        <v>0.15515019169969171</v>
      </c>
      <c r="R63" s="239">
        <v>1.8397285448128913E-3</v>
      </c>
      <c r="S63" s="240">
        <v>0.15439982803287494</v>
      </c>
      <c r="T63" s="239">
        <v>1.6191687910341748E-3</v>
      </c>
      <c r="U63" s="241">
        <v>-7.5036366681677236E-4</v>
      </c>
      <c r="V63" s="242">
        <v>-2.2055975377871647E-4</v>
      </c>
      <c r="W63" s="243">
        <v>195.89263204003078</v>
      </c>
      <c r="X63" s="244">
        <v>183.97285448128912</v>
      </c>
      <c r="Y63" s="245">
        <v>379.86548652131989</v>
      </c>
      <c r="Z63" s="246">
        <v>194.94522287430792</v>
      </c>
      <c r="AA63" s="244">
        <v>161.91687910341747</v>
      </c>
      <c r="AB63" s="245">
        <v>356.86210197772539</v>
      </c>
      <c r="AC63" s="247">
        <v>-0.94740916572285983</v>
      </c>
      <c r="AD63" s="247">
        <v>-22.055975377871647</v>
      </c>
      <c r="AE63" s="248">
        <v>-23.003384543594507</v>
      </c>
      <c r="AF63" s="234">
        <f>-SUMIF('[1]Alt Fac'!$A$18:$A$139,'REPORT 4 - PROPERTY TAX'!A63,'[1]Alt Fac'!$U$18:$U$139)</f>
        <v>0</v>
      </c>
      <c r="AG63" s="247">
        <f t="shared" si="4"/>
        <v>471.85191376196445</v>
      </c>
      <c r="AH63" s="234">
        <f t="shared" si="5"/>
        <v>-34.03137223253033</v>
      </c>
      <c r="AI63" s="234">
        <f t="shared" si="3"/>
        <v>437.82054152943414</v>
      </c>
      <c r="AJ63" s="170"/>
      <c r="AK63" s="170"/>
      <c r="AL63" s="170"/>
      <c r="AM63" s="170"/>
      <c r="AN63" s="170"/>
      <c r="AO63" s="234"/>
    </row>
    <row r="64" spans="1:41" x14ac:dyDescent="0.25">
      <c r="A64" s="274">
        <v>91</v>
      </c>
      <c r="B64" s="274">
        <v>1</v>
      </c>
      <c r="C64" s="275" t="s">
        <v>295</v>
      </c>
      <c r="D64" s="276">
        <v>6</v>
      </c>
      <c r="E64" s="272">
        <v>3120222</v>
      </c>
      <c r="F64" s="273">
        <v>221320895</v>
      </c>
      <c r="G64" s="234">
        <v>83701.240000000005</v>
      </c>
      <c r="H64" s="234">
        <v>1021560.1292244121</v>
      </c>
      <c r="I64" s="174">
        <v>1105261.3692244121</v>
      </c>
      <c r="J64" s="234">
        <v>178257.29785569111</v>
      </c>
      <c r="K64" s="234">
        <v>925077.65263067174</v>
      </c>
      <c r="L64" s="175">
        <v>1103334.9504863629</v>
      </c>
      <c r="M64" s="235">
        <v>94556.057855691106</v>
      </c>
      <c r="N64" s="236">
        <v>-96482.476593740401</v>
      </c>
      <c r="O64" s="175">
        <v>-1926.4187380492222</v>
      </c>
      <c r="P64" s="237">
        <v>-1.7429531074636541E-3</v>
      </c>
      <c r="Q64" s="238">
        <v>0.32739982258455075</v>
      </c>
      <c r="R64" s="239">
        <v>3.7818950623708623E-4</v>
      </c>
      <c r="S64" s="240">
        <v>0.29647815207721495</v>
      </c>
      <c r="T64" s="239">
        <v>8.0542462046202692E-4</v>
      </c>
      <c r="U64" s="241">
        <v>-3.0921670507335797E-2</v>
      </c>
      <c r="V64" s="242">
        <v>4.2723511422494069E-4</v>
      </c>
      <c r="W64" s="243">
        <v>413.37501599525382</v>
      </c>
      <c r="X64" s="244">
        <v>37.818950623708623</v>
      </c>
      <c r="Y64" s="245">
        <v>451.19396661896246</v>
      </c>
      <c r="Z64" s="246">
        <v>374.33331481269164</v>
      </c>
      <c r="AA64" s="244">
        <v>80.542462046202687</v>
      </c>
      <c r="AB64" s="245">
        <v>454.87577685889431</v>
      </c>
      <c r="AC64" s="247">
        <v>-39.041701182562178</v>
      </c>
      <c r="AD64" s="247">
        <v>42.723511422494063</v>
      </c>
      <c r="AE64" s="248">
        <v>3.6818102399318491</v>
      </c>
      <c r="AF64" s="234">
        <f>-SUMIF('[1]Alt Fac'!$A$18:$A$139,'REPORT 4 - PROPERTY TAX'!A64,'[1]Alt Fac'!$U$18:$U$139)</f>
        <v>0</v>
      </c>
      <c r="AG64" s="247">
        <f t="shared" si="4"/>
        <v>470.10344193081676</v>
      </c>
      <c r="AH64" s="234">
        <f t="shared" si="5"/>
        <v>25.04356595117892</v>
      </c>
      <c r="AI64" s="234">
        <f t="shared" si="3"/>
        <v>495.14700788199571</v>
      </c>
      <c r="AJ64" s="170"/>
      <c r="AK64" s="170"/>
      <c r="AL64" s="170"/>
      <c r="AM64" s="170"/>
      <c r="AN64" s="170"/>
      <c r="AO64" s="234"/>
    </row>
    <row r="65" spans="1:41" x14ac:dyDescent="0.25">
      <c r="A65" s="274">
        <v>93</v>
      </c>
      <c r="B65" s="274">
        <v>1</v>
      </c>
      <c r="C65" s="275" t="s">
        <v>297</v>
      </c>
      <c r="D65" s="276">
        <v>6</v>
      </c>
      <c r="E65" s="272">
        <v>3681963</v>
      </c>
      <c r="F65" s="273">
        <v>295997710</v>
      </c>
      <c r="G65" s="234">
        <v>788427.22</v>
      </c>
      <c r="H65" s="234">
        <v>179207.50539874512</v>
      </c>
      <c r="I65" s="174">
        <v>967634.72539874515</v>
      </c>
      <c r="J65" s="234">
        <v>874545.19449350482</v>
      </c>
      <c r="K65" s="234">
        <v>204410.34301265285</v>
      </c>
      <c r="L65" s="175">
        <v>1078955.5375061578</v>
      </c>
      <c r="M65" s="235">
        <v>86117.974493504851</v>
      </c>
      <c r="N65" s="236">
        <v>25202.83761390773</v>
      </c>
      <c r="O65" s="175">
        <v>111320.81210741261</v>
      </c>
      <c r="P65" s="237">
        <v>0.11504425087838727</v>
      </c>
      <c r="Q65" s="238">
        <v>4.8671729020293014E-2</v>
      </c>
      <c r="R65" s="239">
        <v>2.6636260800801466E-3</v>
      </c>
      <c r="S65" s="240">
        <v>5.551667494014819E-2</v>
      </c>
      <c r="T65" s="239">
        <v>2.9545674339625967E-3</v>
      </c>
      <c r="U65" s="241">
        <v>6.8449459198551763E-3</v>
      </c>
      <c r="V65" s="242">
        <v>2.9094135388245011E-4</v>
      </c>
      <c r="W65" s="243">
        <v>61.452925061021965</v>
      </c>
      <c r="X65" s="244">
        <v>266.36260800801466</v>
      </c>
      <c r="Y65" s="245">
        <v>327.81553306903663</v>
      </c>
      <c r="Z65" s="246">
        <v>70.095353779431107</v>
      </c>
      <c r="AA65" s="244">
        <v>295.4567433962597</v>
      </c>
      <c r="AB65" s="245">
        <v>365.55209717569079</v>
      </c>
      <c r="AC65" s="247">
        <v>8.6424287184091426</v>
      </c>
      <c r="AD65" s="247">
        <v>29.094135388245036</v>
      </c>
      <c r="AE65" s="248">
        <v>37.736564106654157</v>
      </c>
      <c r="AF65" s="234">
        <f>-SUMIF('[1]Alt Fac'!$A$18:$A$139,'REPORT 4 - PROPERTY TAX'!A65,'[1]Alt Fac'!$U$18:$U$139)</f>
        <v>0</v>
      </c>
      <c r="AG65" s="247">
        <f t="shared" si="4"/>
        <v>460.99683707304399</v>
      </c>
      <c r="AH65" s="234">
        <f t="shared" si="5"/>
        <v>52.283631800776661</v>
      </c>
      <c r="AI65" s="234">
        <f t="shared" si="3"/>
        <v>513.28046887382061</v>
      </c>
      <c r="AJ65" s="170"/>
      <c r="AK65" s="170"/>
      <c r="AL65" s="170"/>
      <c r="AM65" s="170"/>
      <c r="AN65" s="170"/>
      <c r="AO65" s="234"/>
    </row>
    <row r="66" spans="1:41" x14ac:dyDescent="0.25">
      <c r="A66" s="274">
        <v>94</v>
      </c>
      <c r="B66" s="274">
        <v>1</v>
      </c>
      <c r="C66" s="275" t="s">
        <v>299</v>
      </c>
      <c r="D66" s="276">
        <v>4</v>
      </c>
      <c r="E66" s="272">
        <v>9393547</v>
      </c>
      <c r="F66" s="273">
        <v>827848666</v>
      </c>
      <c r="G66" s="234">
        <v>416614.11124850856</v>
      </c>
      <c r="H66" s="234">
        <v>1757517.6717004962</v>
      </c>
      <c r="I66" s="174">
        <v>2174131.7829490048</v>
      </c>
      <c r="J66" s="234">
        <v>666769.69918746641</v>
      </c>
      <c r="K66" s="234">
        <v>1629577.926542805</v>
      </c>
      <c r="L66" s="175">
        <v>2296347.6257302715</v>
      </c>
      <c r="M66" s="235">
        <v>250155.58793895785</v>
      </c>
      <c r="N66" s="236">
        <v>-127939.74515769118</v>
      </c>
      <c r="O66" s="175">
        <v>122215.84278126666</v>
      </c>
      <c r="P66" s="237">
        <v>5.6213631454985862E-2</v>
      </c>
      <c r="Q66" s="238">
        <v>0.18709840613992737</v>
      </c>
      <c r="R66" s="239">
        <v>5.0324911829779831E-4</v>
      </c>
      <c r="S66" s="240">
        <v>0.17347844499450582</v>
      </c>
      <c r="T66" s="239">
        <v>8.0542462236384926E-4</v>
      </c>
      <c r="U66" s="241">
        <v>-1.361996114542155E-2</v>
      </c>
      <c r="V66" s="242">
        <v>3.0217550406605096E-4</v>
      </c>
      <c r="W66" s="243">
        <v>236.23044759227233</v>
      </c>
      <c r="X66" s="244">
        <v>50.324911829779829</v>
      </c>
      <c r="Y66" s="245">
        <v>286.55535942205216</v>
      </c>
      <c r="Z66" s="246">
        <v>219.03388465006307</v>
      </c>
      <c r="AA66" s="244">
        <v>80.542462236384921</v>
      </c>
      <c r="AB66" s="245">
        <v>299.57634688644799</v>
      </c>
      <c r="AC66" s="247">
        <v>-17.196562942209255</v>
      </c>
      <c r="AD66" s="247">
        <v>30.217550406605092</v>
      </c>
      <c r="AE66" s="248">
        <v>13.02098746439583</v>
      </c>
      <c r="AF66" s="234">
        <f>-SUMIF('[1]Alt Fac'!$A$18:$A$139,'REPORT 4 - PROPERTY TAX'!A66,'[1]Alt Fac'!$U$18:$U$139)</f>
        <v>0</v>
      </c>
      <c r="AG66" s="247">
        <f t="shared" si="4"/>
        <v>311.71781533694207</v>
      </c>
      <c r="AH66" s="234">
        <f t="shared" si="5"/>
        <v>28.12976266769839</v>
      </c>
      <c r="AI66" s="234">
        <f t="shared" si="3"/>
        <v>339.84757800464047</v>
      </c>
      <c r="AJ66" s="170"/>
      <c r="AK66" s="170"/>
      <c r="AL66" s="170"/>
      <c r="AM66" s="170"/>
      <c r="AN66" s="170"/>
      <c r="AO66" s="234"/>
    </row>
    <row r="67" spans="1:41" x14ac:dyDescent="0.25">
      <c r="A67" s="274">
        <v>95</v>
      </c>
      <c r="B67" s="274">
        <v>1</v>
      </c>
      <c r="C67" s="275" t="s">
        <v>301</v>
      </c>
      <c r="D67" s="276">
        <v>6</v>
      </c>
      <c r="E67" s="272">
        <v>1788176</v>
      </c>
      <c r="F67" s="273">
        <v>112141625</v>
      </c>
      <c r="G67" s="234">
        <v>47470.85</v>
      </c>
      <c r="H67" s="234">
        <v>578904.14751059189</v>
      </c>
      <c r="I67" s="174">
        <v>626374.99751059187</v>
      </c>
      <c r="J67" s="234">
        <v>90321.627986342937</v>
      </c>
      <c r="K67" s="234">
        <v>587324.50049392029</v>
      </c>
      <c r="L67" s="175">
        <v>677646.12848026329</v>
      </c>
      <c r="M67" s="235">
        <v>42850.777986342939</v>
      </c>
      <c r="N67" s="236">
        <v>8420.3529833283974</v>
      </c>
      <c r="O67" s="175">
        <v>51271.130969671416</v>
      </c>
      <c r="P67" s="237">
        <v>8.1853731667832788E-2</v>
      </c>
      <c r="Q67" s="238">
        <v>0.32374002755354725</v>
      </c>
      <c r="R67" s="239">
        <v>4.2331159371018567E-4</v>
      </c>
      <c r="S67" s="240">
        <v>0.32844893371453387</v>
      </c>
      <c r="T67" s="239">
        <v>8.0542464037187738E-4</v>
      </c>
      <c r="U67" s="241">
        <v>4.7089061609866256E-3</v>
      </c>
      <c r="V67" s="242">
        <v>3.8211304666169171E-4</v>
      </c>
      <c r="W67" s="243">
        <v>408.75415878910883</v>
      </c>
      <c r="X67" s="244">
        <v>42.331159371018565</v>
      </c>
      <c r="Y67" s="245">
        <v>451.08531816012737</v>
      </c>
      <c r="Z67" s="246">
        <v>414.69962370797049</v>
      </c>
      <c r="AA67" s="244">
        <v>80.542464037187742</v>
      </c>
      <c r="AB67" s="245">
        <v>495.24208774515824</v>
      </c>
      <c r="AC67" s="247">
        <v>5.94546491886166</v>
      </c>
      <c r="AD67" s="247">
        <v>38.211304666169177</v>
      </c>
      <c r="AE67" s="248">
        <v>44.156769585030872</v>
      </c>
      <c r="AF67" s="234">
        <f>-SUMIF('[1]Alt Fac'!$A$18:$A$139,'REPORT 4 - PROPERTY TAX'!A67,'[1]Alt Fac'!$U$18:$U$139)</f>
        <v>0</v>
      </c>
      <c r="AG67" s="247">
        <f t="shared" si="4"/>
        <v>472.2508978456367</v>
      </c>
      <c r="AH67" s="234">
        <f t="shared" si="5"/>
        <v>63.262421918115471</v>
      </c>
      <c r="AI67" s="234">
        <f t="shared" si="3"/>
        <v>535.51331976375218</v>
      </c>
      <c r="AJ67" s="170"/>
      <c r="AK67" s="170"/>
      <c r="AL67" s="170"/>
      <c r="AM67" s="170"/>
      <c r="AN67" s="170"/>
      <c r="AO67" s="234"/>
    </row>
    <row r="68" spans="1:41" x14ac:dyDescent="0.25">
      <c r="A68" s="274">
        <v>97</v>
      </c>
      <c r="B68" s="274">
        <v>1</v>
      </c>
      <c r="C68" s="275" t="s">
        <v>303</v>
      </c>
      <c r="D68" s="276">
        <v>6</v>
      </c>
      <c r="E68" s="272">
        <v>4574468</v>
      </c>
      <c r="F68" s="273">
        <v>291048275</v>
      </c>
      <c r="G68" s="234">
        <v>349841.24014705879</v>
      </c>
      <c r="H68" s="234">
        <v>251730.61687546206</v>
      </c>
      <c r="I68" s="174">
        <v>601571.85702252085</v>
      </c>
      <c r="J68" s="234">
        <v>305584.74474990042</v>
      </c>
      <c r="K68" s="234">
        <v>279134.19765532791</v>
      </c>
      <c r="L68" s="175">
        <v>584718.94240522827</v>
      </c>
      <c r="M68" s="235">
        <v>-44256.495397158375</v>
      </c>
      <c r="N68" s="236">
        <v>27403.58077986585</v>
      </c>
      <c r="O68" s="175">
        <v>-16852.914617292583</v>
      </c>
      <c r="P68" s="237">
        <v>-2.801479893142951E-2</v>
      </c>
      <c r="Q68" s="238">
        <v>5.5029484712858866E-2</v>
      </c>
      <c r="R68" s="239">
        <v>1.2020041697448948E-3</v>
      </c>
      <c r="S68" s="240">
        <v>6.102003504130489E-2</v>
      </c>
      <c r="T68" s="239">
        <v>1.0499452187095093E-3</v>
      </c>
      <c r="U68" s="241">
        <v>5.9905503284460246E-3</v>
      </c>
      <c r="V68" s="242">
        <v>-1.5205895103538548E-4</v>
      </c>
      <c r="W68" s="243">
        <v>69.480227398455611</v>
      </c>
      <c r="X68" s="244">
        <v>120.20041697448949</v>
      </c>
      <c r="Y68" s="245">
        <v>189.6806443729451</v>
      </c>
      <c r="Z68" s="246">
        <v>77.043896243151565</v>
      </c>
      <c r="AA68" s="244">
        <v>104.99452187095093</v>
      </c>
      <c r="AB68" s="245">
        <v>182.03841811410251</v>
      </c>
      <c r="AC68" s="247">
        <v>7.5636688446959539</v>
      </c>
      <c r="AD68" s="247">
        <v>-15.205895103538552</v>
      </c>
      <c r="AE68" s="248">
        <v>-7.6422262588425838</v>
      </c>
      <c r="AF68" s="234">
        <f>-SUMIF('[1]Alt Fac'!$A$18:$A$139,'REPORT 4 - PROPERTY TAX'!A68,'[1]Alt Fac'!$U$18:$U$139)</f>
        <v>0</v>
      </c>
      <c r="AG68" s="247">
        <f t="shared" si="4"/>
        <v>249.78085286018984</v>
      </c>
      <c r="AH68" s="234">
        <f t="shared" si="5"/>
        <v>-15.24517381061187</v>
      </c>
      <c r="AI68" s="234">
        <f t="shared" si="3"/>
        <v>234.53567904957796</v>
      </c>
      <c r="AJ68" s="170"/>
      <c r="AK68" s="170"/>
      <c r="AL68" s="170"/>
      <c r="AM68" s="170"/>
      <c r="AN68" s="170"/>
      <c r="AO68" s="234"/>
    </row>
    <row r="69" spans="1:41" x14ac:dyDescent="0.25">
      <c r="A69" s="274">
        <v>99</v>
      </c>
      <c r="B69" s="274">
        <v>1</v>
      </c>
      <c r="C69" s="275" t="s">
        <v>305</v>
      </c>
      <c r="D69" s="276">
        <v>5</v>
      </c>
      <c r="E69" s="272">
        <v>3898687</v>
      </c>
      <c r="F69" s="273">
        <v>376774860</v>
      </c>
      <c r="G69" s="234">
        <v>124905.54</v>
      </c>
      <c r="H69" s="234">
        <v>1044988.6837155272</v>
      </c>
      <c r="I69" s="174">
        <v>1169894.2237155272</v>
      </c>
      <c r="J69" s="234">
        <v>303463.74553003127</v>
      </c>
      <c r="K69" s="234">
        <v>947573.72246087226</v>
      </c>
      <c r="L69" s="175">
        <v>1251037.4679909036</v>
      </c>
      <c r="M69" s="235">
        <v>178558.20553003129</v>
      </c>
      <c r="N69" s="236">
        <v>-97414.961254654918</v>
      </c>
      <c r="O69" s="175">
        <v>81143.244275376434</v>
      </c>
      <c r="P69" s="237">
        <v>6.935947082264364E-2</v>
      </c>
      <c r="Q69" s="238">
        <v>0.26803605514254597</v>
      </c>
      <c r="R69" s="239">
        <v>3.3151240504740681E-4</v>
      </c>
      <c r="S69" s="240">
        <v>0.24304944779123644</v>
      </c>
      <c r="T69" s="239">
        <v>8.0542461227384242E-4</v>
      </c>
      <c r="U69" s="241">
        <v>-2.4986607351309531E-2</v>
      </c>
      <c r="V69" s="242">
        <v>4.7391220722643561E-4</v>
      </c>
      <c r="W69" s="243">
        <v>338.4223232229786</v>
      </c>
      <c r="X69" s="244">
        <v>33.151240504740684</v>
      </c>
      <c r="Y69" s="245">
        <v>371.57356372771926</v>
      </c>
      <c r="Z69" s="246">
        <v>306.87423278121514</v>
      </c>
      <c r="AA69" s="244">
        <v>80.542461227384237</v>
      </c>
      <c r="AB69" s="245">
        <v>387.41669400859939</v>
      </c>
      <c r="AC69" s="247">
        <v>-31.548090441763463</v>
      </c>
      <c r="AD69" s="247">
        <v>47.391220722643553</v>
      </c>
      <c r="AE69" s="248">
        <v>15.843130280880132</v>
      </c>
      <c r="AF69" s="234">
        <f>-SUMIF('[1]Alt Fac'!$A$18:$A$139,'REPORT 4 - PROPERTY TAX'!A69,'[1]Alt Fac'!$U$18:$U$139)</f>
        <v>0</v>
      </c>
      <c r="AG69" s="247">
        <f t="shared" si="4"/>
        <v>388.14918398008962</v>
      </c>
      <c r="AH69" s="234">
        <f t="shared" si="5"/>
        <v>39.538740642201915</v>
      </c>
      <c r="AI69" s="234">
        <f t="shared" si="3"/>
        <v>427.68792462229152</v>
      </c>
      <c r="AJ69" s="170"/>
      <c r="AK69" s="170"/>
      <c r="AL69" s="170"/>
      <c r="AM69" s="170"/>
      <c r="AN69" s="170"/>
      <c r="AO69" s="234"/>
    </row>
    <row r="70" spans="1:41" x14ac:dyDescent="0.25">
      <c r="A70" s="274">
        <v>100</v>
      </c>
      <c r="B70" s="274">
        <v>1</v>
      </c>
      <c r="C70" s="275" t="s">
        <v>307</v>
      </c>
      <c r="D70" s="276">
        <v>6</v>
      </c>
      <c r="E70" s="272">
        <v>2447787</v>
      </c>
      <c r="F70" s="273">
        <v>143372600</v>
      </c>
      <c r="G70" s="234">
        <v>211987.44</v>
      </c>
      <c r="H70" s="234">
        <v>486810.68027248164</v>
      </c>
      <c r="I70" s="174">
        <v>698798.12027248158</v>
      </c>
      <c r="J70" s="234">
        <v>173306.7825780015</v>
      </c>
      <c r="K70" s="234">
        <v>494815.23267604056</v>
      </c>
      <c r="L70" s="175">
        <v>668122.01525404211</v>
      </c>
      <c r="M70" s="235">
        <v>-38680.657421998505</v>
      </c>
      <c r="N70" s="236">
        <v>8004.5524035589187</v>
      </c>
      <c r="O70" s="175">
        <v>-30676.10501843947</v>
      </c>
      <c r="P70" s="237">
        <v>-4.3898379415328093E-2</v>
      </c>
      <c r="Q70" s="238">
        <v>0.19887787633175666</v>
      </c>
      <c r="R70" s="239">
        <v>1.4785770781864875E-3</v>
      </c>
      <c r="S70" s="240">
        <v>0.20214799436227113</v>
      </c>
      <c r="T70" s="239">
        <v>1.2087859366294641E-3</v>
      </c>
      <c r="U70" s="241">
        <v>3.2701180305144684E-3</v>
      </c>
      <c r="V70" s="242">
        <v>-2.6979114155702339E-4</v>
      </c>
      <c r="W70" s="243">
        <v>251.10320665647598</v>
      </c>
      <c r="X70" s="244">
        <v>147.85770781864875</v>
      </c>
      <c r="Y70" s="245">
        <v>398.9609144751247</v>
      </c>
      <c r="Z70" s="246">
        <v>255.23205768180355</v>
      </c>
      <c r="AA70" s="244">
        <v>120.8785936629464</v>
      </c>
      <c r="AB70" s="245">
        <v>376.11065134474995</v>
      </c>
      <c r="AC70" s="247">
        <v>4.1288510253275774</v>
      </c>
      <c r="AD70" s="247">
        <v>-26.979114155702348</v>
      </c>
      <c r="AE70" s="248">
        <v>-22.850263130374742</v>
      </c>
      <c r="AF70" s="234">
        <f>-SUMIF('[1]Alt Fac'!$A$18:$A$139,'REPORT 4 - PROPERTY TAX'!A70,'[1]Alt Fac'!$U$18:$U$139)</f>
        <v>0</v>
      </c>
      <c r="AG70" s="247">
        <f t="shared" si="4"/>
        <v>472.8897683844491</v>
      </c>
      <c r="AH70" s="234">
        <f t="shared" si="5"/>
        <v>-36.339820208225937</v>
      </c>
      <c r="AI70" s="234">
        <f t="shared" si="3"/>
        <v>436.54994817622315</v>
      </c>
      <c r="AJ70" s="170"/>
      <c r="AK70" s="170"/>
      <c r="AL70" s="170"/>
      <c r="AM70" s="170"/>
      <c r="AN70" s="170"/>
      <c r="AO70" s="234"/>
    </row>
    <row r="71" spans="1:41" x14ac:dyDescent="0.25">
      <c r="A71" s="274">
        <v>108</v>
      </c>
      <c r="B71" s="274">
        <v>1</v>
      </c>
      <c r="C71" s="275" t="s">
        <v>309</v>
      </c>
      <c r="D71" s="276">
        <v>3</v>
      </c>
      <c r="E71" s="272">
        <v>8506375</v>
      </c>
      <c r="F71" s="273">
        <v>579096200</v>
      </c>
      <c r="G71" s="234">
        <v>765136.38773109252</v>
      </c>
      <c r="H71" s="234">
        <v>1282708.7711761075</v>
      </c>
      <c r="I71" s="174">
        <v>2047845.1589072</v>
      </c>
      <c r="J71" s="234">
        <v>732038.7897616839</v>
      </c>
      <c r="K71" s="234">
        <v>1403669.5296763994</v>
      </c>
      <c r="L71" s="175">
        <v>2135708.3194380831</v>
      </c>
      <c r="M71" s="235">
        <v>-33097.597969408613</v>
      </c>
      <c r="N71" s="236">
        <v>120960.75850029197</v>
      </c>
      <c r="O71" s="175">
        <v>87863.16053088312</v>
      </c>
      <c r="P71" s="237">
        <v>4.2905177741939193E-2</v>
      </c>
      <c r="Q71" s="238">
        <v>0.15079381889184376</v>
      </c>
      <c r="R71" s="239">
        <v>1.3212595553745519E-3</v>
      </c>
      <c r="S71" s="240">
        <v>0.16501383135312039</v>
      </c>
      <c r="T71" s="239">
        <v>1.2641056697690019E-3</v>
      </c>
      <c r="U71" s="241">
        <v>1.4220012461276632E-2</v>
      </c>
      <c r="V71" s="242">
        <v>-5.715388560554994E-5</v>
      </c>
      <c r="W71" s="243">
        <v>190.39227573284197</v>
      </c>
      <c r="X71" s="244">
        <v>132.12595553745518</v>
      </c>
      <c r="Y71" s="245">
        <v>322.51823127029718</v>
      </c>
      <c r="Z71" s="246">
        <v>208.34646346644982</v>
      </c>
      <c r="AA71" s="244">
        <v>126.4105669769002</v>
      </c>
      <c r="AB71" s="245">
        <v>334.75703044335</v>
      </c>
      <c r="AC71" s="247">
        <v>17.954187733607853</v>
      </c>
      <c r="AD71" s="247">
        <v>-5.7153885605549846</v>
      </c>
      <c r="AE71" s="248">
        <v>12.238799173052826</v>
      </c>
      <c r="AF71" s="234">
        <f>-SUMIF('[1]Alt Fac'!$A$18:$A$139,'REPORT 4 - PROPERTY TAX'!A71,'[1]Alt Fac'!$U$18:$U$139)</f>
        <v>0</v>
      </c>
      <c r="AG71" s="247">
        <f t="shared" si="4"/>
        <v>388.58120903902477</v>
      </c>
      <c r="AH71" s="234">
        <f t="shared" si="5"/>
        <v>9.3811048927753866</v>
      </c>
      <c r="AI71" s="234">
        <f t="shared" si="3"/>
        <v>397.96231393180017</v>
      </c>
      <c r="AJ71" s="170"/>
      <c r="AK71" s="170"/>
      <c r="AL71" s="170"/>
      <c r="AM71" s="170"/>
      <c r="AN71" s="170"/>
      <c r="AO71" s="234"/>
    </row>
    <row r="72" spans="1:41" x14ac:dyDescent="0.25">
      <c r="A72" s="274">
        <v>110</v>
      </c>
      <c r="B72" s="274">
        <v>1</v>
      </c>
      <c r="C72" s="275" t="s">
        <v>311</v>
      </c>
      <c r="D72" s="276">
        <v>3</v>
      </c>
      <c r="E72" s="272">
        <v>22380732</v>
      </c>
      <c r="F72" s="273">
        <v>1894037350</v>
      </c>
      <c r="G72" s="234">
        <v>3054675.8668613895</v>
      </c>
      <c r="H72" s="234">
        <v>6768424.7321794648</v>
      </c>
      <c r="I72" s="174">
        <v>9823100.5990408547</v>
      </c>
      <c r="J72" s="234">
        <v>2779451.5797898062</v>
      </c>
      <c r="K72" s="234">
        <v>6663809.2854271578</v>
      </c>
      <c r="L72" s="175">
        <v>9443260.865216963</v>
      </c>
      <c r="M72" s="235">
        <v>-275224.28707158333</v>
      </c>
      <c r="N72" s="236">
        <v>-104615.44675230701</v>
      </c>
      <c r="O72" s="175">
        <v>-379839.73382389173</v>
      </c>
      <c r="P72" s="237">
        <v>-3.8668008129834279E-2</v>
      </c>
      <c r="Q72" s="238">
        <v>0.30242195528633581</v>
      </c>
      <c r="R72" s="239">
        <v>1.6127854431494655E-3</v>
      </c>
      <c r="S72" s="240">
        <v>0.29774760206355888</v>
      </c>
      <c r="T72" s="239">
        <v>1.4674745351720788E-3</v>
      </c>
      <c r="U72" s="241">
        <v>-4.674353222776928E-3</v>
      </c>
      <c r="V72" s="242">
        <v>-1.4531090797738669E-4</v>
      </c>
      <c r="W72" s="243">
        <v>381.83796074452761</v>
      </c>
      <c r="X72" s="244">
        <v>161.27854431494654</v>
      </c>
      <c r="Y72" s="245">
        <v>543.11650505947409</v>
      </c>
      <c r="Z72" s="246">
        <v>375.93612236544948</v>
      </c>
      <c r="AA72" s="244">
        <v>146.74745351720787</v>
      </c>
      <c r="AB72" s="245">
        <v>522.68357588265735</v>
      </c>
      <c r="AC72" s="247">
        <v>-5.9018383790781286</v>
      </c>
      <c r="AD72" s="247">
        <v>-14.531090797738671</v>
      </c>
      <c r="AE72" s="248">
        <v>-20.432929176816742</v>
      </c>
      <c r="AF72" s="234">
        <f>-SUMIF('[1]Alt Fac'!$A$18:$A$139,'REPORT 4 - PROPERTY TAX'!A72,'[1]Alt Fac'!$U$18:$U$139)</f>
        <v>0</v>
      </c>
      <c r="AG72" s="247">
        <f t="shared" si="4"/>
        <v>623.75577721694742</v>
      </c>
      <c r="AH72" s="234">
        <f t="shared" si="5"/>
        <v>-27.698474575686156</v>
      </c>
      <c r="AI72" s="234">
        <f t="shared" si="3"/>
        <v>596.05730264126123</v>
      </c>
      <c r="AJ72" s="170"/>
      <c r="AK72" s="170"/>
      <c r="AL72" s="170"/>
      <c r="AM72" s="170"/>
      <c r="AN72" s="170"/>
      <c r="AO72" s="234"/>
    </row>
    <row r="73" spans="1:41" x14ac:dyDescent="0.25">
      <c r="A73" s="274">
        <v>111</v>
      </c>
      <c r="B73" s="274">
        <v>1</v>
      </c>
      <c r="C73" s="275" t="s">
        <v>313</v>
      </c>
      <c r="D73" s="276">
        <v>3</v>
      </c>
      <c r="E73" s="272">
        <v>10751913</v>
      </c>
      <c r="F73" s="273">
        <v>809746000</v>
      </c>
      <c r="G73" s="234">
        <v>1090759.3894117647</v>
      </c>
      <c r="H73" s="234">
        <v>4189800.9302784959</v>
      </c>
      <c r="I73" s="174">
        <v>5280560.319690261</v>
      </c>
      <c r="J73" s="234">
        <v>974507.25169422384</v>
      </c>
      <c r="K73" s="234">
        <v>4144725.1771583804</v>
      </c>
      <c r="L73" s="175">
        <v>5119232.4288526047</v>
      </c>
      <c r="M73" s="235">
        <v>-116252.13771754084</v>
      </c>
      <c r="N73" s="236">
        <v>-45075.753120115492</v>
      </c>
      <c r="O73" s="175">
        <v>-161327.89083765633</v>
      </c>
      <c r="P73" s="237">
        <v>-3.0551282642505492E-2</v>
      </c>
      <c r="Q73" s="238">
        <v>0.38967957890642307</v>
      </c>
      <c r="R73" s="239">
        <v>1.3470389349398016E-3</v>
      </c>
      <c r="S73" s="240">
        <v>0.38548723163574522</v>
      </c>
      <c r="T73" s="239">
        <v>1.2034727577465328E-3</v>
      </c>
      <c r="U73" s="241">
        <v>-4.1923472706778542E-3</v>
      </c>
      <c r="V73" s="242">
        <v>-1.4356617719326887E-4</v>
      </c>
      <c r="W73" s="243">
        <v>492.00943632724983</v>
      </c>
      <c r="X73" s="244">
        <v>134.70389349398016</v>
      </c>
      <c r="Y73" s="245">
        <v>626.71332982122999</v>
      </c>
      <c r="Z73" s="246">
        <v>486.71617866329194</v>
      </c>
      <c r="AA73" s="244">
        <v>120.34727577465327</v>
      </c>
      <c r="AB73" s="245">
        <v>607.06345443794521</v>
      </c>
      <c r="AC73" s="247">
        <v>-5.2932576639578883</v>
      </c>
      <c r="AD73" s="247">
        <v>-14.356617719326891</v>
      </c>
      <c r="AE73" s="248">
        <v>-19.64987538328478</v>
      </c>
      <c r="AF73" s="234">
        <f>-SUMIF('[1]Alt Fac'!$A$18:$A$139,'REPORT 4 - PROPERTY TAX'!A73,'[1]Alt Fac'!$U$18:$U$139)</f>
        <v>0</v>
      </c>
      <c r="AG73" s="247">
        <f t="shared" si="4"/>
        <v>694.06527656822004</v>
      </c>
      <c r="AH73" s="234">
        <f t="shared" si="5"/>
        <v>-26.82818424294819</v>
      </c>
      <c r="AI73" s="234">
        <f t="shared" si="3"/>
        <v>667.23709232527187</v>
      </c>
      <c r="AJ73" s="170"/>
      <c r="AK73" s="170"/>
      <c r="AL73" s="170"/>
      <c r="AM73" s="170"/>
      <c r="AN73" s="170"/>
      <c r="AO73" s="234"/>
    </row>
    <row r="74" spans="1:41" x14ac:dyDescent="0.25">
      <c r="A74" s="274">
        <v>112</v>
      </c>
      <c r="B74" s="274">
        <v>1</v>
      </c>
      <c r="C74" s="275" t="s">
        <v>315</v>
      </c>
      <c r="D74" s="276">
        <v>3</v>
      </c>
      <c r="E74" s="272">
        <v>58917974</v>
      </c>
      <c r="F74" s="273">
        <v>5717037200</v>
      </c>
      <c r="G74" s="234">
        <v>13587148.370000001</v>
      </c>
      <c r="H74" s="234">
        <v>21668769.857934408</v>
      </c>
      <c r="I74" s="174">
        <v>35255918.227934405</v>
      </c>
      <c r="J74" s="234">
        <v>13030361.982568599</v>
      </c>
      <c r="K74" s="234">
        <v>22013093.393221356</v>
      </c>
      <c r="L74" s="175">
        <v>35043455.375789955</v>
      </c>
      <c r="M74" s="235">
        <v>-556786.38743140176</v>
      </c>
      <c r="N74" s="236">
        <v>344323.53528694808</v>
      </c>
      <c r="O74" s="175">
        <v>-212462.85214444995</v>
      </c>
      <c r="P74" s="237">
        <v>-6.0263031803865696E-3</v>
      </c>
      <c r="Q74" s="238">
        <v>0.36777859771509469</v>
      </c>
      <c r="R74" s="239">
        <v>2.376606604903673E-3</v>
      </c>
      <c r="S74" s="240">
        <v>0.37362271474612069</v>
      </c>
      <c r="T74" s="239">
        <v>2.2792158817103027E-3</v>
      </c>
      <c r="U74" s="241">
        <v>5.8441170310259971E-3</v>
      </c>
      <c r="V74" s="242">
        <v>-9.7390723193370356E-5</v>
      </c>
      <c r="W74" s="243">
        <v>464.3572574750786</v>
      </c>
      <c r="X74" s="244">
        <v>237.66066049036729</v>
      </c>
      <c r="Y74" s="245">
        <v>702.01791796544592</v>
      </c>
      <c r="Z74" s="246">
        <v>471.73603963845204</v>
      </c>
      <c r="AA74" s="244">
        <v>227.92158817103027</v>
      </c>
      <c r="AB74" s="245">
        <v>699.65762780948228</v>
      </c>
      <c r="AC74" s="247">
        <v>7.3787821633734438</v>
      </c>
      <c r="AD74" s="247">
        <v>-9.7390723193370263</v>
      </c>
      <c r="AE74" s="248">
        <v>-2.3602901559636393</v>
      </c>
      <c r="AF74" s="234">
        <f>-SUMIF('[1]Alt Fac'!$A$18:$A$139,'REPORT 4 - PROPERTY TAX'!A74,'[1]Alt Fac'!$U$18:$U$139)</f>
        <v>0</v>
      </c>
      <c r="AG74" s="247">
        <f t="shared" si="4"/>
        <v>820.84824821062955</v>
      </c>
      <c r="AH74" s="234">
        <f t="shared" si="5"/>
        <v>-7.2298263156321285</v>
      </c>
      <c r="AI74" s="234">
        <f t="shared" si="3"/>
        <v>813.61842189499737</v>
      </c>
      <c r="AJ74" s="170"/>
      <c r="AK74" s="170"/>
      <c r="AL74" s="170"/>
      <c r="AM74" s="170"/>
      <c r="AN74" s="170"/>
      <c r="AO74" s="234"/>
    </row>
    <row r="75" spans="1:41" x14ac:dyDescent="0.25">
      <c r="A75" s="274">
        <v>113</v>
      </c>
      <c r="B75" s="274">
        <v>1</v>
      </c>
      <c r="C75" s="275" t="s">
        <v>317</v>
      </c>
      <c r="D75" s="276">
        <v>6</v>
      </c>
      <c r="E75" s="272">
        <v>21315565</v>
      </c>
      <c r="F75" s="273">
        <v>848121055</v>
      </c>
      <c r="G75" s="234">
        <v>173731.76</v>
      </c>
      <c r="H75" s="234">
        <v>1701460.2919999999</v>
      </c>
      <c r="I75" s="174">
        <v>1875192.0519999999</v>
      </c>
      <c r="J75" s="234">
        <v>638123.5436907165</v>
      </c>
      <c r="K75" s="234">
        <v>2252151.006892445</v>
      </c>
      <c r="L75" s="175">
        <v>2890274.5505831614</v>
      </c>
      <c r="M75" s="235">
        <v>464391.78369071649</v>
      </c>
      <c r="N75" s="236">
        <v>550690.71489244513</v>
      </c>
      <c r="O75" s="175">
        <v>1015082.4985831615</v>
      </c>
      <c r="P75" s="237">
        <v>0.54132188620387856</v>
      </c>
      <c r="Q75" s="238">
        <v>7.9822434544897111E-2</v>
      </c>
      <c r="R75" s="239">
        <v>2.0484311641101753E-4</v>
      </c>
      <c r="S75" s="240">
        <v>0.10565757965563874</v>
      </c>
      <c r="T75" s="239">
        <v>7.5239677157963787E-4</v>
      </c>
      <c r="U75" s="241">
        <v>2.5835145110741628E-2</v>
      </c>
      <c r="V75" s="242">
        <v>5.475536551686203E-4</v>
      </c>
      <c r="W75" s="243">
        <v>100.7838058563871</v>
      </c>
      <c r="X75" s="244">
        <v>20.484311641101755</v>
      </c>
      <c r="Y75" s="245">
        <v>121.26811749748886</v>
      </c>
      <c r="Z75" s="246">
        <v>133.40326007320948</v>
      </c>
      <c r="AA75" s="244">
        <v>75.239677157963783</v>
      </c>
      <c r="AB75" s="245">
        <v>208.64293723117328</v>
      </c>
      <c r="AC75" s="247">
        <v>32.619454216822376</v>
      </c>
      <c r="AD75" s="247">
        <v>54.755365516862028</v>
      </c>
      <c r="AE75" s="248">
        <v>87.374819733684419</v>
      </c>
      <c r="AF75" s="234">
        <f>-SUMIF('[1]Alt Fac'!$A$18:$A$139,'REPORT 4 - PROPERTY TAX'!A75,'[1]Alt Fac'!$U$18:$U$139)</f>
        <v>0</v>
      </c>
      <c r="AG75" s="247">
        <f t="shared" si="4"/>
        <v>131.51027331803974</v>
      </c>
      <c r="AH75" s="234">
        <f t="shared" si="5"/>
        <v>114.75250249211544</v>
      </c>
      <c r="AI75" s="234">
        <f t="shared" si="3"/>
        <v>246.26277581015518</v>
      </c>
      <c r="AJ75" s="170"/>
      <c r="AK75" s="170"/>
      <c r="AL75" s="170"/>
      <c r="AM75" s="170"/>
      <c r="AN75" s="170"/>
      <c r="AO75" s="234"/>
    </row>
    <row r="76" spans="1:41" x14ac:dyDescent="0.25">
      <c r="A76" s="274">
        <v>115</v>
      </c>
      <c r="B76" s="274">
        <v>1</v>
      </c>
      <c r="C76" s="275" t="s">
        <v>319</v>
      </c>
      <c r="D76" s="276">
        <v>5</v>
      </c>
      <c r="E76" s="272">
        <v>5024510</v>
      </c>
      <c r="F76" s="273">
        <v>228218345</v>
      </c>
      <c r="G76" s="234">
        <v>278518.62</v>
      </c>
      <c r="H76" s="234">
        <v>1845131.1978431973</v>
      </c>
      <c r="I76" s="174">
        <v>2123649.8178431974</v>
      </c>
      <c r="J76" s="234">
        <v>207887.81572736366</v>
      </c>
      <c r="K76" s="234">
        <v>1810853.5189483289</v>
      </c>
      <c r="L76" s="175">
        <v>2018741.3346756925</v>
      </c>
      <c r="M76" s="235">
        <v>-70630.804272636335</v>
      </c>
      <c r="N76" s="236">
        <v>-34277.678894868353</v>
      </c>
      <c r="O76" s="175">
        <v>-104908.48316750489</v>
      </c>
      <c r="P76" s="237">
        <v>-4.9400085779703139E-2</v>
      </c>
      <c r="Q76" s="238">
        <v>0.36722609723996913</v>
      </c>
      <c r="R76" s="239">
        <v>1.2204041704009377E-3</v>
      </c>
      <c r="S76" s="240">
        <v>0.3604040033651697</v>
      </c>
      <c r="T76" s="239">
        <v>9.1091632325772788E-4</v>
      </c>
      <c r="U76" s="241">
        <v>-6.8220938747994286E-3</v>
      </c>
      <c r="V76" s="242">
        <v>-3.0948784714320986E-4</v>
      </c>
      <c r="W76" s="243">
        <v>463.6596703751851</v>
      </c>
      <c r="X76" s="244">
        <v>122.04041704009377</v>
      </c>
      <c r="Y76" s="245">
        <v>585.70008741527886</v>
      </c>
      <c r="Z76" s="246">
        <v>455.04609464886329</v>
      </c>
      <c r="AA76" s="244">
        <v>91.091632325772792</v>
      </c>
      <c r="AB76" s="245">
        <v>546.13772697463605</v>
      </c>
      <c r="AC76" s="247">
        <v>-8.6135757263218125</v>
      </c>
      <c r="AD76" s="247">
        <v>-30.948784714320979</v>
      </c>
      <c r="AE76" s="248">
        <v>-39.562360440642806</v>
      </c>
      <c r="AF76" s="234">
        <f>-SUMIF('[1]Alt Fac'!$A$18:$A$139,'REPORT 4 - PROPERTY TAX'!A76,'[1]Alt Fac'!$U$18:$U$139)</f>
        <v>0</v>
      </c>
      <c r="AG76" s="247">
        <f t="shared" si="4"/>
        <v>646.72029593532579</v>
      </c>
      <c r="AH76" s="234">
        <f t="shared" si="5"/>
        <v>-55.036752797803231</v>
      </c>
      <c r="AI76" s="234">
        <f t="shared" si="3"/>
        <v>591.68354313752252</v>
      </c>
      <c r="AJ76" s="170"/>
      <c r="AK76" s="170"/>
      <c r="AL76" s="170"/>
      <c r="AM76" s="170"/>
      <c r="AN76" s="170"/>
      <c r="AO76" s="234"/>
    </row>
    <row r="77" spans="1:41" x14ac:dyDescent="0.25">
      <c r="A77" s="274">
        <v>116</v>
      </c>
      <c r="B77" s="274">
        <v>1</v>
      </c>
      <c r="C77" s="275" t="s">
        <v>320</v>
      </c>
      <c r="D77" s="276">
        <v>6</v>
      </c>
      <c r="E77" s="272">
        <v>9938150</v>
      </c>
      <c r="F77" s="273">
        <v>493023315</v>
      </c>
      <c r="G77" s="234">
        <v>199929.51</v>
      </c>
      <c r="H77" s="234">
        <v>1550859.2807392024</v>
      </c>
      <c r="I77" s="174">
        <v>1750788.7907392024</v>
      </c>
      <c r="J77" s="234">
        <v>397093.1137028028</v>
      </c>
      <c r="K77" s="234">
        <v>1682323.331794949</v>
      </c>
      <c r="L77" s="175">
        <v>2079416.4454977517</v>
      </c>
      <c r="M77" s="235">
        <v>197163.60370280279</v>
      </c>
      <c r="N77" s="236">
        <v>131464.05105574662</v>
      </c>
      <c r="O77" s="175">
        <v>328627.6547585493</v>
      </c>
      <c r="P77" s="237">
        <v>0.18770262666566367</v>
      </c>
      <c r="Q77" s="238">
        <v>0.15605110415310722</v>
      </c>
      <c r="R77" s="239">
        <v>4.0551735367727994E-4</v>
      </c>
      <c r="S77" s="240">
        <v>0.16927932580962746</v>
      </c>
      <c r="T77" s="239">
        <v>8.0542461506673941E-4</v>
      </c>
      <c r="U77" s="241">
        <v>1.3228221656520239E-2</v>
      </c>
      <c r="V77" s="242">
        <v>3.9990726138945947E-4</v>
      </c>
      <c r="W77" s="243">
        <v>197.03012410371321</v>
      </c>
      <c r="X77" s="244">
        <v>40.551735367727993</v>
      </c>
      <c r="Y77" s="245">
        <v>237.58185947144119</v>
      </c>
      <c r="Z77" s="246">
        <v>213.73207676723564</v>
      </c>
      <c r="AA77" s="244">
        <v>80.542461506673945</v>
      </c>
      <c r="AB77" s="245">
        <v>294.27453827390957</v>
      </c>
      <c r="AC77" s="247">
        <v>16.701952663522434</v>
      </c>
      <c r="AD77" s="247">
        <v>39.990726138945952</v>
      </c>
      <c r="AE77" s="248">
        <v>56.692678802468379</v>
      </c>
      <c r="AF77" s="234">
        <f>-SUMIF('[1]Alt Fac'!$A$18:$A$139,'REPORT 4 - PROPERTY TAX'!A77,'[1]Alt Fac'!$U$18:$U$139)</f>
        <v>0</v>
      </c>
      <c r="AG77" s="247">
        <f t="shared" si="4"/>
        <v>257.85772715530521</v>
      </c>
      <c r="AH77" s="234">
        <f t="shared" si="5"/>
        <v>76.68804187194138</v>
      </c>
      <c r="AI77" s="234">
        <f t="shared" si="3"/>
        <v>334.54576902724659</v>
      </c>
      <c r="AJ77" s="170"/>
      <c r="AK77" s="170"/>
      <c r="AL77" s="170"/>
      <c r="AM77" s="170"/>
      <c r="AN77" s="170"/>
      <c r="AO77" s="234"/>
    </row>
    <row r="78" spans="1:41" x14ac:dyDescent="0.25">
      <c r="A78" s="274">
        <v>118</v>
      </c>
      <c r="B78" s="274">
        <v>1</v>
      </c>
      <c r="C78" s="275" t="s">
        <v>322</v>
      </c>
      <c r="D78" s="276">
        <v>6</v>
      </c>
      <c r="E78" s="272">
        <v>16383480</v>
      </c>
      <c r="F78" s="273">
        <v>487343276</v>
      </c>
      <c r="G78" s="234">
        <v>337828.47</v>
      </c>
      <c r="H78" s="234">
        <v>328067.70199999999</v>
      </c>
      <c r="I78" s="174">
        <v>665896.17200000002</v>
      </c>
      <c r="J78" s="234">
        <v>523863.58081986103</v>
      </c>
      <c r="K78" s="234">
        <v>757998.66440566024</v>
      </c>
      <c r="L78" s="175">
        <v>1281862.2452255213</v>
      </c>
      <c r="M78" s="235">
        <v>186035.11081986106</v>
      </c>
      <c r="N78" s="236">
        <v>429930.96240566025</v>
      </c>
      <c r="O78" s="175">
        <v>615966.07322552125</v>
      </c>
      <c r="P78" s="237">
        <v>0.92501819221378734</v>
      </c>
      <c r="Q78" s="238">
        <v>2.0024298988981584E-2</v>
      </c>
      <c r="R78" s="239">
        <v>6.9320433180656009E-4</v>
      </c>
      <c r="S78" s="240">
        <v>4.6266035323732212E-2</v>
      </c>
      <c r="T78" s="239">
        <v>1.0749375370880485E-3</v>
      </c>
      <c r="U78" s="241">
        <v>2.6241736334750628E-2</v>
      </c>
      <c r="V78" s="242">
        <v>3.8173320528148841E-4</v>
      </c>
      <c r="W78" s="243">
        <v>25.282679903488152</v>
      </c>
      <c r="X78" s="244">
        <v>69.320433180656011</v>
      </c>
      <c r="Y78" s="245">
        <v>94.603113084144155</v>
      </c>
      <c r="Z78" s="246">
        <v>58.415496199744297</v>
      </c>
      <c r="AA78" s="244">
        <v>107.49375370880485</v>
      </c>
      <c r="AB78" s="245">
        <v>165.90924990854916</v>
      </c>
      <c r="AC78" s="247">
        <v>33.132816296256145</v>
      </c>
      <c r="AD78" s="247">
        <v>38.173320528148835</v>
      </c>
      <c r="AE78" s="248">
        <v>71.306136824405002</v>
      </c>
      <c r="AF78" s="234">
        <f>-SUMIF('[1]Alt Fac'!$A$18:$A$139,'REPORT 4 - PROPERTY TAX'!A78,'[1]Alt Fac'!$U$18:$U$139)</f>
        <v>0</v>
      </c>
      <c r="AG78" s="247">
        <f t="shared" si="4"/>
        <v>129.26332967447217</v>
      </c>
      <c r="AH78" s="234">
        <f t="shared" si="5"/>
        <v>90.392797088479398</v>
      </c>
      <c r="AI78" s="234">
        <f t="shared" si="3"/>
        <v>219.65612676295157</v>
      </c>
      <c r="AJ78" s="170"/>
      <c r="AK78" s="170"/>
      <c r="AL78" s="170"/>
      <c r="AM78" s="170"/>
      <c r="AN78" s="170"/>
      <c r="AO78" s="234"/>
    </row>
    <row r="79" spans="1:41" x14ac:dyDescent="0.25">
      <c r="A79" s="274">
        <v>129</v>
      </c>
      <c r="B79" s="274">
        <v>1</v>
      </c>
      <c r="C79" s="275" t="s">
        <v>324</v>
      </c>
      <c r="D79" s="276">
        <v>5</v>
      </c>
      <c r="E79" s="272">
        <v>6105693</v>
      </c>
      <c r="F79" s="273">
        <v>334193340</v>
      </c>
      <c r="G79" s="234">
        <v>826105.75633986935</v>
      </c>
      <c r="H79" s="234">
        <v>1575692.3237661666</v>
      </c>
      <c r="I79" s="174">
        <v>2401798.0801060358</v>
      </c>
      <c r="J79" s="234">
        <v>559535.21390884789</v>
      </c>
      <c r="K79" s="234">
        <v>1469997.7554445693</v>
      </c>
      <c r="L79" s="175">
        <v>2029532.9693534172</v>
      </c>
      <c r="M79" s="235">
        <v>-266570.54243102146</v>
      </c>
      <c r="N79" s="236">
        <v>-105694.5683215973</v>
      </c>
      <c r="O79" s="175">
        <v>-372265.11075261864</v>
      </c>
      <c r="P79" s="237">
        <v>-0.15499434104643123</v>
      </c>
      <c r="Q79" s="238">
        <v>0.25806936637105182</v>
      </c>
      <c r="R79" s="239">
        <v>2.4719396153731529E-3</v>
      </c>
      <c r="S79" s="240">
        <v>0.24075854377948078</v>
      </c>
      <c r="T79" s="239">
        <v>1.6742859504885641E-3</v>
      </c>
      <c r="U79" s="241">
        <v>-1.7310822591571046E-2</v>
      </c>
      <c r="V79" s="242">
        <v>-7.9765366488458874E-4</v>
      </c>
      <c r="W79" s="243">
        <v>325.83838198009005</v>
      </c>
      <c r="X79" s="244">
        <v>247.19396153731529</v>
      </c>
      <c r="Y79" s="245">
        <v>573.03234351740537</v>
      </c>
      <c r="Z79" s="246">
        <v>303.98173737597244</v>
      </c>
      <c r="AA79" s="244">
        <v>167.42859504885641</v>
      </c>
      <c r="AB79" s="245">
        <v>471.41033242482888</v>
      </c>
      <c r="AC79" s="247">
        <v>-21.856644604117605</v>
      </c>
      <c r="AD79" s="247">
        <v>-79.765366488458881</v>
      </c>
      <c r="AE79" s="248">
        <v>-101.62201109257649</v>
      </c>
      <c r="AF79" s="234">
        <f>-SUMIF('[1]Alt Fac'!$A$18:$A$139,'REPORT 4 - PROPERTY TAX'!A79,'[1]Alt Fac'!$U$18:$U$139)</f>
        <v>0</v>
      </c>
      <c r="AG79" s="247">
        <f t="shared" si="4"/>
        <v>696.62932428606291</v>
      </c>
      <c r="AH79" s="234">
        <f t="shared" si="5"/>
        <v>-141.50469433680593</v>
      </c>
      <c r="AI79" s="234">
        <f t="shared" si="3"/>
        <v>555.12462994925704</v>
      </c>
      <c r="AJ79" s="170"/>
      <c r="AK79" s="170"/>
      <c r="AL79" s="170"/>
      <c r="AM79" s="170"/>
      <c r="AN79" s="170"/>
      <c r="AO79" s="234"/>
    </row>
    <row r="80" spans="1:41" x14ac:dyDescent="0.25">
      <c r="A80" s="274">
        <v>138</v>
      </c>
      <c r="B80" s="274">
        <v>1</v>
      </c>
      <c r="C80" s="275" t="s">
        <v>325</v>
      </c>
      <c r="D80" s="276">
        <v>4</v>
      </c>
      <c r="E80" s="272">
        <v>15439259</v>
      </c>
      <c r="F80" s="273">
        <v>1421244000</v>
      </c>
      <c r="G80" s="234">
        <v>273889.58</v>
      </c>
      <c r="H80" s="234">
        <v>5420176.8864346249</v>
      </c>
      <c r="I80" s="174">
        <v>5694066.466434625</v>
      </c>
      <c r="J80" s="234">
        <v>1144704.9059098102</v>
      </c>
      <c r="K80" s="234">
        <v>5294461.5238533113</v>
      </c>
      <c r="L80" s="175">
        <v>6439166.4297631215</v>
      </c>
      <c r="M80" s="235">
        <v>870815.32590981014</v>
      </c>
      <c r="N80" s="236">
        <v>-125715.36258131359</v>
      </c>
      <c r="O80" s="175">
        <v>745099.96332849655</v>
      </c>
      <c r="P80" s="237">
        <v>0.13085550857558667</v>
      </c>
      <c r="Q80" s="238">
        <v>0.35106457417643067</v>
      </c>
      <c r="R80" s="239">
        <v>1.9271116008229411E-4</v>
      </c>
      <c r="S80" s="240">
        <v>0.34292199670031515</v>
      </c>
      <c r="T80" s="239">
        <v>8.0542461808796395E-4</v>
      </c>
      <c r="U80" s="241">
        <v>-8.1425774761155201E-3</v>
      </c>
      <c r="V80" s="242">
        <v>6.1271345800566982E-4</v>
      </c>
      <c r="W80" s="243">
        <v>443.25413135516141</v>
      </c>
      <c r="X80" s="244">
        <v>19.271116008229409</v>
      </c>
      <c r="Y80" s="245">
        <v>462.5252473633908</v>
      </c>
      <c r="Z80" s="246">
        <v>432.97331303381793</v>
      </c>
      <c r="AA80" s="244">
        <v>80.542461808796389</v>
      </c>
      <c r="AB80" s="245">
        <v>513.51577484261429</v>
      </c>
      <c r="AC80" s="247">
        <v>-10.280818321343475</v>
      </c>
      <c r="AD80" s="247">
        <v>61.271345800566976</v>
      </c>
      <c r="AE80" s="248">
        <v>50.990527479223488</v>
      </c>
      <c r="AF80" s="234">
        <f>-SUMIF('[1]Alt Fac'!$A$18:$A$139,'REPORT 4 - PROPERTY TAX'!A80,'[1]Alt Fac'!$U$18:$U$139)</f>
        <v>0</v>
      </c>
      <c r="AG80" s="247">
        <f t="shared" si="4"/>
        <v>472.16080536750553</v>
      </c>
      <c r="AH80" s="234">
        <f t="shared" si="5"/>
        <v>81.626200379507011</v>
      </c>
      <c r="AI80" s="234">
        <f t="shared" si="3"/>
        <v>553.78700574701259</v>
      </c>
      <c r="AJ80" s="170"/>
      <c r="AK80" s="170"/>
      <c r="AL80" s="170"/>
      <c r="AM80" s="170"/>
      <c r="AN80" s="170"/>
      <c r="AO80" s="234"/>
    </row>
    <row r="81" spans="1:41" x14ac:dyDescent="0.25">
      <c r="A81" s="274">
        <v>139</v>
      </c>
      <c r="B81" s="274">
        <v>1</v>
      </c>
      <c r="C81" s="275" t="s">
        <v>327</v>
      </c>
      <c r="D81" s="276">
        <v>6</v>
      </c>
      <c r="E81" s="272">
        <v>4499990</v>
      </c>
      <c r="F81" s="273">
        <v>379683400</v>
      </c>
      <c r="G81" s="234">
        <v>122643.64</v>
      </c>
      <c r="H81" s="234">
        <v>1633273.7966922149</v>
      </c>
      <c r="I81" s="174">
        <v>1755917.4366922148</v>
      </c>
      <c r="J81" s="234">
        <v>305806.35459002038</v>
      </c>
      <c r="K81" s="234">
        <v>1494742.3535473894</v>
      </c>
      <c r="L81" s="175">
        <v>1800548.7081374098</v>
      </c>
      <c r="M81" s="235">
        <v>183162.71459002036</v>
      </c>
      <c r="N81" s="236">
        <v>-138531.44314482552</v>
      </c>
      <c r="O81" s="175">
        <v>44631.271445194958</v>
      </c>
      <c r="P81" s="237">
        <v>2.5417636679587303E-2</v>
      </c>
      <c r="Q81" s="238">
        <v>0.36295053915502368</v>
      </c>
      <c r="R81" s="239">
        <v>3.2301554400324058E-4</v>
      </c>
      <c r="S81" s="240">
        <v>0.33216570560098785</v>
      </c>
      <c r="T81" s="239">
        <v>8.0542461058350293E-4</v>
      </c>
      <c r="U81" s="241">
        <v>-3.0784833554035829E-2</v>
      </c>
      <c r="V81" s="242">
        <v>4.8240906658026235E-4</v>
      </c>
      <c r="W81" s="243">
        <v>458.26135073713294</v>
      </c>
      <c r="X81" s="244">
        <v>32.301554400324058</v>
      </c>
      <c r="Y81" s="245">
        <v>490.56290513745699</v>
      </c>
      <c r="Z81" s="246">
        <v>419.39241989180732</v>
      </c>
      <c r="AA81" s="244">
        <v>80.542461058350298</v>
      </c>
      <c r="AB81" s="245">
        <v>499.93488095015761</v>
      </c>
      <c r="AC81" s="247">
        <v>-38.868930845325622</v>
      </c>
      <c r="AD81" s="247">
        <v>48.24090665802624</v>
      </c>
      <c r="AE81" s="248">
        <v>9.3719758127006116</v>
      </c>
      <c r="AF81" s="234">
        <f>-SUMIF('[1]Alt Fac'!$A$18:$A$139,'REPORT 4 - PROPERTY TAX'!A81,'[1]Alt Fac'!$U$18:$U$139)</f>
        <v>0</v>
      </c>
      <c r="AG81" s="247">
        <f t="shared" si="4"/>
        <v>506.71368233761905</v>
      </c>
      <c r="AH81" s="234">
        <f t="shared" si="5"/>
        <v>33.492429141713707</v>
      </c>
      <c r="AI81" s="234">
        <f t="shared" si="3"/>
        <v>540.20611147933278</v>
      </c>
      <c r="AJ81" s="170"/>
      <c r="AK81" s="170"/>
      <c r="AL81" s="170"/>
      <c r="AM81" s="170"/>
      <c r="AN81" s="170"/>
      <c r="AO81" s="234"/>
    </row>
    <row r="82" spans="1:41" x14ac:dyDescent="0.25">
      <c r="A82" s="274">
        <v>146</v>
      </c>
      <c r="B82" s="274">
        <v>1</v>
      </c>
      <c r="C82" s="275" t="s">
        <v>329</v>
      </c>
      <c r="D82" s="276">
        <v>6</v>
      </c>
      <c r="E82" s="272">
        <v>5102309</v>
      </c>
      <c r="F82" s="273">
        <v>233229100</v>
      </c>
      <c r="G82" s="234">
        <v>612235.80095860572</v>
      </c>
      <c r="H82" s="234">
        <v>271856.54952802218</v>
      </c>
      <c r="I82" s="174">
        <v>884092.3504866279</v>
      </c>
      <c r="J82" s="234">
        <v>437074.82402608264</v>
      </c>
      <c r="K82" s="234">
        <v>270174.42357954598</v>
      </c>
      <c r="L82" s="175">
        <v>707249.24760562857</v>
      </c>
      <c r="M82" s="235">
        <v>-175160.97693252307</v>
      </c>
      <c r="N82" s="236">
        <v>-1682.1259484761977</v>
      </c>
      <c r="O82" s="175">
        <v>-176843.10288099933</v>
      </c>
      <c r="P82" s="237">
        <v>-0.20002786222916666</v>
      </c>
      <c r="Q82" s="238">
        <v>5.3281083040643398E-2</v>
      </c>
      <c r="R82" s="239">
        <v>2.625040361424049E-3</v>
      </c>
      <c r="S82" s="240">
        <v>5.2951403684007768E-2</v>
      </c>
      <c r="T82" s="239">
        <v>1.8740149665118231E-3</v>
      </c>
      <c r="U82" s="241">
        <v>-3.2967935663563014E-4</v>
      </c>
      <c r="V82" s="242">
        <v>-7.5102539491222597E-4</v>
      </c>
      <c r="W82" s="243">
        <v>67.272695447116362</v>
      </c>
      <c r="X82" s="244">
        <v>262.50403614240491</v>
      </c>
      <c r="Y82" s="245">
        <v>329.77673158952126</v>
      </c>
      <c r="Z82" s="246">
        <v>66.856442291428209</v>
      </c>
      <c r="AA82" s="244">
        <v>187.4014966511823</v>
      </c>
      <c r="AB82" s="245">
        <v>254.25793894261051</v>
      </c>
      <c r="AC82" s="247">
        <v>-0.41625315568815324</v>
      </c>
      <c r="AD82" s="247">
        <v>-75.102539491222615</v>
      </c>
      <c r="AE82" s="248">
        <v>-75.518792646910754</v>
      </c>
      <c r="AF82" s="234">
        <f>-SUMIF('[1]Alt Fac'!$A$18:$A$139,'REPORT 4 - PROPERTY TAX'!A82,'[1]Alt Fac'!$U$18:$U$139)</f>
        <v>0</v>
      </c>
      <c r="AG82" s="247">
        <f t="shared" si="4"/>
        <v>461.02874966072369</v>
      </c>
      <c r="AH82" s="234">
        <f t="shared" si="5"/>
        <v>-113.07006239252205</v>
      </c>
      <c r="AI82" s="234">
        <f t="shared" si="3"/>
        <v>347.95868726820163</v>
      </c>
      <c r="AJ82" s="170"/>
      <c r="AK82" s="170"/>
      <c r="AL82" s="170"/>
      <c r="AM82" s="170"/>
      <c r="AN82" s="170"/>
      <c r="AO82" s="234"/>
    </row>
    <row r="83" spans="1:41" x14ac:dyDescent="0.25">
      <c r="A83" s="274">
        <v>150</v>
      </c>
      <c r="B83" s="274">
        <v>1</v>
      </c>
      <c r="C83" s="275" t="s">
        <v>331</v>
      </c>
      <c r="D83" s="276">
        <v>6</v>
      </c>
      <c r="E83" s="272">
        <v>3140036</v>
      </c>
      <c r="F83" s="273">
        <v>222586700</v>
      </c>
      <c r="G83" s="234">
        <v>298722.44882352941</v>
      </c>
      <c r="H83" s="234">
        <v>1070775.5725179401</v>
      </c>
      <c r="I83" s="174">
        <v>1369498.0213414696</v>
      </c>
      <c r="J83" s="234">
        <v>242486.48240669491</v>
      </c>
      <c r="K83" s="234">
        <v>927455.5943545273</v>
      </c>
      <c r="L83" s="175">
        <v>1169942.0767612222</v>
      </c>
      <c r="M83" s="235">
        <v>-56235.966416834504</v>
      </c>
      <c r="N83" s="236">
        <v>-143319.97816341277</v>
      </c>
      <c r="O83" s="175">
        <v>-199555.94458024739</v>
      </c>
      <c r="P83" s="237">
        <v>-0.14571466440292888</v>
      </c>
      <c r="Q83" s="238">
        <v>0.34100741918816857</v>
      </c>
      <c r="R83" s="239">
        <v>1.3420498566335249E-3</v>
      </c>
      <c r="S83" s="240">
        <v>0.29536463733362528</v>
      </c>
      <c r="T83" s="239">
        <v>1.0894023875042619E-3</v>
      </c>
      <c r="U83" s="241">
        <v>-4.5642781854543291E-2</v>
      </c>
      <c r="V83" s="242">
        <v>-2.5264746912926294E-4</v>
      </c>
      <c r="W83" s="243">
        <v>430.55596746698166</v>
      </c>
      <c r="X83" s="244">
        <v>134.20498566335249</v>
      </c>
      <c r="Y83" s="245">
        <v>564.7609531303342</v>
      </c>
      <c r="Z83" s="246">
        <v>372.9273910974353</v>
      </c>
      <c r="AA83" s="244">
        <v>108.94023875042619</v>
      </c>
      <c r="AB83" s="245">
        <v>481.86762984786151</v>
      </c>
      <c r="AC83" s="247">
        <v>-57.628576369546352</v>
      </c>
      <c r="AD83" s="247">
        <v>-25.264746912926299</v>
      </c>
      <c r="AE83" s="248">
        <v>-82.893323282472693</v>
      </c>
      <c r="AF83" s="234">
        <f>-SUMIF('[1]Alt Fac'!$A$18:$A$139,'REPORT 4 - PROPERTY TAX'!A83,'[1]Alt Fac'!$U$18:$U$139)</f>
        <v>0</v>
      </c>
      <c r="AG83" s="247">
        <f t="shared" si="4"/>
        <v>631.86344596201036</v>
      </c>
      <c r="AH83" s="234">
        <f t="shared" si="5"/>
        <v>-95.525696738935807</v>
      </c>
      <c r="AI83" s="234">
        <f t="shared" si="3"/>
        <v>536.33774922307452</v>
      </c>
      <c r="AJ83" s="170"/>
      <c r="AK83" s="170"/>
      <c r="AL83" s="170"/>
      <c r="AM83" s="170"/>
      <c r="AN83" s="170"/>
      <c r="AO83" s="234"/>
    </row>
    <row r="84" spans="1:41" x14ac:dyDescent="0.25">
      <c r="A84" s="274">
        <v>152</v>
      </c>
      <c r="B84" s="274">
        <v>1</v>
      </c>
      <c r="C84" s="275" t="s">
        <v>333</v>
      </c>
      <c r="D84" s="276">
        <v>4</v>
      </c>
      <c r="E84" s="272">
        <v>28505078</v>
      </c>
      <c r="F84" s="273">
        <v>2340059000</v>
      </c>
      <c r="G84" s="234">
        <v>5152014.675294118</v>
      </c>
      <c r="H84" s="234">
        <v>7198713.6986960974</v>
      </c>
      <c r="I84" s="174">
        <v>12350728.373990215</v>
      </c>
      <c r="J84" s="234">
        <v>4268356.936541833</v>
      </c>
      <c r="K84" s="234">
        <v>7408937.0739919096</v>
      </c>
      <c r="L84" s="175">
        <v>11677294.010533743</v>
      </c>
      <c r="M84" s="235">
        <v>-883657.73875228502</v>
      </c>
      <c r="N84" s="236">
        <v>210223.37529581226</v>
      </c>
      <c r="O84" s="175">
        <v>-673434.36345647275</v>
      </c>
      <c r="P84" s="237">
        <v>-5.4525882447117792E-2</v>
      </c>
      <c r="Q84" s="238">
        <v>0.25254144888486524</v>
      </c>
      <c r="R84" s="239">
        <v>2.2016601612583776E-3</v>
      </c>
      <c r="S84" s="240">
        <v>0.25991639363315933</v>
      </c>
      <c r="T84" s="239">
        <v>1.8240381702093122E-3</v>
      </c>
      <c r="U84" s="241">
        <v>7.3749447482940877E-3</v>
      </c>
      <c r="V84" s="242">
        <v>-3.7762199104906537E-4</v>
      </c>
      <c r="W84" s="243">
        <v>318.85883336203091</v>
      </c>
      <c r="X84" s="244">
        <v>220.16601612583776</v>
      </c>
      <c r="Y84" s="245">
        <v>539.02484948786866</v>
      </c>
      <c r="Z84" s="246">
        <v>328.17043860122698</v>
      </c>
      <c r="AA84" s="244">
        <v>182.40381702093123</v>
      </c>
      <c r="AB84" s="245">
        <v>510.5742556221582</v>
      </c>
      <c r="AC84" s="247">
        <v>9.3116052391960693</v>
      </c>
      <c r="AD84" s="247">
        <v>-37.762199104906529</v>
      </c>
      <c r="AE84" s="248">
        <v>-28.450593865710459</v>
      </c>
      <c r="AF84" s="234">
        <f>-SUMIF('[1]Alt Fac'!$A$18:$A$139,'REPORT 4 - PROPERTY TAX'!A84,'[1]Alt Fac'!$U$18:$U$139)</f>
        <v>0</v>
      </c>
      <c r="AG84" s="247">
        <f t="shared" si="4"/>
        <v>649.10785755078746</v>
      </c>
      <c r="AH84" s="234">
        <f t="shared" si="5"/>
        <v>-47.331693418163695</v>
      </c>
      <c r="AI84" s="234">
        <f t="shared" si="3"/>
        <v>601.77616413262376</v>
      </c>
      <c r="AJ84" s="170"/>
      <c r="AK84" s="170"/>
      <c r="AL84" s="170"/>
      <c r="AM84" s="170"/>
      <c r="AN84" s="170"/>
      <c r="AO84" s="234"/>
    </row>
    <row r="85" spans="1:41" x14ac:dyDescent="0.25">
      <c r="A85" s="274">
        <v>162</v>
      </c>
      <c r="B85" s="274">
        <v>1</v>
      </c>
      <c r="C85" s="275" t="s">
        <v>335</v>
      </c>
      <c r="D85" s="276">
        <v>6</v>
      </c>
      <c r="E85" s="272">
        <v>4391752</v>
      </c>
      <c r="F85" s="273">
        <v>255978950</v>
      </c>
      <c r="G85" s="234">
        <v>104141.75999999999</v>
      </c>
      <c r="H85" s="234">
        <v>1229891.7679376968</v>
      </c>
      <c r="I85" s="174">
        <v>1334033.5279376968</v>
      </c>
      <c r="J85" s="234">
        <v>206171.74462984578</v>
      </c>
      <c r="K85" s="234">
        <v>1188592.4882626811</v>
      </c>
      <c r="L85" s="175">
        <v>1394764.2328925268</v>
      </c>
      <c r="M85" s="235">
        <v>102029.98462984579</v>
      </c>
      <c r="N85" s="236">
        <v>-41299.279675015714</v>
      </c>
      <c r="O85" s="175">
        <v>60730.704954829998</v>
      </c>
      <c r="P85" s="237">
        <v>4.5524121907726367E-2</v>
      </c>
      <c r="Q85" s="238">
        <v>0.28004581495897235</v>
      </c>
      <c r="R85" s="239">
        <v>4.0683720282468539E-4</v>
      </c>
      <c r="S85" s="240">
        <v>0.2706419871301205</v>
      </c>
      <c r="T85" s="239">
        <v>8.0542460475693713E-4</v>
      </c>
      <c r="U85" s="241">
        <v>-9.4038278288518518E-3</v>
      </c>
      <c r="V85" s="242">
        <v>3.9858740193225175E-4</v>
      </c>
      <c r="W85" s="243">
        <v>353.58584596719851</v>
      </c>
      <c r="X85" s="244">
        <v>40.683720282468542</v>
      </c>
      <c r="Y85" s="245">
        <v>394.26956624966704</v>
      </c>
      <c r="Z85" s="246">
        <v>341.7125729504902</v>
      </c>
      <c r="AA85" s="244">
        <v>80.542460475693716</v>
      </c>
      <c r="AB85" s="245">
        <v>422.2550334261839</v>
      </c>
      <c r="AC85" s="247">
        <v>-11.87327301670831</v>
      </c>
      <c r="AD85" s="247">
        <v>39.858740193225174</v>
      </c>
      <c r="AE85" s="248">
        <v>27.985467176516863</v>
      </c>
      <c r="AF85" s="234">
        <f>-SUMIF('[1]Alt Fac'!$A$18:$A$139,'REPORT 4 - PROPERTY TAX'!A85,'[1]Alt Fac'!$U$18:$U$139)</f>
        <v>0</v>
      </c>
      <c r="AG85" s="247">
        <f t="shared" si="4"/>
        <v>414.61142639090133</v>
      </c>
      <c r="AH85" s="234">
        <f t="shared" si="5"/>
        <v>47.914837273129407</v>
      </c>
      <c r="AI85" s="234">
        <f t="shared" si="3"/>
        <v>462.52626366403075</v>
      </c>
      <c r="AJ85" s="170"/>
      <c r="AK85" s="170"/>
      <c r="AL85" s="170"/>
      <c r="AM85" s="170"/>
      <c r="AN85" s="170"/>
      <c r="AO85" s="234"/>
    </row>
    <row r="86" spans="1:41" x14ac:dyDescent="0.25">
      <c r="A86" s="274">
        <v>166</v>
      </c>
      <c r="B86" s="274">
        <v>1</v>
      </c>
      <c r="C86" s="275" t="s">
        <v>337</v>
      </c>
      <c r="D86" s="276">
        <v>6</v>
      </c>
      <c r="E86" s="272">
        <v>18122102</v>
      </c>
      <c r="F86" s="273">
        <v>654820475</v>
      </c>
      <c r="G86" s="234">
        <v>520152.58</v>
      </c>
      <c r="H86" s="234">
        <v>573305.66200000001</v>
      </c>
      <c r="I86" s="174">
        <v>1093458.2420000001</v>
      </c>
      <c r="J86" s="234">
        <v>772204.16367210099</v>
      </c>
      <c r="K86" s="234">
        <v>1056575.1032099323</v>
      </c>
      <c r="L86" s="175">
        <v>1828779.2668820333</v>
      </c>
      <c r="M86" s="235">
        <v>252051.58367210097</v>
      </c>
      <c r="N86" s="236">
        <v>483269.44120993232</v>
      </c>
      <c r="O86" s="175">
        <v>735321.02488203323</v>
      </c>
      <c r="P86" s="237">
        <v>0.67247289072245442</v>
      </c>
      <c r="Q86" s="238">
        <v>3.1635715437425528E-2</v>
      </c>
      <c r="R86" s="239">
        <v>7.9434379323584841E-4</v>
      </c>
      <c r="S86" s="240">
        <v>5.8303120863679739E-2</v>
      </c>
      <c r="T86" s="239">
        <v>1.1792608709617716E-3</v>
      </c>
      <c r="U86" s="241">
        <v>2.6667405426254211E-2</v>
      </c>
      <c r="V86" s="242">
        <v>3.8491707772592317E-4</v>
      </c>
      <c r="W86" s="243">
        <v>39.943254311293479</v>
      </c>
      <c r="X86" s="244">
        <v>79.434379323584835</v>
      </c>
      <c r="Y86" s="245">
        <v>119.37763363487832</v>
      </c>
      <c r="Z86" s="246">
        <v>73.613520402482052</v>
      </c>
      <c r="AA86" s="244">
        <v>117.92608709617716</v>
      </c>
      <c r="AB86" s="245">
        <v>191.53960749865922</v>
      </c>
      <c r="AC86" s="247">
        <v>33.670266091188573</v>
      </c>
      <c r="AD86" s="247">
        <v>38.491707772592321</v>
      </c>
      <c r="AE86" s="248">
        <v>72.161973863780901</v>
      </c>
      <c r="AF86" s="234">
        <f>-SUMIF('[1]Alt Fac'!$A$18:$A$139,'REPORT 4 - PROPERTY TAX'!A86,'[1]Alt Fac'!$U$18:$U$139)</f>
        <v>0</v>
      </c>
      <c r="AG86" s="247">
        <f t="shared" si="4"/>
        <v>159.09482329667074</v>
      </c>
      <c r="AH86" s="234">
        <f t="shared" si="5"/>
        <v>91.407827750077047</v>
      </c>
      <c r="AI86" s="234">
        <f t="shared" si="3"/>
        <v>250.50265104674779</v>
      </c>
      <c r="AJ86" s="170"/>
      <c r="AK86" s="170"/>
      <c r="AL86" s="170"/>
      <c r="AM86" s="170"/>
      <c r="AN86" s="170"/>
      <c r="AO86" s="234"/>
    </row>
    <row r="87" spans="1:41" x14ac:dyDescent="0.25">
      <c r="A87" s="274">
        <v>173</v>
      </c>
      <c r="B87" s="274">
        <v>1</v>
      </c>
      <c r="C87" s="275" t="s">
        <v>338</v>
      </c>
      <c r="D87" s="276">
        <v>6</v>
      </c>
      <c r="E87" s="272">
        <v>4293477</v>
      </c>
      <c r="F87" s="273">
        <v>102817980</v>
      </c>
      <c r="G87" s="234">
        <v>536260.47845803923</v>
      </c>
      <c r="H87" s="234">
        <v>201664.67060979267</v>
      </c>
      <c r="I87" s="174">
        <v>737925.14906783192</v>
      </c>
      <c r="J87" s="234">
        <v>382382.83407761384</v>
      </c>
      <c r="K87" s="234">
        <v>224950.54210090532</v>
      </c>
      <c r="L87" s="175">
        <v>607333.3761785191</v>
      </c>
      <c r="M87" s="235">
        <v>-153877.64438042539</v>
      </c>
      <c r="N87" s="236">
        <v>23285.871491112659</v>
      </c>
      <c r="O87" s="175">
        <v>-130591.77288931282</v>
      </c>
      <c r="P87" s="237">
        <v>-0.1769715709706873</v>
      </c>
      <c r="Q87" s="238">
        <v>4.6970013024360595E-2</v>
      </c>
      <c r="R87" s="239">
        <v>5.2156293914550666E-3</v>
      </c>
      <c r="S87" s="240">
        <v>5.2393559369458678E-2</v>
      </c>
      <c r="T87" s="239">
        <v>3.7190269063602866E-3</v>
      </c>
      <c r="U87" s="241">
        <v>5.4235463450980834E-3</v>
      </c>
      <c r="V87" s="242">
        <v>-1.49660248509478E-3</v>
      </c>
      <c r="W87" s="243">
        <v>59.304338444557693</v>
      </c>
      <c r="X87" s="244">
        <v>521.56293914550668</v>
      </c>
      <c r="Y87" s="245">
        <v>580.86727759006442</v>
      </c>
      <c r="Z87" s="246">
        <v>66.152108059878529</v>
      </c>
      <c r="AA87" s="244">
        <v>371.90269063602864</v>
      </c>
      <c r="AB87" s="245">
        <v>438.05479869590715</v>
      </c>
      <c r="AC87" s="247">
        <v>6.8477696153208356</v>
      </c>
      <c r="AD87" s="247">
        <v>-149.66024850947804</v>
      </c>
      <c r="AE87" s="248">
        <v>-142.81247889415727</v>
      </c>
      <c r="AF87" s="234">
        <f>-SUMIF('[1]Alt Fac'!$A$18:$A$139,'REPORT 4 - PROPERTY TAX'!A87,'[1]Alt Fac'!$U$18:$U$139)</f>
        <v>0</v>
      </c>
      <c r="AG87" s="247">
        <f t="shared" si="4"/>
        <v>841.6487471628177</v>
      </c>
      <c r="AH87" s="234">
        <f t="shared" si="5"/>
        <v>-217.64260314889617</v>
      </c>
      <c r="AI87" s="234">
        <f t="shared" si="3"/>
        <v>624.00614401392158</v>
      </c>
      <c r="AJ87" s="170"/>
      <c r="AK87" s="170"/>
      <c r="AL87" s="170"/>
      <c r="AM87" s="170"/>
      <c r="AN87" s="170"/>
      <c r="AO87" s="234"/>
    </row>
    <row r="88" spans="1:41" x14ac:dyDescent="0.25">
      <c r="A88" s="274">
        <v>177</v>
      </c>
      <c r="B88" s="274">
        <v>1</v>
      </c>
      <c r="C88" s="275" t="s">
        <v>340</v>
      </c>
      <c r="D88" s="276">
        <v>6</v>
      </c>
      <c r="E88" s="272">
        <v>6538141</v>
      </c>
      <c r="F88" s="273">
        <v>289470925</v>
      </c>
      <c r="G88" s="234">
        <v>1131123.1867647059</v>
      </c>
      <c r="H88" s="234">
        <v>1443242.0212187986</v>
      </c>
      <c r="I88" s="174">
        <v>2574365.2079835045</v>
      </c>
      <c r="J88" s="234">
        <v>793937.7602772963</v>
      </c>
      <c r="K88" s="234">
        <v>1409425.8257746613</v>
      </c>
      <c r="L88" s="175">
        <v>2203363.5860519577</v>
      </c>
      <c r="M88" s="235">
        <v>-337185.42648740963</v>
      </c>
      <c r="N88" s="236">
        <v>-33816.195444137324</v>
      </c>
      <c r="O88" s="175">
        <v>-371001.62193154683</v>
      </c>
      <c r="P88" s="237">
        <v>-0.14411382688866889</v>
      </c>
      <c r="Q88" s="238">
        <v>0.22074195420667719</v>
      </c>
      <c r="R88" s="239">
        <v>3.9075537094604785E-3</v>
      </c>
      <c r="S88" s="240">
        <v>0.2155698119350227</v>
      </c>
      <c r="T88" s="239">
        <v>2.7427202240684319E-3</v>
      </c>
      <c r="U88" s="241">
        <v>-5.1721422716544951E-3</v>
      </c>
      <c r="V88" s="242">
        <v>-1.1648334853920465E-3</v>
      </c>
      <c r="W88" s="243">
        <v>278.70879138135064</v>
      </c>
      <c r="X88" s="244">
        <v>390.75537094604783</v>
      </c>
      <c r="Y88" s="245">
        <v>669.46416232739853</v>
      </c>
      <c r="Z88" s="246">
        <v>272.17844454915968</v>
      </c>
      <c r="AA88" s="244">
        <v>274.27202240684318</v>
      </c>
      <c r="AB88" s="245">
        <v>546.45046695600286</v>
      </c>
      <c r="AC88" s="247">
        <v>-6.5303468321909577</v>
      </c>
      <c r="AD88" s="247">
        <v>-116.48334853920466</v>
      </c>
      <c r="AE88" s="248">
        <v>-123.01369537139567</v>
      </c>
      <c r="AF88" s="234">
        <f>-SUMIF('[1]Alt Fac'!$A$18:$A$139,'REPORT 4 - PROPERTY TAX'!A88,'[1]Alt Fac'!$U$18:$U$139)</f>
        <v>0</v>
      </c>
      <c r="AG88" s="247">
        <f t="shared" si="4"/>
        <v>864.84184780042233</v>
      </c>
      <c r="AH88" s="234">
        <f t="shared" si="5"/>
        <v>-181.25536964099794</v>
      </c>
      <c r="AI88" s="234">
        <f t="shared" si="3"/>
        <v>683.58647815942436</v>
      </c>
      <c r="AJ88" s="170"/>
      <c r="AK88" s="170"/>
      <c r="AL88" s="170"/>
      <c r="AM88" s="170"/>
      <c r="AN88" s="170"/>
      <c r="AO88" s="234"/>
    </row>
    <row r="89" spans="1:41" x14ac:dyDescent="0.25">
      <c r="A89" s="274">
        <v>181</v>
      </c>
      <c r="B89" s="274">
        <v>1</v>
      </c>
      <c r="C89" s="275" t="s">
        <v>342</v>
      </c>
      <c r="D89" s="276">
        <v>4</v>
      </c>
      <c r="E89" s="272">
        <v>56670234</v>
      </c>
      <c r="F89" s="273">
        <v>3839359745</v>
      </c>
      <c r="G89" s="234">
        <v>3908089.58</v>
      </c>
      <c r="H89" s="234">
        <v>10176833.696083525</v>
      </c>
      <c r="I89" s="174">
        <v>14084923.276083525</v>
      </c>
      <c r="J89" s="234">
        <v>3898974.0554730771</v>
      </c>
      <c r="K89" s="234">
        <v>10893568.726936186</v>
      </c>
      <c r="L89" s="175">
        <v>14792542.782409262</v>
      </c>
      <c r="M89" s="235">
        <v>-9115.5245269229636</v>
      </c>
      <c r="N89" s="236">
        <v>716735.03085266054</v>
      </c>
      <c r="O89" s="175">
        <v>707619.50632573664</v>
      </c>
      <c r="P89" s="237">
        <v>5.0239500241175496E-2</v>
      </c>
      <c r="Q89" s="238">
        <v>0.17957987779057918</v>
      </c>
      <c r="R89" s="239">
        <v>1.0179013792832273E-3</v>
      </c>
      <c r="S89" s="240">
        <v>0.19222734684554479</v>
      </c>
      <c r="T89" s="239">
        <v>1.0155271489082815E-3</v>
      </c>
      <c r="U89" s="241">
        <v>1.264746905496561E-2</v>
      </c>
      <c r="V89" s="242">
        <v>-2.3742303749457652E-6</v>
      </c>
      <c r="W89" s="243">
        <v>226.73755369838531</v>
      </c>
      <c r="X89" s="244">
        <v>101.79013792832274</v>
      </c>
      <c r="Y89" s="245">
        <v>328.52769162670802</v>
      </c>
      <c r="Z89" s="246">
        <v>242.70624812718489</v>
      </c>
      <c r="AA89" s="244">
        <v>101.55271489082816</v>
      </c>
      <c r="AB89" s="245">
        <v>344.25896301801305</v>
      </c>
      <c r="AC89" s="247">
        <v>15.96869442879958</v>
      </c>
      <c r="AD89" s="247">
        <v>-0.2374230374945796</v>
      </c>
      <c r="AE89" s="248">
        <v>15.731271391305029</v>
      </c>
      <c r="AF89" s="234">
        <f>-SUMIF('[1]Alt Fac'!$A$18:$A$139,'REPORT 4 - PROPERTY TAX'!A89,'[1]Alt Fac'!$U$18:$U$139)</f>
        <v>0</v>
      </c>
      <c r="AG89" s="247">
        <f t="shared" si="4"/>
        <v>379.42276059086942</v>
      </c>
      <c r="AH89" s="234">
        <f t="shared" si="5"/>
        <v>15.612559872557716</v>
      </c>
      <c r="AI89" s="234">
        <f t="shared" si="3"/>
        <v>395.03532046342713</v>
      </c>
      <c r="AJ89" s="170"/>
      <c r="AK89" s="170"/>
      <c r="AL89" s="170"/>
      <c r="AM89" s="170"/>
      <c r="AN89" s="170"/>
      <c r="AO89" s="234"/>
    </row>
    <row r="90" spans="1:41" x14ac:dyDescent="0.25">
      <c r="A90" s="274">
        <v>182</v>
      </c>
      <c r="B90" s="274">
        <v>1</v>
      </c>
      <c r="C90" s="275" t="s">
        <v>344</v>
      </c>
      <c r="D90" s="276">
        <v>5</v>
      </c>
      <c r="E90" s="272">
        <v>21469294</v>
      </c>
      <c r="F90" s="273">
        <v>1053229895</v>
      </c>
      <c r="G90" s="234">
        <v>809191.09000000008</v>
      </c>
      <c r="H90" s="234">
        <v>2159446.5060000001</v>
      </c>
      <c r="I90" s="174">
        <v>2968637.5959999999</v>
      </c>
      <c r="J90" s="234">
        <v>1073491.1003093123</v>
      </c>
      <c r="K90" s="234">
        <v>2617474.9131681114</v>
      </c>
      <c r="L90" s="175">
        <v>3690966.0134774237</v>
      </c>
      <c r="M90" s="235">
        <v>264300.01030931226</v>
      </c>
      <c r="N90" s="236">
        <v>458028.4071681113</v>
      </c>
      <c r="O90" s="175">
        <v>722328.41747742379</v>
      </c>
      <c r="P90" s="237">
        <v>0.24331983750751629</v>
      </c>
      <c r="Q90" s="238">
        <v>0.10058302364297587</v>
      </c>
      <c r="R90" s="239">
        <v>7.6829483652284675E-4</v>
      </c>
      <c r="S90" s="240">
        <v>0.12191713957469265</v>
      </c>
      <c r="T90" s="239">
        <v>1.0192372106085275E-3</v>
      </c>
      <c r="U90" s="241">
        <v>2.1334115931716774E-2</v>
      </c>
      <c r="V90" s="242">
        <v>2.5094237408568071E-4</v>
      </c>
      <c r="W90" s="243">
        <v>126.99612565162136</v>
      </c>
      <c r="X90" s="244">
        <v>76.829483652284679</v>
      </c>
      <c r="Y90" s="245">
        <v>203.82560930390605</v>
      </c>
      <c r="Z90" s="246">
        <v>153.93258042700697</v>
      </c>
      <c r="AA90" s="244">
        <v>101.92372106085274</v>
      </c>
      <c r="AB90" s="245">
        <v>255.8563014878597</v>
      </c>
      <c r="AC90" s="247">
        <v>26.936454775385613</v>
      </c>
      <c r="AD90" s="247">
        <v>25.094237408568063</v>
      </c>
      <c r="AE90" s="248">
        <v>52.030692183953647</v>
      </c>
      <c r="AF90" s="234">
        <f>-SUMIF('[1]Alt Fac'!$A$18:$A$139,'REPORT 4 - PROPERTY TAX'!A90,'[1]Alt Fac'!$U$18:$U$139)</f>
        <v>0</v>
      </c>
      <c r="AG90" s="247">
        <f t="shared" si="4"/>
        <v>242.24035113004837</v>
      </c>
      <c r="AH90" s="234">
        <f t="shared" si="5"/>
        <v>64.577810888237707</v>
      </c>
      <c r="AI90" s="234">
        <f t="shared" si="3"/>
        <v>306.8181620182861</v>
      </c>
      <c r="AJ90" s="170"/>
      <c r="AK90" s="170"/>
      <c r="AL90" s="170"/>
      <c r="AM90" s="170"/>
      <c r="AN90" s="170"/>
      <c r="AO90" s="234"/>
    </row>
    <row r="91" spans="1:41" x14ac:dyDescent="0.25">
      <c r="A91" s="274">
        <v>186</v>
      </c>
      <c r="B91" s="274">
        <v>1</v>
      </c>
      <c r="C91" s="275" t="s">
        <v>346</v>
      </c>
      <c r="D91" s="276">
        <v>5</v>
      </c>
      <c r="E91" s="272">
        <v>34155130</v>
      </c>
      <c r="F91" s="273">
        <v>1412936950</v>
      </c>
      <c r="G91" s="234">
        <v>356556.42000000004</v>
      </c>
      <c r="H91" s="234">
        <v>4282102.4859999996</v>
      </c>
      <c r="I91" s="174">
        <v>4638658.9059999995</v>
      </c>
      <c r="J91" s="234">
        <v>1101391.1205609473</v>
      </c>
      <c r="K91" s="234">
        <v>4987475.8203800432</v>
      </c>
      <c r="L91" s="175">
        <v>6088866.940940991</v>
      </c>
      <c r="M91" s="235">
        <v>744834.7005609473</v>
      </c>
      <c r="N91" s="236">
        <v>705373.33438004367</v>
      </c>
      <c r="O91" s="175">
        <v>1450208.0349409916</v>
      </c>
      <c r="P91" s="237">
        <v>0.31263519571684406</v>
      </c>
      <c r="Q91" s="238">
        <v>0.12537216183923175</v>
      </c>
      <c r="R91" s="239">
        <v>2.5235126025970235E-4</v>
      </c>
      <c r="S91" s="240">
        <v>0.14602420838041147</v>
      </c>
      <c r="T91" s="239">
        <v>7.7950479004809615E-4</v>
      </c>
      <c r="U91" s="241">
        <v>2.0652046541179719E-2</v>
      </c>
      <c r="V91" s="242">
        <v>5.2715352978839375E-4</v>
      </c>
      <c r="W91" s="243">
        <v>158.29489153821402</v>
      </c>
      <c r="X91" s="244">
        <v>25.235126025970235</v>
      </c>
      <c r="Y91" s="245">
        <v>183.53001756418425</v>
      </c>
      <c r="Z91" s="246">
        <v>184.37016550110755</v>
      </c>
      <c r="AA91" s="244">
        <v>77.950479004809608</v>
      </c>
      <c r="AB91" s="245">
        <v>262.32064450591713</v>
      </c>
      <c r="AC91" s="247">
        <v>26.075273962893533</v>
      </c>
      <c r="AD91" s="247">
        <v>52.715352978839377</v>
      </c>
      <c r="AE91" s="248">
        <v>78.790626941732882</v>
      </c>
      <c r="AF91" s="234">
        <f>-SUMIF('[1]Alt Fac'!$A$18:$A$139,'REPORT 4 - PROPERTY TAX'!A91,'[1]Alt Fac'!$U$18:$U$139)</f>
        <v>0</v>
      </c>
      <c r="AG91" s="247">
        <f t="shared" si="4"/>
        <v>196.14758057716938</v>
      </c>
      <c r="AH91" s="234">
        <f t="shared" si="5"/>
        <v>105.14830343115258</v>
      </c>
      <c r="AI91" s="234">
        <f t="shared" si="3"/>
        <v>301.29588400832199</v>
      </c>
      <c r="AJ91" s="170"/>
      <c r="AK91" s="170"/>
      <c r="AL91" s="170"/>
      <c r="AM91" s="170"/>
      <c r="AN91" s="170"/>
      <c r="AO91" s="234"/>
    </row>
    <row r="92" spans="1:41" x14ac:dyDescent="0.25">
      <c r="A92" s="274">
        <v>191</v>
      </c>
      <c r="B92" s="274">
        <v>1</v>
      </c>
      <c r="C92" s="275" t="s">
        <v>348</v>
      </c>
      <c r="D92" s="276">
        <v>3</v>
      </c>
      <c r="E92" s="272">
        <v>65505845</v>
      </c>
      <c r="F92" s="273">
        <v>5982262200</v>
      </c>
      <c r="G92" s="234">
        <v>18972238.939999998</v>
      </c>
      <c r="H92" s="234">
        <v>10955939.367339052</v>
      </c>
      <c r="I92" s="174">
        <v>29928178.30733905</v>
      </c>
      <c r="J92" s="234">
        <v>18400876.784368359</v>
      </c>
      <c r="K92" s="234">
        <v>10891927.454897577</v>
      </c>
      <c r="L92" s="175">
        <v>29292804.239265934</v>
      </c>
      <c r="M92" s="235">
        <v>-571362.15563163906</v>
      </c>
      <c r="N92" s="236">
        <v>-64011.912441475317</v>
      </c>
      <c r="O92" s="175">
        <v>-635374.06807311624</v>
      </c>
      <c r="P92" s="237">
        <v>-2.1229961327693257E-2</v>
      </c>
      <c r="Q92" s="238">
        <v>0.16725132493656181</v>
      </c>
      <c r="R92" s="239">
        <v>3.1714154789136452E-3</v>
      </c>
      <c r="S92" s="240">
        <v>0.16627413103208694</v>
      </c>
      <c r="T92" s="239">
        <v>3.0759060985939999E-3</v>
      </c>
      <c r="U92" s="241">
        <v>-9.771939044748712E-4</v>
      </c>
      <c r="V92" s="242">
        <v>-9.5509380319645266E-5</v>
      </c>
      <c r="W92" s="243">
        <v>211.17152286490295</v>
      </c>
      <c r="X92" s="244">
        <v>317.1415478913645</v>
      </c>
      <c r="Y92" s="245">
        <v>528.31307075626751</v>
      </c>
      <c r="Z92" s="246">
        <v>209.937717841113</v>
      </c>
      <c r="AA92" s="244">
        <v>307.59060985939999</v>
      </c>
      <c r="AB92" s="245">
        <v>517.52832770051305</v>
      </c>
      <c r="AC92" s="247">
        <v>-1.2338050237899552</v>
      </c>
      <c r="AD92" s="247">
        <v>-9.5509380319645061</v>
      </c>
      <c r="AE92" s="248">
        <v>-10.784743055754461</v>
      </c>
      <c r="AF92" s="234">
        <f>-SUMIF('[1]Alt Fac'!$A$18:$A$139,'REPORT 4 - PROPERTY TAX'!A92,'[1]Alt Fac'!$U$18:$U$139)</f>
        <v>0</v>
      </c>
      <c r="AG92" s="247">
        <f t="shared" si="4"/>
        <v>686.88384470194978</v>
      </c>
      <c r="AH92" s="234">
        <f t="shared" si="5"/>
        <v>-15.560212071736762</v>
      </c>
      <c r="AI92" s="234">
        <f t="shared" si="3"/>
        <v>671.32363263021307</v>
      </c>
      <c r="AJ92" s="170"/>
      <c r="AK92" s="170"/>
      <c r="AL92" s="170"/>
      <c r="AM92" s="170"/>
      <c r="AN92" s="170"/>
      <c r="AO92" s="234"/>
    </row>
    <row r="93" spans="1:41" x14ac:dyDescent="0.25">
      <c r="A93" s="274">
        <v>192</v>
      </c>
      <c r="B93" s="274">
        <v>1</v>
      </c>
      <c r="C93" s="275" t="s">
        <v>349</v>
      </c>
      <c r="D93" s="276">
        <v>3</v>
      </c>
      <c r="E93" s="272">
        <v>27748263</v>
      </c>
      <c r="F93" s="273">
        <v>2359313425</v>
      </c>
      <c r="G93" s="234">
        <v>3852524.7852963842</v>
      </c>
      <c r="H93" s="234">
        <v>13966085.833248034</v>
      </c>
      <c r="I93" s="174">
        <v>17818610.618544418</v>
      </c>
      <c r="J93" s="234">
        <v>3415490.2206571717</v>
      </c>
      <c r="K93" s="234">
        <v>12984873.198346319</v>
      </c>
      <c r="L93" s="175">
        <v>16400363.41900349</v>
      </c>
      <c r="M93" s="235">
        <v>-437034.56463921256</v>
      </c>
      <c r="N93" s="236">
        <v>-981212.63490171544</v>
      </c>
      <c r="O93" s="175">
        <v>-1418247.199540928</v>
      </c>
      <c r="P93" s="237">
        <v>-7.9593590650940599E-2</v>
      </c>
      <c r="Q93" s="238">
        <v>0.50331387709738928</v>
      </c>
      <c r="R93" s="239">
        <v>1.6329008026122617E-3</v>
      </c>
      <c r="S93" s="240">
        <v>0.46795264980537049</v>
      </c>
      <c r="T93" s="239">
        <v>1.4476627753081054E-3</v>
      </c>
      <c r="U93" s="241">
        <v>-3.5361227292018793E-2</v>
      </c>
      <c r="V93" s="242">
        <v>-1.8523802730415623E-4</v>
      </c>
      <c r="W93" s="243">
        <v>635.48410122316375</v>
      </c>
      <c r="X93" s="244">
        <v>163.29008026122617</v>
      </c>
      <c r="Y93" s="245">
        <v>798.77418148438994</v>
      </c>
      <c r="Z93" s="246">
        <v>590.83701564426087</v>
      </c>
      <c r="AA93" s="244">
        <v>144.76627753081056</v>
      </c>
      <c r="AB93" s="245">
        <v>735.60329317507149</v>
      </c>
      <c r="AC93" s="247">
        <v>-44.647085578902875</v>
      </c>
      <c r="AD93" s="247">
        <v>-18.523802730415611</v>
      </c>
      <c r="AE93" s="248">
        <v>-63.170888309318457</v>
      </c>
      <c r="AF93" s="234">
        <f>-SUMIF('[1]Alt Fac'!$A$18:$A$139,'REPORT 4 - PROPERTY TAX'!A93,'[1]Alt Fac'!$U$18:$U$139)</f>
        <v>0</v>
      </c>
      <c r="AG93" s="247">
        <f t="shared" si="4"/>
        <v>880.41922161500293</v>
      </c>
      <c r="AH93" s="234">
        <f t="shared" si="5"/>
        <v>-72.432789674526362</v>
      </c>
      <c r="AI93" s="234">
        <f t="shared" si="3"/>
        <v>807.98643194047656</v>
      </c>
      <c r="AJ93" s="170"/>
      <c r="AK93" s="170"/>
      <c r="AL93" s="170"/>
      <c r="AM93" s="170"/>
      <c r="AN93" s="170"/>
      <c r="AO93" s="234"/>
    </row>
    <row r="94" spans="1:41" x14ac:dyDescent="0.25">
      <c r="A94" s="274">
        <v>194</v>
      </c>
      <c r="B94" s="274">
        <v>1</v>
      </c>
      <c r="C94" s="275" t="s">
        <v>351</v>
      </c>
      <c r="D94" s="276">
        <v>3</v>
      </c>
      <c r="E94" s="272">
        <v>65234852</v>
      </c>
      <c r="F94" s="273">
        <v>5667977225</v>
      </c>
      <c r="G94" s="234">
        <v>11702698.605</v>
      </c>
      <c r="H94" s="234">
        <v>19129494.040478863</v>
      </c>
      <c r="I94" s="174">
        <v>30832192.645478863</v>
      </c>
      <c r="J94" s="234">
        <v>10016460.010916937</v>
      </c>
      <c r="K94" s="234">
        <v>19172265.279730018</v>
      </c>
      <c r="L94" s="175">
        <v>29188725.290646955</v>
      </c>
      <c r="M94" s="235">
        <v>-1686238.5940830633</v>
      </c>
      <c r="N94" s="236">
        <v>42771.239251155406</v>
      </c>
      <c r="O94" s="175">
        <v>-1643467.3548319079</v>
      </c>
      <c r="P94" s="237">
        <v>-5.3303615922784549E-2</v>
      </c>
      <c r="Q94" s="238">
        <v>0.29324039917311168</v>
      </c>
      <c r="R94" s="239">
        <v>2.0647045922101426E-3</v>
      </c>
      <c r="S94" s="240">
        <v>0.29389604930398278</v>
      </c>
      <c r="T94" s="239">
        <v>1.767201880546889E-3</v>
      </c>
      <c r="U94" s="241">
        <v>6.5565013087109936E-4</v>
      </c>
      <c r="V94" s="242">
        <v>-2.9750271166325355E-4</v>
      </c>
      <c r="W94" s="243">
        <v>370.24532799597085</v>
      </c>
      <c r="X94" s="244">
        <v>206.47045922101427</v>
      </c>
      <c r="Y94" s="245">
        <v>576.71578721698506</v>
      </c>
      <c r="Z94" s="246">
        <v>371.07315185120871</v>
      </c>
      <c r="AA94" s="244">
        <v>176.72018805468889</v>
      </c>
      <c r="AB94" s="245">
        <v>547.7933399058976</v>
      </c>
      <c r="AC94" s="247">
        <v>0.82782385523785251</v>
      </c>
      <c r="AD94" s="247">
        <v>-29.750271166325376</v>
      </c>
      <c r="AE94" s="248">
        <v>-28.922447311087467</v>
      </c>
      <c r="AF94" s="234">
        <f>-SUMIF('[1]Alt Fac'!$A$18:$A$139,'REPORT 4 - PROPERTY TAX'!A94,'[1]Alt Fac'!$U$18:$U$139)</f>
        <v>0</v>
      </c>
      <c r="AG94" s="247">
        <f t="shared" si="4"/>
        <v>679.95101682749225</v>
      </c>
      <c r="AH94" s="234">
        <f t="shared" si="5"/>
        <v>-43.797582894250183</v>
      </c>
      <c r="AI94" s="234">
        <f t="shared" ref="AI94:AI157" si="6">AG94+AH94</f>
        <v>636.15343393324201</v>
      </c>
      <c r="AJ94" s="170"/>
      <c r="AK94" s="170"/>
      <c r="AL94" s="170"/>
      <c r="AM94" s="170"/>
      <c r="AN94" s="170"/>
      <c r="AO94" s="234"/>
    </row>
    <row r="95" spans="1:41" x14ac:dyDescent="0.25">
      <c r="A95" s="274">
        <v>195</v>
      </c>
      <c r="B95" s="274">
        <v>1</v>
      </c>
      <c r="C95" s="275" t="s">
        <v>353</v>
      </c>
      <c r="D95" s="276">
        <v>3</v>
      </c>
      <c r="E95" s="272">
        <v>3666350</v>
      </c>
      <c r="F95" s="273">
        <v>252563450</v>
      </c>
      <c r="G95" s="234">
        <v>284178.23</v>
      </c>
      <c r="H95" s="234">
        <v>743023.16490301711</v>
      </c>
      <c r="I95" s="174">
        <v>1027201.3949030171</v>
      </c>
      <c r="J95" s="234">
        <v>280173.87935895636</v>
      </c>
      <c r="K95" s="234">
        <v>765800.1656807767</v>
      </c>
      <c r="L95" s="175">
        <v>1045974.0450397331</v>
      </c>
      <c r="M95" s="235">
        <v>-4004.3506410436239</v>
      </c>
      <c r="N95" s="236">
        <v>22777.000777759589</v>
      </c>
      <c r="O95" s="175">
        <v>18772.650136715965</v>
      </c>
      <c r="P95" s="237">
        <v>1.8275530222083062E-2</v>
      </c>
      <c r="Q95" s="238">
        <v>0.20266018380760623</v>
      </c>
      <c r="R95" s="239">
        <v>1.1251755944892263E-3</v>
      </c>
      <c r="S95" s="240">
        <v>0.20887262964004438</v>
      </c>
      <c r="T95" s="239">
        <v>1.1093207641840351E-3</v>
      </c>
      <c r="U95" s="241">
        <v>6.2124458324381571E-3</v>
      </c>
      <c r="V95" s="242">
        <v>-1.585483030519118E-5</v>
      </c>
      <c r="W95" s="243">
        <v>255.87874807548366</v>
      </c>
      <c r="X95" s="244">
        <v>112.51755944892263</v>
      </c>
      <c r="Y95" s="245">
        <v>368.39630752440627</v>
      </c>
      <c r="Z95" s="246">
        <v>263.72258218352005</v>
      </c>
      <c r="AA95" s="244">
        <v>110.93207641840351</v>
      </c>
      <c r="AB95" s="245">
        <v>374.65465860192353</v>
      </c>
      <c r="AC95" s="247">
        <v>7.8438341080363898</v>
      </c>
      <c r="AD95" s="247">
        <v>-1.5854830305191143</v>
      </c>
      <c r="AE95" s="248">
        <v>6.2583510775172613</v>
      </c>
      <c r="AF95" s="234">
        <f>-SUMIF('[1]Alt Fac'!$A$18:$A$139,'REPORT 4 - PROPERTY TAX'!A95,'[1]Alt Fac'!$U$18:$U$139)</f>
        <v>0</v>
      </c>
      <c r="AG95" s="247">
        <f t="shared" si="4"/>
        <v>424.65508724886763</v>
      </c>
      <c r="AH95" s="234">
        <f t="shared" si="5"/>
        <v>5.4656095622577414</v>
      </c>
      <c r="AI95" s="234">
        <f t="shared" si="6"/>
        <v>430.12069681112536</v>
      </c>
      <c r="AJ95" s="170"/>
      <c r="AK95" s="170"/>
      <c r="AL95" s="170"/>
      <c r="AM95" s="170"/>
      <c r="AN95" s="170"/>
      <c r="AO95" s="234"/>
    </row>
    <row r="96" spans="1:41" x14ac:dyDescent="0.25">
      <c r="A96" s="274">
        <v>196</v>
      </c>
      <c r="B96" s="274">
        <v>1</v>
      </c>
      <c r="C96" s="275" t="s">
        <v>355</v>
      </c>
      <c r="D96" s="276">
        <v>3</v>
      </c>
      <c r="E96" s="272">
        <v>155837733</v>
      </c>
      <c r="F96" s="273">
        <v>13695708725</v>
      </c>
      <c r="G96" s="234">
        <v>34639678.795000002</v>
      </c>
      <c r="H96" s="234">
        <v>34492133.590921961</v>
      </c>
      <c r="I96" s="174">
        <v>69131812.385921955</v>
      </c>
      <c r="J96" s="234">
        <v>28171728.058579016</v>
      </c>
      <c r="K96" s="234">
        <v>34017610.745565698</v>
      </c>
      <c r="L96" s="175">
        <v>62189338.80414471</v>
      </c>
      <c r="M96" s="235">
        <v>-6467950.7364209853</v>
      </c>
      <c r="N96" s="236">
        <v>-474522.84535626322</v>
      </c>
      <c r="O96" s="175">
        <v>-6942473.5817772448</v>
      </c>
      <c r="P96" s="237">
        <v>-0.10042371727536271</v>
      </c>
      <c r="Q96" s="238">
        <v>0.22133364575395845</v>
      </c>
      <c r="R96" s="239">
        <v>2.5292359446699611E-3</v>
      </c>
      <c r="S96" s="240">
        <v>0.21828866533604988</v>
      </c>
      <c r="T96" s="239">
        <v>2.0569748250526564E-3</v>
      </c>
      <c r="U96" s="241">
        <v>-3.0449804179085715E-3</v>
      </c>
      <c r="V96" s="242">
        <v>-4.7226111961730464E-4</v>
      </c>
      <c r="W96" s="243">
        <v>279.45586112894796</v>
      </c>
      <c r="X96" s="244">
        <v>252.92359446699612</v>
      </c>
      <c r="Y96" s="245">
        <v>532.37945559594414</v>
      </c>
      <c r="Z96" s="246">
        <v>275.61126885329662</v>
      </c>
      <c r="AA96" s="244">
        <v>205.69748250526564</v>
      </c>
      <c r="AB96" s="245">
        <v>481.30875135856229</v>
      </c>
      <c r="AC96" s="247">
        <v>-3.8445922756513369</v>
      </c>
      <c r="AD96" s="247">
        <v>-47.226111961730481</v>
      </c>
      <c r="AE96" s="248">
        <v>-51.070704237381847</v>
      </c>
      <c r="AF96" s="234">
        <f>-SUMIF('[1]Alt Fac'!$A$18:$A$139,'REPORT 4 - PROPERTY TAX'!A96,'[1]Alt Fac'!$U$18:$U$139)</f>
        <v>0</v>
      </c>
      <c r="AG96" s="247">
        <f t="shared" si="4"/>
        <v>658.84125282944206</v>
      </c>
      <c r="AH96" s="234">
        <f t="shared" si="5"/>
        <v>-74.683760218247059</v>
      </c>
      <c r="AI96" s="234">
        <f t="shared" si="6"/>
        <v>584.15749261119504</v>
      </c>
      <c r="AJ96" s="170"/>
      <c r="AK96" s="170"/>
      <c r="AL96" s="170"/>
      <c r="AM96" s="170"/>
      <c r="AN96" s="170"/>
      <c r="AO96" s="234"/>
    </row>
    <row r="97" spans="1:41" x14ac:dyDescent="0.25">
      <c r="A97" s="274">
        <v>197</v>
      </c>
      <c r="B97" s="274">
        <v>1</v>
      </c>
      <c r="C97" s="275" t="s">
        <v>357</v>
      </c>
      <c r="D97" s="276">
        <v>2</v>
      </c>
      <c r="E97" s="272">
        <v>59297440</v>
      </c>
      <c r="F97" s="273">
        <v>5272644825</v>
      </c>
      <c r="G97" s="234">
        <v>9149544.4800000004</v>
      </c>
      <c r="H97" s="234">
        <v>10775883.850000001</v>
      </c>
      <c r="I97" s="174">
        <v>19925428.330000002</v>
      </c>
      <c r="J97" s="234">
        <v>10857192.915664779</v>
      </c>
      <c r="K97" s="234">
        <v>11317709.602004968</v>
      </c>
      <c r="L97" s="175">
        <v>22174902.517669745</v>
      </c>
      <c r="M97" s="235">
        <v>1707648.4356647786</v>
      </c>
      <c r="N97" s="236">
        <v>541825.75200496614</v>
      </c>
      <c r="O97" s="175">
        <v>2249474.1876697429</v>
      </c>
      <c r="P97" s="237">
        <v>0.11289464649966412</v>
      </c>
      <c r="Q97" s="238">
        <v>0.18172595393662866</v>
      </c>
      <c r="R97" s="239">
        <v>1.7352855698942325E-3</v>
      </c>
      <c r="S97" s="240">
        <v>0.19086337626050917</v>
      </c>
      <c r="T97" s="239">
        <v>2.0591549926112802E-3</v>
      </c>
      <c r="U97" s="241">
        <v>9.1374223238805119E-3</v>
      </c>
      <c r="V97" s="242">
        <v>3.2386942271704763E-4</v>
      </c>
      <c r="W97" s="243">
        <v>229.44718944038738</v>
      </c>
      <c r="X97" s="244">
        <v>173.52855698942327</v>
      </c>
      <c r="Y97" s="245">
        <v>402.97574642981067</v>
      </c>
      <c r="Z97" s="246">
        <v>240.98409886651891</v>
      </c>
      <c r="AA97" s="244">
        <v>205.91549926112802</v>
      </c>
      <c r="AB97" s="245">
        <v>446.89959812764693</v>
      </c>
      <c r="AC97" s="247">
        <v>11.53690942613153</v>
      </c>
      <c r="AD97" s="247">
        <v>32.386942271704754</v>
      </c>
      <c r="AE97" s="248">
        <v>43.923851697836255</v>
      </c>
      <c r="AF97" s="234">
        <f>-SUMIF('[1]Alt Fac'!$A$18:$A$139,'REPORT 4 - PROPERTY TAX'!A97,'[1]Alt Fac'!$U$18:$U$139)</f>
        <v>0</v>
      </c>
      <c r="AG97" s="247">
        <f t="shared" si="4"/>
        <v>489.74002492452223</v>
      </c>
      <c r="AH97" s="234">
        <f t="shared" si="5"/>
        <v>60.117322833688682</v>
      </c>
      <c r="AI97" s="234">
        <f t="shared" si="6"/>
        <v>549.85734775821095</v>
      </c>
      <c r="AJ97" s="170"/>
      <c r="AK97" s="170"/>
      <c r="AL97" s="170"/>
      <c r="AM97" s="170"/>
      <c r="AN97" s="170"/>
      <c r="AO97" s="234"/>
    </row>
    <row r="98" spans="1:41" x14ac:dyDescent="0.25">
      <c r="A98" s="274">
        <v>199</v>
      </c>
      <c r="B98" s="274">
        <v>1</v>
      </c>
      <c r="C98" s="275" t="s">
        <v>359</v>
      </c>
      <c r="D98" s="276">
        <v>3</v>
      </c>
      <c r="E98" s="272">
        <v>27813681</v>
      </c>
      <c r="F98" s="273">
        <v>2541648200</v>
      </c>
      <c r="G98" s="234">
        <v>4671264.07</v>
      </c>
      <c r="H98" s="234">
        <v>6017563.9095065715</v>
      </c>
      <c r="I98" s="174">
        <v>10688827.979506571</v>
      </c>
      <c r="J98" s="234">
        <v>4731784.8966066781</v>
      </c>
      <c r="K98" s="234">
        <v>5712805.8304722458</v>
      </c>
      <c r="L98" s="175">
        <v>10444590.727078924</v>
      </c>
      <c r="M98" s="235">
        <v>60520.826606677845</v>
      </c>
      <c r="N98" s="236">
        <v>-304758.07903432567</v>
      </c>
      <c r="O98" s="175">
        <v>-244237.25242764689</v>
      </c>
      <c r="P98" s="237">
        <v>-2.2849769207243024E-2</v>
      </c>
      <c r="Q98" s="238">
        <v>0.21635266146564963</v>
      </c>
      <c r="R98" s="239">
        <v>1.8378877415056892E-3</v>
      </c>
      <c r="S98" s="240">
        <v>0.20539553288441922</v>
      </c>
      <c r="T98" s="239">
        <v>1.8616993872742412E-3</v>
      </c>
      <c r="U98" s="241">
        <v>-1.0957128581230408E-2</v>
      </c>
      <c r="V98" s="242">
        <v>2.3811645768552015E-5</v>
      </c>
      <c r="W98" s="243">
        <v>273.16687036652928</v>
      </c>
      <c r="X98" s="244">
        <v>183.78877415056891</v>
      </c>
      <c r="Y98" s="245">
        <v>456.95564451709822</v>
      </c>
      <c r="Z98" s="246">
        <v>259.33239981986776</v>
      </c>
      <c r="AA98" s="244">
        <v>186.16993872742412</v>
      </c>
      <c r="AB98" s="245">
        <v>445.50233854729186</v>
      </c>
      <c r="AC98" s="247">
        <v>-13.834470546661521</v>
      </c>
      <c r="AD98" s="247">
        <v>2.3811645768552125</v>
      </c>
      <c r="AE98" s="248">
        <v>-11.453305969806365</v>
      </c>
      <c r="AF98" s="234">
        <f>-SUMIF('[1]Alt Fac'!$A$18:$A$139,'REPORT 4 - PROPERTY TAX'!A98,'[1]Alt Fac'!$U$18:$U$139)</f>
        <v>0</v>
      </c>
      <c r="AG98" s="247">
        <f t="shared" si="4"/>
        <v>548.85003159238272</v>
      </c>
      <c r="AH98" s="234">
        <f t="shared" si="5"/>
        <v>-10.262723681378711</v>
      </c>
      <c r="AI98" s="234">
        <f t="shared" si="6"/>
        <v>538.58730791100402</v>
      </c>
      <c r="AJ98" s="170"/>
      <c r="AK98" s="170"/>
      <c r="AL98" s="170"/>
      <c r="AM98" s="170"/>
      <c r="AN98" s="170"/>
      <c r="AO98" s="234"/>
    </row>
    <row r="99" spans="1:41" x14ac:dyDescent="0.25">
      <c r="A99" s="274">
        <v>200</v>
      </c>
      <c r="B99" s="274">
        <v>1</v>
      </c>
      <c r="C99" s="275" t="s">
        <v>361</v>
      </c>
      <c r="D99" s="276">
        <v>3</v>
      </c>
      <c r="E99" s="272">
        <v>33269538</v>
      </c>
      <c r="F99" s="273">
        <v>2622101000</v>
      </c>
      <c r="G99" s="234">
        <v>8412790.5223529413</v>
      </c>
      <c r="H99" s="234">
        <v>6956596.877051916</v>
      </c>
      <c r="I99" s="174">
        <v>15369387.399404857</v>
      </c>
      <c r="J99" s="234">
        <v>7393927.7207801063</v>
      </c>
      <c r="K99" s="234">
        <v>7154965.6174803553</v>
      </c>
      <c r="L99" s="175">
        <v>14548893.338260461</v>
      </c>
      <c r="M99" s="235">
        <v>-1018862.8015728351</v>
      </c>
      <c r="N99" s="236">
        <v>198368.74042843934</v>
      </c>
      <c r="O99" s="175">
        <v>-820494.06114439666</v>
      </c>
      <c r="P99" s="237">
        <v>-5.3384955419639453E-2</v>
      </c>
      <c r="Q99" s="238">
        <v>0.20909809078358454</v>
      </c>
      <c r="R99" s="239">
        <v>3.2084158933439028E-3</v>
      </c>
      <c r="S99" s="240">
        <v>0.2150605643360709</v>
      </c>
      <c r="T99" s="239">
        <v>2.8198485568557835E-3</v>
      </c>
      <c r="U99" s="241">
        <v>5.9624735524863581E-3</v>
      </c>
      <c r="V99" s="242">
        <v>-3.885673364881193E-4</v>
      </c>
      <c r="W99" s="243">
        <v>264.00724942335387</v>
      </c>
      <c r="X99" s="244">
        <v>320.84158933439028</v>
      </c>
      <c r="Y99" s="245">
        <v>584.84883875774415</v>
      </c>
      <c r="Z99" s="246">
        <v>271.53546853072316</v>
      </c>
      <c r="AA99" s="244">
        <v>281.98485568557834</v>
      </c>
      <c r="AB99" s="245">
        <v>553.52032421630156</v>
      </c>
      <c r="AC99" s="247">
        <v>7.5282191073692957</v>
      </c>
      <c r="AD99" s="247">
        <v>-38.856733648811939</v>
      </c>
      <c r="AE99" s="248">
        <v>-31.328514541442587</v>
      </c>
      <c r="AF99" s="234">
        <f>-SUMIF('[1]Alt Fac'!$A$18:$A$139,'REPORT 4 - PROPERTY TAX'!A99,'[1]Alt Fac'!$U$18:$U$139)</f>
        <v>0</v>
      </c>
      <c r="AG99" s="247">
        <f t="shared" si="4"/>
        <v>745.26963342493923</v>
      </c>
      <c r="AH99" s="234">
        <f t="shared" si="5"/>
        <v>-50.756881365848621</v>
      </c>
      <c r="AI99" s="234">
        <f t="shared" si="6"/>
        <v>694.51275205909064</v>
      </c>
      <c r="AJ99" s="170"/>
      <c r="AK99" s="170"/>
      <c r="AL99" s="170"/>
      <c r="AM99" s="170"/>
      <c r="AN99" s="170"/>
      <c r="AO99" s="234"/>
    </row>
    <row r="100" spans="1:41" x14ac:dyDescent="0.25">
      <c r="A100" s="274">
        <v>203</v>
      </c>
      <c r="B100" s="274">
        <v>1</v>
      </c>
      <c r="C100" s="275" t="s">
        <v>363</v>
      </c>
      <c r="D100" s="276">
        <v>6</v>
      </c>
      <c r="E100" s="272">
        <v>6985090</v>
      </c>
      <c r="F100" s="273">
        <v>269880525</v>
      </c>
      <c r="G100" s="234">
        <v>642801.80500000005</v>
      </c>
      <c r="H100" s="234">
        <v>953022.480549203</v>
      </c>
      <c r="I100" s="174">
        <v>1595824.2855492029</v>
      </c>
      <c r="J100" s="234">
        <v>529987.07606313867</v>
      </c>
      <c r="K100" s="234">
        <v>984573.43091170699</v>
      </c>
      <c r="L100" s="175">
        <v>1514560.5069748457</v>
      </c>
      <c r="M100" s="235">
        <v>-112814.72893686139</v>
      </c>
      <c r="N100" s="236">
        <v>31550.950362503994</v>
      </c>
      <c r="O100" s="175">
        <v>-81263.778574357275</v>
      </c>
      <c r="P100" s="237">
        <v>-5.0922760926896377E-2</v>
      </c>
      <c r="Q100" s="238">
        <v>0.13643667877567833</v>
      </c>
      <c r="R100" s="239">
        <v>2.3818013730334936E-3</v>
      </c>
      <c r="S100" s="240">
        <v>0.14095357839508252</v>
      </c>
      <c r="T100" s="239">
        <v>1.9637840709815523E-3</v>
      </c>
      <c r="U100" s="241">
        <v>4.5168996194041855E-3</v>
      </c>
      <c r="V100" s="242">
        <v>-4.1801730205194131E-4</v>
      </c>
      <c r="W100" s="243">
        <v>172.26495062217148</v>
      </c>
      <c r="X100" s="244">
        <v>238.18013730334937</v>
      </c>
      <c r="Y100" s="245">
        <v>410.44508792552085</v>
      </c>
      <c r="Z100" s="246">
        <v>177.9679880816312</v>
      </c>
      <c r="AA100" s="244">
        <v>196.37840709815524</v>
      </c>
      <c r="AB100" s="245">
        <v>374.34639517978644</v>
      </c>
      <c r="AC100" s="247">
        <v>5.703037459459722</v>
      </c>
      <c r="AD100" s="247">
        <v>-41.801730205194133</v>
      </c>
      <c r="AE100" s="248">
        <v>-36.098692745734411</v>
      </c>
      <c r="AF100" s="234">
        <f>-SUMIF('[1]Alt Fac'!$A$18:$A$139,'REPORT 4 - PROPERTY TAX'!A100,'[1]Alt Fac'!$U$18:$U$139)</f>
        <v>0</v>
      </c>
      <c r="AG100" s="247">
        <f t="shared" si="4"/>
        <v>529.53515657719549</v>
      </c>
      <c r="AH100" s="234">
        <f t="shared" si="5"/>
        <v>-56.999557848331477</v>
      </c>
      <c r="AI100" s="234">
        <f t="shared" si="6"/>
        <v>472.53559872886399</v>
      </c>
      <c r="AJ100" s="170"/>
      <c r="AK100" s="170"/>
      <c r="AL100" s="170"/>
      <c r="AM100" s="170"/>
      <c r="AN100" s="170"/>
      <c r="AO100" s="234"/>
    </row>
    <row r="101" spans="1:41" x14ac:dyDescent="0.25">
      <c r="A101" s="274">
        <v>204</v>
      </c>
      <c r="B101" s="274">
        <v>1</v>
      </c>
      <c r="C101" s="275" t="s">
        <v>336</v>
      </c>
      <c r="D101" s="276">
        <v>4</v>
      </c>
      <c r="E101" s="272">
        <v>7354938</v>
      </c>
      <c r="F101" s="273">
        <v>617911575</v>
      </c>
      <c r="G101" s="234">
        <v>607329.00632352941</v>
      </c>
      <c r="H101" s="234">
        <v>2567917.090103237</v>
      </c>
      <c r="I101" s="174">
        <v>3175246.0964267664</v>
      </c>
      <c r="J101" s="234">
        <v>576201.57418279338</v>
      </c>
      <c r="K101" s="234">
        <v>2196586.5753656966</v>
      </c>
      <c r="L101" s="175">
        <v>2772788.1495484901</v>
      </c>
      <c r="M101" s="235">
        <v>-31127.432140736026</v>
      </c>
      <c r="N101" s="236">
        <v>-371330.51473754039</v>
      </c>
      <c r="O101" s="175">
        <v>-402457.9468782763</v>
      </c>
      <c r="P101" s="237">
        <v>-0.12674858409594728</v>
      </c>
      <c r="Q101" s="238">
        <v>0.34914190848423698</v>
      </c>
      <c r="R101" s="239">
        <v>9.8287365198415221E-4</v>
      </c>
      <c r="S101" s="240">
        <v>0.29865466919852984</v>
      </c>
      <c r="T101" s="239">
        <v>9.3249843099766077E-4</v>
      </c>
      <c r="U101" s="241">
        <v>-5.0487239285707142E-2</v>
      </c>
      <c r="V101" s="242">
        <v>-5.037522098649144E-5</v>
      </c>
      <c r="W101" s="243">
        <v>440.82657365219768</v>
      </c>
      <c r="X101" s="244">
        <v>98.287365198415216</v>
      </c>
      <c r="Y101" s="245">
        <v>539.11393885061284</v>
      </c>
      <c r="Z101" s="246">
        <v>377.08138533006382</v>
      </c>
      <c r="AA101" s="244">
        <v>93.249843099766082</v>
      </c>
      <c r="AB101" s="245">
        <v>470.33122842982993</v>
      </c>
      <c r="AC101" s="247">
        <v>-63.745188322133856</v>
      </c>
      <c r="AD101" s="247">
        <v>-5.0375220986491343</v>
      </c>
      <c r="AE101" s="248">
        <v>-68.782710420782905</v>
      </c>
      <c r="AF101" s="234">
        <f>-SUMIF('[1]Alt Fac'!$A$18:$A$139,'REPORT 4 - PROPERTY TAX'!A101,'[1]Alt Fac'!$U$18:$U$139)</f>
        <v>0</v>
      </c>
      <c r="AG101" s="247">
        <f t="shared" si="4"/>
        <v>588.25762144982048</v>
      </c>
      <c r="AH101" s="234">
        <f t="shared" si="5"/>
        <v>-71.301471470107558</v>
      </c>
      <c r="AI101" s="234">
        <f t="shared" si="6"/>
        <v>516.9561499797129</v>
      </c>
      <c r="AJ101" s="170"/>
      <c r="AK101" s="170"/>
      <c r="AL101" s="170"/>
      <c r="AM101" s="170"/>
      <c r="AN101" s="170"/>
      <c r="AO101" s="234"/>
    </row>
    <row r="102" spans="1:41" x14ac:dyDescent="0.25">
      <c r="A102" s="274">
        <v>206</v>
      </c>
      <c r="B102" s="274">
        <v>1</v>
      </c>
      <c r="C102" s="275" t="s">
        <v>366</v>
      </c>
      <c r="D102" s="276">
        <v>4</v>
      </c>
      <c r="E102" s="272">
        <v>41081874</v>
      </c>
      <c r="F102" s="273">
        <v>2781373250</v>
      </c>
      <c r="G102" s="234">
        <v>2481357.96</v>
      </c>
      <c r="H102" s="234">
        <v>4361107.7576977033</v>
      </c>
      <c r="I102" s="174">
        <v>6842465.7176977033</v>
      </c>
      <c r="J102" s="234">
        <v>2901801.0183774922</v>
      </c>
      <c r="K102" s="234">
        <v>5122680.1351233227</v>
      </c>
      <c r="L102" s="175">
        <v>8024481.1535008149</v>
      </c>
      <c r="M102" s="235">
        <v>420443.05837749224</v>
      </c>
      <c r="N102" s="236">
        <v>761572.3774256194</v>
      </c>
      <c r="O102" s="175">
        <v>1182015.4358031116</v>
      </c>
      <c r="P102" s="237">
        <v>0.17274700152985589</v>
      </c>
      <c r="Q102" s="238">
        <v>0.10615649514181616</v>
      </c>
      <c r="R102" s="239">
        <v>8.9213411396690465E-4</v>
      </c>
      <c r="S102" s="240">
        <v>0.1246944123124306</v>
      </c>
      <c r="T102" s="239">
        <v>1.0432979530444152E-3</v>
      </c>
      <c r="U102" s="241">
        <v>1.853791717061444E-2</v>
      </c>
      <c r="V102" s="242">
        <v>1.5116383907751055E-4</v>
      </c>
      <c r="W102" s="243">
        <v>134.03319076605709</v>
      </c>
      <c r="X102" s="244">
        <v>89.213411396690461</v>
      </c>
      <c r="Y102" s="245">
        <v>223.24660216274754</v>
      </c>
      <c r="Z102" s="246">
        <v>157.43916498567489</v>
      </c>
      <c r="AA102" s="244">
        <v>104.32979530444152</v>
      </c>
      <c r="AB102" s="245">
        <v>261.76896029011641</v>
      </c>
      <c r="AC102" s="247">
        <v>23.405974219617804</v>
      </c>
      <c r="AD102" s="247">
        <v>15.116383907751057</v>
      </c>
      <c r="AE102" s="248">
        <v>38.522358127368875</v>
      </c>
      <c r="AF102" s="234">
        <f>-SUMIF('[1]Alt Fac'!$A$18:$A$139,'REPORT 4 - PROPERTY TAX'!A102,'[1]Alt Fac'!$U$18:$U$139)</f>
        <v>0</v>
      </c>
      <c r="AG102" s="247">
        <f t="shared" ref="AG102:AG165" si="7">Q102*AH$23+R102*AH$25</f>
        <v>267.85330786109279</v>
      </c>
      <c r="AH102" s="234">
        <f t="shared" ref="AH102:AH165" si="8">U102*$AH$23+V102*$AH$25</f>
        <v>46.080550081244382</v>
      </c>
      <c r="AI102" s="234">
        <f t="shared" si="6"/>
        <v>313.93385794233717</v>
      </c>
      <c r="AJ102" s="170"/>
      <c r="AK102" s="170"/>
      <c r="AL102" s="170"/>
      <c r="AM102" s="170"/>
      <c r="AN102" s="170"/>
      <c r="AO102" s="234"/>
    </row>
    <row r="103" spans="1:41" x14ac:dyDescent="0.25">
      <c r="A103" s="274">
        <v>207</v>
      </c>
      <c r="B103" s="274">
        <v>1</v>
      </c>
      <c r="C103" s="275" t="s">
        <v>362</v>
      </c>
      <c r="D103" s="276">
        <v>6</v>
      </c>
      <c r="E103" s="272">
        <v>2679664</v>
      </c>
      <c r="F103" s="273">
        <v>134238725</v>
      </c>
      <c r="G103" s="234">
        <v>228099.50970588234</v>
      </c>
      <c r="H103" s="234">
        <v>115838.8503535193</v>
      </c>
      <c r="I103" s="174">
        <v>343938.36005940166</v>
      </c>
      <c r="J103" s="234">
        <v>207862.70752481456</v>
      </c>
      <c r="K103" s="234">
        <v>157739.82311820009</v>
      </c>
      <c r="L103" s="175">
        <v>365602.53064301464</v>
      </c>
      <c r="M103" s="235">
        <v>-20236.802181067789</v>
      </c>
      <c r="N103" s="236">
        <v>41900.972764680788</v>
      </c>
      <c r="O103" s="175">
        <v>21664.170583612984</v>
      </c>
      <c r="P103" s="237">
        <v>6.2988526722844648E-2</v>
      </c>
      <c r="Q103" s="238">
        <v>4.3228871363543822E-2</v>
      </c>
      <c r="R103" s="239">
        <v>1.6992079573601607E-3</v>
      </c>
      <c r="S103" s="240">
        <v>5.8865523109688414E-2</v>
      </c>
      <c r="T103" s="239">
        <v>1.5484556153584933E-3</v>
      </c>
      <c r="U103" s="241">
        <v>1.5636651746144592E-2</v>
      </c>
      <c r="V103" s="242">
        <v>-1.5075234200166731E-4</v>
      </c>
      <c r="W103" s="243">
        <v>54.580772983610437</v>
      </c>
      <c r="X103" s="244">
        <v>169.92079573601606</v>
      </c>
      <c r="Y103" s="245">
        <v>224.5015687196265</v>
      </c>
      <c r="Z103" s="246">
        <v>74.323609478292596</v>
      </c>
      <c r="AA103" s="244">
        <v>154.84556153584933</v>
      </c>
      <c r="AB103" s="245">
        <v>229.16917101414191</v>
      </c>
      <c r="AC103" s="247">
        <v>19.742836494682159</v>
      </c>
      <c r="AD103" s="247">
        <v>-15.075234200166733</v>
      </c>
      <c r="AE103" s="248">
        <v>4.6676022945154045</v>
      </c>
      <c r="AF103" s="234">
        <f>-SUMIF('[1]Alt Fac'!$A$18:$A$139,'REPORT 4 - PROPERTY TAX'!A103,'[1]Alt Fac'!$U$18:$U$139)</f>
        <v>0</v>
      </c>
      <c r="AG103" s="247">
        <f t="shared" si="7"/>
        <v>309.46196658763455</v>
      </c>
      <c r="AH103" s="234">
        <f t="shared" si="8"/>
        <v>-2.8700148055679335</v>
      </c>
      <c r="AI103" s="234">
        <f t="shared" si="6"/>
        <v>306.59195178206664</v>
      </c>
      <c r="AJ103" s="170"/>
      <c r="AK103" s="170"/>
      <c r="AL103" s="170"/>
      <c r="AM103" s="170"/>
      <c r="AN103" s="170"/>
      <c r="AO103" s="234"/>
    </row>
    <row r="104" spans="1:41" x14ac:dyDescent="0.25">
      <c r="A104" s="274">
        <v>208</v>
      </c>
      <c r="B104" s="274">
        <v>1</v>
      </c>
      <c r="C104" s="275" t="s">
        <v>369</v>
      </c>
      <c r="D104" s="276">
        <v>6</v>
      </c>
      <c r="E104" s="272">
        <v>2003930</v>
      </c>
      <c r="F104" s="273">
        <v>83428325</v>
      </c>
      <c r="G104" s="234">
        <v>299616.47323529411</v>
      </c>
      <c r="H104" s="234">
        <v>108820.51401373543</v>
      </c>
      <c r="I104" s="174">
        <v>408436.98724902957</v>
      </c>
      <c r="J104" s="234">
        <v>289026.95299003657</v>
      </c>
      <c r="K104" s="234">
        <v>126481.02262322989</v>
      </c>
      <c r="L104" s="175">
        <v>415507.97561326646</v>
      </c>
      <c r="M104" s="235">
        <v>-10589.520245257532</v>
      </c>
      <c r="N104" s="236">
        <v>17660.508609494456</v>
      </c>
      <c r="O104" s="175">
        <v>7070.988364236895</v>
      </c>
      <c r="P104" s="237">
        <v>1.7312311531486293E-2</v>
      </c>
      <c r="Q104" s="238">
        <v>5.4303550530076114E-2</v>
      </c>
      <c r="R104" s="239">
        <v>3.5913039514492723E-3</v>
      </c>
      <c r="S104" s="240">
        <v>6.3116487413846734E-2</v>
      </c>
      <c r="T104" s="239">
        <v>3.4643743955070005E-3</v>
      </c>
      <c r="U104" s="241">
        <v>8.8129368837706196E-3</v>
      </c>
      <c r="V104" s="242">
        <v>-1.2692955594227184E-4</v>
      </c>
      <c r="W104" s="243">
        <v>68.563662899274107</v>
      </c>
      <c r="X104" s="244">
        <v>359.13039514492726</v>
      </c>
      <c r="Y104" s="245">
        <v>427.69405804420137</v>
      </c>
      <c r="Z104" s="246">
        <v>79.690877008722893</v>
      </c>
      <c r="AA104" s="244">
        <v>346.43743955070005</v>
      </c>
      <c r="AB104" s="245">
        <v>426.12831655942296</v>
      </c>
      <c r="AC104" s="247">
        <v>11.127214109448786</v>
      </c>
      <c r="AD104" s="247">
        <v>-12.692955594227215</v>
      </c>
      <c r="AE104" s="248">
        <v>-1.5657414847784139</v>
      </c>
      <c r="AF104" s="234">
        <f>-SUMIF('[1]Alt Fac'!$A$18:$A$139,'REPORT 4 - PROPERTY TAX'!A104,'[1]Alt Fac'!$U$18:$U$139)</f>
        <v>0</v>
      </c>
      <c r="AG104" s="247">
        <f t="shared" si="7"/>
        <v>607.25925561666486</v>
      </c>
      <c r="AH104" s="234">
        <f t="shared" si="8"/>
        <v>-7.912219281891991</v>
      </c>
      <c r="AI104" s="234">
        <f t="shared" si="6"/>
        <v>599.34703633477284</v>
      </c>
      <c r="AJ104" s="170"/>
      <c r="AK104" s="170"/>
      <c r="AL104" s="170"/>
      <c r="AM104" s="170"/>
      <c r="AN104" s="170"/>
      <c r="AO104" s="234"/>
    </row>
    <row r="105" spans="1:41" x14ac:dyDescent="0.25">
      <c r="A105" s="274">
        <v>213</v>
      </c>
      <c r="B105" s="274">
        <v>1</v>
      </c>
      <c r="C105" s="275" t="s">
        <v>370</v>
      </c>
      <c r="D105" s="276">
        <v>6</v>
      </c>
      <c r="E105" s="272">
        <v>4003448</v>
      </c>
      <c r="F105" s="273">
        <v>219015165</v>
      </c>
      <c r="G105" s="234">
        <v>76947.02</v>
      </c>
      <c r="H105" s="234">
        <v>1349314.0647032389</v>
      </c>
      <c r="I105" s="174">
        <v>1426261.0847032389</v>
      </c>
      <c r="J105" s="234">
        <v>176400.20403594355</v>
      </c>
      <c r="K105" s="234">
        <v>1262463.6998452984</v>
      </c>
      <c r="L105" s="175">
        <v>1438863.903881242</v>
      </c>
      <c r="M105" s="235">
        <v>99453.184035943545</v>
      </c>
      <c r="N105" s="236">
        <v>-86850.364857940469</v>
      </c>
      <c r="O105" s="175">
        <v>12602.819178003119</v>
      </c>
      <c r="P105" s="237">
        <v>8.8362637901078112E-3</v>
      </c>
      <c r="Q105" s="238">
        <v>0.33703798942892199</v>
      </c>
      <c r="R105" s="239">
        <v>3.5133192717499723E-4</v>
      </c>
      <c r="S105" s="240">
        <v>0.31534409834854815</v>
      </c>
      <c r="T105" s="239">
        <v>8.0542461082977316E-4</v>
      </c>
      <c r="U105" s="241">
        <v>-2.1693891080373839E-2</v>
      </c>
      <c r="V105" s="242">
        <v>4.5409268365477593E-4</v>
      </c>
      <c r="W105" s="243">
        <v>425.54416545295697</v>
      </c>
      <c r="X105" s="244">
        <v>35.133192717499725</v>
      </c>
      <c r="Y105" s="245">
        <v>460.67735817045673</v>
      </c>
      <c r="Z105" s="246">
        <v>398.15345857487694</v>
      </c>
      <c r="AA105" s="244">
        <v>80.542461082977312</v>
      </c>
      <c r="AB105" s="245">
        <v>478.69591965785423</v>
      </c>
      <c r="AC105" s="247">
        <v>-27.390706878080039</v>
      </c>
      <c r="AD105" s="247">
        <v>45.409268365477587</v>
      </c>
      <c r="AE105" s="248">
        <v>18.018561487397506</v>
      </c>
      <c r="AF105" s="234">
        <f>-SUMIF('[1]Alt Fac'!$A$18:$A$139,'REPORT 4 - PROPERTY TAX'!A105,'[1]Alt Fac'!$U$18:$U$139)</f>
        <v>0</v>
      </c>
      <c r="AG105" s="247">
        <f t="shared" si="7"/>
        <v>478.24395452920658</v>
      </c>
      <c r="AH105" s="234">
        <f t="shared" si="8"/>
        <v>40.723195670136377</v>
      </c>
      <c r="AI105" s="234">
        <f t="shared" si="6"/>
        <v>518.967150199343</v>
      </c>
      <c r="AJ105" s="170"/>
      <c r="AK105" s="170"/>
      <c r="AL105" s="170"/>
      <c r="AM105" s="170"/>
      <c r="AN105" s="170"/>
      <c r="AO105" s="234"/>
    </row>
    <row r="106" spans="1:41" x14ac:dyDescent="0.25">
      <c r="A106" s="274">
        <v>227</v>
      </c>
      <c r="B106" s="274">
        <v>1</v>
      </c>
      <c r="C106" s="275" t="s">
        <v>275</v>
      </c>
      <c r="D106" s="276">
        <v>6</v>
      </c>
      <c r="E106" s="272">
        <v>5637826</v>
      </c>
      <c r="F106" s="273">
        <v>339539325</v>
      </c>
      <c r="G106" s="234">
        <v>506063.71817785548</v>
      </c>
      <c r="H106" s="234">
        <v>1664303.2810684452</v>
      </c>
      <c r="I106" s="174">
        <v>2170366.9992463007</v>
      </c>
      <c r="J106" s="234">
        <v>443989.38423196616</v>
      </c>
      <c r="K106" s="234">
        <v>1620470.4512458688</v>
      </c>
      <c r="L106" s="175">
        <v>2064459.835477835</v>
      </c>
      <c r="M106" s="235">
        <v>-62074.333945889317</v>
      </c>
      <c r="N106" s="236">
        <v>-43832.829822576372</v>
      </c>
      <c r="O106" s="175">
        <v>-105907.16376846563</v>
      </c>
      <c r="P106" s="237">
        <v>-4.879689186448366E-2</v>
      </c>
      <c r="Q106" s="238">
        <v>0.2952030234825348</v>
      </c>
      <c r="R106" s="239">
        <v>1.4904421400315133E-3</v>
      </c>
      <c r="S106" s="240">
        <v>0.28742824827262653</v>
      </c>
      <c r="T106" s="239">
        <v>1.3076228629245409E-3</v>
      </c>
      <c r="U106" s="241">
        <v>-7.774775209908269E-3</v>
      </c>
      <c r="V106" s="242">
        <v>-1.8281927710697243E-4</v>
      </c>
      <c r="W106" s="243">
        <v>372.72333744904847</v>
      </c>
      <c r="X106" s="244">
        <v>149.04421400315132</v>
      </c>
      <c r="Y106" s="245">
        <v>521.76755145219977</v>
      </c>
      <c r="Z106" s="246">
        <v>362.90690626901829</v>
      </c>
      <c r="AA106" s="244">
        <v>130.76228629245409</v>
      </c>
      <c r="AB106" s="245">
        <v>493.66919256147241</v>
      </c>
      <c r="AC106" s="247">
        <v>-9.8164311800301789</v>
      </c>
      <c r="AD106" s="247">
        <v>-18.281927710697232</v>
      </c>
      <c r="AE106" s="248">
        <v>-28.098358890727354</v>
      </c>
      <c r="AF106" s="234">
        <f>-SUMIF('[1]Alt Fac'!$A$18:$A$139,'REPORT 4 - PROPERTY TAX'!A106,'[1]Alt Fac'!$U$18:$U$139)</f>
        <v>0</v>
      </c>
      <c r="AG106" s="247">
        <f t="shared" si="7"/>
        <v>596.28965845377547</v>
      </c>
      <c r="AH106" s="234">
        <f t="shared" si="8"/>
        <v>-37.239322746076049</v>
      </c>
      <c r="AI106" s="234">
        <f t="shared" si="6"/>
        <v>559.05033570769945</v>
      </c>
      <c r="AJ106" s="170"/>
      <c r="AK106" s="170"/>
      <c r="AL106" s="170"/>
      <c r="AM106" s="170"/>
      <c r="AN106" s="170"/>
      <c r="AO106" s="234"/>
    </row>
    <row r="107" spans="1:41" x14ac:dyDescent="0.25">
      <c r="A107" s="274">
        <v>229</v>
      </c>
      <c r="B107" s="274">
        <v>1</v>
      </c>
      <c r="C107" s="275" t="s">
        <v>373</v>
      </c>
      <c r="D107" s="276">
        <v>6</v>
      </c>
      <c r="E107" s="272">
        <v>2659544</v>
      </c>
      <c r="F107" s="273">
        <v>111694625</v>
      </c>
      <c r="G107" s="234">
        <v>53897.57</v>
      </c>
      <c r="H107" s="234">
        <v>369088.20583416609</v>
      </c>
      <c r="I107" s="174">
        <v>422985.7758341661</v>
      </c>
      <c r="J107" s="234">
        <v>89961.602685190082</v>
      </c>
      <c r="K107" s="234">
        <v>402721.24597240187</v>
      </c>
      <c r="L107" s="175">
        <v>492682.84865759197</v>
      </c>
      <c r="M107" s="235">
        <v>36064.032685190083</v>
      </c>
      <c r="N107" s="236">
        <v>33633.040138235781</v>
      </c>
      <c r="O107" s="175">
        <v>69697.072823425871</v>
      </c>
      <c r="P107" s="237">
        <v>0.16477403450737074</v>
      </c>
      <c r="Q107" s="238">
        <v>0.13877875524306652</v>
      </c>
      <c r="R107" s="239">
        <v>4.8254398991894195E-4</v>
      </c>
      <c r="S107" s="240">
        <v>0.1514249232095434</v>
      </c>
      <c r="T107" s="239">
        <v>8.0542463601261096E-4</v>
      </c>
      <c r="U107" s="241">
        <v>1.2646167966476884E-2</v>
      </c>
      <c r="V107" s="242">
        <v>3.2288064609366902E-4</v>
      </c>
      <c r="W107" s="243">
        <v>175.2220563698958</v>
      </c>
      <c r="X107" s="244">
        <v>48.254398991894192</v>
      </c>
      <c r="Y107" s="245">
        <v>223.47645536178999</v>
      </c>
      <c r="Z107" s="246">
        <v>191.1891080443695</v>
      </c>
      <c r="AA107" s="244">
        <v>80.54246360126109</v>
      </c>
      <c r="AB107" s="245">
        <v>271.73157164563059</v>
      </c>
      <c r="AC107" s="247">
        <v>15.967051674473709</v>
      </c>
      <c r="AD107" s="247">
        <v>32.288064609366899</v>
      </c>
      <c r="AE107" s="248">
        <v>48.255116283840607</v>
      </c>
      <c r="AF107" s="234">
        <f>-SUMIF('[1]Alt Fac'!$A$18:$A$139,'REPORT 4 - PROPERTY TAX'!A107,'[1]Alt Fac'!$U$18:$U$139)</f>
        <v>0</v>
      </c>
      <c r="AG107" s="247">
        <f t="shared" si="7"/>
        <v>247.60365485773707</v>
      </c>
      <c r="AH107" s="234">
        <f t="shared" si="8"/>
        <v>64.399148588524071</v>
      </c>
      <c r="AI107" s="234">
        <f t="shared" si="6"/>
        <v>312.00280344626117</v>
      </c>
      <c r="AJ107" s="170"/>
      <c r="AK107" s="170"/>
      <c r="AL107" s="170"/>
      <c r="AM107" s="170"/>
      <c r="AN107" s="170"/>
      <c r="AO107" s="234"/>
    </row>
    <row r="108" spans="1:41" x14ac:dyDescent="0.25">
      <c r="A108" s="274">
        <v>238</v>
      </c>
      <c r="B108" s="274">
        <v>1</v>
      </c>
      <c r="C108" s="275" t="s">
        <v>281</v>
      </c>
      <c r="D108" s="276">
        <v>6</v>
      </c>
      <c r="E108" s="272">
        <v>2687553</v>
      </c>
      <c r="F108" s="273">
        <v>92260550</v>
      </c>
      <c r="G108" s="234">
        <v>319334.31941176468</v>
      </c>
      <c r="H108" s="234">
        <v>522165.16087757336</v>
      </c>
      <c r="I108" s="174">
        <v>841499.48028933804</v>
      </c>
      <c r="J108" s="234">
        <v>270716.68256963685</v>
      </c>
      <c r="K108" s="234">
        <v>534923.23340265348</v>
      </c>
      <c r="L108" s="175">
        <v>805639.91597229033</v>
      </c>
      <c r="M108" s="235">
        <v>-48617.636842127831</v>
      </c>
      <c r="N108" s="236">
        <v>12758.072525080119</v>
      </c>
      <c r="O108" s="175">
        <v>-35859.564317047712</v>
      </c>
      <c r="P108" s="237">
        <v>-4.2613887657682085E-2</v>
      </c>
      <c r="Q108" s="238">
        <v>0.19429018176667526</v>
      </c>
      <c r="R108" s="239">
        <v>3.4612228022894366E-3</v>
      </c>
      <c r="S108" s="240">
        <v>0.19903727792629708</v>
      </c>
      <c r="T108" s="239">
        <v>2.9342626135399892E-3</v>
      </c>
      <c r="U108" s="241">
        <v>4.747096159621822E-3</v>
      </c>
      <c r="V108" s="242">
        <v>-5.2696018874944742E-4</v>
      </c>
      <c r="W108" s="243">
        <v>245.3107834986042</v>
      </c>
      <c r="X108" s="244">
        <v>346.12228022894368</v>
      </c>
      <c r="Y108" s="245">
        <v>591.43306372754785</v>
      </c>
      <c r="Z108" s="246">
        <v>251.30446710974272</v>
      </c>
      <c r="AA108" s="244">
        <v>293.42626135399894</v>
      </c>
      <c r="AB108" s="245">
        <v>544.73072846374168</v>
      </c>
      <c r="AC108" s="247">
        <v>5.9936836111385219</v>
      </c>
      <c r="AD108" s="247">
        <v>-52.696018874944741</v>
      </c>
      <c r="AE108" s="248">
        <v>-46.702335263806162</v>
      </c>
      <c r="AF108" s="234">
        <f>-SUMIF('[1]Alt Fac'!$A$18:$A$139,'REPORT 4 - PROPERTY TAX'!A108,'[1]Alt Fac'!$U$18:$U$139)</f>
        <v>0</v>
      </c>
      <c r="AG108" s="247">
        <f t="shared" si="7"/>
        <v>764.49420384201972</v>
      </c>
      <c r="AH108" s="234">
        <f t="shared" si="8"/>
        <v>-73.050344701278604</v>
      </c>
      <c r="AI108" s="234">
        <f t="shared" si="6"/>
        <v>691.4438591407411</v>
      </c>
      <c r="AJ108" s="170"/>
      <c r="AK108" s="170"/>
      <c r="AL108" s="170"/>
      <c r="AM108" s="170"/>
      <c r="AN108" s="170"/>
      <c r="AO108" s="234"/>
    </row>
    <row r="109" spans="1:41" x14ac:dyDescent="0.25">
      <c r="A109" s="274">
        <v>239</v>
      </c>
      <c r="B109" s="274">
        <v>1</v>
      </c>
      <c r="C109" s="275" t="s">
        <v>376</v>
      </c>
      <c r="D109" s="276">
        <v>6</v>
      </c>
      <c r="E109" s="272">
        <v>4429125</v>
      </c>
      <c r="F109" s="273">
        <v>229117550</v>
      </c>
      <c r="G109" s="234">
        <v>611268.66352941166</v>
      </c>
      <c r="H109" s="234">
        <v>306273.57470236695</v>
      </c>
      <c r="I109" s="174">
        <v>917542.23823177861</v>
      </c>
      <c r="J109" s="234">
        <v>461435.44064541609</v>
      </c>
      <c r="K109" s="234">
        <v>281890.07492959494</v>
      </c>
      <c r="L109" s="175">
        <v>743325.51557501103</v>
      </c>
      <c r="M109" s="235">
        <v>-149833.22288399556</v>
      </c>
      <c r="N109" s="236">
        <v>-24383.499772772018</v>
      </c>
      <c r="O109" s="175">
        <v>-174216.72265676758</v>
      </c>
      <c r="P109" s="237">
        <v>-0.18987324550039844</v>
      </c>
      <c r="Q109" s="238">
        <v>6.9149905388167399E-2</v>
      </c>
      <c r="R109" s="239">
        <v>2.6679259774269218E-3</v>
      </c>
      <c r="S109" s="240">
        <v>6.3644641984499178E-2</v>
      </c>
      <c r="T109" s="239">
        <v>2.0139681165646894E-3</v>
      </c>
      <c r="U109" s="241">
        <v>-5.5052634036682202E-3</v>
      </c>
      <c r="V109" s="242">
        <v>-6.5395786086223234E-4</v>
      </c>
      <c r="W109" s="243">
        <v>87.308670543100163</v>
      </c>
      <c r="X109" s="244">
        <v>266.79259774269218</v>
      </c>
      <c r="Y109" s="245">
        <v>354.10126828579234</v>
      </c>
      <c r="Z109" s="246">
        <v>80.357724969628677</v>
      </c>
      <c r="AA109" s="244">
        <v>201.39681165646894</v>
      </c>
      <c r="AB109" s="245">
        <v>281.7545366260976</v>
      </c>
      <c r="AC109" s="247">
        <v>-6.9509455734714862</v>
      </c>
      <c r="AD109" s="247">
        <v>-65.395786086223239</v>
      </c>
      <c r="AE109" s="248">
        <v>-72.34673165969474</v>
      </c>
      <c r="AF109" s="234">
        <f>-SUMIF('[1]Alt Fac'!$A$18:$A$139,'REPORT 4 - PROPERTY TAX'!A109,'[1]Alt Fac'!$U$18:$U$139)</f>
        <v>0</v>
      </c>
      <c r="AG109" s="247">
        <f t="shared" si="7"/>
        <v>487.49756715713841</v>
      </c>
      <c r="AH109" s="234">
        <f t="shared" si="8"/>
        <v>-105.04462470280635</v>
      </c>
      <c r="AI109" s="234">
        <f t="shared" si="6"/>
        <v>382.45294245433206</v>
      </c>
      <c r="AJ109" s="170"/>
      <c r="AK109" s="170"/>
      <c r="AL109" s="170"/>
      <c r="AM109" s="170"/>
      <c r="AN109" s="170"/>
      <c r="AO109" s="234"/>
    </row>
    <row r="110" spans="1:41" x14ac:dyDescent="0.25">
      <c r="A110" s="274">
        <v>241</v>
      </c>
      <c r="B110" s="274">
        <v>1</v>
      </c>
      <c r="C110" s="275" t="s">
        <v>378</v>
      </c>
      <c r="D110" s="276">
        <v>4</v>
      </c>
      <c r="E110" s="272">
        <v>16187038</v>
      </c>
      <c r="F110" s="273">
        <v>1224958255</v>
      </c>
      <c r="G110" s="234">
        <v>3423527.8785294122</v>
      </c>
      <c r="H110" s="234">
        <v>4281688.615488966</v>
      </c>
      <c r="I110" s="174">
        <v>7705216.4940183777</v>
      </c>
      <c r="J110" s="234">
        <v>2616649.3456268534</v>
      </c>
      <c r="K110" s="234">
        <v>4077806.4519240945</v>
      </c>
      <c r="L110" s="175">
        <v>6694455.7975509483</v>
      </c>
      <c r="M110" s="235">
        <v>-806878.5329025588</v>
      </c>
      <c r="N110" s="236">
        <v>-203882.16356487153</v>
      </c>
      <c r="O110" s="175">
        <v>-1010760.6964674294</v>
      </c>
      <c r="P110" s="237">
        <v>-0.13117875367318896</v>
      </c>
      <c r="Q110" s="238">
        <v>0.26451340977200188</v>
      </c>
      <c r="R110" s="239">
        <v>2.7948118758785068E-3</v>
      </c>
      <c r="S110" s="240">
        <v>0.25191801316115364</v>
      </c>
      <c r="T110" s="239">
        <v>2.136113075646691E-3</v>
      </c>
      <c r="U110" s="241">
        <v>-1.2595396610848242E-2</v>
      </c>
      <c r="V110" s="242">
        <v>-6.586988002318158E-4</v>
      </c>
      <c r="W110" s="243">
        <v>333.97463117812964</v>
      </c>
      <c r="X110" s="244">
        <v>279.48118758785068</v>
      </c>
      <c r="Y110" s="245">
        <v>613.45581876598033</v>
      </c>
      <c r="Z110" s="246">
        <v>318.0716834172726</v>
      </c>
      <c r="AA110" s="244">
        <v>213.61130756466909</v>
      </c>
      <c r="AB110" s="245">
        <v>531.68299098194166</v>
      </c>
      <c r="AC110" s="247">
        <v>-15.902947760857046</v>
      </c>
      <c r="AD110" s="247">
        <v>-65.869880023181594</v>
      </c>
      <c r="AE110" s="248">
        <v>-81.772827784038668</v>
      </c>
      <c r="AF110" s="234">
        <f>-SUMIF('[1]Alt Fac'!$A$18:$A$139,'REPORT 4 - PROPERTY TAX'!A110,'[1]Alt Fac'!$U$18:$U$139)</f>
        <v>0</v>
      </c>
      <c r="AG110" s="247">
        <f t="shared" si="7"/>
        <v>753.19641255990564</v>
      </c>
      <c r="AH110" s="234">
        <f t="shared" si="8"/>
        <v>-114.70776779562937</v>
      </c>
      <c r="AI110" s="234">
        <f t="shared" si="6"/>
        <v>638.48864476427627</v>
      </c>
      <c r="AJ110" s="170"/>
      <c r="AK110" s="170"/>
      <c r="AL110" s="170"/>
      <c r="AM110" s="170"/>
      <c r="AN110" s="170"/>
      <c r="AO110" s="234"/>
    </row>
    <row r="111" spans="1:41" x14ac:dyDescent="0.25">
      <c r="A111" s="274">
        <v>242</v>
      </c>
      <c r="B111" s="274">
        <v>1</v>
      </c>
      <c r="C111" s="275" t="s">
        <v>316</v>
      </c>
      <c r="D111" s="276">
        <v>6</v>
      </c>
      <c r="E111" s="272">
        <v>2419861</v>
      </c>
      <c r="F111" s="273">
        <v>68421065</v>
      </c>
      <c r="G111" s="234">
        <v>107819.75846638656</v>
      </c>
      <c r="H111" s="234">
        <v>570273.91167778755</v>
      </c>
      <c r="I111" s="174">
        <v>678093.67014417413</v>
      </c>
      <c r="J111" s="234">
        <v>84987.789668365309</v>
      </c>
      <c r="K111" s="234">
        <v>556275.70123687084</v>
      </c>
      <c r="L111" s="175">
        <v>641263.4909052361</v>
      </c>
      <c r="M111" s="235">
        <v>-22831.968798021247</v>
      </c>
      <c r="N111" s="236">
        <v>-13998.210440916708</v>
      </c>
      <c r="O111" s="175">
        <v>-36830.179238938028</v>
      </c>
      <c r="P111" s="237">
        <v>-5.431429441172532E-2</v>
      </c>
      <c r="Q111" s="238">
        <v>0.23566391279407684</v>
      </c>
      <c r="R111" s="239">
        <v>1.5758269542630848E-3</v>
      </c>
      <c r="S111" s="240">
        <v>0.22987919605170332</v>
      </c>
      <c r="T111" s="239">
        <v>1.2421290090758644E-3</v>
      </c>
      <c r="U111" s="241">
        <v>-5.7847167423735191E-3</v>
      </c>
      <c r="V111" s="242">
        <v>-3.3369794518722036E-4</v>
      </c>
      <c r="W111" s="243">
        <v>297.54925629380142</v>
      </c>
      <c r="X111" s="244">
        <v>157.58269542630848</v>
      </c>
      <c r="Y111" s="245">
        <v>455.1319517201099</v>
      </c>
      <c r="Z111" s="246">
        <v>290.24547293488064</v>
      </c>
      <c r="AA111" s="244">
        <v>124.21290090758644</v>
      </c>
      <c r="AB111" s="245">
        <v>414.4583738424671</v>
      </c>
      <c r="AC111" s="247">
        <v>-7.3037833589207821</v>
      </c>
      <c r="AD111" s="247">
        <v>-33.369794518722031</v>
      </c>
      <c r="AE111" s="248">
        <v>-40.673577877642799</v>
      </c>
      <c r="AF111" s="234">
        <f>-SUMIF('[1]Alt Fac'!$A$18:$A$139,'REPORT 4 - PROPERTY TAX'!A111,'[1]Alt Fac'!$U$18:$U$139)</f>
        <v>0</v>
      </c>
      <c r="AG111" s="247">
        <f t="shared" si="7"/>
        <v>533.92329943326411</v>
      </c>
      <c r="AH111" s="234">
        <f t="shared" si="8"/>
        <v>-57.358475137003857</v>
      </c>
      <c r="AI111" s="234">
        <f t="shared" si="6"/>
        <v>476.56482429626027</v>
      </c>
      <c r="AJ111" s="170"/>
      <c r="AK111" s="170"/>
      <c r="AL111" s="170"/>
      <c r="AM111" s="170"/>
      <c r="AN111" s="170"/>
      <c r="AO111" s="234"/>
    </row>
    <row r="112" spans="1:41" x14ac:dyDescent="0.25">
      <c r="A112" s="274">
        <v>252</v>
      </c>
      <c r="B112" s="274">
        <v>1</v>
      </c>
      <c r="C112" s="275" t="s">
        <v>379</v>
      </c>
      <c r="D112" s="276">
        <v>5</v>
      </c>
      <c r="E112" s="272">
        <v>8704180</v>
      </c>
      <c r="F112" s="273">
        <v>715723850</v>
      </c>
      <c r="G112" s="234">
        <v>881802.21</v>
      </c>
      <c r="H112" s="234">
        <v>1681664.1232157305</v>
      </c>
      <c r="I112" s="174">
        <v>2563466.3332157303</v>
      </c>
      <c r="J112" s="234">
        <v>832272.58030335896</v>
      </c>
      <c r="K112" s="234">
        <v>1797518.1275603266</v>
      </c>
      <c r="L112" s="175">
        <v>2629790.7078636857</v>
      </c>
      <c r="M112" s="235">
        <v>-49529.629696641001</v>
      </c>
      <c r="N112" s="236">
        <v>115854.00434459606</v>
      </c>
      <c r="O112" s="175">
        <v>66324.37464795541</v>
      </c>
      <c r="P112" s="237">
        <v>2.5872925963008477E-2</v>
      </c>
      <c r="Q112" s="238">
        <v>0.19320190106543414</v>
      </c>
      <c r="R112" s="239">
        <v>1.2320425119269115E-3</v>
      </c>
      <c r="S112" s="240">
        <v>0.20651205829386876</v>
      </c>
      <c r="T112" s="239">
        <v>1.1628403612697258E-3</v>
      </c>
      <c r="U112" s="241">
        <v>1.3310157228434621E-2</v>
      </c>
      <c r="V112" s="242">
        <v>-6.9202150657185707E-5</v>
      </c>
      <c r="W112" s="243">
        <v>243.93672028521718</v>
      </c>
      <c r="X112" s="244">
        <v>123.20425119269115</v>
      </c>
      <c r="Y112" s="245">
        <v>367.14097147790835</v>
      </c>
      <c r="Z112" s="246">
        <v>260.74212480183871</v>
      </c>
      <c r="AA112" s="244">
        <v>116.28403612697258</v>
      </c>
      <c r="AB112" s="245">
        <v>377.02616092881129</v>
      </c>
      <c r="AC112" s="247">
        <v>16.805404516621536</v>
      </c>
      <c r="AD112" s="247">
        <v>-6.9202150657185655</v>
      </c>
      <c r="AE112" s="248">
        <v>9.8851894509029421</v>
      </c>
      <c r="AF112" s="234">
        <f>-SUMIF('[1]Alt Fac'!$A$18:$A$139,'REPORT 4 - PROPERTY TAX'!A112,'[1]Alt Fac'!$U$18:$U$139)</f>
        <v>0</v>
      </c>
      <c r="AG112" s="247">
        <f t="shared" si="7"/>
        <v>428.74309707425391</v>
      </c>
      <c r="AH112" s="234">
        <f t="shared" si="8"/>
        <v>6.4250819180436984</v>
      </c>
      <c r="AI112" s="234">
        <f t="shared" si="6"/>
        <v>435.16817899229761</v>
      </c>
      <c r="AJ112" s="170"/>
      <c r="AK112" s="170"/>
      <c r="AL112" s="170"/>
      <c r="AM112" s="170"/>
      <c r="AN112" s="170"/>
      <c r="AO112" s="234"/>
    </row>
    <row r="113" spans="1:41" x14ac:dyDescent="0.25">
      <c r="A113" s="274">
        <v>253</v>
      </c>
      <c r="B113" s="274">
        <v>1</v>
      </c>
      <c r="C113" s="275" t="s">
        <v>381</v>
      </c>
      <c r="D113" s="276">
        <v>6</v>
      </c>
      <c r="E113" s="272">
        <v>3506363</v>
      </c>
      <c r="F113" s="273">
        <v>192549325</v>
      </c>
      <c r="G113" s="234">
        <v>247383.70432773107</v>
      </c>
      <c r="H113" s="234">
        <v>629053.24225817958</v>
      </c>
      <c r="I113" s="174">
        <v>876436.94658591063</v>
      </c>
      <c r="J113" s="234">
        <v>224173.74862142414</v>
      </c>
      <c r="K113" s="234">
        <v>663689.76772427489</v>
      </c>
      <c r="L113" s="175">
        <v>887863.51634569908</v>
      </c>
      <c r="M113" s="235">
        <v>-23209.955706306937</v>
      </c>
      <c r="N113" s="236">
        <v>34636.525466095307</v>
      </c>
      <c r="O113" s="175">
        <v>11426.569759788457</v>
      </c>
      <c r="P113" s="237">
        <v>1.3037526320974643E-2</v>
      </c>
      <c r="Q113" s="238">
        <v>0.17940334251136564</v>
      </c>
      <c r="R113" s="239">
        <v>1.2847809480907349E-3</v>
      </c>
      <c r="S113" s="240">
        <v>0.18928153409224172</v>
      </c>
      <c r="T113" s="239">
        <v>1.1642406361145339E-3</v>
      </c>
      <c r="U113" s="241">
        <v>9.8781915808760778E-3</v>
      </c>
      <c r="V113" s="242">
        <v>-1.2054031197620109E-4</v>
      </c>
      <c r="W113" s="243">
        <v>226.51466025485027</v>
      </c>
      <c r="X113" s="244">
        <v>128.4780948090735</v>
      </c>
      <c r="Y113" s="245">
        <v>354.99275506392377</v>
      </c>
      <c r="Z113" s="246">
        <v>238.98686494486441</v>
      </c>
      <c r="AA113" s="244">
        <v>116.42406361145339</v>
      </c>
      <c r="AB113" s="245">
        <v>355.4109285563178</v>
      </c>
      <c r="AC113" s="247">
        <v>12.472204690014138</v>
      </c>
      <c r="AD113" s="247">
        <v>-12.054031197620105</v>
      </c>
      <c r="AE113" s="248">
        <v>0.41817349239403256</v>
      </c>
      <c r="AF113" s="234">
        <f>-SUMIF('[1]Alt Fac'!$A$18:$A$139,'REPORT 4 - PROPERTY TAX'!A113,'[1]Alt Fac'!$U$18:$U$139)</f>
        <v>0</v>
      </c>
      <c r="AG113" s="247">
        <f t="shared" si="7"/>
        <v>419.2318024684605</v>
      </c>
      <c r="AH113" s="234">
        <f t="shared" si="8"/>
        <v>-5.6088421064160272</v>
      </c>
      <c r="AI113" s="234">
        <f t="shared" si="6"/>
        <v>413.62296036204447</v>
      </c>
      <c r="AJ113" s="170"/>
      <c r="AK113" s="170"/>
      <c r="AL113" s="170"/>
      <c r="AM113" s="170"/>
      <c r="AN113" s="170"/>
      <c r="AO113" s="234"/>
    </row>
    <row r="114" spans="1:41" x14ac:dyDescent="0.25">
      <c r="A114" s="274">
        <v>255</v>
      </c>
      <c r="B114" s="274">
        <v>1</v>
      </c>
      <c r="C114" s="275" t="s">
        <v>332</v>
      </c>
      <c r="D114" s="276">
        <v>5</v>
      </c>
      <c r="E114" s="272">
        <v>5993845</v>
      </c>
      <c r="F114" s="273">
        <v>467957500</v>
      </c>
      <c r="G114" s="234">
        <v>798612.50411764707</v>
      </c>
      <c r="H114" s="234">
        <v>1156144.7884684766</v>
      </c>
      <c r="I114" s="174">
        <v>1954757.2925861236</v>
      </c>
      <c r="J114" s="234">
        <v>662776.24774895969</v>
      </c>
      <c r="K114" s="234">
        <v>1099096.5361211137</v>
      </c>
      <c r="L114" s="175">
        <v>1761872.7838700735</v>
      </c>
      <c r="M114" s="235">
        <v>-135836.25636868738</v>
      </c>
      <c r="N114" s="236">
        <v>-57048.252347362926</v>
      </c>
      <c r="O114" s="175">
        <v>-192884.50871605007</v>
      </c>
      <c r="P114" s="237">
        <v>-9.8674402928491375E-2</v>
      </c>
      <c r="Q114" s="238">
        <v>0.19288866970508523</v>
      </c>
      <c r="R114" s="239">
        <v>1.7065919535805005E-3</v>
      </c>
      <c r="S114" s="240">
        <v>0.18337086396480284</v>
      </c>
      <c r="T114" s="239">
        <v>1.4163171821136742E-3</v>
      </c>
      <c r="U114" s="241">
        <v>-9.5178057402823812E-3</v>
      </c>
      <c r="V114" s="242">
        <v>-2.9027477146682627E-4</v>
      </c>
      <c r="W114" s="243">
        <v>243.54123436964062</v>
      </c>
      <c r="X114" s="244">
        <v>170.65919535805006</v>
      </c>
      <c r="Y114" s="245">
        <v>414.20042972769068</v>
      </c>
      <c r="Z114" s="246">
        <v>231.5240528419601</v>
      </c>
      <c r="AA114" s="244">
        <v>141.63171821136743</v>
      </c>
      <c r="AB114" s="245">
        <v>373.1557710533275</v>
      </c>
      <c r="AC114" s="247">
        <v>-12.017181527680521</v>
      </c>
      <c r="AD114" s="247">
        <v>-29.027477146682628</v>
      </c>
      <c r="AE114" s="248">
        <v>-41.044658674363177</v>
      </c>
      <c r="AF114" s="234">
        <f>-SUMIF('[1]Alt Fac'!$A$18:$A$139,'REPORT 4 - PROPERTY TAX'!A114,'[1]Alt Fac'!$U$18:$U$139)</f>
        <v>0</v>
      </c>
      <c r="AG114" s="247">
        <f t="shared" si="7"/>
        <v>499.5300274067157</v>
      </c>
      <c r="AH114" s="234">
        <f t="shared" si="8"/>
        <v>-55.558397247704477</v>
      </c>
      <c r="AI114" s="234">
        <f t="shared" si="6"/>
        <v>443.97163015901123</v>
      </c>
      <c r="AJ114" s="170"/>
      <c r="AK114" s="170"/>
      <c r="AL114" s="170"/>
      <c r="AM114" s="170"/>
      <c r="AN114" s="170"/>
      <c r="AO114" s="234"/>
    </row>
    <row r="115" spans="1:41" x14ac:dyDescent="0.25">
      <c r="A115" s="274">
        <v>256</v>
      </c>
      <c r="B115" s="274">
        <v>1</v>
      </c>
      <c r="C115" s="275" t="s">
        <v>384</v>
      </c>
      <c r="D115" s="276">
        <v>4</v>
      </c>
      <c r="E115" s="272">
        <v>27801120</v>
      </c>
      <c r="F115" s="273">
        <v>2007547650</v>
      </c>
      <c r="G115" s="234">
        <v>4128509.92</v>
      </c>
      <c r="H115" s="234">
        <v>2654703.531005743</v>
      </c>
      <c r="I115" s="174">
        <v>6783213.4510057429</v>
      </c>
      <c r="J115" s="234">
        <v>4386334.4678854467</v>
      </c>
      <c r="K115" s="234">
        <v>2956052.0471368409</v>
      </c>
      <c r="L115" s="175">
        <v>7342386.5150222871</v>
      </c>
      <c r="M115" s="235">
        <v>257824.54788544681</v>
      </c>
      <c r="N115" s="236">
        <v>301348.51613109792</v>
      </c>
      <c r="O115" s="175">
        <v>559173.06401654426</v>
      </c>
      <c r="P115" s="237">
        <v>8.2434832407291561E-2</v>
      </c>
      <c r="Q115" s="238">
        <v>9.548908572768805E-2</v>
      </c>
      <c r="R115" s="239">
        <v>2.0564941111111358E-3</v>
      </c>
      <c r="S115" s="240">
        <v>0.1063285237118807</v>
      </c>
      <c r="T115" s="239">
        <v>2.1849217217262298E-3</v>
      </c>
      <c r="U115" s="241">
        <v>1.0839437984192651E-2</v>
      </c>
      <c r="V115" s="242">
        <v>1.2842761061509405E-4</v>
      </c>
      <c r="W115" s="243">
        <v>120.56451963977895</v>
      </c>
      <c r="X115" s="244">
        <v>205.64941111111358</v>
      </c>
      <c r="Y115" s="245">
        <v>326.21393075089253</v>
      </c>
      <c r="Z115" s="246">
        <v>134.25039403862058</v>
      </c>
      <c r="AA115" s="244">
        <v>218.49217217262299</v>
      </c>
      <c r="AB115" s="245">
        <v>352.74256621124357</v>
      </c>
      <c r="AC115" s="247">
        <v>13.685874398841634</v>
      </c>
      <c r="AD115" s="247">
        <v>12.842761061509407</v>
      </c>
      <c r="AE115" s="248">
        <v>26.52863546035104</v>
      </c>
      <c r="AF115" s="234">
        <f>-SUMIF('[1]Alt Fac'!$A$18:$A$139,'REPORT 4 - PROPERTY TAX'!A115,'[1]Alt Fac'!$U$18:$U$139)</f>
        <v>0</v>
      </c>
      <c r="AG115" s="247">
        <f t="shared" si="7"/>
        <v>429.03863630644929</v>
      </c>
      <c r="AH115" s="234">
        <f t="shared" si="8"/>
        <v>32.950015991105751</v>
      </c>
      <c r="AI115" s="234">
        <f t="shared" si="6"/>
        <v>461.98865229755506</v>
      </c>
      <c r="AJ115" s="170"/>
      <c r="AK115" s="170"/>
      <c r="AL115" s="170"/>
      <c r="AM115" s="170"/>
      <c r="AN115" s="170"/>
      <c r="AO115" s="234"/>
    </row>
    <row r="116" spans="1:41" x14ac:dyDescent="0.25">
      <c r="A116" s="274">
        <v>261</v>
      </c>
      <c r="B116" s="274">
        <v>1</v>
      </c>
      <c r="C116" s="275" t="s">
        <v>386</v>
      </c>
      <c r="D116" s="276">
        <v>6</v>
      </c>
      <c r="E116" s="272">
        <v>1871997</v>
      </c>
      <c r="F116" s="273">
        <v>86419900</v>
      </c>
      <c r="G116" s="234">
        <v>330527.68823529413</v>
      </c>
      <c r="H116" s="234">
        <v>590585.6149111283</v>
      </c>
      <c r="I116" s="174">
        <v>921113.30314642237</v>
      </c>
      <c r="J116" s="234">
        <v>237606.05988096006</v>
      </c>
      <c r="K116" s="234">
        <v>608869.90700957074</v>
      </c>
      <c r="L116" s="175">
        <v>846475.96689053078</v>
      </c>
      <c r="M116" s="235">
        <v>-92921.628354334069</v>
      </c>
      <c r="N116" s="236">
        <v>18284.292098442442</v>
      </c>
      <c r="O116" s="175">
        <v>-74637.336255891598</v>
      </c>
      <c r="P116" s="237">
        <v>-8.1029484647478889E-2</v>
      </c>
      <c r="Q116" s="238">
        <v>0.31548427423287978</v>
      </c>
      <c r="R116" s="239">
        <v>3.8246710333533613E-3</v>
      </c>
      <c r="S116" s="240">
        <v>0.32525153993813599</v>
      </c>
      <c r="T116" s="239">
        <v>2.74943687600842E-3</v>
      </c>
      <c r="U116" s="241">
        <v>9.7672657052562117E-3</v>
      </c>
      <c r="V116" s="242">
        <v>-1.0752341573449413E-3</v>
      </c>
      <c r="W116" s="243">
        <v>398.33044464643405</v>
      </c>
      <c r="X116" s="244">
        <v>382.46710333533611</v>
      </c>
      <c r="Y116" s="245">
        <v>780.79754798177009</v>
      </c>
      <c r="Z116" s="246">
        <v>410.66259432589055</v>
      </c>
      <c r="AA116" s="244">
        <v>274.943687600842</v>
      </c>
      <c r="AB116" s="245">
        <v>685.60628192673255</v>
      </c>
      <c r="AC116" s="247">
        <v>12.332149679456506</v>
      </c>
      <c r="AD116" s="247">
        <v>-107.52341573449411</v>
      </c>
      <c r="AE116" s="248">
        <v>-95.191266055037545</v>
      </c>
      <c r="AF116" s="234">
        <f>-SUMIF('[1]Alt Fac'!$A$18:$A$139,'REPORT 4 - PROPERTY TAX'!A116,'[1]Alt Fac'!$U$18:$U$139)</f>
        <v>0</v>
      </c>
      <c r="AG116" s="247">
        <f t="shared" si="7"/>
        <v>972.03109964943815</v>
      </c>
      <c r="AH116" s="234">
        <f t="shared" si="8"/>
        <v>-148.95297392228468</v>
      </c>
      <c r="AI116" s="234">
        <f t="shared" si="6"/>
        <v>823.07812572715352</v>
      </c>
      <c r="AJ116" s="170"/>
      <c r="AK116" s="170"/>
      <c r="AL116" s="170"/>
      <c r="AM116" s="170"/>
      <c r="AN116" s="170"/>
      <c r="AO116" s="234"/>
    </row>
    <row r="117" spans="1:41" x14ac:dyDescent="0.25">
      <c r="A117" s="274">
        <v>264</v>
      </c>
      <c r="B117" s="274">
        <v>1</v>
      </c>
      <c r="C117" s="275" t="s">
        <v>388</v>
      </c>
      <c r="D117" s="276">
        <v>6</v>
      </c>
      <c r="E117" s="272">
        <v>3198239</v>
      </c>
      <c r="F117" s="273">
        <v>45327230</v>
      </c>
      <c r="G117" s="234">
        <v>171905.17</v>
      </c>
      <c r="H117" s="234">
        <v>48254.175999999999</v>
      </c>
      <c r="I117" s="174">
        <v>220159.34600000002</v>
      </c>
      <c r="J117" s="234">
        <v>396754.01248480211</v>
      </c>
      <c r="K117" s="234">
        <v>124334.36156165444</v>
      </c>
      <c r="L117" s="175">
        <v>521088.37404645653</v>
      </c>
      <c r="M117" s="235">
        <v>224848.84248480209</v>
      </c>
      <c r="N117" s="236">
        <v>76080.185561654449</v>
      </c>
      <c r="O117" s="175">
        <v>300929.02804645651</v>
      </c>
      <c r="P117" s="237">
        <v>1.3668691950350202</v>
      </c>
      <c r="Q117" s="238">
        <v>1.5087732968048979E-2</v>
      </c>
      <c r="R117" s="239">
        <v>3.792536406923609E-3</v>
      </c>
      <c r="S117" s="240">
        <v>3.8875881871759568E-2</v>
      </c>
      <c r="T117" s="239">
        <v>8.7531051971365143E-3</v>
      </c>
      <c r="U117" s="241">
        <v>2.3788148903710588E-2</v>
      </c>
      <c r="V117" s="242">
        <v>4.9605687902129058E-3</v>
      </c>
      <c r="W117" s="243">
        <v>19.049771645458645</v>
      </c>
      <c r="X117" s="244">
        <v>379.25364069236088</v>
      </c>
      <c r="Y117" s="245">
        <v>398.30341233781951</v>
      </c>
      <c r="Z117" s="246">
        <v>49.08468845128364</v>
      </c>
      <c r="AA117" s="244">
        <v>875.31051971365139</v>
      </c>
      <c r="AB117" s="245">
        <v>924.39520816493507</v>
      </c>
      <c r="AC117" s="247">
        <v>30.034916805824995</v>
      </c>
      <c r="AD117" s="247">
        <v>496.05687902129051</v>
      </c>
      <c r="AE117" s="248">
        <v>526.09179582711556</v>
      </c>
      <c r="AF117" s="234">
        <f>-SUMIF('[1]Alt Fac'!$A$18:$A$139,'REPORT 4 - PROPERTY TAX'!A117,'[1]Alt Fac'!$U$18:$U$139)</f>
        <v>0</v>
      </c>
      <c r="AG117" s="247">
        <f t="shared" si="7"/>
        <v>587.93023268400009</v>
      </c>
      <c r="AH117" s="234">
        <f t="shared" si="8"/>
        <v>774.12023533776085</v>
      </c>
      <c r="AI117" s="234">
        <f t="shared" si="6"/>
        <v>1362.0504680217609</v>
      </c>
      <c r="AJ117" s="170"/>
      <c r="AK117" s="170"/>
      <c r="AL117" s="170"/>
      <c r="AM117" s="170"/>
      <c r="AN117" s="170"/>
      <c r="AO117" s="234"/>
    </row>
    <row r="118" spans="1:41" x14ac:dyDescent="0.25">
      <c r="A118" s="274">
        <v>270</v>
      </c>
      <c r="B118" s="274">
        <v>1</v>
      </c>
      <c r="C118" s="275" t="s">
        <v>390</v>
      </c>
      <c r="D118" s="276">
        <v>2</v>
      </c>
      <c r="E118" s="272">
        <v>94439734</v>
      </c>
      <c r="F118" s="273">
        <v>9035192625</v>
      </c>
      <c r="G118" s="234">
        <v>15356687.970000001</v>
      </c>
      <c r="H118" s="234">
        <v>18851159.405549999</v>
      </c>
      <c r="I118" s="174">
        <v>34207847.375550002</v>
      </c>
      <c r="J118" s="234">
        <v>18717396.006011546</v>
      </c>
      <c r="K118" s="234">
        <v>19468680.61844638</v>
      </c>
      <c r="L118" s="175">
        <v>38186076.624457926</v>
      </c>
      <c r="M118" s="235">
        <v>3360708.036011545</v>
      </c>
      <c r="N118" s="236">
        <v>617521.21289638057</v>
      </c>
      <c r="O118" s="175">
        <v>3978229.2489079237</v>
      </c>
      <c r="P118" s="237">
        <v>0.1162958079540356</v>
      </c>
      <c r="Q118" s="238">
        <v>0.19961046698363211</v>
      </c>
      <c r="R118" s="239">
        <v>1.6996525262238116E-3</v>
      </c>
      <c r="S118" s="240">
        <v>0.20614925300876408</v>
      </c>
      <c r="T118" s="239">
        <v>2.07161006775011E-3</v>
      </c>
      <c r="U118" s="241">
        <v>6.5387860251319707E-3</v>
      </c>
      <c r="V118" s="242">
        <v>3.7195754152629843E-4</v>
      </c>
      <c r="W118" s="243">
        <v>252.02817561353393</v>
      </c>
      <c r="X118" s="244">
        <v>169.96525262238114</v>
      </c>
      <c r="Y118" s="245">
        <v>421.99342823591508</v>
      </c>
      <c r="Z118" s="246">
        <v>260.28404684886556</v>
      </c>
      <c r="AA118" s="244">
        <v>207.161006775011</v>
      </c>
      <c r="AB118" s="245">
        <v>467.44505362387656</v>
      </c>
      <c r="AC118" s="247">
        <v>8.2558712353316253</v>
      </c>
      <c r="AD118" s="247">
        <v>37.19575415262986</v>
      </c>
      <c r="AE118" s="248">
        <v>45.451625387961485</v>
      </c>
      <c r="AF118" s="234">
        <f>-SUMIF('[1]Alt Fac'!$A$18:$A$139,'REPORT 4 - PROPERTY TAX'!A118,'[1]Alt Fac'!$U$18:$U$139)</f>
        <v>0</v>
      </c>
      <c r="AG118" s="247">
        <f t="shared" si="7"/>
        <v>506.97605454710566</v>
      </c>
      <c r="AH118" s="234">
        <f t="shared" si="8"/>
        <v>64.049502464276387</v>
      </c>
      <c r="AI118" s="234">
        <f t="shared" si="6"/>
        <v>571.02555701138203</v>
      </c>
      <c r="AJ118" s="170"/>
      <c r="AK118" s="170"/>
      <c r="AL118" s="170"/>
      <c r="AM118" s="170"/>
      <c r="AN118" s="170"/>
      <c r="AO118" s="234"/>
    </row>
    <row r="119" spans="1:41" x14ac:dyDescent="0.25">
      <c r="A119" s="274">
        <v>271</v>
      </c>
      <c r="B119" s="274">
        <v>1</v>
      </c>
      <c r="C119" s="275" t="s">
        <v>392</v>
      </c>
      <c r="D119" s="276">
        <v>3</v>
      </c>
      <c r="E119" s="272">
        <v>104337801</v>
      </c>
      <c r="F119" s="273">
        <v>10170822775</v>
      </c>
      <c r="G119" s="234">
        <v>20695670.25</v>
      </c>
      <c r="H119" s="234">
        <v>15888090.635168821</v>
      </c>
      <c r="I119" s="174">
        <v>36583760.885168821</v>
      </c>
      <c r="J119" s="234">
        <v>23544710.229168169</v>
      </c>
      <c r="K119" s="234">
        <v>15161754.082233539</v>
      </c>
      <c r="L119" s="175">
        <v>38706464.31140171</v>
      </c>
      <c r="M119" s="235">
        <v>2849039.9791681692</v>
      </c>
      <c r="N119" s="236">
        <v>-726336.55293528177</v>
      </c>
      <c r="O119" s="175">
        <v>2122703.4262328893</v>
      </c>
      <c r="P119" s="237">
        <v>5.8023105740706946E-2</v>
      </c>
      <c r="Q119" s="238">
        <v>0.15227549826518599</v>
      </c>
      <c r="R119" s="239">
        <v>2.0348078722667549E-3</v>
      </c>
      <c r="S119" s="240">
        <v>0.14531410415898585</v>
      </c>
      <c r="T119" s="239">
        <v>2.3149268009114601E-3</v>
      </c>
      <c r="U119" s="241">
        <v>-6.9613941062001417E-3</v>
      </c>
      <c r="V119" s="242">
        <v>2.8011892864470518E-4</v>
      </c>
      <c r="W119" s="243">
        <v>192.26304410962385</v>
      </c>
      <c r="X119" s="244">
        <v>203.48078722667549</v>
      </c>
      <c r="Y119" s="245">
        <v>395.74383133629931</v>
      </c>
      <c r="Z119" s="246">
        <v>183.47358791113555</v>
      </c>
      <c r="AA119" s="244">
        <v>231.49268009114601</v>
      </c>
      <c r="AB119" s="245">
        <v>414.96626800228159</v>
      </c>
      <c r="AC119" s="247">
        <v>-8.7894561984882955</v>
      </c>
      <c r="AD119" s="247">
        <v>28.011892864470525</v>
      </c>
      <c r="AE119" s="248">
        <v>19.222436665982286</v>
      </c>
      <c r="AF119" s="234">
        <f>-SUMIF('[1]Alt Fac'!$A$18:$A$139,'REPORT 4 - PROPERTY TAX'!A119,'[1]Alt Fac'!$U$18:$U$139)</f>
        <v>-951949.63673566992</v>
      </c>
      <c r="AG119" s="247">
        <f t="shared" si="7"/>
        <v>497.48422494963711</v>
      </c>
      <c r="AH119" s="234">
        <f t="shared" si="8"/>
        <v>33.228383098217478</v>
      </c>
      <c r="AI119" s="234">
        <f t="shared" si="6"/>
        <v>530.71260804785459</v>
      </c>
      <c r="AJ119" s="170"/>
      <c r="AK119" s="170"/>
      <c r="AL119" s="170"/>
      <c r="AM119" s="170"/>
      <c r="AN119" s="170"/>
      <c r="AO119" s="234"/>
    </row>
    <row r="120" spans="1:41" x14ac:dyDescent="0.25">
      <c r="A120" s="274">
        <v>272</v>
      </c>
      <c r="B120" s="274">
        <v>1</v>
      </c>
      <c r="C120" s="275" t="s">
        <v>394</v>
      </c>
      <c r="D120" s="276">
        <v>3</v>
      </c>
      <c r="E120" s="272">
        <v>89397791</v>
      </c>
      <c r="F120" s="273">
        <v>8580727600</v>
      </c>
      <c r="G120" s="234">
        <v>14657797.710000001</v>
      </c>
      <c r="H120" s="234">
        <v>17284018.481265869</v>
      </c>
      <c r="I120" s="174">
        <v>31941816.19126587</v>
      </c>
      <c r="J120" s="234">
        <v>16789424.268314533</v>
      </c>
      <c r="K120" s="234">
        <v>17632069.354967393</v>
      </c>
      <c r="L120" s="175">
        <v>34421493.623281926</v>
      </c>
      <c r="M120" s="235">
        <v>2131626.558314532</v>
      </c>
      <c r="N120" s="236">
        <v>348050.87370152399</v>
      </c>
      <c r="O120" s="175">
        <v>2479677.432016056</v>
      </c>
      <c r="P120" s="237">
        <v>7.7631071983129629E-2</v>
      </c>
      <c r="Q120" s="238">
        <v>0.19333831728868858</v>
      </c>
      <c r="R120" s="239">
        <v>1.7082231709581366E-3</v>
      </c>
      <c r="S120" s="240">
        <v>0.19723159999521009</v>
      </c>
      <c r="T120" s="239">
        <v>1.9566434282699443E-3</v>
      </c>
      <c r="U120" s="241">
        <v>3.8932827065215059E-3</v>
      </c>
      <c r="V120" s="242">
        <v>2.4842025731180778E-4</v>
      </c>
      <c r="W120" s="243">
        <v>244.10895940869824</v>
      </c>
      <c r="X120" s="244">
        <v>170.82231709581364</v>
      </c>
      <c r="Y120" s="245">
        <v>414.93127650451186</v>
      </c>
      <c r="Z120" s="246">
        <v>249.02461815395228</v>
      </c>
      <c r="AA120" s="244">
        <v>195.66434282699444</v>
      </c>
      <c r="AB120" s="245">
        <v>444.68896098094672</v>
      </c>
      <c r="AC120" s="247">
        <v>4.915658745254035</v>
      </c>
      <c r="AD120" s="247">
        <v>24.842025731180797</v>
      </c>
      <c r="AE120" s="248">
        <v>29.757684476434861</v>
      </c>
      <c r="AF120" s="234">
        <f>-SUMIF('[1]Alt Fac'!$A$18:$A$139,'REPORT 4 - PROPERTY TAX'!A120,'[1]Alt Fac'!$U$18:$U$139)</f>
        <v>0</v>
      </c>
      <c r="AG120" s="247">
        <f t="shared" si="7"/>
        <v>500.34243505241875</v>
      </c>
      <c r="AH120" s="234">
        <f t="shared" si="8"/>
        <v>42.178697342025224</v>
      </c>
      <c r="AI120" s="234">
        <f t="shared" si="6"/>
        <v>542.52113239444395</v>
      </c>
      <c r="AJ120" s="170"/>
      <c r="AK120" s="170"/>
      <c r="AL120" s="170"/>
      <c r="AM120" s="170"/>
      <c r="AN120" s="170"/>
      <c r="AO120" s="234"/>
    </row>
    <row r="121" spans="1:41" x14ac:dyDescent="0.25">
      <c r="A121" s="274">
        <v>273</v>
      </c>
      <c r="B121" s="274">
        <v>1</v>
      </c>
      <c r="C121" s="275" t="s">
        <v>396</v>
      </c>
      <c r="D121" s="276">
        <v>2</v>
      </c>
      <c r="E121" s="272">
        <v>86795283</v>
      </c>
      <c r="F121" s="273">
        <v>7822483100</v>
      </c>
      <c r="G121" s="234">
        <v>16679739.689999999</v>
      </c>
      <c r="H121" s="234">
        <v>16210799.937074838</v>
      </c>
      <c r="I121" s="174">
        <v>32890539.627074838</v>
      </c>
      <c r="J121" s="234">
        <v>19093819.891759735</v>
      </c>
      <c r="K121" s="234">
        <v>16397888.697039112</v>
      </c>
      <c r="L121" s="175">
        <v>35491708.588798851</v>
      </c>
      <c r="M121" s="235">
        <v>2414080.2017597351</v>
      </c>
      <c r="N121" s="236">
        <v>187088.75996427424</v>
      </c>
      <c r="O121" s="175">
        <v>2601168.9617240131</v>
      </c>
      <c r="P121" s="237">
        <v>7.9085627393683217E-2</v>
      </c>
      <c r="Q121" s="238">
        <v>0.18677051766827971</v>
      </c>
      <c r="R121" s="239">
        <v>2.1322819719482677E-3</v>
      </c>
      <c r="S121" s="240">
        <v>0.18892603526667587</v>
      </c>
      <c r="T121" s="239">
        <v>2.4408898872226052E-3</v>
      </c>
      <c r="U121" s="241">
        <v>2.1555175983961616E-3</v>
      </c>
      <c r="V121" s="242">
        <v>3.0860791527433746E-4</v>
      </c>
      <c r="W121" s="243">
        <v>235.81645560796997</v>
      </c>
      <c r="X121" s="244">
        <v>213.22819719482678</v>
      </c>
      <c r="Y121" s="245">
        <v>449.04465280279675</v>
      </c>
      <c r="Z121" s="246">
        <v>238.53801212770497</v>
      </c>
      <c r="AA121" s="244">
        <v>244.08898872226052</v>
      </c>
      <c r="AB121" s="245">
        <v>482.6270008499655</v>
      </c>
      <c r="AC121" s="247">
        <v>2.7215565197350031</v>
      </c>
      <c r="AD121" s="247">
        <v>30.860791527433747</v>
      </c>
      <c r="AE121" s="248">
        <v>33.58234804716875</v>
      </c>
      <c r="AF121" s="234">
        <f>-SUMIF('[1]Alt Fac'!$A$18:$A$139,'REPORT 4 - PROPERTY TAX'!A121,'[1]Alt Fac'!$U$18:$U$139)</f>
        <v>0</v>
      </c>
      <c r="AG121" s="247">
        <f t="shared" si="7"/>
        <v>555.65875140021012</v>
      </c>
      <c r="AH121" s="234">
        <f t="shared" si="8"/>
        <v>49.012743810885617</v>
      </c>
      <c r="AI121" s="234">
        <f t="shared" si="6"/>
        <v>604.6714952110957</v>
      </c>
      <c r="AJ121" s="170"/>
      <c r="AK121" s="170"/>
      <c r="AL121" s="170"/>
      <c r="AM121" s="170"/>
      <c r="AN121" s="170"/>
      <c r="AO121" s="234"/>
    </row>
    <row r="122" spans="1:41" x14ac:dyDescent="0.25">
      <c r="A122" s="274">
        <v>276</v>
      </c>
      <c r="B122" s="274">
        <v>1</v>
      </c>
      <c r="C122" s="275" t="s">
        <v>397</v>
      </c>
      <c r="D122" s="276">
        <v>3</v>
      </c>
      <c r="E122" s="272">
        <v>80525086</v>
      </c>
      <c r="F122" s="273">
        <v>7229065650</v>
      </c>
      <c r="G122" s="234">
        <v>17259114.829999998</v>
      </c>
      <c r="H122" s="234">
        <v>9727556.9227854218</v>
      </c>
      <c r="I122" s="174">
        <v>26986671.752785422</v>
      </c>
      <c r="J122" s="234">
        <v>19234243.204304237</v>
      </c>
      <c r="K122" s="234">
        <v>9964165.8117671236</v>
      </c>
      <c r="L122" s="175">
        <v>29198409.016071361</v>
      </c>
      <c r="M122" s="235">
        <v>1975128.3743042387</v>
      </c>
      <c r="N122" s="236">
        <v>236608.88898170181</v>
      </c>
      <c r="O122" s="175">
        <v>2211737.2632859387</v>
      </c>
      <c r="P122" s="237">
        <v>8.1956651918651466E-2</v>
      </c>
      <c r="Q122" s="238">
        <v>0.12080157136107153</v>
      </c>
      <c r="R122" s="239">
        <v>2.3874613491717284E-3</v>
      </c>
      <c r="S122" s="240">
        <v>0.12373989655555442</v>
      </c>
      <c r="T122" s="239">
        <v>2.6606817721048412E-3</v>
      </c>
      <c r="U122" s="241">
        <v>2.9383251944828936E-3</v>
      </c>
      <c r="V122" s="242">
        <v>2.7322042293311281E-4</v>
      </c>
      <c r="W122" s="243">
        <v>152.52406400048892</v>
      </c>
      <c r="X122" s="244">
        <v>238.74613491717284</v>
      </c>
      <c r="Y122" s="245">
        <v>391.27019891766179</v>
      </c>
      <c r="Z122" s="246">
        <v>156.23399339104304</v>
      </c>
      <c r="AA122" s="244">
        <v>266.06817721048412</v>
      </c>
      <c r="AB122" s="245">
        <v>422.30217060152717</v>
      </c>
      <c r="AC122" s="247">
        <v>3.7099293905541231</v>
      </c>
      <c r="AD122" s="247">
        <v>27.322042293311284</v>
      </c>
      <c r="AE122" s="248">
        <v>31.031971683865379</v>
      </c>
      <c r="AF122" s="234">
        <f>-SUMIF('[1]Alt Fac'!$A$18:$A$139,'REPORT 4 - PROPERTY TAX'!A122,'[1]Alt Fac'!$U$18:$U$139)</f>
        <v>0</v>
      </c>
      <c r="AG122" s="247">
        <f t="shared" si="7"/>
        <v>510.64326637624816</v>
      </c>
      <c r="AH122" s="234">
        <f t="shared" si="8"/>
        <v>44.692992830521021</v>
      </c>
      <c r="AI122" s="234">
        <f t="shared" si="6"/>
        <v>555.33625920676923</v>
      </c>
      <c r="AJ122" s="170"/>
      <c r="AK122" s="170"/>
      <c r="AL122" s="170"/>
      <c r="AM122" s="170"/>
      <c r="AN122" s="170"/>
      <c r="AO122" s="234"/>
    </row>
    <row r="123" spans="1:41" x14ac:dyDescent="0.25">
      <c r="A123" s="274">
        <v>277</v>
      </c>
      <c r="B123" s="274">
        <v>1</v>
      </c>
      <c r="C123" s="275" t="s">
        <v>399</v>
      </c>
      <c r="D123" s="276">
        <v>3</v>
      </c>
      <c r="E123" s="272">
        <v>35819530</v>
      </c>
      <c r="F123" s="273">
        <v>3347372950</v>
      </c>
      <c r="G123" s="234">
        <v>4582995.24</v>
      </c>
      <c r="H123" s="234">
        <v>2318192.4800000004</v>
      </c>
      <c r="I123" s="174">
        <v>6901187.7200000007</v>
      </c>
      <c r="J123" s="234">
        <v>5978573.472486943</v>
      </c>
      <c r="K123" s="234">
        <v>3066865.6182819568</v>
      </c>
      <c r="L123" s="175">
        <v>9045439.0907688998</v>
      </c>
      <c r="M123" s="235">
        <v>1395578.2324869428</v>
      </c>
      <c r="N123" s="236">
        <v>748673.13828195632</v>
      </c>
      <c r="O123" s="175">
        <v>2144251.3707688991</v>
      </c>
      <c r="P123" s="237">
        <v>0.3107075850950623</v>
      </c>
      <c r="Q123" s="238">
        <v>6.4718673863113238E-2</v>
      </c>
      <c r="R123" s="239">
        <v>1.3691319456949069E-3</v>
      </c>
      <c r="S123" s="240">
        <v>8.5619929080084436E-2</v>
      </c>
      <c r="T123" s="239">
        <v>1.7860494070393151E-3</v>
      </c>
      <c r="U123" s="241">
        <v>2.0901255216971198E-2</v>
      </c>
      <c r="V123" s="242">
        <v>4.1691746134440814E-4</v>
      </c>
      <c r="W123" s="243">
        <v>81.713797619566776</v>
      </c>
      <c r="X123" s="244">
        <v>136.91319456949068</v>
      </c>
      <c r="Y123" s="245">
        <v>218.62699218905746</v>
      </c>
      <c r="Z123" s="246">
        <v>108.10372245651462</v>
      </c>
      <c r="AA123" s="244">
        <v>178.6049407039315</v>
      </c>
      <c r="AB123" s="245">
        <v>286.70866316044612</v>
      </c>
      <c r="AC123" s="247">
        <v>26.389924836947841</v>
      </c>
      <c r="AD123" s="247">
        <v>41.69174613444082</v>
      </c>
      <c r="AE123" s="248">
        <v>68.081670971388661</v>
      </c>
      <c r="AF123" s="234">
        <f>-SUMIF('[1]Alt Fac'!$A$18:$A$139,'REPORT 4 - PROPERTY TAX'!A123,'[1]Alt Fac'!$U$18:$U$139)</f>
        <v>0</v>
      </c>
      <c r="AG123" s="247">
        <f t="shared" si="7"/>
        <v>287.08358947380282</v>
      </c>
      <c r="AH123" s="234">
        <f t="shared" si="8"/>
        <v>88.927544038609057</v>
      </c>
      <c r="AI123" s="234">
        <f t="shared" si="6"/>
        <v>376.0111335124119</v>
      </c>
      <c r="AJ123" s="170"/>
      <c r="AK123" s="170"/>
      <c r="AL123" s="170"/>
      <c r="AM123" s="170"/>
      <c r="AN123" s="170"/>
      <c r="AO123" s="234"/>
    </row>
    <row r="124" spans="1:41" x14ac:dyDescent="0.25">
      <c r="A124" s="274">
        <v>278</v>
      </c>
      <c r="B124" s="274">
        <v>1</v>
      </c>
      <c r="C124" s="275" t="s">
        <v>401</v>
      </c>
      <c r="D124" s="276">
        <v>3</v>
      </c>
      <c r="E124" s="272">
        <v>36576936</v>
      </c>
      <c r="F124" s="273">
        <v>3285366900</v>
      </c>
      <c r="G124" s="234">
        <v>4358056.84</v>
      </c>
      <c r="H124" s="234">
        <v>5591773.5320000006</v>
      </c>
      <c r="I124" s="174">
        <v>9949830.3720000014</v>
      </c>
      <c r="J124" s="234">
        <v>5985913.8699644618</v>
      </c>
      <c r="K124" s="234">
        <v>6050112.5957755176</v>
      </c>
      <c r="L124" s="175">
        <v>12036026.46573998</v>
      </c>
      <c r="M124" s="235">
        <v>1627857.0299644619</v>
      </c>
      <c r="N124" s="236">
        <v>458339.06377551705</v>
      </c>
      <c r="O124" s="175">
        <v>2086196.093739979</v>
      </c>
      <c r="P124" s="237">
        <v>0.20967152360815933</v>
      </c>
      <c r="Q124" s="238">
        <v>0.15287703518960694</v>
      </c>
      <c r="R124" s="239">
        <v>1.3265053714396403E-3</v>
      </c>
      <c r="S124" s="240">
        <v>0.16540785690128659</v>
      </c>
      <c r="T124" s="239">
        <v>1.8219925056055268E-3</v>
      </c>
      <c r="U124" s="241">
        <v>1.2530821711679657E-2</v>
      </c>
      <c r="V124" s="242">
        <v>4.9548713416588648E-4</v>
      </c>
      <c r="W124" s="243">
        <v>193.02254463039773</v>
      </c>
      <c r="X124" s="244">
        <v>132.65053714396402</v>
      </c>
      <c r="Y124" s="245">
        <v>325.67308177436178</v>
      </c>
      <c r="Z124" s="246">
        <v>208.84396012356447</v>
      </c>
      <c r="AA124" s="244">
        <v>182.19925056055268</v>
      </c>
      <c r="AB124" s="245">
        <v>391.04321068411718</v>
      </c>
      <c r="AC124" s="247">
        <v>15.821415493166739</v>
      </c>
      <c r="AD124" s="247">
        <v>49.548713416588669</v>
      </c>
      <c r="AE124" s="248">
        <v>65.370128909755408</v>
      </c>
      <c r="AF124" s="234">
        <f>-SUMIF('[1]Alt Fac'!$A$18:$A$139,'REPORT 4 - PROPERTY TAX'!A124,'[1]Alt Fac'!$U$18:$U$139)</f>
        <v>0</v>
      </c>
      <c r="AG124" s="247">
        <f t="shared" si="7"/>
        <v>391.99835034634378</v>
      </c>
      <c r="AH124" s="234">
        <f t="shared" si="8"/>
        <v>90.144485618049714</v>
      </c>
      <c r="AI124" s="234">
        <f t="shared" si="6"/>
        <v>482.1428359643935</v>
      </c>
      <c r="AJ124" s="170"/>
      <c r="AK124" s="170"/>
      <c r="AL124" s="170"/>
      <c r="AM124" s="170"/>
      <c r="AN124" s="170"/>
      <c r="AO124" s="234"/>
    </row>
    <row r="125" spans="1:41" x14ac:dyDescent="0.25">
      <c r="A125" s="274">
        <v>279</v>
      </c>
      <c r="B125" s="274">
        <v>1</v>
      </c>
      <c r="C125" s="275" t="s">
        <v>403</v>
      </c>
      <c r="D125" s="276">
        <v>3</v>
      </c>
      <c r="E125" s="272">
        <v>144805065</v>
      </c>
      <c r="F125" s="273">
        <v>13027371800</v>
      </c>
      <c r="G125" s="234">
        <v>36396274.455882356</v>
      </c>
      <c r="H125" s="234">
        <v>31057277.273300998</v>
      </c>
      <c r="I125" s="174">
        <v>67453551.729183346</v>
      </c>
      <c r="J125" s="234">
        <v>34973181.624351084</v>
      </c>
      <c r="K125" s="234">
        <v>30777064.048811272</v>
      </c>
      <c r="L125" s="175">
        <v>65750245.673162356</v>
      </c>
      <c r="M125" s="235">
        <v>-1423092.8315312713</v>
      </c>
      <c r="N125" s="236">
        <v>-280213.22448972613</v>
      </c>
      <c r="O125" s="175">
        <v>-1703306.05602099</v>
      </c>
      <c r="P125" s="237">
        <v>-2.52515399464735E-2</v>
      </c>
      <c r="Q125" s="238">
        <v>0.21447645683734196</v>
      </c>
      <c r="R125" s="239">
        <v>2.7938309441573133E-3</v>
      </c>
      <c r="S125" s="240">
        <v>0.21254135032370083</v>
      </c>
      <c r="T125" s="239">
        <v>2.6845922693594332E-3</v>
      </c>
      <c r="U125" s="241">
        <v>-1.9351065136411216E-3</v>
      </c>
      <c r="V125" s="242">
        <v>-1.0923867479788012E-4</v>
      </c>
      <c r="W125" s="243">
        <v>270.797974402828</v>
      </c>
      <c r="X125" s="244">
        <v>279.38309441573131</v>
      </c>
      <c r="Y125" s="245">
        <v>550.18106881855931</v>
      </c>
      <c r="Z125" s="246">
        <v>268.35470891870472</v>
      </c>
      <c r="AA125" s="244">
        <v>268.45922693594332</v>
      </c>
      <c r="AB125" s="245">
        <v>536.81393585464798</v>
      </c>
      <c r="AC125" s="247">
        <v>-2.4432654841232875</v>
      </c>
      <c r="AD125" s="247">
        <v>-10.923867479787987</v>
      </c>
      <c r="AE125" s="248">
        <v>-13.367132963911331</v>
      </c>
      <c r="AF125" s="234">
        <f>-SUMIF('[1]Alt Fac'!$A$18:$A$139,'REPORT 4 - PROPERTY TAX'!A125,'[1]Alt Fac'!$U$18:$U$139)</f>
        <v>0</v>
      </c>
      <c r="AG125" s="247">
        <f t="shared" si="7"/>
        <v>689.87261602642502</v>
      </c>
      <c r="AH125" s="234">
        <f t="shared" si="8"/>
        <v>-18.829066703805299</v>
      </c>
      <c r="AI125" s="234">
        <f t="shared" si="6"/>
        <v>671.0435493226197</v>
      </c>
      <c r="AJ125" s="170"/>
      <c r="AK125" s="170"/>
      <c r="AL125" s="170"/>
      <c r="AM125" s="170"/>
      <c r="AN125" s="170"/>
      <c r="AO125" s="234"/>
    </row>
    <row r="126" spans="1:41" x14ac:dyDescent="0.25">
      <c r="A126" s="274">
        <v>280</v>
      </c>
      <c r="B126" s="274">
        <v>1</v>
      </c>
      <c r="C126" s="275" t="s">
        <v>405</v>
      </c>
      <c r="D126" s="276">
        <v>2</v>
      </c>
      <c r="E126" s="272">
        <v>35428748</v>
      </c>
      <c r="F126" s="273">
        <v>3629904825</v>
      </c>
      <c r="G126" s="234">
        <v>6564102.6800000006</v>
      </c>
      <c r="H126" s="234">
        <v>6236568.5225405367</v>
      </c>
      <c r="I126" s="174">
        <v>12800671.202540537</v>
      </c>
      <c r="J126" s="234">
        <v>7331320.572139415</v>
      </c>
      <c r="K126" s="234">
        <v>6145707.3928073393</v>
      </c>
      <c r="L126" s="175">
        <v>13477027.964946754</v>
      </c>
      <c r="M126" s="235">
        <v>767217.89213941433</v>
      </c>
      <c r="N126" s="236">
        <v>-90861.129733197391</v>
      </c>
      <c r="O126" s="175">
        <v>676356.76240621693</v>
      </c>
      <c r="P126" s="237">
        <v>5.2837601380776117E-2</v>
      </c>
      <c r="Q126" s="238">
        <v>0.17603129872217152</v>
      </c>
      <c r="R126" s="239">
        <v>1.8083401621969526E-3</v>
      </c>
      <c r="S126" s="240">
        <v>0.17346668284206201</v>
      </c>
      <c r="T126" s="239">
        <v>2.0197004950782463E-3</v>
      </c>
      <c r="U126" s="241">
        <v>-2.5646158801095054E-3</v>
      </c>
      <c r="V126" s="242">
        <v>2.1136033288129377E-4</v>
      </c>
      <c r="W126" s="243">
        <v>222.25711776661379</v>
      </c>
      <c r="X126" s="244">
        <v>180.83401621969526</v>
      </c>
      <c r="Y126" s="245">
        <v>403.09113398630905</v>
      </c>
      <c r="Z126" s="246">
        <v>219.01903375638753</v>
      </c>
      <c r="AA126" s="244">
        <v>201.97004950782463</v>
      </c>
      <c r="AB126" s="245">
        <v>420.98908326421213</v>
      </c>
      <c r="AC126" s="247">
        <v>-3.2380840102262596</v>
      </c>
      <c r="AD126" s="247">
        <v>21.136033288129369</v>
      </c>
      <c r="AE126" s="248">
        <v>17.897949277903081</v>
      </c>
      <c r="AF126" s="234">
        <f>-SUMIF('[1]Alt Fac'!$A$18:$A$139,'REPORT 4 - PROPERTY TAX'!A126,'[1]Alt Fac'!$U$18:$U$139)</f>
        <v>0</v>
      </c>
      <c r="AG126" s="247">
        <f t="shared" si="7"/>
        <v>493.50814209615669</v>
      </c>
      <c r="AH126" s="234">
        <f t="shared" si="8"/>
        <v>28.465965921967804</v>
      </c>
      <c r="AI126" s="234">
        <f t="shared" si="6"/>
        <v>521.97410801812453</v>
      </c>
      <c r="AJ126" s="170"/>
      <c r="AK126" s="170"/>
      <c r="AL126" s="170"/>
      <c r="AM126" s="170"/>
      <c r="AN126" s="170"/>
      <c r="AO126" s="234"/>
    </row>
    <row r="127" spans="1:41" x14ac:dyDescent="0.25">
      <c r="A127" s="274">
        <v>281</v>
      </c>
      <c r="B127" s="274">
        <v>1</v>
      </c>
      <c r="C127" s="275" t="s">
        <v>407</v>
      </c>
      <c r="D127" s="276">
        <v>2</v>
      </c>
      <c r="E127" s="272">
        <v>91283778</v>
      </c>
      <c r="F127" s="273">
        <v>7936214800</v>
      </c>
      <c r="G127" s="234">
        <v>24424297.25</v>
      </c>
      <c r="H127" s="234">
        <v>21782677.191880278</v>
      </c>
      <c r="I127" s="174">
        <v>46206974.441880278</v>
      </c>
      <c r="J127" s="234">
        <v>23558990.204002697</v>
      </c>
      <c r="K127" s="234">
        <v>22593689.343983922</v>
      </c>
      <c r="L127" s="175">
        <v>46152679.547986619</v>
      </c>
      <c r="M127" s="235">
        <v>-865307.04599730298</v>
      </c>
      <c r="N127" s="236">
        <v>811012.15210364386</v>
      </c>
      <c r="O127" s="175">
        <v>-54294.893893659115</v>
      </c>
      <c r="P127" s="237">
        <v>-1.1750367677059645E-3</v>
      </c>
      <c r="Q127" s="238">
        <v>0.23862593846499516</v>
      </c>
      <c r="R127" s="239">
        <v>3.0775751243527329E-3</v>
      </c>
      <c r="S127" s="240">
        <v>0.24751045409167796</v>
      </c>
      <c r="T127" s="239">
        <v>2.9685424094119399E-3</v>
      </c>
      <c r="U127" s="241">
        <v>8.8845156266827985E-3</v>
      </c>
      <c r="V127" s="242">
        <v>-1.0903271494079299E-4</v>
      </c>
      <c r="W127" s="243">
        <v>301.28910990590293</v>
      </c>
      <c r="X127" s="244">
        <v>307.75751243527327</v>
      </c>
      <c r="Y127" s="245">
        <v>609.0466223411762</v>
      </c>
      <c r="Z127" s="246">
        <v>312.50669933615262</v>
      </c>
      <c r="AA127" s="244">
        <v>296.85424094119401</v>
      </c>
      <c r="AB127" s="245">
        <v>609.36094027734657</v>
      </c>
      <c r="AC127" s="247">
        <v>11.217589430249689</v>
      </c>
      <c r="AD127" s="247">
        <v>-10.903271494079263</v>
      </c>
      <c r="AE127" s="248">
        <v>0.31431793617036874</v>
      </c>
      <c r="AF127" s="234">
        <f>-SUMIF('[1]Alt Fac'!$A$18:$A$139,'REPORT 4 - PROPERTY TAX'!A127,'[1]Alt Fac'!$U$18:$U$139)</f>
        <v>900000</v>
      </c>
      <c r="AG127" s="247">
        <f t="shared" si="7"/>
        <v>762.92537855881289</v>
      </c>
      <c r="AH127" s="234">
        <f t="shared" si="8"/>
        <v>-5.137317810869245</v>
      </c>
      <c r="AI127" s="234">
        <f t="shared" si="6"/>
        <v>757.78806074794363</v>
      </c>
      <c r="AJ127" s="170"/>
      <c r="AK127" s="170"/>
      <c r="AL127" s="170"/>
      <c r="AM127" s="170"/>
      <c r="AN127" s="170"/>
      <c r="AO127" s="234"/>
    </row>
    <row r="128" spans="1:41" x14ac:dyDescent="0.25">
      <c r="A128" s="274">
        <v>282</v>
      </c>
      <c r="B128" s="274">
        <v>1</v>
      </c>
      <c r="C128" s="275" t="s">
        <v>409</v>
      </c>
      <c r="D128" s="276">
        <v>2</v>
      </c>
      <c r="E128" s="272">
        <v>9350562</v>
      </c>
      <c r="F128" s="273">
        <v>896829100</v>
      </c>
      <c r="G128" s="234">
        <v>2194937.5499999998</v>
      </c>
      <c r="H128" s="234">
        <v>2687681.6499152556</v>
      </c>
      <c r="I128" s="174">
        <v>4882619.1999152554</v>
      </c>
      <c r="J128" s="234">
        <v>2216198.5583506627</v>
      </c>
      <c r="K128" s="234">
        <v>2586607.3285613689</v>
      </c>
      <c r="L128" s="175">
        <v>4802805.8869120311</v>
      </c>
      <c r="M128" s="235">
        <v>21261.008350662887</v>
      </c>
      <c r="N128" s="236">
        <v>-101074.32135388674</v>
      </c>
      <c r="O128" s="175">
        <v>-79813.313003224321</v>
      </c>
      <c r="P128" s="237">
        <v>-1.6346413622551108E-2</v>
      </c>
      <c r="Q128" s="238">
        <v>0.2874353060185319</v>
      </c>
      <c r="R128" s="239">
        <v>2.4474423833927778E-3</v>
      </c>
      <c r="S128" s="240">
        <v>0.27662586789557342</v>
      </c>
      <c r="T128" s="239">
        <v>2.471149250565869E-3</v>
      </c>
      <c r="U128" s="241">
        <v>-1.0809438122958481E-2</v>
      </c>
      <c r="V128" s="242">
        <v>2.3706867173091221E-5</v>
      </c>
      <c r="W128" s="243">
        <v>362.91581737899844</v>
      </c>
      <c r="X128" s="244">
        <v>244.74423833927779</v>
      </c>
      <c r="Y128" s="245">
        <v>607.66005571827623</v>
      </c>
      <c r="Z128" s="246">
        <v>349.26782080495104</v>
      </c>
      <c r="AA128" s="244">
        <v>247.11492505658691</v>
      </c>
      <c r="AB128" s="245">
        <v>596.38274586153796</v>
      </c>
      <c r="AC128" s="247">
        <v>-13.647996574047397</v>
      </c>
      <c r="AD128" s="247">
        <v>2.3706867173091268</v>
      </c>
      <c r="AE128" s="248">
        <v>-11.27730985673827</v>
      </c>
      <c r="AF128" s="234">
        <f>-SUMIF('[1]Alt Fac'!$A$18:$A$139,'REPORT 4 - PROPERTY TAX'!A128,'[1]Alt Fac'!$U$18:$U$139)</f>
        <v>0</v>
      </c>
      <c r="AG128" s="247">
        <f t="shared" si="7"/>
        <v>730.03217488791506</v>
      </c>
      <c r="AH128" s="234">
        <f t="shared" si="8"/>
        <v>-10.091966498083696</v>
      </c>
      <c r="AI128" s="234">
        <f t="shared" si="6"/>
        <v>719.94020838983135</v>
      </c>
      <c r="AJ128" s="170"/>
      <c r="AK128" s="170"/>
      <c r="AL128" s="170"/>
      <c r="AM128" s="170"/>
      <c r="AN128" s="170"/>
      <c r="AO128" s="234"/>
    </row>
    <row r="129" spans="1:41" x14ac:dyDescent="0.25">
      <c r="A129" s="274">
        <v>283</v>
      </c>
      <c r="B129" s="274">
        <v>1</v>
      </c>
      <c r="C129" s="275" t="s">
        <v>410</v>
      </c>
      <c r="D129" s="276">
        <v>2</v>
      </c>
      <c r="E129" s="272">
        <v>51344455</v>
      </c>
      <c r="F129" s="273">
        <v>5075077025</v>
      </c>
      <c r="G129" s="234">
        <v>9799347.1699999981</v>
      </c>
      <c r="H129" s="234">
        <v>9011802.9254466835</v>
      </c>
      <c r="I129" s="174">
        <v>18811150.095446683</v>
      </c>
      <c r="J129" s="234">
        <v>12018403.730494518</v>
      </c>
      <c r="K129" s="234">
        <v>9478117.8337854911</v>
      </c>
      <c r="L129" s="175">
        <v>21496521.564280011</v>
      </c>
      <c r="M129" s="235">
        <v>2219056.5604945198</v>
      </c>
      <c r="N129" s="236">
        <v>466314.90833880752</v>
      </c>
      <c r="O129" s="175">
        <v>2685371.4688333273</v>
      </c>
      <c r="P129" s="237">
        <v>0.14275424177723894</v>
      </c>
      <c r="Q129" s="238">
        <v>0.1755165757518837</v>
      </c>
      <c r="R129" s="239">
        <v>1.9308765407358517E-3</v>
      </c>
      <c r="S129" s="240">
        <v>0.18459866472018235</v>
      </c>
      <c r="T129" s="239">
        <v>2.3681224287417624E-3</v>
      </c>
      <c r="U129" s="241">
        <v>9.0820889682986516E-3</v>
      </c>
      <c r="V129" s="242">
        <v>4.3724588800591073E-4</v>
      </c>
      <c r="W129" s="243">
        <v>221.60722854432839</v>
      </c>
      <c r="X129" s="244">
        <v>193.08765407358516</v>
      </c>
      <c r="Y129" s="245">
        <v>414.69488261791355</v>
      </c>
      <c r="Z129" s="246">
        <v>233.07427407570228</v>
      </c>
      <c r="AA129" s="244">
        <v>236.81224287417623</v>
      </c>
      <c r="AB129" s="245">
        <v>469.88651694987851</v>
      </c>
      <c r="AC129" s="247">
        <v>11.467045531373884</v>
      </c>
      <c r="AD129" s="247">
        <v>43.724588800591079</v>
      </c>
      <c r="AE129" s="248">
        <v>55.191634331964963</v>
      </c>
      <c r="AF129" s="234">
        <f>-SUMIF('[1]Alt Fac'!$A$18:$A$139,'REPORT 4 - PROPERTY TAX'!A129,'[1]Alt Fac'!$U$18:$U$139)</f>
        <v>0</v>
      </c>
      <c r="AG129" s="247">
        <f t="shared" si="7"/>
        <v>511.23870965470616</v>
      </c>
      <c r="AH129" s="234">
        <f t="shared" si="8"/>
        <v>77.053928732260488</v>
      </c>
      <c r="AI129" s="234">
        <f t="shared" si="6"/>
        <v>588.2926383869667</v>
      </c>
      <c r="AJ129" s="170"/>
      <c r="AK129" s="170"/>
      <c r="AL129" s="170"/>
      <c r="AM129" s="170"/>
      <c r="AN129" s="170"/>
      <c r="AO129" s="234"/>
    </row>
    <row r="130" spans="1:41" x14ac:dyDescent="0.25">
      <c r="A130" s="274">
        <v>284</v>
      </c>
      <c r="B130" s="274">
        <v>1</v>
      </c>
      <c r="C130" s="275" t="s">
        <v>412</v>
      </c>
      <c r="D130" s="276">
        <v>3</v>
      </c>
      <c r="E130" s="272">
        <v>113280117</v>
      </c>
      <c r="F130" s="273">
        <v>10058702050</v>
      </c>
      <c r="G130" s="234">
        <v>20165508.280000001</v>
      </c>
      <c r="H130" s="234">
        <v>17859243.498331122</v>
      </c>
      <c r="I130" s="174">
        <v>38024751.778331123</v>
      </c>
      <c r="J130" s="234">
        <v>23485454.444073979</v>
      </c>
      <c r="K130" s="234">
        <v>18248473.428429723</v>
      </c>
      <c r="L130" s="175">
        <v>41733927.872503698</v>
      </c>
      <c r="M130" s="235">
        <v>3319946.1640739776</v>
      </c>
      <c r="N130" s="236">
        <v>389229.93009860069</v>
      </c>
      <c r="O130" s="175">
        <v>3709176.0941725746</v>
      </c>
      <c r="P130" s="237">
        <v>9.7546359166144375E-2</v>
      </c>
      <c r="Q130" s="238">
        <v>0.15765558838830579</v>
      </c>
      <c r="R130" s="239">
        <v>2.0047823446564857E-3</v>
      </c>
      <c r="S130" s="240">
        <v>0.16109158351619396</v>
      </c>
      <c r="T130" s="239">
        <v>2.3348394581459921E-3</v>
      </c>
      <c r="U130" s="241">
        <v>3.4359951278881695E-3</v>
      </c>
      <c r="V130" s="242">
        <v>3.3005711348950634E-4</v>
      </c>
      <c r="W130" s="243">
        <v>199.05594589907491</v>
      </c>
      <c r="X130" s="244">
        <v>200.47823446564857</v>
      </c>
      <c r="Y130" s="245">
        <v>399.53418036472351</v>
      </c>
      <c r="Z130" s="246">
        <v>203.3942333475465</v>
      </c>
      <c r="AA130" s="244">
        <v>233.4839458145992</v>
      </c>
      <c r="AB130" s="245">
        <v>436.87817916214567</v>
      </c>
      <c r="AC130" s="247">
        <v>4.3382874484715899</v>
      </c>
      <c r="AD130" s="247">
        <v>33.005711348950626</v>
      </c>
      <c r="AE130" s="248">
        <v>37.343998797422159</v>
      </c>
      <c r="AF130" s="234">
        <f>-SUMIF('[1]Alt Fac'!$A$18:$A$139,'REPORT 4 - PROPERTY TAX'!A130,'[1]Alt Fac'!$U$18:$U$139)</f>
        <v>0</v>
      </c>
      <c r="AG130" s="247">
        <f t="shared" si="7"/>
        <v>499.77329759754775</v>
      </c>
      <c r="AH130" s="234">
        <f t="shared" si="8"/>
        <v>53.846854471897558</v>
      </c>
      <c r="AI130" s="234">
        <f t="shared" si="6"/>
        <v>553.62015206944534</v>
      </c>
      <c r="AJ130" s="170"/>
      <c r="AK130" s="170"/>
      <c r="AL130" s="170"/>
      <c r="AM130" s="170"/>
      <c r="AN130" s="170"/>
      <c r="AO130" s="234"/>
    </row>
    <row r="131" spans="1:41" x14ac:dyDescent="0.25">
      <c r="A131" s="274">
        <v>286</v>
      </c>
      <c r="B131" s="274">
        <v>1</v>
      </c>
      <c r="C131" s="275" t="s">
        <v>414</v>
      </c>
      <c r="D131" s="276">
        <v>2</v>
      </c>
      <c r="E131" s="272">
        <v>6669357</v>
      </c>
      <c r="F131" s="273">
        <v>582752900</v>
      </c>
      <c r="G131" s="234">
        <v>750625.60903361347</v>
      </c>
      <c r="H131" s="234">
        <v>2599528.4013951095</v>
      </c>
      <c r="I131" s="174">
        <v>3350154.0104287229</v>
      </c>
      <c r="J131" s="234">
        <v>515251.62099373236</v>
      </c>
      <c r="K131" s="234">
        <v>2240972.9037983832</v>
      </c>
      <c r="L131" s="175">
        <v>2756224.5247921157</v>
      </c>
      <c r="M131" s="235">
        <v>-235373.98803988111</v>
      </c>
      <c r="N131" s="236">
        <v>-358555.49759672629</v>
      </c>
      <c r="O131" s="175">
        <v>-593929.48563660728</v>
      </c>
      <c r="P131" s="237">
        <v>-0.17728423343755514</v>
      </c>
      <c r="Q131" s="238">
        <v>0.38977196773168832</v>
      </c>
      <c r="R131" s="239">
        <v>1.2880684232264026E-3</v>
      </c>
      <c r="S131" s="240">
        <v>0.33601033859761642</v>
      </c>
      <c r="T131" s="239">
        <v>8.8416826581855256E-4</v>
      </c>
      <c r="U131" s="241">
        <v>-5.3761629134071898E-2</v>
      </c>
      <c r="V131" s="242">
        <v>-4.0390015740785E-4</v>
      </c>
      <c r="W131" s="243">
        <v>492.1260864580297</v>
      </c>
      <c r="X131" s="244">
        <v>128.80684232264025</v>
      </c>
      <c r="Y131" s="245">
        <v>620.93292878066995</v>
      </c>
      <c r="Z131" s="246">
        <v>424.24665351335057</v>
      </c>
      <c r="AA131" s="244">
        <v>88.416826581855261</v>
      </c>
      <c r="AB131" s="245">
        <v>512.66348009520584</v>
      </c>
      <c r="AC131" s="247">
        <v>-67.879432944679138</v>
      </c>
      <c r="AD131" s="247">
        <v>-40.390015740784989</v>
      </c>
      <c r="AE131" s="248">
        <v>-108.26944868546411</v>
      </c>
      <c r="AF131" s="234">
        <f>-SUMIF('[1]Alt Fac'!$A$18:$A$139,'REPORT 4 - PROPERTY TAX'!A131,'[1]Alt Fac'!$U$18:$U$139)</f>
        <v>0</v>
      </c>
      <c r="AG131" s="247">
        <f t="shared" si="7"/>
        <v>685.33634994199008</v>
      </c>
      <c r="AH131" s="234">
        <f t="shared" si="8"/>
        <v>-128.46445655585669</v>
      </c>
      <c r="AI131" s="234">
        <f t="shared" si="6"/>
        <v>556.87189338613337</v>
      </c>
      <c r="AJ131" s="170"/>
      <c r="AK131" s="170"/>
      <c r="AL131" s="170"/>
      <c r="AM131" s="170"/>
      <c r="AN131" s="170"/>
      <c r="AO131" s="234"/>
    </row>
    <row r="132" spans="1:41" x14ac:dyDescent="0.25">
      <c r="A132" s="274">
        <v>294</v>
      </c>
      <c r="B132" s="274">
        <v>1</v>
      </c>
      <c r="C132" s="275" t="s">
        <v>294</v>
      </c>
      <c r="D132" s="276">
        <v>5</v>
      </c>
      <c r="E132" s="272">
        <v>2767733</v>
      </c>
      <c r="F132" s="273">
        <v>155291315</v>
      </c>
      <c r="G132" s="234">
        <v>672635.450882353</v>
      </c>
      <c r="H132" s="234">
        <v>348447.80311872589</v>
      </c>
      <c r="I132" s="174">
        <v>1021083.2540010789</v>
      </c>
      <c r="J132" s="234">
        <v>134632.47962581753</v>
      </c>
      <c r="K132" s="234">
        <v>314689.83882760874</v>
      </c>
      <c r="L132" s="175">
        <v>449322.31845342624</v>
      </c>
      <c r="M132" s="235">
        <v>-538002.9712565355</v>
      </c>
      <c r="N132" s="236">
        <v>-33757.964291117154</v>
      </c>
      <c r="O132" s="175">
        <v>-571760.93554765265</v>
      </c>
      <c r="P132" s="237">
        <v>-0.55995525664261703</v>
      </c>
      <c r="Q132" s="238">
        <v>0.12589646585083383</v>
      </c>
      <c r="R132" s="239">
        <v>4.331442816891292E-3</v>
      </c>
      <c r="S132" s="240">
        <v>0.1136994929885248</v>
      </c>
      <c r="T132" s="239">
        <v>8.6696721980760827E-4</v>
      </c>
      <c r="U132" s="241">
        <v>-1.219697286230903E-2</v>
      </c>
      <c r="V132" s="242">
        <v>-3.4644755970836836E-3</v>
      </c>
      <c r="W132" s="243">
        <v>158.95687778326283</v>
      </c>
      <c r="X132" s="244">
        <v>433.14428168912923</v>
      </c>
      <c r="Y132" s="245">
        <v>592.10115947239206</v>
      </c>
      <c r="Z132" s="246">
        <v>143.55697984731142</v>
      </c>
      <c r="AA132" s="244">
        <v>86.696721980760827</v>
      </c>
      <c r="AB132" s="245">
        <v>230.25370182807225</v>
      </c>
      <c r="AC132" s="247">
        <v>-15.399897935951401</v>
      </c>
      <c r="AD132" s="247">
        <v>-346.44755970836843</v>
      </c>
      <c r="AE132" s="248">
        <v>-361.84745764431977</v>
      </c>
      <c r="AF132" s="234">
        <f>-SUMIF('[1]Alt Fac'!$A$18:$A$139,'REPORT 4 - PROPERTY TAX'!A132,'[1]Alt Fac'!$U$18:$U$139)</f>
        <v>0</v>
      </c>
      <c r="AG132" s="247">
        <f t="shared" si="7"/>
        <v>808.67330031695667</v>
      </c>
      <c r="AH132" s="234">
        <f t="shared" si="8"/>
        <v>-535.07123749850393</v>
      </c>
      <c r="AI132" s="234">
        <f t="shared" si="6"/>
        <v>273.60206281845274</v>
      </c>
      <c r="AJ132" s="170"/>
      <c r="AK132" s="170"/>
      <c r="AL132" s="170"/>
      <c r="AM132" s="170"/>
      <c r="AN132" s="170"/>
      <c r="AO132" s="234"/>
    </row>
    <row r="133" spans="1:41" x14ac:dyDescent="0.25">
      <c r="A133" s="274">
        <v>297</v>
      </c>
      <c r="B133" s="274">
        <v>1</v>
      </c>
      <c r="C133" s="275" t="s">
        <v>377</v>
      </c>
      <c r="D133" s="276">
        <v>6</v>
      </c>
      <c r="E133" s="272">
        <v>1886438</v>
      </c>
      <c r="F133" s="273">
        <v>100263125</v>
      </c>
      <c r="G133" s="234">
        <v>419824.05351067538</v>
      </c>
      <c r="H133" s="234">
        <v>133907.87306297169</v>
      </c>
      <c r="I133" s="174">
        <v>553731.92657364707</v>
      </c>
      <c r="J133" s="234">
        <v>306205.42628423322</v>
      </c>
      <c r="K133" s="234">
        <v>119334.76653107672</v>
      </c>
      <c r="L133" s="175">
        <v>425540.19281530997</v>
      </c>
      <c r="M133" s="235">
        <v>-113618.62722644216</v>
      </c>
      <c r="N133" s="236">
        <v>-14573.10653189497</v>
      </c>
      <c r="O133" s="175">
        <v>-128191.7337583371</v>
      </c>
      <c r="P133" s="237">
        <v>-0.23150504351727574</v>
      </c>
      <c r="Q133" s="238">
        <v>7.0984507873024016E-2</v>
      </c>
      <c r="R133" s="239">
        <v>4.1872229048383978E-3</v>
      </c>
      <c r="S133" s="240">
        <v>6.3259310155476464E-2</v>
      </c>
      <c r="T133" s="239">
        <v>3.0540183769878827E-3</v>
      </c>
      <c r="U133" s="241">
        <v>-7.7251977175475522E-3</v>
      </c>
      <c r="V133" s="242">
        <v>-1.1332045278505151E-3</v>
      </c>
      <c r="W133" s="243">
        <v>89.625039640480139</v>
      </c>
      <c r="X133" s="244">
        <v>418.7222904838398</v>
      </c>
      <c r="Y133" s="245">
        <v>508.34733012431991</v>
      </c>
      <c r="Z133" s="246">
        <v>79.871205002304592</v>
      </c>
      <c r="AA133" s="244">
        <v>305.40183769878826</v>
      </c>
      <c r="AB133" s="245">
        <v>385.27304270109283</v>
      </c>
      <c r="AC133" s="247">
        <v>-9.7538346381755474</v>
      </c>
      <c r="AD133" s="247">
        <v>-113.32045278505154</v>
      </c>
      <c r="AE133" s="248">
        <v>-123.07428742322708</v>
      </c>
      <c r="AF133" s="234">
        <f>-SUMIF('[1]Alt Fac'!$A$18:$A$139,'REPORT 4 - PROPERTY TAX'!A133,'[1]Alt Fac'!$U$18:$U$139)</f>
        <v>0</v>
      </c>
      <c r="AG133" s="247">
        <f t="shared" si="7"/>
        <v>717.70847536623978</v>
      </c>
      <c r="AH133" s="234">
        <f t="shared" si="8"/>
        <v>-179.73451381575279</v>
      </c>
      <c r="AI133" s="234">
        <f t="shared" si="6"/>
        <v>537.97396155048705</v>
      </c>
      <c r="AJ133" s="170"/>
      <c r="AK133" s="170"/>
      <c r="AL133" s="170"/>
      <c r="AM133" s="170"/>
      <c r="AN133" s="170"/>
      <c r="AO133" s="234"/>
    </row>
    <row r="134" spans="1:41" x14ac:dyDescent="0.25">
      <c r="A134" s="274">
        <v>299</v>
      </c>
      <c r="B134" s="274">
        <v>1</v>
      </c>
      <c r="C134" s="275" t="s">
        <v>418</v>
      </c>
      <c r="D134" s="276">
        <v>6</v>
      </c>
      <c r="E134" s="272">
        <v>4934080</v>
      </c>
      <c r="F134" s="273">
        <v>315347825</v>
      </c>
      <c r="G134" s="234">
        <v>550447.71147058823</v>
      </c>
      <c r="H134" s="234">
        <v>1613374.7568191979</v>
      </c>
      <c r="I134" s="174">
        <v>2163822.468289786</v>
      </c>
      <c r="J134" s="234">
        <v>490295.75755248638</v>
      </c>
      <c r="K134" s="234">
        <v>1642462.136324242</v>
      </c>
      <c r="L134" s="175">
        <v>2132757.8938767286</v>
      </c>
      <c r="M134" s="235">
        <v>-60151.953918101848</v>
      </c>
      <c r="N134" s="236">
        <v>29087.379505044082</v>
      </c>
      <c r="O134" s="175">
        <v>-31064.574413057417</v>
      </c>
      <c r="P134" s="237">
        <v>-1.4356341552183731E-2</v>
      </c>
      <c r="Q134" s="238">
        <v>0.32698593391659597</v>
      </c>
      <c r="R134" s="239">
        <v>1.7455256318022433E-3</v>
      </c>
      <c r="S134" s="240">
        <v>0.3328811321105945</v>
      </c>
      <c r="T134" s="239">
        <v>1.5547776730424139E-3</v>
      </c>
      <c r="U134" s="241">
        <v>5.8951981939985298E-3</v>
      </c>
      <c r="V134" s="242">
        <v>-1.9074795875982935E-4</v>
      </c>
      <c r="W134" s="243">
        <v>412.85244016309412</v>
      </c>
      <c r="X134" s="244">
        <v>174.55256318022433</v>
      </c>
      <c r="Y134" s="245">
        <v>587.40500334331841</v>
      </c>
      <c r="Z134" s="246">
        <v>420.29571740283666</v>
      </c>
      <c r="AA134" s="244">
        <v>155.47776730424138</v>
      </c>
      <c r="AB134" s="245">
        <v>575.77348470707807</v>
      </c>
      <c r="AC134" s="247">
        <v>7.4432772397425424</v>
      </c>
      <c r="AD134" s="247">
        <v>-19.074795875982943</v>
      </c>
      <c r="AE134" s="248">
        <v>-11.631518636240344</v>
      </c>
      <c r="AF134" s="234">
        <f>-SUMIF('[1]Alt Fac'!$A$18:$A$139,'REPORT 4 - PROPERTY TAX'!A134,'[1]Alt Fac'!$U$18:$U$139)</f>
        <v>0</v>
      </c>
      <c r="AG134" s="247">
        <f t="shared" si="7"/>
        <v>674.68128493343056</v>
      </c>
      <c r="AH134" s="234">
        <f t="shared" si="8"/>
        <v>-21.168916574231858</v>
      </c>
      <c r="AI134" s="234">
        <f t="shared" si="6"/>
        <v>653.51236835919872</v>
      </c>
      <c r="AJ134" s="170"/>
      <c r="AK134" s="170"/>
      <c r="AL134" s="170"/>
      <c r="AM134" s="170"/>
      <c r="AN134" s="170"/>
      <c r="AO134" s="234"/>
    </row>
    <row r="135" spans="1:41" x14ac:dyDescent="0.25">
      <c r="A135" s="274">
        <v>300</v>
      </c>
      <c r="B135" s="274">
        <v>1</v>
      </c>
      <c r="C135" s="275" t="s">
        <v>420</v>
      </c>
      <c r="D135" s="276">
        <v>5</v>
      </c>
      <c r="E135" s="272">
        <v>6744142</v>
      </c>
      <c r="F135" s="273">
        <v>587655065</v>
      </c>
      <c r="G135" s="234">
        <v>897493.26410664851</v>
      </c>
      <c r="H135" s="234">
        <v>1065795.3707419422</v>
      </c>
      <c r="I135" s="174">
        <v>1963288.6348485907</v>
      </c>
      <c r="J135" s="234">
        <v>742319.13066748343</v>
      </c>
      <c r="K135" s="234">
        <v>1097802.2295416382</v>
      </c>
      <c r="L135" s="175">
        <v>1840121.3602091216</v>
      </c>
      <c r="M135" s="235">
        <v>-155174.13343916507</v>
      </c>
      <c r="N135" s="236">
        <v>32006.858799695969</v>
      </c>
      <c r="O135" s="175">
        <v>-123167.27463946911</v>
      </c>
      <c r="P135" s="237">
        <v>-6.2735184451861201E-2</v>
      </c>
      <c r="Q135" s="238">
        <v>0.15803275950327592</v>
      </c>
      <c r="R135" s="239">
        <v>1.5272450074205494E-3</v>
      </c>
      <c r="S135" s="240">
        <v>0.16277863507939752</v>
      </c>
      <c r="T135" s="239">
        <v>1.2631885180254226E-3</v>
      </c>
      <c r="U135" s="241">
        <v>4.7458755761216054E-3</v>
      </c>
      <c r="V135" s="242">
        <v>-2.6405648939512678E-4</v>
      </c>
      <c r="W135" s="243">
        <v>199.53216214883619</v>
      </c>
      <c r="X135" s="244">
        <v>152.72450074205494</v>
      </c>
      <c r="Y135" s="245">
        <v>352.25666289089111</v>
      </c>
      <c r="Z135" s="246">
        <v>205.52430465124732</v>
      </c>
      <c r="AA135" s="244">
        <v>126.31885180254227</v>
      </c>
      <c r="AB135" s="245">
        <v>331.84315645378956</v>
      </c>
      <c r="AC135" s="247">
        <v>5.9921425024111272</v>
      </c>
      <c r="AD135" s="247">
        <v>-26.405648939512673</v>
      </c>
      <c r="AE135" s="248">
        <v>-20.413506437101546</v>
      </c>
      <c r="AF135" s="234">
        <f>-SUMIF('[1]Alt Fac'!$A$18:$A$139,'REPORT 4 - PROPERTY TAX'!A135,'[1]Alt Fac'!$U$18:$U$139)</f>
        <v>0</v>
      </c>
      <c r="AG135" s="247">
        <f t="shared" si="7"/>
        <v>428.61891326191858</v>
      </c>
      <c r="AH135" s="234">
        <f t="shared" si="8"/>
        <v>-33.616330906857876</v>
      </c>
      <c r="AI135" s="234">
        <f t="shared" si="6"/>
        <v>395.00258235506072</v>
      </c>
      <c r="AJ135" s="170"/>
      <c r="AK135" s="170"/>
      <c r="AL135" s="170"/>
      <c r="AM135" s="170"/>
      <c r="AN135" s="170"/>
      <c r="AO135" s="234"/>
    </row>
    <row r="136" spans="1:41" x14ac:dyDescent="0.25">
      <c r="A136" s="274">
        <v>306</v>
      </c>
      <c r="B136" s="274">
        <v>1</v>
      </c>
      <c r="C136" s="275" t="s">
        <v>422</v>
      </c>
      <c r="D136" s="276">
        <v>6</v>
      </c>
      <c r="E136" s="272">
        <v>2870147</v>
      </c>
      <c r="F136" s="273">
        <v>125980440</v>
      </c>
      <c r="G136" s="234">
        <v>56888.66</v>
      </c>
      <c r="H136" s="234">
        <v>948475.29347507365</v>
      </c>
      <c r="I136" s="174">
        <v>1005363.9534750737</v>
      </c>
      <c r="J136" s="234">
        <v>101467.75079366646</v>
      </c>
      <c r="K136" s="234">
        <v>984481.01838674268</v>
      </c>
      <c r="L136" s="175">
        <v>1085948.7691804091</v>
      </c>
      <c r="M136" s="235">
        <v>44579.090793666459</v>
      </c>
      <c r="N136" s="236">
        <v>36005.724911669036</v>
      </c>
      <c r="O136" s="175">
        <v>80584.815705335466</v>
      </c>
      <c r="P136" s="237">
        <v>8.0154868718727568E-2</v>
      </c>
      <c r="Q136" s="238">
        <v>0.33046227021649888</v>
      </c>
      <c r="R136" s="239">
        <v>4.515674020506676E-4</v>
      </c>
      <c r="S136" s="240">
        <v>0.34300717642223294</v>
      </c>
      <c r="T136" s="239">
        <v>8.0542464206083473E-4</v>
      </c>
      <c r="U136" s="241">
        <v>1.2544906205734063E-2</v>
      </c>
      <c r="V136" s="242">
        <v>3.5385724001016713E-4</v>
      </c>
      <c r="W136" s="243">
        <v>417.24166237535155</v>
      </c>
      <c r="X136" s="244">
        <v>45.156740205066761</v>
      </c>
      <c r="Y136" s="245">
        <v>462.39840258041829</v>
      </c>
      <c r="Z136" s="246">
        <v>433.08086095071138</v>
      </c>
      <c r="AA136" s="244">
        <v>80.54246420608348</v>
      </c>
      <c r="AB136" s="245">
        <v>513.62332515679486</v>
      </c>
      <c r="AC136" s="247">
        <v>15.839198575359831</v>
      </c>
      <c r="AD136" s="247">
        <v>35.385724001016719</v>
      </c>
      <c r="AE136" s="248">
        <v>51.224922576376571</v>
      </c>
      <c r="AF136" s="234">
        <f>-SUMIF('[1]Alt Fac'!$A$18:$A$139,'REPORT 4 - PROPERTY TAX'!A136,'[1]Alt Fac'!$U$18:$U$139)</f>
        <v>0</v>
      </c>
      <c r="AG136" s="247">
        <f t="shared" si="7"/>
        <v>484.97677268295172</v>
      </c>
      <c r="AH136" s="234">
        <f t="shared" si="8"/>
        <v>68.917784576884898</v>
      </c>
      <c r="AI136" s="234">
        <f t="shared" si="6"/>
        <v>553.89455725983657</v>
      </c>
      <c r="AJ136" s="170"/>
      <c r="AK136" s="170"/>
      <c r="AL136" s="170"/>
      <c r="AM136" s="170"/>
      <c r="AN136" s="170"/>
      <c r="AO136" s="234"/>
    </row>
    <row r="137" spans="1:41" x14ac:dyDescent="0.25">
      <c r="A137" s="274">
        <v>308</v>
      </c>
      <c r="B137" s="274">
        <v>1</v>
      </c>
      <c r="C137" s="275" t="s">
        <v>364</v>
      </c>
      <c r="D137" s="276">
        <v>6</v>
      </c>
      <c r="E137" s="272">
        <v>6286378</v>
      </c>
      <c r="F137" s="273">
        <v>256361000</v>
      </c>
      <c r="G137" s="234">
        <v>196478.59</v>
      </c>
      <c r="H137" s="234">
        <v>470734.962</v>
      </c>
      <c r="I137" s="174">
        <v>667213.55200000003</v>
      </c>
      <c r="J137" s="234">
        <v>250835.96808348884</v>
      </c>
      <c r="K137" s="234">
        <v>570488.36405012885</v>
      </c>
      <c r="L137" s="175">
        <v>821324.33213361772</v>
      </c>
      <c r="M137" s="235">
        <v>54357.378083488846</v>
      </c>
      <c r="N137" s="236">
        <v>99753.402050128847</v>
      </c>
      <c r="O137" s="175">
        <v>154110.78013361769</v>
      </c>
      <c r="P137" s="237">
        <v>0.23097669355135894</v>
      </c>
      <c r="Q137" s="238">
        <v>7.488174621379752E-2</v>
      </c>
      <c r="R137" s="239">
        <v>7.6641372907735575E-4</v>
      </c>
      <c r="S137" s="240">
        <v>9.0749930094901843E-2</v>
      </c>
      <c r="T137" s="239">
        <v>9.7844823543163299E-4</v>
      </c>
      <c r="U137" s="241">
        <v>1.5868183881104322E-2</v>
      </c>
      <c r="V137" s="242">
        <v>2.1203450635427724E-4</v>
      </c>
      <c r="W137" s="243">
        <v>94.545692769540764</v>
      </c>
      <c r="X137" s="244">
        <v>76.641372907735573</v>
      </c>
      <c r="Y137" s="245">
        <v>171.18706567727634</v>
      </c>
      <c r="Z137" s="246">
        <v>114.58086173782308</v>
      </c>
      <c r="AA137" s="244">
        <v>97.844823543163301</v>
      </c>
      <c r="AB137" s="245">
        <v>212.42568528098639</v>
      </c>
      <c r="AC137" s="247">
        <v>20.035168968282321</v>
      </c>
      <c r="AD137" s="247">
        <v>21.203450635427728</v>
      </c>
      <c r="AE137" s="248">
        <v>41.238619603710049</v>
      </c>
      <c r="AF137" s="234">
        <f>-SUMIF('[1]Alt Fac'!$A$18:$A$139,'REPORT 4 - PROPERTY TAX'!A137,'[1]Alt Fac'!$U$18:$U$139)</f>
        <v>0</v>
      </c>
      <c r="AG137" s="247">
        <f t="shared" si="7"/>
        <v>209.50775213114412</v>
      </c>
      <c r="AH137" s="234">
        <f t="shared" si="8"/>
        <v>51.840344921423906</v>
      </c>
      <c r="AI137" s="234">
        <f t="shared" si="6"/>
        <v>261.34809705256805</v>
      </c>
      <c r="AJ137" s="170"/>
      <c r="AK137" s="170"/>
      <c r="AL137" s="170"/>
      <c r="AM137" s="170"/>
      <c r="AN137" s="170"/>
      <c r="AO137" s="234"/>
    </row>
    <row r="138" spans="1:41" x14ac:dyDescent="0.25">
      <c r="A138" s="274">
        <v>309</v>
      </c>
      <c r="B138" s="274">
        <v>1</v>
      </c>
      <c r="C138" s="275" t="s">
        <v>425</v>
      </c>
      <c r="D138" s="276">
        <v>5</v>
      </c>
      <c r="E138" s="272">
        <v>21951832</v>
      </c>
      <c r="F138" s="273">
        <v>1082705830</v>
      </c>
      <c r="G138" s="234">
        <v>1356753.72</v>
      </c>
      <c r="H138" s="234">
        <v>3467591.1359999999</v>
      </c>
      <c r="I138" s="174">
        <v>4824344.8559999997</v>
      </c>
      <c r="J138" s="234">
        <v>1509548.3484373591</v>
      </c>
      <c r="K138" s="234">
        <v>3885529.0168668777</v>
      </c>
      <c r="L138" s="175">
        <v>5395077.3653042372</v>
      </c>
      <c r="M138" s="235">
        <v>152794.62843735912</v>
      </c>
      <c r="N138" s="236">
        <v>417937.88086687773</v>
      </c>
      <c r="O138" s="175">
        <v>570732.50930423755</v>
      </c>
      <c r="P138" s="237">
        <v>0.11830259368677221</v>
      </c>
      <c r="Q138" s="238">
        <v>0.15796363310360612</v>
      </c>
      <c r="R138" s="239">
        <v>1.2531138952119616E-3</v>
      </c>
      <c r="S138" s="240">
        <v>0.17700249422767439</v>
      </c>
      <c r="T138" s="239">
        <v>1.3942368338751433E-3</v>
      </c>
      <c r="U138" s="241">
        <v>1.9038861124068274E-2</v>
      </c>
      <c r="V138" s="242">
        <v>1.4112293866318172E-4</v>
      </c>
      <c r="W138" s="243">
        <v>199.44488315661312</v>
      </c>
      <c r="X138" s="244">
        <v>125.31138952119616</v>
      </c>
      <c r="Y138" s="245">
        <v>324.75627267780931</v>
      </c>
      <c r="Z138" s="246">
        <v>223.48334921186171</v>
      </c>
      <c r="AA138" s="244">
        <v>139.42368338751433</v>
      </c>
      <c r="AB138" s="245">
        <v>362.90703259937607</v>
      </c>
      <c r="AC138" s="247">
        <v>24.038466055248591</v>
      </c>
      <c r="AD138" s="247">
        <v>14.112293866318169</v>
      </c>
      <c r="AE138" s="248">
        <v>38.15075992156676</v>
      </c>
      <c r="AF138" s="234">
        <f>-SUMIF('[1]Alt Fac'!$A$18:$A$139,'REPORT 4 - PROPERTY TAX'!A138,'[1]Alt Fac'!$U$18:$U$139)</f>
        <v>0</v>
      </c>
      <c r="AG138" s="247">
        <f t="shared" si="7"/>
        <v>387.41196743840737</v>
      </c>
      <c r="AH138" s="234">
        <f t="shared" si="8"/>
        <v>45.206906854725865</v>
      </c>
      <c r="AI138" s="234">
        <f t="shared" si="6"/>
        <v>432.61887429313322</v>
      </c>
      <c r="AJ138" s="170"/>
      <c r="AK138" s="170"/>
      <c r="AL138" s="170"/>
      <c r="AM138" s="170"/>
      <c r="AN138" s="170"/>
      <c r="AO138" s="234"/>
    </row>
    <row r="139" spans="1:41" x14ac:dyDescent="0.25">
      <c r="A139" s="274">
        <v>314</v>
      </c>
      <c r="B139" s="274">
        <v>1</v>
      </c>
      <c r="C139" s="275" t="s">
        <v>427</v>
      </c>
      <c r="D139" s="276">
        <v>6</v>
      </c>
      <c r="E139" s="272">
        <v>3935014</v>
      </c>
      <c r="F139" s="273">
        <v>346465800</v>
      </c>
      <c r="G139" s="234">
        <v>412034.51067226892</v>
      </c>
      <c r="H139" s="234">
        <v>987993.56505827152</v>
      </c>
      <c r="I139" s="174">
        <v>1400028.0757305403</v>
      </c>
      <c r="J139" s="234">
        <v>415992.96370287769</v>
      </c>
      <c r="K139" s="234">
        <v>968399.77042682515</v>
      </c>
      <c r="L139" s="175">
        <v>1384392.7341297029</v>
      </c>
      <c r="M139" s="235">
        <v>3958.453030608769</v>
      </c>
      <c r="N139" s="236">
        <v>-19593.794631446362</v>
      </c>
      <c r="O139" s="175">
        <v>-15635.341600837419</v>
      </c>
      <c r="P139" s="237">
        <v>-1.1167877181804968E-2</v>
      </c>
      <c r="Q139" s="238">
        <v>0.25107752222946894</v>
      </c>
      <c r="R139" s="239">
        <v>1.1892501674689649E-3</v>
      </c>
      <c r="S139" s="240">
        <v>0.24609817663338052</v>
      </c>
      <c r="T139" s="239">
        <v>1.2006754020248973E-3</v>
      </c>
      <c r="U139" s="241">
        <v>-4.9793455960884248E-3</v>
      </c>
      <c r="V139" s="242">
        <v>1.1425234555932423E-5</v>
      </c>
      <c r="W139" s="243">
        <v>317.01047956692753</v>
      </c>
      <c r="X139" s="244">
        <v>118.92501674689649</v>
      </c>
      <c r="Y139" s="245">
        <v>435.93549631382405</v>
      </c>
      <c r="Z139" s="246">
        <v>310.7235578173063</v>
      </c>
      <c r="AA139" s="244">
        <v>120.06754020248974</v>
      </c>
      <c r="AB139" s="245">
        <v>430.79109801979604</v>
      </c>
      <c r="AC139" s="247">
        <v>-6.2869217496212286</v>
      </c>
      <c r="AD139" s="247">
        <v>1.1425234555932491</v>
      </c>
      <c r="AE139" s="248">
        <v>-5.144398294028008</v>
      </c>
      <c r="AF139" s="234">
        <f>-SUMIF('[1]Alt Fac'!$A$18:$A$139,'REPORT 4 - PROPERTY TAX'!A139,'[1]Alt Fac'!$U$18:$U$139)</f>
        <v>0</v>
      </c>
      <c r="AG139" s="247">
        <f t="shared" si="7"/>
        <v>495.39800468727231</v>
      </c>
      <c r="AH139" s="234">
        <f t="shared" si="8"/>
        <v>-4.5731365662313817</v>
      </c>
      <c r="AI139" s="234">
        <f t="shared" si="6"/>
        <v>490.82486812104094</v>
      </c>
      <c r="AJ139" s="170"/>
      <c r="AK139" s="170"/>
      <c r="AL139" s="170"/>
      <c r="AM139" s="170"/>
      <c r="AN139" s="170"/>
      <c r="AO139" s="234"/>
    </row>
    <row r="140" spans="1:41" x14ac:dyDescent="0.25">
      <c r="A140" s="274">
        <v>316</v>
      </c>
      <c r="B140" s="274">
        <v>1</v>
      </c>
      <c r="C140" s="275" t="s">
        <v>429</v>
      </c>
      <c r="D140" s="276">
        <v>5</v>
      </c>
      <c r="E140" s="272">
        <v>6161611</v>
      </c>
      <c r="F140" s="273">
        <v>468635595</v>
      </c>
      <c r="G140" s="234">
        <v>153357.94</v>
      </c>
      <c r="H140" s="234">
        <v>1344788.6030163704</v>
      </c>
      <c r="I140" s="174">
        <v>1498146.5430163704</v>
      </c>
      <c r="J140" s="234">
        <v>377450.65134344832</v>
      </c>
      <c r="K140" s="234">
        <v>1268084.6788707152</v>
      </c>
      <c r="L140" s="175">
        <v>1645535.3302141635</v>
      </c>
      <c r="M140" s="235">
        <v>224092.71134344832</v>
      </c>
      <c r="N140" s="236">
        <v>-76703.924145655241</v>
      </c>
      <c r="O140" s="175">
        <v>147388.78719779314</v>
      </c>
      <c r="P140" s="237">
        <v>9.8380754462804643E-2</v>
      </c>
      <c r="Q140" s="238">
        <v>0.21825275938652577</v>
      </c>
      <c r="R140" s="239">
        <v>3.2724347368449469E-4</v>
      </c>
      <c r="S140" s="240">
        <v>0.20580407930177921</v>
      </c>
      <c r="T140" s="239">
        <v>8.0542463135658388E-4</v>
      </c>
      <c r="U140" s="241">
        <v>-1.2448680084746561E-2</v>
      </c>
      <c r="V140" s="242">
        <v>4.7818115767208919E-4</v>
      </c>
      <c r="W140" s="243">
        <v>275.56593400142748</v>
      </c>
      <c r="X140" s="244">
        <v>32.724347368449472</v>
      </c>
      <c r="Y140" s="245">
        <v>308.29028136987694</v>
      </c>
      <c r="Z140" s="246">
        <v>259.84823052642645</v>
      </c>
      <c r="AA140" s="244">
        <v>80.542463135658394</v>
      </c>
      <c r="AB140" s="245">
        <v>340.39069366208486</v>
      </c>
      <c r="AC140" s="247">
        <v>-15.717703475001031</v>
      </c>
      <c r="AD140" s="247">
        <v>47.818115767208923</v>
      </c>
      <c r="AE140" s="248">
        <v>32.10041229220792</v>
      </c>
      <c r="AF140" s="234">
        <f>-SUMIF('[1]Alt Fac'!$A$18:$A$139,'REPORT 4 - PROPERTY TAX'!A140,'[1]Alt Fac'!$U$18:$U$139)</f>
        <v>0</v>
      </c>
      <c r="AG140" s="247">
        <f t="shared" si="7"/>
        <v>324.65245505410167</v>
      </c>
      <c r="AH140" s="234">
        <f t="shared" si="8"/>
        <v>56.009470175812375</v>
      </c>
      <c r="AI140" s="234">
        <f t="shared" si="6"/>
        <v>380.66192522991406</v>
      </c>
      <c r="AJ140" s="170"/>
      <c r="AK140" s="170"/>
      <c r="AL140" s="170"/>
      <c r="AM140" s="170"/>
      <c r="AN140" s="170"/>
      <c r="AO140" s="234"/>
    </row>
    <row r="141" spans="1:41" x14ac:dyDescent="0.25">
      <c r="A141" s="274">
        <v>317</v>
      </c>
      <c r="B141" s="274">
        <v>1</v>
      </c>
      <c r="C141" s="275" t="s">
        <v>431</v>
      </c>
      <c r="D141" s="276">
        <v>6</v>
      </c>
      <c r="E141" s="272">
        <v>8630209</v>
      </c>
      <c r="F141" s="273">
        <v>387307301</v>
      </c>
      <c r="G141" s="234">
        <v>150320.02000000002</v>
      </c>
      <c r="H141" s="234">
        <v>1281626.6584115394</v>
      </c>
      <c r="I141" s="174">
        <v>1431946.6784115394</v>
      </c>
      <c r="J141" s="234">
        <v>311946.83273486269</v>
      </c>
      <c r="K141" s="234">
        <v>1398286.4567336945</v>
      </c>
      <c r="L141" s="175">
        <v>1710233.2894685571</v>
      </c>
      <c r="M141" s="235">
        <v>161626.81273486267</v>
      </c>
      <c r="N141" s="236">
        <v>116659.79832215514</v>
      </c>
      <c r="O141" s="175">
        <v>278286.6110570177</v>
      </c>
      <c r="P141" s="237">
        <v>0.19434146204781971</v>
      </c>
      <c r="Q141" s="238">
        <v>0.14850470694412377</v>
      </c>
      <c r="R141" s="239">
        <v>3.8811563740700052E-4</v>
      </c>
      <c r="S141" s="240">
        <v>0.16202231680990514</v>
      </c>
      <c r="T141" s="239">
        <v>8.0542461226379696E-4</v>
      </c>
      <c r="U141" s="241">
        <v>1.3517609865781377E-2</v>
      </c>
      <c r="V141" s="242">
        <v>4.1730897485679644E-4</v>
      </c>
      <c r="W141" s="243">
        <v>187.5020429876507</v>
      </c>
      <c r="X141" s="244">
        <v>38.811563740700052</v>
      </c>
      <c r="Y141" s="245">
        <v>226.31360672835075</v>
      </c>
      <c r="Z141" s="246">
        <v>204.56937720418625</v>
      </c>
      <c r="AA141" s="244">
        <v>80.5424612263797</v>
      </c>
      <c r="AB141" s="245">
        <v>285.11183843056597</v>
      </c>
      <c r="AC141" s="247">
        <v>17.067334216535556</v>
      </c>
      <c r="AD141" s="247">
        <v>41.730897485679648</v>
      </c>
      <c r="AE141" s="248">
        <v>58.798231702215219</v>
      </c>
      <c r="AF141" s="234">
        <f>-SUMIF('[1]Alt Fac'!$A$18:$A$139,'REPORT 4 - PROPERTY TAX'!A141,'[1]Alt Fac'!$U$18:$U$139)</f>
        <v>0</v>
      </c>
      <c r="AG141" s="247">
        <f t="shared" si="7"/>
        <v>245.71938859870079</v>
      </c>
      <c r="AH141" s="234">
        <f t="shared" si="8"/>
        <v>79.663680445055036</v>
      </c>
      <c r="AI141" s="234">
        <f t="shared" si="6"/>
        <v>325.38306904375582</v>
      </c>
      <c r="AJ141" s="170"/>
      <c r="AK141" s="170"/>
      <c r="AL141" s="170"/>
      <c r="AM141" s="170"/>
      <c r="AN141" s="170"/>
      <c r="AO141" s="234"/>
    </row>
    <row r="142" spans="1:41" x14ac:dyDescent="0.25">
      <c r="A142" s="274">
        <v>318</v>
      </c>
      <c r="B142" s="274">
        <v>1</v>
      </c>
      <c r="C142" s="275" t="s">
        <v>433</v>
      </c>
      <c r="D142" s="276">
        <v>4</v>
      </c>
      <c r="E142" s="272">
        <v>43019290</v>
      </c>
      <c r="F142" s="273">
        <v>2531741644</v>
      </c>
      <c r="G142" s="234">
        <v>490866.95</v>
      </c>
      <c r="H142" s="234">
        <v>5646870.9187408946</v>
      </c>
      <c r="I142" s="174">
        <v>6137737.8687408948</v>
      </c>
      <c r="J142" s="234">
        <v>2039127.0582813397</v>
      </c>
      <c r="K142" s="234">
        <v>6491836.9594565108</v>
      </c>
      <c r="L142" s="175">
        <v>8530964.0177378505</v>
      </c>
      <c r="M142" s="235">
        <v>1548260.1082813398</v>
      </c>
      <c r="N142" s="236">
        <v>844966.0407156162</v>
      </c>
      <c r="O142" s="175">
        <v>2393226.1489969557</v>
      </c>
      <c r="P142" s="237">
        <v>0.38991990211662558</v>
      </c>
      <c r="Q142" s="238">
        <v>0.13126369400194413</v>
      </c>
      <c r="R142" s="239">
        <v>1.9388508743114076E-4</v>
      </c>
      <c r="S142" s="240">
        <v>0.15090525574588773</v>
      </c>
      <c r="T142" s="239">
        <v>8.0542462265606267E-4</v>
      </c>
      <c r="U142" s="241">
        <v>1.9641561743943603E-2</v>
      </c>
      <c r="V142" s="242">
        <v>6.1153953522492192E-4</v>
      </c>
      <c r="W142" s="243">
        <v>165.73354004685467</v>
      </c>
      <c r="X142" s="244">
        <v>19.388508743114077</v>
      </c>
      <c r="Y142" s="245">
        <v>185.12204878996874</v>
      </c>
      <c r="Z142" s="246">
        <v>190.53297590475788</v>
      </c>
      <c r="AA142" s="244">
        <v>80.542462265606261</v>
      </c>
      <c r="AB142" s="245">
        <v>271.07543817036412</v>
      </c>
      <c r="AC142" s="247">
        <v>24.799435857903205</v>
      </c>
      <c r="AD142" s="247">
        <v>61.153953522492188</v>
      </c>
      <c r="AE142" s="248">
        <v>85.953389380395379</v>
      </c>
      <c r="AF142" s="234">
        <f>-SUMIF('[1]Alt Fac'!$A$18:$A$139,'REPORT 4 - PROPERTY TAX'!A142,'[1]Alt Fac'!$U$18:$U$139)</f>
        <v>0</v>
      </c>
      <c r="AG142" s="247">
        <f t="shared" si="7"/>
        <v>194.81630316152578</v>
      </c>
      <c r="AH142" s="234">
        <f t="shared" si="8"/>
        <v>116.53036614164148</v>
      </c>
      <c r="AI142" s="234">
        <f t="shared" si="6"/>
        <v>311.34666930316723</v>
      </c>
      <c r="AJ142" s="170"/>
      <c r="AK142" s="170"/>
      <c r="AL142" s="170"/>
      <c r="AM142" s="170"/>
      <c r="AN142" s="170"/>
      <c r="AO142" s="234"/>
    </row>
    <row r="143" spans="1:41" x14ac:dyDescent="0.25">
      <c r="A143" s="274">
        <v>319</v>
      </c>
      <c r="B143" s="274">
        <v>1</v>
      </c>
      <c r="C143" s="275" t="s">
        <v>435</v>
      </c>
      <c r="D143" s="276">
        <v>6</v>
      </c>
      <c r="E143" s="272">
        <v>3837336</v>
      </c>
      <c r="F143" s="273">
        <v>205112585</v>
      </c>
      <c r="G143" s="234">
        <v>363593.20441176475</v>
      </c>
      <c r="H143" s="234">
        <v>354051.66642061598</v>
      </c>
      <c r="I143" s="174">
        <v>717644.87083238072</v>
      </c>
      <c r="J143" s="234">
        <v>311613.22319208214</v>
      </c>
      <c r="K143" s="234">
        <v>301527.4509954612</v>
      </c>
      <c r="L143" s="175">
        <v>613140.67418754334</v>
      </c>
      <c r="M143" s="235">
        <v>-51979.98121968261</v>
      </c>
      <c r="N143" s="236">
        <v>-52524.215425154776</v>
      </c>
      <c r="O143" s="175">
        <v>-104504.19664483739</v>
      </c>
      <c r="P143" s="237">
        <v>-0.14562104585743815</v>
      </c>
      <c r="Q143" s="238">
        <v>9.2264963615543691E-2</v>
      </c>
      <c r="R143" s="239">
        <v>1.7726518556224365E-3</v>
      </c>
      <c r="S143" s="240">
        <v>7.8577286689375442E-2</v>
      </c>
      <c r="T143" s="239">
        <v>1.5192301495887352E-3</v>
      </c>
      <c r="U143" s="241">
        <v>-1.3687676926168249E-2</v>
      </c>
      <c r="V143" s="242">
        <v>-2.5342170603370132E-4</v>
      </c>
      <c r="W143" s="243">
        <v>116.49374306098548</v>
      </c>
      <c r="X143" s="244">
        <v>177.26518556224366</v>
      </c>
      <c r="Y143" s="245">
        <v>293.75892862322917</v>
      </c>
      <c r="Z143" s="246">
        <v>99.211682174005446</v>
      </c>
      <c r="AA143" s="244">
        <v>151.92301495887352</v>
      </c>
      <c r="AB143" s="245">
        <v>251.13469713287896</v>
      </c>
      <c r="AC143" s="247">
        <v>-17.282060886980034</v>
      </c>
      <c r="AD143" s="247">
        <v>-25.342170603370135</v>
      </c>
      <c r="AE143" s="248">
        <v>-42.624231490350212</v>
      </c>
      <c r="AF143" s="234">
        <f>-SUMIF('[1]Alt Fac'!$A$18:$A$139,'REPORT 4 - PROPERTY TAX'!A143,'[1]Alt Fac'!$U$18:$U$139)</f>
        <v>0</v>
      </c>
      <c r="AG143" s="247">
        <f t="shared" si="7"/>
        <v>382.39152140435095</v>
      </c>
      <c r="AH143" s="234">
        <f t="shared" si="8"/>
        <v>-55.29531679203523</v>
      </c>
      <c r="AI143" s="234">
        <f t="shared" si="6"/>
        <v>327.09620461231572</v>
      </c>
      <c r="AJ143" s="170"/>
      <c r="AK143" s="170"/>
      <c r="AL143" s="170"/>
      <c r="AM143" s="170"/>
      <c r="AN143" s="170"/>
      <c r="AO143" s="234"/>
    </row>
    <row r="144" spans="1:41" x14ac:dyDescent="0.25">
      <c r="A144" s="274">
        <v>323</v>
      </c>
      <c r="B144" s="274">
        <v>2</v>
      </c>
      <c r="C144" s="275" t="s">
        <v>437</v>
      </c>
      <c r="D144" s="276">
        <v>6</v>
      </c>
      <c r="E144" s="272">
        <v>276687</v>
      </c>
      <c r="F144" s="273">
        <v>25450200</v>
      </c>
      <c r="G144" s="234">
        <v>51394.43</v>
      </c>
      <c r="H144" s="234">
        <v>4695.5906415538557</v>
      </c>
      <c r="I144" s="174">
        <v>56090.020641553856</v>
      </c>
      <c r="J144" s="234">
        <v>61126.345931544376</v>
      </c>
      <c r="K144" s="234">
        <v>8792.3365109078713</v>
      </c>
      <c r="L144" s="175">
        <v>69918.682442452249</v>
      </c>
      <c r="M144" s="235">
        <v>9731.9159315443758</v>
      </c>
      <c r="N144" s="236">
        <v>4096.7458693540157</v>
      </c>
      <c r="O144" s="175">
        <v>13828.661800898393</v>
      </c>
      <c r="P144" s="237">
        <v>0.24654406688974431</v>
      </c>
      <c r="Q144" s="238">
        <v>1.69707671179125E-2</v>
      </c>
      <c r="R144" s="239">
        <v>2.0194116352720217E-3</v>
      </c>
      <c r="S144" s="240">
        <v>3.177719412515901E-2</v>
      </c>
      <c r="T144" s="239">
        <v>2.4018021835405762E-3</v>
      </c>
      <c r="U144" s="241">
        <v>1.4806427007246509E-2</v>
      </c>
      <c r="V144" s="242">
        <v>3.823905482685545E-4</v>
      </c>
      <c r="W144" s="243">
        <v>21.427290563076326</v>
      </c>
      <c r="X144" s="244">
        <v>201.94116352720218</v>
      </c>
      <c r="Y144" s="245">
        <v>223.3684540902785</v>
      </c>
      <c r="Z144" s="246">
        <v>40.121885302425767</v>
      </c>
      <c r="AA144" s="244">
        <v>240.18021835405762</v>
      </c>
      <c r="AB144" s="245">
        <v>280.30210365648338</v>
      </c>
      <c r="AC144" s="247">
        <v>18.694594739349441</v>
      </c>
      <c r="AD144" s="247">
        <v>38.239054826855437</v>
      </c>
      <c r="AE144" s="248">
        <v>56.933649566204878</v>
      </c>
      <c r="AF144" s="234">
        <f>-SUMIF('[1]Alt Fac'!$A$18:$A$139,'REPORT 4 - PROPERTY TAX'!A144,'[1]Alt Fac'!$U$18:$U$139)</f>
        <v>0</v>
      </c>
      <c r="AG144" s="247">
        <f t="shared" si="7"/>
        <v>324.33903585387958</v>
      </c>
      <c r="AH144" s="234">
        <f t="shared" si="8"/>
        <v>76.053176979632624</v>
      </c>
      <c r="AI144" s="234">
        <f t="shared" si="6"/>
        <v>400.39221283351219</v>
      </c>
      <c r="AJ144" s="170"/>
      <c r="AK144" s="170"/>
      <c r="AL144" s="170"/>
      <c r="AM144" s="170"/>
      <c r="AN144" s="170"/>
      <c r="AO144" s="234"/>
    </row>
    <row r="145" spans="1:41" x14ac:dyDescent="0.25">
      <c r="A145" s="274">
        <v>330</v>
      </c>
      <c r="B145" s="274">
        <v>1</v>
      </c>
      <c r="C145" s="275" t="s">
        <v>438</v>
      </c>
      <c r="D145" s="276">
        <v>6</v>
      </c>
      <c r="E145" s="272">
        <v>3739725</v>
      </c>
      <c r="F145" s="273">
        <v>72459900</v>
      </c>
      <c r="G145" s="234">
        <v>494367.5431160272</v>
      </c>
      <c r="H145" s="234">
        <v>159671.27291856389</v>
      </c>
      <c r="I145" s="174">
        <v>654038.81603459106</v>
      </c>
      <c r="J145" s="234">
        <v>271109.79453214537</v>
      </c>
      <c r="K145" s="234">
        <v>195937.5072997103</v>
      </c>
      <c r="L145" s="175">
        <v>467047.30183185567</v>
      </c>
      <c r="M145" s="235">
        <v>-223257.74858388182</v>
      </c>
      <c r="N145" s="236">
        <v>36266.234381146409</v>
      </c>
      <c r="O145" s="175">
        <v>-186991.51420273539</v>
      </c>
      <c r="P145" s="237">
        <v>-0.28590277766151068</v>
      </c>
      <c r="Q145" s="238">
        <v>4.2695993132800911E-2</v>
      </c>
      <c r="R145" s="239">
        <v>6.8226362873261932E-3</v>
      </c>
      <c r="S145" s="240">
        <v>5.239356030181639E-2</v>
      </c>
      <c r="T145" s="239">
        <v>3.7415148866082534E-3</v>
      </c>
      <c r="U145" s="241">
        <v>9.6975671690154794E-3</v>
      </c>
      <c r="V145" s="242">
        <v>-3.0811214007179398E-3</v>
      </c>
      <c r="W145" s="243">
        <v>53.907960929474434</v>
      </c>
      <c r="X145" s="244">
        <v>682.26362873261928</v>
      </c>
      <c r="Y145" s="245">
        <v>736.17158966209377</v>
      </c>
      <c r="Z145" s="246">
        <v>66.152109237073375</v>
      </c>
      <c r="AA145" s="244">
        <v>374.15148866082535</v>
      </c>
      <c r="AB145" s="245">
        <v>440.30359789789873</v>
      </c>
      <c r="AC145" s="247">
        <v>12.244148307598941</v>
      </c>
      <c r="AD145" s="247">
        <v>-308.11214007179393</v>
      </c>
      <c r="AE145" s="248">
        <v>-295.86799176419504</v>
      </c>
      <c r="AF145" s="234">
        <f>-SUMIF('[1]Alt Fac'!$A$18:$A$139,'REPORT 4 - PROPERTY TAX'!A145,'[1]Alt Fac'!$U$18:$U$139)</f>
        <v>0</v>
      </c>
      <c r="AG145" s="247">
        <f t="shared" si="7"/>
        <v>1077.3034040284035</v>
      </c>
      <c r="AH145" s="234">
        <f t="shared" si="8"/>
        <v>-449.92406180009203</v>
      </c>
      <c r="AI145" s="234">
        <f t="shared" si="6"/>
        <v>627.37934222831154</v>
      </c>
      <c r="AJ145" s="170"/>
      <c r="AK145" s="170"/>
      <c r="AL145" s="170"/>
      <c r="AM145" s="170"/>
      <c r="AN145" s="170"/>
      <c r="AO145" s="234"/>
    </row>
    <row r="146" spans="1:41" x14ac:dyDescent="0.25">
      <c r="A146" s="274">
        <v>332</v>
      </c>
      <c r="B146" s="274">
        <v>1</v>
      </c>
      <c r="C146" s="275" t="s">
        <v>440</v>
      </c>
      <c r="D146" s="276">
        <v>5</v>
      </c>
      <c r="E146" s="272">
        <v>7403458</v>
      </c>
      <c r="F146" s="273">
        <v>607128265</v>
      </c>
      <c r="G146" s="234">
        <v>322067.66248168109</v>
      </c>
      <c r="H146" s="234">
        <v>1163174.8759208261</v>
      </c>
      <c r="I146" s="174">
        <v>1485242.5384025071</v>
      </c>
      <c r="J146" s="234">
        <v>488996.05699985247</v>
      </c>
      <c r="K146" s="234">
        <v>1145138.1620634613</v>
      </c>
      <c r="L146" s="175">
        <v>1634134.2190633137</v>
      </c>
      <c r="M146" s="235">
        <v>166928.39451817138</v>
      </c>
      <c r="N146" s="236">
        <v>-18036.713857364841</v>
      </c>
      <c r="O146" s="175">
        <v>148891.6806608066</v>
      </c>
      <c r="P146" s="237">
        <v>0.10024738506409268</v>
      </c>
      <c r="Q146" s="238">
        <v>0.15711237585474599</v>
      </c>
      <c r="R146" s="239">
        <v>5.3047713481381258E-4</v>
      </c>
      <c r="S146" s="240">
        <v>0.15467612054575866</v>
      </c>
      <c r="T146" s="239">
        <v>8.0542462802296393E-4</v>
      </c>
      <c r="U146" s="241">
        <v>-2.436255308987334E-3</v>
      </c>
      <c r="V146" s="242">
        <v>2.7494749320915136E-4</v>
      </c>
      <c r="W146" s="243">
        <v>198.37008575420231</v>
      </c>
      <c r="X146" s="244">
        <v>53.047713481381258</v>
      </c>
      <c r="Y146" s="245">
        <v>251.41779923558357</v>
      </c>
      <c r="Z146" s="246">
        <v>195.2940698010749</v>
      </c>
      <c r="AA146" s="244">
        <v>80.542462802296399</v>
      </c>
      <c r="AB146" s="245">
        <v>275.83653260337132</v>
      </c>
      <c r="AC146" s="247">
        <v>-3.0760159531274098</v>
      </c>
      <c r="AD146" s="247">
        <v>27.49474932091514</v>
      </c>
      <c r="AE146" s="248">
        <v>24.418733367787752</v>
      </c>
      <c r="AF146" s="234">
        <f>-SUMIF('[1]Alt Fac'!$A$18:$A$139,'REPORT 4 - PROPERTY TAX'!A146,'[1]Alt Fac'!$U$18:$U$139)</f>
        <v>0</v>
      </c>
      <c r="AG146" s="247">
        <f t="shared" si="7"/>
        <v>277.94165597627421</v>
      </c>
      <c r="AH146" s="234">
        <f t="shared" si="8"/>
        <v>38.166108028245297</v>
      </c>
      <c r="AI146" s="234">
        <f t="shared" si="6"/>
        <v>316.10776400451948</v>
      </c>
      <c r="AJ146" s="170"/>
      <c r="AK146" s="170"/>
      <c r="AL146" s="170"/>
      <c r="AM146" s="170"/>
      <c r="AN146" s="170"/>
      <c r="AO146" s="234"/>
    </row>
    <row r="147" spans="1:41" x14ac:dyDescent="0.25">
      <c r="A147" s="274">
        <v>333</v>
      </c>
      <c r="B147" s="274">
        <v>1</v>
      </c>
      <c r="C147" s="275" t="s">
        <v>442</v>
      </c>
      <c r="D147" s="276">
        <v>6</v>
      </c>
      <c r="E147" s="272">
        <v>2237638</v>
      </c>
      <c r="F147" s="273">
        <v>169245430</v>
      </c>
      <c r="G147" s="234">
        <v>60283.81</v>
      </c>
      <c r="H147" s="234">
        <v>746451.38960768899</v>
      </c>
      <c r="I147" s="174">
        <v>806735.19960768893</v>
      </c>
      <c r="J147" s="234">
        <v>136314.43323555723</v>
      </c>
      <c r="K147" s="234">
        <v>674215.71388572978</v>
      </c>
      <c r="L147" s="175">
        <v>810530.14712128695</v>
      </c>
      <c r="M147" s="235">
        <v>76030.623235557228</v>
      </c>
      <c r="N147" s="236">
        <v>-72235.675721959211</v>
      </c>
      <c r="O147" s="175">
        <v>3794.9475135980174</v>
      </c>
      <c r="P147" s="237">
        <v>4.7040807385663602E-3</v>
      </c>
      <c r="Q147" s="238">
        <v>0.33358898517440666</v>
      </c>
      <c r="R147" s="239">
        <v>3.5619165610557401E-4</v>
      </c>
      <c r="S147" s="240">
        <v>0.30130687532376987</v>
      </c>
      <c r="T147" s="239">
        <v>8.0542460281236091E-4</v>
      </c>
      <c r="U147" s="241">
        <v>-3.2282109850636787E-2</v>
      </c>
      <c r="V147" s="242">
        <v>4.492329467067869E-4</v>
      </c>
      <c r="W147" s="243">
        <v>421.18945268120592</v>
      </c>
      <c r="X147" s="244">
        <v>35.619165610557403</v>
      </c>
      <c r="Y147" s="245">
        <v>456.80861829176331</v>
      </c>
      <c r="Z147" s="246">
        <v>380.43006078379187</v>
      </c>
      <c r="AA147" s="244">
        <v>80.542460281236089</v>
      </c>
      <c r="AB147" s="245">
        <v>460.97252106502799</v>
      </c>
      <c r="AC147" s="247">
        <v>-40.759391897414048</v>
      </c>
      <c r="AD147" s="247">
        <v>44.923294670678686</v>
      </c>
      <c r="AE147" s="248">
        <v>4.1639027732646809</v>
      </c>
      <c r="AF147" s="234">
        <f>-SUMIF('[1]Alt Fac'!$A$18:$A$139,'REPORT 4 - PROPERTY TAX'!A147,'[1]Alt Fac'!$U$18:$U$139)</f>
        <v>0</v>
      </c>
      <c r="AG147" s="247">
        <f t="shared" si="7"/>
        <v>474.618201097042</v>
      </c>
      <c r="AH147" s="234">
        <f t="shared" si="8"/>
        <v>26.625550108604024</v>
      </c>
      <c r="AI147" s="234">
        <f t="shared" si="6"/>
        <v>501.24375120564605</v>
      </c>
      <c r="AJ147" s="170"/>
      <c r="AK147" s="170"/>
      <c r="AL147" s="170"/>
      <c r="AM147" s="170"/>
      <c r="AN147" s="170"/>
      <c r="AO147" s="234"/>
    </row>
    <row r="148" spans="1:41" x14ac:dyDescent="0.25">
      <c r="A148" s="274">
        <v>345</v>
      </c>
      <c r="B148" s="274">
        <v>1</v>
      </c>
      <c r="C148" s="275" t="s">
        <v>382</v>
      </c>
      <c r="D148" s="276">
        <v>5</v>
      </c>
      <c r="E148" s="272">
        <v>13778000</v>
      </c>
      <c r="F148" s="273">
        <v>891293990</v>
      </c>
      <c r="G148" s="234">
        <v>1126258.96</v>
      </c>
      <c r="H148" s="234">
        <v>1965817.371628585</v>
      </c>
      <c r="I148" s="174">
        <v>3092076.3316285852</v>
      </c>
      <c r="J148" s="234">
        <v>1056129.6376108662</v>
      </c>
      <c r="K148" s="234">
        <v>2085737.3806564407</v>
      </c>
      <c r="L148" s="175">
        <v>3141867.018267307</v>
      </c>
      <c r="M148" s="235">
        <v>-70129.32238913374</v>
      </c>
      <c r="N148" s="236">
        <v>119920.0090278557</v>
      </c>
      <c r="O148" s="175">
        <v>49790.686638721731</v>
      </c>
      <c r="P148" s="237">
        <v>1.6102670600145617E-2</v>
      </c>
      <c r="Q148" s="238">
        <v>0.14267799184414176</v>
      </c>
      <c r="R148" s="239">
        <v>1.2636222981824436E-3</v>
      </c>
      <c r="S148" s="240">
        <v>0.15138172308436934</v>
      </c>
      <c r="T148" s="239">
        <v>1.1849397050358952E-3</v>
      </c>
      <c r="U148" s="241">
        <v>8.7037312402275802E-3</v>
      </c>
      <c r="V148" s="242">
        <v>-7.8682593146548428E-5</v>
      </c>
      <c r="W148" s="243">
        <v>180.14523250241339</v>
      </c>
      <c r="X148" s="244">
        <v>126.36222981824436</v>
      </c>
      <c r="Y148" s="245">
        <v>306.50746232065774</v>
      </c>
      <c r="Z148" s="246">
        <v>191.13456356632474</v>
      </c>
      <c r="AA148" s="244">
        <v>118.49397050358952</v>
      </c>
      <c r="AB148" s="245">
        <v>309.62853406991428</v>
      </c>
      <c r="AC148" s="247">
        <v>10.989331063911351</v>
      </c>
      <c r="AD148" s="247">
        <v>-7.8682593146548356</v>
      </c>
      <c r="AE148" s="248">
        <v>3.1210717492565436</v>
      </c>
      <c r="AF148" s="234">
        <f>-SUMIF('[1]Alt Fac'!$A$18:$A$139,'REPORT 4 - PROPERTY TAX'!A148,'[1]Alt Fac'!$U$18:$U$139)</f>
        <v>0</v>
      </c>
      <c r="AG148" s="247">
        <f t="shared" si="7"/>
        <v>369.68857722977992</v>
      </c>
      <c r="AH148" s="234">
        <f t="shared" si="8"/>
        <v>-0.81305790807092038</v>
      </c>
      <c r="AI148" s="234">
        <f t="shared" si="6"/>
        <v>368.87551932170902</v>
      </c>
      <c r="AJ148" s="170"/>
      <c r="AK148" s="170"/>
      <c r="AL148" s="170"/>
      <c r="AM148" s="170"/>
      <c r="AN148" s="170"/>
      <c r="AO148" s="234"/>
    </row>
    <row r="149" spans="1:41" x14ac:dyDescent="0.25">
      <c r="A149" s="274">
        <v>347</v>
      </c>
      <c r="B149" s="274">
        <v>1</v>
      </c>
      <c r="C149" s="275" t="s">
        <v>445</v>
      </c>
      <c r="D149" s="276">
        <v>4</v>
      </c>
      <c r="E149" s="272">
        <v>21481289</v>
      </c>
      <c r="F149" s="273">
        <v>1499389950</v>
      </c>
      <c r="G149" s="234">
        <v>2611106.4405882349</v>
      </c>
      <c r="H149" s="234">
        <v>3733079.5814333586</v>
      </c>
      <c r="I149" s="174">
        <v>6344186.0220215935</v>
      </c>
      <c r="J149" s="234">
        <v>2327340.285659289</v>
      </c>
      <c r="K149" s="234">
        <v>3640718.9206116428</v>
      </c>
      <c r="L149" s="175">
        <v>5968059.2062709313</v>
      </c>
      <c r="M149" s="235">
        <v>-283766.15492894594</v>
      </c>
      <c r="N149" s="236">
        <v>-92360.660821715835</v>
      </c>
      <c r="O149" s="175">
        <v>-376126.81575066224</v>
      </c>
      <c r="P149" s="237">
        <v>-5.9286851685160444E-2</v>
      </c>
      <c r="Q149" s="238">
        <v>0.17378284801407209</v>
      </c>
      <c r="R149" s="239">
        <v>1.7414458730954112E-3</v>
      </c>
      <c r="S149" s="240">
        <v>0.16948326148452464</v>
      </c>
      <c r="T149" s="239">
        <v>1.5521914667090365E-3</v>
      </c>
      <c r="U149" s="241">
        <v>-4.2995865295474556E-3</v>
      </c>
      <c r="V149" s="242">
        <v>-1.8925440638637467E-4</v>
      </c>
      <c r="W149" s="243">
        <v>219.41822390256746</v>
      </c>
      <c r="X149" s="244">
        <v>174.14458730954112</v>
      </c>
      <c r="Y149" s="245">
        <v>393.56281121210861</v>
      </c>
      <c r="Z149" s="246">
        <v>213.98956595036083</v>
      </c>
      <c r="AA149" s="244">
        <v>155.21914667090365</v>
      </c>
      <c r="AB149" s="245">
        <v>369.20871262126445</v>
      </c>
      <c r="AC149" s="247">
        <v>-5.4286579522066347</v>
      </c>
      <c r="AD149" s="247">
        <v>-18.925440638637468</v>
      </c>
      <c r="AE149" s="248">
        <v>-24.35409859084416</v>
      </c>
      <c r="AF149" s="234">
        <f>-SUMIF('[1]Alt Fac'!$A$18:$A$139,'REPORT 4 - PROPERTY TAX'!A149,'[1]Alt Fac'!$U$18:$U$139)</f>
        <v>0</v>
      </c>
      <c r="AG149" s="247">
        <f t="shared" si="7"/>
        <v>480.63510486687915</v>
      </c>
      <c r="AH149" s="234">
        <f t="shared" si="8"/>
        <v>-33.816818910162816</v>
      </c>
      <c r="AI149" s="234">
        <f t="shared" si="6"/>
        <v>446.81828595671635</v>
      </c>
      <c r="AJ149" s="170"/>
      <c r="AK149" s="170"/>
      <c r="AL149" s="170"/>
      <c r="AM149" s="170"/>
      <c r="AN149" s="170"/>
      <c r="AO149" s="234"/>
    </row>
    <row r="150" spans="1:41" x14ac:dyDescent="0.25">
      <c r="A150" s="274">
        <v>356</v>
      </c>
      <c r="B150" s="274">
        <v>1</v>
      </c>
      <c r="C150" s="275" t="s">
        <v>447</v>
      </c>
      <c r="D150" s="276">
        <v>6</v>
      </c>
      <c r="E150" s="272">
        <v>913724</v>
      </c>
      <c r="F150" s="273">
        <v>23389700</v>
      </c>
      <c r="G150" s="234">
        <v>216746.97080750638</v>
      </c>
      <c r="H150" s="234">
        <v>52703.020316232447</v>
      </c>
      <c r="I150" s="174">
        <v>269449.99112373882</v>
      </c>
      <c r="J150" s="234">
        <v>121626.54453379275</v>
      </c>
      <c r="K150" s="234">
        <v>47873.254924816792</v>
      </c>
      <c r="L150" s="175">
        <v>169499.79945860954</v>
      </c>
      <c r="M150" s="235">
        <v>-95120.426273713631</v>
      </c>
      <c r="N150" s="236">
        <v>-4829.7653914156544</v>
      </c>
      <c r="O150" s="175">
        <v>-99950.19166512927</v>
      </c>
      <c r="P150" s="237">
        <v>-0.37094152888366361</v>
      </c>
      <c r="Q150" s="238">
        <v>5.7679365230892968E-2</v>
      </c>
      <c r="R150" s="239">
        <v>9.266770023023228E-3</v>
      </c>
      <c r="S150" s="240">
        <v>5.2393561868591385E-2</v>
      </c>
      <c r="T150" s="239">
        <v>5.2000044692233228E-3</v>
      </c>
      <c r="U150" s="241">
        <v>-5.2858033623015832E-3</v>
      </c>
      <c r="V150" s="242">
        <v>-4.0667655537999052E-3</v>
      </c>
      <c r="W150" s="243">
        <v>72.825966540525471</v>
      </c>
      <c r="X150" s="244">
        <v>926.67700230232276</v>
      </c>
      <c r="Y150" s="245">
        <v>999.50296884284819</v>
      </c>
      <c r="Z150" s="246">
        <v>66.152111215283483</v>
      </c>
      <c r="AA150" s="244">
        <v>520.00044692233223</v>
      </c>
      <c r="AB150" s="245">
        <v>586.15255813761576</v>
      </c>
      <c r="AC150" s="247">
        <v>-6.6738553252419877</v>
      </c>
      <c r="AD150" s="247">
        <v>-406.67655537999053</v>
      </c>
      <c r="AE150" s="248">
        <v>-413.35041070523243</v>
      </c>
      <c r="AF150" s="234">
        <f>-SUMIF('[1]Alt Fac'!$A$18:$A$139,'REPORT 4 - PROPERTY TAX'!A150,'[1]Alt Fac'!$U$18:$U$139)</f>
        <v>0</v>
      </c>
      <c r="AG150" s="247">
        <f t="shared" si="7"/>
        <v>1462.8414699940097</v>
      </c>
      <c r="AH150" s="234">
        <f t="shared" si="8"/>
        <v>-616.68868839522781</v>
      </c>
      <c r="AI150" s="234">
        <f t="shared" si="6"/>
        <v>846.15278159878187</v>
      </c>
      <c r="AJ150" s="170"/>
      <c r="AK150" s="170"/>
      <c r="AL150" s="170"/>
      <c r="AM150" s="170"/>
      <c r="AN150" s="170"/>
      <c r="AO150" s="234"/>
    </row>
    <row r="151" spans="1:41" x14ac:dyDescent="0.25">
      <c r="A151" s="274">
        <v>361</v>
      </c>
      <c r="B151" s="274">
        <v>1</v>
      </c>
      <c r="C151" s="275" t="s">
        <v>449</v>
      </c>
      <c r="D151" s="276">
        <v>5</v>
      </c>
      <c r="E151" s="272">
        <v>7382337</v>
      </c>
      <c r="F151" s="273">
        <v>489553591</v>
      </c>
      <c r="G151" s="234">
        <v>749388.77798150922</v>
      </c>
      <c r="H151" s="234">
        <v>1096143.8701309033</v>
      </c>
      <c r="I151" s="174">
        <v>1845532.6481124125</v>
      </c>
      <c r="J151" s="234">
        <v>716473.59782424255</v>
      </c>
      <c r="K151" s="234">
        <v>1041923.725946344</v>
      </c>
      <c r="L151" s="175">
        <v>1758397.3237705864</v>
      </c>
      <c r="M151" s="235">
        <v>-32915.180157266674</v>
      </c>
      <c r="N151" s="236">
        <v>-54220.144184559351</v>
      </c>
      <c r="O151" s="175">
        <v>-87135.324341826141</v>
      </c>
      <c r="P151" s="237">
        <v>-4.721418742223122E-2</v>
      </c>
      <c r="Q151" s="238">
        <v>0.14848196040507272</v>
      </c>
      <c r="R151" s="239">
        <v>1.5307594342240443E-3</v>
      </c>
      <c r="S151" s="240">
        <v>0.14113738318182223</v>
      </c>
      <c r="T151" s="239">
        <v>1.4635243433935765E-3</v>
      </c>
      <c r="U151" s="241">
        <v>-7.3445772232504924E-3</v>
      </c>
      <c r="V151" s="242">
        <v>-6.7235090830467838E-5</v>
      </c>
      <c r="W151" s="243">
        <v>187.47332320744485</v>
      </c>
      <c r="X151" s="244">
        <v>153.07594342240444</v>
      </c>
      <c r="Y151" s="245">
        <v>340.54926662984928</v>
      </c>
      <c r="Z151" s="246">
        <v>178.20006000536875</v>
      </c>
      <c r="AA151" s="244">
        <v>146.35243433935764</v>
      </c>
      <c r="AB151" s="245">
        <v>324.55249434472637</v>
      </c>
      <c r="AC151" s="247">
        <v>-9.2732632020760946</v>
      </c>
      <c r="AD151" s="247">
        <v>-6.7235090830467925</v>
      </c>
      <c r="AE151" s="248">
        <v>-15.996772285122915</v>
      </c>
      <c r="AF151" s="234">
        <f>-SUMIF('[1]Alt Fac'!$A$18:$A$139,'REPORT 4 - PROPERTY TAX'!A151,'[1]Alt Fac'!$U$18:$U$139)</f>
        <v>0</v>
      </c>
      <c r="AG151" s="247">
        <f t="shared" si="7"/>
        <v>417.08723834105149</v>
      </c>
      <c r="AH151" s="234">
        <f t="shared" si="8"/>
        <v>-19.358526826646248</v>
      </c>
      <c r="AI151" s="234">
        <f t="shared" si="6"/>
        <v>397.72871151440523</v>
      </c>
      <c r="AJ151" s="170"/>
      <c r="AK151" s="170"/>
      <c r="AL151" s="170"/>
      <c r="AM151" s="170"/>
      <c r="AN151" s="170"/>
      <c r="AO151" s="234"/>
    </row>
    <row r="152" spans="1:41" x14ac:dyDescent="0.25">
      <c r="A152" s="274">
        <v>362</v>
      </c>
      <c r="B152" s="274">
        <v>1</v>
      </c>
      <c r="C152" s="275" t="s">
        <v>451</v>
      </c>
      <c r="D152" s="276">
        <v>6</v>
      </c>
      <c r="E152" s="272">
        <v>1294340</v>
      </c>
      <c r="F152" s="273">
        <v>55968915</v>
      </c>
      <c r="G152" s="234">
        <v>22011.329999999998</v>
      </c>
      <c r="H152" s="234">
        <v>465653.03197452001</v>
      </c>
      <c r="I152" s="174">
        <v>487664.36197452003</v>
      </c>
      <c r="J152" s="234">
        <v>45078.742082714591</v>
      </c>
      <c r="K152" s="234">
        <v>437571.88740556856</v>
      </c>
      <c r="L152" s="175">
        <v>482650.62948828313</v>
      </c>
      <c r="M152" s="235">
        <v>23067.412082714593</v>
      </c>
      <c r="N152" s="236">
        <v>-28081.144568951451</v>
      </c>
      <c r="O152" s="175">
        <v>-5013.7324862368987</v>
      </c>
      <c r="P152" s="237">
        <v>-1.0281113153187235E-2</v>
      </c>
      <c r="Q152" s="238">
        <v>0.35976098395670381</v>
      </c>
      <c r="R152" s="239">
        <v>3.9327776856135229E-4</v>
      </c>
      <c r="S152" s="240">
        <v>0.3380656453525106</v>
      </c>
      <c r="T152" s="239">
        <v>8.0542461976821581E-4</v>
      </c>
      <c r="U152" s="241">
        <v>-2.1695338604193204E-2</v>
      </c>
      <c r="V152" s="242">
        <v>4.1214685120686352E-4</v>
      </c>
      <c r="W152" s="243">
        <v>454.23421834373426</v>
      </c>
      <c r="X152" s="244">
        <v>39.32777685613523</v>
      </c>
      <c r="Y152" s="245">
        <v>493.5619951998695</v>
      </c>
      <c r="Z152" s="246">
        <v>426.84168382207991</v>
      </c>
      <c r="AA152" s="244">
        <v>80.542461976821585</v>
      </c>
      <c r="AB152" s="245">
        <v>507.3841457989015</v>
      </c>
      <c r="AC152" s="247">
        <v>-27.392534521654341</v>
      </c>
      <c r="AD152" s="247">
        <v>41.214685120686354</v>
      </c>
      <c r="AE152" s="248">
        <v>13.822150599032</v>
      </c>
      <c r="AF152" s="234">
        <f>-SUMIF('[1]Alt Fac'!$A$18:$A$139,'REPORT 4 - PROPERTY TAX'!A152,'[1]Alt Fac'!$U$18:$U$139)</f>
        <v>0</v>
      </c>
      <c r="AG152" s="247">
        <f t="shared" si="7"/>
        <v>513.22588362793715</v>
      </c>
      <c r="AH152" s="234">
        <f t="shared" si="8"/>
        <v>34.429493159375184</v>
      </c>
      <c r="AI152" s="234">
        <f t="shared" si="6"/>
        <v>547.65537678731232</v>
      </c>
      <c r="AJ152" s="170"/>
      <c r="AK152" s="170"/>
      <c r="AL152" s="170"/>
      <c r="AM152" s="170"/>
      <c r="AN152" s="170"/>
      <c r="AO152" s="234"/>
    </row>
    <row r="153" spans="1:41" x14ac:dyDescent="0.25">
      <c r="A153" s="274">
        <v>363</v>
      </c>
      <c r="B153" s="274">
        <v>1</v>
      </c>
      <c r="C153" s="275" t="s">
        <v>453</v>
      </c>
      <c r="D153" s="276">
        <v>6</v>
      </c>
      <c r="E153" s="272">
        <v>1579086</v>
      </c>
      <c r="F153" s="273">
        <v>39310765</v>
      </c>
      <c r="G153" s="234">
        <v>30070.560095590648</v>
      </c>
      <c r="H153" s="234">
        <v>290776.80362360162</v>
      </c>
      <c r="I153" s="174">
        <v>320847.36371919228</v>
      </c>
      <c r="J153" s="234">
        <v>33084.329525239511</v>
      </c>
      <c r="K153" s="234">
        <v>323828.56236232084</v>
      </c>
      <c r="L153" s="175">
        <v>356912.89188756037</v>
      </c>
      <c r="M153" s="235">
        <v>3013.7694296488626</v>
      </c>
      <c r="N153" s="236">
        <v>33051.758738719218</v>
      </c>
      <c r="O153" s="175">
        <v>36065.528168368095</v>
      </c>
      <c r="P153" s="237">
        <v>0.112407120165503</v>
      </c>
      <c r="Q153" s="238">
        <v>0.18414247458567906</v>
      </c>
      <c r="R153" s="239">
        <v>7.6494466835205701E-4</v>
      </c>
      <c r="S153" s="240">
        <v>0.20507341738342361</v>
      </c>
      <c r="T153" s="239">
        <v>8.4160991334662424E-4</v>
      </c>
      <c r="U153" s="241">
        <v>2.0930942797744545E-2</v>
      </c>
      <c r="V153" s="242">
        <v>7.6665244994567235E-5</v>
      </c>
      <c r="W153" s="243">
        <v>232.49828841187841</v>
      </c>
      <c r="X153" s="244">
        <v>76.494466835205699</v>
      </c>
      <c r="Y153" s="245">
        <v>308.99275524708412</v>
      </c>
      <c r="Z153" s="246">
        <v>258.92569678831069</v>
      </c>
      <c r="AA153" s="244">
        <v>84.160991334662427</v>
      </c>
      <c r="AB153" s="245">
        <v>343.0866881229731</v>
      </c>
      <c r="AC153" s="247">
        <v>26.427408376432282</v>
      </c>
      <c r="AD153" s="247">
        <v>7.6665244994567274</v>
      </c>
      <c r="AE153" s="248">
        <v>34.093932875888981</v>
      </c>
      <c r="AF153" s="234">
        <f>-SUMIF('[1]Alt Fac'!$A$18:$A$139,'REPORT 4 - PROPERTY TAX'!A153,'[1]Alt Fac'!$U$18:$U$139)</f>
        <v>0</v>
      </c>
      <c r="AG153" s="247">
        <f t="shared" si="7"/>
        <v>347.23998866468696</v>
      </c>
      <c r="AH153" s="234">
        <f t="shared" si="8"/>
        <v>37.927195125617352</v>
      </c>
      <c r="AI153" s="234">
        <f t="shared" si="6"/>
        <v>385.16718379030431</v>
      </c>
      <c r="AJ153" s="170"/>
      <c r="AK153" s="170"/>
      <c r="AL153" s="170"/>
      <c r="AM153" s="170"/>
      <c r="AN153" s="170"/>
      <c r="AO153" s="234"/>
    </row>
    <row r="154" spans="1:41" x14ac:dyDescent="0.25">
      <c r="A154" s="274">
        <v>378</v>
      </c>
      <c r="B154" s="274">
        <v>1</v>
      </c>
      <c r="C154" s="275" t="s">
        <v>350</v>
      </c>
      <c r="D154" s="276">
        <v>6</v>
      </c>
      <c r="E154" s="272">
        <v>4890658</v>
      </c>
      <c r="F154" s="273">
        <v>100672835</v>
      </c>
      <c r="G154" s="234">
        <v>284496.78880174295</v>
      </c>
      <c r="H154" s="234">
        <v>794608.81608714932</v>
      </c>
      <c r="I154" s="174">
        <v>1079105.6048888923</v>
      </c>
      <c r="J154" s="234">
        <v>202442.56046669878</v>
      </c>
      <c r="K154" s="234">
        <v>791520.4986657619</v>
      </c>
      <c r="L154" s="175">
        <v>993963.05913246074</v>
      </c>
      <c r="M154" s="235">
        <v>-82054.228335044172</v>
      </c>
      <c r="N154" s="236">
        <v>-3088.3174213874154</v>
      </c>
      <c r="O154" s="175">
        <v>-85142.545756431529</v>
      </c>
      <c r="P154" s="237">
        <v>-7.8901031901505173E-2</v>
      </c>
      <c r="Q154" s="238">
        <v>0.16247482774038777</v>
      </c>
      <c r="R154" s="239">
        <v>2.8259538812207179E-3</v>
      </c>
      <c r="S154" s="240">
        <v>0.1618433549566872</v>
      </c>
      <c r="T154" s="239">
        <v>2.0108955952884288E-3</v>
      </c>
      <c r="U154" s="241">
        <v>-6.3147278370057069E-4</v>
      </c>
      <c r="V154" s="242">
        <v>-8.1505828593228915E-4</v>
      </c>
      <c r="W154" s="243">
        <v>205.14071750501361</v>
      </c>
      <c r="X154" s="244">
        <v>282.59538812207177</v>
      </c>
      <c r="Y154" s="245">
        <v>487.73610562708541</v>
      </c>
      <c r="Z154" s="246">
        <v>204.34341996831327</v>
      </c>
      <c r="AA154" s="244">
        <v>201.08955952884287</v>
      </c>
      <c r="AB154" s="245">
        <v>405.43297949715611</v>
      </c>
      <c r="AC154" s="247">
        <v>-0.79729753670034142</v>
      </c>
      <c r="AD154" s="247">
        <v>-81.505828593228898</v>
      </c>
      <c r="AE154" s="248">
        <v>-82.303126129929296</v>
      </c>
      <c r="AF154" s="234">
        <f>-SUMIF('[1]Alt Fac'!$A$18:$A$139,'REPORT 4 - PROPERTY TAX'!A154,'[1]Alt Fac'!$U$18:$U$139)</f>
        <v>0</v>
      </c>
      <c r="AG154" s="247">
        <f t="shared" si="7"/>
        <v>629.03379968812135</v>
      </c>
      <c r="AH154" s="234">
        <f t="shared" si="8"/>
        <v>-123.05604042654372</v>
      </c>
      <c r="AI154" s="234">
        <f t="shared" si="6"/>
        <v>505.9777592615776</v>
      </c>
      <c r="AJ154" s="170"/>
      <c r="AK154" s="170"/>
      <c r="AL154" s="170"/>
      <c r="AM154" s="170"/>
      <c r="AN154" s="170"/>
      <c r="AO154" s="234"/>
    </row>
    <row r="155" spans="1:41" x14ac:dyDescent="0.25">
      <c r="A155" s="274">
        <v>381</v>
      </c>
      <c r="B155" s="274">
        <v>1</v>
      </c>
      <c r="C155" s="275" t="s">
        <v>456</v>
      </c>
      <c r="D155" s="276">
        <v>5</v>
      </c>
      <c r="E155" s="272">
        <v>21686518</v>
      </c>
      <c r="F155" s="273">
        <v>1213485125</v>
      </c>
      <c r="G155" s="234">
        <v>215950.75</v>
      </c>
      <c r="H155" s="234">
        <v>3575013.4679999999</v>
      </c>
      <c r="I155" s="174">
        <v>3790964.2179999999</v>
      </c>
      <c r="J155" s="234">
        <v>944275.94033586653</v>
      </c>
      <c r="K155" s="234">
        <v>3892126.0923847556</v>
      </c>
      <c r="L155" s="175">
        <v>4836402.0327206217</v>
      </c>
      <c r="M155" s="235">
        <v>728325.19033586653</v>
      </c>
      <c r="N155" s="236">
        <v>317112.62438475573</v>
      </c>
      <c r="O155" s="175">
        <v>1045437.8147206218</v>
      </c>
      <c r="P155" s="237">
        <v>0.27577095287703973</v>
      </c>
      <c r="Q155" s="238">
        <v>0.16484958387510618</v>
      </c>
      <c r="R155" s="239">
        <v>1.7795912413841908E-4</v>
      </c>
      <c r="S155" s="240">
        <v>0.17947215373093808</v>
      </c>
      <c r="T155" s="239">
        <v>7.7815205220242527E-4</v>
      </c>
      <c r="U155" s="241">
        <v>1.4622569855831907E-2</v>
      </c>
      <c r="V155" s="242">
        <v>6.0019292806400622E-4</v>
      </c>
      <c r="W155" s="243">
        <v>208.13908460070908</v>
      </c>
      <c r="X155" s="244">
        <v>17.795912413841908</v>
      </c>
      <c r="Y155" s="245">
        <v>225.93499701455099</v>
      </c>
      <c r="Z155" s="246">
        <v>226.60154130068244</v>
      </c>
      <c r="AA155" s="244">
        <v>77.815205220242532</v>
      </c>
      <c r="AB155" s="245">
        <v>304.41674652092496</v>
      </c>
      <c r="AC155" s="247">
        <v>18.462456699973359</v>
      </c>
      <c r="AD155" s="247">
        <v>60.019292806400628</v>
      </c>
      <c r="AE155" s="248">
        <v>78.481749506373973</v>
      </c>
      <c r="AF155" s="234">
        <f>-SUMIF('[1]Alt Fac'!$A$18:$A$139,'REPORT 4 - PROPERTY TAX'!A155,'[1]Alt Fac'!$U$18:$U$139)</f>
        <v>0</v>
      </c>
      <c r="AG155" s="247">
        <f t="shared" si="7"/>
        <v>234.83295322147194</v>
      </c>
      <c r="AH155" s="234">
        <f t="shared" si="8"/>
        <v>108.49139590957431</v>
      </c>
      <c r="AI155" s="234">
        <f t="shared" si="6"/>
        <v>343.32434913104623</v>
      </c>
      <c r="AJ155" s="170"/>
      <c r="AK155" s="170"/>
      <c r="AL155" s="170"/>
      <c r="AM155" s="170"/>
      <c r="AN155" s="170"/>
      <c r="AO155" s="234"/>
    </row>
    <row r="156" spans="1:41" x14ac:dyDescent="0.25">
      <c r="A156" s="274">
        <v>390</v>
      </c>
      <c r="B156" s="274">
        <v>1</v>
      </c>
      <c r="C156" s="275" t="s">
        <v>458</v>
      </c>
      <c r="D156" s="276">
        <v>6</v>
      </c>
      <c r="E156" s="272">
        <v>3830555</v>
      </c>
      <c r="F156" s="273">
        <v>199478100</v>
      </c>
      <c r="G156" s="234">
        <v>343219.0870588235</v>
      </c>
      <c r="H156" s="234">
        <v>1609818.0434553241</v>
      </c>
      <c r="I156" s="174">
        <v>1953037.1305141477</v>
      </c>
      <c r="J156" s="234">
        <v>298260.40030763275</v>
      </c>
      <c r="K156" s="234">
        <v>1620173.9301757794</v>
      </c>
      <c r="L156" s="175">
        <v>1918434.3304834121</v>
      </c>
      <c r="M156" s="235">
        <v>-44958.686751190748</v>
      </c>
      <c r="N156" s="236">
        <v>10355.886720455252</v>
      </c>
      <c r="O156" s="175">
        <v>-34602.800030735554</v>
      </c>
      <c r="P156" s="237">
        <v>-1.7717430708358409E-2</v>
      </c>
      <c r="Q156" s="238">
        <v>0.42025712813295307</v>
      </c>
      <c r="R156" s="239">
        <v>1.7205853026413601E-3</v>
      </c>
      <c r="S156" s="240">
        <v>0.42296062324539901</v>
      </c>
      <c r="T156" s="239">
        <v>1.4952037356864374E-3</v>
      </c>
      <c r="U156" s="241">
        <v>2.7034951124459417E-3</v>
      </c>
      <c r="V156" s="242">
        <v>-2.2538156695492266E-4</v>
      </c>
      <c r="W156" s="243">
        <v>530.61664998066658</v>
      </c>
      <c r="X156" s="244">
        <v>172.05853026413601</v>
      </c>
      <c r="Y156" s="245">
        <v>702.67518024480262</v>
      </c>
      <c r="Z156" s="246">
        <v>534.0300829096409</v>
      </c>
      <c r="AA156" s="244">
        <v>149.52037356864375</v>
      </c>
      <c r="AB156" s="245">
        <v>683.55045647828467</v>
      </c>
      <c r="AC156" s="247">
        <v>3.4134329289743164</v>
      </c>
      <c r="AD156" s="247">
        <v>-22.538156695492262</v>
      </c>
      <c r="AE156" s="248">
        <v>-19.124723766517945</v>
      </c>
      <c r="AF156" s="234">
        <f>-SUMIF('[1]Alt Fac'!$A$18:$A$139,'REPORT 4 - PROPERTY TAX'!A156,'[1]Alt Fac'!$U$18:$U$139)</f>
        <v>0</v>
      </c>
      <c r="AG156" s="247">
        <f t="shared" si="7"/>
        <v>788.70444537687058</v>
      </c>
      <c r="AH156" s="234">
        <f t="shared" si="8"/>
        <v>-30.393802114264155</v>
      </c>
      <c r="AI156" s="234">
        <f t="shared" si="6"/>
        <v>758.31064326260639</v>
      </c>
      <c r="AJ156" s="170"/>
      <c r="AK156" s="170"/>
      <c r="AL156" s="170"/>
      <c r="AM156" s="170"/>
      <c r="AN156" s="170"/>
      <c r="AO156" s="234"/>
    </row>
    <row r="157" spans="1:41" x14ac:dyDescent="0.25">
      <c r="A157" s="274">
        <v>391</v>
      </c>
      <c r="B157" s="274">
        <v>1</v>
      </c>
      <c r="C157" s="275" t="s">
        <v>269</v>
      </c>
      <c r="D157" s="276">
        <v>6</v>
      </c>
      <c r="E157" s="272">
        <v>4630893</v>
      </c>
      <c r="F157" s="273">
        <v>252240450</v>
      </c>
      <c r="G157" s="234">
        <v>476823.19999999995</v>
      </c>
      <c r="H157" s="234">
        <v>284333.15935645549</v>
      </c>
      <c r="I157" s="174">
        <v>761156.3593564555</v>
      </c>
      <c r="J157" s="234">
        <v>414608.08144488168</v>
      </c>
      <c r="K157" s="234">
        <v>290321.11583383998</v>
      </c>
      <c r="L157" s="175">
        <v>704929.19727872172</v>
      </c>
      <c r="M157" s="235">
        <v>-62215.118555118272</v>
      </c>
      <c r="N157" s="236">
        <v>5987.9564773844904</v>
      </c>
      <c r="O157" s="175">
        <v>-56227.162077733781</v>
      </c>
      <c r="P157" s="237">
        <v>-7.3870711827557833E-2</v>
      </c>
      <c r="Q157" s="238">
        <v>6.1399207314108854E-2</v>
      </c>
      <c r="R157" s="239">
        <v>1.8903518448369402E-3</v>
      </c>
      <c r="S157" s="240">
        <v>6.2692253056557345E-2</v>
      </c>
      <c r="T157" s="239">
        <v>1.6437017989972729E-3</v>
      </c>
      <c r="U157" s="241">
        <v>1.2930457424484912E-3</v>
      </c>
      <c r="V157" s="242">
        <v>-2.466500458396673E-4</v>
      </c>
      <c r="W157" s="243">
        <v>77.52263915479385</v>
      </c>
      <c r="X157" s="244">
        <v>189.03518448369402</v>
      </c>
      <c r="Y157" s="245">
        <v>266.55782363848789</v>
      </c>
      <c r="Z157" s="246">
        <v>79.155238709209314</v>
      </c>
      <c r="AA157" s="244">
        <v>164.37017989972728</v>
      </c>
      <c r="AB157" s="245">
        <v>243.5254186089366</v>
      </c>
      <c r="AC157" s="247">
        <v>1.6325995544154637</v>
      </c>
      <c r="AD157" s="247">
        <v>-24.665004583966748</v>
      </c>
      <c r="AE157" s="248">
        <v>-23.032405029551285</v>
      </c>
      <c r="AF157" s="234">
        <f>-SUMIF('[1]Alt Fac'!$A$18:$A$139,'REPORT 4 - PROPERTY TAX'!A157,'[1]Alt Fac'!$U$18:$U$139)</f>
        <v>0</v>
      </c>
      <c r="AG157" s="247">
        <f t="shared" si="7"/>
        <v>361.0754158803349</v>
      </c>
      <c r="AH157" s="234">
        <f t="shared" si="8"/>
        <v>-35.364907321534631</v>
      </c>
      <c r="AI157" s="234">
        <f t="shared" si="6"/>
        <v>325.71050855880026</v>
      </c>
      <c r="AJ157" s="170"/>
      <c r="AK157" s="170"/>
      <c r="AL157" s="170"/>
      <c r="AM157" s="170"/>
      <c r="AN157" s="170"/>
      <c r="AO157" s="234"/>
    </row>
    <row r="158" spans="1:41" x14ac:dyDescent="0.25">
      <c r="A158" s="274">
        <v>402</v>
      </c>
      <c r="B158" s="274">
        <v>1</v>
      </c>
      <c r="C158" s="275" t="s">
        <v>461</v>
      </c>
      <c r="D158" s="276">
        <v>6</v>
      </c>
      <c r="E158" s="272">
        <v>1722619</v>
      </c>
      <c r="F158" s="273">
        <v>40608860</v>
      </c>
      <c r="G158" s="234">
        <v>168601.05278100219</v>
      </c>
      <c r="H158" s="234">
        <v>40068.874799999998</v>
      </c>
      <c r="I158" s="174">
        <v>208669.92758100218</v>
      </c>
      <c r="J158" s="234">
        <v>170111.79726140742</v>
      </c>
      <c r="K158" s="234">
        <v>78544.998366687301</v>
      </c>
      <c r="L158" s="175">
        <v>248656.79562809473</v>
      </c>
      <c r="M158" s="235">
        <v>1510.7444804052357</v>
      </c>
      <c r="N158" s="236">
        <v>38476.123566687304</v>
      </c>
      <c r="O158" s="175">
        <v>39986.868047092546</v>
      </c>
      <c r="P158" s="237">
        <v>0.19162736341857556</v>
      </c>
      <c r="Q158" s="238">
        <v>2.3260439365872545E-2</v>
      </c>
      <c r="R158" s="239">
        <v>4.1518292505872412E-3</v>
      </c>
      <c r="S158" s="240">
        <v>4.5596268453260591E-2</v>
      </c>
      <c r="T158" s="239">
        <v>4.1890315872301614E-3</v>
      </c>
      <c r="U158" s="241">
        <v>2.2335829087388046E-2</v>
      </c>
      <c r="V158" s="242">
        <v>3.7202336642920206E-5</v>
      </c>
      <c r="W158" s="243">
        <v>29.368630743350678</v>
      </c>
      <c r="X158" s="244">
        <v>415.18292505872409</v>
      </c>
      <c r="Y158" s="245">
        <v>444.55155580207474</v>
      </c>
      <c r="Z158" s="246">
        <v>57.569848549086828</v>
      </c>
      <c r="AA158" s="244">
        <v>418.90315872301613</v>
      </c>
      <c r="AB158" s="245">
        <v>476.47300727210296</v>
      </c>
      <c r="AC158" s="247">
        <v>28.20121780573615</v>
      </c>
      <c r="AD158" s="247">
        <v>3.7202336642920386</v>
      </c>
      <c r="AE158" s="248">
        <v>31.921451470028217</v>
      </c>
      <c r="AF158" s="234">
        <f>-SUMIF('[1]Alt Fac'!$A$18:$A$139,'REPORT 4 - PROPERTY TAX'!A158,'[1]Alt Fac'!$U$18:$U$139)</f>
        <v>0</v>
      </c>
      <c r="AG158" s="247">
        <f t="shared" si="7"/>
        <v>652.14301833143679</v>
      </c>
      <c r="AH158" s="234">
        <f t="shared" si="8"/>
        <v>33.781568302174179</v>
      </c>
      <c r="AI158" s="234">
        <f t="shared" ref="AI158:AI221" si="9">AG158+AH158</f>
        <v>685.92458663361094</v>
      </c>
      <c r="AJ158" s="170"/>
      <c r="AK158" s="170"/>
      <c r="AL158" s="170"/>
      <c r="AM158" s="170"/>
      <c r="AN158" s="170"/>
      <c r="AO158" s="234"/>
    </row>
    <row r="159" spans="1:41" x14ac:dyDescent="0.25">
      <c r="A159" s="274">
        <v>403</v>
      </c>
      <c r="B159" s="274">
        <v>1</v>
      </c>
      <c r="C159" s="275" t="s">
        <v>448</v>
      </c>
      <c r="D159" s="276">
        <v>6</v>
      </c>
      <c r="E159" s="272">
        <v>2141763</v>
      </c>
      <c r="F159" s="273">
        <v>48243105</v>
      </c>
      <c r="G159" s="234">
        <v>169788.11598039218</v>
      </c>
      <c r="H159" s="234">
        <v>728926.50049279851</v>
      </c>
      <c r="I159" s="174">
        <v>898714.61647319072</v>
      </c>
      <c r="J159" s="234">
        <v>118845.96414003313</v>
      </c>
      <c r="K159" s="234">
        <v>770764.71862108295</v>
      </c>
      <c r="L159" s="175">
        <v>889610.68276111607</v>
      </c>
      <c r="M159" s="235">
        <v>-50942.151840359045</v>
      </c>
      <c r="N159" s="236">
        <v>41838.218128284439</v>
      </c>
      <c r="O159" s="175">
        <v>-9103.9337120746495</v>
      </c>
      <c r="P159" s="237">
        <v>-1.0129949535928379E-2</v>
      </c>
      <c r="Q159" s="238">
        <v>0.34033947756721844</v>
      </c>
      <c r="R159" s="239">
        <v>3.5194276152082701E-3</v>
      </c>
      <c r="S159" s="240">
        <v>0.35987395366391284</v>
      </c>
      <c r="T159" s="239">
        <v>2.4634808257062461E-3</v>
      </c>
      <c r="U159" s="241">
        <v>1.9534476096694398E-2</v>
      </c>
      <c r="V159" s="242">
        <v>-1.055946789502024E-3</v>
      </c>
      <c r="W159" s="243">
        <v>429.71262437637006</v>
      </c>
      <c r="X159" s="244">
        <v>351.94276152082699</v>
      </c>
      <c r="Y159" s="245">
        <v>781.65538589719699</v>
      </c>
      <c r="Z159" s="246">
        <v>454.37685389605639</v>
      </c>
      <c r="AA159" s="244">
        <v>246.3480825706246</v>
      </c>
      <c r="AB159" s="245">
        <v>700.72493646668102</v>
      </c>
      <c r="AC159" s="247">
        <v>24.66422951968633</v>
      </c>
      <c r="AD159" s="247">
        <v>-105.59467895020239</v>
      </c>
      <c r="AE159" s="248">
        <v>-80.930449430515978</v>
      </c>
      <c r="AF159" s="234">
        <f>-SUMIF('[1]Alt Fac'!$A$18:$A$139,'REPORT 4 - PROPERTY TAX'!A159,'[1]Alt Fac'!$U$18:$U$139)</f>
        <v>0</v>
      </c>
      <c r="AG159" s="247">
        <f t="shared" si="7"/>
        <v>957.62676665761057</v>
      </c>
      <c r="AH159" s="234">
        <f t="shared" si="8"/>
        <v>-133.72778890561725</v>
      </c>
      <c r="AI159" s="234">
        <f t="shared" si="9"/>
        <v>823.89897775199336</v>
      </c>
      <c r="AJ159" s="170"/>
      <c r="AK159" s="170"/>
      <c r="AL159" s="170"/>
      <c r="AM159" s="170"/>
      <c r="AN159" s="170"/>
      <c r="AO159" s="234"/>
    </row>
    <row r="160" spans="1:41" x14ac:dyDescent="0.25">
      <c r="A160" s="274">
        <v>404</v>
      </c>
      <c r="B160" s="274">
        <v>1</v>
      </c>
      <c r="C160" s="275" t="s">
        <v>263</v>
      </c>
      <c r="D160" s="276">
        <v>6</v>
      </c>
      <c r="E160" s="272">
        <v>2930953</v>
      </c>
      <c r="F160" s="273">
        <v>69452840</v>
      </c>
      <c r="G160" s="234">
        <v>330252.8238769499</v>
      </c>
      <c r="H160" s="234">
        <v>377599.73599999998</v>
      </c>
      <c r="I160" s="174">
        <v>707852.55987694988</v>
      </c>
      <c r="J160" s="234">
        <v>351181.39279870095</v>
      </c>
      <c r="K160" s="234">
        <v>424923.52245271718</v>
      </c>
      <c r="L160" s="175">
        <v>776104.91525141813</v>
      </c>
      <c r="M160" s="235">
        <v>20928.568921751052</v>
      </c>
      <c r="N160" s="236">
        <v>47323.786452717206</v>
      </c>
      <c r="O160" s="175">
        <v>68252.355374468258</v>
      </c>
      <c r="P160" s="237">
        <v>9.6421711586849326E-2</v>
      </c>
      <c r="Q160" s="238">
        <v>0.12883172674553292</v>
      </c>
      <c r="R160" s="239">
        <v>4.755065795393679E-3</v>
      </c>
      <c r="S160" s="240">
        <v>0.1449779380470165</v>
      </c>
      <c r="T160" s="239">
        <v>5.056400757675294E-3</v>
      </c>
      <c r="U160" s="241">
        <v>1.6146211301483582E-2</v>
      </c>
      <c r="V160" s="242">
        <v>3.0133496228161496E-4</v>
      </c>
      <c r="W160" s="243">
        <v>162.66293818890989</v>
      </c>
      <c r="X160" s="244">
        <v>475.50657953936792</v>
      </c>
      <c r="Y160" s="245">
        <v>638.16951772827781</v>
      </c>
      <c r="Z160" s="246">
        <v>183.04914457816307</v>
      </c>
      <c r="AA160" s="244">
        <v>505.64007576752942</v>
      </c>
      <c r="AB160" s="245">
        <v>688.68922034569255</v>
      </c>
      <c r="AC160" s="247">
        <v>20.386206389253175</v>
      </c>
      <c r="AD160" s="247">
        <v>30.133496228161505</v>
      </c>
      <c r="AE160" s="248">
        <v>50.519702617414737</v>
      </c>
      <c r="AF160" s="234">
        <f>-SUMIF('[1]Alt Fac'!$A$18:$A$139,'REPORT 4 - PROPERTY TAX'!A160,'[1]Alt Fac'!$U$18:$U$139)</f>
        <v>0</v>
      </c>
      <c r="AG160" s="247">
        <f t="shared" si="7"/>
        <v>875.92280749796168</v>
      </c>
      <c r="AH160" s="234">
        <f t="shared" si="8"/>
        <v>65.586450731495418</v>
      </c>
      <c r="AI160" s="234">
        <f t="shared" si="9"/>
        <v>941.50925822945715</v>
      </c>
      <c r="AJ160" s="170"/>
      <c r="AK160" s="170"/>
      <c r="AL160" s="170"/>
      <c r="AM160" s="170"/>
      <c r="AN160" s="170"/>
      <c r="AO160" s="234"/>
    </row>
    <row r="161" spans="1:41" x14ac:dyDescent="0.25">
      <c r="A161" s="274">
        <v>413</v>
      </c>
      <c r="B161" s="274">
        <v>1</v>
      </c>
      <c r="C161" s="275" t="s">
        <v>464</v>
      </c>
      <c r="D161" s="276">
        <v>4</v>
      </c>
      <c r="E161" s="272">
        <v>14439075</v>
      </c>
      <c r="F161" s="273">
        <v>949440650</v>
      </c>
      <c r="G161" s="234">
        <v>1576460.1896428571</v>
      </c>
      <c r="H161" s="234">
        <v>3940631.1236436069</v>
      </c>
      <c r="I161" s="174">
        <v>5517091.3132864637</v>
      </c>
      <c r="J161" s="234">
        <v>1361669.2591870578</v>
      </c>
      <c r="K161" s="234">
        <v>3934159.9292627308</v>
      </c>
      <c r="L161" s="175">
        <v>5295829.1884497888</v>
      </c>
      <c r="M161" s="235">
        <v>-214790.93045579921</v>
      </c>
      <c r="N161" s="236">
        <v>-6471.1943808761425</v>
      </c>
      <c r="O161" s="175">
        <v>-221262.12483667489</v>
      </c>
      <c r="P161" s="237">
        <v>-4.0104850957210593E-2</v>
      </c>
      <c r="Q161" s="238">
        <v>0.27291437461496715</v>
      </c>
      <c r="R161" s="239">
        <v>1.6604094101541334E-3</v>
      </c>
      <c r="S161" s="240">
        <v>0.27246620225067952</v>
      </c>
      <c r="T161" s="239">
        <v>1.4341804926796191E-3</v>
      </c>
      <c r="U161" s="241">
        <v>-4.4817236428762453E-4</v>
      </c>
      <c r="V161" s="242">
        <v>-2.2622891747451431E-4</v>
      </c>
      <c r="W161" s="243">
        <v>344.58168938885757</v>
      </c>
      <c r="X161" s="244">
        <v>166.04094101541332</v>
      </c>
      <c r="Y161" s="245">
        <v>510.62263040427092</v>
      </c>
      <c r="Z161" s="246">
        <v>344.015826961708</v>
      </c>
      <c r="AA161" s="244">
        <v>143.41804926796192</v>
      </c>
      <c r="AB161" s="245">
        <v>487.43387622966992</v>
      </c>
      <c r="AC161" s="247">
        <v>-0.56586242714956825</v>
      </c>
      <c r="AD161" s="247">
        <v>-22.622891747451405</v>
      </c>
      <c r="AE161" s="248">
        <v>-23.188754174601002</v>
      </c>
      <c r="AF161" s="234">
        <f>-SUMIF('[1]Alt Fac'!$A$18:$A$139,'REPORT 4 - PROPERTY TAX'!A161,'[1]Alt Fac'!$U$18:$U$139)</f>
        <v>0</v>
      </c>
      <c r="AG161" s="247">
        <f t="shared" si="7"/>
        <v>593.64310091197763</v>
      </c>
      <c r="AH161" s="234">
        <f t="shared" si="8"/>
        <v>-34.500200048326697</v>
      </c>
      <c r="AI161" s="234">
        <f t="shared" si="9"/>
        <v>559.14290086365088</v>
      </c>
      <c r="AJ161" s="170"/>
      <c r="AK161" s="170"/>
      <c r="AL161" s="170"/>
      <c r="AM161" s="170"/>
      <c r="AN161" s="170"/>
      <c r="AO161" s="234"/>
    </row>
    <row r="162" spans="1:41" x14ac:dyDescent="0.25">
      <c r="A162" s="274">
        <v>414</v>
      </c>
      <c r="B162" s="274">
        <v>1</v>
      </c>
      <c r="C162" s="275" t="s">
        <v>298</v>
      </c>
      <c r="D162" s="276">
        <v>6</v>
      </c>
      <c r="E162" s="272">
        <v>4366868</v>
      </c>
      <c r="F162" s="273">
        <v>108283810</v>
      </c>
      <c r="G162" s="234">
        <v>186806.44705882348</v>
      </c>
      <c r="H162" s="234">
        <v>749728.94249495654</v>
      </c>
      <c r="I162" s="174">
        <v>936535.38955377997</v>
      </c>
      <c r="J162" s="234">
        <v>151399.08374820219</v>
      </c>
      <c r="K162" s="234">
        <v>748471.76215494482</v>
      </c>
      <c r="L162" s="175">
        <v>899870.84590314701</v>
      </c>
      <c r="M162" s="235">
        <v>-35407.363310621295</v>
      </c>
      <c r="N162" s="236">
        <v>-1257.1803400117205</v>
      </c>
      <c r="O162" s="175">
        <v>-36664.543650632957</v>
      </c>
      <c r="P162" s="237">
        <v>-3.914912779548254E-2</v>
      </c>
      <c r="Q162" s="238">
        <v>0.17168573506113685</v>
      </c>
      <c r="R162" s="239">
        <v>1.7251558387059293E-3</v>
      </c>
      <c r="S162" s="240">
        <v>0.17139784444021317</v>
      </c>
      <c r="T162" s="239">
        <v>1.3981691607286646E-3</v>
      </c>
      <c r="U162" s="241">
        <v>-2.8789062092368645E-4</v>
      </c>
      <c r="V162" s="242">
        <v>-3.2698667797726464E-4</v>
      </c>
      <c r="W162" s="243">
        <v>216.7704090881914</v>
      </c>
      <c r="X162" s="244">
        <v>172.51558387059293</v>
      </c>
      <c r="Y162" s="245">
        <v>389.28599295878433</v>
      </c>
      <c r="Z162" s="246">
        <v>216.40691839021318</v>
      </c>
      <c r="AA162" s="244">
        <v>139.81691607286646</v>
      </c>
      <c r="AB162" s="245">
        <v>356.22383446307964</v>
      </c>
      <c r="AC162" s="247">
        <v>-0.36349069797822153</v>
      </c>
      <c r="AD162" s="247">
        <v>-32.698667797726472</v>
      </c>
      <c r="AE162" s="248">
        <v>-33.062158495704693</v>
      </c>
      <c r="AF162" s="234">
        <f>-SUMIF('[1]Alt Fac'!$A$18:$A$139,'REPORT 4 - PROPERTY TAX'!A162,'[1]Alt Fac'!$U$18:$U$139)</f>
        <v>0</v>
      </c>
      <c r="AG162" s="247">
        <f t="shared" si="7"/>
        <v>475.54378489408077</v>
      </c>
      <c r="AH162" s="234">
        <f t="shared" si="8"/>
        <v>-49.411492394567944</v>
      </c>
      <c r="AI162" s="234">
        <f t="shared" si="9"/>
        <v>426.1322924995128</v>
      </c>
      <c r="AJ162" s="170"/>
      <c r="AK162" s="170"/>
      <c r="AL162" s="170"/>
      <c r="AM162" s="170"/>
      <c r="AN162" s="170"/>
      <c r="AO162" s="234"/>
    </row>
    <row r="163" spans="1:41" x14ac:dyDescent="0.25">
      <c r="A163" s="274">
        <v>415</v>
      </c>
      <c r="B163" s="274">
        <v>1</v>
      </c>
      <c r="C163" s="275" t="s">
        <v>423</v>
      </c>
      <c r="D163" s="276">
        <v>6</v>
      </c>
      <c r="E163" s="272">
        <v>1912905</v>
      </c>
      <c r="F163" s="273">
        <v>65537200</v>
      </c>
      <c r="G163" s="234">
        <v>275941.25529411767</v>
      </c>
      <c r="H163" s="234">
        <v>119863.20635000001</v>
      </c>
      <c r="I163" s="174">
        <v>395804.46164411766</v>
      </c>
      <c r="J163" s="234">
        <v>232382.4853808039</v>
      </c>
      <c r="K163" s="234">
        <v>127333.85352798732</v>
      </c>
      <c r="L163" s="175">
        <v>359716.33890879119</v>
      </c>
      <c r="M163" s="235">
        <v>-43558.769913313765</v>
      </c>
      <c r="N163" s="236">
        <v>7470.64717798731</v>
      </c>
      <c r="O163" s="175">
        <v>-36088.122735326469</v>
      </c>
      <c r="P163" s="237">
        <v>-9.1176644612396079E-2</v>
      </c>
      <c r="Q163" s="238">
        <v>6.266030270713914E-2</v>
      </c>
      <c r="R163" s="239">
        <v>4.2104523124899705E-3</v>
      </c>
      <c r="S163" s="240">
        <v>6.6565696429246257E-2</v>
      </c>
      <c r="T163" s="239">
        <v>3.5458104005176281E-3</v>
      </c>
      <c r="U163" s="241">
        <v>3.9053937221071172E-3</v>
      </c>
      <c r="V163" s="242">
        <v>-6.6464191197234236E-4</v>
      </c>
      <c r="W163" s="243">
        <v>79.114898198033885</v>
      </c>
      <c r="X163" s="244">
        <v>421.04523124899703</v>
      </c>
      <c r="Y163" s="245">
        <v>500.1601294470309</v>
      </c>
      <c r="Z163" s="246">
        <v>84.045848311566331</v>
      </c>
      <c r="AA163" s="244">
        <v>354.58104005176278</v>
      </c>
      <c r="AB163" s="245">
        <v>438.6268883633291</v>
      </c>
      <c r="AC163" s="247">
        <v>4.9309501135324467</v>
      </c>
      <c r="AD163" s="247">
        <v>-66.464191197234243</v>
      </c>
      <c r="AE163" s="248">
        <v>-61.533241083701796</v>
      </c>
      <c r="AF163" s="234">
        <f>-SUMIF('[1]Alt Fac'!$A$18:$A$139,'REPORT 4 - PROPERTY TAX'!A163,'[1]Alt Fac'!$U$18:$U$139)</f>
        <v>0</v>
      </c>
      <c r="AG163" s="247">
        <f t="shared" si="7"/>
        <v>710.68274507152944</v>
      </c>
      <c r="AH163" s="234">
        <f t="shared" si="8"/>
        <v>-94.765336682318903</v>
      </c>
      <c r="AI163" s="234">
        <f t="shared" si="9"/>
        <v>615.91740838921055</v>
      </c>
      <c r="AJ163" s="170"/>
      <c r="AK163" s="170"/>
      <c r="AL163" s="170"/>
      <c r="AM163" s="170"/>
      <c r="AN163" s="170"/>
      <c r="AO163" s="234"/>
    </row>
    <row r="164" spans="1:41" x14ac:dyDescent="0.25">
      <c r="A164" s="274">
        <v>423</v>
      </c>
      <c r="B164" s="274">
        <v>1</v>
      </c>
      <c r="C164" s="275" t="s">
        <v>468</v>
      </c>
      <c r="D164" s="276">
        <v>4</v>
      </c>
      <c r="E164" s="272">
        <v>15246294</v>
      </c>
      <c r="F164" s="273">
        <v>1198538400</v>
      </c>
      <c r="G164" s="234">
        <v>2381286.7005882352</v>
      </c>
      <c r="H164" s="234">
        <v>1929703.2219521306</v>
      </c>
      <c r="I164" s="174">
        <v>4310989.9225403657</v>
      </c>
      <c r="J164" s="234">
        <v>1982941.897744731</v>
      </c>
      <c r="K164" s="234">
        <v>2044810.3841272471</v>
      </c>
      <c r="L164" s="175">
        <v>4027752.2818719782</v>
      </c>
      <c r="M164" s="235">
        <v>-398344.80284350412</v>
      </c>
      <c r="N164" s="236">
        <v>115107.16217511659</v>
      </c>
      <c r="O164" s="175">
        <v>-283237.64066838752</v>
      </c>
      <c r="P164" s="237">
        <v>-6.5701299645229097E-2</v>
      </c>
      <c r="Q164" s="238">
        <v>0.12656867445637154</v>
      </c>
      <c r="R164" s="239">
        <v>1.9868255373279948E-3</v>
      </c>
      <c r="S164" s="240">
        <v>0.13411851982699843</v>
      </c>
      <c r="T164" s="239">
        <v>1.6544667219212427E-3</v>
      </c>
      <c r="U164" s="241">
        <v>7.5498453706268898E-3</v>
      </c>
      <c r="V164" s="242">
        <v>-3.3235881540675215E-4</v>
      </c>
      <c r="W164" s="243">
        <v>159.80560836861474</v>
      </c>
      <c r="X164" s="244">
        <v>198.68255373279948</v>
      </c>
      <c r="Y164" s="245">
        <v>358.48816210141422</v>
      </c>
      <c r="Z164" s="246">
        <v>169.33804313356825</v>
      </c>
      <c r="AA164" s="244">
        <v>165.44667219212425</v>
      </c>
      <c r="AB164" s="245">
        <v>334.7847153256925</v>
      </c>
      <c r="AC164" s="247">
        <v>9.5324347649535071</v>
      </c>
      <c r="AD164" s="247">
        <v>-33.235881540675223</v>
      </c>
      <c r="AE164" s="248">
        <v>-23.703446775721716</v>
      </c>
      <c r="AF164" s="234">
        <f>-SUMIF('[1]Alt Fac'!$A$18:$A$139,'REPORT 4 - PROPERTY TAX'!A164,'[1]Alt Fac'!$U$18:$U$139)</f>
        <v>0</v>
      </c>
      <c r="AG164" s="247">
        <f t="shared" si="7"/>
        <v>457.82943896781399</v>
      </c>
      <c r="AH164" s="234">
        <f t="shared" si="8"/>
        <v>-40.321387546059306</v>
      </c>
      <c r="AI164" s="234">
        <f t="shared" si="9"/>
        <v>417.50805142175466</v>
      </c>
      <c r="AJ164" s="170"/>
      <c r="AK164" s="170"/>
      <c r="AL164" s="170"/>
      <c r="AM164" s="170"/>
      <c r="AN164" s="170"/>
      <c r="AO164" s="234"/>
    </row>
    <row r="165" spans="1:41" x14ac:dyDescent="0.25">
      <c r="A165" s="274">
        <v>424</v>
      </c>
      <c r="B165" s="274">
        <v>1</v>
      </c>
      <c r="C165" s="275" t="s">
        <v>463</v>
      </c>
      <c r="D165" s="276">
        <v>6</v>
      </c>
      <c r="E165" s="272">
        <v>2226925</v>
      </c>
      <c r="F165" s="273">
        <v>186719700</v>
      </c>
      <c r="G165" s="234">
        <v>464314.23411764705</v>
      </c>
      <c r="H165" s="234">
        <v>112705.28165613078</v>
      </c>
      <c r="I165" s="174">
        <v>577019.51577377785</v>
      </c>
      <c r="J165" s="234">
        <v>391923.91671151528</v>
      </c>
      <c r="K165" s="234">
        <v>116676.52802716973</v>
      </c>
      <c r="L165" s="175">
        <v>508600.44473868504</v>
      </c>
      <c r="M165" s="235">
        <v>-72390.31740613177</v>
      </c>
      <c r="N165" s="236">
        <v>3971.246371038942</v>
      </c>
      <c r="O165" s="175">
        <v>-68419.071035092813</v>
      </c>
      <c r="P165" s="237">
        <v>-0.11857323567876811</v>
      </c>
      <c r="Q165" s="238">
        <v>5.0610272755539941E-2</v>
      </c>
      <c r="R165" s="239">
        <v>2.4866911960422337E-3</v>
      </c>
      <c r="S165" s="240">
        <v>5.2393559741423588E-2</v>
      </c>
      <c r="T165" s="239">
        <v>2.0989960711778953E-3</v>
      </c>
      <c r="U165" s="241">
        <v>1.7832869858836475E-3</v>
      </c>
      <c r="V165" s="242">
        <v>-3.8769512486433845E-4</v>
      </c>
      <c r="W165" s="243">
        <v>63.900530381144733</v>
      </c>
      <c r="X165" s="244">
        <v>248.66911960422337</v>
      </c>
      <c r="Y165" s="245">
        <v>312.56964998536807</v>
      </c>
      <c r="Z165" s="246">
        <v>66.152108529521428</v>
      </c>
      <c r="AA165" s="244">
        <v>209.89960711778951</v>
      </c>
      <c r="AB165" s="245">
        <v>276.05171564731097</v>
      </c>
      <c r="AC165" s="247">
        <v>2.2515781483766943</v>
      </c>
      <c r="AD165" s="247">
        <v>-38.769512486433854</v>
      </c>
      <c r="AE165" s="248">
        <v>-36.517934338057103</v>
      </c>
      <c r="AF165" s="234">
        <f>-SUMIF('[1]Alt Fac'!$A$18:$A$139,'REPORT 4 - PROPERTY TAX'!A165,'[1]Alt Fac'!$U$18:$U$139)</f>
        <v>0</v>
      </c>
      <c r="AG165" s="247">
        <f t="shared" si="7"/>
        <v>436.90420978747977</v>
      </c>
      <c r="AH165" s="234">
        <f t="shared" si="8"/>
        <v>-55.902690581274072</v>
      </c>
      <c r="AI165" s="234">
        <f t="shared" si="9"/>
        <v>381.00151920620567</v>
      </c>
      <c r="AJ165" s="170"/>
      <c r="AK165" s="170"/>
      <c r="AL165" s="170"/>
      <c r="AM165" s="170"/>
      <c r="AN165" s="170"/>
      <c r="AO165" s="234"/>
    </row>
    <row r="166" spans="1:41" x14ac:dyDescent="0.25">
      <c r="A166" s="274">
        <v>432</v>
      </c>
      <c r="B166" s="274">
        <v>1</v>
      </c>
      <c r="C166" s="275" t="s">
        <v>471</v>
      </c>
      <c r="D166" s="276">
        <v>6</v>
      </c>
      <c r="E166" s="272">
        <v>2201327</v>
      </c>
      <c r="F166" s="273">
        <v>94457695</v>
      </c>
      <c r="G166" s="234">
        <v>47418.87</v>
      </c>
      <c r="H166" s="234">
        <v>423060.7761850222</v>
      </c>
      <c r="I166" s="174">
        <v>470479.6461850222</v>
      </c>
      <c r="J166" s="234">
        <v>76078.551239998487</v>
      </c>
      <c r="K166" s="234">
        <v>431840.35541195387</v>
      </c>
      <c r="L166" s="175">
        <v>507918.90665195236</v>
      </c>
      <c r="M166" s="235">
        <v>28659.681239998485</v>
      </c>
      <c r="N166" s="236">
        <v>8779.5792269316735</v>
      </c>
      <c r="O166" s="175">
        <v>37439.260466930165</v>
      </c>
      <c r="P166" s="237">
        <v>7.9576790984506679E-2</v>
      </c>
      <c r="Q166" s="238">
        <v>0.19218443065706375</v>
      </c>
      <c r="R166" s="239">
        <v>5.020117206967627E-4</v>
      </c>
      <c r="S166" s="240">
        <v>0.19617274281011129</v>
      </c>
      <c r="T166" s="239">
        <v>8.0542460029326877E-4</v>
      </c>
      <c r="U166" s="241">
        <v>3.9883121530475407E-3</v>
      </c>
      <c r="V166" s="242">
        <v>3.0341287959650607E-4</v>
      </c>
      <c r="W166" s="243">
        <v>242.65206214760872</v>
      </c>
      <c r="X166" s="244">
        <v>50.201172069676268</v>
      </c>
      <c r="Y166" s="245">
        <v>292.85323421728498</v>
      </c>
      <c r="Z166" s="246">
        <v>247.68770507204655</v>
      </c>
      <c r="AA166" s="244">
        <v>80.542460029326875</v>
      </c>
      <c r="AB166" s="245">
        <v>328.23016510137342</v>
      </c>
      <c r="AC166" s="247">
        <v>5.0356429244378376</v>
      </c>
      <c r="AD166" s="247">
        <v>30.341287959650607</v>
      </c>
      <c r="AE166" s="248">
        <v>35.376930884088438</v>
      </c>
      <c r="AF166" s="234">
        <f>-SUMIF('[1]Alt Fac'!$A$18:$A$139,'REPORT 4 - PROPERTY TAX'!A166,'[1]Alt Fac'!$U$18:$U$139)</f>
        <v>0</v>
      </c>
      <c r="AG166" s="247">
        <f t="shared" ref="AG166:AG229" si="10">Q166*AH$23+R166*AH$25</f>
        <v>317.95382025212314</v>
      </c>
      <c r="AH166" s="234">
        <f t="shared" ref="AH166:AH229" si="11">U166*$AH$23+V166*$AH$25</f>
        <v>50.547574863913731</v>
      </c>
      <c r="AI166" s="234">
        <f t="shared" si="9"/>
        <v>368.50139511603686</v>
      </c>
      <c r="AJ166" s="170"/>
      <c r="AK166" s="170"/>
      <c r="AL166" s="170"/>
      <c r="AM166" s="170"/>
      <c r="AN166" s="170"/>
      <c r="AO166" s="234"/>
    </row>
    <row r="167" spans="1:41" x14ac:dyDescent="0.25">
      <c r="A167" s="274">
        <v>435</v>
      </c>
      <c r="B167" s="274">
        <v>1</v>
      </c>
      <c r="C167" s="275" t="s">
        <v>473</v>
      </c>
      <c r="D167" s="276">
        <v>6</v>
      </c>
      <c r="E167" s="272">
        <v>4483862</v>
      </c>
      <c r="F167" s="273">
        <v>139715995</v>
      </c>
      <c r="G167" s="234">
        <v>68316.77</v>
      </c>
      <c r="H167" s="234">
        <v>814798.05272394535</v>
      </c>
      <c r="I167" s="174">
        <v>883114.82272394537</v>
      </c>
      <c r="J167" s="234">
        <v>112530.70272806595</v>
      </c>
      <c r="K167" s="234">
        <v>833690.05320442375</v>
      </c>
      <c r="L167" s="175">
        <v>946220.75593248964</v>
      </c>
      <c r="M167" s="235">
        <v>44213.932728065949</v>
      </c>
      <c r="N167" s="236">
        <v>18892.000480478397</v>
      </c>
      <c r="O167" s="175">
        <v>63105.933208544273</v>
      </c>
      <c r="P167" s="237">
        <v>7.1458355793299469E-2</v>
      </c>
      <c r="Q167" s="238">
        <v>0.18171791476275259</v>
      </c>
      <c r="R167" s="239">
        <v>4.8896885428185944E-4</v>
      </c>
      <c r="S167" s="240">
        <v>0.18593124703758138</v>
      </c>
      <c r="T167" s="239">
        <v>8.0542462391701073E-4</v>
      </c>
      <c r="U167" s="241">
        <v>4.2133322748287849E-3</v>
      </c>
      <c r="V167" s="242">
        <v>3.1645576963515128E-4</v>
      </c>
      <c r="W167" s="243">
        <v>229.43703917945146</v>
      </c>
      <c r="X167" s="244">
        <v>48.896885428185946</v>
      </c>
      <c r="Y167" s="245">
        <v>278.33392460763741</v>
      </c>
      <c r="Z167" s="246">
        <v>234.75679250965027</v>
      </c>
      <c r="AA167" s="244">
        <v>80.542462391701079</v>
      </c>
      <c r="AB167" s="245">
        <v>315.29925490135133</v>
      </c>
      <c r="AC167" s="247">
        <v>5.3197533301988074</v>
      </c>
      <c r="AD167" s="247">
        <v>31.645576963515133</v>
      </c>
      <c r="AE167" s="248">
        <v>36.965330293713919</v>
      </c>
      <c r="AF167" s="234">
        <f>-SUMIF('[1]Alt Fac'!$A$18:$A$139,'REPORT 4 - PROPERTY TAX'!A167,'[1]Alt Fac'!$U$18:$U$139)</f>
        <v>0</v>
      </c>
      <c r="AG167" s="247">
        <f t="shared" si="10"/>
        <v>302.78236732173036</v>
      </c>
      <c r="AH167" s="234">
        <f t="shared" si="11"/>
        <v>52.788118775471517</v>
      </c>
      <c r="AI167" s="234">
        <f t="shared" si="9"/>
        <v>355.57048609720187</v>
      </c>
      <c r="AJ167" s="170"/>
      <c r="AK167" s="170"/>
      <c r="AL167" s="170"/>
      <c r="AM167" s="170"/>
      <c r="AN167" s="170"/>
      <c r="AO167" s="234"/>
    </row>
    <row r="168" spans="1:41" x14ac:dyDescent="0.25">
      <c r="A168" s="274">
        <v>441</v>
      </c>
      <c r="B168" s="274">
        <v>1</v>
      </c>
      <c r="C168" s="275" t="s">
        <v>475</v>
      </c>
      <c r="D168" s="276">
        <v>6</v>
      </c>
      <c r="E168" s="272">
        <v>3422356</v>
      </c>
      <c r="F168" s="273">
        <v>152228595</v>
      </c>
      <c r="G168" s="234">
        <v>603785.3408823529</v>
      </c>
      <c r="H168" s="234">
        <v>142651.82748486818</v>
      </c>
      <c r="I168" s="174">
        <v>746437.16836722102</v>
      </c>
      <c r="J168" s="234">
        <v>428365.03940005874</v>
      </c>
      <c r="K168" s="234">
        <v>169942.4109774027</v>
      </c>
      <c r="L168" s="175">
        <v>598307.4503774615</v>
      </c>
      <c r="M168" s="235">
        <v>-175420.30148229416</v>
      </c>
      <c r="N168" s="236">
        <v>27290.583492534526</v>
      </c>
      <c r="O168" s="175">
        <v>-148129.71798975952</v>
      </c>
      <c r="P168" s="237">
        <v>-0.19844901120583652</v>
      </c>
      <c r="Q168" s="238">
        <v>4.168234616295563E-2</v>
      </c>
      <c r="R168" s="239">
        <v>3.9663069929953233E-3</v>
      </c>
      <c r="S168" s="240">
        <v>4.9656555594275613E-2</v>
      </c>
      <c r="T168" s="239">
        <v>2.8139590948734615E-3</v>
      </c>
      <c r="U168" s="241">
        <v>7.9742094313199827E-3</v>
      </c>
      <c r="V168" s="242">
        <v>-1.1523478981218618E-3</v>
      </c>
      <c r="W168" s="243">
        <v>52.628130265347785</v>
      </c>
      <c r="X168" s="244">
        <v>396.63069929953235</v>
      </c>
      <c r="Y168" s="245">
        <v>449.25882956488016</v>
      </c>
      <c r="Z168" s="246">
        <v>62.696367093332398</v>
      </c>
      <c r="AA168" s="244">
        <v>281.39590948734616</v>
      </c>
      <c r="AB168" s="245">
        <v>344.09227658067857</v>
      </c>
      <c r="AC168" s="247">
        <v>10.068236827984613</v>
      </c>
      <c r="AD168" s="247">
        <v>-115.23478981218619</v>
      </c>
      <c r="AE168" s="248">
        <v>-105.16655298420159</v>
      </c>
      <c r="AF168" s="234">
        <f>-SUMIF('[1]Alt Fac'!$A$18:$A$139,'REPORT 4 - PROPERTY TAX'!A168,'[1]Alt Fac'!$U$18:$U$139)</f>
        <v>0</v>
      </c>
      <c r="AG168" s="247">
        <f t="shared" si="10"/>
        <v>647.57417921464628</v>
      </c>
      <c r="AH168" s="234">
        <f t="shared" si="11"/>
        <v>-162.78394789029466</v>
      </c>
      <c r="AI168" s="234">
        <f t="shared" si="9"/>
        <v>484.79023132435162</v>
      </c>
      <c r="AJ168" s="170"/>
      <c r="AK168" s="170"/>
      <c r="AL168" s="170"/>
      <c r="AM168" s="170"/>
      <c r="AN168" s="170"/>
      <c r="AO168" s="234"/>
    </row>
    <row r="169" spans="1:41" x14ac:dyDescent="0.25">
      <c r="A169" s="274">
        <v>447</v>
      </c>
      <c r="B169" s="274">
        <v>1</v>
      </c>
      <c r="C169" s="275" t="s">
        <v>477</v>
      </c>
      <c r="D169" s="276">
        <v>6</v>
      </c>
      <c r="E169" s="272">
        <v>1019582</v>
      </c>
      <c r="F169" s="273">
        <v>27081366</v>
      </c>
      <c r="G169" s="234">
        <v>77993.494901960803</v>
      </c>
      <c r="H169" s="234">
        <v>131259.01266130127</v>
      </c>
      <c r="I169" s="174">
        <v>209252.50756326207</v>
      </c>
      <c r="J169" s="234">
        <v>48233.382444952251</v>
      </c>
      <c r="K169" s="234">
        <v>140766.10514051787</v>
      </c>
      <c r="L169" s="175">
        <v>188999.48758547014</v>
      </c>
      <c r="M169" s="235">
        <v>-29760.112457008552</v>
      </c>
      <c r="N169" s="236">
        <v>9507.0924792166043</v>
      </c>
      <c r="O169" s="175">
        <v>-20253.019977791933</v>
      </c>
      <c r="P169" s="237">
        <v>-9.6787466079320261E-2</v>
      </c>
      <c r="Q169" s="238">
        <v>0.12873806389412648</v>
      </c>
      <c r="R169" s="239">
        <v>2.8799690127137901E-3</v>
      </c>
      <c r="S169" s="240">
        <v>0.13806256401203421</v>
      </c>
      <c r="T169" s="239">
        <v>1.7810542660570464E-3</v>
      </c>
      <c r="U169" s="241">
        <v>9.3245001179077247E-3</v>
      </c>
      <c r="V169" s="242">
        <v>-1.0989147466567437E-3</v>
      </c>
      <c r="W169" s="243">
        <v>162.54467947272411</v>
      </c>
      <c r="X169" s="244">
        <v>287.99690127137899</v>
      </c>
      <c r="Y169" s="245">
        <v>450.5415807441031</v>
      </c>
      <c r="Z169" s="246">
        <v>174.31779332159439</v>
      </c>
      <c r="AA169" s="244">
        <v>178.10542660570465</v>
      </c>
      <c r="AB169" s="245">
        <v>352.42321992729904</v>
      </c>
      <c r="AC169" s="247">
        <v>11.773113848870281</v>
      </c>
      <c r="AD169" s="247">
        <v>-109.89147466567434</v>
      </c>
      <c r="AE169" s="248">
        <v>-98.118360816804056</v>
      </c>
      <c r="AF169" s="234">
        <f>-SUMIF('[1]Alt Fac'!$A$18:$A$139,'REPORT 4 - PROPERTY TAX'!A169,'[1]Alt Fac'!$U$18:$U$139)</f>
        <v>0</v>
      </c>
      <c r="AG169" s="247">
        <f t="shared" si="10"/>
        <v>594.54003137979271</v>
      </c>
      <c r="AH169" s="234">
        <f t="shared" si="11"/>
        <v>-153.06409814964127</v>
      </c>
      <c r="AI169" s="234">
        <f t="shared" si="9"/>
        <v>441.47593323015144</v>
      </c>
      <c r="AJ169" s="170"/>
      <c r="AK169" s="170"/>
      <c r="AL169" s="170"/>
      <c r="AM169" s="170"/>
      <c r="AN169" s="170"/>
      <c r="AO169" s="234"/>
    </row>
    <row r="170" spans="1:41" x14ac:dyDescent="0.25">
      <c r="A170" s="274">
        <v>458</v>
      </c>
      <c r="B170" s="274">
        <v>1</v>
      </c>
      <c r="C170" s="275" t="s">
        <v>479</v>
      </c>
      <c r="D170" s="276">
        <v>6</v>
      </c>
      <c r="E170" s="272">
        <v>4499404</v>
      </c>
      <c r="F170" s="273">
        <v>90711635</v>
      </c>
      <c r="G170" s="234">
        <v>384469.22000000009</v>
      </c>
      <c r="H170" s="234">
        <v>274676.30959999998</v>
      </c>
      <c r="I170" s="174">
        <v>659145.52960000001</v>
      </c>
      <c r="J170" s="234">
        <v>401326.92623243778</v>
      </c>
      <c r="K170" s="234">
        <v>328898.99435551697</v>
      </c>
      <c r="L170" s="175">
        <v>730225.92058795481</v>
      </c>
      <c r="M170" s="235">
        <v>16857.706232437689</v>
      </c>
      <c r="N170" s="236">
        <v>54222.684755516995</v>
      </c>
      <c r="O170" s="175">
        <v>71080.390987954801</v>
      </c>
      <c r="P170" s="237">
        <v>0.10783717372867517</v>
      </c>
      <c r="Q170" s="238">
        <v>6.1047265282246264E-2</v>
      </c>
      <c r="R170" s="239">
        <v>4.2383672171712053E-3</v>
      </c>
      <c r="S170" s="240">
        <v>7.309834688227973E-2</v>
      </c>
      <c r="T170" s="239">
        <v>4.4242056295472768E-3</v>
      </c>
      <c r="U170" s="241">
        <v>1.2051081600033466E-2</v>
      </c>
      <c r="V170" s="242">
        <v>1.8583841237607146E-4</v>
      </c>
      <c r="W170" s="243">
        <v>77.07827714536414</v>
      </c>
      <c r="X170" s="244">
        <v>423.83672171712055</v>
      </c>
      <c r="Y170" s="245">
        <v>500.91499886248471</v>
      </c>
      <c r="Z170" s="246">
        <v>92.293972773566395</v>
      </c>
      <c r="AA170" s="244">
        <v>442.4205629547277</v>
      </c>
      <c r="AB170" s="245">
        <v>534.71453572829409</v>
      </c>
      <c r="AC170" s="247">
        <v>15.215695628202255</v>
      </c>
      <c r="AD170" s="247">
        <v>18.583841237607146</v>
      </c>
      <c r="AE170" s="248">
        <v>33.799536865809387</v>
      </c>
      <c r="AF170" s="234">
        <f>-SUMIF('[1]Alt Fac'!$A$18:$A$139,'REPORT 4 - PROPERTY TAX'!A170,'[1]Alt Fac'!$U$18:$U$139)</f>
        <v>0</v>
      </c>
      <c r="AG170" s="247">
        <f t="shared" si="10"/>
        <v>712.83335972104499</v>
      </c>
      <c r="AH170" s="234">
        <f t="shared" si="11"/>
        <v>43.091457484612974</v>
      </c>
      <c r="AI170" s="234">
        <f t="shared" si="9"/>
        <v>755.92481720565797</v>
      </c>
      <c r="AJ170" s="170"/>
      <c r="AK170" s="170"/>
      <c r="AL170" s="170"/>
      <c r="AM170" s="170"/>
      <c r="AN170" s="170"/>
      <c r="AO170" s="234"/>
    </row>
    <row r="171" spans="1:41" x14ac:dyDescent="0.25">
      <c r="A171" s="274">
        <v>463</v>
      </c>
      <c r="B171" s="274">
        <v>1</v>
      </c>
      <c r="C171" s="275" t="s">
        <v>469</v>
      </c>
      <c r="D171" s="276">
        <v>6</v>
      </c>
      <c r="E171" s="272">
        <v>5091916</v>
      </c>
      <c r="F171" s="273">
        <v>304623725</v>
      </c>
      <c r="G171" s="234">
        <v>545106.79617647047</v>
      </c>
      <c r="H171" s="234">
        <v>1599080.9102364283</v>
      </c>
      <c r="I171" s="174">
        <v>2144187.7064128988</v>
      </c>
      <c r="J171" s="234">
        <v>457261.00500651234</v>
      </c>
      <c r="K171" s="234">
        <v>1603006.3860996137</v>
      </c>
      <c r="L171" s="175">
        <v>2060267.3911061261</v>
      </c>
      <c r="M171" s="235">
        <v>-87845.791169958131</v>
      </c>
      <c r="N171" s="236">
        <v>3925.4758631854784</v>
      </c>
      <c r="O171" s="175">
        <v>-83920.315306772711</v>
      </c>
      <c r="P171" s="237">
        <v>-3.9138511547184694E-2</v>
      </c>
      <c r="Q171" s="238">
        <v>0.31404306556440215</v>
      </c>
      <c r="R171" s="239">
        <v>1.7894430126099681E-3</v>
      </c>
      <c r="S171" s="240">
        <v>0.31481398870280142</v>
      </c>
      <c r="T171" s="239">
        <v>1.5010682605450785E-3</v>
      </c>
      <c r="U171" s="241">
        <v>7.7092313839927096E-4</v>
      </c>
      <c r="V171" s="242">
        <v>-2.8837475206488963E-4</v>
      </c>
      <c r="W171" s="243">
        <v>396.51077458161421</v>
      </c>
      <c r="X171" s="244">
        <v>178.94430126099681</v>
      </c>
      <c r="Y171" s="245">
        <v>575.455075842611</v>
      </c>
      <c r="Z171" s="246">
        <v>397.48414213615712</v>
      </c>
      <c r="AA171" s="244">
        <v>150.10682605450785</v>
      </c>
      <c r="AB171" s="245">
        <v>547.59096819066497</v>
      </c>
      <c r="AC171" s="247">
        <v>0.97336755454290369</v>
      </c>
      <c r="AD171" s="247">
        <v>-28.837475206488961</v>
      </c>
      <c r="AE171" s="248">
        <v>-27.864107651946028</v>
      </c>
      <c r="AF171" s="234">
        <f>-SUMIF('[1]Alt Fac'!$A$18:$A$139,'REPORT 4 - PROPERTY TAX'!A171,'[1]Alt Fac'!$U$18:$U$139)</f>
        <v>0</v>
      </c>
      <c r="AG171" s="247">
        <f t="shared" si="10"/>
        <v>664.92722647310939</v>
      </c>
      <c r="AH171" s="234">
        <f t="shared" si="11"/>
        <v>-42.282845255190523</v>
      </c>
      <c r="AI171" s="234">
        <f t="shared" si="9"/>
        <v>622.64438121791886</v>
      </c>
      <c r="AJ171" s="170"/>
      <c r="AK171" s="170"/>
      <c r="AL171" s="170"/>
      <c r="AM171" s="170"/>
      <c r="AN171" s="170"/>
      <c r="AO171" s="234"/>
    </row>
    <row r="172" spans="1:41" x14ac:dyDescent="0.25">
      <c r="A172" s="274">
        <v>465</v>
      </c>
      <c r="B172" s="274">
        <v>1</v>
      </c>
      <c r="C172" s="275" t="s">
        <v>358</v>
      </c>
      <c r="D172" s="276">
        <v>5</v>
      </c>
      <c r="E172" s="272">
        <v>11126810</v>
      </c>
      <c r="F172" s="273">
        <v>747095475</v>
      </c>
      <c r="G172" s="234">
        <v>1112321.0552941174</v>
      </c>
      <c r="H172" s="234">
        <v>2064474.7858323101</v>
      </c>
      <c r="I172" s="174">
        <v>3176795.8411264275</v>
      </c>
      <c r="J172" s="234">
        <v>1027268.3150688201</v>
      </c>
      <c r="K172" s="234">
        <v>1962634.8813637607</v>
      </c>
      <c r="L172" s="175">
        <v>2989903.1964325807</v>
      </c>
      <c r="M172" s="235">
        <v>-85052.740225297282</v>
      </c>
      <c r="N172" s="236">
        <v>-101839.90446854942</v>
      </c>
      <c r="O172" s="175">
        <v>-186892.64469384681</v>
      </c>
      <c r="P172" s="237">
        <v>-5.8830549409048104E-2</v>
      </c>
      <c r="Q172" s="238">
        <v>0.18554058043880592</v>
      </c>
      <c r="R172" s="239">
        <v>1.4888606510354214E-3</v>
      </c>
      <c r="S172" s="240">
        <v>0.17638792082939861</v>
      </c>
      <c r="T172" s="239">
        <v>1.3750161116540295E-3</v>
      </c>
      <c r="U172" s="241">
        <v>-9.1526596094073098E-3</v>
      </c>
      <c r="V172" s="242">
        <v>-1.1384453938139186E-4</v>
      </c>
      <c r="W172" s="243">
        <v>234.26353686203637</v>
      </c>
      <c r="X172" s="244">
        <v>148.88606510354214</v>
      </c>
      <c r="Y172" s="245">
        <v>383.14960196557854</v>
      </c>
      <c r="Z172" s="246">
        <v>222.7073888391987</v>
      </c>
      <c r="AA172" s="244">
        <v>137.50161116540295</v>
      </c>
      <c r="AB172" s="245">
        <v>360.20900000460165</v>
      </c>
      <c r="AC172" s="247">
        <v>-11.556148022837675</v>
      </c>
      <c r="AD172" s="247">
        <v>-11.384453938139188</v>
      </c>
      <c r="AE172" s="248">
        <v>-22.940601960976892</v>
      </c>
      <c r="AF172" s="234">
        <f>-SUMIF('[1]Alt Fac'!$A$18:$A$139,'REPORT 4 - PROPERTY TAX'!A172,'[1]Alt Fac'!$U$18:$U$139)</f>
        <v>0</v>
      </c>
      <c r="AG172" s="247">
        <f t="shared" si="10"/>
        <v>457.59263451734955</v>
      </c>
      <c r="AH172" s="234">
        <f t="shared" si="11"/>
        <v>-28.63282893004645</v>
      </c>
      <c r="AI172" s="234">
        <f t="shared" si="9"/>
        <v>428.95980558730309</v>
      </c>
      <c r="AJ172" s="170"/>
      <c r="AK172" s="170"/>
      <c r="AL172" s="170"/>
      <c r="AM172" s="170"/>
      <c r="AN172" s="170"/>
      <c r="AO172" s="234"/>
    </row>
    <row r="173" spans="1:41" x14ac:dyDescent="0.25">
      <c r="A173" s="274">
        <v>466</v>
      </c>
      <c r="B173" s="274">
        <v>1</v>
      </c>
      <c r="C173" s="275" t="s">
        <v>460</v>
      </c>
      <c r="D173" s="276">
        <v>4</v>
      </c>
      <c r="E173" s="272">
        <v>8983788</v>
      </c>
      <c r="F173" s="273">
        <v>673804650</v>
      </c>
      <c r="G173" s="234">
        <v>856156.56047555245</v>
      </c>
      <c r="H173" s="234">
        <v>1731873.9493443691</v>
      </c>
      <c r="I173" s="174">
        <v>2588030.5098199216</v>
      </c>
      <c r="J173" s="234">
        <v>746790.74693177128</v>
      </c>
      <c r="K173" s="234">
        <v>1712324.9452552742</v>
      </c>
      <c r="L173" s="175">
        <v>2459115.6921870457</v>
      </c>
      <c r="M173" s="235">
        <v>-109365.81354378117</v>
      </c>
      <c r="N173" s="236">
        <v>-19549.004089094931</v>
      </c>
      <c r="O173" s="175">
        <v>-128914.81763287587</v>
      </c>
      <c r="P173" s="237">
        <v>-4.9811938902469093E-2</v>
      </c>
      <c r="Q173" s="238">
        <v>0.19277769570523806</v>
      </c>
      <c r="R173" s="239">
        <v>1.2706302345576756E-3</v>
      </c>
      <c r="S173" s="240">
        <v>0.19060166438202616</v>
      </c>
      <c r="T173" s="239">
        <v>1.108319372583391E-3</v>
      </c>
      <c r="U173" s="241">
        <v>-2.1760313232118966E-3</v>
      </c>
      <c r="V173" s="242">
        <v>-1.6231086197428463E-4</v>
      </c>
      <c r="W173" s="243">
        <v>243.40111859743359</v>
      </c>
      <c r="X173" s="244">
        <v>127.06302345576756</v>
      </c>
      <c r="Y173" s="245">
        <v>370.46414205320116</v>
      </c>
      <c r="Z173" s="246">
        <v>240.65366144874625</v>
      </c>
      <c r="AA173" s="244">
        <v>110.8319372583391</v>
      </c>
      <c r="AB173" s="245">
        <v>351.48559870708533</v>
      </c>
      <c r="AC173" s="247">
        <v>-2.7474571486873458</v>
      </c>
      <c r="AD173" s="247">
        <v>-16.231086197428468</v>
      </c>
      <c r="AE173" s="248">
        <v>-18.978543346115828</v>
      </c>
      <c r="AF173" s="234">
        <f>-SUMIF('[1]Alt Fac'!$A$18:$A$139,'REPORT 4 - PROPERTY TAX'!A173,'[1]Alt Fac'!$U$18:$U$139)</f>
        <v>0</v>
      </c>
      <c r="AG173" s="247">
        <f t="shared" si="10"/>
        <v>433.99565378108491</v>
      </c>
      <c r="AH173" s="234">
        <f t="shared" si="11"/>
        <v>-27.094086444830037</v>
      </c>
      <c r="AI173" s="234">
        <f t="shared" si="9"/>
        <v>406.90156733625486</v>
      </c>
      <c r="AJ173" s="170"/>
      <c r="AK173" s="170"/>
      <c r="AL173" s="170"/>
      <c r="AM173" s="170"/>
      <c r="AN173" s="170"/>
      <c r="AO173" s="234"/>
    </row>
    <row r="174" spans="1:41" x14ac:dyDescent="0.25">
      <c r="A174" s="274">
        <v>473</v>
      </c>
      <c r="B174" s="274">
        <v>1</v>
      </c>
      <c r="C174" s="275" t="s">
        <v>483</v>
      </c>
      <c r="D174" s="276">
        <v>6</v>
      </c>
      <c r="E174" s="272">
        <v>6023186</v>
      </c>
      <c r="F174" s="273">
        <v>295171850</v>
      </c>
      <c r="G174" s="234">
        <v>96024.05</v>
      </c>
      <c r="H174" s="234">
        <v>816762.64399999997</v>
      </c>
      <c r="I174" s="174">
        <v>912786.69400000002</v>
      </c>
      <c r="J174" s="234">
        <v>237738.67046777339</v>
      </c>
      <c r="K174" s="234">
        <v>915279.23077393998</v>
      </c>
      <c r="L174" s="175">
        <v>1153017.9012417134</v>
      </c>
      <c r="M174" s="235">
        <v>141714.62046777341</v>
      </c>
      <c r="N174" s="236">
        <v>98516.586773940013</v>
      </c>
      <c r="O174" s="175">
        <v>240231.20724171342</v>
      </c>
      <c r="P174" s="237">
        <v>0.26318438778831871</v>
      </c>
      <c r="Q174" s="238">
        <v>0.135603091785643</v>
      </c>
      <c r="R174" s="239">
        <v>3.2531574403182417E-4</v>
      </c>
      <c r="S174" s="240">
        <v>0.1519593170082976</v>
      </c>
      <c r="T174" s="239">
        <v>8.0542460423571355E-4</v>
      </c>
      <c r="U174" s="241">
        <v>1.6356225222654591E-2</v>
      </c>
      <c r="V174" s="242">
        <v>4.8010886020388938E-4</v>
      </c>
      <c r="W174" s="243">
        <v>171.21246368855287</v>
      </c>
      <c r="X174" s="244">
        <v>32.531574403182418</v>
      </c>
      <c r="Y174" s="245">
        <v>203.74403809173529</v>
      </c>
      <c r="Z174" s="246">
        <v>191.86383365467657</v>
      </c>
      <c r="AA174" s="244">
        <v>80.542460423571356</v>
      </c>
      <c r="AB174" s="245">
        <v>272.40629407824792</v>
      </c>
      <c r="AC174" s="247">
        <v>20.651369966123696</v>
      </c>
      <c r="AD174" s="247">
        <v>48.010886020388938</v>
      </c>
      <c r="AE174" s="248">
        <v>68.662255986512633</v>
      </c>
      <c r="AF174" s="234">
        <f>-SUMIF('[1]Alt Fac'!$A$18:$A$139,'REPORT 4 - PROPERTY TAX'!A174,'[1]Alt Fac'!$U$18:$U$139)</f>
        <v>0</v>
      </c>
      <c r="AG174" s="247">
        <f t="shared" si="10"/>
        <v>220.00982529332651</v>
      </c>
      <c r="AH174" s="234">
        <f t="shared" si="11"/>
        <v>92.667698996707088</v>
      </c>
      <c r="AI174" s="234">
        <f t="shared" si="9"/>
        <v>312.6775242900336</v>
      </c>
      <c r="AJ174" s="170"/>
      <c r="AK174" s="170"/>
      <c r="AL174" s="170"/>
      <c r="AM174" s="170"/>
      <c r="AN174" s="170"/>
      <c r="AO174" s="234"/>
    </row>
    <row r="175" spans="1:41" x14ac:dyDescent="0.25">
      <c r="A175" s="274">
        <v>477</v>
      </c>
      <c r="B175" s="274">
        <v>1</v>
      </c>
      <c r="C175" s="275" t="s">
        <v>485</v>
      </c>
      <c r="D175" s="276">
        <v>4</v>
      </c>
      <c r="E175" s="272">
        <v>13741104</v>
      </c>
      <c r="F175" s="273">
        <v>1300827550</v>
      </c>
      <c r="G175" s="234">
        <v>1206314.8309033613</v>
      </c>
      <c r="H175" s="234">
        <v>3295143.9026041301</v>
      </c>
      <c r="I175" s="174">
        <v>4501458.7335074916</v>
      </c>
      <c r="J175" s="234">
        <v>1201036.2360171762</v>
      </c>
      <c r="K175" s="234">
        <v>3310681.8193019992</v>
      </c>
      <c r="L175" s="175">
        <v>4511718.0553191751</v>
      </c>
      <c r="M175" s="235">
        <v>-5278.5948861851357</v>
      </c>
      <c r="N175" s="236">
        <v>15537.916697869077</v>
      </c>
      <c r="O175" s="175">
        <v>10259.321811683476</v>
      </c>
      <c r="P175" s="237">
        <v>2.2791104881882398E-3</v>
      </c>
      <c r="Q175" s="238">
        <v>0.23980197679925355</v>
      </c>
      <c r="R175" s="239">
        <v>9.2734415941864189E-4</v>
      </c>
      <c r="S175" s="240">
        <v>0.24093273868693513</v>
      </c>
      <c r="T175" s="239">
        <v>9.2328628496311923E-4</v>
      </c>
      <c r="U175" s="241">
        <v>1.130761887681575E-3</v>
      </c>
      <c r="V175" s="242">
        <v>-4.0578744555226599E-6</v>
      </c>
      <c r="W175" s="243">
        <v>302.77397590673758</v>
      </c>
      <c r="X175" s="244">
        <v>92.734415941864185</v>
      </c>
      <c r="Y175" s="245">
        <v>395.50839184860178</v>
      </c>
      <c r="Z175" s="246">
        <v>304.20167586612433</v>
      </c>
      <c r="AA175" s="244">
        <v>92.328628496311921</v>
      </c>
      <c r="AB175" s="245">
        <v>396.53030436243625</v>
      </c>
      <c r="AC175" s="247">
        <v>1.4276999593867572</v>
      </c>
      <c r="AD175" s="247">
        <v>-0.40578744555226365</v>
      </c>
      <c r="AE175" s="248">
        <v>1.0219125138344793</v>
      </c>
      <c r="AF175" s="234">
        <f>-SUMIF('[1]Alt Fac'!$A$18:$A$139,'REPORT 4 - PROPERTY TAX'!A175,'[1]Alt Fac'!$U$18:$U$139)</f>
        <v>0</v>
      </c>
      <c r="AG175" s="247">
        <f t="shared" si="10"/>
        <v>441.87559981953382</v>
      </c>
      <c r="AH175" s="234">
        <f t="shared" si="11"/>
        <v>0.81901879105835773</v>
      </c>
      <c r="AI175" s="234">
        <f t="shared" si="9"/>
        <v>442.69461861059216</v>
      </c>
      <c r="AJ175" s="170"/>
      <c r="AK175" s="170"/>
      <c r="AL175" s="170"/>
      <c r="AM175" s="170"/>
      <c r="AN175" s="170"/>
      <c r="AO175" s="234"/>
    </row>
    <row r="176" spans="1:41" x14ac:dyDescent="0.25">
      <c r="A176" s="274">
        <v>480</v>
      </c>
      <c r="B176" s="274">
        <v>1</v>
      </c>
      <c r="C176" s="275" t="s">
        <v>486</v>
      </c>
      <c r="D176" s="276">
        <v>6</v>
      </c>
      <c r="E176" s="272">
        <v>7754751</v>
      </c>
      <c r="F176" s="273">
        <v>337006000</v>
      </c>
      <c r="G176" s="234">
        <v>539171.51</v>
      </c>
      <c r="H176" s="234">
        <v>577539.68723836506</v>
      </c>
      <c r="I176" s="174">
        <v>1116711.1972383652</v>
      </c>
      <c r="J176" s="234">
        <v>439102.19366535055</v>
      </c>
      <c r="K176" s="234">
        <v>707183.8339192709</v>
      </c>
      <c r="L176" s="175">
        <v>1146286.0275846214</v>
      </c>
      <c r="M176" s="235">
        <v>-100069.31633464945</v>
      </c>
      <c r="N176" s="236">
        <v>129644.14668090583</v>
      </c>
      <c r="O176" s="175">
        <v>29574.830346256262</v>
      </c>
      <c r="P176" s="237">
        <v>2.6483866571227217E-2</v>
      </c>
      <c r="Q176" s="238">
        <v>7.4475594024665012E-2</v>
      </c>
      <c r="R176" s="239">
        <v>1.5998869753060777E-3</v>
      </c>
      <c r="S176" s="240">
        <v>9.1193622325110232E-2</v>
      </c>
      <c r="T176" s="239">
        <v>1.3029506705083901E-3</v>
      </c>
      <c r="U176" s="241">
        <v>1.671802830044522E-2</v>
      </c>
      <c r="V176" s="242">
        <v>-2.9693630479768755E-4</v>
      </c>
      <c r="W176" s="243">
        <v>94.03288501554205</v>
      </c>
      <c r="X176" s="244">
        <v>159.98869753060777</v>
      </c>
      <c r="Y176" s="245">
        <v>254.02158254614983</v>
      </c>
      <c r="Z176" s="246">
        <v>115.14106754768419</v>
      </c>
      <c r="AA176" s="244">
        <v>130.29506705083901</v>
      </c>
      <c r="AB176" s="245">
        <v>245.43613459852321</v>
      </c>
      <c r="AC176" s="247">
        <v>21.108182532142138</v>
      </c>
      <c r="AD176" s="247">
        <v>-29.693630479768757</v>
      </c>
      <c r="AE176" s="248">
        <v>-8.5854479476266192</v>
      </c>
      <c r="AF176" s="234">
        <f>-SUMIF('[1]Alt Fac'!$A$18:$A$139,'REPORT 4 - PROPERTY TAX'!A176,'[1]Alt Fac'!$U$18:$U$139)</f>
        <v>0</v>
      </c>
      <c r="AG176" s="247">
        <f t="shared" si="10"/>
        <v>334.0159313114537</v>
      </c>
      <c r="AH176" s="234">
        <f t="shared" si="11"/>
        <v>-23.432263187510998</v>
      </c>
      <c r="AI176" s="234">
        <f t="shared" si="9"/>
        <v>310.58366812394269</v>
      </c>
      <c r="AJ176" s="170"/>
      <c r="AK176" s="170"/>
      <c r="AL176" s="170"/>
      <c r="AM176" s="170"/>
      <c r="AN176" s="170"/>
      <c r="AO176" s="234"/>
    </row>
    <row r="177" spans="1:41" x14ac:dyDescent="0.25">
      <c r="A177" s="274">
        <v>482</v>
      </c>
      <c r="B177" s="274">
        <v>1</v>
      </c>
      <c r="C177" s="275" t="s">
        <v>487</v>
      </c>
      <c r="D177" s="276">
        <v>4</v>
      </c>
      <c r="E177" s="272">
        <v>11613574</v>
      </c>
      <c r="F177" s="273">
        <v>933517700</v>
      </c>
      <c r="G177" s="234">
        <v>2065351.9470588237</v>
      </c>
      <c r="H177" s="234">
        <v>1400397.1366287265</v>
      </c>
      <c r="I177" s="174">
        <v>3465749.0836875504</v>
      </c>
      <c r="J177" s="234">
        <v>1785667.7022117327</v>
      </c>
      <c r="K177" s="234">
        <v>1355726.8454848996</v>
      </c>
      <c r="L177" s="175">
        <v>3141394.5476966323</v>
      </c>
      <c r="M177" s="235">
        <v>-279684.24484709091</v>
      </c>
      <c r="N177" s="236">
        <v>-44670.291143826908</v>
      </c>
      <c r="O177" s="175">
        <v>-324354.53599091806</v>
      </c>
      <c r="P177" s="237">
        <v>-9.3588580176671488E-2</v>
      </c>
      <c r="Q177" s="238">
        <v>0.12058278843607717</v>
      </c>
      <c r="R177" s="239">
        <v>2.2124400502088215E-3</v>
      </c>
      <c r="S177" s="240">
        <v>0.11673640220356796</v>
      </c>
      <c r="T177" s="239">
        <v>1.9128375414967844E-3</v>
      </c>
      <c r="U177" s="241">
        <v>-3.8463862325092135E-3</v>
      </c>
      <c r="V177" s="242">
        <v>-2.9960250871203706E-4</v>
      </c>
      <c r="W177" s="243">
        <v>152.24782867939106</v>
      </c>
      <c r="X177" s="244">
        <v>221.24400502088216</v>
      </c>
      <c r="Y177" s="245">
        <v>373.49183370027322</v>
      </c>
      <c r="Z177" s="246">
        <v>147.39138142222492</v>
      </c>
      <c r="AA177" s="244">
        <v>191.28375414967843</v>
      </c>
      <c r="AB177" s="245">
        <v>338.67513557190335</v>
      </c>
      <c r="AC177" s="247">
        <v>-4.8564472571661383</v>
      </c>
      <c r="AD177" s="247">
        <v>-29.960250871203726</v>
      </c>
      <c r="AE177" s="248">
        <v>-34.816698128369865</v>
      </c>
      <c r="AF177" s="234">
        <f>-SUMIF('[1]Alt Fac'!$A$18:$A$139,'REPORT 4 - PROPERTY TAX'!A177,'[1]Alt Fac'!$U$18:$U$139)</f>
        <v>0</v>
      </c>
      <c r="AG177" s="247">
        <f t="shared" si="10"/>
        <v>484.11383621071423</v>
      </c>
      <c r="AH177" s="234">
        <f t="shared" si="11"/>
        <v>-49.796823563971692</v>
      </c>
      <c r="AI177" s="234">
        <f t="shared" si="9"/>
        <v>434.31701264674251</v>
      </c>
      <c r="AJ177" s="170"/>
      <c r="AK177" s="170"/>
      <c r="AL177" s="170"/>
      <c r="AM177" s="170"/>
      <c r="AN177" s="170"/>
      <c r="AO177" s="234"/>
    </row>
    <row r="178" spans="1:41" x14ac:dyDescent="0.25">
      <c r="A178" s="274">
        <v>484</v>
      </c>
      <c r="B178" s="274">
        <v>1</v>
      </c>
      <c r="C178" s="275" t="s">
        <v>488</v>
      </c>
      <c r="D178" s="276">
        <v>5</v>
      </c>
      <c r="E178" s="272">
        <v>4278964</v>
      </c>
      <c r="F178" s="273">
        <v>264369200</v>
      </c>
      <c r="G178" s="234">
        <v>467959.01266379526</v>
      </c>
      <c r="H178" s="234">
        <v>724740.27053778281</v>
      </c>
      <c r="I178" s="174">
        <v>1192699.2832015781</v>
      </c>
      <c r="J178" s="234">
        <v>353120.97087464202</v>
      </c>
      <c r="K178" s="234">
        <v>782375.48968256684</v>
      </c>
      <c r="L178" s="175">
        <v>1135496.4605572089</v>
      </c>
      <c r="M178" s="235">
        <v>-114838.04178915324</v>
      </c>
      <c r="N178" s="236">
        <v>57635.219144784031</v>
      </c>
      <c r="O178" s="175">
        <v>-57202.822644369211</v>
      </c>
      <c r="P178" s="237">
        <v>-4.7960809107572312E-2</v>
      </c>
      <c r="Q178" s="238">
        <v>0.16937283663470476</v>
      </c>
      <c r="R178" s="239">
        <v>1.7700965644401666E-3</v>
      </c>
      <c r="S178" s="240">
        <v>0.18284226969017894</v>
      </c>
      <c r="T178" s="239">
        <v>1.3357114628884227E-3</v>
      </c>
      <c r="U178" s="241">
        <v>1.3469433055474184E-2</v>
      </c>
      <c r="V178" s="242">
        <v>-4.3438510155174382E-4</v>
      </c>
      <c r="W178" s="243">
        <v>213.85014353497826</v>
      </c>
      <c r="X178" s="244">
        <v>177.00965644401666</v>
      </c>
      <c r="Y178" s="245">
        <v>390.85979997899494</v>
      </c>
      <c r="Z178" s="246">
        <v>230.85664971081997</v>
      </c>
      <c r="AA178" s="244">
        <v>133.57114628884227</v>
      </c>
      <c r="AB178" s="245">
        <v>364.42779599966224</v>
      </c>
      <c r="AC178" s="247">
        <v>17.006506175841707</v>
      </c>
      <c r="AD178" s="247">
        <v>-43.438510155174384</v>
      </c>
      <c r="AE178" s="248">
        <v>-26.432003979332706</v>
      </c>
      <c r="AF178" s="234">
        <f>-SUMIF('[1]Alt Fac'!$A$18:$A$139,'REPORT 4 - PROPERTY TAX'!A178,'[1]Alt Fac'!$U$18:$U$139)</f>
        <v>0</v>
      </c>
      <c r="AG178" s="247">
        <f t="shared" si="10"/>
        <v>479.36462820100326</v>
      </c>
      <c r="AH178" s="234">
        <f t="shared" si="11"/>
        <v>-48.151259056919869</v>
      </c>
      <c r="AI178" s="234">
        <f t="shared" si="9"/>
        <v>431.2133691440834</v>
      </c>
      <c r="AJ178" s="170"/>
      <c r="AK178" s="170"/>
      <c r="AL178" s="170"/>
      <c r="AM178" s="170"/>
      <c r="AN178" s="170"/>
      <c r="AO178" s="234"/>
    </row>
    <row r="179" spans="1:41" x14ac:dyDescent="0.25">
      <c r="A179" s="274">
        <v>485</v>
      </c>
      <c r="B179" s="274">
        <v>1</v>
      </c>
      <c r="C179" s="275" t="s">
        <v>490</v>
      </c>
      <c r="D179" s="276">
        <v>6</v>
      </c>
      <c r="E179" s="272">
        <v>3006598</v>
      </c>
      <c r="F179" s="273">
        <v>223938300</v>
      </c>
      <c r="G179" s="234">
        <v>86909.61</v>
      </c>
      <c r="H179" s="234">
        <v>893183.57902230031</v>
      </c>
      <c r="I179" s="174">
        <v>980093.1890223003</v>
      </c>
      <c r="J179" s="234">
        <v>180365.4176401743</v>
      </c>
      <c r="K179" s="234">
        <v>786548.53830818913</v>
      </c>
      <c r="L179" s="175">
        <v>966913.95594836341</v>
      </c>
      <c r="M179" s="235">
        <v>93455.807640174302</v>
      </c>
      <c r="N179" s="236">
        <v>-106635.04071411118</v>
      </c>
      <c r="O179" s="175">
        <v>-13179.233073936892</v>
      </c>
      <c r="P179" s="237">
        <v>-1.3446918335473731E-2</v>
      </c>
      <c r="Q179" s="238">
        <v>0.29707449383732054</v>
      </c>
      <c r="R179" s="239">
        <v>3.8809623007765977E-4</v>
      </c>
      <c r="S179" s="240">
        <v>0.26160748404282486</v>
      </c>
      <c r="T179" s="239">
        <v>8.0542460865414402E-4</v>
      </c>
      <c r="U179" s="241">
        <v>-3.5467009794495685E-2</v>
      </c>
      <c r="V179" s="242">
        <v>4.1732837857648425E-4</v>
      </c>
      <c r="W179" s="243">
        <v>375.08625591900096</v>
      </c>
      <c r="X179" s="244">
        <v>38.809623007765978</v>
      </c>
      <c r="Y179" s="245">
        <v>413.89587892676695</v>
      </c>
      <c r="Z179" s="246">
        <v>330.3056093524707</v>
      </c>
      <c r="AA179" s="244">
        <v>80.542460865414398</v>
      </c>
      <c r="AB179" s="245">
        <v>410.84807021788509</v>
      </c>
      <c r="AC179" s="247">
        <v>-44.780646566530265</v>
      </c>
      <c r="AD179" s="247">
        <v>41.73283785764842</v>
      </c>
      <c r="AE179" s="248">
        <v>-3.0478087088818597</v>
      </c>
      <c r="AF179" s="234">
        <f>-SUMIF('[1]Alt Fac'!$A$18:$A$139,'REPORT 4 - PROPERTY TAX'!A179,'[1]Alt Fac'!$U$18:$U$139)</f>
        <v>0</v>
      </c>
      <c r="AG179" s="247">
        <f t="shared" si="10"/>
        <v>433.30069043064992</v>
      </c>
      <c r="AH179" s="234">
        <f t="shared" si="11"/>
        <v>17.818610219942379</v>
      </c>
      <c r="AI179" s="234">
        <f t="shared" si="9"/>
        <v>451.11930065059232</v>
      </c>
      <c r="AJ179" s="170"/>
      <c r="AK179" s="170"/>
      <c r="AL179" s="170"/>
      <c r="AM179" s="170"/>
      <c r="AN179" s="170"/>
      <c r="AO179" s="234"/>
    </row>
    <row r="180" spans="1:41" x14ac:dyDescent="0.25">
      <c r="A180" s="274">
        <v>486</v>
      </c>
      <c r="B180" s="274">
        <v>1</v>
      </c>
      <c r="C180" s="275" t="s">
        <v>492</v>
      </c>
      <c r="D180" s="276">
        <v>6</v>
      </c>
      <c r="E180" s="272">
        <v>2088173</v>
      </c>
      <c r="F180" s="273">
        <v>107248050</v>
      </c>
      <c r="G180" s="234">
        <v>218401.14058823531</v>
      </c>
      <c r="H180" s="234">
        <v>546430.51521767594</v>
      </c>
      <c r="I180" s="174">
        <v>764831.65580591129</v>
      </c>
      <c r="J180" s="234">
        <v>184861.70708588843</v>
      </c>
      <c r="K180" s="234">
        <v>558473.5387879156</v>
      </c>
      <c r="L180" s="175">
        <v>743335.24587380397</v>
      </c>
      <c r="M180" s="235">
        <v>-33539.433502346888</v>
      </c>
      <c r="N180" s="236">
        <v>12043.02357023966</v>
      </c>
      <c r="O180" s="175">
        <v>-21496.409932107315</v>
      </c>
      <c r="P180" s="237">
        <v>-2.8106067222670481E-2</v>
      </c>
      <c r="Q180" s="238">
        <v>0.26167875708462657</v>
      </c>
      <c r="R180" s="239">
        <v>2.0364112968789204E-3</v>
      </c>
      <c r="S180" s="240">
        <v>0.26744601083718428</v>
      </c>
      <c r="T180" s="239">
        <v>1.72368362022329E-3</v>
      </c>
      <c r="U180" s="241">
        <v>5.7672537525577106E-3</v>
      </c>
      <c r="V180" s="242">
        <v>-3.1272767665563046E-4</v>
      </c>
      <c r="W180" s="243">
        <v>330.39559869504956</v>
      </c>
      <c r="X180" s="244">
        <v>203.64112968789203</v>
      </c>
      <c r="Y180" s="245">
        <v>534.03672838294165</v>
      </c>
      <c r="Z180" s="246">
        <v>337.67733328302893</v>
      </c>
      <c r="AA180" s="244">
        <v>172.36836202232899</v>
      </c>
      <c r="AB180" s="245">
        <v>510.04569530535792</v>
      </c>
      <c r="AC180" s="247">
        <v>7.281734587979372</v>
      </c>
      <c r="AD180" s="247">
        <v>-31.272767665563038</v>
      </c>
      <c r="AE180" s="248">
        <v>-23.991033077583722</v>
      </c>
      <c r="AF180" s="234">
        <f>-SUMIF('[1]Alt Fac'!$A$18:$A$139,'REPORT 4 - PROPERTY TAX'!A180,'[1]Alt Fac'!$U$18:$U$139)</f>
        <v>0</v>
      </c>
      <c r="AG180" s="247">
        <f t="shared" si="10"/>
        <v>635.85729322688758</v>
      </c>
      <c r="AH180" s="234">
        <f t="shared" si="11"/>
        <v>-39.627416910365206</v>
      </c>
      <c r="AI180" s="234">
        <f t="shared" si="9"/>
        <v>596.22987631652234</v>
      </c>
      <c r="AJ180" s="170"/>
      <c r="AK180" s="170"/>
      <c r="AL180" s="170"/>
      <c r="AM180" s="170"/>
      <c r="AN180" s="170"/>
      <c r="AO180" s="234"/>
    </row>
    <row r="181" spans="1:41" x14ac:dyDescent="0.25">
      <c r="A181" s="274">
        <v>487</v>
      </c>
      <c r="B181" s="274">
        <v>1</v>
      </c>
      <c r="C181" s="275" t="s">
        <v>482</v>
      </c>
      <c r="D181" s="276">
        <v>6</v>
      </c>
      <c r="E181" s="272">
        <v>1483603</v>
      </c>
      <c r="F181" s="273">
        <v>101921600</v>
      </c>
      <c r="G181" s="234">
        <v>267629.0258823529</v>
      </c>
      <c r="H181" s="234">
        <v>652063.95652152656</v>
      </c>
      <c r="I181" s="174">
        <v>919692.98240387952</v>
      </c>
      <c r="J181" s="234">
        <v>172060.36478888174</v>
      </c>
      <c r="K181" s="234">
        <v>620139.82068242086</v>
      </c>
      <c r="L181" s="175">
        <v>792200.1854713026</v>
      </c>
      <c r="M181" s="235">
        <v>-95568.661093471164</v>
      </c>
      <c r="N181" s="236">
        <v>-31924.1358391057</v>
      </c>
      <c r="O181" s="175">
        <v>-127492.79693257692</v>
      </c>
      <c r="P181" s="237">
        <v>-0.13862538844141029</v>
      </c>
      <c r="Q181" s="238">
        <v>0.43951377593704416</v>
      </c>
      <c r="R181" s="239">
        <v>2.6258322660000716E-3</v>
      </c>
      <c r="S181" s="240">
        <v>0.41799579852724811</v>
      </c>
      <c r="T181" s="239">
        <v>1.688163890567669E-3</v>
      </c>
      <c r="U181" s="241">
        <v>-2.1517977409796052E-2</v>
      </c>
      <c r="V181" s="242">
        <v>-9.3766837543240262E-4</v>
      </c>
      <c r="W181" s="243">
        <v>554.930093498112</v>
      </c>
      <c r="X181" s="244">
        <v>262.58322660000715</v>
      </c>
      <c r="Y181" s="245">
        <v>817.51332009811915</v>
      </c>
      <c r="Z181" s="246">
        <v>527.76149522050355</v>
      </c>
      <c r="AA181" s="244">
        <v>168.81638905676689</v>
      </c>
      <c r="AB181" s="245">
        <v>696.57788427727041</v>
      </c>
      <c r="AC181" s="247">
        <v>-27.168598277608453</v>
      </c>
      <c r="AD181" s="247">
        <v>-93.766837543240257</v>
      </c>
      <c r="AE181" s="248">
        <v>-120.93543582084874</v>
      </c>
      <c r="AF181" s="234">
        <f>-SUMIF('[1]Alt Fac'!$A$18:$A$139,'REPORT 4 - PROPERTY TAX'!A181,'[1]Alt Fac'!$U$18:$U$139)</f>
        <v>0</v>
      </c>
      <c r="AG181" s="247">
        <f t="shared" si="10"/>
        <v>948.80493339812278</v>
      </c>
      <c r="AH181" s="234">
        <f t="shared" si="11"/>
        <v>-167.81885459246891</v>
      </c>
      <c r="AI181" s="234">
        <f t="shared" si="9"/>
        <v>780.98607880565385</v>
      </c>
      <c r="AJ181" s="170"/>
      <c r="AK181" s="170"/>
      <c r="AL181" s="170"/>
      <c r="AM181" s="170"/>
      <c r="AN181" s="170"/>
      <c r="AO181" s="234"/>
    </row>
    <row r="182" spans="1:41" x14ac:dyDescent="0.25">
      <c r="A182" s="274">
        <v>492</v>
      </c>
      <c r="B182" s="274">
        <v>1</v>
      </c>
      <c r="C182" s="275" t="s">
        <v>494</v>
      </c>
      <c r="D182" s="276">
        <v>4</v>
      </c>
      <c r="E182" s="272">
        <v>15052984</v>
      </c>
      <c r="F182" s="273">
        <v>1272948300</v>
      </c>
      <c r="G182" s="234">
        <v>2332059.0818255097</v>
      </c>
      <c r="H182" s="234">
        <v>2505337.1085295323</v>
      </c>
      <c r="I182" s="174">
        <v>4837396.190355042</v>
      </c>
      <c r="J182" s="234">
        <v>2017897.6132008447</v>
      </c>
      <c r="K182" s="234">
        <v>2119993.4747309126</v>
      </c>
      <c r="L182" s="175">
        <v>4137891.0879317573</v>
      </c>
      <c r="M182" s="235">
        <v>-314161.46862466494</v>
      </c>
      <c r="N182" s="236">
        <v>-385343.63379861973</v>
      </c>
      <c r="O182" s="175">
        <v>-699505.10242328467</v>
      </c>
      <c r="P182" s="237">
        <v>-0.14460364106995841</v>
      </c>
      <c r="Q182" s="238">
        <v>0.16643458257376295</v>
      </c>
      <c r="R182" s="239">
        <v>1.8320139803207323E-3</v>
      </c>
      <c r="S182" s="240">
        <v>0.14083543002044729</v>
      </c>
      <c r="T182" s="239">
        <v>1.5852156864507732E-3</v>
      </c>
      <c r="U182" s="241">
        <v>-2.5599152553315657E-2</v>
      </c>
      <c r="V182" s="242">
        <v>-2.4679829386995908E-4</v>
      </c>
      <c r="W182" s="243">
        <v>210.14030395763314</v>
      </c>
      <c r="X182" s="244">
        <v>183.20139803207323</v>
      </c>
      <c r="Y182" s="245">
        <v>393.34170198970639</v>
      </c>
      <c r="Z182" s="246">
        <v>177.81881394381676</v>
      </c>
      <c r="AA182" s="244">
        <v>158.52156864507734</v>
      </c>
      <c r="AB182" s="245">
        <v>336.3403825888941</v>
      </c>
      <c r="AC182" s="247">
        <v>-32.321490013816373</v>
      </c>
      <c r="AD182" s="247">
        <v>-24.679829386995891</v>
      </c>
      <c r="AE182" s="248">
        <v>-57.001319400812292</v>
      </c>
      <c r="AF182" s="234">
        <f>-SUMIF('[1]Alt Fac'!$A$18:$A$139,'REPORT 4 - PROPERTY TAX'!A182,'[1]Alt Fac'!$U$18:$U$139)</f>
        <v>0</v>
      </c>
      <c r="AG182" s="247">
        <f t="shared" si="10"/>
        <v>484.94240100574297</v>
      </c>
      <c r="AH182" s="234">
        <f t="shared" si="11"/>
        <v>-69.341234094310209</v>
      </c>
      <c r="AI182" s="234">
        <f t="shared" si="9"/>
        <v>415.60116691143276</v>
      </c>
      <c r="AJ182" s="170"/>
      <c r="AK182" s="170"/>
      <c r="AL182" s="170"/>
      <c r="AM182" s="170"/>
      <c r="AN182" s="170"/>
      <c r="AO182" s="234"/>
    </row>
    <row r="183" spans="1:41" x14ac:dyDescent="0.25">
      <c r="A183" s="274">
        <v>495</v>
      </c>
      <c r="B183" s="274">
        <v>1</v>
      </c>
      <c r="C183" s="275" t="s">
        <v>395</v>
      </c>
      <c r="D183" s="276">
        <v>6</v>
      </c>
      <c r="E183" s="272">
        <v>3259700</v>
      </c>
      <c r="F183" s="273">
        <v>95920200</v>
      </c>
      <c r="G183" s="234">
        <v>361222.31080667238</v>
      </c>
      <c r="H183" s="234">
        <v>757273.56086756906</v>
      </c>
      <c r="I183" s="174">
        <v>1118495.8716742415</v>
      </c>
      <c r="J183" s="234">
        <v>259682.78000245162</v>
      </c>
      <c r="K183" s="234">
        <v>775263.75968978077</v>
      </c>
      <c r="L183" s="175">
        <v>1034946.5396922324</v>
      </c>
      <c r="M183" s="235">
        <v>-101539.53080422076</v>
      </c>
      <c r="N183" s="236">
        <v>17990.198822211707</v>
      </c>
      <c r="O183" s="175">
        <v>-83549.331982009113</v>
      </c>
      <c r="P183" s="237">
        <v>-7.469793505535853E-2</v>
      </c>
      <c r="Q183" s="238">
        <v>0.23231388191170019</v>
      </c>
      <c r="R183" s="239">
        <v>3.7658627776701089E-3</v>
      </c>
      <c r="S183" s="240">
        <v>0.23783285568910659</v>
      </c>
      <c r="T183" s="239">
        <v>2.7072793843471096E-3</v>
      </c>
      <c r="U183" s="241">
        <v>5.5189737774063996E-3</v>
      </c>
      <c r="V183" s="242">
        <v>-1.0585833933229993E-3</v>
      </c>
      <c r="W183" s="243">
        <v>293.31950730171269</v>
      </c>
      <c r="X183" s="244">
        <v>376.58627776701087</v>
      </c>
      <c r="Y183" s="245">
        <v>669.90578506872362</v>
      </c>
      <c r="Z183" s="246">
        <v>300.28776359306602</v>
      </c>
      <c r="AA183" s="244">
        <v>270.72793843471095</v>
      </c>
      <c r="AB183" s="245">
        <v>571.01570202777702</v>
      </c>
      <c r="AC183" s="247">
        <v>6.9682562913533275</v>
      </c>
      <c r="AD183" s="247">
        <v>-105.85833933229992</v>
      </c>
      <c r="AE183" s="248">
        <v>-98.890083040946593</v>
      </c>
      <c r="AF183" s="234">
        <f>-SUMIF('[1]Alt Fac'!$A$18:$A$139,'REPORT 4 - PROPERTY TAX'!A183,'[1]Alt Fac'!$U$18:$U$139)</f>
        <v>0</v>
      </c>
      <c r="AG183" s="247">
        <f t="shared" si="10"/>
        <v>858.19892395222905</v>
      </c>
      <c r="AH183" s="234">
        <f t="shared" si="11"/>
        <v>-151.81925270709655</v>
      </c>
      <c r="AI183" s="234">
        <f t="shared" si="9"/>
        <v>706.3796712451325</v>
      </c>
      <c r="AJ183" s="170"/>
      <c r="AK183" s="170"/>
      <c r="AL183" s="170"/>
      <c r="AM183" s="170"/>
      <c r="AN183" s="170"/>
      <c r="AO183" s="234"/>
    </row>
    <row r="184" spans="1:41" x14ac:dyDescent="0.25">
      <c r="A184" s="274">
        <v>497</v>
      </c>
      <c r="B184" s="274">
        <v>1</v>
      </c>
      <c r="C184" s="275" t="s">
        <v>426</v>
      </c>
      <c r="D184" s="276">
        <v>6</v>
      </c>
      <c r="E184" s="272">
        <v>1803864</v>
      </c>
      <c r="F184" s="273">
        <v>49938100</v>
      </c>
      <c r="G184" s="234">
        <v>102834.09</v>
      </c>
      <c r="H184" s="234">
        <v>606450.14878447843</v>
      </c>
      <c r="I184" s="174">
        <v>709284.2387844784</v>
      </c>
      <c r="J184" s="234">
        <v>74775.643694624421</v>
      </c>
      <c r="K184" s="234">
        <v>607337.25089624024</v>
      </c>
      <c r="L184" s="175">
        <v>682112.89459086466</v>
      </c>
      <c r="M184" s="235">
        <v>-28058.446305375575</v>
      </c>
      <c r="N184" s="236">
        <v>887.10211176180746</v>
      </c>
      <c r="O184" s="175">
        <v>-27171.344193613739</v>
      </c>
      <c r="P184" s="237">
        <v>-3.8308117829007567E-2</v>
      </c>
      <c r="Q184" s="238">
        <v>0.33619505061605442</v>
      </c>
      <c r="R184" s="239">
        <v>2.0592311281366332E-3</v>
      </c>
      <c r="S184" s="240">
        <v>0.33668682943738565</v>
      </c>
      <c r="T184" s="239">
        <v>1.4973666137603238E-3</v>
      </c>
      <c r="U184" s="241">
        <v>4.9177882133122353E-4</v>
      </c>
      <c r="V184" s="242">
        <v>-5.6186451437630937E-4</v>
      </c>
      <c r="W184" s="243">
        <v>424.47987090783039</v>
      </c>
      <c r="X184" s="244">
        <v>205.92311281366332</v>
      </c>
      <c r="Y184" s="245">
        <v>630.40298372149368</v>
      </c>
      <c r="Z184" s="246">
        <v>425.10079084764317</v>
      </c>
      <c r="AA184" s="244">
        <v>149.73666137603237</v>
      </c>
      <c r="AB184" s="245">
        <v>574.83745222367554</v>
      </c>
      <c r="AC184" s="247">
        <v>0.62091993981277938</v>
      </c>
      <c r="AD184" s="247">
        <v>-56.18645143763095</v>
      </c>
      <c r="AE184" s="248">
        <v>-55.565531497818142</v>
      </c>
      <c r="AF184" s="234">
        <f>-SUMIF('[1]Alt Fac'!$A$18:$A$139,'REPORT 4 - PROPERTY TAX'!A184,'[1]Alt Fac'!$U$18:$U$139)</f>
        <v>0</v>
      </c>
      <c r="AG184" s="247">
        <f t="shared" si="10"/>
        <v>733.36454012832542</v>
      </c>
      <c r="AH184" s="234">
        <f t="shared" si="11"/>
        <v>-83.658757216633603</v>
      </c>
      <c r="AI184" s="234">
        <f t="shared" si="9"/>
        <v>649.70578291169181</v>
      </c>
      <c r="AJ184" s="170"/>
      <c r="AK184" s="170"/>
      <c r="AL184" s="170"/>
      <c r="AM184" s="170"/>
      <c r="AN184" s="170"/>
      <c r="AO184" s="234"/>
    </row>
    <row r="185" spans="1:41" x14ac:dyDescent="0.25">
      <c r="A185" s="274">
        <v>499</v>
      </c>
      <c r="B185" s="274">
        <v>1</v>
      </c>
      <c r="C185" s="275" t="s">
        <v>496</v>
      </c>
      <c r="D185" s="276">
        <v>6</v>
      </c>
      <c r="E185" s="272">
        <v>3467696</v>
      </c>
      <c r="F185" s="273">
        <v>94375000</v>
      </c>
      <c r="G185" s="234">
        <v>453395.29076514154</v>
      </c>
      <c r="H185" s="234">
        <v>402512.89399999997</v>
      </c>
      <c r="I185" s="174">
        <v>855908.18476514146</v>
      </c>
      <c r="J185" s="234">
        <v>419585.4323434229</v>
      </c>
      <c r="K185" s="234">
        <v>431537.31895903737</v>
      </c>
      <c r="L185" s="175">
        <v>851122.75130246021</v>
      </c>
      <c r="M185" s="235">
        <v>-33809.858421718644</v>
      </c>
      <c r="N185" s="236">
        <v>29024.424959037395</v>
      </c>
      <c r="O185" s="175">
        <v>-4785.4334626812488</v>
      </c>
      <c r="P185" s="237">
        <v>-5.5910593540992445E-3</v>
      </c>
      <c r="Q185" s="238">
        <v>0.11607502330077377</v>
      </c>
      <c r="R185" s="239">
        <v>4.8041885114187182E-3</v>
      </c>
      <c r="S185" s="240">
        <v>0.12444496834758219</v>
      </c>
      <c r="T185" s="239">
        <v>4.4459383559567987E-3</v>
      </c>
      <c r="U185" s="241">
        <v>8.3699450468084219E-3</v>
      </c>
      <c r="V185" s="242">
        <v>-3.5825015546191944E-4</v>
      </c>
      <c r="W185" s="243">
        <v>146.55632441955697</v>
      </c>
      <c r="X185" s="244">
        <v>480.41885114187181</v>
      </c>
      <c r="Y185" s="245">
        <v>626.97517556142884</v>
      </c>
      <c r="Z185" s="246">
        <v>157.1242170356573</v>
      </c>
      <c r="AA185" s="244">
        <v>444.59383559567988</v>
      </c>
      <c r="AB185" s="245">
        <v>601.71805263133717</v>
      </c>
      <c r="AC185" s="247">
        <v>10.567892616100323</v>
      </c>
      <c r="AD185" s="247">
        <v>-35.825015546191935</v>
      </c>
      <c r="AE185" s="248">
        <v>-25.257122930091668</v>
      </c>
      <c r="AF185" s="234">
        <f>-SUMIF('[1]Alt Fac'!$A$18:$A$139,'REPORT 4 - PROPERTY TAX'!A185,'[1]Alt Fac'!$U$18:$U$139)</f>
        <v>0</v>
      </c>
      <c r="AG185" s="247">
        <f t="shared" si="10"/>
        <v>867.18460113236472</v>
      </c>
      <c r="AH185" s="234">
        <f t="shared" si="11"/>
        <v>-43.1696307031876</v>
      </c>
      <c r="AI185" s="234">
        <f t="shared" si="9"/>
        <v>824.01497042917708</v>
      </c>
      <c r="AJ185" s="170"/>
      <c r="AK185" s="170"/>
      <c r="AL185" s="170"/>
      <c r="AM185" s="170"/>
      <c r="AN185" s="170"/>
      <c r="AO185" s="234"/>
    </row>
    <row r="186" spans="1:41" x14ac:dyDescent="0.25">
      <c r="A186" s="274">
        <v>500</v>
      </c>
      <c r="B186" s="274">
        <v>1</v>
      </c>
      <c r="C186" s="275" t="s">
        <v>497</v>
      </c>
      <c r="D186" s="276">
        <v>6</v>
      </c>
      <c r="E186" s="272">
        <v>6556825</v>
      </c>
      <c r="F186" s="273">
        <v>169817500</v>
      </c>
      <c r="G186" s="234">
        <v>267108.9824677179</v>
      </c>
      <c r="H186" s="234">
        <v>406997.87239999999</v>
      </c>
      <c r="I186" s="174">
        <v>674106.85486771795</v>
      </c>
      <c r="J186" s="234">
        <v>233209.85290032387</v>
      </c>
      <c r="K186" s="234">
        <v>485401.1508696957</v>
      </c>
      <c r="L186" s="175">
        <v>718611.00377001963</v>
      </c>
      <c r="M186" s="235">
        <v>-33899.129567394033</v>
      </c>
      <c r="N186" s="236">
        <v>78403.27846969571</v>
      </c>
      <c r="O186" s="175">
        <v>44504.148902301677</v>
      </c>
      <c r="P186" s="237">
        <v>6.6019427900692179E-2</v>
      </c>
      <c r="Q186" s="238">
        <v>6.2072401261281183E-2</v>
      </c>
      <c r="R186" s="239">
        <v>1.5729178822425126E-3</v>
      </c>
      <c r="S186" s="240">
        <v>7.4029907900499972E-2</v>
      </c>
      <c r="T186" s="239">
        <v>1.373296938774413E-3</v>
      </c>
      <c r="U186" s="241">
        <v>1.1957506639218789E-2</v>
      </c>
      <c r="V186" s="242">
        <v>-1.9962094346809961E-4</v>
      </c>
      <c r="W186" s="243">
        <v>78.372613832493627</v>
      </c>
      <c r="X186" s="244">
        <v>157.29178822425126</v>
      </c>
      <c r="Y186" s="245">
        <v>235.6644020567449</v>
      </c>
      <c r="Z186" s="246">
        <v>93.470161715171272</v>
      </c>
      <c r="AA186" s="244">
        <v>137.32969387744129</v>
      </c>
      <c r="AB186" s="245">
        <v>230.79985559261257</v>
      </c>
      <c r="AC186" s="247">
        <v>15.097547882677645</v>
      </c>
      <c r="AD186" s="247">
        <v>-19.962094346809977</v>
      </c>
      <c r="AE186" s="248">
        <v>-4.8645464641323315</v>
      </c>
      <c r="AF186" s="234">
        <f>-SUMIF('[1]Alt Fac'!$A$18:$A$139,'REPORT 4 - PROPERTY TAX'!A186,'[1]Alt Fac'!$U$18:$U$139)</f>
        <v>0</v>
      </c>
      <c r="AG186" s="247">
        <f t="shared" si="10"/>
        <v>314.31029616887054</v>
      </c>
      <c r="AH186" s="234">
        <f t="shared" si="11"/>
        <v>-14.8455936375373</v>
      </c>
      <c r="AI186" s="234">
        <f t="shared" si="9"/>
        <v>299.46470253133322</v>
      </c>
      <c r="AJ186" s="170"/>
      <c r="AK186" s="170"/>
      <c r="AL186" s="170"/>
      <c r="AM186" s="170"/>
      <c r="AN186" s="170"/>
      <c r="AO186" s="234"/>
    </row>
    <row r="187" spans="1:41" x14ac:dyDescent="0.25">
      <c r="A187" s="274">
        <v>505</v>
      </c>
      <c r="B187" s="274">
        <v>1</v>
      </c>
      <c r="C187" s="275" t="s">
        <v>498</v>
      </c>
      <c r="D187" s="276">
        <v>6</v>
      </c>
      <c r="E187" s="272">
        <v>4933386</v>
      </c>
      <c r="F187" s="273">
        <v>86088430</v>
      </c>
      <c r="G187" s="234">
        <v>238615.01346405229</v>
      </c>
      <c r="H187" s="234">
        <v>148454.20260000002</v>
      </c>
      <c r="I187" s="174">
        <v>387069.21606405231</v>
      </c>
      <c r="J187" s="234">
        <v>183311.65925982397</v>
      </c>
      <c r="K187" s="234">
        <v>233843.0646163417</v>
      </c>
      <c r="L187" s="175">
        <v>417154.72387616569</v>
      </c>
      <c r="M187" s="235">
        <v>-55303.354204228322</v>
      </c>
      <c r="N187" s="236">
        <v>85388.862016341678</v>
      </c>
      <c r="O187" s="175">
        <v>30085.507812113385</v>
      </c>
      <c r="P187" s="237">
        <v>7.7726428668341396E-2</v>
      </c>
      <c r="Q187" s="238">
        <v>3.0091746844864768E-2</v>
      </c>
      <c r="R187" s="239">
        <v>2.7717431188378308E-3</v>
      </c>
      <c r="S187" s="240">
        <v>4.7400115177758578E-2</v>
      </c>
      <c r="T187" s="239">
        <v>2.1293414139370872E-3</v>
      </c>
      <c r="U187" s="241">
        <v>1.7308368332893811E-2</v>
      </c>
      <c r="V187" s="242">
        <v>-6.4240170490074359E-4</v>
      </c>
      <c r="W187" s="243">
        <v>37.993839566326258</v>
      </c>
      <c r="X187" s="244">
        <v>277.17431188378305</v>
      </c>
      <c r="Y187" s="245">
        <v>315.16815145010929</v>
      </c>
      <c r="Z187" s="246">
        <v>59.847385423437984</v>
      </c>
      <c r="AA187" s="244">
        <v>212.93414139370873</v>
      </c>
      <c r="AB187" s="245">
        <v>272.7815268171467</v>
      </c>
      <c r="AC187" s="247">
        <v>21.853545857111726</v>
      </c>
      <c r="AD187" s="247">
        <v>-64.24017049007432</v>
      </c>
      <c r="AE187" s="248">
        <v>-42.386624632962594</v>
      </c>
      <c r="AF187" s="234">
        <f>-SUMIF('[1]Alt Fac'!$A$18:$A$139,'REPORT 4 - PROPERTY TAX'!A187,'[1]Alt Fac'!$U$18:$U$139)</f>
        <v>0</v>
      </c>
      <c r="AG187" s="247">
        <f t="shared" si="10"/>
        <v>453.75530739200087</v>
      </c>
      <c r="AH187" s="234">
        <f t="shared" si="11"/>
        <v>-74.50670987799981</v>
      </c>
      <c r="AI187" s="234">
        <f t="shared" si="9"/>
        <v>379.24859751400106</v>
      </c>
      <c r="AJ187" s="170"/>
      <c r="AK187" s="170"/>
      <c r="AL187" s="170"/>
      <c r="AM187" s="170"/>
      <c r="AN187" s="170"/>
      <c r="AO187" s="234"/>
    </row>
    <row r="188" spans="1:41" x14ac:dyDescent="0.25">
      <c r="A188" s="274">
        <v>507</v>
      </c>
      <c r="B188" s="274">
        <v>1</v>
      </c>
      <c r="C188" s="275" t="s">
        <v>380</v>
      </c>
      <c r="D188" s="276">
        <v>6</v>
      </c>
      <c r="E188" s="272">
        <v>4111971</v>
      </c>
      <c r="F188" s="273">
        <v>159839700</v>
      </c>
      <c r="G188" s="234">
        <v>332365.36</v>
      </c>
      <c r="H188" s="234">
        <v>745700.72979999997</v>
      </c>
      <c r="I188" s="174">
        <v>1078066.0898</v>
      </c>
      <c r="J188" s="234">
        <v>378600.76142369874</v>
      </c>
      <c r="K188" s="234">
        <v>798096.4607040243</v>
      </c>
      <c r="L188" s="175">
        <v>1176697.222127723</v>
      </c>
      <c r="M188" s="235">
        <v>46235.401423698757</v>
      </c>
      <c r="N188" s="236">
        <v>52395.730904024327</v>
      </c>
      <c r="O188" s="175">
        <v>98631.132327723084</v>
      </c>
      <c r="P188" s="237">
        <v>9.1488947904873691E-2</v>
      </c>
      <c r="Q188" s="238">
        <v>0.1813487327123659</v>
      </c>
      <c r="R188" s="239">
        <v>2.0793667655782636E-3</v>
      </c>
      <c r="S188" s="240">
        <v>0.19409097503460609</v>
      </c>
      <c r="T188" s="239">
        <v>2.3686278279031977E-3</v>
      </c>
      <c r="U188" s="241">
        <v>1.2742242322240194E-2</v>
      </c>
      <c r="V188" s="242">
        <v>2.8926106232493413E-4</v>
      </c>
      <c r="W188" s="243">
        <v>228.97090992263321</v>
      </c>
      <c r="X188" s="244">
        <v>207.93667655782636</v>
      </c>
      <c r="Y188" s="245">
        <v>436.9075864804596</v>
      </c>
      <c r="Z188" s="246">
        <v>245.05926507869367</v>
      </c>
      <c r="AA188" s="244">
        <v>236.86278279031978</v>
      </c>
      <c r="AB188" s="245">
        <v>481.92204786901345</v>
      </c>
      <c r="AC188" s="247">
        <v>16.088355156060459</v>
      </c>
      <c r="AD188" s="247">
        <v>28.926106232493424</v>
      </c>
      <c r="AE188" s="248">
        <v>45.014461388553855</v>
      </c>
      <c r="AF188" s="234">
        <f>-SUMIF('[1]Alt Fac'!$A$18:$A$139,'REPORT 4 - PROPERTY TAX'!A188,'[1]Alt Fac'!$U$18:$U$139)</f>
        <v>0</v>
      </c>
      <c r="AG188" s="247">
        <f t="shared" si="10"/>
        <v>540.87592475937277</v>
      </c>
      <c r="AH188" s="234">
        <f t="shared" si="11"/>
        <v>59.477514504800595</v>
      </c>
      <c r="AI188" s="234">
        <f t="shared" si="9"/>
        <v>600.3534392641734</v>
      </c>
      <c r="AJ188" s="170"/>
      <c r="AK188" s="170"/>
      <c r="AL188" s="170"/>
      <c r="AM188" s="170"/>
      <c r="AN188" s="170"/>
      <c r="AO188" s="234"/>
    </row>
    <row r="189" spans="1:41" x14ac:dyDescent="0.25">
      <c r="A189" s="274">
        <v>508</v>
      </c>
      <c r="B189" s="274">
        <v>1</v>
      </c>
      <c r="C189" s="275" t="s">
        <v>501</v>
      </c>
      <c r="D189" s="276">
        <v>5</v>
      </c>
      <c r="E189" s="272">
        <v>9633275</v>
      </c>
      <c r="F189" s="273">
        <v>762525995</v>
      </c>
      <c r="G189" s="234">
        <v>1695459.277352941</v>
      </c>
      <c r="H189" s="234">
        <v>791004.34310590709</v>
      </c>
      <c r="I189" s="174">
        <v>2486463.6204588478</v>
      </c>
      <c r="J189" s="234">
        <v>1349071.0898831654</v>
      </c>
      <c r="K189" s="234">
        <v>815950.60973604117</v>
      </c>
      <c r="L189" s="175">
        <v>2165021.6996192066</v>
      </c>
      <c r="M189" s="235">
        <v>-346388.18746977556</v>
      </c>
      <c r="N189" s="236">
        <v>24946.26663013408</v>
      </c>
      <c r="O189" s="175">
        <v>-321441.92083964124</v>
      </c>
      <c r="P189" s="237">
        <v>-0.12927674396471681</v>
      </c>
      <c r="Q189" s="238">
        <v>8.2111674701065535E-2</v>
      </c>
      <c r="R189" s="239">
        <v>2.2234773482744559E-3</v>
      </c>
      <c r="S189" s="240">
        <v>8.4701268232874202E-2</v>
      </c>
      <c r="T189" s="239">
        <v>1.7692132448326112E-3</v>
      </c>
      <c r="U189" s="241">
        <v>2.5895935318086677E-3</v>
      </c>
      <c r="V189" s="242">
        <v>-4.5426410344184473E-4</v>
      </c>
      <c r="W189" s="243">
        <v>103.67420047756535</v>
      </c>
      <c r="X189" s="244">
        <v>222.34773482744558</v>
      </c>
      <c r="Y189" s="245">
        <v>326.02193530501091</v>
      </c>
      <c r="Z189" s="246">
        <v>106.94382127082697</v>
      </c>
      <c r="AA189" s="244">
        <v>176.92132448326112</v>
      </c>
      <c r="AB189" s="245">
        <v>283.86514575408808</v>
      </c>
      <c r="AC189" s="247">
        <v>3.2696207932616232</v>
      </c>
      <c r="AD189" s="247">
        <v>-45.426410344184461</v>
      </c>
      <c r="AE189" s="248">
        <v>-42.156789550922838</v>
      </c>
      <c r="AF189" s="234">
        <f>-SUMIF('[1]Alt Fac'!$A$18:$A$139,'REPORT 4 - PROPERTY TAX'!A189,'[1]Alt Fac'!$U$18:$U$139)</f>
        <v>0</v>
      </c>
      <c r="AG189" s="247">
        <f t="shared" si="10"/>
        <v>437.19580271873377</v>
      </c>
      <c r="AH189" s="234">
        <f t="shared" si="11"/>
        <v>-64.869994723015083</v>
      </c>
      <c r="AI189" s="234">
        <f t="shared" si="9"/>
        <v>372.32580799571872</v>
      </c>
      <c r="AJ189" s="170"/>
      <c r="AK189" s="170"/>
      <c r="AL189" s="170"/>
      <c r="AM189" s="170"/>
      <c r="AN189" s="170"/>
      <c r="AO189" s="234"/>
    </row>
    <row r="190" spans="1:41" x14ac:dyDescent="0.25">
      <c r="A190" s="274">
        <v>511</v>
      </c>
      <c r="B190" s="274">
        <v>1</v>
      </c>
      <c r="C190" s="275" t="s">
        <v>375</v>
      </c>
      <c r="D190" s="276">
        <v>6</v>
      </c>
      <c r="E190" s="272">
        <v>4610128</v>
      </c>
      <c r="F190" s="273">
        <v>94457685</v>
      </c>
      <c r="G190" s="234">
        <v>357996.61307189538</v>
      </c>
      <c r="H190" s="234">
        <v>697587.88884555618</v>
      </c>
      <c r="I190" s="174">
        <v>1055584.5019174516</v>
      </c>
      <c r="J190" s="234">
        <v>208307.17462178692</v>
      </c>
      <c r="K190" s="234">
        <v>740859.88239783107</v>
      </c>
      <c r="L190" s="175">
        <v>949167.05701961799</v>
      </c>
      <c r="M190" s="235">
        <v>-149689.43845010846</v>
      </c>
      <c r="N190" s="236">
        <v>43271.993552274886</v>
      </c>
      <c r="O190" s="175">
        <v>-106417.44489783363</v>
      </c>
      <c r="P190" s="237">
        <v>-0.10081376214270683</v>
      </c>
      <c r="Q190" s="238">
        <v>0.15131638185437718</v>
      </c>
      <c r="R190" s="239">
        <v>3.7900210350475493E-3</v>
      </c>
      <c r="S190" s="240">
        <v>0.16070267081474335</v>
      </c>
      <c r="T190" s="239">
        <v>2.20529620879219E-3</v>
      </c>
      <c r="U190" s="241">
        <v>9.3862889603661681E-3</v>
      </c>
      <c r="V190" s="242">
        <v>-1.5847248262553593E-3</v>
      </c>
      <c r="W190" s="243">
        <v>191.05206372933665</v>
      </c>
      <c r="X190" s="244">
        <v>379.00210350475493</v>
      </c>
      <c r="Y190" s="245">
        <v>570.05416723409155</v>
      </c>
      <c r="Z190" s="246">
        <v>202.90319217069498</v>
      </c>
      <c r="AA190" s="244">
        <v>220.52962087921898</v>
      </c>
      <c r="AB190" s="245">
        <v>423.43281304991399</v>
      </c>
      <c r="AC190" s="247">
        <v>11.851128441358327</v>
      </c>
      <c r="AD190" s="247">
        <v>-158.47248262553595</v>
      </c>
      <c r="AE190" s="248">
        <v>-146.62135418417756</v>
      </c>
      <c r="AF190" s="234">
        <f>-SUMIF('[1]Alt Fac'!$A$18:$A$139,'REPORT 4 - PROPERTY TAX'!A190,'[1]Alt Fac'!$U$18:$U$139)</f>
        <v>0</v>
      </c>
      <c r="AG190" s="247">
        <f t="shared" si="10"/>
        <v>759.55521898646896</v>
      </c>
      <c r="AH190" s="234">
        <f t="shared" si="11"/>
        <v>-225.85759549694558</v>
      </c>
      <c r="AI190" s="234">
        <f t="shared" si="9"/>
        <v>533.69762348952338</v>
      </c>
      <c r="AJ190" s="170"/>
      <c r="AK190" s="170"/>
      <c r="AL190" s="170"/>
      <c r="AM190" s="170"/>
      <c r="AN190" s="170"/>
      <c r="AO190" s="234"/>
    </row>
    <row r="191" spans="1:41" x14ac:dyDescent="0.25">
      <c r="A191" s="274">
        <v>513</v>
      </c>
      <c r="B191" s="274">
        <v>1</v>
      </c>
      <c r="C191" s="275" t="s">
        <v>504</v>
      </c>
      <c r="D191" s="276">
        <v>6</v>
      </c>
      <c r="E191" s="272">
        <v>2282933</v>
      </c>
      <c r="F191" s="273">
        <v>45055520</v>
      </c>
      <c r="G191" s="234">
        <v>212100.82116113289</v>
      </c>
      <c r="H191" s="234">
        <v>98668.730200000005</v>
      </c>
      <c r="I191" s="174">
        <v>310769.55136113288</v>
      </c>
      <c r="J191" s="234">
        <v>129348.07686151509</v>
      </c>
      <c r="K191" s="234">
        <v>117441.20511573165</v>
      </c>
      <c r="L191" s="175">
        <v>246789.28197724675</v>
      </c>
      <c r="M191" s="235">
        <v>-82752.7442996178</v>
      </c>
      <c r="N191" s="236">
        <v>18772.47491573164</v>
      </c>
      <c r="O191" s="175">
        <v>-63980.269383886131</v>
      </c>
      <c r="P191" s="237">
        <v>-0.20587689206893123</v>
      </c>
      <c r="Q191" s="238">
        <v>4.3220160293797501E-2</v>
      </c>
      <c r="R191" s="239">
        <v>4.70754351877712E-3</v>
      </c>
      <c r="S191" s="240">
        <v>5.1443123874301895E-2</v>
      </c>
      <c r="T191" s="239">
        <v>2.8708597051263661E-3</v>
      </c>
      <c r="U191" s="241">
        <v>8.2229635805043944E-3</v>
      </c>
      <c r="V191" s="242">
        <v>-1.836683813650754E-3</v>
      </c>
      <c r="W191" s="243">
        <v>54.56977438694873</v>
      </c>
      <c r="X191" s="244">
        <v>470.754351877712</v>
      </c>
      <c r="Y191" s="245">
        <v>525.32412626466078</v>
      </c>
      <c r="Z191" s="246">
        <v>64.952088203693577</v>
      </c>
      <c r="AA191" s="244">
        <v>287.08597051263661</v>
      </c>
      <c r="AB191" s="245">
        <v>352.03805871633017</v>
      </c>
      <c r="AC191" s="247">
        <v>10.382313816744848</v>
      </c>
      <c r="AD191" s="247">
        <v>-183.66838136507539</v>
      </c>
      <c r="AE191" s="248">
        <v>-173.28606754833061</v>
      </c>
      <c r="AF191" s="234">
        <f>-SUMIF('[1]Alt Fac'!$A$18:$A$139,'REPORT 4 - PROPERTY TAX'!A191,'[1]Alt Fac'!$U$18:$U$139)</f>
        <v>0</v>
      </c>
      <c r="AG191" s="247">
        <f t="shared" si="10"/>
        <v>760.70130220351678</v>
      </c>
      <c r="AH191" s="234">
        <f t="shared" si="11"/>
        <v>-265.12025823086827</v>
      </c>
      <c r="AI191" s="234">
        <f t="shared" si="9"/>
        <v>495.5810439726485</v>
      </c>
      <c r="AJ191" s="170"/>
      <c r="AK191" s="170"/>
      <c r="AL191" s="170"/>
      <c r="AM191" s="170"/>
      <c r="AN191" s="170"/>
      <c r="AO191" s="234"/>
    </row>
    <row r="192" spans="1:41" x14ac:dyDescent="0.25">
      <c r="A192" s="274">
        <v>514</v>
      </c>
      <c r="B192" s="274">
        <v>1</v>
      </c>
      <c r="C192" s="275" t="s">
        <v>506</v>
      </c>
      <c r="D192" s="276">
        <v>6</v>
      </c>
      <c r="E192" s="272">
        <v>1981660</v>
      </c>
      <c r="F192" s="273">
        <v>29187595</v>
      </c>
      <c r="G192" s="234">
        <v>117690.68099224614</v>
      </c>
      <c r="H192" s="234">
        <v>69825.870599999995</v>
      </c>
      <c r="I192" s="174">
        <v>187516.55159224613</v>
      </c>
      <c r="J192" s="234">
        <v>70452.226129780887</v>
      </c>
      <c r="K192" s="234">
        <v>101995.6945100626</v>
      </c>
      <c r="L192" s="175">
        <v>172447.92063984351</v>
      </c>
      <c r="M192" s="235">
        <v>-47238.454862465253</v>
      </c>
      <c r="N192" s="236">
        <v>32169.823910062609</v>
      </c>
      <c r="O192" s="175">
        <v>-15068.630952402629</v>
      </c>
      <c r="P192" s="237">
        <v>-8.0358938048142523E-2</v>
      </c>
      <c r="Q192" s="238">
        <v>3.5236049877375532E-2</v>
      </c>
      <c r="R192" s="239">
        <v>4.0322157749635122E-3</v>
      </c>
      <c r="S192" s="240">
        <v>5.1469825555374084E-2</v>
      </c>
      <c r="T192" s="239">
        <v>2.4137729103676027E-3</v>
      </c>
      <c r="U192" s="241">
        <v>1.6233775677998552E-2</v>
      </c>
      <c r="V192" s="242">
        <v>-1.6184428645959095E-3</v>
      </c>
      <c r="W192" s="243">
        <v>44.489036575174353</v>
      </c>
      <c r="X192" s="244">
        <v>403.22157749635124</v>
      </c>
      <c r="Y192" s="245">
        <v>447.71061407152558</v>
      </c>
      <c r="Z192" s="246">
        <v>64.98580174621533</v>
      </c>
      <c r="AA192" s="244">
        <v>241.37729103676028</v>
      </c>
      <c r="AB192" s="245">
        <v>306.36309278297563</v>
      </c>
      <c r="AC192" s="247">
        <v>20.496765171040977</v>
      </c>
      <c r="AD192" s="247">
        <v>-161.84428645959096</v>
      </c>
      <c r="AE192" s="248">
        <v>-141.34752128854996</v>
      </c>
      <c r="AF192" s="234">
        <f>-SUMIF('[1]Alt Fac'!$A$18:$A$139,'REPORT 4 - PROPERTY TAX'!A192,'[1]Alt Fac'!$U$18:$U$139)</f>
        <v>0</v>
      </c>
      <c r="AG192" s="247">
        <f t="shared" si="10"/>
        <v>649.32140281970123</v>
      </c>
      <c r="AH192" s="234">
        <f t="shared" si="11"/>
        <v>-222.26966451834545</v>
      </c>
      <c r="AI192" s="234">
        <f t="shared" si="9"/>
        <v>427.05173830135578</v>
      </c>
      <c r="AJ192" s="170"/>
      <c r="AK192" s="170"/>
      <c r="AL192" s="170"/>
      <c r="AM192" s="170"/>
      <c r="AN192" s="170"/>
      <c r="AO192" s="234"/>
    </row>
    <row r="193" spans="1:41" x14ac:dyDescent="0.25">
      <c r="A193" s="274">
        <v>516</v>
      </c>
      <c r="B193" s="274">
        <v>1</v>
      </c>
      <c r="C193" s="275" t="s">
        <v>508</v>
      </c>
      <c r="D193" s="276">
        <v>6</v>
      </c>
      <c r="E193" s="272">
        <v>1579167</v>
      </c>
      <c r="F193" s="273">
        <v>27691875</v>
      </c>
      <c r="G193" s="234">
        <v>129298.94158823532</v>
      </c>
      <c r="H193" s="234">
        <v>69460.478799999997</v>
      </c>
      <c r="I193" s="174">
        <v>198759.4203882353</v>
      </c>
      <c r="J193" s="234">
        <v>110312.00188576181</v>
      </c>
      <c r="K193" s="234">
        <v>84817.486315044982</v>
      </c>
      <c r="L193" s="175">
        <v>195129.48820080678</v>
      </c>
      <c r="M193" s="235">
        <v>-18986.939702473508</v>
      </c>
      <c r="N193" s="236">
        <v>15357.007515044985</v>
      </c>
      <c r="O193" s="175">
        <v>-3629.9321874285233</v>
      </c>
      <c r="P193" s="237">
        <v>-1.8262944117759066E-2</v>
      </c>
      <c r="Q193" s="238">
        <v>4.3985518187753418E-2</v>
      </c>
      <c r="R193" s="239">
        <v>4.669201402513745E-3</v>
      </c>
      <c r="S193" s="240">
        <v>5.3710270234272238E-2</v>
      </c>
      <c r="T193" s="239">
        <v>3.9835511999733427E-3</v>
      </c>
      <c r="U193" s="241">
        <v>9.7247520465188197E-3</v>
      </c>
      <c r="V193" s="242">
        <v>-6.8565020254040231E-4</v>
      </c>
      <c r="W193" s="243">
        <v>55.536115263857475</v>
      </c>
      <c r="X193" s="244">
        <v>466.92014025137451</v>
      </c>
      <c r="Y193" s="245">
        <v>522.45625551523199</v>
      </c>
      <c r="Z193" s="246">
        <v>67.814587197792136</v>
      </c>
      <c r="AA193" s="244">
        <v>398.35511999733427</v>
      </c>
      <c r="AB193" s="245">
        <v>466.16970719512642</v>
      </c>
      <c r="AC193" s="247">
        <v>12.278471933934661</v>
      </c>
      <c r="AD193" s="247">
        <v>-68.565020254040235</v>
      </c>
      <c r="AE193" s="248">
        <v>-56.286548320105567</v>
      </c>
      <c r="AF193" s="234">
        <f>-SUMIF('[1]Alt Fac'!$A$18:$A$139,'REPORT 4 - PROPERTY TAX'!A193,'[1]Alt Fac'!$U$18:$U$139)</f>
        <v>0</v>
      </c>
      <c r="AG193" s="247">
        <f t="shared" si="10"/>
        <v>755.91632564091924</v>
      </c>
      <c r="AH193" s="234">
        <f t="shared" si="11"/>
        <v>-90.569058447125684</v>
      </c>
      <c r="AI193" s="234">
        <f t="shared" si="9"/>
        <v>665.34726719379353</v>
      </c>
      <c r="AJ193" s="170"/>
      <c r="AK193" s="170"/>
      <c r="AL193" s="170"/>
      <c r="AM193" s="170"/>
      <c r="AN193" s="170"/>
      <c r="AO193" s="234"/>
    </row>
    <row r="194" spans="1:41" x14ac:dyDescent="0.25">
      <c r="A194" s="274">
        <v>518</v>
      </c>
      <c r="B194" s="274">
        <v>1</v>
      </c>
      <c r="C194" s="275" t="s">
        <v>510</v>
      </c>
      <c r="D194" s="276">
        <v>4</v>
      </c>
      <c r="E194" s="272">
        <v>12570997</v>
      </c>
      <c r="F194" s="273">
        <v>642336180</v>
      </c>
      <c r="G194" s="234">
        <v>1780143.6660784311</v>
      </c>
      <c r="H194" s="234">
        <v>3157729.4505992406</v>
      </c>
      <c r="I194" s="174">
        <v>4937873.1166776717</v>
      </c>
      <c r="J194" s="234">
        <v>1252862.9049753966</v>
      </c>
      <c r="K194" s="234">
        <v>3069397.7640043767</v>
      </c>
      <c r="L194" s="175">
        <v>4322260.6689797733</v>
      </c>
      <c r="M194" s="235">
        <v>-527280.76110303449</v>
      </c>
      <c r="N194" s="236">
        <v>-88331.686594863888</v>
      </c>
      <c r="O194" s="175">
        <v>-615612.44769789837</v>
      </c>
      <c r="P194" s="237">
        <v>-0.12467158089151111</v>
      </c>
      <c r="Q194" s="238">
        <v>0.25119164777457514</v>
      </c>
      <c r="R194" s="239">
        <v>2.7713582412225808E-3</v>
      </c>
      <c r="S194" s="240">
        <v>0.24416502239276461</v>
      </c>
      <c r="T194" s="239">
        <v>1.9504784939490666E-3</v>
      </c>
      <c r="U194" s="241">
        <v>-7.0266253818105362E-3</v>
      </c>
      <c r="V194" s="242">
        <v>-8.2087974727351417E-4</v>
      </c>
      <c r="W194" s="243">
        <v>317.15457448017861</v>
      </c>
      <c r="X194" s="244">
        <v>277.1358241222581</v>
      </c>
      <c r="Y194" s="245">
        <v>594.29039860243665</v>
      </c>
      <c r="Z194" s="246">
        <v>308.28275727310461</v>
      </c>
      <c r="AA194" s="244">
        <v>195.04784939490665</v>
      </c>
      <c r="AB194" s="245">
        <v>503.33060666801123</v>
      </c>
      <c r="AC194" s="247">
        <v>-8.8718172070740025</v>
      </c>
      <c r="AD194" s="247">
        <v>-82.087974727351451</v>
      </c>
      <c r="AE194" s="248">
        <v>-90.959791934425425</v>
      </c>
      <c r="AF194" s="234">
        <f>-SUMIF('[1]Alt Fac'!$A$18:$A$139,'REPORT 4 - PROPERTY TAX'!A194,'[1]Alt Fac'!$U$18:$U$139)</f>
        <v>0</v>
      </c>
      <c r="AG194" s="247">
        <f t="shared" si="10"/>
        <v>732.8583106635657</v>
      </c>
      <c r="AH194" s="234">
        <f t="shared" si="11"/>
        <v>-132.00377929810111</v>
      </c>
      <c r="AI194" s="234">
        <f t="shared" si="9"/>
        <v>600.8545313654646</v>
      </c>
      <c r="AJ194" s="170"/>
      <c r="AK194" s="170"/>
      <c r="AL194" s="170"/>
      <c r="AM194" s="170"/>
      <c r="AN194" s="170"/>
      <c r="AO194" s="234"/>
    </row>
    <row r="195" spans="1:41" x14ac:dyDescent="0.25">
      <c r="A195" s="274">
        <v>531</v>
      </c>
      <c r="B195" s="274">
        <v>1</v>
      </c>
      <c r="C195" s="275" t="s">
        <v>343</v>
      </c>
      <c r="D195" s="276">
        <v>5</v>
      </c>
      <c r="E195" s="272">
        <v>7557227</v>
      </c>
      <c r="F195" s="273">
        <v>608090850</v>
      </c>
      <c r="G195" s="234">
        <v>566240.96785714291</v>
      </c>
      <c r="H195" s="234">
        <v>2903870.8828897397</v>
      </c>
      <c r="I195" s="174">
        <v>3470111.8507468826</v>
      </c>
      <c r="J195" s="234">
        <v>489771.3375403675</v>
      </c>
      <c r="K195" s="234">
        <v>2613962.0362443938</v>
      </c>
      <c r="L195" s="175">
        <v>3103733.3737847614</v>
      </c>
      <c r="M195" s="235">
        <v>-76469.630316775409</v>
      </c>
      <c r="N195" s="236">
        <v>-289908.84664534591</v>
      </c>
      <c r="O195" s="175">
        <v>-366378.4769621212</v>
      </c>
      <c r="P195" s="237">
        <v>-0.10558117222742099</v>
      </c>
      <c r="Q195" s="238">
        <v>0.38425084794855835</v>
      </c>
      <c r="R195" s="239">
        <v>9.3117824064799346E-4</v>
      </c>
      <c r="S195" s="240">
        <v>0.34588904584239616</v>
      </c>
      <c r="T195" s="239">
        <v>8.0542461301689951E-4</v>
      </c>
      <c r="U195" s="241">
        <v>-3.8361802106162191E-2</v>
      </c>
      <c r="V195" s="242">
        <v>-1.2575362763109395E-4</v>
      </c>
      <c r="W195" s="243">
        <v>485.15512061984981</v>
      </c>
      <c r="X195" s="244">
        <v>93.11782406479935</v>
      </c>
      <c r="Y195" s="245">
        <v>578.27294468464913</v>
      </c>
      <c r="Z195" s="246">
        <v>436.71950928060943</v>
      </c>
      <c r="AA195" s="244">
        <v>80.542461301689954</v>
      </c>
      <c r="AB195" s="245">
        <v>517.26197058229934</v>
      </c>
      <c r="AC195" s="247">
        <v>-48.435611339240381</v>
      </c>
      <c r="AD195" s="247">
        <v>-12.575362763109396</v>
      </c>
      <c r="AE195" s="248">
        <v>-61.010974102349792</v>
      </c>
      <c r="AF195" s="234">
        <f>-SUMIF('[1]Alt Fac'!$A$18:$A$139,'REPORT 4 - PROPERTY TAX'!A195,'[1]Alt Fac'!$U$18:$U$139)</f>
        <v>0</v>
      </c>
      <c r="AG195" s="247">
        <f t="shared" si="10"/>
        <v>624.83185671704882</v>
      </c>
      <c r="AH195" s="234">
        <f t="shared" si="11"/>
        <v>-67.298655483904483</v>
      </c>
      <c r="AI195" s="234">
        <f t="shared" si="9"/>
        <v>557.53320123314438</v>
      </c>
      <c r="AJ195" s="170"/>
      <c r="AK195" s="170"/>
      <c r="AL195" s="170"/>
      <c r="AM195" s="170"/>
      <c r="AN195" s="170"/>
      <c r="AO195" s="234"/>
    </row>
    <row r="196" spans="1:41" x14ac:dyDescent="0.25">
      <c r="A196" s="274">
        <v>533</v>
      </c>
      <c r="B196" s="274">
        <v>1</v>
      </c>
      <c r="C196" s="275" t="s">
        <v>277</v>
      </c>
      <c r="D196" s="276">
        <v>5</v>
      </c>
      <c r="E196" s="272">
        <v>4036502</v>
      </c>
      <c r="F196" s="273">
        <v>261368550</v>
      </c>
      <c r="G196" s="234">
        <v>181496.71437097521</v>
      </c>
      <c r="H196" s="234">
        <v>1497201.5660046791</v>
      </c>
      <c r="I196" s="174">
        <v>1678698.2803756543</v>
      </c>
      <c r="J196" s="234">
        <v>210512.66489627401</v>
      </c>
      <c r="K196" s="234">
        <v>1270711.8462889092</v>
      </c>
      <c r="L196" s="175">
        <v>1481224.5111851832</v>
      </c>
      <c r="M196" s="235">
        <v>29015.950525298802</v>
      </c>
      <c r="N196" s="236">
        <v>-226489.71971576987</v>
      </c>
      <c r="O196" s="175">
        <v>-197473.76919047115</v>
      </c>
      <c r="P196" s="237">
        <v>-0.11763505777004848</v>
      </c>
      <c r="Q196" s="238">
        <v>0.37091560118257816</v>
      </c>
      <c r="R196" s="239">
        <v>6.9440915661419557E-4</v>
      </c>
      <c r="S196" s="240">
        <v>0.31480520665886186</v>
      </c>
      <c r="T196" s="239">
        <v>8.0542461935942183E-4</v>
      </c>
      <c r="U196" s="241">
        <v>-5.61103945237163E-2</v>
      </c>
      <c r="V196" s="242">
        <v>1.1101546274522626E-4</v>
      </c>
      <c r="W196" s="243">
        <v>468.31803805312325</v>
      </c>
      <c r="X196" s="244">
        <v>69.440915661419552</v>
      </c>
      <c r="Y196" s="245">
        <v>537.75895371454283</v>
      </c>
      <c r="Z196" s="246">
        <v>397.47305392747904</v>
      </c>
      <c r="AA196" s="244">
        <v>80.542461935942185</v>
      </c>
      <c r="AB196" s="245">
        <v>478.01551586342123</v>
      </c>
      <c r="AC196" s="247">
        <v>-70.844984125644203</v>
      </c>
      <c r="AD196" s="247">
        <v>11.101546274522633</v>
      </c>
      <c r="AE196" s="248">
        <v>-59.743437851121598</v>
      </c>
      <c r="AF196" s="234">
        <f>-SUMIF('[1]Alt Fac'!$A$18:$A$139,'REPORT 4 - PROPERTY TAX'!A196,'[1]Alt Fac'!$U$18:$U$139)</f>
        <v>0</v>
      </c>
      <c r="AG196" s="247">
        <f t="shared" si="10"/>
        <v>572.47941154525256</v>
      </c>
      <c r="AH196" s="234">
        <f t="shared" si="11"/>
        <v>-54.192664713860268</v>
      </c>
      <c r="AI196" s="234">
        <f t="shared" si="9"/>
        <v>518.28674683139229</v>
      </c>
      <c r="AJ196" s="170"/>
      <c r="AK196" s="170"/>
      <c r="AL196" s="170"/>
      <c r="AM196" s="170"/>
      <c r="AN196" s="170"/>
      <c r="AO196" s="234"/>
    </row>
    <row r="197" spans="1:41" x14ac:dyDescent="0.25">
      <c r="A197" s="274">
        <v>534</v>
      </c>
      <c r="B197" s="274">
        <v>1</v>
      </c>
      <c r="C197" s="275" t="s">
        <v>374</v>
      </c>
      <c r="D197" s="276">
        <v>5</v>
      </c>
      <c r="E197" s="272">
        <v>8548404</v>
      </c>
      <c r="F197" s="273">
        <v>587227750</v>
      </c>
      <c r="G197" s="234">
        <v>1250878.4505882356</v>
      </c>
      <c r="H197" s="234">
        <v>2262213.2292827661</v>
      </c>
      <c r="I197" s="174">
        <v>3513091.6798710017</v>
      </c>
      <c r="J197" s="234">
        <v>874214.9717997252</v>
      </c>
      <c r="K197" s="234">
        <v>2057039.9628782785</v>
      </c>
      <c r="L197" s="175">
        <v>2931254.9346780037</v>
      </c>
      <c r="M197" s="235">
        <v>-376663.47878851043</v>
      </c>
      <c r="N197" s="236">
        <v>-205173.26640448766</v>
      </c>
      <c r="O197" s="175">
        <v>-581836.74519299809</v>
      </c>
      <c r="P197" s="237">
        <v>-0.16561957335948679</v>
      </c>
      <c r="Q197" s="238">
        <v>0.2646357412778767</v>
      </c>
      <c r="R197" s="239">
        <v>2.1301419263449924E-3</v>
      </c>
      <c r="S197" s="240">
        <v>0.24063438776153753</v>
      </c>
      <c r="T197" s="239">
        <v>1.4887153609476479E-3</v>
      </c>
      <c r="U197" s="241">
        <v>-2.4001353516339169E-2</v>
      </c>
      <c r="V197" s="242">
        <v>-6.4142656539734446E-4</v>
      </c>
      <c r="W197" s="243">
        <v>334.12908693744714</v>
      </c>
      <c r="X197" s="244">
        <v>213.01419263449924</v>
      </c>
      <c r="Y197" s="245">
        <v>547.14327957194632</v>
      </c>
      <c r="Z197" s="246">
        <v>303.82497798771732</v>
      </c>
      <c r="AA197" s="244">
        <v>148.87153609476479</v>
      </c>
      <c r="AB197" s="245">
        <v>452.69651408248211</v>
      </c>
      <c r="AC197" s="247">
        <v>-30.304108949729823</v>
      </c>
      <c r="AD197" s="247">
        <v>-64.142656539734446</v>
      </c>
      <c r="AE197" s="248">
        <v>-94.446765489464212</v>
      </c>
      <c r="AF197" s="234">
        <f>-SUMIF('[1]Alt Fac'!$A$18:$A$139,'REPORT 4 - PROPERTY TAX'!A197,'[1]Alt Fac'!$U$18:$U$139)</f>
        <v>0</v>
      </c>
      <c r="AG197" s="247">
        <f t="shared" si="10"/>
        <v>653.65037588919597</v>
      </c>
      <c r="AH197" s="234">
        <f t="shared" si="11"/>
        <v>-126.51809375933151</v>
      </c>
      <c r="AI197" s="234">
        <f t="shared" si="9"/>
        <v>527.13228212986451</v>
      </c>
      <c r="AJ197" s="170"/>
      <c r="AK197" s="170"/>
      <c r="AL197" s="170"/>
      <c r="AM197" s="170"/>
      <c r="AN197" s="170"/>
      <c r="AO197" s="234"/>
    </row>
    <row r="198" spans="1:41" x14ac:dyDescent="0.25">
      <c r="A198" s="274">
        <v>535</v>
      </c>
      <c r="B198" s="274">
        <v>1</v>
      </c>
      <c r="C198" s="275" t="s">
        <v>513</v>
      </c>
      <c r="D198" s="276">
        <v>4</v>
      </c>
      <c r="E198" s="272">
        <v>119729471</v>
      </c>
      <c r="F198" s="273">
        <v>9960866026</v>
      </c>
      <c r="G198" s="234">
        <v>12236481.580000002</v>
      </c>
      <c r="H198" s="234">
        <v>20662094.143245485</v>
      </c>
      <c r="I198" s="174">
        <v>32898575.723245487</v>
      </c>
      <c r="J198" s="234">
        <v>12268065.794424437</v>
      </c>
      <c r="K198" s="234">
        <v>20750884.238469597</v>
      </c>
      <c r="L198" s="175">
        <v>33018950.032894034</v>
      </c>
      <c r="M198" s="235">
        <v>31584.214424435049</v>
      </c>
      <c r="N198" s="236">
        <v>88790.095224112272</v>
      </c>
      <c r="O198" s="175">
        <v>120374.30964854732</v>
      </c>
      <c r="P198" s="237">
        <v>3.6589520063475939E-3</v>
      </c>
      <c r="Q198" s="238">
        <v>0.1725731682489893</v>
      </c>
      <c r="R198" s="239">
        <v>1.2284555929233619E-3</v>
      </c>
      <c r="S198" s="240">
        <v>0.17331475755430004</v>
      </c>
      <c r="T198" s="239">
        <v>1.2316264230843132E-3</v>
      </c>
      <c r="U198" s="241">
        <v>7.4158930531073586E-4</v>
      </c>
      <c r="V198" s="242">
        <v>3.1708301609513056E-6</v>
      </c>
      <c r="W198" s="243">
        <v>217.89088223117392</v>
      </c>
      <c r="X198" s="244">
        <v>122.84555929233619</v>
      </c>
      <c r="Y198" s="245">
        <v>340.73644152351011</v>
      </c>
      <c r="Z198" s="246">
        <v>218.82721288805925</v>
      </c>
      <c r="AA198" s="244">
        <v>123.16264230843133</v>
      </c>
      <c r="AB198" s="245">
        <v>341.98985519649057</v>
      </c>
      <c r="AC198" s="247">
        <v>0.93633065688533179</v>
      </c>
      <c r="AD198" s="247">
        <v>0.31708301609513967</v>
      </c>
      <c r="AE198" s="248">
        <v>1.2534136729804572</v>
      </c>
      <c r="AF198" s="234">
        <f>-SUMIF('[1]Alt Fac'!$A$18:$A$139,'REPORT 4 - PROPERTY TAX'!A198,'[1]Alt Fac'!$U$18:$U$139)</f>
        <v>0</v>
      </c>
      <c r="AG198" s="247">
        <f t="shared" si="10"/>
        <v>402.15922116967818</v>
      </c>
      <c r="AH198" s="234">
        <f t="shared" si="11"/>
        <v>1.4119551810280311</v>
      </c>
      <c r="AI198" s="234">
        <f t="shared" si="9"/>
        <v>403.5711763507062</v>
      </c>
      <c r="AJ198" s="170"/>
      <c r="AK198" s="170"/>
      <c r="AL198" s="170"/>
      <c r="AM198" s="170"/>
      <c r="AN198" s="170"/>
      <c r="AO198" s="234"/>
    </row>
    <row r="199" spans="1:41" x14ac:dyDescent="0.25">
      <c r="A199" s="274">
        <v>542</v>
      </c>
      <c r="B199" s="274">
        <v>1</v>
      </c>
      <c r="C199" s="275" t="s">
        <v>515</v>
      </c>
      <c r="D199" s="276">
        <v>6</v>
      </c>
      <c r="E199" s="272">
        <v>11919095</v>
      </c>
      <c r="F199" s="273">
        <v>479543880</v>
      </c>
      <c r="G199" s="234">
        <v>100306.51999999999</v>
      </c>
      <c r="H199" s="234">
        <v>754666.97459999996</v>
      </c>
      <c r="I199" s="174">
        <v>854973.49459999998</v>
      </c>
      <c r="J199" s="234">
        <v>363080.9670286522</v>
      </c>
      <c r="K199" s="234">
        <v>1029147.9256112122</v>
      </c>
      <c r="L199" s="175">
        <v>1392228.8926398642</v>
      </c>
      <c r="M199" s="235">
        <v>262774.44702865218</v>
      </c>
      <c r="N199" s="236">
        <v>274480.95101121219</v>
      </c>
      <c r="O199" s="175">
        <v>537255.39803986426</v>
      </c>
      <c r="P199" s="237">
        <v>0.62838836692969013</v>
      </c>
      <c r="Q199" s="238">
        <v>6.3315794915637463E-2</v>
      </c>
      <c r="R199" s="239">
        <v>2.0917068110638798E-4</v>
      </c>
      <c r="S199" s="240">
        <v>8.63444687378708E-2</v>
      </c>
      <c r="T199" s="239">
        <v>7.5713815183847655E-4</v>
      </c>
      <c r="U199" s="241">
        <v>2.3028673822233336E-2</v>
      </c>
      <c r="V199" s="242">
        <v>5.4796747073208862E-4</v>
      </c>
      <c r="W199" s="243">
        <v>79.942522660483874</v>
      </c>
      <c r="X199" s="244">
        <v>20.917068110638798</v>
      </c>
      <c r="Y199" s="245">
        <v>100.85959077112267</v>
      </c>
      <c r="Z199" s="246">
        <v>109.01852622843569</v>
      </c>
      <c r="AA199" s="244">
        <v>75.713815183847657</v>
      </c>
      <c r="AB199" s="245">
        <v>184.73234141228335</v>
      </c>
      <c r="AC199" s="247">
        <v>29.076003567951815</v>
      </c>
      <c r="AD199" s="247">
        <v>54.796747073208863</v>
      </c>
      <c r="AE199" s="248">
        <v>83.872750641160678</v>
      </c>
      <c r="AF199" s="234">
        <f>-SUMIF('[1]Alt Fac'!$A$18:$A$139,'REPORT 4 - PROPERTY TAX'!A199,'[1]Alt Fac'!$U$18:$U$139)</f>
        <v>0</v>
      </c>
      <c r="AG199" s="247">
        <f t="shared" si="10"/>
        <v>111.31812482644207</v>
      </c>
      <c r="AH199" s="234">
        <f t="shared" si="11"/>
        <v>111.2711241777651</v>
      </c>
      <c r="AI199" s="234">
        <f t="shared" si="9"/>
        <v>222.58924900420718</v>
      </c>
      <c r="AJ199" s="170"/>
      <c r="AK199" s="170"/>
      <c r="AL199" s="170"/>
      <c r="AM199" s="170"/>
      <c r="AN199" s="170"/>
      <c r="AO199" s="234"/>
    </row>
    <row r="200" spans="1:41" x14ac:dyDescent="0.25">
      <c r="A200" s="274">
        <v>544</v>
      </c>
      <c r="B200" s="274">
        <v>1</v>
      </c>
      <c r="C200" s="275" t="s">
        <v>505</v>
      </c>
      <c r="D200" s="276">
        <v>4</v>
      </c>
      <c r="E200" s="272">
        <v>17165235</v>
      </c>
      <c r="F200" s="273">
        <v>1233558860</v>
      </c>
      <c r="G200" s="234">
        <v>1468008.19</v>
      </c>
      <c r="H200" s="234">
        <v>3894136.8388536265</v>
      </c>
      <c r="I200" s="174">
        <v>5362145.0288536269</v>
      </c>
      <c r="J200" s="234">
        <v>1174547.8041272257</v>
      </c>
      <c r="K200" s="234">
        <v>3732566.7647989737</v>
      </c>
      <c r="L200" s="175">
        <v>4907114.5689261993</v>
      </c>
      <c r="M200" s="235">
        <v>-293460.38587277429</v>
      </c>
      <c r="N200" s="236">
        <v>-161570.07405465282</v>
      </c>
      <c r="O200" s="175">
        <v>-455030.45992742758</v>
      </c>
      <c r="P200" s="237">
        <v>-8.4859782321984031E-2</v>
      </c>
      <c r="Q200" s="238">
        <v>0.22686184248882271</v>
      </c>
      <c r="R200" s="239">
        <v>1.190059297210998E-3</v>
      </c>
      <c r="S200" s="240">
        <v>0.21744920851936916</v>
      </c>
      <c r="T200" s="239">
        <v>9.521619455817663E-4</v>
      </c>
      <c r="U200" s="241">
        <v>-9.4126339694535488E-3</v>
      </c>
      <c r="V200" s="242">
        <v>-2.3789735162923174E-4</v>
      </c>
      <c r="W200" s="243">
        <v>286.43576232638759</v>
      </c>
      <c r="X200" s="244">
        <v>119.0059297210998</v>
      </c>
      <c r="Y200" s="245">
        <v>405.44169204748738</v>
      </c>
      <c r="Z200" s="246">
        <v>274.55137067655556</v>
      </c>
      <c r="AA200" s="244">
        <v>95.216194558176625</v>
      </c>
      <c r="AB200" s="245">
        <v>369.76756523473216</v>
      </c>
      <c r="AC200" s="247">
        <v>-11.884391649832025</v>
      </c>
      <c r="AD200" s="247">
        <v>-23.789735162923179</v>
      </c>
      <c r="AE200" s="248">
        <v>-35.674126812755219</v>
      </c>
      <c r="AF200" s="234">
        <f>-SUMIF('[1]Alt Fac'!$A$18:$A$139,'REPORT 4 - PROPERTY TAX'!A200,'[1]Alt Fac'!$U$18:$U$139)</f>
        <v>0</v>
      </c>
      <c r="AG200" s="247">
        <f t="shared" si="10"/>
        <v>464.9446569080373</v>
      </c>
      <c r="AH200" s="234">
        <f t="shared" si="11"/>
        <v>-47.568994394216816</v>
      </c>
      <c r="AI200" s="234">
        <f t="shared" si="9"/>
        <v>417.37566251382049</v>
      </c>
      <c r="AJ200" s="170"/>
      <c r="AK200" s="170"/>
      <c r="AL200" s="170"/>
      <c r="AM200" s="170"/>
      <c r="AN200" s="170"/>
      <c r="AO200" s="234"/>
    </row>
    <row r="201" spans="1:41" x14ac:dyDescent="0.25">
      <c r="A201" s="274">
        <v>545</v>
      </c>
      <c r="B201" s="274">
        <v>1</v>
      </c>
      <c r="C201" s="275" t="s">
        <v>467</v>
      </c>
      <c r="D201" s="276">
        <v>6</v>
      </c>
      <c r="E201" s="272">
        <v>4639047</v>
      </c>
      <c r="F201" s="273">
        <v>202538360</v>
      </c>
      <c r="G201" s="234">
        <v>497630.9094117647</v>
      </c>
      <c r="H201" s="234">
        <v>571095.04399999999</v>
      </c>
      <c r="I201" s="174">
        <v>1068725.9534117647</v>
      </c>
      <c r="J201" s="234">
        <v>474904.401076879</v>
      </c>
      <c r="K201" s="234">
        <v>659049.03707473655</v>
      </c>
      <c r="L201" s="175">
        <v>1133953.4381516157</v>
      </c>
      <c r="M201" s="235">
        <v>-22726.508334885701</v>
      </c>
      <c r="N201" s="236">
        <v>87953.993074736558</v>
      </c>
      <c r="O201" s="175">
        <v>65227.484739850974</v>
      </c>
      <c r="P201" s="237">
        <v>6.1032937893592785E-2</v>
      </c>
      <c r="Q201" s="238">
        <v>0.12310611295811402</v>
      </c>
      <c r="R201" s="239">
        <v>2.4569711604841902E-3</v>
      </c>
      <c r="S201" s="240">
        <v>0.14206560896553463</v>
      </c>
      <c r="T201" s="239">
        <v>2.3447627455701675E-3</v>
      </c>
      <c r="U201" s="241">
        <v>1.8959496007420612E-2</v>
      </c>
      <c r="V201" s="242">
        <v>-1.1220841491402277E-4</v>
      </c>
      <c r="W201" s="243">
        <v>155.43377822091477</v>
      </c>
      <c r="X201" s="244">
        <v>245.69711604841902</v>
      </c>
      <c r="Y201" s="245">
        <v>401.13089426933379</v>
      </c>
      <c r="Z201" s="246">
        <v>179.37203787988406</v>
      </c>
      <c r="AA201" s="244">
        <v>234.47627455701675</v>
      </c>
      <c r="AB201" s="245">
        <v>413.84831243690081</v>
      </c>
      <c r="AC201" s="247">
        <v>23.938259658969287</v>
      </c>
      <c r="AD201" s="247">
        <v>-11.220841491402268</v>
      </c>
      <c r="AE201" s="248">
        <v>12.717418167567018</v>
      </c>
      <c r="AF201" s="234">
        <f>-SUMIF('[1]Alt Fac'!$A$18:$A$139,'REPORT 4 - PROPERTY TAX'!A201,'[1]Alt Fac'!$U$18:$U$139)</f>
        <v>0</v>
      </c>
      <c r="AG201" s="247">
        <f t="shared" si="10"/>
        <v>523.97945229354332</v>
      </c>
      <c r="AH201" s="234">
        <f t="shared" si="11"/>
        <v>7.1069974218658523</v>
      </c>
      <c r="AI201" s="234">
        <f t="shared" si="9"/>
        <v>531.08644971540912</v>
      </c>
      <c r="AJ201" s="170"/>
      <c r="AK201" s="170"/>
      <c r="AL201" s="170"/>
      <c r="AM201" s="170"/>
      <c r="AN201" s="170"/>
      <c r="AO201" s="234"/>
    </row>
    <row r="202" spans="1:41" x14ac:dyDescent="0.25">
      <c r="A202" s="274">
        <v>547</v>
      </c>
      <c r="B202" s="274">
        <v>1</v>
      </c>
      <c r="C202" s="275" t="s">
        <v>519</v>
      </c>
      <c r="D202" s="276">
        <v>6</v>
      </c>
      <c r="E202" s="272">
        <v>3770081</v>
      </c>
      <c r="F202" s="273">
        <v>180195580</v>
      </c>
      <c r="G202" s="234">
        <v>563917.62</v>
      </c>
      <c r="H202" s="234">
        <v>480200.75635002274</v>
      </c>
      <c r="I202" s="174">
        <v>1044118.3763500227</v>
      </c>
      <c r="J202" s="234">
        <v>371873.84055248328</v>
      </c>
      <c r="K202" s="234">
        <v>507145.48580457363</v>
      </c>
      <c r="L202" s="175">
        <v>879019.32635705685</v>
      </c>
      <c r="M202" s="235">
        <v>-192043.77944751672</v>
      </c>
      <c r="N202" s="236">
        <v>26944.729454550892</v>
      </c>
      <c r="O202" s="175">
        <v>-165099.04999296588</v>
      </c>
      <c r="P202" s="237">
        <v>-0.15812292335100064</v>
      </c>
      <c r="Q202" s="238">
        <v>0.12737146930000251</v>
      </c>
      <c r="R202" s="239">
        <v>3.1294753178740566E-3</v>
      </c>
      <c r="S202" s="240">
        <v>0.13451845883538674</v>
      </c>
      <c r="T202" s="239">
        <v>2.0637234306883846E-3</v>
      </c>
      <c r="U202" s="241">
        <v>7.1469895353842294E-3</v>
      </c>
      <c r="V202" s="242">
        <v>-1.0657518871856719E-3</v>
      </c>
      <c r="W202" s="243">
        <v>160.81921713818318</v>
      </c>
      <c r="X202" s="244">
        <v>312.94753178740564</v>
      </c>
      <c r="Y202" s="245">
        <v>473.76674892558879</v>
      </c>
      <c r="Z202" s="246">
        <v>169.84300612555933</v>
      </c>
      <c r="AA202" s="244">
        <v>206.37234306883846</v>
      </c>
      <c r="AB202" s="245">
        <v>376.21534919439779</v>
      </c>
      <c r="AC202" s="247">
        <v>9.0237889873761503</v>
      </c>
      <c r="AD202" s="247">
        <v>-106.57518871856718</v>
      </c>
      <c r="AE202" s="248">
        <v>-97.551399731190997</v>
      </c>
      <c r="AF202" s="234">
        <f>-SUMIF('[1]Alt Fac'!$A$18:$A$139,'REPORT 4 - PROPERTY TAX'!A202,'[1]Alt Fac'!$U$18:$U$139)</f>
        <v>0</v>
      </c>
      <c r="AG202" s="247">
        <f t="shared" si="10"/>
        <v>630.24051481929166</v>
      </c>
      <c r="AH202" s="234">
        <f t="shared" si="11"/>
        <v>-150.83899409047467</v>
      </c>
      <c r="AI202" s="234">
        <f t="shared" si="9"/>
        <v>479.40152072881699</v>
      </c>
      <c r="AJ202" s="170"/>
      <c r="AK202" s="170"/>
      <c r="AL202" s="170"/>
      <c r="AM202" s="170"/>
      <c r="AN202" s="170"/>
      <c r="AO202" s="234"/>
    </row>
    <row r="203" spans="1:41" x14ac:dyDescent="0.25">
      <c r="A203" s="274">
        <v>548</v>
      </c>
      <c r="B203" s="274">
        <v>1</v>
      </c>
      <c r="C203" s="275" t="s">
        <v>511</v>
      </c>
      <c r="D203" s="276">
        <v>6</v>
      </c>
      <c r="E203" s="272">
        <v>16653843</v>
      </c>
      <c r="F203" s="273">
        <v>604646200</v>
      </c>
      <c r="G203" s="234">
        <v>882237.28</v>
      </c>
      <c r="H203" s="234">
        <v>664411.07780000009</v>
      </c>
      <c r="I203" s="174">
        <v>1546648.3578000001</v>
      </c>
      <c r="J203" s="234">
        <v>909652.23801288265</v>
      </c>
      <c r="K203" s="234">
        <v>971179.50194092048</v>
      </c>
      <c r="L203" s="175">
        <v>1880831.7399538031</v>
      </c>
      <c r="M203" s="235">
        <v>27414.95801288262</v>
      </c>
      <c r="N203" s="236">
        <v>306768.4241409204</v>
      </c>
      <c r="O203" s="175">
        <v>334183.38215380302</v>
      </c>
      <c r="P203" s="237">
        <v>0.2160693996592449</v>
      </c>
      <c r="Q203" s="238">
        <v>3.9895360956627254E-2</v>
      </c>
      <c r="R203" s="239">
        <v>1.4590967081245197E-3</v>
      </c>
      <c r="S203" s="240">
        <v>5.8315639335672881E-2</v>
      </c>
      <c r="T203" s="239">
        <v>1.5044372031328115E-3</v>
      </c>
      <c r="U203" s="241">
        <v>1.8420278379045626E-2</v>
      </c>
      <c r="V203" s="242">
        <v>4.5340495008291785E-5</v>
      </c>
      <c r="W203" s="243">
        <v>50.371882743837574</v>
      </c>
      <c r="X203" s="244">
        <v>145.90967081245196</v>
      </c>
      <c r="Y203" s="245">
        <v>196.28155355628954</v>
      </c>
      <c r="Z203" s="246">
        <v>73.629326225220581</v>
      </c>
      <c r="AA203" s="244">
        <v>150.44372031328115</v>
      </c>
      <c r="AB203" s="245">
        <v>224.07304653850173</v>
      </c>
      <c r="AC203" s="247">
        <v>23.257443481383007</v>
      </c>
      <c r="AD203" s="247">
        <v>4.5340495008291839</v>
      </c>
      <c r="AE203" s="248">
        <v>27.791492982212191</v>
      </c>
      <c r="AF203" s="234">
        <f>-SUMIF('[1]Alt Fac'!$A$18:$A$139,'REPORT 4 - PROPERTY TAX'!A203,'[1]Alt Fac'!$U$18:$U$139)</f>
        <v>0</v>
      </c>
      <c r="AG203" s="247">
        <f t="shared" si="10"/>
        <v>269.23638896251555</v>
      </c>
      <c r="AH203" s="234">
        <f t="shared" si="11"/>
        <v>30.058517732626779</v>
      </c>
      <c r="AI203" s="234">
        <f t="shared" si="9"/>
        <v>299.29490669514234</v>
      </c>
      <c r="AJ203" s="170"/>
      <c r="AK203" s="170"/>
      <c r="AL203" s="170"/>
      <c r="AM203" s="170"/>
      <c r="AN203" s="170"/>
      <c r="AO203" s="234"/>
    </row>
    <row r="204" spans="1:41" x14ac:dyDescent="0.25">
      <c r="A204" s="274">
        <v>549</v>
      </c>
      <c r="B204" s="274">
        <v>1</v>
      </c>
      <c r="C204" s="275" t="s">
        <v>522</v>
      </c>
      <c r="D204" s="276">
        <v>5</v>
      </c>
      <c r="E204" s="272">
        <v>17924260</v>
      </c>
      <c r="F204" s="273">
        <v>929743375</v>
      </c>
      <c r="G204" s="234">
        <v>252721.36</v>
      </c>
      <c r="H204" s="234">
        <v>1873589.8683999998</v>
      </c>
      <c r="I204" s="174">
        <v>2126311.2283999999</v>
      </c>
      <c r="J204" s="234">
        <v>748838.20841553644</v>
      </c>
      <c r="K204" s="234">
        <v>2215507.6795698223</v>
      </c>
      <c r="L204" s="175">
        <v>2964345.8879853589</v>
      </c>
      <c r="M204" s="235">
        <v>496116.84841553646</v>
      </c>
      <c r="N204" s="236">
        <v>341917.81116982247</v>
      </c>
      <c r="O204" s="175">
        <v>838034.65958535904</v>
      </c>
      <c r="P204" s="237">
        <v>0.3941260566149391</v>
      </c>
      <c r="Q204" s="238">
        <v>0.10452815727957526</v>
      </c>
      <c r="R204" s="239">
        <v>2.718184036535888E-4</v>
      </c>
      <c r="S204" s="240">
        <v>0.12360385754111033</v>
      </c>
      <c r="T204" s="239">
        <v>8.0542462420400305E-4</v>
      </c>
      <c r="U204" s="241">
        <v>1.9075700261535072E-2</v>
      </c>
      <c r="V204" s="242">
        <v>5.3360622055041425E-4</v>
      </c>
      <c r="W204" s="243">
        <v>131.97725138119173</v>
      </c>
      <c r="X204" s="244">
        <v>27.18184036535888</v>
      </c>
      <c r="Y204" s="245">
        <v>159.15909174655062</v>
      </c>
      <c r="Z204" s="246">
        <v>156.06223053140593</v>
      </c>
      <c r="AA204" s="244">
        <v>80.542462420400312</v>
      </c>
      <c r="AB204" s="245">
        <v>236.60469295180624</v>
      </c>
      <c r="AC204" s="247">
        <v>24.084979150214195</v>
      </c>
      <c r="AD204" s="247">
        <v>53.360622055041432</v>
      </c>
      <c r="AE204" s="248">
        <v>77.445601205255628</v>
      </c>
      <c r="AF204" s="234">
        <f>-SUMIF('[1]Alt Fac'!$A$18:$A$139,'REPORT 4 - PROPERTY TAX'!A204,'[1]Alt Fac'!$U$18:$U$139)</f>
        <v>0</v>
      </c>
      <c r="AG204" s="247">
        <f t="shared" si="10"/>
        <v>172.75001192923006</v>
      </c>
      <c r="AH204" s="234">
        <f t="shared" si="11"/>
        <v>104.12591223277632</v>
      </c>
      <c r="AI204" s="234">
        <f t="shared" si="9"/>
        <v>276.87592416200636</v>
      </c>
      <c r="AJ204" s="170"/>
      <c r="AK204" s="170"/>
      <c r="AL204" s="170"/>
      <c r="AM204" s="170"/>
      <c r="AN204" s="170"/>
      <c r="AO204" s="234"/>
    </row>
    <row r="205" spans="1:41" x14ac:dyDescent="0.25">
      <c r="A205" s="274">
        <v>550</v>
      </c>
      <c r="B205" s="274">
        <v>1</v>
      </c>
      <c r="C205" s="275" t="s">
        <v>365</v>
      </c>
      <c r="D205" s="276">
        <v>6</v>
      </c>
      <c r="E205" s="272">
        <v>3118492</v>
      </c>
      <c r="F205" s="273">
        <v>162983450</v>
      </c>
      <c r="G205" s="234">
        <v>69534.86</v>
      </c>
      <c r="H205" s="234">
        <v>683867.92359422438</v>
      </c>
      <c r="I205" s="174">
        <v>753402.78359422437</v>
      </c>
      <c r="J205" s="234">
        <v>131270.8876648343</v>
      </c>
      <c r="K205" s="234">
        <v>690703.29012412985</v>
      </c>
      <c r="L205" s="175">
        <v>821974.17778896412</v>
      </c>
      <c r="M205" s="235">
        <v>61736.027664834299</v>
      </c>
      <c r="N205" s="236">
        <v>6835.3665299054701</v>
      </c>
      <c r="O205" s="175">
        <v>68571.394194739754</v>
      </c>
      <c r="P205" s="237">
        <v>9.1015583812432077E-2</v>
      </c>
      <c r="Q205" s="238">
        <v>0.21929442935695342</v>
      </c>
      <c r="R205" s="239">
        <v>4.266375512360304E-4</v>
      </c>
      <c r="S205" s="240">
        <v>0.22148631137233313</v>
      </c>
      <c r="T205" s="239">
        <v>8.0542464688797733E-4</v>
      </c>
      <c r="U205" s="241">
        <v>2.1918820153797036E-3</v>
      </c>
      <c r="V205" s="242">
        <v>3.7878709565194692E-4</v>
      </c>
      <c r="W205" s="243">
        <v>276.88114650608941</v>
      </c>
      <c r="X205" s="244">
        <v>42.663755123603039</v>
      </c>
      <c r="Y205" s="245">
        <v>319.54490162969245</v>
      </c>
      <c r="Z205" s="246">
        <v>279.64861673870786</v>
      </c>
      <c r="AA205" s="244">
        <v>80.542464688797736</v>
      </c>
      <c r="AB205" s="245">
        <v>360.19108142750559</v>
      </c>
      <c r="AC205" s="247">
        <v>2.7674702326184502</v>
      </c>
      <c r="AD205" s="247">
        <v>37.878709565194697</v>
      </c>
      <c r="AE205" s="248">
        <v>40.646179797813147</v>
      </c>
      <c r="AF205" s="234">
        <f>-SUMIF('[1]Alt Fac'!$A$18:$A$139,'REPORT 4 - PROPERTY TAX'!A205,'[1]Alt Fac'!$U$18:$U$139)</f>
        <v>0</v>
      </c>
      <c r="AG205" s="247">
        <f t="shared" si="10"/>
        <v>340.87677919149394</v>
      </c>
      <c r="AH205" s="234">
        <f t="shared" si="11"/>
        <v>59.585534580410453</v>
      </c>
      <c r="AI205" s="234">
        <f t="shared" si="9"/>
        <v>400.46231377190441</v>
      </c>
      <c r="AJ205" s="170"/>
      <c r="AK205" s="170"/>
      <c r="AL205" s="170"/>
      <c r="AM205" s="170"/>
      <c r="AN205" s="170"/>
      <c r="AO205" s="234"/>
    </row>
    <row r="206" spans="1:41" x14ac:dyDescent="0.25">
      <c r="A206" s="274">
        <v>553</v>
      </c>
      <c r="B206" s="274">
        <v>1</v>
      </c>
      <c r="C206" s="275" t="s">
        <v>524</v>
      </c>
      <c r="D206" s="276">
        <v>6</v>
      </c>
      <c r="E206" s="272">
        <v>2833244</v>
      </c>
      <c r="F206" s="273">
        <v>168502915</v>
      </c>
      <c r="G206" s="234">
        <v>241573.76330882349</v>
      </c>
      <c r="H206" s="234">
        <v>751212.42626510141</v>
      </c>
      <c r="I206" s="174">
        <v>992786.18957392487</v>
      </c>
      <c r="J206" s="234">
        <v>180869.24306177051</v>
      </c>
      <c r="K206" s="234">
        <v>691867.8570094438</v>
      </c>
      <c r="L206" s="175">
        <v>872737.10007121437</v>
      </c>
      <c r="M206" s="235">
        <v>-60704.520247052977</v>
      </c>
      <c r="N206" s="236">
        <v>-59344.56925565761</v>
      </c>
      <c r="O206" s="175">
        <v>-120049.0895027105</v>
      </c>
      <c r="P206" s="237">
        <v>-0.12092139351196263</v>
      </c>
      <c r="Q206" s="238">
        <v>0.26514215728158302</v>
      </c>
      <c r="R206" s="239">
        <v>1.4336473841347105E-3</v>
      </c>
      <c r="S206" s="240">
        <v>0.24419635478251919</v>
      </c>
      <c r="T206" s="239">
        <v>1.0733894013748694E-3</v>
      </c>
      <c r="U206" s="241">
        <v>-2.0945802499063831E-2</v>
      </c>
      <c r="V206" s="242">
        <v>-3.6025798275984107E-4</v>
      </c>
      <c r="W206" s="243">
        <v>334.76848778372675</v>
      </c>
      <c r="X206" s="244">
        <v>143.36473841347106</v>
      </c>
      <c r="Y206" s="245">
        <v>478.13322619719781</v>
      </c>
      <c r="Z206" s="246">
        <v>308.32231754840876</v>
      </c>
      <c r="AA206" s="244">
        <v>107.33894013748694</v>
      </c>
      <c r="AB206" s="245">
        <v>415.66125768589569</v>
      </c>
      <c r="AC206" s="247">
        <v>-26.446170235317993</v>
      </c>
      <c r="AD206" s="247">
        <v>-36.025798275984116</v>
      </c>
      <c r="AE206" s="248">
        <v>-62.471968511302123</v>
      </c>
      <c r="AF206" s="234">
        <f>-SUMIF('[1]Alt Fac'!$A$18:$A$139,'REPORT 4 - PROPERTY TAX'!A206,'[1]Alt Fac'!$U$18:$U$139)</f>
        <v>0</v>
      </c>
      <c r="AG206" s="247">
        <f t="shared" si="10"/>
        <v>549.81559540393334</v>
      </c>
      <c r="AH206" s="234">
        <f t="shared" si="11"/>
        <v>-80.484867649294159</v>
      </c>
      <c r="AI206" s="234">
        <f t="shared" si="9"/>
        <v>469.33072775463916</v>
      </c>
      <c r="AJ206" s="170"/>
      <c r="AK206" s="170"/>
      <c r="AL206" s="170"/>
      <c r="AM206" s="170"/>
      <c r="AN206" s="170"/>
      <c r="AO206" s="234"/>
    </row>
    <row r="207" spans="1:41" x14ac:dyDescent="0.25">
      <c r="A207" s="274">
        <v>561</v>
      </c>
      <c r="B207" s="274">
        <v>1</v>
      </c>
      <c r="C207" s="275" t="s">
        <v>526</v>
      </c>
      <c r="D207" s="276">
        <v>6</v>
      </c>
      <c r="E207" s="272">
        <v>1005367</v>
      </c>
      <c r="F207" s="273">
        <v>20866800</v>
      </c>
      <c r="G207" s="234">
        <v>124008.04265250971</v>
      </c>
      <c r="H207" s="234">
        <v>39908.76793800274</v>
      </c>
      <c r="I207" s="174">
        <v>163916.81059051247</v>
      </c>
      <c r="J207" s="234">
        <v>79551.239218087256</v>
      </c>
      <c r="K207" s="234">
        <v>52674.752326028742</v>
      </c>
      <c r="L207" s="175">
        <v>132225.991544116</v>
      </c>
      <c r="M207" s="235">
        <v>-44456.803434422458</v>
      </c>
      <c r="N207" s="236">
        <v>12765.984388026001</v>
      </c>
      <c r="O207" s="175">
        <v>-31690.819046396471</v>
      </c>
      <c r="P207" s="237">
        <v>-0.19333477104776428</v>
      </c>
      <c r="Q207" s="238">
        <v>3.9695721003377614E-2</v>
      </c>
      <c r="R207" s="239">
        <v>5.9428394699958653E-3</v>
      </c>
      <c r="S207" s="240">
        <v>5.2393556110384307E-2</v>
      </c>
      <c r="T207" s="239">
        <v>3.8123353469668208E-3</v>
      </c>
      <c r="U207" s="241">
        <v>1.2697835107006693E-2</v>
      </c>
      <c r="V207" s="242">
        <v>-2.1305041230290445E-3</v>
      </c>
      <c r="W207" s="243">
        <v>50.119817338864578</v>
      </c>
      <c r="X207" s="244">
        <v>594.28394699958653</v>
      </c>
      <c r="Y207" s="245">
        <v>644.40376433845108</v>
      </c>
      <c r="Z207" s="246">
        <v>66.15210394497123</v>
      </c>
      <c r="AA207" s="244">
        <v>381.23353469668206</v>
      </c>
      <c r="AB207" s="245">
        <v>447.38563864165326</v>
      </c>
      <c r="AC207" s="247">
        <v>16.032286606106652</v>
      </c>
      <c r="AD207" s="247">
        <v>-213.05041230290448</v>
      </c>
      <c r="AE207" s="248">
        <v>-197.01812569679782</v>
      </c>
      <c r="AF207" s="234">
        <f>-SUMIF('[1]Alt Fac'!$A$18:$A$139,'REPORT 4 - PROPERTY TAX'!A207,'[1]Alt Fac'!$U$18:$U$139)</f>
        <v>0</v>
      </c>
      <c r="AG207" s="247">
        <f t="shared" si="10"/>
        <v>941.54573783824435</v>
      </c>
      <c r="AH207" s="234">
        <f t="shared" si="11"/>
        <v>-303.54333184825003</v>
      </c>
      <c r="AI207" s="234">
        <f t="shared" si="9"/>
        <v>638.00240598999426</v>
      </c>
      <c r="AJ207" s="170"/>
      <c r="AK207" s="170"/>
      <c r="AL207" s="170"/>
      <c r="AM207" s="170"/>
      <c r="AN207" s="170"/>
      <c r="AO207" s="234"/>
    </row>
    <row r="208" spans="1:41" x14ac:dyDescent="0.25">
      <c r="A208" s="274">
        <v>564</v>
      </c>
      <c r="B208" s="274">
        <v>1</v>
      </c>
      <c r="C208" s="275" t="s">
        <v>416</v>
      </c>
      <c r="D208" s="276">
        <v>5</v>
      </c>
      <c r="E208" s="272">
        <v>8650692</v>
      </c>
      <c r="F208" s="273">
        <v>598388910</v>
      </c>
      <c r="G208" s="234">
        <v>1145399.8018431375</v>
      </c>
      <c r="H208" s="234">
        <v>2199101.6884642392</v>
      </c>
      <c r="I208" s="174">
        <v>3344501.4903073767</v>
      </c>
      <c r="J208" s="234">
        <v>958460.61525247619</v>
      </c>
      <c r="K208" s="234">
        <v>2106013.4280684851</v>
      </c>
      <c r="L208" s="175">
        <v>3064474.0433209613</v>
      </c>
      <c r="M208" s="235">
        <v>-186939.18659066129</v>
      </c>
      <c r="N208" s="236">
        <v>-93088.260395754129</v>
      </c>
      <c r="O208" s="175">
        <v>-280027.44698641542</v>
      </c>
      <c r="P208" s="237">
        <v>-8.3727708837312995E-2</v>
      </c>
      <c r="Q208" s="238">
        <v>0.25421107218523548</v>
      </c>
      <c r="R208" s="239">
        <v>1.9141394212054122E-3</v>
      </c>
      <c r="S208" s="240">
        <v>0.24345028444758929</v>
      </c>
      <c r="T208" s="239">
        <v>1.601735258182636E-3</v>
      </c>
      <c r="U208" s="241">
        <v>-1.0760787737646188E-2</v>
      </c>
      <c r="V208" s="242">
        <v>-3.1240416302277612E-4</v>
      </c>
      <c r="W208" s="243">
        <v>320.96689974107835</v>
      </c>
      <c r="X208" s="244">
        <v>191.41394212054121</v>
      </c>
      <c r="Y208" s="245">
        <v>512.3808418616195</v>
      </c>
      <c r="Z208" s="246">
        <v>307.3803291435263</v>
      </c>
      <c r="AA208" s="244">
        <v>160.17352581826361</v>
      </c>
      <c r="AB208" s="245">
        <v>467.55385496178991</v>
      </c>
      <c r="AC208" s="247">
        <v>-13.586570597552054</v>
      </c>
      <c r="AD208" s="247">
        <v>-31.240416302277595</v>
      </c>
      <c r="AE208" s="248">
        <v>-44.826986899829592</v>
      </c>
      <c r="AF208" s="234">
        <f>-SUMIF('[1]Alt Fac'!$A$18:$A$139,'REPORT 4 - PROPERTY TAX'!A208,'[1]Alt Fac'!$U$18:$U$139)</f>
        <v>0</v>
      </c>
      <c r="AG208" s="247">
        <f t="shared" si="10"/>
        <v>608.08781292189019</v>
      </c>
      <c r="AH208" s="234">
        <f t="shared" si="11"/>
        <v>-60.447195050968503</v>
      </c>
      <c r="AI208" s="234">
        <f t="shared" si="9"/>
        <v>547.64061787092169</v>
      </c>
      <c r="AJ208" s="170"/>
      <c r="AK208" s="170"/>
      <c r="AL208" s="170"/>
      <c r="AM208" s="170"/>
      <c r="AN208" s="170"/>
      <c r="AO208" s="234"/>
    </row>
    <row r="209" spans="1:41" x14ac:dyDescent="0.25">
      <c r="A209" s="274">
        <v>577</v>
      </c>
      <c r="B209" s="274">
        <v>1</v>
      </c>
      <c r="C209" s="275" t="s">
        <v>529</v>
      </c>
      <c r="D209" s="276">
        <v>6</v>
      </c>
      <c r="E209" s="272">
        <v>3567044</v>
      </c>
      <c r="F209" s="273">
        <v>190044140</v>
      </c>
      <c r="G209" s="234">
        <v>111505.6091249864</v>
      </c>
      <c r="H209" s="234">
        <v>415238.45650108438</v>
      </c>
      <c r="I209" s="174">
        <v>526744.06562607083</v>
      </c>
      <c r="J209" s="234">
        <v>153066.22707435107</v>
      </c>
      <c r="K209" s="234">
        <v>450242.71964098368</v>
      </c>
      <c r="L209" s="175">
        <v>603308.94671533478</v>
      </c>
      <c r="M209" s="235">
        <v>41560.617949364678</v>
      </c>
      <c r="N209" s="236">
        <v>35004.263139899296</v>
      </c>
      <c r="O209" s="175">
        <v>76564.881089263945</v>
      </c>
      <c r="P209" s="237">
        <v>0.1453549951213241</v>
      </c>
      <c r="Q209" s="238">
        <v>0.11640968165828186</v>
      </c>
      <c r="R209" s="239">
        <v>5.86735319094745E-4</v>
      </c>
      <c r="S209" s="240">
        <v>0.12622292285740902</v>
      </c>
      <c r="T209" s="239">
        <v>8.0542460859014682E-4</v>
      </c>
      <c r="U209" s="241">
        <v>9.8132411991271595E-3</v>
      </c>
      <c r="V209" s="242">
        <v>2.1868928949540182E-4</v>
      </c>
      <c r="W209" s="243">
        <v>146.97886406174669</v>
      </c>
      <c r="X209" s="244">
        <v>58.673531909474498</v>
      </c>
      <c r="Y209" s="245">
        <v>205.65239597122118</v>
      </c>
      <c r="Z209" s="246">
        <v>159.36906239976466</v>
      </c>
      <c r="AA209" s="244">
        <v>80.542460859014682</v>
      </c>
      <c r="AB209" s="245">
        <v>239.91152325877934</v>
      </c>
      <c r="AC209" s="247">
        <v>12.390198338017967</v>
      </c>
      <c r="AD209" s="247">
        <v>21.868928949540184</v>
      </c>
      <c r="AE209" s="248">
        <v>34.259127287558158</v>
      </c>
      <c r="AF209" s="234">
        <f>-SUMIF('[1]Alt Fac'!$A$18:$A$139,'REPORT 4 - PROPERTY TAX'!A209,'[1]Alt Fac'!$U$18:$U$139)</f>
        <v>0</v>
      </c>
      <c r="AG209" s="247">
        <f t="shared" si="10"/>
        <v>234.98916192595846</v>
      </c>
      <c r="AH209" s="234">
        <f t="shared" si="11"/>
        <v>45.193591762328225</v>
      </c>
      <c r="AI209" s="234">
        <f t="shared" si="9"/>
        <v>280.18275368828665</v>
      </c>
      <c r="AJ209" s="170"/>
      <c r="AK209" s="170"/>
      <c r="AL209" s="170"/>
      <c r="AM209" s="170"/>
      <c r="AN209" s="170"/>
      <c r="AO209" s="234"/>
    </row>
    <row r="210" spans="1:41" x14ac:dyDescent="0.25">
      <c r="A210" s="274">
        <v>578</v>
      </c>
      <c r="B210" s="274">
        <v>1</v>
      </c>
      <c r="C210" s="275" t="s">
        <v>531</v>
      </c>
      <c r="D210" s="276">
        <v>5</v>
      </c>
      <c r="E210" s="272">
        <v>9107294</v>
      </c>
      <c r="F210" s="273">
        <v>691202000</v>
      </c>
      <c r="G210" s="234">
        <v>1420409.3394117649</v>
      </c>
      <c r="H210" s="234">
        <v>1634710.3126089817</v>
      </c>
      <c r="I210" s="174">
        <v>3055119.6520207468</v>
      </c>
      <c r="J210" s="234">
        <v>1158400.5713052028</v>
      </c>
      <c r="K210" s="234">
        <v>1727530.259392896</v>
      </c>
      <c r="L210" s="175">
        <v>2885930.830698099</v>
      </c>
      <c r="M210" s="235">
        <v>-262008.76810656209</v>
      </c>
      <c r="N210" s="236">
        <v>92819.946783914231</v>
      </c>
      <c r="O210" s="175">
        <v>-169188.82132264785</v>
      </c>
      <c r="P210" s="237">
        <v>-5.5378787279490457E-2</v>
      </c>
      <c r="Q210" s="238">
        <v>0.17949462404628441</v>
      </c>
      <c r="R210" s="239">
        <v>2.054984417596831E-3</v>
      </c>
      <c r="S210" s="240">
        <v>0.18968644905862225</v>
      </c>
      <c r="T210" s="239">
        <v>1.6759219031559555E-3</v>
      </c>
      <c r="U210" s="241">
        <v>1.0191825012337841E-2</v>
      </c>
      <c r="V210" s="242">
        <v>-3.7906251444087542E-4</v>
      </c>
      <c r="W210" s="243">
        <v>226.62991232083871</v>
      </c>
      <c r="X210" s="244">
        <v>205.49844175968309</v>
      </c>
      <c r="Y210" s="245">
        <v>432.12835408052183</v>
      </c>
      <c r="Z210" s="246">
        <v>239.49811058141648</v>
      </c>
      <c r="AA210" s="244">
        <v>167.59219031559556</v>
      </c>
      <c r="AB210" s="245">
        <v>407.09030089701207</v>
      </c>
      <c r="AC210" s="247">
        <v>12.86819826057777</v>
      </c>
      <c r="AD210" s="247">
        <v>-37.90625144408753</v>
      </c>
      <c r="AE210" s="248">
        <v>-25.03805318350976</v>
      </c>
      <c r="AF210" s="234">
        <f>-SUMIF('[1]Alt Fac'!$A$18:$A$139,'REPORT 4 - PROPERTY TAX'!A210,'[1]Alt Fac'!$U$18:$U$139)</f>
        <v>0</v>
      </c>
      <c r="AG210" s="247">
        <f t="shared" si="10"/>
        <v>534.8775749603634</v>
      </c>
      <c r="AH210" s="234">
        <f t="shared" si="11"/>
        <v>-43.991178905553554</v>
      </c>
      <c r="AI210" s="234">
        <f t="shared" si="9"/>
        <v>490.88639605480984</v>
      </c>
      <c r="AJ210" s="170"/>
      <c r="AK210" s="170"/>
      <c r="AL210" s="170"/>
      <c r="AM210" s="170"/>
      <c r="AN210" s="170"/>
      <c r="AO210" s="234"/>
    </row>
    <row r="211" spans="1:41" x14ac:dyDescent="0.25">
      <c r="A211" s="274">
        <v>581</v>
      </c>
      <c r="B211" s="274">
        <v>1</v>
      </c>
      <c r="C211" s="275" t="s">
        <v>302</v>
      </c>
      <c r="D211" s="276">
        <v>6</v>
      </c>
      <c r="E211" s="272">
        <v>3072582</v>
      </c>
      <c r="F211" s="273">
        <v>86366715</v>
      </c>
      <c r="G211" s="234">
        <v>303785.49499999994</v>
      </c>
      <c r="H211" s="234">
        <v>183048.07540857905</v>
      </c>
      <c r="I211" s="174">
        <v>486833.57040857896</v>
      </c>
      <c r="J211" s="234">
        <v>154177.61971854712</v>
      </c>
      <c r="K211" s="234">
        <v>221366.44467946934</v>
      </c>
      <c r="L211" s="175">
        <v>375544.06439801643</v>
      </c>
      <c r="M211" s="235">
        <v>-149607.87528145281</v>
      </c>
      <c r="N211" s="236">
        <v>38318.369270890282</v>
      </c>
      <c r="O211" s="175">
        <v>-111289.50601056253</v>
      </c>
      <c r="P211" s="237">
        <v>-0.22859866856996308</v>
      </c>
      <c r="Q211" s="238">
        <v>5.9574675438630785E-2</v>
      </c>
      <c r="R211" s="239">
        <v>3.517390872166435E-3</v>
      </c>
      <c r="S211" s="240">
        <v>7.2045740253464136E-2</v>
      </c>
      <c r="T211" s="239">
        <v>1.7851509081773821E-3</v>
      </c>
      <c r="U211" s="241">
        <v>1.2471064814833351E-2</v>
      </c>
      <c r="V211" s="242">
        <v>-1.7322399639890529E-3</v>
      </c>
      <c r="W211" s="243">
        <v>75.218985208815241</v>
      </c>
      <c r="X211" s="244">
        <v>351.7390872166435</v>
      </c>
      <c r="Y211" s="245">
        <v>426.95807242545874</v>
      </c>
      <c r="Z211" s="246">
        <v>90.964951644023827</v>
      </c>
      <c r="AA211" s="244">
        <v>178.51509081773821</v>
      </c>
      <c r="AB211" s="245">
        <v>269.48004246176203</v>
      </c>
      <c r="AC211" s="247">
        <v>15.745966435208587</v>
      </c>
      <c r="AD211" s="247">
        <v>-173.22399639890529</v>
      </c>
      <c r="AE211" s="248">
        <v>-157.47802996369671</v>
      </c>
      <c r="AF211" s="234">
        <f>-SUMIF('[1]Alt Fac'!$A$18:$A$139,'REPORT 4 - PROPERTY TAX'!A211,'[1]Alt Fac'!$U$18:$U$139)</f>
        <v>0</v>
      </c>
      <c r="AG211" s="247">
        <f t="shared" si="10"/>
        <v>602.82761603378049</v>
      </c>
      <c r="AH211" s="234">
        <f t="shared" si="11"/>
        <v>-244.09002816314936</v>
      </c>
      <c r="AI211" s="234">
        <f t="shared" si="9"/>
        <v>358.73758787063116</v>
      </c>
      <c r="AJ211" s="170"/>
      <c r="AK211" s="170"/>
      <c r="AL211" s="170"/>
      <c r="AM211" s="170"/>
      <c r="AN211" s="170"/>
      <c r="AO211" s="234"/>
    </row>
    <row r="212" spans="1:41" x14ac:dyDescent="0.25">
      <c r="A212" s="274">
        <v>592</v>
      </c>
      <c r="B212" s="274">
        <v>1</v>
      </c>
      <c r="C212" s="275" t="s">
        <v>534</v>
      </c>
      <c r="D212" s="276">
        <v>6</v>
      </c>
      <c r="E212" s="272">
        <v>2197980</v>
      </c>
      <c r="F212" s="273">
        <v>23187725</v>
      </c>
      <c r="G212" s="234">
        <v>148939.06907818245</v>
      </c>
      <c r="H212" s="234">
        <v>70361.792000000001</v>
      </c>
      <c r="I212" s="174">
        <v>219300.86107818247</v>
      </c>
      <c r="J212" s="234">
        <v>89016.207408887509</v>
      </c>
      <c r="K212" s="234">
        <v>103149.63714321701</v>
      </c>
      <c r="L212" s="175">
        <v>192165.84455210454</v>
      </c>
      <c r="M212" s="235">
        <v>-59922.861669294944</v>
      </c>
      <c r="N212" s="236">
        <v>32787.845143217011</v>
      </c>
      <c r="O212" s="175">
        <v>-27135.016526077932</v>
      </c>
      <c r="P212" s="237">
        <v>-0.12373419964094025</v>
      </c>
      <c r="Q212" s="238">
        <v>3.2012025587130004E-2</v>
      </c>
      <c r="R212" s="239">
        <v>6.4231859347211708E-3</v>
      </c>
      <c r="S212" s="240">
        <v>4.6929288320738595E-2</v>
      </c>
      <c r="T212" s="239">
        <v>3.8389366532890789E-3</v>
      </c>
      <c r="U212" s="241">
        <v>1.4917262733608591E-2</v>
      </c>
      <c r="V212" s="242">
        <v>-2.5842492814320919E-3</v>
      </c>
      <c r="W212" s="243">
        <v>40.418383506310349</v>
      </c>
      <c r="X212" s="244">
        <v>642.31859347211707</v>
      </c>
      <c r="Y212" s="245">
        <v>682.73697697842738</v>
      </c>
      <c r="Z212" s="246">
        <v>59.252919433764554</v>
      </c>
      <c r="AA212" s="244">
        <v>383.8936653289079</v>
      </c>
      <c r="AB212" s="245">
        <v>443.14658476267243</v>
      </c>
      <c r="AC212" s="247">
        <v>18.834535927454205</v>
      </c>
      <c r="AD212" s="247">
        <v>-258.42492814320917</v>
      </c>
      <c r="AE212" s="248">
        <v>-239.59039221575495</v>
      </c>
      <c r="AF212" s="234">
        <f>-SUMIF('[1]Alt Fac'!$A$18:$A$139,'REPORT 4 - PROPERTY TAX'!A212,'[1]Alt Fac'!$U$18:$U$139)</f>
        <v>0</v>
      </c>
      <c r="AG212" s="247">
        <f t="shared" si="10"/>
        <v>1003.8962737144859</v>
      </c>
      <c r="AH212" s="234">
        <f t="shared" si="11"/>
        <v>-368.80285628735953</v>
      </c>
      <c r="AI212" s="234">
        <f t="shared" si="9"/>
        <v>635.09341742712638</v>
      </c>
      <c r="AJ212" s="170"/>
      <c r="AK212" s="170"/>
      <c r="AL212" s="170"/>
      <c r="AM212" s="170"/>
      <c r="AN212" s="170"/>
      <c r="AO212" s="234"/>
    </row>
    <row r="213" spans="1:41" x14ac:dyDescent="0.25">
      <c r="A213" s="274">
        <v>593</v>
      </c>
      <c r="B213" s="274">
        <v>1</v>
      </c>
      <c r="C213" s="275" t="s">
        <v>535</v>
      </c>
      <c r="D213" s="276">
        <v>5</v>
      </c>
      <c r="E213" s="272">
        <v>7233904</v>
      </c>
      <c r="F213" s="273">
        <v>357794100</v>
      </c>
      <c r="G213" s="234">
        <v>1480665.1207843134</v>
      </c>
      <c r="H213" s="234">
        <v>1522004.8533551258</v>
      </c>
      <c r="I213" s="174">
        <v>3002669.9741394389</v>
      </c>
      <c r="J213" s="234">
        <v>1162750.8788506822</v>
      </c>
      <c r="K213" s="234">
        <v>1541100.6416907641</v>
      </c>
      <c r="L213" s="175">
        <v>2703851.5205414463</v>
      </c>
      <c r="M213" s="235">
        <v>-317914.24193363125</v>
      </c>
      <c r="N213" s="236">
        <v>19095.788335638354</v>
      </c>
      <c r="O213" s="175">
        <v>-298818.45359799266</v>
      </c>
      <c r="P213" s="237">
        <v>-9.9517581409736378E-2</v>
      </c>
      <c r="Q213" s="238">
        <v>0.21039881830822274</v>
      </c>
      <c r="R213" s="239">
        <v>4.1383162013692047E-3</v>
      </c>
      <c r="S213" s="240">
        <v>0.21303858078442348</v>
      </c>
      <c r="T213" s="239">
        <v>3.2497765582235206E-3</v>
      </c>
      <c r="U213" s="241">
        <v>2.6397624762007355E-3</v>
      </c>
      <c r="V213" s="242">
        <v>-8.885396431456841E-4</v>
      </c>
      <c r="W213" s="243">
        <v>265.64954799596205</v>
      </c>
      <c r="X213" s="244">
        <v>413.83162013692049</v>
      </c>
      <c r="Y213" s="245">
        <v>679.48116813288254</v>
      </c>
      <c r="Z213" s="246">
        <v>268.98251209841311</v>
      </c>
      <c r="AA213" s="244">
        <v>324.97765582235206</v>
      </c>
      <c r="AB213" s="245">
        <v>593.96016792076512</v>
      </c>
      <c r="AC213" s="247">
        <v>3.3329641024510579</v>
      </c>
      <c r="AD213" s="247">
        <v>-88.853964314568429</v>
      </c>
      <c r="AE213" s="248">
        <v>-85.521000212117428</v>
      </c>
      <c r="AF213" s="234">
        <f>-SUMIF('[1]Alt Fac'!$A$18:$A$139,'REPORT 4 - PROPERTY TAX'!A213,'[1]Alt Fac'!$U$18:$U$139)</f>
        <v>0</v>
      </c>
      <c r="AG213" s="247">
        <f t="shared" si="10"/>
        <v>886.39697820134279</v>
      </c>
      <c r="AH213" s="234">
        <f t="shared" si="11"/>
        <v>-129.94798236940156</v>
      </c>
      <c r="AI213" s="234">
        <f t="shared" si="9"/>
        <v>756.44899583194126</v>
      </c>
      <c r="AJ213" s="170"/>
      <c r="AK213" s="170"/>
      <c r="AL213" s="170"/>
      <c r="AM213" s="170"/>
      <c r="AN213" s="170"/>
      <c r="AO213" s="234"/>
    </row>
    <row r="214" spans="1:41" x14ac:dyDescent="0.25">
      <c r="A214" s="274">
        <v>595</v>
      </c>
      <c r="B214" s="274">
        <v>1</v>
      </c>
      <c r="C214" s="275" t="s">
        <v>391</v>
      </c>
      <c r="D214" s="276">
        <v>5</v>
      </c>
      <c r="E214" s="272">
        <v>8544211</v>
      </c>
      <c r="F214" s="273">
        <v>541797400</v>
      </c>
      <c r="G214" s="234">
        <v>847847.05653849221</v>
      </c>
      <c r="H214" s="234">
        <v>983582.76002153323</v>
      </c>
      <c r="I214" s="174">
        <v>1831429.8165600253</v>
      </c>
      <c r="J214" s="234">
        <v>703463.99546186836</v>
      </c>
      <c r="K214" s="234">
        <v>976114.8615933191</v>
      </c>
      <c r="L214" s="175">
        <v>1679578.8570551875</v>
      </c>
      <c r="M214" s="235">
        <v>-144383.06107662385</v>
      </c>
      <c r="N214" s="236">
        <v>-7467.8984282141319</v>
      </c>
      <c r="O214" s="175">
        <v>-151850.95950483787</v>
      </c>
      <c r="P214" s="237">
        <v>-8.2913884076682515E-2</v>
      </c>
      <c r="Q214" s="238">
        <v>0.11511686216802619</v>
      </c>
      <c r="R214" s="239">
        <v>1.5648784149545425E-3</v>
      </c>
      <c r="S214" s="240">
        <v>0.11424283197047909</v>
      </c>
      <c r="T214" s="239">
        <v>1.2983893895796997E-3</v>
      </c>
      <c r="U214" s="241">
        <v>-8.7403019754710154E-4</v>
      </c>
      <c r="V214" s="242">
        <v>-2.6648902537484281E-4</v>
      </c>
      <c r="W214" s="243">
        <v>145.3465501733499</v>
      </c>
      <c r="X214" s="244">
        <v>156.48784149545426</v>
      </c>
      <c r="Y214" s="245">
        <v>301.83439166880419</v>
      </c>
      <c r="Z214" s="246">
        <v>144.24299964592691</v>
      </c>
      <c r="AA214" s="244">
        <v>129.83893895796996</v>
      </c>
      <c r="AB214" s="245">
        <v>274.0819386038969</v>
      </c>
      <c r="AC214" s="247">
        <v>-1.103550527422982</v>
      </c>
      <c r="AD214" s="247">
        <v>-26.648902537484304</v>
      </c>
      <c r="AE214" s="248">
        <v>-27.752453064907286</v>
      </c>
      <c r="AF214" s="234">
        <f>-SUMIF('[1]Alt Fac'!$A$18:$A$139,'REPORT 4 - PROPERTY TAX'!A214,'[1]Alt Fac'!$U$18:$U$139)</f>
        <v>0</v>
      </c>
      <c r="AG214" s="247">
        <f t="shared" si="10"/>
        <v>380.07831241653128</v>
      </c>
      <c r="AH214" s="234">
        <f t="shared" si="11"/>
        <v>-41.076904333649388</v>
      </c>
      <c r="AI214" s="234">
        <f t="shared" si="9"/>
        <v>339.00140808288188</v>
      </c>
      <c r="AJ214" s="170"/>
      <c r="AK214" s="170"/>
      <c r="AL214" s="170"/>
      <c r="AM214" s="170"/>
      <c r="AN214" s="170"/>
      <c r="AO214" s="234"/>
    </row>
    <row r="215" spans="1:41" x14ac:dyDescent="0.25">
      <c r="A215" s="274">
        <v>599</v>
      </c>
      <c r="B215" s="274">
        <v>1</v>
      </c>
      <c r="C215" s="275" t="s">
        <v>408</v>
      </c>
      <c r="D215" s="276">
        <v>6</v>
      </c>
      <c r="E215" s="272">
        <v>3979288</v>
      </c>
      <c r="F215" s="273">
        <v>137669400</v>
      </c>
      <c r="G215" s="234">
        <v>488933.22000000003</v>
      </c>
      <c r="H215" s="234">
        <v>183242.0215073415</v>
      </c>
      <c r="I215" s="174">
        <v>672175.2415073415</v>
      </c>
      <c r="J215" s="234">
        <v>338355.68784075323</v>
      </c>
      <c r="K215" s="234">
        <v>208489.06725591578</v>
      </c>
      <c r="L215" s="175">
        <v>546844.75509666908</v>
      </c>
      <c r="M215" s="235">
        <v>-150577.5321592468</v>
      </c>
      <c r="N215" s="236">
        <v>25247.045748574281</v>
      </c>
      <c r="O215" s="175">
        <v>-125330.48641067243</v>
      </c>
      <c r="P215" s="237">
        <v>-0.18645507699691669</v>
      </c>
      <c r="Q215" s="238">
        <v>4.6048946823487397E-2</v>
      </c>
      <c r="R215" s="239">
        <v>3.5515025125409136E-3</v>
      </c>
      <c r="S215" s="240">
        <v>5.2393560671134078E-2</v>
      </c>
      <c r="T215" s="239">
        <v>2.4577407022966123E-3</v>
      </c>
      <c r="U215" s="241">
        <v>6.344613847646681E-3</v>
      </c>
      <c r="V215" s="242">
        <v>-1.0937618102443013E-3</v>
      </c>
      <c r="W215" s="243">
        <v>58.141400259335192</v>
      </c>
      <c r="X215" s="244">
        <v>355.15025125409136</v>
      </c>
      <c r="Y215" s="245">
        <v>413.29165151342653</v>
      </c>
      <c r="Z215" s="246">
        <v>66.152109703373895</v>
      </c>
      <c r="AA215" s="244">
        <v>245.77407022966122</v>
      </c>
      <c r="AB215" s="245">
        <v>311.92617993303509</v>
      </c>
      <c r="AC215" s="247">
        <v>8.010709444038703</v>
      </c>
      <c r="AD215" s="247">
        <v>-109.37618102443014</v>
      </c>
      <c r="AE215" s="248">
        <v>-101.36547158039144</v>
      </c>
      <c r="AF215" s="234">
        <f>-SUMIF('[1]Alt Fac'!$A$18:$A$139,'REPORT 4 - PROPERTY TAX'!A215,'[1]Alt Fac'!$U$18:$U$139)</f>
        <v>0</v>
      </c>
      <c r="AG215" s="247">
        <f t="shared" si="10"/>
        <v>590.86677714047221</v>
      </c>
      <c r="AH215" s="234">
        <f t="shared" si="11"/>
        <v>-156.05356209260651</v>
      </c>
      <c r="AI215" s="234">
        <f t="shared" si="9"/>
        <v>434.8132150478657</v>
      </c>
      <c r="AJ215" s="170"/>
      <c r="AK215" s="170"/>
      <c r="AL215" s="170"/>
      <c r="AM215" s="170"/>
      <c r="AN215" s="170"/>
      <c r="AO215" s="234"/>
    </row>
    <row r="216" spans="1:41" x14ac:dyDescent="0.25">
      <c r="A216" s="274">
        <v>600</v>
      </c>
      <c r="B216" s="274">
        <v>1</v>
      </c>
      <c r="C216" s="275" t="s">
        <v>310</v>
      </c>
      <c r="D216" s="276">
        <v>6</v>
      </c>
      <c r="E216" s="272">
        <v>2921370</v>
      </c>
      <c r="F216" s="273">
        <v>45077900</v>
      </c>
      <c r="G216" s="234">
        <v>79043.42</v>
      </c>
      <c r="H216" s="234">
        <v>367357.00932678138</v>
      </c>
      <c r="I216" s="174">
        <v>446400.42932678136</v>
      </c>
      <c r="J216" s="234">
        <v>64390.82488794213</v>
      </c>
      <c r="K216" s="234">
        <v>390027.30160141579</v>
      </c>
      <c r="L216" s="175">
        <v>454418.12648935791</v>
      </c>
      <c r="M216" s="235">
        <v>-14652.595112057868</v>
      </c>
      <c r="N216" s="236">
        <v>22670.292274634412</v>
      </c>
      <c r="O216" s="175">
        <v>8017.6971625765436</v>
      </c>
      <c r="P216" s="237">
        <v>1.79607738609662E-2</v>
      </c>
      <c r="Q216" s="238">
        <v>0.12574819667716905</v>
      </c>
      <c r="R216" s="239">
        <v>1.7534849671346712E-3</v>
      </c>
      <c r="S216" s="240">
        <v>0.13350835450539159</v>
      </c>
      <c r="T216" s="239">
        <v>1.4284344409997388E-3</v>
      </c>
      <c r="U216" s="241">
        <v>7.7601578282225359E-3</v>
      </c>
      <c r="V216" s="242">
        <v>-3.250505261349324E-4</v>
      </c>
      <c r="W216" s="243">
        <v>158.76967312459365</v>
      </c>
      <c r="X216" s="244">
        <v>175.34849671346711</v>
      </c>
      <c r="Y216" s="245">
        <v>334.11816983806079</v>
      </c>
      <c r="Z216" s="246">
        <v>168.56764839850743</v>
      </c>
      <c r="AA216" s="244">
        <v>142.84344409997388</v>
      </c>
      <c r="AB216" s="245">
        <v>311.41109249848131</v>
      </c>
      <c r="AC216" s="247">
        <v>9.797975273913778</v>
      </c>
      <c r="AD216" s="247">
        <v>-32.505052613493234</v>
      </c>
      <c r="AE216" s="248">
        <v>-22.707077339579484</v>
      </c>
      <c r="AF216" s="234">
        <f>-SUMIF('[1]Alt Fac'!$A$18:$A$139,'REPORT 4 - PROPERTY TAX'!A216,'[1]Alt Fac'!$U$18:$U$139)</f>
        <v>0</v>
      </c>
      <c r="AG216" s="247">
        <f t="shared" si="10"/>
        <v>421.79241819479432</v>
      </c>
      <c r="AH216" s="234">
        <f t="shared" si="11"/>
        <v>-38.959603646326087</v>
      </c>
      <c r="AI216" s="234">
        <f t="shared" si="9"/>
        <v>382.83281454846826</v>
      </c>
      <c r="AJ216" s="170"/>
      <c r="AK216" s="170"/>
      <c r="AL216" s="170"/>
      <c r="AM216" s="170"/>
      <c r="AN216" s="170"/>
      <c r="AO216" s="234"/>
    </row>
    <row r="217" spans="1:41" x14ac:dyDescent="0.25">
      <c r="A217" s="274">
        <v>601</v>
      </c>
      <c r="B217" s="274">
        <v>1</v>
      </c>
      <c r="C217" s="275" t="s">
        <v>537</v>
      </c>
      <c r="D217" s="276">
        <v>6</v>
      </c>
      <c r="E217" s="272">
        <v>3028707</v>
      </c>
      <c r="F217" s="273">
        <v>144808800</v>
      </c>
      <c r="G217" s="234">
        <v>249606.8676470588</v>
      </c>
      <c r="H217" s="234">
        <v>607606.56999975769</v>
      </c>
      <c r="I217" s="174">
        <v>857213.43764681648</v>
      </c>
      <c r="J217" s="234">
        <v>204468.80637482274</v>
      </c>
      <c r="K217" s="234">
        <v>606599.80028722796</v>
      </c>
      <c r="L217" s="175">
        <v>811068.6066620507</v>
      </c>
      <c r="M217" s="235">
        <v>-45138.061272236053</v>
      </c>
      <c r="N217" s="236">
        <v>-1006.7697125297273</v>
      </c>
      <c r="O217" s="175">
        <v>-46144.83098476578</v>
      </c>
      <c r="P217" s="237">
        <v>-5.3831203476511616E-2</v>
      </c>
      <c r="Q217" s="238">
        <v>0.20061583045166062</v>
      </c>
      <c r="R217" s="239">
        <v>1.7236995793560804E-3</v>
      </c>
      <c r="S217" s="240">
        <v>0.20028342136998659</v>
      </c>
      <c r="T217" s="239">
        <v>1.4119915804483066E-3</v>
      </c>
      <c r="U217" s="241">
        <v>-3.3240908167403438E-4</v>
      </c>
      <c r="V217" s="242">
        <v>-3.1170799890777381E-4</v>
      </c>
      <c r="W217" s="243">
        <v>253.29754752826673</v>
      </c>
      <c r="X217" s="244">
        <v>172.36995793560806</v>
      </c>
      <c r="Y217" s="245">
        <v>425.66750546387482</v>
      </c>
      <c r="Z217" s="246">
        <v>252.87784782174509</v>
      </c>
      <c r="AA217" s="244">
        <v>141.19915804483065</v>
      </c>
      <c r="AB217" s="245">
        <v>394.07700586657575</v>
      </c>
      <c r="AC217" s="247">
        <v>-0.41969970652164079</v>
      </c>
      <c r="AD217" s="247">
        <v>-31.170799890777403</v>
      </c>
      <c r="AE217" s="248">
        <v>-31.590499597299072</v>
      </c>
      <c r="AF217" s="234">
        <f>-SUMIF('[1]Alt Fac'!$A$18:$A$139,'REPORT 4 - PROPERTY TAX'!A217,'[1]Alt Fac'!$U$18:$U$139)</f>
        <v>0</v>
      </c>
      <c r="AG217" s="247">
        <f t="shared" si="10"/>
        <v>511.85248443167882</v>
      </c>
      <c r="AH217" s="234">
        <f t="shared" si="11"/>
        <v>-47.175899542687709</v>
      </c>
      <c r="AI217" s="234">
        <f t="shared" si="9"/>
        <v>464.6765848889911</v>
      </c>
      <c r="AJ217" s="170"/>
      <c r="AK217" s="170"/>
      <c r="AL217" s="170"/>
      <c r="AM217" s="170"/>
      <c r="AN217" s="170"/>
      <c r="AO217" s="234"/>
    </row>
    <row r="218" spans="1:41" x14ac:dyDescent="0.25">
      <c r="A218" s="274">
        <v>611</v>
      </c>
      <c r="B218" s="274">
        <v>1</v>
      </c>
      <c r="C218" s="275" t="s">
        <v>406</v>
      </c>
      <c r="D218" s="276">
        <v>6</v>
      </c>
      <c r="E218" s="272">
        <v>1110236</v>
      </c>
      <c r="F218" s="273">
        <v>29188570</v>
      </c>
      <c r="G218" s="234">
        <v>37974.980000000003</v>
      </c>
      <c r="H218" s="234">
        <v>25874.149999999998</v>
      </c>
      <c r="I218" s="174">
        <v>63849.130000000005</v>
      </c>
      <c r="J218" s="234">
        <v>68492.792422083061</v>
      </c>
      <c r="K218" s="234">
        <v>49874.52489674004</v>
      </c>
      <c r="L218" s="175">
        <v>118367.3173188231</v>
      </c>
      <c r="M218" s="235">
        <v>30517.812422083058</v>
      </c>
      <c r="N218" s="236">
        <v>24000.374896740042</v>
      </c>
      <c r="O218" s="175">
        <v>54518.187318823097</v>
      </c>
      <c r="P218" s="237">
        <v>0.85385951725298515</v>
      </c>
      <c r="Q218" s="238">
        <v>2.330509008895406E-2</v>
      </c>
      <c r="R218" s="239">
        <v>1.301022283722704E-3</v>
      </c>
      <c r="S218" s="240">
        <v>4.4922453331309772E-2</v>
      </c>
      <c r="T218" s="239">
        <v>2.3465621105139122E-3</v>
      </c>
      <c r="U218" s="241">
        <v>2.1617363242355712E-2</v>
      </c>
      <c r="V218" s="242">
        <v>1.0455398267912083E-3</v>
      </c>
      <c r="W218" s="243">
        <v>29.4250067463134</v>
      </c>
      <c r="X218" s="244">
        <v>130.10222837227039</v>
      </c>
      <c r="Y218" s="245">
        <v>159.5272351185838</v>
      </c>
      <c r="Z218" s="246">
        <v>56.719089576111728</v>
      </c>
      <c r="AA218" s="244">
        <v>234.65621105139121</v>
      </c>
      <c r="AB218" s="245">
        <v>291.37530062750295</v>
      </c>
      <c r="AC218" s="247">
        <v>27.294082829798327</v>
      </c>
      <c r="AD218" s="247">
        <v>104.55398267912082</v>
      </c>
      <c r="AE218" s="248">
        <v>131.84806550891915</v>
      </c>
      <c r="AF218" s="234">
        <f>-SUMIF('[1]Alt Fac'!$A$18:$A$139,'REPORT 4 - PROPERTY TAX'!A218,'[1]Alt Fac'!$U$18:$U$139)</f>
        <v>0</v>
      </c>
      <c r="AG218" s="247">
        <f t="shared" si="10"/>
        <v>224.57834930471898</v>
      </c>
      <c r="AH218" s="234">
        <f t="shared" si="11"/>
        <v>184.12505684847957</v>
      </c>
      <c r="AI218" s="234">
        <f t="shared" si="9"/>
        <v>408.70340615319856</v>
      </c>
      <c r="AJ218" s="170"/>
      <c r="AK218" s="170"/>
      <c r="AL218" s="170"/>
      <c r="AM218" s="170"/>
      <c r="AN218" s="170"/>
      <c r="AO218" s="234"/>
    </row>
    <row r="219" spans="1:41" x14ac:dyDescent="0.25">
      <c r="A219" s="274">
        <v>621</v>
      </c>
      <c r="B219" s="274">
        <v>1</v>
      </c>
      <c r="C219" s="275" t="s">
        <v>539</v>
      </c>
      <c r="D219" s="276">
        <v>3</v>
      </c>
      <c r="E219" s="272">
        <v>82479747</v>
      </c>
      <c r="F219" s="273">
        <v>8223049800</v>
      </c>
      <c r="G219" s="234">
        <v>18989918.119999997</v>
      </c>
      <c r="H219" s="234">
        <v>19461475.554797404</v>
      </c>
      <c r="I219" s="174">
        <v>38451393.674797401</v>
      </c>
      <c r="J219" s="234">
        <v>20621054.381315228</v>
      </c>
      <c r="K219" s="234">
        <v>19543051.795813002</v>
      </c>
      <c r="L219" s="175">
        <v>40164106.177128226</v>
      </c>
      <c r="M219" s="235">
        <v>1631136.2613152303</v>
      </c>
      <c r="N219" s="236">
        <v>81576.241015598178</v>
      </c>
      <c r="O219" s="175">
        <v>1712712.5023308247</v>
      </c>
      <c r="P219" s="237">
        <v>4.4542273729167997E-2</v>
      </c>
      <c r="Q219" s="238">
        <v>0.2359545981002755</v>
      </c>
      <c r="R219" s="239">
        <v>2.309352196796862E-3</v>
      </c>
      <c r="S219" s="240">
        <v>0.23694364382341038</v>
      </c>
      <c r="T219" s="239">
        <v>2.5077136686336532E-3</v>
      </c>
      <c r="U219" s="241">
        <v>9.8904572313487926E-4</v>
      </c>
      <c r="V219" s="242">
        <v>1.9836147183679119E-4</v>
      </c>
      <c r="W219" s="243">
        <v>297.91627556140787</v>
      </c>
      <c r="X219" s="244">
        <v>230.93521967968618</v>
      </c>
      <c r="Y219" s="245">
        <v>528.85149524109409</v>
      </c>
      <c r="Z219" s="246">
        <v>299.16504469143797</v>
      </c>
      <c r="AA219" s="244">
        <v>250.77136686336533</v>
      </c>
      <c r="AB219" s="245">
        <v>549.93641155480327</v>
      </c>
      <c r="AC219" s="247">
        <v>1.248769130030098</v>
      </c>
      <c r="AD219" s="247">
        <v>19.836147183679145</v>
      </c>
      <c r="AE219" s="248">
        <v>21.084916313709186</v>
      </c>
      <c r="AF219" s="234">
        <f>-SUMIF('[1]Alt Fac'!$A$18:$A$139,'REPORT 4 - PROPERTY TAX'!A219,'[1]Alt Fac'!$U$18:$U$139)</f>
        <v>0</v>
      </c>
      <c r="AG219" s="247">
        <f t="shared" si="10"/>
        <v>644.31910508093711</v>
      </c>
      <c r="AH219" s="234">
        <f t="shared" si="11"/>
        <v>31.002989905548777</v>
      </c>
      <c r="AI219" s="234">
        <f t="shared" si="9"/>
        <v>675.32209498648592</v>
      </c>
      <c r="AJ219" s="170"/>
      <c r="AK219" s="170"/>
      <c r="AL219" s="170"/>
      <c r="AM219" s="170"/>
      <c r="AN219" s="170"/>
      <c r="AO219" s="234"/>
    </row>
    <row r="220" spans="1:41" x14ac:dyDescent="0.25">
      <c r="A220" s="274">
        <v>622</v>
      </c>
      <c r="B220" s="274">
        <v>1</v>
      </c>
      <c r="C220" s="275" t="s">
        <v>540</v>
      </c>
      <c r="D220" s="276">
        <v>2</v>
      </c>
      <c r="E220" s="272">
        <v>83214563</v>
      </c>
      <c r="F220" s="273">
        <v>7100019400</v>
      </c>
      <c r="G220" s="234">
        <v>12530010.75</v>
      </c>
      <c r="H220" s="234">
        <v>17870938.871637668</v>
      </c>
      <c r="I220" s="174">
        <v>30400949.621637668</v>
      </c>
      <c r="J220" s="234">
        <v>12432096.905138291</v>
      </c>
      <c r="K220" s="234">
        <v>17861426.958491273</v>
      </c>
      <c r="L220" s="175">
        <v>30293523.863629565</v>
      </c>
      <c r="M220" s="235">
        <v>-97913.844861708581</v>
      </c>
      <c r="N220" s="236">
        <v>-9511.9131463952363</v>
      </c>
      <c r="O220" s="175">
        <v>-107425.75800810382</v>
      </c>
      <c r="P220" s="237">
        <v>-3.5336316577309896E-3</v>
      </c>
      <c r="Q220" s="238">
        <v>0.21475734808146105</v>
      </c>
      <c r="R220" s="239">
        <v>1.764785424389122E-3</v>
      </c>
      <c r="S220" s="240">
        <v>0.21464304220994676</v>
      </c>
      <c r="T220" s="239">
        <v>1.7509947796957134E-3</v>
      </c>
      <c r="U220" s="241">
        <v>-1.1430587151428639E-4</v>
      </c>
      <c r="V220" s="242">
        <v>-1.3790644693408537E-5</v>
      </c>
      <c r="W220" s="243">
        <v>271.15262768765274</v>
      </c>
      <c r="X220" s="244">
        <v>176.4785424389122</v>
      </c>
      <c r="Y220" s="245">
        <v>447.63117012656494</v>
      </c>
      <c r="Z220" s="246">
        <v>271.0083050942788</v>
      </c>
      <c r="AA220" s="244">
        <v>175.09947796957135</v>
      </c>
      <c r="AB220" s="245">
        <v>446.10778306385015</v>
      </c>
      <c r="AC220" s="247">
        <v>-0.14432259337394271</v>
      </c>
      <c r="AD220" s="247">
        <v>-1.3790644693408467</v>
      </c>
      <c r="AE220" s="248">
        <v>-1.5233870627147894</v>
      </c>
      <c r="AF220" s="234">
        <f>-SUMIF('[1]Alt Fac'!$A$18:$A$139,'REPORT 4 - PROPERTY TAX'!A220,'[1]Alt Fac'!$U$18:$U$139)</f>
        <v>0</v>
      </c>
      <c r="AG220" s="247">
        <f t="shared" si="10"/>
        <v>535.87044134602104</v>
      </c>
      <c r="AH220" s="234">
        <f t="shared" si="11"/>
        <v>-2.2129192973852185</v>
      </c>
      <c r="AI220" s="234">
        <f t="shared" si="9"/>
        <v>533.65752204863577</v>
      </c>
      <c r="AJ220" s="170"/>
      <c r="AK220" s="170"/>
      <c r="AL220" s="170"/>
      <c r="AM220" s="170"/>
      <c r="AN220" s="170"/>
      <c r="AO220" s="234"/>
    </row>
    <row r="221" spans="1:41" x14ac:dyDescent="0.25">
      <c r="A221" s="274">
        <v>623</v>
      </c>
      <c r="B221" s="274">
        <v>1</v>
      </c>
      <c r="C221" s="275" t="s">
        <v>542</v>
      </c>
      <c r="D221" s="276">
        <v>2</v>
      </c>
      <c r="E221" s="272">
        <v>63326015</v>
      </c>
      <c r="F221" s="273">
        <v>5422616400</v>
      </c>
      <c r="G221" s="234">
        <v>12672873.75</v>
      </c>
      <c r="H221" s="234">
        <v>7745418.6785350125</v>
      </c>
      <c r="I221" s="174">
        <v>20418292.428535014</v>
      </c>
      <c r="J221" s="234">
        <v>13590714.55176823</v>
      </c>
      <c r="K221" s="234">
        <v>7847855.0218277313</v>
      </c>
      <c r="L221" s="175">
        <v>21438569.573595963</v>
      </c>
      <c r="M221" s="235">
        <v>917840.80176823027</v>
      </c>
      <c r="N221" s="236">
        <v>102436.34329271875</v>
      </c>
      <c r="O221" s="175">
        <v>1020277.145060949</v>
      </c>
      <c r="P221" s="237">
        <v>4.9968779153886991E-2</v>
      </c>
      <c r="Q221" s="238">
        <v>0.12231021766544149</v>
      </c>
      <c r="R221" s="239">
        <v>2.3370404275692451E-3</v>
      </c>
      <c r="S221" s="240">
        <v>0.12392782053043652</v>
      </c>
      <c r="T221" s="239">
        <v>2.5063020411637878E-3</v>
      </c>
      <c r="U221" s="241">
        <v>1.6176028649950297E-3</v>
      </c>
      <c r="V221" s="242">
        <v>1.6926161359454277E-4</v>
      </c>
      <c r="W221" s="243">
        <v>154.42888082438645</v>
      </c>
      <c r="X221" s="244">
        <v>233.70404275692451</v>
      </c>
      <c r="Y221" s="245">
        <v>388.13292358131093</v>
      </c>
      <c r="Z221" s="246">
        <v>156.47126620172918</v>
      </c>
      <c r="AA221" s="244">
        <v>250.63020411637879</v>
      </c>
      <c r="AB221" s="245">
        <v>407.101470318108</v>
      </c>
      <c r="AC221" s="247">
        <v>2.0423853773427254</v>
      </c>
      <c r="AD221" s="247">
        <v>16.926161359454284</v>
      </c>
      <c r="AE221" s="248">
        <v>18.968546736797066</v>
      </c>
      <c r="AF221" s="234">
        <f>-SUMIF('[1]Alt Fac'!$A$18:$A$139,'REPORT 4 - PROPERTY TAX'!A221,'[1]Alt Fac'!$U$18:$U$139)</f>
        <v>0</v>
      </c>
      <c r="AG221" s="247">
        <f t="shared" si="10"/>
        <v>504.9849449597732</v>
      </c>
      <c r="AH221" s="234">
        <f t="shared" si="11"/>
        <v>27.43162741652414</v>
      </c>
      <c r="AI221" s="234">
        <f t="shared" si="9"/>
        <v>532.41657237629738</v>
      </c>
      <c r="AJ221" s="170"/>
      <c r="AK221" s="170"/>
      <c r="AL221" s="170"/>
      <c r="AM221" s="170"/>
      <c r="AN221" s="170"/>
      <c r="AO221" s="234"/>
    </row>
    <row r="222" spans="1:41" x14ac:dyDescent="0.25">
      <c r="A222" s="274">
        <v>624</v>
      </c>
      <c r="B222" s="274">
        <v>1</v>
      </c>
      <c r="C222" s="275" t="s">
        <v>544</v>
      </c>
      <c r="D222" s="276">
        <v>3</v>
      </c>
      <c r="E222" s="272">
        <v>69587864</v>
      </c>
      <c r="F222" s="273">
        <v>6497742000</v>
      </c>
      <c r="G222" s="234">
        <v>16687612.249999998</v>
      </c>
      <c r="H222" s="234">
        <v>12230844.97408497</v>
      </c>
      <c r="I222" s="174">
        <v>28918457.224084966</v>
      </c>
      <c r="J222" s="234">
        <v>17941146.165444162</v>
      </c>
      <c r="K222" s="234">
        <v>12286378.725083165</v>
      </c>
      <c r="L222" s="175">
        <v>30227524.890527327</v>
      </c>
      <c r="M222" s="235">
        <v>1253533.9154441636</v>
      </c>
      <c r="N222" s="236">
        <v>55533.750998195261</v>
      </c>
      <c r="O222" s="175">
        <v>1309067.6664423607</v>
      </c>
      <c r="P222" s="237">
        <v>4.5267548552074668E-2</v>
      </c>
      <c r="Q222" s="238">
        <v>0.17576117832967211</v>
      </c>
      <c r="R222" s="239">
        <v>2.5682171206551441E-3</v>
      </c>
      <c r="S222" s="240">
        <v>0.17655921620303167</v>
      </c>
      <c r="T222" s="239">
        <v>2.7611355091421239E-3</v>
      </c>
      <c r="U222" s="241">
        <v>7.9803787335955279E-4</v>
      </c>
      <c r="V222" s="242">
        <v>1.9291838848697982E-4</v>
      </c>
      <c r="W222" s="243">
        <v>221.91606375904402</v>
      </c>
      <c r="X222" s="244">
        <v>256.82171206551442</v>
      </c>
      <c r="Y222" s="245">
        <v>478.73777582455841</v>
      </c>
      <c r="Z222" s="246">
        <v>222.9236663779478</v>
      </c>
      <c r="AA222" s="244">
        <v>276.1135509142124</v>
      </c>
      <c r="AB222" s="245">
        <v>499.03721729216022</v>
      </c>
      <c r="AC222" s="247">
        <v>1.0076026189037748</v>
      </c>
      <c r="AD222" s="247">
        <v>19.291838848697978</v>
      </c>
      <c r="AE222" s="248">
        <v>20.29944146760181</v>
      </c>
      <c r="AF222" s="234">
        <f>-SUMIF('[1]Alt Fac'!$A$18:$A$139,'REPORT 4 - PROPERTY TAX'!A222,'[1]Alt Fac'!$U$18:$U$139)</f>
        <v>0</v>
      </c>
      <c r="AG222" s="247">
        <f t="shared" si="10"/>
        <v>607.14863185731565</v>
      </c>
      <c r="AH222" s="234">
        <f t="shared" si="11"/>
        <v>29.945360891950745</v>
      </c>
      <c r="AI222" s="234">
        <f t="shared" ref="AI222:AI285" si="12">AG222+AH222</f>
        <v>637.09399274926636</v>
      </c>
      <c r="AJ222" s="170"/>
      <c r="AK222" s="170"/>
      <c r="AL222" s="170"/>
      <c r="AM222" s="170"/>
      <c r="AN222" s="170"/>
      <c r="AO222" s="234"/>
    </row>
    <row r="223" spans="1:41" x14ac:dyDescent="0.25">
      <c r="A223" s="274">
        <v>625</v>
      </c>
      <c r="B223" s="274">
        <v>1</v>
      </c>
      <c r="C223" s="275" t="s">
        <v>546</v>
      </c>
      <c r="D223" s="276">
        <v>1</v>
      </c>
      <c r="E223" s="272">
        <v>241542660</v>
      </c>
      <c r="F223" s="273">
        <v>19967461200</v>
      </c>
      <c r="G223" s="234">
        <v>36226430.75943689</v>
      </c>
      <c r="H223" s="234">
        <v>47100711.962820575</v>
      </c>
      <c r="I223" s="174">
        <v>83327142.722257465</v>
      </c>
      <c r="J223" s="234">
        <v>38383989.163634636</v>
      </c>
      <c r="K223" s="234">
        <v>44944671.018446714</v>
      </c>
      <c r="L223" s="175">
        <v>83328660.182081342</v>
      </c>
      <c r="M223" s="235">
        <v>2157558.404197745</v>
      </c>
      <c r="N223" s="236">
        <v>-2156040.944373861</v>
      </c>
      <c r="O223" s="175">
        <v>1517.4598238766193</v>
      </c>
      <c r="P223" s="237">
        <v>1.8210870723535459E-5</v>
      </c>
      <c r="Q223" s="238">
        <v>0.19499955810216124</v>
      </c>
      <c r="R223" s="239">
        <v>1.8142732516959587E-3</v>
      </c>
      <c r="S223" s="240">
        <v>0.18607342909300872</v>
      </c>
      <c r="T223" s="239">
        <v>1.9223269688203844E-3</v>
      </c>
      <c r="U223" s="241">
        <v>-8.9261290091525169E-3</v>
      </c>
      <c r="V223" s="242">
        <v>1.080537171244257E-4</v>
      </c>
      <c r="W223" s="243">
        <v>246.2064420597888</v>
      </c>
      <c r="X223" s="244">
        <v>181.42732516959586</v>
      </c>
      <c r="Y223" s="245">
        <v>427.63376722938466</v>
      </c>
      <c r="Z223" s="246">
        <v>234.93631157283284</v>
      </c>
      <c r="AA223" s="244">
        <v>192.23269688203845</v>
      </c>
      <c r="AB223" s="245">
        <v>427.16900845487129</v>
      </c>
      <c r="AC223" s="247">
        <v>-11.270130486955964</v>
      </c>
      <c r="AD223" s="247">
        <v>10.805371712442593</v>
      </c>
      <c r="AE223" s="248">
        <v>-0.46475877451337055</v>
      </c>
      <c r="AF223" s="234">
        <f>-SUMIF('[1]Alt Fac'!$A$18:$A$139,'REPORT 4 - PROPERTY TAX'!A223,'[1]Alt Fac'!$U$18:$U$139)</f>
        <v>2151003.1381194298</v>
      </c>
      <c r="AG223" s="247">
        <f t="shared" si="10"/>
        <v>518.34742981418253</v>
      </c>
      <c r="AH223" s="234">
        <f t="shared" si="11"/>
        <v>4.9379270817078851</v>
      </c>
      <c r="AI223" s="234">
        <f t="shared" si="12"/>
        <v>523.28535689589046</v>
      </c>
      <c r="AJ223" s="170"/>
      <c r="AK223" s="170"/>
      <c r="AL223" s="170"/>
      <c r="AM223" s="170"/>
      <c r="AN223" s="170"/>
      <c r="AO223" s="234"/>
    </row>
    <row r="224" spans="1:41" x14ac:dyDescent="0.25">
      <c r="A224" s="274">
        <v>627</v>
      </c>
      <c r="B224" s="274">
        <v>1</v>
      </c>
      <c r="C224" s="275" t="s">
        <v>306</v>
      </c>
      <c r="D224" s="276">
        <v>6</v>
      </c>
      <c r="E224" s="272">
        <v>1808525</v>
      </c>
      <c r="F224" s="273">
        <v>63070155</v>
      </c>
      <c r="G224" s="234">
        <v>177314.53</v>
      </c>
      <c r="H224" s="234">
        <v>107689.78377010605</v>
      </c>
      <c r="I224" s="174">
        <v>285004.31377010606</v>
      </c>
      <c r="J224" s="234">
        <v>113744.93151151457</v>
      </c>
      <c r="K224" s="234">
        <v>100145.1100052032</v>
      </c>
      <c r="L224" s="175">
        <v>213890.04151671776</v>
      </c>
      <c r="M224" s="235">
        <v>-63569.598488485426</v>
      </c>
      <c r="N224" s="236">
        <v>-7544.673764902851</v>
      </c>
      <c r="O224" s="175">
        <v>-71114.272253388306</v>
      </c>
      <c r="P224" s="237">
        <v>-0.24951998554924132</v>
      </c>
      <c r="Q224" s="238">
        <v>5.9545642869247621E-2</v>
      </c>
      <c r="R224" s="239">
        <v>2.8113856704490422E-3</v>
      </c>
      <c r="S224" s="240">
        <v>5.5373915210020982E-2</v>
      </c>
      <c r="T224" s="239">
        <v>1.8034668142406589E-3</v>
      </c>
      <c r="U224" s="241">
        <v>-4.1717276592266386E-3</v>
      </c>
      <c r="V224" s="242">
        <v>-1.0079188562083833E-3</v>
      </c>
      <c r="W224" s="243">
        <v>75.182328686712054</v>
      </c>
      <c r="X224" s="244">
        <v>281.13856704490422</v>
      </c>
      <c r="Y224" s="245">
        <v>356.32089573161625</v>
      </c>
      <c r="Z224" s="246">
        <v>69.915105344172503</v>
      </c>
      <c r="AA224" s="244">
        <v>180.34668142406591</v>
      </c>
      <c r="AB224" s="245">
        <v>250.26178676823841</v>
      </c>
      <c r="AC224" s="247">
        <v>-5.2672233425395518</v>
      </c>
      <c r="AD224" s="247">
        <v>-100.79188562083831</v>
      </c>
      <c r="AE224" s="248">
        <v>-106.05910896337784</v>
      </c>
      <c r="AF224" s="234">
        <f>-SUMIF('[1]Alt Fac'!$A$18:$A$139,'REPORT 4 - PROPERTY TAX'!A224,'[1]Alt Fac'!$U$18:$U$139)</f>
        <v>0</v>
      </c>
      <c r="AG224" s="247">
        <f t="shared" si="10"/>
        <v>496.89017925406836</v>
      </c>
      <c r="AH224" s="234">
        <f t="shared" si="11"/>
        <v>-156.45505177379704</v>
      </c>
      <c r="AI224" s="234">
        <f t="shared" si="12"/>
        <v>340.43512748027132</v>
      </c>
      <c r="AJ224" s="170"/>
      <c r="AK224" s="170"/>
      <c r="AL224" s="170"/>
      <c r="AM224" s="170"/>
      <c r="AN224" s="170"/>
      <c r="AO224" s="234"/>
    </row>
    <row r="225" spans="1:41" x14ac:dyDescent="0.25">
      <c r="A225" s="274">
        <v>628</v>
      </c>
      <c r="B225" s="274">
        <v>1</v>
      </c>
      <c r="C225" s="275" t="s">
        <v>549</v>
      </c>
      <c r="D225" s="276">
        <v>6</v>
      </c>
      <c r="E225" s="272">
        <v>1649846</v>
      </c>
      <c r="F225" s="273">
        <v>73051475</v>
      </c>
      <c r="G225" s="234">
        <v>223918.63970588235</v>
      </c>
      <c r="H225" s="234">
        <v>80658.662221022474</v>
      </c>
      <c r="I225" s="174">
        <v>304577.30192690482</v>
      </c>
      <c r="J225" s="234">
        <v>187390.64539837438</v>
      </c>
      <c r="K225" s="234">
        <v>81237.2066186171</v>
      </c>
      <c r="L225" s="175">
        <v>268627.85201699147</v>
      </c>
      <c r="M225" s="235">
        <v>-36527.994307507965</v>
      </c>
      <c r="N225" s="236">
        <v>578.54439759462548</v>
      </c>
      <c r="O225" s="175">
        <v>-35949.449909913354</v>
      </c>
      <c r="P225" s="237">
        <v>-0.11803062697869988</v>
      </c>
      <c r="Q225" s="238">
        <v>4.8888600645770865E-2</v>
      </c>
      <c r="R225" s="239">
        <v>3.0652172280694174E-3</v>
      </c>
      <c r="S225" s="240">
        <v>4.9239266342808417E-2</v>
      </c>
      <c r="T225" s="239">
        <v>2.5651863346821454E-3</v>
      </c>
      <c r="U225" s="241">
        <v>3.5066569703755268E-4</v>
      </c>
      <c r="V225" s="242">
        <v>-5.0003089338727198E-4</v>
      </c>
      <c r="W225" s="243">
        <v>61.726747175350297</v>
      </c>
      <c r="X225" s="244">
        <v>306.52172280694174</v>
      </c>
      <c r="Y225" s="245">
        <v>368.24846998229202</v>
      </c>
      <c r="Z225" s="246">
        <v>62.169497684429913</v>
      </c>
      <c r="AA225" s="244">
        <v>256.51863346821455</v>
      </c>
      <c r="AB225" s="245">
        <v>318.68813115264447</v>
      </c>
      <c r="AC225" s="247">
        <v>0.44275050907961599</v>
      </c>
      <c r="AD225" s="247">
        <v>-50.003089338727193</v>
      </c>
      <c r="AE225" s="248">
        <v>-49.560338829647549</v>
      </c>
      <c r="AF225" s="234">
        <f>-SUMIF('[1]Alt Fac'!$A$18:$A$139,'REPORT 4 - PROPERTY TAX'!A225,'[1]Alt Fac'!$U$18:$U$139)</f>
        <v>0</v>
      </c>
      <c r="AG225" s="247">
        <f t="shared" si="10"/>
        <v>521.50933138576295</v>
      </c>
      <c r="AH225" s="234">
        <f t="shared" si="11"/>
        <v>-74.561883499011188</v>
      </c>
      <c r="AI225" s="234">
        <f t="shared" si="12"/>
        <v>446.94744788675177</v>
      </c>
      <c r="AJ225" s="170"/>
      <c r="AK225" s="170"/>
      <c r="AL225" s="170"/>
      <c r="AM225" s="170"/>
      <c r="AN225" s="170"/>
      <c r="AO225" s="234"/>
    </row>
    <row r="226" spans="1:41" x14ac:dyDescent="0.25">
      <c r="A226" s="274">
        <v>630</v>
      </c>
      <c r="B226" s="274">
        <v>1</v>
      </c>
      <c r="C226" s="275" t="s">
        <v>551</v>
      </c>
      <c r="D226" s="276">
        <v>6</v>
      </c>
      <c r="E226" s="272">
        <v>1412410</v>
      </c>
      <c r="F226" s="273">
        <v>64424400</v>
      </c>
      <c r="G226" s="234">
        <v>319533.97470588237</v>
      </c>
      <c r="H226" s="234">
        <v>505102.72392293089</v>
      </c>
      <c r="I226" s="174">
        <v>824636.69862881326</v>
      </c>
      <c r="J226" s="234">
        <v>226371.20666202856</v>
      </c>
      <c r="K226" s="234">
        <v>460791.48619095935</v>
      </c>
      <c r="L226" s="175">
        <v>687162.69285298791</v>
      </c>
      <c r="M226" s="235">
        <v>-93162.768043853808</v>
      </c>
      <c r="N226" s="236">
        <v>-44311.237731971545</v>
      </c>
      <c r="O226" s="175">
        <v>-137474.00577582535</v>
      </c>
      <c r="P226" s="237">
        <v>-0.16670857118584939</v>
      </c>
      <c r="Q226" s="238">
        <v>0.35761763505138799</v>
      </c>
      <c r="R226" s="239">
        <v>4.9598284920912318E-3</v>
      </c>
      <c r="S226" s="240">
        <v>0.32624484830251793</v>
      </c>
      <c r="T226" s="239">
        <v>3.5137495523750095E-3</v>
      </c>
      <c r="U226" s="241">
        <v>-3.1372786748870063E-2</v>
      </c>
      <c r="V226" s="242">
        <v>-1.4460789397162223E-3</v>
      </c>
      <c r="W226" s="243">
        <v>451.52802601588252</v>
      </c>
      <c r="X226" s="244">
        <v>495.98284920912317</v>
      </c>
      <c r="Y226" s="245">
        <v>947.51087522500575</v>
      </c>
      <c r="Z226" s="246">
        <v>411.91674546675921</v>
      </c>
      <c r="AA226" s="244">
        <v>351.37495523750096</v>
      </c>
      <c r="AB226" s="245">
        <v>763.29170070426017</v>
      </c>
      <c r="AC226" s="247">
        <v>-39.611280549123308</v>
      </c>
      <c r="AD226" s="247">
        <v>-144.60789397162222</v>
      </c>
      <c r="AE226" s="248">
        <v>-184.21917452074558</v>
      </c>
      <c r="AF226" s="234">
        <f>-SUMIF('[1]Alt Fac'!$A$18:$A$139,'REPORT 4 - PROPERTY TAX'!A226,'[1]Alt Fac'!$U$18:$U$139)</f>
        <v>0</v>
      </c>
      <c r="AG226" s="247">
        <f t="shared" si="10"/>
        <v>1195.5022998295674</v>
      </c>
      <c r="AH226" s="234">
        <f t="shared" si="11"/>
        <v>-256.52312150655672</v>
      </c>
      <c r="AI226" s="234">
        <f t="shared" si="12"/>
        <v>938.97917832301073</v>
      </c>
      <c r="AJ226" s="170"/>
      <c r="AK226" s="170"/>
      <c r="AL226" s="170"/>
      <c r="AM226" s="170"/>
      <c r="AN226" s="170"/>
      <c r="AO226" s="234"/>
    </row>
    <row r="227" spans="1:41" x14ac:dyDescent="0.25">
      <c r="A227" s="274">
        <v>635</v>
      </c>
      <c r="B227" s="274">
        <v>1</v>
      </c>
      <c r="C227" s="275" t="s">
        <v>481</v>
      </c>
      <c r="D227" s="276">
        <v>6</v>
      </c>
      <c r="E227" s="272">
        <v>2024062</v>
      </c>
      <c r="F227" s="273">
        <v>29173700</v>
      </c>
      <c r="G227" s="234">
        <v>145258.67238518517</v>
      </c>
      <c r="H227" s="234">
        <v>58699.204200000007</v>
      </c>
      <c r="I227" s="174">
        <v>203957.87658518518</v>
      </c>
      <c r="J227" s="234">
        <v>146498.1020480881</v>
      </c>
      <c r="K227" s="234">
        <v>99078.251095357584</v>
      </c>
      <c r="L227" s="175">
        <v>245576.35314344568</v>
      </c>
      <c r="M227" s="235">
        <v>1239.4296629029268</v>
      </c>
      <c r="N227" s="236">
        <v>40379.046895357576</v>
      </c>
      <c r="O227" s="175">
        <v>41618.476558260503</v>
      </c>
      <c r="P227" s="237">
        <v>0.20405427461330772</v>
      </c>
      <c r="Q227" s="238">
        <v>2.9000694741564245E-2</v>
      </c>
      <c r="R227" s="239">
        <v>4.9790966653247672E-3</v>
      </c>
      <c r="S227" s="240">
        <v>4.8950205623818632E-2</v>
      </c>
      <c r="T227" s="239">
        <v>5.0215811517938446E-3</v>
      </c>
      <c r="U227" s="241">
        <v>1.9949510882254388E-2</v>
      </c>
      <c r="V227" s="242">
        <v>4.2484486469077445E-5</v>
      </c>
      <c r="W227" s="243">
        <v>36.616277180699022</v>
      </c>
      <c r="X227" s="244">
        <v>497.90966653247671</v>
      </c>
      <c r="Y227" s="245">
        <v>534.52594371317571</v>
      </c>
      <c r="Z227" s="246">
        <v>61.80452962063341</v>
      </c>
      <c r="AA227" s="244">
        <v>502.15811517938448</v>
      </c>
      <c r="AB227" s="245">
        <v>563.96264480001787</v>
      </c>
      <c r="AC227" s="247">
        <v>25.188252439934388</v>
      </c>
      <c r="AD227" s="247">
        <v>4.2484486469077751</v>
      </c>
      <c r="AE227" s="248">
        <v>29.436701086842163</v>
      </c>
      <c r="AF227" s="234">
        <f>-SUMIF('[1]Alt Fac'!$A$18:$A$139,'REPORT 4 - PROPERTY TAX'!A227,'[1]Alt Fac'!$U$18:$U$139)</f>
        <v>0</v>
      </c>
      <c r="AG227" s="247">
        <f t="shared" si="10"/>
        <v>783.48077697941414</v>
      </c>
      <c r="AH227" s="234">
        <f t="shared" si="11"/>
        <v>31.560925410296008</v>
      </c>
      <c r="AI227" s="234">
        <f t="shared" si="12"/>
        <v>815.04170238971017</v>
      </c>
      <c r="AJ227" s="170"/>
      <c r="AK227" s="170"/>
      <c r="AL227" s="170"/>
      <c r="AM227" s="170"/>
      <c r="AN227" s="170"/>
      <c r="AO227" s="234"/>
    </row>
    <row r="228" spans="1:41" x14ac:dyDescent="0.25">
      <c r="A228" s="274">
        <v>640</v>
      </c>
      <c r="B228" s="274">
        <v>1</v>
      </c>
      <c r="C228" s="275" t="s">
        <v>292</v>
      </c>
      <c r="D228" s="276">
        <v>6</v>
      </c>
      <c r="E228" s="272">
        <v>5113631</v>
      </c>
      <c r="F228" s="273">
        <v>84657800</v>
      </c>
      <c r="G228" s="234">
        <v>243117.24692810452</v>
      </c>
      <c r="H228" s="234">
        <v>558879.4996000001</v>
      </c>
      <c r="I228" s="174">
        <v>801996.74652810465</v>
      </c>
      <c r="J228" s="234">
        <v>158216.46535029961</v>
      </c>
      <c r="K228" s="234">
        <v>600801.144971431</v>
      </c>
      <c r="L228" s="175">
        <v>759017.61032173061</v>
      </c>
      <c r="M228" s="235">
        <v>-84900.781577804912</v>
      </c>
      <c r="N228" s="236">
        <v>41921.645371430903</v>
      </c>
      <c r="O228" s="175">
        <v>-42979.136206374038</v>
      </c>
      <c r="P228" s="237">
        <v>-5.3590162793594208E-2</v>
      </c>
      <c r="Q228" s="238">
        <v>0.10929210566816419</v>
      </c>
      <c r="R228" s="239">
        <v>2.8717642902143042E-3</v>
      </c>
      <c r="S228" s="240">
        <v>0.11749012491738864</v>
      </c>
      <c r="T228" s="239">
        <v>1.8688941284831357E-3</v>
      </c>
      <c r="U228" s="241">
        <v>8.1980192492244475E-3</v>
      </c>
      <c r="V228" s="242">
        <v>-1.0028701617311685E-3</v>
      </c>
      <c r="W228" s="243">
        <v>137.99221261662413</v>
      </c>
      <c r="X228" s="244">
        <v>287.17642902143041</v>
      </c>
      <c r="Y228" s="245">
        <v>425.16864163805451</v>
      </c>
      <c r="Z228" s="246">
        <v>148.34303172069491</v>
      </c>
      <c r="AA228" s="244">
        <v>186.88941284831355</v>
      </c>
      <c r="AB228" s="245">
        <v>335.23244456900846</v>
      </c>
      <c r="AC228" s="247">
        <v>10.35081910407078</v>
      </c>
      <c r="AD228" s="247">
        <v>-100.28701617311685</v>
      </c>
      <c r="AE228" s="248">
        <v>-89.936197069046045</v>
      </c>
      <c r="AF228" s="234">
        <f>-SUMIF('[1]Alt Fac'!$A$18:$A$139,'REPORT 4 - PROPERTY TAX'!A228,'[1]Alt Fac'!$U$18:$U$139)</f>
        <v>0</v>
      </c>
      <c r="AG228" s="247">
        <f t="shared" si="10"/>
        <v>568.75685614876977</v>
      </c>
      <c r="AH228" s="234">
        <f t="shared" si="11"/>
        <v>-140.0797051556045</v>
      </c>
      <c r="AI228" s="234">
        <f t="shared" si="12"/>
        <v>428.67715099316524</v>
      </c>
      <c r="AJ228" s="170"/>
      <c r="AK228" s="170"/>
      <c r="AL228" s="170"/>
      <c r="AM228" s="170"/>
      <c r="AN228" s="170"/>
      <c r="AO228" s="234"/>
    </row>
    <row r="229" spans="1:41" x14ac:dyDescent="0.25">
      <c r="A229" s="274">
        <v>656</v>
      </c>
      <c r="B229" s="274">
        <v>1</v>
      </c>
      <c r="C229" s="275" t="s">
        <v>234</v>
      </c>
      <c r="D229" s="276">
        <v>4</v>
      </c>
      <c r="E229" s="272">
        <v>25683824</v>
      </c>
      <c r="F229" s="273">
        <v>2028457100</v>
      </c>
      <c r="G229" s="234">
        <v>2097381.1808823529</v>
      </c>
      <c r="H229" s="234">
        <v>6340912.7033750098</v>
      </c>
      <c r="I229" s="174">
        <v>8438293.8842573632</v>
      </c>
      <c r="J229" s="234">
        <v>2234400.3647855539</v>
      </c>
      <c r="K229" s="234">
        <v>6337201.7811244177</v>
      </c>
      <c r="L229" s="175">
        <v>8571602.1459099725</v>
      </c>
      <c r="M229" s="235">
        <v>137019.18390320102</v>
      </c>
      <c r="N229" s="236">
        <v>-3710.9222505921498</v>
      </c>
      <c r="O229" s="175">
        <v>133308.26165260933</v>
      </c>
      <c r="P229" s="237">
        <v>1.5798011242688724E-2</v>
      </c>
      <c r="Q229" s="238">
        <v>0.24688351327181693</v>
      </c>
      <c r="R229" s="239">
        <v>1.033978574593642E-3</v>
      </c>
      <c r="S229" s="240">
        <v>0.24673902846882995</v>
      </c>
      <c r="T229" s="239">
        <v>1.1015270496899116E-3</v>
      </c>
      <c r="U229" s="241">
        <v>-1.4448480298698274E-4</v>
      </c>
      <c r="V229" s="242">
        <v>6.7548475096269574E-5</v>
      </c>
      <c r="W229" s="243">
        <v>311.71512385699612</v>
      </c>
      <c r="X229" s="244">
        <v>103.3978574593642</v>
      </c>
      <c r="Y229" s="245">
        <v>415.11298131636033</v>
      </c>
      <c r="Z229" s="246">
        <v>311.53269734474475</v>
      </c>
      <c r="AA229" s="244">
        <v>110.15270496899116</v>
      </c>
      <c r="AB229" s="245">
        <v>421.68540231373589</v>
      </c>
      <c r="AC229" s="247">
        <v>-0.18242651225136797</v>
      </c>
      <c r="AD229" s="247">
        <v>6.7548475096269556</v>
      </c>
      <c r="AE229" s="248">
        <v>6.5724209973755592</v>
      </c>
      <c r="AF229" s="234">
        <f>-SUMIF('[1]Alt Fac'!$A$18:$A$139,'REPORT 4 - PROPERTY TAX'!A229,'[1]Alt Fac'!$U$18:$U$139)</f>
        <v>0</v>
      </c>
      <c r="AG229" s="247">
        <f t="shared" si="10"/>
        <v>466.81191004604239</v>
      </c>
      <c r="AH229" s="234">
        <f t="shared" si="11"/>
        <v>9.9498447521890725</v>
      </c>
      <c r="AI229" s="234">
        <f t="shared" si="12"/>
        <v>476.76175479823144</v>
      </c>
      <c r="AJ229" s="170"/>
      <c r="AK229" s="170"/>
      <c r="AL229" s="170"/>
      <c r="AM229" s="170"/>
      <c r="AN229" s="170"/>
      <c r="AO229" s="234"/>
    </row>
    <row r="230" spans="1:41" x14ac:dyDescent="0.25">
      <c r="A230" s="274">
        <v>659</v>
      </c>
      <c r="B230" s="274">
        <v>1</v>
      </c>
      <c r="C230" s="275" t="s">
        <v>499</v>
      </c>
      <c r="D230" s="276">
        <v>3</v>
      </c>
      <c r="E230" s="272">
        <v>24080506</v>
      </c>
      <c r="F230" s="273">
        <v>2076773400</v>
      </c>
      <c r="G230" s="234">
        <v>7341165.8994117649</v>
      </c>
      <c r="H230" s="234">
        <v>6757286.2312972145</v>
      </c>
      <c r="I230" s="174">
        <v>14098452.130708979</v>
      </c>
      <c r="J230" s="234">
        <v>6694131.4622562835</v>
      </c>
      <c r="K230" s="234">
        <v>6796868.9637940563</v>
      </c>
      <c r="L230" s="175">
        <v>13491000.426050339</v>
      </c>
      <c r="M230" s="235">
        <v>-647034.43715548143</v>
      </c>
      <c r="N230" s="236">
        <v>39582.732496841811</v>
      </c>
      <c r="O230" s="175">
        <v>-607451.70465864055</v>
      </c>
      <c r="P230" s="237">
        <v>-4.3086411119948466E-2</v>
      </c>
      <c r="Q230" s="238">
        <v>0.28061230238671953</v>
      </c>
      <c r="R230" s="239">
        <v>3.5348901808024721E-3</v>
      </c>
      <c r="S230" s="240">
        <v>0.28225606902919964</v>
      </c>
      <c r="T230" s="239">
        <v>3.2233326285170463E-3</v>
      </c>
      <c r="U230" s="241">
        <v>1.6437666424801156E-3</v>
      </c>
      <c r="V230" s="242">
        <v>-3.1155755228542579E-4</v>
      </c>
      <c r="W230" s="243">
        <v>354.30109299347214</v>
      </c>
      <c r="X230" s="244">
        <v>353.48901808024721</v>
      </c>
      <c r="Y230" s="245">
        <v>707.79011107371934</v>
      </c>
      <c r="Z230" s="246">
        <v>356.37651275626752</v>
      </c>
      <c r="AA230" s="244">
        <v>322.33326285170466</v>
      </c>
      <c r="AB230" s="245">
        <v>678.70977560797223</v>
      </c>
      <c r="AC230" s="247">
        <v>2.0754197627953772</v>
      </c>
      <c r="AD230" s="247">
        <v>-31.155755228542546</v>
      </c>
      <c r="AE230" s="248">
        <v>-29.080335465747112</v>
      </c>
      <c r="AF230" s="234">
        <f>-SUMIF('[1]Alt Fac'!$A$18:$A$139,'REPORT 4 - PROPERTY TAX'!A230,'[1]Alt Fac'!$U$18:$U$139)</f>
        <v>0</v>
      </c>
      <c r="AG230" s="247">
        <f t="shared" ref="AG230:AG293" si="13">Q230*AH$23+R230*AH$25</f>
        <v>884.53462011384295</v>
      </c>
      <c r="AH230" s="234">
        <f t="shared" ref="AH230:AH293" si="14">U230*$AH$23+V230*$AH$25</f>
        <v>-44.658213080018477</v>
      </c>
      <c r="AI230" s="234">
        <f t="shared" si="12"/>
        <v>839.87640703382442</v>
      </c>
      <c r="AJ230" s="170"/>
      <c r="AK230" s="170"/>
      <c r="AL230" s="170"/>
      <c r="AM230" s="170"/>
      <c r="AN230" s="170"/>
      <c r="AO230" s="234"/>
    </row>
    <row r="231" spans="1:41" x14ac:dyDescent="0.25">
      <c r="A231" s="274">
        <v>671</v>
      </c>
      <c r="B231" s="274">
        <v>1</v>
      </c>
      <c r="C231" s="275" t="s">
        <v>271</v>
      </c>
      <c r="D231" s="276">
        <v>6</v>
      </c>
      <c r="E231" s="272">
        <v>3914392</v>
      </c>
      <c r="F231" s="273">
        <v>84722000</v>
      </c>
      <c r="G231" s="234">
        <v>190900.00828675812</v>
      </c>
      <c r="H231" s="234">
        <v>833842.9460417286</v>
      </c>
      <c r="I231" s="174">
        <v>1024742.9543284867</v>
      </c>
      <c r="J231" s="234">
        <v>144125.2141592562</v>
      </c>
      <c r="K231" s="234">
        <v>879036.05446596944</v>
      </c>
      <c r="L231" s="175">
        <v>1023161.2686252256</v>
      </c>
      <c r="M231" s="235">
        <v>-46774.794127501926</v>
      </c>
      <c r="N231" s="236">
        <v>45193.10842424084</v>
      </c>
      <c r="O231" s="175">
        <v>-1581.6857032610569</v>
      </c>
      <c r="P231" s="237">
        <v>-1.5434950751113331E-3</v>
      </c>
      <c r="Q231" s="238">
        <v>0.21301978596975688</v>
      </c>
      <c r="R231" s="239">
        <v>2.2532519096192033E-3</v>
      </c>
      <c r="S231" s="240">
        <v>0.22456515710893785</v>
      </c>
      <c r="T231" s="239">
        <v>1.7011545308096621E-3</v>
      </c>
      <c r="U231" s="241">
        <v>1.1545371139180971E-2</v>
      </c>
      <c r="V231" s="242">
        <v>-5.5209737880954112E-4</v>
      </c>
      <c r="W231" s="243">
        <v>268.95878176541504</v>
      </c>
      <c r="X231" s="244">
        <v>225.32519096192033</v>
      </c>
      <c r="Y231" s="245">
        <v>494.28397272733537</v>
      </c>
      <c r="Z231" s="246">
        <v>283.53596736574497</v>
      </c>
      <c r="AA231" s="244">
        <v>170.1154530809662</v>
      </c>
      <c r="AB231" s="245">
        <v>453.6514204467112</v>
      </c>
      <c r="AC231" s="247">
        <v>14.577185600329926</v>
      </c>
      <c r="AD231" s="247">
        <v>-55.209737880954123</v>
      </c>
      <c r="AE231" s="248">
        <v>-40.632552280624168</v>
      </c>
      <c r="AF231" s="234">
        <f>-SUMIF('[1]Alt Fac'!$A$18:$A$139,'REPORT 4 - PROPERTY TAX'!A231,'[1]Alt Fac'!$U$18:$U$139)</f>
        <v>0</v>
      </c>
      <c r="AG231" s="247">
        <f t="shared" si="13"/>
        <v>606.9465682082955</v>
      </c>
      <c r="AH231" s="234">
        <f t="shared" si="14"/>
        <v>-68.237421221101272</v>
      </c>
      <c r="AI231" s="234">
        <f t="shared" si="12"/>
        <v>538.70914698719423</v>
      </c>
      <c r="AJ231" s="170"/>
      <c r="AK231" s="170"/>
      <c r="AL231" s="170"/>
      <c r="AM231" s="170"/>
      <c r="AN231" s="170"/>
      <c r="AO231" s="234"/>
    </row>
    <row r="232" spans="1:41" x14ac:dyDescent="0.25">
      <c r="A232" s="274">
        <v>676</v>
      </c>
      <c r="B232" s="274">
        <v>1</v>
      </c>
      <c r="C232" s="275" t="s">
        <v>452</v>
      </c>
      <c r="D232" s="276">
        <v>6</v>
      </c>
      <c r="E232" s="272">
        <v>678541</v>
      </c>
      <c r="F232" s="273">
        <v>33859600</v>
      </c>
      <c r="G232" s="234">
        <v>219848.87311546845</v>
      </c>
      <c r="H232" s="234">
        <v>51743.470435103402</v>
      </c>
      <c r="I232" s="174">
        <v>271592.34355057182</v>
      </c>
      <c r="J232" s="234">
        <v>155120.40853507354</v>
      </c>
      <c r="K232" s="234">
        <v>35551.179078879519</v>
      </c>
      <c r="L232" s="175">
        <v>190671.58761395304</v>
      </c>
      <c r="M232" s="235">
        <v>-64728.46458039491</v>
      </c>
      <c r="N232" s="236">
        <v>-16192.291356223883</v>
      </c>
      <c r="O232" s="175">
        <v>-80920.755936618778</v>
      </c>
      <c r="P232" s="237">
        <v>-0.29794932684304826</v>
      </c>
      <c r="Q232" s="238">
        <v>7.6256954900445817E-2</v>
      </c>
      <c r="R232" s="239">
        <v>6.4929554133973362E-3</v>
      </c>
      <c r="S232" s="240">
        <v>5.2393560711702786E-2</v>
      </c>
      <c r="T232" s="239">
        <v>4.5812829606691613E-3</v>
      </c>
      <c r="U232" s="241">
        <v>-2.3863394188743031E-2</v>
      </c>
      <c r="V232" s="242">
        <v>-1.9116724527281749E-3</v>
      </c>
      <c r="W232" s="243">
        <v>96.282031257302904</v>
      </c>
      <c r="X232" s="244">
        <v>649.29554133973363</v>
      </c>
      <c r="Y232" s="245">
        <v>745.57757259703658</v>
      </c>
      <c r="Z232" s="246">
        <v>66.152109754595941</v>
      </c>
      <c r="AA232" s="244">
        <v>458.12829606691611</v>
      </c>
      <c r="AB232" s="245">
        <v>524.28040582151209</v>
      </c>
      <c r="AC232" s="247">
        <v>-30.129921502706964</v>
      </c>
      <c r="AD232" s="247">
        <v>-191.16724527281752</v>
      </c>
      <c r="AE232" s="248">
        <v>-221.29716677552449</v>
      </c>
      <c r="AF232" s="234">
        <f>-SUMIF('[1]Alt Fac'!$A$18:$A$139,'REPORT 4 - PROPERTY TAX'!A232,'[1]Alt Fac'!$U$18:$U$139)</f>
        <v>0</v>
      </c>
      <c r="AG232" s="247">
        <f t="shared" si="13"/>
        <v>1070.2253432669033</v>
      </c>
      <c r="AH232" s="234">
        <f t="shared" si="14"/>
        <v>-316.88078941193322</v>
      </c>
      <c r="AI232" s="234">
        <f t="shared" si="12"/>
        <v>753.34455385497017</v>
      </c>
      <c r="AJ232" s="170"/>
      <c r="AK232" s="170"/>
      <c r="AL232" s="170"/>
      <c r="AM232" s="170"/>
      <c r="AN232" s="170"/>
      <c r="AO232" s="234"/>
    </row>
    <row r="233" spans="1:41" x14ac:dyDescent="0.25">
      <c r="A233" s="274">
        <v>682</v>
      </c>
      <c r="B233" s="274">
        <v>1</v>
      </c>
      <c r="C233" s="275" t="s">
        <v>536</v>
      </c>
      <c r="D233" s="276">
        <v>5</v>
      </c>
      <c r="E233" s="272">
        <v>4251819</v>
      </c>
      <c r="F233" s="273">
        <v>290775200</v>
      </c>
      <c r="G233" s="234">
        <v>490603.74823529401</v>
      </c>
      <c r="H233" s="234">
        <v>1523537.0620876714</v>
      </c>
      <c r="I233" s="174">
        <v>2014140.8103229655</v>
      </c>
      <c r="J233" s="234">
        <v>425197.79124841641</v>
      </c>
      <c r="K233" s="234">
        <v>1378485.5350373858</v>
      </c>
      <c r="L233" s="175">
        <v>1803683.3262858023</v>
      </c>
      <c r="M233" s="235">
        <v>-65405.956986877602</v>
      </c>
      <c r="N233" s="236">
        <v>-145051.5270502856</v>
      </c>
      <c r="O233" s="175">
        <v>-210457.4840371632</v>
      </c>
      <c r="P233" s="237">
        <v>-0.10448995569650195</v>
      </c>
      <c r="Q233" s="238">
        <v>0.35832594522195593</v>
      </c>
      <c r="R233" s="239">
        <v>1.6872269307537026E-3</v>
      </c>
      <c r="S233" s="240">
        <v>0.32421077544396548</v>
      </c>
      <c r="T233" s="239">
        <v>1.4622904265852673E-3</v>
      </c>
      <c r="U233" s="241">
        <v>-3.4115169777990451E-2</v>
      </c>
      <c r="V233" s="242">
        <v>-2.2493650416843531E-4</v>
      </c>
      <c r="W233" s="243">
        <v>452.42233843724159</v>
      </c>
      <c r="X233" s="244">
        <v>168.72269307537027</v>
      </c>
      <c r="Y233" s="245">
        <v>621.14503151261192</v>
      </c>
      <c r="Z233" s="246">
        <v>409.34852507555087</v>
      </c>
      <c r="AA233" s="244">
        <v>146.22904265852674</v>
      </c>
      <c r="AB233" s="245">
        <v>555.57756773407755</v>
      </c>
      <c r="AC233" s="247">
        <v>-43.073813361690725</v>
      </c>
      <c r="AD233" s="247">
        <v>-22.493650416843536</v>
      </c>
      <c r="AE233" s="248">
        <v>-65.567463778534375</v>
      </c>
      <c r="AF233" s="234">
        <f>-SUMIF('[1]Alt Fac'!$A$18:$A$139,'REPORT 4 - PROPERTY TAX'!A233,'[1]Alt Fac'!$U$18:$U$139)</f>
        <v>0</v>
      </c>
      <c r="AG233" s="247">
        <f t="shared" si="13"/>
        <v>705.50637805029692</v>
      </c>
      <c r="AH233" s="234">
        <f t="shared" si="14"/>
        <v>-76.814288986956043</v>
      </c>
      <c r="AI233" s="234">
        <f t="shared" si="12"/>
        <v>628.69208906334086</v>
      </c>
      <c r="AJ233" s="170"/>
      <c r="AK233" s="170"/>
      <c r="AL233" s="170"/>
      <c r="AM233" s="170"/>
      <c r="AN233" s="170"/>
      <c r="AO233" s="234"/>
    </row>
    <row r="234" spans="1:41" x14ac:dyDescent="0.25">
      <c r="A234" s="274">
        <v>690</v>
      </c>
      <c r="B234" s="274">
        <v>1</v>
      </c>
      <c r="C234" s="275" t="s">
        <v>556</v>
      </c>
      <c r="D234" s="276">
        <v>5</v>
      </c>
      <c r="E234" s="272">
        <v>3647992</v>
      </c>
      <c r="F234" s="273">
        <v>261195600</v>
      </c>
      <c r="G234" s="234">
        <v>390064.53727759857</v>
      </c>
      <c r="H234" s="234">
        <v>1466304.5364823635</v>
      </c>
      <c r="I234" s="174">
        <v>1856369.0737599621</v>
      </c>
      <c r="J234" s="234">
        <v>339734.72608582402</v>
      </c>
      <c r="K234" s="234">
        <v>1344884.3787121223</v>
      </c>
      <c r="L234" s="175">
        <v>1684619.1047979463</v>
      </c>
      <c r="M234" s="235">
        <v>-50329.811191774555</v>
      </c>
      <c r="N234" s="236">
        <v>-121420.15777024115</v>
      </c>
      <c r="O234" s="175">
        <v>-171749.96896201582</v>
      </c>
      <c r="P234" s="237">
        <v>-9.2519300924436734E-2</v>
      </c>
      <c r="Q234" s="238">
        <v>0.40194839694888679</v>
      </c>
      <c r="R234" s="239">
        <v>1.4933809653669456E-3</v>
      </c>
      <c r="S234" s="240">
        <v>0.3686642894809315</v>
      </c>
      <c r="T234" s="239">
        <v>1.3006908465756086E-3</v>
      </c>
      <c r="U234" s="241">
        <v>-3.3284107467955293E-2</v>
      </c>
      <c r="V234" s="242">
        <v>-1.9269011879133693E-4</v>
      </c>
      <c r="W234" s="243">
        <v>507.50004598766452</v>
      </c>
      <c r="X234" s="244">
        <v>149.33809653669456</v>
      </c>
      <c r="Y234" s="245">
        <v>656.83814252435911</v>
      </c>
      <c r="Z234" s="246">
        <v>465.47553189862418</v>
      </c>
      <c r="AA234" s="244">
        <v>130.06908465756086</v>
      </c>
      <c r="AB234" s="245">
        <v>595.54461655618502</v>
      </c>
      <c r="AC234" s="247">
        <v>-42.024514089040338</v>
      </c>
      <c r="AD234" s="247">
        <v>-19.2690118791337</v>
      </c>
      <c r="AE234" s="248">
        <v>-61.293525968174094</v>
      </c>
      <c r="AF234" s="234">
        <f>-SUMIF('[1]Alt Fac'!$A$18:$A$139,'REPORT 4 - PROPERTY TAX'!A234,'[1]Alt Fac'!$U$18:$U$139)</f>
        <v>0</v>
      </c>
      <c r="AG234" s="247">
        <f t="shared" si="13"/>
        <v>731.5071907927063</v>
      </c>
      <c r="AH234" s="234">
        <f t="shared" si="14"/>
        <v>-70.928031907740902</v>
      </c>
      <c r="AI234" s="234">
        <f t="shared" si="12"/>
        <v>660.57915888496541</v>
      </c>
      <c r="AJ234" s="170"/>
      <c r="AK234" s="170"/>
      <c r="AL234" s="170"/>
      <c r="AM234" s="170"/>
      <c r="AN234" s="170"/>
      <c r="AO234" s="234"/>
    </row>
    <row r="235" spans="1:41" x14ac:dyDescent="0.25">
      <c r="A235" s="274">
        <v>695</v>
      </c>
      <c r="B235" s="274">
        <v>1</v>
      </c>
      <c r="C235" s="275" t="s">
        <v>558</v>
      </c>
      <c r="D235" s="276">
        <v>6</v>
      </c>
      <c r="E235" s="272">
        <v>2204634</v>
      </c>
      <c r="F235" s="273">
        <v>189117460</v>
      </c>
      <c r="G235" s="234">
        <v>432676.1000859465</v>
      </c>
      <c r="H235" s="234">
        <v>689068.81642377866</v>
      </c>
      <c r="I235" s="174">
        <v>1121744.9165097252</v>
      </c>
      <c r="J235" s="234">
        <v>343837.22895006696</v>
      </c>
      <c r="K235" s="234">
        <v>460508.04259292578</v>
      </c>
      <c r="L235" s="175">
        <v>804345.27154299268</v>
      </c>
      <c r="M235" s="235">
        <v>-88838.871135879541</v>
      </c>
      <c r="N235" s="236">
        <v>-228560.77383085288</v>
      </c>
      <c r="O235" s="175">
        <v>-317399.64496673248</v>
      </c>
      <c r="P235" s="237">
        <v>-0.28295171236818412</v>
      </c>
      <c r="Q235" s="238">
        <v>0.31255474442641212</v>
      </c>
      <c r="R235" s="239">
        <v>2.2878696662166809E-3</v>
      </c>
      <c r="S235" s="240">
        <v>0.20888185639563109</v>
      </c>
      <c r="T235" s="239">
        <v>1.8181146730189108E-3</v>
      </c>
      <c r="U235" s="241">
        <v>-0.10367288803078104</v>
      </c>
      <c r="V235" s="242">
        <v>-4.6975499319777008E-4</v>
      </c>
      <c r="W235" s="243">
        <v>394.63162031278802</v>
      </c>
      <c r="X235" s="244">
        <v>228.78696662166809</v>
      </c>
      <c r="Y235" s="245">
        <v>623.41858693445613</v>
      </c>
      <c r="Z235" s="246">
        <v>263.73423188512385</v>
      </c>
      <c r="AA235" s="244">
        <v>181.81146730189107</v>
      </c>
      <c r="AB235" s="245">
        <v>445.54569918701492</v>
      </c>
      <c r="AC235" s="247">
        <v>-130.89738842766417</v>
      </c>
      <c r="AD235" s="247">
        <v>-46.975499319777015</v>
      </c>
      <c r="AE235" s="248">
        <v>-177.87288774744121</v>
      </c>
      <c r="AF235" s="234">
        <f>-SUMIF('[1]Alt Fac'!$A$18:$A$139,'REPORT 4 - PROPERTY TAX'!A235,'[1]Alt Fac'!$U$18:$U$139)</f>
        <v>0</v>
      </c>
      <c r="AG235" s="247">
        <f t="shared" si="13"/>
        <v>737.81207024529022</v>
      </c>
      <c r="AH235" s="234">
        <f t="shared" si="14"/>
        <v>-201.36063740732965</v>
      </c>
      <c r="AI235" s="234">
        <f t="shared" si="12"/>
        <v>536.45143283796051</v>
      </c>
      <c r="AJ235" s="170"/>
      <c r="AK235" s="170"/>
      <c r="AL235" s="170"/>
      <c r="AM235" s="170"/>
      <c r="AN235" s="170"/>
      <c r="AO235" s="234"/>
    </row>
    <row r="236" spans="1:41" x14ac:dyDescent="0.25">
      <c r="A236" s="274">
        <v>696</v>
      </c>
      <c r="B236" s="274">
        <v>1</v>
      </c>
      <c r="C236" s="275" t="s">
        <v>559</v>
      </c>
      <c r="D236" s="276">
        <v>6</v>
      </c>
      <c r="E236" s="272">
        <v>7803225</v>
      </c>
      <c r="F236" s="273">
        <v>413583080</v>
      </c>
      <c r="G236" s="234">
        <v>607202.56999999995</v>
      </c>
      <c r="H236" s="234">
        <v>709679.91799999995</v>
      </c>
      <c r="I236" s="174">
        <v>1316882.4879999999</v>
      </c>
      <c r="J236" s="234">
        <v>682566.49693405908</v>
      </c>
      <c r="K236" s="234">
        <v>821547.12562729395</v>
      </c>
      <c r="L236" s="175">
        <v>1504113.622561353</v>
      </c>
      <c r="M236" s="235">
        <v>75363.926934059127</v>
      </c>
      <c r="N236" s="236">
        <v>111867.207627294</v>
      </c>
      <c r="O236" s="175">
        <v>187231.13456135313</v>
      </c>
      <c r="P236" s="237">
        <v>0.14217755666696447</v>
      </c>
      <c r="Q236" s="238">
        <v>9.0947001784518575E-2</v>
      </c>
      <c r="R236" s="239">
        <v>1.4681513808543617E-3</v>
      </c>
      <c r="S236" s="240">
        <v>0.10528302408648911</v>
      </c>
      <c r="T236" s="239">
        <v>1.6503733589247874E-3</v>
      </c>
      <c r="U236" s="241">
        <v>1.4336022301970536E-2</v>
      </c>
      <c r="V236" s="242">
        <v>1.8222197807042564E-4</v>
      </c>
      <c r="W236" s="243">
        <v>114.82968445313317</v>
      </c>
      <c r="X236" s="244">
        <v>146.81513808543616</v>
      </c>
      <c r="Y236" s="245">
        <v>261.64482253856931</v>
      </c>
      <c r="Z236" s="246">
        <v>132.93034621160118</v>
      </c>
      <c r="AA236" s="244">
        <v>165.03733589247872</v>
      </c>
      <c r="AB236" s="245">
        <v>297.96768210407993</v>
      </c>
      <c r="AC236" s="247">
        <v>18.100661758468007</v>
      </c>
      <c r="AD236" s="247">
        <v>18.222197807042562</v>
      </c>
      <c r="AE236" s="248">
        <v>36.322859565510612</v>
      </c>
      <c r="AF236" s="234">
        <f>-SUMIF('[1]Alt Fac'!$A$18:$A$139,'REPORT 4 - PROPERTY TAX'!A236,'[1]Alt Fac'!$U$18:$U$139)</f>
        <v>0</v>
      </c>
      <c r="AG236" s="247">
        <f t="shared" si="13"/>
        <v>335.05239158128745</v>
      </c>
      <c r="AH236" s="234">
        <f t="shared" si="14"/>
        <v>45.43395846903185</v>
      </c>
      <c r="AI236" s="234">
        <f t="shared" si="12"/>
        <v>380.48635005031929</v>
      </c>
      <c r="AJ236" s="170"/>
      <c r="AK236" s="170"/>
      <c r="AL236" s="170"/>
      <c r="AM236" s="170"/>
      <c r="AN236" s="170"/>
      <c r="AO236" s="234"/>
    </row>
    <row r="237" spans="1:41" x14ac:dyDescent="0.25">
      <c r="A237" s="274">
        <v>698</v>
      </c>
      <c r="B237" s="274">
        <v>1</v>
      </c>
      <c r="C237" s="275" t="s">
        <v>560</v>
      </c>
      <c r="D237" s="276">
        <v>6</v>
      </c>
      <c r="E237" s="272">
        <v>2438506</v>
      </c>
      <c r="F237" s="273">
        <v>124331135</v>
      </c>
      <c r="G237" s="234">
        <v>45548.990000000005</v>
      </c>
      <c r="H237" s="234">
        <v>1028984.6471537133</v>
      </c>
      <c r="I237" s="174">
        <v>1074533.6371537133</v>
      </c>
      <c r="J237" s="234">
        <v>100139.36004731768</v>
      </c>
      <c r="K237" s="234">
        <v>1011562.2417107651</v>
      </c>
      <c r="L237" s="175">
        <v>1111701.6017580826</v>
      </c>
      <c r="M237" s="235">
        <v>54590.370047317672</v>
      </c>
      <c r="N237" s="236">
        <v>-17422.40544294822</v>
      </c>
      <c r="O237" s="175">
        <v>37167.964604369365</v>
      </c>
      <c r="P237" s="237">
        <v>3.4589856770628431E-2</v>
      </c>
      <c r="Q237" s="238">
        <v>0.42197339155766411</v>
      </c>
      <c r="R237" s="239">
        <v>3.6635224153628134E-4</v>
      </c>
      <c r="S237" s="240">
        <v>0.41482868679050411</v>
      </c>
      <c r="T237" s="239">
        <v>8.0542464321038871E-4</v>
      </c>
      <c r="U237" s="241">
        <v>-7.1447047671600039E-3</v>
      </c>
      <c r="V237" s="242">
        <v>4.3907240167410737E-4</v>
      </c>
      <c r="W237" s="243">
        <v>532.78360418070679</v>
      </c>
      <c r="X237" s="244">
        <v>36.635224153628137</v>
      </c>
      <c r="Y237" s="245">
        <v>569.41882833433488</v>
      </c>
      <c r="Z237" s="246">
        <v>523.76269994169058</v>
      </c>
      <c r="AA237" s="244">
        <v>80.542464321038878</v>
      </c>
      <c r="AB237" s="245">
        <v>604.30516426272948</v>
      </c>
      <c r="AC237" s="247">
        <v>-9.020904239016204</v>
      </c>
      <c r="AD237" s="247">
        <v>43.907240167410741</v>
      </c>
      <c r="AE237" s="248">
        <v>34.886335928394601</v>
      </c>
      <c r="AF237" s="234">
        <f>-SUMIF('[1]Alt Fac'!$A$18:$A$139,'REPORT 4 - PROPERTY TAX'!A237,'[1]Alt Fac'!$U$18:$U$139)</f>
        <v>0</v>
      </c>
      <c r="AG237" s="247">
        <f t="shared" si="13"/>
        <v>587.73644041114903</v>
      </c>
      <c r="AH237" s="234">
        <f t="shared" si="14"/>
        <v>56.83995601209989</v>
      </c>
      <c r="AI237" s="234">
        <f t="shared" si="12"/>
        <v>644.57639642324898</v>
      </c>
      <c r="AJ237" s="170"/>
      <c r="AK237" s="170"/>
      <c r="AL237" s="170"/>
      <c r="AM237" s="170"/>
      <c r="AN237" s="170"/>
      <c r="AO237" s="234"/>
    </row>
    <row r="238" spans="1:41" x14ac:dyDescent="0.25">
      <c r="A238" s="274">
        <v>700</v>
      </c>
      <c r="B238" s="274">
        <v>1</v>
      </c>
      <c r="C238" s="275" t="s">
        <v>561</v>
      </c>
      <c r="D238" s="276">
        <v>4</v>
      </c>
      <c r="E238" s="272">
        <v>12562930</v>
      </c>
      <c r="F238" s="273">
        <v>975129025</v>
      </c>
      <c r="G238" s="234">
        <v>404284.09038865549</v>
      </c>
      <c r="H238" s="234">
        <v>956133.7420396416</v>
      </c>
      <c r="I238" s="174">
        <v>1360417.832428297</v>
      </c>
      <c r="J238" s="234">
        <v>785392.92668906657</v>
      </c>
      <c r="K238" s="234">
        <v>1064292.7953907838</v>
      </c>
      <c r="L238" s="175">
        <v>1849685.7220798503</v>
      </c>
      <c r="M238" s="235">
        <v>381108.83630041109</v>
      </c>
      <c r="N238" s="236">
        <v>108159.05335114221</v>
      </c>
      <c r="O238" s="175">
        <v>489267.88965155324</v>
      </c>
      <c r="P238" s="237">
        <v>0.35964530748485385</v>
      </c>
      <c r="Q238" s="238">
        <v>7.6107543545943623E-2</v>
      </c>
      <c r="R238" s="239">
        <v>4.1459548431414551E-4</v>
      </c>
      <c r="S238" s="240">
        <v>8.4716924745324843E-2</v>
      </c>
      <c r="T238" s="239">
        <v>8.0542462233555874E-4</v>
      </c>
      <c r="U238" s="241">
        <v>8.6093811993812192E-3</v>
      </c>
      <c r="V238" s="242">
        <v>3.9082913802141324E-4</v>
      </c>
      <c r="W238" s="243">
        <v>96.09338448110843</v>
      </c>
      <c r="X238" s="244">
        <v>41.459548431414554</v>
      </c>
      <c r="Y238" s="245">
        <v>137.55293291252298</v>
      </c>
      <c r="Z238" s="246">
        <v>106.96358918344716</v>
      </c>
      <c r="AA238" s="244">
        <v>80.542462233555881</v>
      </c>
      <c r="AB238" s="245">
        <v>187.50605141700305</v>
      </c>
      <c r="AC238" s="247">
        <v>10.870204702338725</v>
      </c>
      <c r="AD238" s="247">
        <v>39.082913802141327</v>
      </c>
      <c r="AE238" s="248">
        <v>49.953118504480074</v>
      </c>
      <c r="AF238" s="234">
        <f>-SUMIF('[1]Alt Fac'!$A$18:$A$139,'REPORT 4 - PROPERTY TAX'!A238,'[1]Alt Fac'!$U$18:$U$139)</f>
        <v>0</v>
      </c>
      <c r="AG238" s="247">
        <f t="shared" si="13"/>
        <v>158.28270712823024</v>
      </c>
      <c r="AH238" s="234">
        <f t="shared" si="14"/>
        <v>69.494575405550719</v>
      </c>
      <c r="AI238" s="234">
        <f t="shared" si="12"/>
        <v>227.77728253378098</v>
      </c>
      <c r="AJ238" s="170"/>
      <c r="AK238" s="170"/>
      <c r="AL238" s="170"/>
      <c r="AM238" s="170"/>
      <c r="AN238" s="170"/>
      <c r="AO238" s="234"/>
    </row>
    <row r="239" spans="1:41" x14ac:dyDescent="0.25">
      <c r="A239" s="274">
        <v>701</v>
      </c>
      <c r="B239" s="274">
        <v>1</v>
      </c>
      <c r="C239" s="275" t="s">
        <v>563</v>
      </c>
      <c r="D239" s="276">
        <v>4</v>
      </c>
      <c r="E239" s="272">
        <v>9706360</v>
      </c>
      <c r="F239" s="273">
        <v>849137127</v>
      </c>
      <c r="G239" s="234">
        <v>1446841.4991176473</v>
      </c>
      <c r="H239" s="234">
        <v>1508956.8018470169</v>
      </c>
      <c r="I239" s="174">
        <v>2955798.3009646642</v>
      </c>
      <c r="J239" s="234">
        <v>1235521.7477569142</v>
      </c>
      <c r="K239" s="234">
        <v>1359843.3159686786</v>
      </c>
      <c r="L239" s="175">
        <v>2595365.0637255926</v>
      </c>
      <c r="M239" s="235">
        <v>-211319.75136073306</v>
      </c>
      <c r="N239" s="236">
        <v>-149113.48587833834</v>
      </c>
      <c r="O239" s="175">
        <v>-360433.23723907163</v>
      </c>
      <c r="P239" s="237">
        <v>-0.12194108005320912</v>
      </c>
      <c r="Q239" s="238">
        <v>0.15546062600676433</v>
      </c>
      <c r="R239" s="239">
        <v>1.7038961707272603E-3</v>
      </c>
      <c r="S239" s="240">
        <v>0.14009817438964539</v>
      </c>
      <c r="T239" s="239">
        <v>1.4550320654592155E-3</v>
      </c>
      <c r="U239" s="241">
        <v>-1.5362451617118938E-2</v>
      </c>
      <c r="V239" s="242">
        <v>-2.4886410526804483E-4</v>
      </c>
      <c r="W239" s="243">
        <v>196.28458639614067</v>
      </c>
      <c r="X239" s="244">
        <v>170.38961707272603</v>
      </c>
      <c r="Y239" s="245">
        <v>366.67420346886672</v>
      </c>
      <c r="Z239" s="246">
        <v>176.8879549843663</v>
      </c>
      <c r="AA239" s="244">
        <v>145.50320654592156</v>
      </c>
      <c r="AB239" s="245">
        <v>322.39116153028783</v>
      </c>
      <c r="AC239" s="247">
        <v>-19.396631411774365</v>
      </c>
      <c r="AD239" s="247">
        <v>-24.886410526804468</v>
      </c>
      <c r="AE239" s="248">
        <v>-44.28304193857889</v>
      </c>
      <c r="AF239" s="234">
        <f>-SUMIF('[1]Alt Fac'!$A$18:$A$139,'REPORT 4 - PROPERTY TAX'!A239,'[1]Alt Fac'!$U$18:$U$139)</f>
        <v>0</v>
      </c>
      <c r="AG239" s="247">
        <f t="shared" si="13"/>
        <v>451.86901200522971</v>
      </c>
      <c r="AH239" s="234">
        <f t="shared" si="14"/>
        <v>-56.726247201981096</v>
      </c>
      <c r="AI239" s="234">
        <f t="shared" si="12"/>
        <v>395.14276480324861</v>
      </c>
      <c r="AJ239" s="170"/>
      <c r="AK239" s="170"/>
      <c r="AL239" s="170"/>
      <c r="AM239" s="170"/>
      <c r="AN239" s="170"/>
      <c r="AO239" s="234"/>
    </row>
    <row r="240" spans="1:41" x14ac:dyDescent="0.25">
      <c r="A240" s="274">
        <v>704</v>
      </c>
      <c r="B240" s="274">
        <v>1</v>
      </c>
      <c r="C240" s="275" t="s">
        <v>565</v>
      </c>
      <c r="D240" s="276">
        <v>5</v>
      </c>
      <c r="E240" s="272">
        <v>10484177</v>
      </c>
      <c r="F240" s="273">
        <v>904913550</v>
      </c>
      <c r="G240" s="234">
        <v>362795.5388865546</v>
      </c>
      <c r="H240" s="234">
        <v>1994769.536908054</v>
      </c>
      <c r="I240" s="174">
        <v>2357565.0757946088</v>
      </c>
      <c r="J240" s="234">
        <v>728839.6524587184</v>
      </c>
      <c r="K240" s="234">
        <v>2013882.1877715271</v>
      </c>
      <c r="L240" s="175">
        <v>2742721.8402302456</v>
      </c>
      <c r="M240" s="235">
        <v>366044.1135721638</v>
      </c>
      <c r="N240" s="236">
        <v>19112.650863473071</v>
      </c>
      <c r="O240" s="175">
        <v>385156.76443563681</v>
      </c>
      <c r="P240" s="237">
        <v>0.16337057601933686</v>
      </c>
      <c r="Q240" s="238">
        <v>0.19026477108389661</v>
      </c>
      <c r="R240" s="239">
        <v>4.0091734606753827E-4</v>
      </c>
      <c r="S240" s="240">
        <v>0.19208777072072772</v>
      </c>
      <c r="T240" s="239">
        <v>8.0542462035043943E-4</v>
      </c>
      <c r="U240" s="241">
        <v>1.8229996368311074E-3</v>
      </c>
      <c r="V240" s="242">
        <v>4.0450727428290116E-4</v>
      </c>
      <c r="W240" s="243">
        <v>240.2282999705279</v>
      </c>
      <c r="X240" s="244">
        <v>40.091734606753825</v>
      </c>
      <c r="Y240" s="245">
        <v>280.32003457728172</v>
      </c>
      <c r="Z240" s="246">
        <v>242.53001931199086</v>
      </c>
      <c r="AA240" s="244">
        <v>80.54246203504394</v>
      </c>
      <c r="AB240" s="245">
        <v>323.0724813470348</v>
      </c>
      <c r="AC240" s="247">
        <v>2.301719341462956</v>
      </c>
      <c r="AD240" s="247">
        <v>40.450727428290115</v>
      </c>
      <c r="AE240" s="248">
        <v>42.752446769753078</v>
      </c>
      <c r="AF240" s="234">
        <f>-SUMIF('[1]Alt Fac'!$A$18:$A$139,'REPORT 4 - PROPERTY TAX'!A240,'[1]Alt Fac'!$U$18:$U$139)</f>
        <v>0</v>
      </c>
      <c r="AG240" s="247">
        <f t="shared" si="13"/>
        <v>300.36590188065861</v>
      </c>
      <c r="AH240" s="234">
        <f t="shared" si="14"/>
        <v>62.977810483898132</v>
      </c>
      <c r="AI240" s="234">
        <f t="shared" si="12"/>
        <v>363.34371236455672</v>
      </c>
      <c r="AJ240" s="170"/>
      <c r="AK240" s="170"/>
      <c r="AL240" s="170"/>
      <c r="AM240" s="170"/>
      <c r="AN240" s="170"/>
      <c r="AO240" s="234"/>
    </row>
    <row r="241" spans="1:41" x14ac:dyDescent="0.25">
      <c r="A241" s="274">
        <v>706</v>
      </c>
      <c r="B241" s="274">
        <v>1</v>
      </c>
      <c r="C241" s="275" t="s">
        <v>516</v>
      </c>
      <c r="D241" s="276">
        <v>5</v>
      </c>
      <c r="E241" s="272">
        <v>5868042</v>
      </c>
      <c r="F241" s="273">
        <v>492382061</v>
      </c>
      <c r="G241" s="234">
        <v>1023839.7161764709</v>
      </c>
      <c r="H241" s="234">
        <v>890589.81007907249</v>
      </c>
      <c r="I241" s="174">
        <v>1914429.5262555433</v>
      </c>
      <c r="J241" s="234">
        <v>709096.95518317667</v>
      </c>
      <c r="K241" s="234">
        <v>748855.90976858628</v>
      </c>
      <c r="L241" s="175">
        <v>1457952.8649517628</v>
      </c>
      <c r="M241" s="235">
        <v>-314742.76099329419</v>
      </c>
      <c r="N241" s="236">
        <v>-141733.90031048621</v>
      </c>
      <c r="O241" s="175">
        <v>-456476.66130378051</v>
      </c>
      <c r="P241" s="237">
        <v>-0.238440044432771</v>
      </c>
      <c r="Q241" s="238">
        <v>0.15176950166325881</v>
      </c>
      <c r="R241" s="239">
        <v>2.0793603123905663E-3</v>
      </c>
      <c r="S241" s="240">
        <v>0.12761597646516271</v>
      </c>
      <c r="T241" s="239">
        <v>1.440135641300662E-3</v>
      </c>
      <c r="U241" s="241">
        <v>-2.4153525198096104E-2</v>
      </c>
      <c r="V241" s="242">
        <v>-6.3922467108990422E-4</v>
      </c>
      <c r="W241" s="243">
        <v>191.62417280003061</v>
      </c>
      <c r="X241" s="244">
        <v>207.93603123905663</v>
      </c>
      <c r="Y241" s="245">
        <v>399.56020403908724</v>
      </c>
      <c r="Z241" s="246">
        <v>161.12793188491446</v>
      </c>
      <c r="AA241" s="244">
        <v>144.01356413006621</v>
      </c>
      <c r="AB241" s="245">
        <v>305.1414960149807</v>
      </c>
      <c r="AC241" s="247">
        <v>-30.496240915116147</v>
      </c>
      <c r="AD241" s="247">
        <v>-63.922467108990418</v>
      </c>
      <c r="AE241" s="248">
        <v>-94.418708024106536</v>
      </c>
      <c r="AF241" s="234">
        <f>-SUMIF('[1]Alt Fac'!$A$18:$A$139,'REPORT 4 - PROPERTY TAX'!A241,'[1]Alt Fac'!$U$18:$U$139)</f>
        <v>0</v>
      </c>
      <c r="AG241" s="247">
        <f t="shared" si="13"/>
        <v>503.52821965861551</v>
      </c>
      <c r="AH241" s="234">
        <f t="shared" si="14"/>
        <v>-126.37994157860177</v>
      </c>
      <c r="AI241" s="234">
        <f t="shared" si="12"/>
        <v>377.14827808001371</v>
      </c>
      <c r="AJ241" s="170"/>
      <c r="AK241" s="170"/>
      <c r="AL241" s="170"/>
      <c r="AM241" s="170"/>
      <c r="AN241" s="170"/>
      <c r="AO241" s="234"/>
    </row>
    <row r="242" spans="1:41" x14ac:dyDescent="0.25">
      <c r="A242" s="274">
        <v>707</v>
      </c>
      <c r="B242" s="274">
        <v>1</v>
      </c>
      <c r="C242" s="275" t="s">
        <v>567</v>
      </c>
      <c r="D242" s="276">
        <v>6</v>
      </c>
      <c r="E242" s="272">
        <v>134814</v>
      </c>
      <c r="F242" s="273">
        <v>418700</v>
      </c>
      <c r="G242" s="234">
        <v>685.08214199516806</v>
      </c>
      <c r="H242" s="234">
        <v>54855.679111246907</v>
      </c>
      <c r="I242" s="174">
        <v>55540.761253242075</v>
      </c>
      <c r="J242" s="234">
        <v>572.19568790579888</v>
      </c>
      <c r="K242" s="234">
        <v>49709.675467624176</v>
      </c>
      <c r="L242" s="175">
        <v>50281.871155529974</v>
      </c>
      <c r="M242" s="235">
        <v>-112.88645408936918</v>
      </c>
      <c r="N242" s="236">
        <v>-5146.003643622731</v>
      </c>
      <c r="O242" s="175">
        <v>-5258.8900977121011</v>
      </c>
      <c r="P242" s="237">
        <v>-9.4685236194977873E-2</v>
      </c>
      <c r="Q242" s="238">
        <v>0.40689898015967857</v>
      </c>
      <c r="R242" s="239">
        <v>1.6362124241585099E-3</v>
      </c>
      <c r="S242" s="240">
        <v>0.36872784330725428</v>
      </c>
      <c r="T242" s="239">
        <v>1.3666006398514422E-3</v>
      </c>
      <c r="U242" s="241">
        <v>-3.8171136852424292E-2</v>
      </c>
      <c r="V242" s="242">
        <v>-2.6961178430706776E-4</v>
      </c>
      <c r="W242" s="243">
        <v>513.75065234961016</v>
      </c>
      <c r="X242" s="244">
        <v>163.62124241585099</v>
      </c>
      <c r="Y242" s="245">
        <v>677.37189476546109</v>
      </c>
      <c r="Z242" s="246">
        <v>465.55577495973932</v>
      </c>
      <c r="AA242" s="244">
        <v>136.66006398514421</v>
      </c>
      <c r="AB242" s="245">
        <v>602.21583894488356</v>
      </c>
      <c r="AC242" s="247">
        <v>-48.19487738987084</v>
      </c>
      <c r="AD242" s="247">
        <v>-26.961178430706781</v>
      </c>
      <c r="AE242" s="248">
        <v>-75.156055820577535</v>
      </c>
      <c r="AF242" s="234">
        <f>-SUMIF('[1]Alt Fac'!$A$18:$A$139,'REPORT 4 - PROPERTY TAX'!A242,'[1]Alt Fac'!$U$18:$U$139)</f>
        <v>0</v>
      </c>
      <c r="AG242" s="247">
        <f t="shared" si="13"/>
        <v>759.18251597338667</v>
      </c>
      <c r="AH242" s="234">
        <f t="shared" si="14"/>
        <v>-88.636645035931082</v>
      </c>
      <c r="AI242" s="234">
        <f t="shared" si="12"/>
        <v>670.54587093745556</v>
      </c>
      <c r="AJ242" s="170"/>
      <c r="AK242" s="170"/>
      <c r="AL242" s="170"/>
      <c r="AM242" s="170"/>
      <c r="AN242" s="170"/>
      <c r="AO242" s="234"/>
    </row>
    <row r="243" spans="1:41" x14ac:dyDescent="0.25">
      <c r="A243" s="274">
        <v>709</v>
      </c>
      <c r="B243" s="274">
        <v>1</v>
      </c>
      <c r="C243" s="275" t="s">
        <v>569</v>
      </c>
      <c r="D243" s="276">
        <v>4</v>
      </c>
      <c r="E243" s="272">
        <v>69957941</v>
      </c>
      <c r="F243" s="273">
        <v>6103425115</v>
      </c>
      <c r="G243" s="234">
        <v>5360270.88</v>
      </c>
      <c r="H243" s="234">
        <v>6119989.3530483888</v>
      </c>
      <c r="I243" s="174">
        <v>11480260.233048389</v>
      </c>
      <c r="J243" s="234">
        <v>7071742.7997688148</v>
      </c>
      <c r="K243" s="234">
        <v>5503331.7882488351</v>
      </c>
      <c r="L243" s="175">
        <v>12575074.58801765</v>
      </c>
      <c r="M243" s="235">
        <v>1711471.9197688149</v>
      </c>
      <c r="N243" s="236">
        <v>-616657.56479955371</v>
      </c>
      <c r="O243" s="175">
        <v>1094814.3549692612</v>
      </c>
      <c r="P243" s="237">
        <v>9.5364942322265792E-2</v>
      </c>
      <c r="Q243" s="238">
        <v>8.7480981652224288E-2</v>
      </c>
      <c r="R243" s="239">
        <v>8.7823980453637465E-4</v>
      </c>
      <c r="S243" s="240">
        <v>7.8666291625833232E-2</v>
      </c>
      <c r="T243" s="239">
        <v>1.1586515221410749E-3</v>
      </c>
      <c r="U243" s="241">
        <v>-8.814690026391056E-3</v>
      </c>
      <c r="V243" s="242">
        <v>2.8041171760470021E-4</v>
      </c>
      <c r="W243" s="243">
        <v>110.45348743409839</v>
      </c>
      <c r="X243" s="244">
        <v>87.823980453637461</v>
      </c>
      <c r="Y243" s="245">
        <v>198.27746788773584</v>
      </c>
      <c r="Z243" s="246">
        <v>99.324059806777043</v>
      </c>
      <c r="AA243" s="244">
        <v>115.86515221410748</v>
      </c>
      <c r="AB243" s="245">
        <v>215.18921202088453</v>
      </c>
      <c r="AC243" s="247">
        <v>-11.129427627321348</v>
      </c>
      <c r="AD243" s="247">
        <v>28.041171760470021</v>
      </c>
      <c r="AE243" s="248">
        <v>16.911744133148687</v>
      </c>
      <c r="AF243" s="234">
        <f>-SUMIF('[1]Alt Fac'!$A$18:$A$139,'REPORT 4 - PROPERTY TAX'!A243,'[1]Alt Fac'!$U$18:$U$139)</f>
        <v>-490952.2635045863</v>
      </c>
      <c r="AG243" s="247">
        <f t="shared" si="13"/>
        <v>242.18945811455461</v>
      </c>
      <c r="AH243" s="234">
        <f t="shared" si="14"/>
        <v>30.932330013383684</v>
      </c>
      <c r="AI243" s="234">
        <f t="shared" si="12"/>
        <v>273.12178812793832</v>
      </c>
      <c r="AJ243" s="170"/>
      <c r="AK243" s="170"/>
      <c r="AL243" s="170"/>
      <c r="AM243" s="170"/>
      <c r="AN243" s="170"/>
      <c r="AO243" s="234"/>
    </row>
    <row r="244" spans="1:41" x14ac:dyDescent="0.25">
      <c r="A244" s="274">
        <v>712</v>
      </c>
      <c r="B244" s="274">
        <v>1</v>
      </c>
      <c r="C244" s="275" t="s">
        <v>571</v>
      </c>
      <c r="D244" s="276">
        <v>6</v>
      </c>
      <c r="E244" s="272">
        <v>3328163</v>
      </c>
      <c r="F244" s="273">
        <v>251950165</v>
      </c>
      <c r="G244" s="234">
        <v>356433.79352999094</v>
      </c>
      <c r="H244" s="234">
        <v>399705.4271034663</v>
      </c>
      <c r="I244" s="174">
        <v>756139.22063345718</v>
      </c>
      <c r="J244" s="234">
        <v>360753.56509032199</v>
      </c>
      <c r="K244" s="234">
        <v>339392.81173117156</v>
      </c>
      <c r="L244" s="175">
        <v>700146.3768214935</v>
      </c>
      <c r="M244" s="235">
        <v>4319.7715603310498</v>
      </c>
      <c r="N244" s="236">
        <v>-60312.615372294735</v>
      </c>
      <c r="O244" s="175">
        <v>-55992.843811963685</v>
      </c>
      <c r="P244" s="237">
        <v>-7.4050971413776909E-2</v>
      </c>
      <c r="Q244" s="238">
        <v>0.12009791200234674</v>
      </c>
      <c r="R244" s="239">
        <v>1.4146995836656466E-3</v>
      </c>
      <c r="S244" s="240">
        <v>0.10197601852168045</v>
      </c>
      <c r="T244" s="239">
        <v>1.4318449249291899E-3</v>
      </c>
      <c r="U244" s="241">
        <v>-1.8121893480666285E-2</v>
      </c>
      <c r="V244" s="242">
        <v>1.7145341263543343E-5</v>
      </c>
      <c r="W244" s="243">
        <v>151.635623694163</v>
      </c>
      <c r="X244" s="244">
        <v>141.46995836656467</v>
      </c>
      <c r="Y244" s="245">
        <v>293.10558206072767</v>
      </c>
      <c r="Z244" s="246">
        <v>128.75492098547375</v>
      </c>
      <c r="AA244" s="244">
        <v>143.18449249291899</v>
      </c>
      <c r="AB244" s="245">
        <v>271.93941347839274</v>
      </c>
      <c r="AC244" s="247">
        <v>-22.880702708689256</v>
      </c>
      <c r="AD244" s="247">
        <v>1.714534126354323</v>
      </c>
      <c r="AE244" s="248">
        <v>-21.166168582334933</v>
      </c>
      <c r="AF244" s="234">
        <f>-SUMIF('[1]Alt Fac'!$A$18:$A$139,'REPORT 4 - PROPERTY TAX'!A244,'[1]Alt Fac'!$U$18:$U$139)</f>
        <v>0</v>
      </c>
      <c r="AG244" s="247">
        <f t="shared" si="13"/>
        <v>363.84056124401002</v>
      </c>
      <c r="AH244" s="234">
        <f t="shared" si="14"/>
        <v>-20.30890151915775</v>
      </c>
      <c r="AI244" s="234">
        <f t="shared" si="12"/>
        <v>343.53165972485226</v>
      </c>
      <c r="AJ244" s="170"/>
      <c r="AK244" s="170"/>
      <c r="AL244" s="170"/>
      <c r="AM244" s="170"/>
      <c r="AN244" s="170"/>
      <c r="AO244" s="234"/>
    </row>
    <row r="245" spans="1:41" x14ac:dyDescent="0.25">
      <c r="A245" s="274">
        <v>716</v>
      </c>
      <c r="B245" s="274">
        <v>1</v>
      </c>
      <c r="C245" s="275" t="s">
        <v>573</v>
      </c>
      <c r="D245" s="276">
        <v>3</v>
      </c>
      <c r="E245" s="272">
        <v>10188969</v>
      </c>
      <c r="F245" s="273">
        <v>683146800</v>
      </c>
      <c r="G245" s="234">
        <v>687024.9696455542</v>
      </c>
      <c r="H245" s="234">
        <v>3538114.4568966939</v>
      </c>
      <c r="I245" s="174">
        <v>4225139.4265422486</v>
      </c>
      <c r="J245" s="234">
        <v>617133.60055840667</v>
      </c>
      <c r="K245" s="234">
        <v>3514205.1352671199</v>
      </c>
      <c r="L245" s="175">
        <v>4131338.7358255265</v>
      </c>
      <c r="M245" s="235">
        <v>-69891.369087147526</v>
      </c>
      <c r="N245" s="236">
        <v>-23909.321629574057</v>
      </c>
      <c r="O245" s="175">
        <v>-93800.690716722049</v>
      </c>
      <c r="P245" s="237">
        <v>-2.2200614286825147E-2</v>
      </c>
      <c r="Q245" s="238">
        <v>0.34724950649046965</v>
      </c>
      <c r="R245" s="239">
        <v>1.0056769198736701E-3</v>
      </c>
      <c r="S245" s="240">
        <v>0.34490291758342967</v>
      </c>
      <c r="T245" s="239">
        <v>9.0336893996781754E-4</v>
      </c>
      <c r="U245" s="241">
        <v>-2.3465889070399815E-3</v>
      </c>
      <c r="V245" s="242">
        <v>-1.0230797990585258E-4</v>
      </c>
      <c r="W245" s="243">
        <v>438.43722689486702</v>
      </c>
      <c r="X245" s="244">
        <v>100.56769198736701</v>
      </c>
      <c r="Y245" s="245">
        <v>539.00491888223405</v>
      </c>
      <c r="Z245" s="246">
        <v>435.47442374083835</v>
      </c>
      <c r="AA245" s="244">
        <v>90.336893996781754</v>
      </c>
      <c r="AB245" s="245">
        <v>525.81131773762013</v>
      </c>
      <c r="AC245" s="247">
        <v>-2.962803154028677</v>
      </c>
      <c r="AD245" s="247">
        <v>-10.230797990585259</v>
      </c>
      <c r="AE245" s="248">
        <v>-13.193601144613922</v>
      </c>
      <c r="AF245" s="234">
        <f>-SUMIF('[1]Alt Fac'!$A$18:$A$139,'REPORT 4 - PROPERTY TAX'!A245,'[1]Alt Fac'!$U$18:$U$139)</f>
        <v>0</v>
      </c>
      <c r="AG245" s="247">
        <f t="shared" si="13"/>
        <v>589.28876487591754</v>
      </c>
      <c r="AH245" s="234">
        <f t="shared" si="14"/>
        <v>-18.309000139906569</v>
      </c>
      <c r="AI245" s="234">
        <f t="shared" si="12"/>
        <v>570.97976473601102</v>
      </c>
      <c r="AJ245" s="170"/>
      <c r="AK245" s="170"/>
      <c r="AL245" s="170"/>
      <c r="AM245" s="170"/>
      <c r="AN245" s="170"/>
      <c r="AO245" s="234"/>
    </row>
    <row r="246" spans="1:41" x14ac:dyDescent="0.25">
      <c r="A246" s="274">
        <v>717</v>
      </c>
      <c r="B246" s="274">
        <v>1</v>
      </c>
      <c r="C246" s="275" t="s">
        <v>575</v>
      </c>
      <c r="D246" s="276">
        <v>3</v>
      </c>
      <c r="E246" s="272">
        <v>10687321</v>
      </c>
      <c r="F246" s="273">
        <v>857271100</v>
      </c>
      <c r="G246" s="234">
        <v>1261003.5706788339</v>
      </c>
      <c r="H246" s="234">
        <v>2550359.9622859112</v>
      </c>
      <c r="I246" s="174">
        <v>3811363.5329647451</v>
      </c>
      <c r="J246" s="234">
        <v>1133138.6042799496</v>
      </c>
      <c r="K246" s="234">
        <v>2582840.6040948885</v>
      </c>
      <c r="L246" s="175">
        <v>3715979.2083748383</v>
      </c>
      <c r="M246" s="235">
        <v>-127864.96639888431</v>
      </c>
      <c r="N246" s="236">
        <v>32480.641808977351</v>
      </c>
      <c r="O246" s="175">
        <v>-95384.324589906726</v>
      </c>
      <c r="P246" s="237">
        <v>-2.5026299319107492E-2</v>
      </c>
      <c r="Q246" s="238">
        <v>0.23863416868323795</v>
      </c>
      <c r="R246" s="239">
        <v>1.4709507537100386E-3</v>
      </c>
      <c r="S246" s="240">
        <v>0.24167334396476803</v>
      </c>
      <c r="T246" s="239">
        <v>1.3217972754242498E-3</v>
      </c>
      <c r="U246" s="241">
        <v>3.0391752815300821E-3</v>
      </c>
      <c r="V246" s="242">
        <v>-1.4915347828578875E-4</v>
      </c>
      <c r="W246" s="243">
        <v>301.29950137945627</v>
      </c>
      <c r="X246" s="244">
        <v>147.09507537100384</v>
      </c>
      <c r="Y246" s="245">
        <v>448.39457675046015</v>
      </c>
      <c r="Z246" s="246">
        <v>305.13676408991614</v>
      </c>
      <c r="AA246" s="244">
        <v>132.17972754242498</v>
      </c>
      <c r="AB246" s="245">
        <v>437.31649163234113</v>
      </c>
      <c r="AC246" s="247">
        <v>3.8372627104598678</v>
      </c>
      <c r="AD246" s="247">
        <v>-14.915347828578859</v>
      </c>
      <c r="AE246" s="248">
        <v>-11.07808511811902</v>
      </c>
      <c r="AF246" s="234">
        <f>-SUMIF('[1]Alt Fac'!$A$18:$A$139,'REPORT 4 - PROPERTY TAX'!A246,'[1]Alt Fac'!$U$18:$U$139)</f>
        <v>0</v>
      </c>
      <c r="AG246" s="247">
        <f t="shared" si="13"/>
        <v>521.94211443596203</v>
      </c>
      <c r="AH246" s="234">
        <f t="shared" si="14"/>
        <v>-18.535759032408432</v>
      </c>
      <c r="AI246" s="234">
        <f t="shared" si="12"/>
        <v>503.40635540355362</v>
      </c>
      <c r="AJ246" s="170"/>
      <c r="AK246" s="170"/>
      <c r="AL246" s="170"/>
      <c r="AM246" s="170"/>
      <c r="AN246" s="170"/>
      <c r="AO246" s="234"/>
    </row>
    <row r="247" spans="1:41" x14ac:dyDescent="0.25">
      <c r="A247" s="274">
        <v>719</v>
      </c>
      <c r="B247" s="274">
        <v>1</v>
      </c>
      <c r="C247" s="275" t="s">
        <v>576</v>
      </c>
      <c r="D247" s="276">
        <v>3</v>
      </c>
      <c r="E247" s="272">
        <v>48260746</v>
      </c>
      <c r="F247" s="273">
        <v>4305849300</v>
      </c>
      <c r="G247" s="234">
        <v>9838335.5000000019</v>
      </c>
      <c r="H247" s="234">
        <v>14397842.269073579</v>
      </c>
      <c r="I247" s="174">
        <v>24236177.769073583</v>
      </c>
      <c r="J247" s="234">
        <v>8902154.2363060862</v>
      </c>
      <c r="K247" s="234">
        <v>14575694.824266994</v>
      </c>
      <c r="L247" s="175">
        <v>23477849.060573079</v>
      </c>
      <c r="M247" s="235">
        <v>-936181.26369391568</v>
      </c>
      <c r="N247" s="236">
        <v>177852.55519341491</v>
      </c>
      <c r="O247" s="175">
        <v>-758328.70850050449</v>
      </c>
      <c r="P247" s="237">
        <v>-3.1289121400494301E-2</v>
      </c>
      <c r="Q247" s="238">
        <v>0.29833443248211661</v>
      </c>
      <c r="R247" s="239">
        <v>2.2848768766709979E-3</v>
      </c>
      <c r="S247" s="240">
        <v>0.30201967504329491</v>
      </c>
      <c r="T247" s="239">
        <v>2.0674560617590788E-3</v>
      </c>
      <c r="U247" s="241">
        <v>3.6852425611783035E-3</v>
      </c>
      <c r="V247" s="242">
        <v>-2.1742081491191905E-4</v>
      </c>
      <c r="W247" s="243">
        <v>376.67705445192047</v>
      </c>
      <c r="X247" s="244">
        <v>228.48768766709978</v>
      </c>
      <c r="Y247" s="245">
        <v>605.16474211902027</v>
      </c>
      <c r="Z247" s="246">
        <v>381.33004170966421</v>
      </c>
      <c r="AA247" s="244">
        <v>206.74560617590788</v>
      </c>
      <c r="AB247" s="245">
        <v>588.07564788557215</v>
      </c>
      <c r="AC247" s="247">
        <v>4.6529872577437459</v>
      </c>
      <c r="AD247" s="247">
        <v>-21.742081491191897</v>
      </c>
      <c r="AE247" s="248">
        <v>-17.089094233448122</v>
      </c>
      <c r="AF247" s="234">
        <f>-SUMIF('[1]Alt Fac'!$A$18:$A$139,'REPORT 4 - PROPERTY TAX'!A247,'[1]Alt Fac'!$U$18:$U$139)</f>
        <v>0</v>
      </c>
      <c r="AG247" s="247">
        <f t="shared" si="13"/>
        <v>719.40858595257009</v>
      </c>
      <c r="AH247" s="234">
        <f t="shared" si="14"/>
        <v>-27.960134979044135</v>
      </c>
      <c r="AI247" s="234">
        <f t="shared" si="12"/>
        <v>691.44845097352595</v>
      </c>
      <c r="AJ247" s="170"/>
      <c r="AK247" s="170"/>
      <c r="AL247" s="170"/>
      <c r="AM247" s="170"/>
      <c r="AN247" s="170"/>
      <c r="AO247" s="234"/>
    </row>
    <row r="248" spans="1:41" x14ac:dyDescent="0.25">
      <c r="A248" s="274">
        <v>720</v>
      </c>
      <c r="B248" s="274">
        <v>1</v>
      </c>
      <c r="C248" s="275" t="s">
        <v>574</v>
      </c>
      <c r="D248" s="276">
        <v>3</v>
      </c>
      <c r="E248" s="272">
        <v>46757245</v>
      </c>
      <c r="F248" s="273">
        <v>3967623600</v>
      </c>
      <c r="G248" s="234">
        <v>5644161.2437394951</v>
      </c>
      <c r="H248" s="234">
        <v>15865020.718113944</v>
      </c>
      <c r="I248" s="174">
        <v>21509181.961853437</v>
      </c>
      <c r="J248" s="234">
        <v>5248244.5687856069</v>
      </c>
      <c r="K248" s="234">
        <v>15943285.807802338</v>
      </c>
      <c r="L248" s="175">
        <v>21191530.376587946</v>
      </c>
      <c r="M248" s="235">
        <v>-395916.67495388817</v>
      </c>
      <c r="N248" s="236">
        <v>78265.089688394219</v>
      </c>
      <c r="O248" s="175">
        <v>-317651.58526549116</v>
      </c>
      <c r="P248" s="237">
        <v>-1.4768185318662823E-2</v>
      </c>
      <c r="Q248" s="238">
        <v>0.33930614855759667</v>
      </c>
      <c r="R248" s="239">
        <v>1.4225546102053367E-3</v>
      </c>
      <c r="S248" s="240">
        <v>0.34098000871955431</v>
      </c>
      <c r="T248" s="239">
        <v>1.3227677566958738E-3</v>
      </c>
      <c r="U248" s="241">
        <v>1.673860161957641E-3</v>
      </c>
      <c r="V248" s="242">
        <v>-9.9786853509462904E-5</v>
      </c>
      <c r="W248" s="243">
        <v>428.40794316882159</v>
      </c>
      <c r="X248" s="244">
        <v>142.25546102053366</v>
      </c>
      <c r="Y248" s="245">
        <v>570.66340418935522</v>
      </c>
      <c r="Z248" s="246">
        <v>430.52135900930932</v>
      </c>
      <c r="AA248" s="244">
        <v>132.27677566958738</v>
      </c>
      <c r="AB248" s="245">
        <v>562.79813467889676</v>
      </c>
      <c r="AC248" s="247">
        <v>2.1134158404877326</v>
      </c>
      <c r="AD248" s="247">
        <v>-9.9786853509462787</v>
      </c>
      <c r="AE248" s="248">
        <v>-7.8652695104584609</v>
      </c>
      <c r="AF248" s="234">
        <f>-SUMIF('[1]Alt Fac'!$A$18:$A$139,'REPORT 4 - PROPERTY TAX'!A248,'[1]Alt Fac'!$U$18:$U$139)</f>
        <v>0</v>
      </c>
      <c r="AG248" s="247">
        <f t="shared" si="13"/>
        <v>641.79113469962203</v>
      </c>
      <c r="AH248" s="234">
        <f t="shared" si="14"/>
        <v>-12.854612185931718</v>
      </c>
      <c r="AI248" s="234">
        <f t="shared" si="12"/>
        <v>628.93652251369031</v>
      </c>
      <c r="AJ248" s="170"/>
      <c r="AK248" s="170"/>
      <c r="AL248" s="170"/>
      <c r="AM248" s="170"/>
      <c r="AN248" s="170"/>
      <c r="AO248" s="234"/>
    </row>
    <row r="249" spans="1:41" x14ac:dyDescent="0.25">
      <c r="A249" s="274">
        <v>721</v>
      </c>
      <c r="B249" s="274">
        <v>1</v>
      </c>
      <c r="C249" s="275" t="s">
        <v>457</v>
      </c>
      <c r="D249" s="276">
        <v>3</v>
      </c>
      <c r="E249" s="272">
        <v>19261032</v>
      </c>
      <c r="F249" s="273">
        <v>1689048600</v>
      </c>
      <c r="G249" s="234">
        <v>3240599.6300000004</v>
      </c>
      <c r="H249" s="234">
        <v>6281490.1622180259</v>
      </c>
      <c r="I249" s="174">
        <v>9522089.7922180258</v>
      </c>
      <c r="J249" s="234">
        <v>2559541.8402526751</v>
      </c>
      <c r="K249" s="234">
        <v>6016863.9053820716</v>
      </c>
      <c r="L249" s="175">
        <v>8576405.7456347458</v>
      </c>
      <c r="M249" s="235">
        <v>-681057.78974732524</v>
      </c>
      <c r="N249" s="236">
        <v>-264626.25683595426</v>
      </c>
      <c r="O249" s="175">
        <v>-945684.04658327997</v>
      </c>
      <c r="P249" s="237">
        <v>-9.9314758337622988E-2</v>
      </c>
      <c r="Q249" s="238">
        <v>0.32612427839889502</v>
      </c>
      <c r="R249" s="239">
        <v>1.9185946632915125E-3</v>
      </c>
      <c r="S249" s="240">
        <v>0.31238533352636927</v>
      </c>
      <c r="T249" s="239">
        <v>1.5153748922634169E-3</v>
      </c>
      <c r="U249" s="241">
        <v>-1.3738944872525749E-2</v>
      </c>
      <c r="V249" s="242">
        <v>-4.0321977102809555E-4</v>
      </c>
      <c r="W249" s="243">
        <v>411.7645139064449</v>
      </c>
      <c r="X249" s="244">
        <v>191.85946632915125</v>
      </c>
      <c r="Y249" s="245">
        <v>603.62398023559615</v>
      </c>
      <c r="Z249" s="246">
        <v>394.41772211039387</v>
      </c>
      <c r="AA249" s="244">
        <v>151.53748922634168</v>
      </c>
      <c r="AB249" s="245">
        <v>545.9552113367356</v>
      </c>
      <c r="AC249" s="247">
        <v>-17.346791796051036</v>
      </c>
      <c r="AD249" s="247">
        <v>-40.321977102809569</v>
      </c>
      <c r="AE249" s="248">
        <v>-57.668768898860549</v>
      </c>
      <c r="AF249" s="234">
        <f>-SUMIF('[1]Alt Fac'!$A$18:$A$139,'REPORT 4 - PROPERTY TAX'!A249,'[1]Alt Fac'!$U$18:$U$139)</f>
        <v>0</v>
      </c>
      <c r="AG249" s="247">
        <f t="shared" si="13"/>
        <v>699.55371340017177</v>
      </c>
      <c r="AH249" s="234">
        <f t="shared" si="14"/>
        <v>-77.829757450265348</v>
      </c>
      <c r="AI249" s="234">
        <f t="shared" si="12"/>
        <v>621.72395594990644</v>
      </c>
      <c r="AJ249" s="170"/>
      <c r="AK249" s="170"/>
      <c r="AL249" s="170"/>
      <c r="AM249" s="170"/>
      <c r="AN249" s="170"/>
      <c r="AO249" s="234"/>
    </row>
    <row r="250" spans="1:41" x14ac:dyDescent="0.25">
      <c r="A250" s="274">
        <v>726</v>
      </c>
      <c r="B250" s="274">
        <v>1</v>
      </c>
      <c r="C250" s="275" t="s">
        <v>339</v>
      </c>
      <c r="D250" s="276">
        <v>4</v>
      </c>
      <c r="E250" s="272">
        <v>20662490</v>
      </c>
      <c r="F250" s="273">
        <v>1402338325</v>
      </c>
      <c r="G250" s="234">
        <v>2561811.0626470586</v>
      </c>
      <c r="H250" s="234">
        <v>4434241.7452622335</v>
      </c>
      <c r="I250" s="174">
        <v>6996052.8079092922</v>
      </c>
      <c r="J250" s="234">
        <v>2202847.235265736</v>
      </c>
      <c r="K250" s="234">
        <v>4425557.1958391564</v>
      </c>
      <c r="L250" s="175">
        <v>6628404.4311048929</v>
      </c>
      <c r="M250" s="235">
        <v>-358963.82738132263</v>
      </c>
      <c r="N250" s="236">
        <v>-8684.5494230771437</v>
      </c>
      <c r="O250" s="175">
        <v>-367648.3768043993</v>
      </c>
      <c r="P250" s="237">
        <v>-5.25508292888755E-2</v>
      </c>
      <c r="Q250" s="238">
        <v>0.21460345511418197</v>
      </c>
      <c r="R250" s="239">
        <v>1.8268138415507248E-3</v>
      </c>
      <c r="S250" s="240">
        <v>0.2141831500385073</v>
      </c>
      <c r="T250" s="239">
        <v>1.5708386457067955E-3</v>
      </c>
      <c r="U250" s="241">
        <v>-4.2030507567467068E-4</v>
      </c>
      <c r="V250" s="242">
        <v>-2.5597519584392926E-4</v>
      </c>
      <c r="W250" s="243">
        <v>270.95832242716619</v>
      </c>
      <c r="X250" s="244">
        <v>182.68138415507246</v>
      </c>
      <c r="Y250" s="245">
        <v>453.63970658223866</v>
      </c>
      <c r="Z250" s="246">
        <v>270.42764523861933</v>
      </c>
      <c r="AA250" s="244">
        <v>157.08386457067954</v>
      </c>
      <c r="AB250" s="245">
        <v>427.5115098092989</v>
      </c>
      <c r="AC250" s="247">
        <v>-0.53067718854686063</v>
      </c>
      <c r="AD250" s="247">
        <v>-25.597519584392927</v>
      </c>
      <c r="AE250" s="248">
        <v>-26.128196772939759</v>
      </c>
      <c r="AF250" s="234">
        <f>-SUMIF('[1]Alt Fac'!$A$18:$A$139,'REPORT 4 - PROPERTY TAX'!A250,'[1]Alt Fac'!$U$18:$U$139)</f>
        <v>0</v>
      </c>
      <c r="AG250" s="247">
        <f t="shared" si="13"/>
        <v>544.98039865977489</v>
      </c>
      <c r="AH250" s="234">
        <f t="shared" si="14"/>
        <v>-38.92695656513623</v>
      </c>
      <c r="AI250" s="234">
        <f t="shared" si="12"/>
        <v>506.05344209463868</v>
      </c>
      <c r="AJ250" s="170"/>
      <c r="AK250" s="170"/>
      <c r="AL250" s="170"/>
      <c r="AM250" s="170"/>
      <c r="AN250" s="170"/>
      <c r="AO250" s="234"/>
    </row>
    <row r="251" spans="1:41" x14ac:dyDescent="0.25">
      <c r="A251" s="274">
        <v>727</v>
      </c>
      <c r="B251" s="274">
        <v>1</v>
      </c>
      <c r="C251" s="275" t="s">
        <v>521</v>
      </c>
      <c r="D251" s="276">
        <v>4</v>
      </c>
      <c r="E251" s="272">
        <v>12818877</v>
      </c>
      <c r="F251" s="273">
        <v>1282388525</v>
      </c>
      <c r="G251" s="234">
        <v>1623002.6350534225</v>
      </c>
      <c r="H251" s="234">
        <v>4700535.2145939358</v>
      </c>
      <c r="I251" s="174">
        <v>6323537.8496473581</v>
      </c>
      <c r="J251" s="234">
        <v>1564435.7895303597</v>
      </c>
      <c r="K251" s="234">
        <v>4145090.7460068311</v>
      </c>
      <c r="L251" s="175">
        <v>5709526.5355371907</v>
      </c>
      <c r="M251" s="235">
        <v>-58566.845523062861</v>
      </c>
      <c r="N251" s="236">
        <v>-555444.4685871047</v>
      </c>
      <c r="O251" s="175">
        <v>-614011.31411016732</v>
      </c>
      <c r="P251" s="237">
        <v>-9.7099334060981174E-2</v>
      </c>
      <c r="Q251" s="238">
        <v>0.36668853399513357</v>
      </c>
      <c r="R251" s="239">
        <v>1.2656091374908572E-3</v>
      </c>
      <c r="S251" s="240">
        <v>0.32335833677215492</v>
      </c>
      <c r="T251" s="239">
        <v>1.2199390114866785E-3</v>
      </c>
      <c r="U251" s="241">
        <v>-4.333019722297865E-2</v>
      </c>
      <c r="V251" s="242">
        <v>-4.5670126004178704E-5</v>
      </c>
      <c r="W251" s="243">
        <v>462.9809430222557</v>
      </c>
      <c r="X251" s="244">
        <v>126.56091374908573</v>
      </c>
      <c r="Y251" s="245">
        <v>589.54185677134137</v>
      </c>
      <c r="Z251" s="246">
        <v>408.27223600852284</v>
      </c>
      <c r="AA251" s="244">
        <v>121.99390114866786</v>
      </c>
      <c r="AB251" s="245">
        <v>530.26613715719066</v>
      </c>
      <c r="AC251" s="247">
        <v>-54.708707013732862</v>
      </c>
      <c r="AD251" s="247">
        <v>-4.5670126004178684</v>
      </c>
      <c r="AE251" s="248">
        <v>-59.275719614150717</v>
      </c>
      <c r="AF251" s="234">
        <f>-SUMIF('[1]Alt Fac'!$A$18:$A$139,'REPORT 4 - PROPERTY TAX'!A251,'[1]Alt Fac'!$U$18:$U$139)</f>
        <v>0</v>
      </c>
      <c r="AG251" s="247">
        <f t="shared" si="13"/>
        <v>652.82231364588426</v>
      </c>
      <c r="AH251" s="234">
        <f t="shared" si="14"/>
        <v>-61.559225914359651</v>
      </c>
      <c r="AI251" s="234">
        <f t="shared" si="12"/>
        <v>591.26308773152459</v>
      </c>
      <c r="AJ251" s="170"/>
      <c r="AK251" s="170"/>
      <c r="AL251" s="170"/>
      <c r="AM251" s="170"/>
      <c r="AN251" s="170"/>
      <c r="AO251" s="234"/>
    </row>
    <row r="252" spans="1:41" x14ac:dyDescent="0.25">
      <c r="A252" s="274">
        <v>728</v>
      </c>
      <c r="B252" s="274">
        <v>1</v>
      </c>
      <c r="C252" s="275" t="s">
        <v>308</v>
      </c>
      <c r="D252" s="276">
        <v>4</v>
      </c>
      <c r="E252" s="272">
        <v>61433732</v>
      </c>
      <c r="F252" s="273">
        <v>5986152027</v>
      </c>
      <c r="G252" s="234">
        <v>10040124.965485904</v>
      </c>
      <c r="H252" s="234">
        <v>24320957.215241108</v>
      </c>
      <c r="I252" s="174">
        <v>34361082.180727012</v>
      </c>
      <c r="J252" s="234">
        <v>9269080.1666900422</v>
      </c>
      <c r="K252" s="234">
        <v>23412611.084945407</v>
      </c>
      <c r="L252" s="175">
        <v>32681691.251635447</v>
      </c>
      <c r="M252" s="235">
        <v>-771044.79879586212</v>
      </c>
      <c r="N252" s="236">
        <v>-908346.13029570132</v>
      </c>
      <c r="O252" s="175">
        <v>-1679390.9290915653</v>
      </c>
      <c r="P252" s="237">
        <v>-4.8874797372753548E-2</v>
      </c>
      <c r="Q252" s="238">
        <v>0.39588930093390889</v>
      </c>
      <c r="R252" s="239">
        <v>1.6772251891032544E-3</v>
      </c>
      <c r="S252" s="240">
        <v>0.3811035130495638</v>
      </c>
      <c r="T252" s="239">
        <v>1.5484204418602619E-3</v>
      </c>
      <c r="U252" s="241">
        <v>-1.4785787884345092E-2</v>
      </c>
      <c r="V252" s="242">
        <v>-1.2880474724299247E-4</v>
      </c>
      <c r="W252" s="243">
        <v>499.84983135915343</v>
      </c>
      <c r="X252" s="244">
        <v>167.72251891032545</v>
      </c>
      <c r="Y252" s="245">
        <v>667.57235026947887</v>
      </c>
      <c r="Z252" s="246">
        <v>481.18129557637928</v>
      </c>
      <c r="AA252" s="244">
        <v>154.84204418602619</v>
      </c>
      <c r="AB252" s="245">
        <v>636.0233397624055</v>
      </c>
      <c r="AC252" s="247">
        <v>-18.668535782774143</v>
      </c>
      <c r="AD252" s="247">
        <v>-12.880474724299262</v>
      </c>
      <c r="AE252" s="248">
        <v>-31.549010507073376</v>
      </c>
      <c r="AF252" s="234">
        <f>-SUMIF('[1]Alt Fac'!$A$18:$A$139,'REPORT 4 - PROPERTY TAX'!A252,'[1]Alt Fac'!$U$18:$U$139)</f>
        <v>0</v>
      </c>
      <c r="AG252" s="247">
        <f t="shared" si="13"/>
        <v>751.43360972464166</v>
      </c>
      <c r="AH252" s="234">
        <f t="shared" si="14"/>
        <v>-37.989247869222986</v>
      </c>
      <c r="AI252" s="234">
        <f t="shared" si="12"/>
        <v>713.44436185541872</v>
      </c>
      <c r="AJ252" s="170"/>
      <c r="AK252" s="170"/>
      <c r="AL252" s="170"/>
      <c r="AM252" s="170"/>
      <c r="AN252" s="170"/>
      <c r="AO252" s="234"/>
    </row>
    <row r="253" spans="1:41" x14ac:dyDescent="0.25">
      <c r="A253" s="274">
        <v>738</v>
      </c>
      <c r="B253" s="274">
        <v>1</v>
      </c>
      <c r="C253" s="275" t="s">
        <v>432</v>
      </c>
      <c r="D253" s="276">
        <v>5</v>
      </c>
      <c r="E253" s="272">
        <v>3686293</v>
      </c>
      <c r="F253" s="273">
        <v>300747900</v>
      </c>
      <c r="G253" s="234">
        <v>411488.62966386555</v>
      </c>
      <c r="H253" s="234">
        <v>840278.11033430381</v>
      </c>
      <c r="I253" s="174">
        <v>1251766.7399981692</v>
      </c>
      <c r="J253" s="234">
        <v>311811.88753114734</v>
      </c>
      <c r="K253" s="234">
        <v>803400.17557513656</v>
      </c>
      <c r="L253" s="175">
        <v>1115212.063106284</v>
      </c>
      <c r="M253" s="235">
        <v>-99676.742132718209</v>
      </c>
      <c r="N253" s="236">
        <v>-36877.934759167256</v>
      </c>
      <c r="O253" s="175">
        <v>-136554.67689188523</v>
      </c>
      <c r="P253" s="237">
        <v>-0.10908955520905193</v>
      </c>
      <c r="Q253" s="238">
        <v>0.22794664187960745</v>
      </c>
      <c r="R253" s="239">
        <v>1.3682177985743726E-3</v>
      </c>
      <c r="S253" s="240">
        <v>0.21794257146003765</v>
      </c>
      <c r="T253" s="239">
        <v>1.0367882453415215E-3</v>
      </c>
      <c r="U253" s="241">
        <v>-1.0004070419569799E-2</v>
      </c>
      <c r="V253" s="242">
        <v>-3.3142955323285108E-4</v>
      </c>
      <c r="W253" s="243">
        <v>287.80543003719242</v>
      </c>
      <c r="X253" s="244">
        <v>136.82177985743726</v>
      </c>
      <c r="Y253" s="245">
        <v>424.62720989462969</v>
      </c>
      <c r="Z253" s="246">
        <v>275.17429072544354</v>
      </c>
      <c r="AA253" s="244">
        <v>103.67882453415214</v>
      </c>
      <c r="AB253" s="245">
        <v>378.85311525959571</v>
      </c>
      <c r="AC253" s="247">
        <v>-12.631139311748882</v>
      </c>
      <c r="AD253" s="247">
        <v>-33.142955323285122</v>
      </c>
      <c r="AE253" s="248">
        <v>-45.774094635033975</v>
      </c>
      <c r="AF253" s="234">
        <f>-SUMIF('[1]Alt Fac'!$A$18:$A$139,'REPORT 4 - PROPERTY TAX'!A253,'[1]Alt Fac'!$U$18:$U$139)</f>
        <v>0</v>
      </c>
      <c r="AG253" s="247">
        <f t="shared" si="13"/>
        <v>493.03809982334832</v>
      </c>
      <c r="AH253" s="234">
        <f t="shared" si="14"/>
        <v>-62.345572296676494</v>
      </c>
      <c r="AI253" s="234">
        <f t="shared" si="12"/>
        <v>430.69252752667182</v>
      </c>
      <c r="AJ253" s="170"/>
      <c r="AK253" s="170"/>
      <c r="AL253" s="170"/>
      <c r="AM253" s="170"/>
      <c r="AN253" s="170"/>
      <c r="AO253" s="234"/>
    </row>
    <row r="254" spans="1:41" x14ac:dyDescent="0.25">
      <c r="A254" s="274">
        <v>739</v>
      </c>
      <c r="B254" s="274">
        <v>1</v>
      </c>
      <c r="C254" s="275" t="s">
        <v>550</v>
      </c>
      <c r="D254" s="276">
        <v>6</v>
      </c>
      <c r="E254" s="272">
        <v>4951372</v>
      </c>
      <c r="F254" s="273">
        <v>329958200</v>
      </c>
      <c r="G254" s="234">
        <v>709332.73705882346</v>
      </c>
      <c r="H254" s="234">
        <v>1004351.44904288</v>
      </c>
      <c r="I254" s="174">
        <v>1713684.1861017034</v>
      </c>
      <c r="J254" s="234">
        <v>625990.96220068634</v>
      </c>
      <c r="K254" s="234">
        <v>1031634.9692298769</v>
      </c>
      <c r="L254" s="175">
        <v>1657625.9314305633</v>
      </c>
      <c r="M254" s="235">
        <v>-83341.774858137127</v>
      </c>
      <c r="N254" s="236">
        <v>27283.520186996902</v>
      </c>
      <c r="O254" s="175">
        <v>-56058.254671140108</v>
      </c>
      <c r="P254" s="237">
        <v>-3.271212696352277E-2</v>
      </c>
      <c r="Q254" s="238">
        <v>0.20284306027559229</v>
      </c>
      <c r="R254" s="239">
        <v>2.1497654462256841E-3</v>
      </c>
      <c r="S254" s="240">
        <v>0.2083533552376749</v>
      </c>
      <c r="T254" s="239">
        <v>1.8971826194975191E-3</v>
      </c>
      <c r="U254" s="241">
        <v>5.5102949620826069E-3</v>
      </c>
      <c r="V254" s="242">
        <v>-2.5258282672816499E-4</v>
      </c>
      <c r="W254" s="243">
        <v>256.10964790396287</v>
      </c>
      <c r="X254" s="244">
        <v>214.97654462256841</v>
      </c>
      <c r="Y254" s="245">
        <v>471.08619252653125</v>
      </c>
      <c r="Z254" s="246">
        <v>263.06694632308836</v>
      </c>
      <c r="AA254" s="244">
        <v>189.71826194975191</v>
      </c>
      <c r="AB254" s="245">
        <v>452.78520827284024</v>
      </c>
      <c r="AC254" s="247">
        <v>6.9572984191254932</v>
      </c>
      <c r="AD254" s="247">
        <v>-25.258282672816506</v>
      </c>
      <c r="AE254" s="248">
        <v>-18.300984253691013</v>
      </c>
      <c r="AF254" s="234">
        <f>-SUMIF('[1]Alt Fac'!$A$18:$A$139,'REPORT 4 - PROPERTY TAX'!A254,'[1]Alt Fac'!$U$18:$U$139)</f>
        <v>0</v>
      </c>
      <c r="AG254" s="247">
        <f t="shared" si="13"/>
        <v>578.57446483781541</v>
      </c>
      <c r="AH254" s="234">
        <f t="shared" si="14"/>
        <v>-30.930125590099244</v>
      </c>
      <c r="AI254" s="234">
        <f t="shared" si="12"/>
        <v>547.64433924771618</v>
      </c>
      <c r="AJ254" s="170"/>
      <c r="AK254" s="170"/>
      <c r="AL254" s="170"/>
      <c r="AM254" s="170"/>
      <c r="AN254" s="170"/>
      <c r="AO254" s="234"/>
    </row>
    <row r="255" spans="1:41" x14ac:dyDescent="0.25">
      <c r="A255" s="274">
        <v>740</v>
      </c>
      <c r="B255" s="274">
        <v>1</v>
      </c>
      <c r="C255" s="275" t="s">
        <v>584</v>
      </c>
      <c r="D255" s="276">
        <v>5</v>
      </c>
      <c r="E255" s="272">
        <v>7660223</v>
      </c>
      <c r="F255" s="273">
        <v>490268400</v>
      </c>
      <c r="G255" s="234">
        <v>828215.01117647067</v>
      </c>
      <c r="H255" s="234">
        <v>1685586.9512398038</v>
      </c>
      <c r="I255" s="174">
        <v>2513801.9624162745</v>
      </c>
      <c r="J255" s="234">
        <v>714406.65168018057</v>
      </c>
      <c r="K255" s="234">
        <v>1699696.1233130079</v>
      </c>
      <c r="L255" s="175">
        <v>2414102.7749931887</v>
      </c>
      <c r="M255" s="235">
        <v>-113808.3594962901</v>
      </c>
      <c r="N255" s="236">
        <v>14109.17207320407</v>
      </c>
      <c r="O255" s="175">
        <v>-99699.187423085794</v>
      </c>
      <c r="P255" s="237">
        <v>-3.9660716680821835E-2</v>
      </c>
      <c r="Q255" s="238">
        <v>0.22004410984377398</v>
      </c>
      <c r="R255" s="239">
        <v>1.6893093888500068E-3</v>
      </c>
      <c r="S255" s="240">
        <v>0.22188598469169996</v>
      </c>
      <c r="T255" s="239">
        <v>1.457174583718185E-3</v>
      </c>
      <c r="U255" s="241">
        <v>1.8418748479259728E-3</v>
      </c>
      <c r="V255" s="242">
        <v>-2.3213480513182183E-4</v>
      </c>
      <c r="W255" s="243">
        <v>277.82769308874907</v>
      </c>
      <c r="X255" s="244">
        <v>168.93093888500067</v>
      </c>
      <c r="Y255" s="245">
        <v>446.75863197374974</v>
      </c>
      <c r="Z255" s="246">
        <v>280.15324427174039</v>
      </c>
      <c r="AA255" s="244">
        <v>145.71745837181851</v>
      </c>
      <c r="AB255" s="245">
        <v>425.8707026435589</v>
      </c>
      <c r="AC255" s="247">
        <v>2.3255511829913189</v>
      </c>
      <c r="AD255" s="247">
        <v>-23.213480513182162</v>
      </c>
      <c r="AE255" s="248">
        <v>-20.887929330190843</v>
      </c>
      <c r="AF255" s="234">
        <f>-SUMIF('[1]Alt Fac'!$A$18:$A$139,'REPORT 4 - PROPERTY TAX'!A255,'[1]Alt Fac'!$U$18:$U$139)</f>
        <v>0</v>
      </c>
      <c r="AG255" s="247">
        <f t="shared" si="13"/>
        <v>531.22410141625005</v>
      </c>
      <c r="AH255" s="234">
        <f t="shared" si="14"/>
        <v>-32.494669586781939</v>
      </c>
      <c r="AI255" s="234">
        <f t="shared" si="12"/>
        <v>498.72943182946813</v>
      </c>
      <c r="AJ255" s="170"/>
      <c r="AK255" s="170"/>
      <c r="AL255" s="170"/>
      <c r="AM255" s="170"/>
      <c r="AN255" s="170"/>
      <c r="AO255" s="234"/>
    </row>
    <row r="256" spans="1:41" x14ac:dyDescent="0.25">
      <c r="A256" s="274">
        <v>741</v>
      </c>
      <c r="B256" s="274">
        <v>1</v>
      </c>
      <c r="C256" s="275" t="s">
        <v>585</v>
      </c>
      <c r="D256" s="276">
        <v>5</v>
      </c>
      <c r="E256" s="272">
        <v>6986259</v>
      </c>
      <c r="F256" s="273">
        <v>423270450</v>
      </c>
      <c r="G256" s="234">
        <v>474553.70939098066</v>
      </c>
      <c r="H256" s="234">
        <v>1133784.5431038034</v>
      </c>
      <c r="I256" s="174">
        <v>1608338.2524947841</v>
      </c>
      <c r="J256" s="234">
        <v>429922.08237956115</v>
      </c>
      <c r="K256" s="234">
        <v>1185331.9784516392</v>
      </c>
      <c r="L256" s="175">
        <v>1615254.0608312003</v>
      </c>
      <c r="M256" s="235">
        <v>-44631.627011419507</v>
      </c>
      <c r="N256" s="236">
        <v>51547.435347835766</v>
      </c>
      <c r="O256" s="175">
        <v>6915.8083364162594</v>
      </c>
      <c r="P256" s="237">
        <v>4.2999713062154433E-3</v>
      </c>
      <c r="Q256" s="238">
        <v>0.16228779137787525</v>
      </c>
      <c r="R256" s="239">
        <v>1.1211595550574831E-3</v>
      </c>
      <c r="S256" s="240">
        <v>0.1696661945186457</v>
      </c>
      <c r="T256" s="239">
        <v>1.0157148517680862E-3</v>
      </c>
      <c r="U256" s="241">
        <v>7.3784031407704564E-3</v>
      </c>
      <c r="V256" s="242">
        <v>-1.0544470328939688E-4</v>
      </c>
      <c r="W256" s="243">
        <v>204.9045653937053</v>
      </c>
      <c r="X256" s="244">
        <v>112.1159555057483</v>
      </c>
      <c r="Y256" s="245">
        <v>317.02052089945357</v>
      </c>
      <c r="Z256" s="246">
        <v>214.22053719924207</v>
      </c>
      <c r="AA256" s="244">
        <v>101.57148517680862</v>
      </c>
      <c r="AB256" s="245">
        <v>315.79202237605068</v>
      </c>
      <c r="AC256" s="247">
        <v>9.3159718055367762</v>
      </c>
      <c r="AD256" s="247">
        <v>-10.544470328939681</v>
      </c>
      <c r="AE256" s="248">
        <v>-1.2284985234028909</v>
      </c>
      <c r="AF256" s="234">
        <f>-SUMIF('[1]Alt Fac'!$A$18:$A$139,'REPORT 4 - PROPERTY TAX'!A256,'[1]Alt Fac'!$U$18:$U$139)</f>
        <v>0</v>
      </c>
      <c r="AG256" s="247">
        <f t="shared" si="13"/>
        <v>373.07849865232777</v>
      </c>
      <c r="AH256" s="234">
        <f t="shared" si="14"/>
        <v>-6.5007336878727529</v>
      </c>
      <c r="AI256" s="234">
        <f t="shared" si="12"/>
        <v>366.57776496445501</v>
      </c>
      <c r="AJ256" s="170"/>
      <c r="AK256" s="170"/>
      <c r="AL256" s="170"/>
      <c r="AM256" s="170"/>
      <c r="AN256" s="170"/>
      <c r="AO256" s="234"/>
    </row>
    <row r="257" spans="1:41" x14ac:dyDescent="0.25">
      <c r="A257" s="274">
        <v>742</v>
      </c>
      <c r="B257" s="274">
        <v>1</v>
      </c>
      <c r="C257" s="275" t="s">
        <v>587</v>
      </c>
      <c r="D257" s="276">
        <v>4</v>
      </c>
      <c r="E257" s="272">
        <v>73981463</v>
      </c>
      <c r="F257" s="273">
        <v>6209169825</v>
      </c>
      <c r="G257" s="234">
        <v>7473385.7999999998</v>
      </c>
      <c r="H257" s="234">
        <v>8053992.7713541081</v>
      </c>
      <c r="I257" s="174">
        <v>15527378.571354108</v>
      </c>
      <c r="J257" s="234">
        <v>8008587.630287027</v>
      </c>
      <c r="K257" s="234">
        <v>8170725.5074142693</v>
      </c>
      <c r="L257" s="175">
        <v>16179313.137701295</v>
      </c>
      <c r="M257" s="235">
        <v>535201.83028702717</v>
      </c>
      <c r="N257" s="236">
        <v>116732.73606016114</v>
      </c>
      <c r="O257" s="175">
        <v>651934.56634718738</v>
      </c>
      <c r="P257" s="237">
        <v>4.1986132002340533E-2</v>
      </c>
      <c r="Q257" s="238">
        <v>0.10886501083864898</v>
      </c>
      <c r="R257" s="239">
        <v>1.2036046702910079E-3</v>
      </c>
      <c r="S257" s="240">
        <v>0.11044287549996502</v>
      </c>
      <c r="T257" s="239">
        <v>1.2898000628106556E-3</v>
      </c>
      <c r="U257" s="241">
        <v>1.5778646613160419E-3</v>
      </c>
      <c r="V257" s="242">
        <v>8.6195392519647709E-5</v>
      </c>
      <c r="W257" s="243">
        <v>137.45296268487823</v>
      </c>
      <c r="X257" s="244">
        <v>120.36046702910079</v>
      </c>
      <c r="Y257" s="245">
        <v>257.81342971397902</v>
      </c>
      <c r="Z257" s="246">
        <v>139.44517460625585</v>
      </c>
      <c r="AA257" s="244">
        <v>128.98000628106556</v>
      </c>
      <c r="AB257" s="245">
        <v>268.4251808873214</v>
      </c>
      <c r="AC257" s="247">
        <v>1.992211921377617</v>
      </c>
      <c r="AD257" s="247">
        <v>8.6195392519647669</v>
      </c>
      <c r="AE257" s="248">
        <v>10.611751173342384</v>
      </c>
      <c r="AF257" s="234">
        <f>-SUMIF('[1]Alt Fac'!$A$18:$A$139,'REPORT 4 - PROPERTY TAX'!A257,'[1]Alt Fac'!$U$18:$U$139)</f>
        <v>0</v>
      </c>
      <c r="AG257" s="247">
        <f t="shared" si="13"/>
        <v>317.99366322852939</v>
      </c>
      <c r="AH257" s="234">
        <f t="shared" si="14"/>
        <v>14.92152079932479</v>
      </c>
      <c r="AI257" s="234">
        <f t="shared" si="12"/>
        <v>332.9151840278542</v>
      </c>
      <c r="AJ257" s="170"/>
      <c r="AK257" s="170"/>
      <c r="AL257" s="170"/>
      <c r="AM257" s="170"/>
      <c r="AN257" s="170"/>
      <c r="AO257" s="234"/>
    </row>
    <row r="258" spans="1:41" x14ac:dyDescent="0.25">
      <c r="A258" s="274">
        <v>743</v>
      </c>
      <c r="B258" s="274">
        <v>1</v>
      </c>
      <c r="C258" s="275" t="s">
        <v>466</v>
      </c>
      <c r="D258" s="276">
        <v>5</v>
      </c>
      <c r="E258" s="272">
        <v>7011733</v>
      </c>
      <c r="F258" s="273">
        <v>482334350</v>
      </c>
      <c r="G258" s="234">
        <v>1220833.1505882354</v>
      </c>
      <c r="H258" s="234">
        <v>1073762.8080183198</v>
      </c>
      <c r="I258" s="174">
        <v>2294595.9586065551</v>
      </c>
      <c r="J258" s="234">
        <v>1063125.3877395308</v>
      </c>
      <c r="K258" s="234">
        <v>1084373.0506947837</v>
      </c>
      <c r="L258" s="175">
        <v>2147498.4384343144</v>
      </c>
      <c r="M258" s="235">
        <v>-157707.76284870459</v>
      </c>
      <c r="N258" s="236">
        <v>10610.242676463909</v>
      </c>
      <c r="O258" s="175">
        <v>-147097.52017224068</v>
      </c>
      <c r="P258" s="237">
        <v>-6.4106066089983413E-2</v>
      </c>
      <c r="Q258" s="238">
        <v>0.15313800568537334</v>
      </c>
      <c r="R258" s="239">
        <v>2.5310931112168052E-3</v>
      </c>
      <c r="S258" s="240">
        <v>0.15465121827867429</v>
      </c>
      <c r="T258" s="239">
        <v>2.2041253909026609E-3</v>
      </c>
      <c r="U258" s="241">
        <v>1.5132125933009499E-3</v>
      </c>
      <c r="V258" s="242">
        <v>-3.2696772031414433E-4</v>
      </c>
      <c r="W258" s="243">
        <v>193.35204597835241</v>
      </c>
      <c r="X258" s="244">
        <v>253.10931112168052</v>
      </c>
      <c r="Y258" s="245">
        <v>446.46135710003296</v>
      </c>
      <c r="Z258" s="246">
        <v>195.26262819865417</v>
      </c>
      <c r="AA258" s="244">
        <v>220.41253909026608</v>
      </c>
      <c r="AB258" s="245">
        <v>415.67516728892025</v>
      </c>
      <c r="AC258" s="247">
        <v>1.9105822203017624</v>
      </c>
      <c r="AD258" s="247">
        <v>-32.69677203141444</v>
      </c>
      <c r="AE258" s="248">
        <v>-30.786189811112706</v>
      </c>
      <c r="AF258" s="234">
        <f>-SUMIF('[1]Alt Fac'!$A$18:$A$139,'REPORT 4 - PROPERTY TAX'!A258,'[1]Alt Fac'!$U$18:$U$139)</f>
        <v>0</v>
      </c>
      <c r="AG258" s="247">
        <f t="shared" si="13"/>
        <v>573.01601266087323</v>
      </c>
      <c r="AH258" s="234">
        <f t="shared" si="14"/>
        <v>-47.134575826819869</v>
      </c>
      <c r="AI258" s="234">
        <f t="shared" si="12"/>
        <v>525.88143683405337</v>
      </c>
      <c r="AJ258" s="170"/>
      <c r="AK258" s="170"/>
      <c r="AL258" s="170"/>
      <c r="AM258" s="170"/>
      <c r="AN258" s="170"/>
      <c r="AO258" s="234"/>
    </row>
    <row r="259" spans="1:41" x14ac:dyDescent="0.25">
      <c r="A259" s="274">
        <v>745</v>
      </c>
      <c r="B259" s="274">
        <v>1</v>
      </c>
      <c r="C259" s="275" t="s">
        <v>328</v>
      </c>
      <c r="D259" s="276">
        <v>5</v>
      </c>
      <c r="E259" s="272">
        <v>7556340</v>
      </c>
      <c r="F259" s="273">
        <v>612780300</v>
      </c>
      <c r="G259" s="234">
        <v>682000.51642857143</v>
      </c>
      <c r="H259" s="234">
        <v>1943681.032313416</v>
      </c>
      <c r="I259" s="174">
        <v>2625681.5487419874</v>
      </c>
      <c r="J259" s="234">
        <v>613387.68575646903</v>
      </c>
      <c r="K259" s="234">
        <v>1901740.6291730723</v>
      </c>
      <c r="L259" s="175">
        <v>2515128.3149295412</v>
      </c>
      <c r="M259" s="235">
        <v>-68612.830672102398</v>
      </c>
      <c r="N259" s="236">
        <v>-41940.403140343726</v>
      </c>
      <c r="O259" s="175">
        <v>-110553.23381244624</v>
      </c>
      <c r="P259" s="237">
        <v>-4.2104585708580819E-2</v>
      </c>
      <c r="Q259" s="238">
        <v>0.25722519530796867</v>
      </c>
      <c r="R259" s="239">
        <v>1.1129609036526981E-3</v>
      </c>
      <c r="S259" s="240">
        <v>0.2516748358561251</v>
      </c>
      <c r="T259" s="239">
        <v>1.0009911966107087E-3</v>
      </c>
      <c r="U259" s="241">
        <v>-5.5503594518435673E-3</v>
      </c>
      <c r="V259" s="242">
        <v>-1.1196970704198937E-4</v>
      </c>
      <c r="W259" s="243">
        <v>324.77253159584126</v>
      </c>
      <c r="X259" s="244">
        <v>111.29609036526981</v>
      </c>
      <c r="Y259" s="245">
        <v>436.06862196111103</v>
      </c>
      <c r="Z259" s="246">
        <v>317.76464775194358</v>
      </c>
      <c r="AA259" s="244">
        <v>100.09911966107087</v>
      </c>
      <c r="AB259" s="245">
        <v>417.86376741301444</v>
      </c>
      <c r="AC259" s="247">
        <v>-7.0078838438976732</v>
      </c>
      <c r="AD259" s="247">
        <v>-11.196970704198932</v>
      </c>
      <c r="AE259" s="248">
        <v>-18.204854548096591</v>
      </c>
      <c r="AF259" s="234">
        <f>-SUMIF('[1]Alt Fac'!$A$18:$A$139,'REPORT 4 - PROPERTY TAX'!A259,'[1]Alt Fac'!$U$18:$U$139)</f>
        <v>0</v>
      </c>
      <c r="AG259" s="247">
        <f t="shared" si="13"/>
        <v>491.71666714374601</v>
      </c>
      <c r="AH259" s="234">
        <f t="shared" si="14"/>
        <v>-23.803339900196093</v>
      </c>
      <c r="AI259" s="234">
        <f t="shared" si="12"/>
        <v>467.91332724354993</v>
      </c>
      <c r="AJ259" s="170"/>
      <c r="AK259" s="170"/>
      <c r="AL259" s="170"/>
      <c r="AM259" s="170"/>
      <c r="AN259" s="170"/>
      <c r="AO259" s="234"/>
    </row>
    <row r="260" spans="1:41" x14ac:dyDescent="0.25">
      <c r="A260" s="274">
        <v>748</v>
      </c>
      <c r="B260" s="274">
        <v>1</v>
      </c>
      <c r="C260" s="275" t="s">
        <v>441</v>
      </c>
      <c r="D260" s="276">
        <v>4</v>
      </c>
      <c r="E260" s="272">
        <v>14529698</v>
      </c>
      <c r="F260" s="273">
        <v>1307117500</v>
      </c>
      <c r="G260" s="234">
        <v>2223712.8576470586</v>
      </c>
      <c r="H260" s="234">
        <v>4972026.4073710497</v>
      </c>
      <c r="I260" s="174">
        <v>7195739.2650181083</v>
      </c>
      <c r="J260" s="234">
        <v>1899705.1151481895</v>
      </c>
      <c r="K260" s="234">
        <v>4396541.4501856901</v>
      </c>
      <c r="L260" s="175">
        <v>6296246.5653338796</v>
      </c>
      <c r="M260" s="235">
        <v>-324007.74249886908</v>
      </c>
      <c r="N260" s="236">
        <v>-575484.95718535967</v>
      </c>
      <c r="O260" s="175">
        <v>-899492.69968422875</v>
      </c>
      <c r="P260" s="237">
        <v>-0.12500351479619171</v>
      </c>
      <c r="Q260" s="238">
        <v>0.34219750523177078</v>
      </c>
      <c r="R260" s="239">
        <v>1.7012340953640806E-3</v>
      </c>
      <c r="S260" s="240">
        <v>0.30259000911000972</v>
      </c>
      <c r="T260" s="239">
        <v>1.4533545110888572E-3</v>
      </c>
      <c r="U260" s="241">
        <v>-3.9607496121761065E-2</v>
      </c>
      <c r="V260" s="242">
        <v>-2.4787958427522337E-4</v>
      </c>
      <c r="W260" s="243">
        <v>432.05857010563386</v>
      </c>
      <c r="X260" s="244">
        <v>170.12340953640805</v>
      </c>
      <c r="Y260" s="245">
        <v>602.18197964204194</v>
      </c>
      <c r="Z260" s="246">
        <v>382.05014550229834</v>
      </c>
      <c r="AA260" s="244">
        <v>145.33545110888574</v>
      </c>
      <c r="AB260" s="245">
        <v>527.38559661118404</v>
      </c>
      <c r="AC260" s="247">
        <v>-50.008424603335527</v>
      </c>
      <c r="AD260" s="247">
        <v>-24.787958427522312</v>
      </c>
      <c r="AE260" s="248">
        <v>-74.796383030857896</v>
      </c>
      <c r="AF260" s="234">
        <f>-SUMIF('[1]Alt Fac'!$A$18:$A$139,'REPORT 4 - PROPERTY TAX'!A260,'[1]Alt Fac'!$U$18:$U$139)</f>
        <v>0</v>
      </c>
      <c r="AG260" s="247">
        <f t="shared" si="13"/>
        <v>687.24368441024592</v>
      </c>
      <c r="AH260" s="234">
        <f t="shared" si="14"/>
        <v>-87.190362244619024</v>
      </c>
      <c r="AI260" s="234">
        <f t="shared" si="12"/>
        <v>600.05332216562692</v>
      </c>
      <c r="AJ260" s="170"/>
      <c r="AK260" s="170"/>
      <c r="AL260" s="170"/>
      <c r="AM260" s="170"/>
      <c r="AN260" s="170"/>
      <c r="AO260" s="234"/>
    </row>
    <row r="261" spans="1:41" x14ac:dyDescent="0.25">
      <c r="A261" s="274">
        <v>750</v>
      </c>
      <c r="B261" s="274">
        <v>1</v>
      </c>
      <c r="C261" s="275" t="s">
        <v>591</v>
      </c>
      <c r="D261" s="276">
        <v>4</v>
      </c>
      <c r="E261" s="272">
        <v>12986681</v>
      </c>
      <c r="F261" s="273">
        <v>1021144700</v>
      </c>
      <c r="G261" s="234">
        <v>1063080.4445010705</v>
      </c>
      <c r="H261" s="234">
        <v>2990545.158693328</v>
      </c>
      <c r="I261" s="174">
        <v>4053625.6031943988</v>
      </c>
      <c r="J261" s="234">
        <v>975496.84648800804</v>
      </c>
      <c r="K261" s="234">
        <v>3083684.7331785145</v>
      </c>
      <c r="L261" s="175">
        <v>4059181.5796665223</v>
      </c>
      <c r="M261" s="235">
        <v>-87583.598013062496</v>
      </c>
      <c r="N261" s="236">
        <v>93139.574485186487</v>
      </c>
      <c r="O261" s="175">
        <v>5555.976472123526</v>
      </c>
      <c r="P261" s="237">
        <v>1.3706190497082963E-3</v>
      </c>
      <c r="Q261" s="238">
        <v>0.23027786381241891</v>
      </c>
      <c r="R261" s="239">
        <v>1.0410673869247625E-3</v>
      </c>
      <c r="S261" s="240">
        <v>0.23744979438383945</v>
      </c>
      <c r="T261" s="239">
        <v>9.5529737018466441E-4</v>
      </c>
      <c r="U261" s="241">
        <v>7.1719305714205428E-3</v>
      </c>
      <c r="V261" s="242">
        <v>-8.5770016740098118E-5</v>
      </c>
      <c r="W261" s="243">
        <v>290.74883084956014</v>
      </c>
      <c r="X261" s="244">
        <v>104.10673869247626</v>
      </c>
      <c r="Y261" s="245">
        <v>394.85556954203639</v>
      </c>
      <c r="Z261" s="246">
        <v>299.80411038903571</v>
      </c>
      <c r="AA261" s="244">
        <v>95.529737018466435</v>
      </c>
      <c r="AB261" s="245">
        <v>395.33384740750216</v>
      </c>
      <c r="AC261" s="247">
        <v>9.0552795394755776</v>
      </c>
      <c r="AD261" s="247">
        <v>-8.5770016740098214</v>
      </c>
      <c r="AE261" s="248">
        <v>0.47827786546577045</v>
      </c>
      <c r="AF261" s="234">
        <f>-SUMIF('[1]Alt Fac'!$A$18:$A$139,'REPORT 4 - PROPERTY TAX'!A261,'[1]Alt Fac'!$U$18:$U$139)</f>
        <v>0</v>
      </c>
      <c r="AG261" s="247">
        <f t="shared" si="13"/>
        <v>446.90893888827452</v>
      </c>
      <c r="AH261" s="234">
        <f t="shared" si="14"/>
        <v>-3.8102229715391402</v>
      </c>
      <c r="AI261" s="234">
        <f t="shared" si="12"/>
        <v>443.09871591673539</v>
      </c>
      <c r="AJ261" s="170"/>
      <c r="AK261" s="170"/>
      <c r="AL261" s="170"/>
      <c r="AM261" s="170"/>
      <c r="AN261" s="170"/>
      <c r="AO261" s="234"/>
    </row>
    <row r="262" spans="1:41" x14ac:dyDescent="0.25">
      <c r="A262" s="274">
        <v>756</v>
      </c>
      <c r="B262" s="274">
        <v>1</v>
      </c>
      <c r="C262" s="275" t="s">
        <v>553</v>
      </c>
      <c r="D262" s="276">
        <v>6</v>
      </c>
      <c r="E262" s="272">
        <v>5981236</v>
      </c>
      <c r="F262" s="273">
        <v>218126525</v>
      </c>
      <c r="G262" s="234">
        <v>389069.07862791017</v>
      </c>
      <c r="H262" s="234">
        <v>1757997.8328325991</v>
      </c>
      <c r="I262" s="174">
        <v>2147066.9114605091</v>
      </c>
      <c r="J262" s="234">
        <v>331036.62625834311</v>
      </c>
      <c r="K262" s="234">
        <v>1740487.9474803896</v>
      </c>
      <c r="L262" s="175">
        <v>2071524.5737387328</v>
      </c>
      <c r="M262" s="235">
        <v>-58032.452369567065</v>
      </c>
      <c r="N262" s="236">
        <v>-17509.885352209443</v>
      </c>
      <c r="O262" s="175">
        <v>-75542.337721776217</v>
      </c>
      <c r="P262" s="237">
        <v>-3.5183969963185596E-2</v>
      </c>
      <c r="Q262" s="238">
        <v>0.29391882093142607</v>
      </c>
      <c r="R262" s="239">
        <v>1.7836853112105928E-3</v>
      </c>
      <c r="S262" s="240">
        <v>0.29099135153342714</v>
      </c>
      <c r="T262" s="239">
        <v>1.5176358137019012E-3</v>
      </c>
      <c r="U262" s="241">
        <v>-2.9274693979989275E-3</v>
      </c>
      <c r="V262" s="242">
        <v>-2.6604949750869155E-4</v>
      </c>
      <c r="W262" s="243">
        <v>371.10190330801862</v>
      </c>
      <c r="X262" s="244">
        <v>178.36853112105928</v>
      </c>
      <c r="Y262" s="245">
        <v>549.47043442907784</v>
      </c>
      <c r="Z262" s="246">
        <v>367.40568044610518</v>
      </c>
      <c r="AA262" s="244">
        <v>151.76358137019014</v>
      </c>
      <c r="AB262" s="245">
        <v>519.16926181629537</v>
      </c>
      <c r="AC262" s="247">
        <v>-3.6962228619134407</v>
      </c>
      <c r="AD262" s="247">
        <v>-26.604949750869139</v>
      </c>
      <c r="AE262" s="248">
        <v>-30.301172612782466</v>
      </c>
      <c r="AF262" s="234">
        <f>-SUMIF('[1]Alt Fac'!$A$18:$A$139,'REPORT 4 - PROPERTY TAX'!A262,'[1]Alt Fac'!$U$18:$U$139)</f>
        <v>0</v>
      </c>
      <c r="AG262" s="247">
        <f t="shared" si="13"/>
        <v>638.65469998960748</v>
      </c>
      <c r="AH262" s="234">
        <f t="shared" si="14"/>
        <v>-43.603647488217177</v>
      </c>
      <c r="AI262" s="234">
        <f t="shared" si="12"/>
        <v>595.05105250139036</v>
      </c>
      <c r="AJ262" s="170"/>
      <c r="AK262" s="170"/>
      <c r="AL262" s="170"/>
      <c r="AM262" s="170"/>
      <c r="AN262" s="170"/>
      <c r="AO262" s="234"/>
    </row>
    <row r="263" spans="1:41" x14ac:dyDescent="0.25">
      <c r="A263" s="274">
        <v>761</v>
      </c>
      <c r="B263" s="274">
        <v>1</v>
      </c>
      <c r="C263" s="275" t="s">
        <v>594</v>
      </c>
      <c r="D263" s="276">
        <v>4</v>
      </c>
      <c r="E263" s="272">
        <v>25166432</v>
      </c>
      <c r="F263" s="273">
        <v>1943695975</v>
      </c>
      <c r="G263" s="234">
        <v>3371526.7188930968</v>
      </c>
      <c r="H263" s="234">
        <v>3984211.5993521605</v>
      </c>
      <c r="I263" s="174">
        <v>7355738.3182452573</v>
      </c>
      <c r="J263" s="234">
        <v>2983519.4704625709</v>
      </c>
      <c r="K263" s="234">
        <v>3944915.3451016136</v>
      </c>
      <c r="L263" s="175">
        <v>6928434.8155641844</v>
      </c>
      <c r="M263" s="235">
        <v>-388007.24843052588</v>
      </c>
      <c r="N263" s="236">
        <v>-39296.254250546917</v>
      </c>
      <c r="O263" s="175">
        <v>-427303.5026810728</v>
      </c>
      <c r="P263" s="237">
        <v>-5.8091177825233986E-2</v>
      </c>
      <c r="Q263" s="238">
        <v>0.15831451988713222</v>
      </c>
      <c r="R263" s="239">
        <v>1.7345957198337547E-3</v>
      </c>
      <c r="S263" s="240">
        <v>0.15675306476109183</v>
      </c>
      <c r="T263" s="239">
        <v>1.5349722944518476E-3</v>
      </c>
      <c r="U263" s="241">
        <v>-1.5614551260403897E-3</v>
      </c>
      <c r="V263" s="242">
        <v>-1.9962342538190712E-4</v>
      </c>
      <c r="W263" s="243">
        <v>199.88791280949314</v>
      </c>
      <c r="X263" s="244">
        <v>173.45957198337547</v>
      </c>
      <c r="Y263" s="245">
        <v>373.34748479286861</v>
      </c>
      <c r="Z263" s="246">
        <v>197.91641956735455</v>
      </c>
      <c r="AA263" s="244">
        <v>153.49722944518476</v>
      </c>
      <c r="AB263" s="245">
        <v>351.41364901253928</v>
      </c>
      <c r="AC263" s="247">
        <v>-1.9714932421385924</v>
      </c>
      <c r="AD263" s="247">
        <v>-19.962342538190711</v>
      </c>
      <c r="AE263" s="248">
        <v>-21.933835780329332</v>
      </c>
      <c r="AF263" s="234">
        <f>-SUMIF('[1]Alt Fac'!$A$18:$A$139,'REPORT 4 - PROPERTY TAX'!A263,'[1]Alt Fac'!$U$18:$U$139)</f>
        <v>0</v>
      </c>
      <c r="AG263" s="247">
        <f t="shared" si="13"/>
        <v>460.07727078455639</v>
      </c>
      <c r="AH263" s="234">
        <f t="shared" si="14"/>
        <v>-31.915007049424663</v>
      </c>
      <c r="AI263" s="234">
        <f t="shared" si="12"/>
        <v>428.16226373513172</v>
      </c>
      <c r="AJ263" s="170"/>
      <c r="AK263" s="170"/>
      <c r="AL263" s="170"/>
      <c r="AM263" s="170"/>
      <c r="AN263" s="170"/>
      <c r="AO263" s="234"/>
    </row>
    <row r="264" spans="1:41" x14ac:dyDescent="0.25">
      <c r="A264" s="274">
        <v>763</v>
      </c>
      <c r="B264" s="274">
        <v>1</v>
      </c>
      <c r="C264" s="275" t="s">
        <v>596</v>
      </c>
      <c r="D264" s="276">
        <v>6</v>
      </c>
      <c r="E264" s="272">
        <v>3429730</v>
      </c>
      <c r="F264" s="273">
        <v>212432900</v>
      </c>
      <c r="G264" s="234">
        <v>83215.850000000006</v>
      </c>
      <c r="H264" s="234">
        <v>1080903.1723150045</v>
      </c>
      <c r="I264" s="174">
        <v>1164119.0223150046</v>
      </c>
      <c r="J264" s="234">
        <v>171098.68331381181</v>
      </c>
      <c r="K264" s="234">
        <v>976149.88439493941</v>
      </c>
      <c r="L264" s="175">
        <v>1147248.5677087512</v>
      </c>
      <c r="M264" s="235">
        <v>87882.833313811803</v>
      </c>
      <c r="N264" s="236">
        <v>-104753.28792006511</v>
      </c>
      <c r="O264" s="175">
        <v>-16870.454606253421</v>
      </c>
      <c r="P264" s="237">
        <v>-1.4492035851028609E-2</v>
      </c>
      <c r="Q264" s="238">
        <v>0.31515692847979421</v>
      </c>
      <c r="R264" s="239">
        <v>3.9172769378001247E-4</v>
      </c>
      <c r="S264" s="240">
        <v>0.28461420706438684</v>
      </c>
      <c r="T264" s="239">
        <v>8.0542459907957675E-4</v>
      </c>
      <c r="U264" s="241">
        <v>-3.054272141540737E-2</v>
      </c>
      <c r="V264" s="242">
        <v>4.1369690529956428E-4</v>
      </c>
      <c r="W264" s="243">
        <v>397.91713789858824</v>
      </c>
      <c r="X264" s="244">
        <v>39.172769378001249</v>
      </c>
      <c r="Y264" s="245">
        <v>437.08990727658949</v>
      </c>
      <c r="Z264" s="246">
        <v>359.35389783949483</v>
      </c>
      <c r="AA264" s="244">
        <v>80.542459907957678</v>
      </c>
      <c r="AB264" s="245">
        <v>439.8963577474525</v>
      </c>
      <c r="AC264" s="247">
        <v>-38.563240059093403</v>
      </c>
      <c r="AD264" s="247">
        <v>41.369690529956429</v>
      </c>
      <c r="AE264" s="248">
        <v>2.8064504708630125</v>
      </c>
      <c r="AF264" s="234">
        <f>-SUMIF('[1]Alt Fac'!$A$18:$A$139,'REPORT 4 - PROPERTY TAX'!A264,'[1]Alt Fac'!$U$18:$U$139)</f>
        <v>0</v>
      </c>
      <c r="AG264" s="247">
        <f t="shared" si="13"/>
        <v>456.67629196559011</v>
      </c>
      <c r="AH264" s="234">
        <f t="shared" si="14"/>
        <v>23.491295735841291</v>
      </c>
      <c r="AI264" s="234">
        <f t="shared" si="12"/>
        <v>480.16758770143139</v>
      </c>
      <c r="AJ264" s="170"/>
      <c r="AK264" s="170"/>
      <c r="AL264" s="170"/>
      <c r="AM264" s="170"/>
      <c r="AN264" s="170"/>
      <c r="AO264" s="234"/>
    </row>
    <row r="265" spans="1:41" x14ac:dyDescent="0.25">
      <c r="A265" s="274">
        <v>768</v>
      </c>
      <c r="B265" s="274">
        <v>1</v>
      </c>
      <c r="C265" s="275" t="s">
        <v>267</v>
      </c>
      <c r="D265" s="276">
        <v>6</v>
      </c>
      <c r="E265" s="272">
        <v>1962291</v>
      </c>
      <c r="F265" s="273">
        <v>47975380</v>
      </c>
      <c r="G265" s="234">
        <v>165738.25305240956</v>
      </c>
      <c r="H265" s="234">
        <v>353854.3816896191</v>
      </c>
      <c r="I265" s="174">
        <v>519592.63474202866</v>
      </c>
      <c r="J265" s="234">
        <v>95821.01950971449</v>
      </c>
      <c r="K265" s="234">
        <v>345530.2320370524</v>
      </c>
      <c r="L265" s="175">
        <v>441351.2515467669</v>
      </c>
      <c r="M265" s="235">
        <v>-69917.233542695074</v>
      </c>
      <c r="N265" s="236">
        <v>-8324.1496525667026</v>
      </c>
      <c r="O265" s="175">
        <v>-78241.383195261762</v>
      </c>
      <c r="P265" s="237">
        <v>-0.15058216372544936</v>
      </c>
      <c r="Q265" s="238">
        <v>0.18032716946141988</v>
      </c>
      <c r="R265" s="239">
        <v>3.4546522206266956E-3</v>
      </c>
      <c r="S265" s="240">
        <v>0.17608511277738745</v>
      </c>
      <c r="T265" s="239">
        <v>1.9972956860313455E-3</v>
      </c>
      <c r="U265" s="241">
        <v>-4.2420566840324359E-3</v>
      </c>
      <c r="V265" s="242">
        <v>-1.4573565345953501E-3</v>
      </c>
      <c r="W265" s="243">
        <v>227.68108416198876</v>
      </c>
      <c r="X265" s="244">
        <v>345.46522206266957</v>
      </c>
      <c r="Y265" s="245">
        <v>573.14630622465836</v>
      </c>
      <c r="Z265" s="246">
        <v>222.32506339272942</v>
      </c>
      <c r="AA265" s="244">
        <v>199.72956860313454</v>
      </c>
      <c r="AB265" s="245">
        <v>422.05463199586393</v>
      </c>
      <c r="AC265" s="247">
        <v>-5.3560207692593451</v>
      </c>
      <c r="AD265" s="247">
        <v>-145.73565345953503</v>
      </c>
      <c r="AE265" s="248">
        <v>-151.09167422879443</v>
      </c>
      <c r="AF265" s="234">
        <f>-SUMIF('[1]Alt Fac'!$A$18:$A$139,'REPORT 4 - PROPERTY TAX'!A265,'[1]Alt Fac'!$U$18:$U$139)</f>
        <v>0</v>
      </c>
      <c r="AG265" s="247">
        <f t="shared" si="13"/>
        <v>745.87891725599309</v>
      </c>
      <c r="AH265" s="234">
        <f t="shared" si="14"/>
        <v>-223.95950095856188</v>
      </c>
      <c r="AI265" s="234">
        <f t="shared" si="12"/>
        <v>521.91941629743121</v>
      </c>
      <c r="AJ265" s="170"/>
      <c r="AK265" s="170"/>
      <c r="AL265" s="170"/>
      <c r="AM265" s="170"/>
      <c r="AN265" s="170"/>
      <c r="AO265" s="234"/>
    </row>
    <row r="266" spans="1:41" x14ac:dyDescent="0.25">
      <c r="A266" s="274">
        <v>769</v>
      </c>
      <c r="B266" s="274">
        <v>1</v>
      </c>
      <c r="C266" s="275" t="s">
        <v>360</v>
      </c>
      <c r="D266" s="276">
        <v>6</v>
      </c>
      <c r="E266" s="272">
        <v>6067494</v>
      </c>
      <c r="F266" s="273">
        <v>308412975</v>
      </c>
      <c r="G266" s="234">
        <v>725731.56264705898</v>
      </c>
      <c r="H266" s="234">
        <v>2254376.7578940741</v>
      </c>
      <c r="I266" s="174">
        <v>2980108.3205411332</v>
      </c>
      <c r="J266" s="234">
        <v>503253.17347468063</v>
      </c>
      <c r="K266" s="234">
        <v>2241877.6888720491</v>
      </c>
      <c r="L266" s="175">
        <v>2745130.8623467297</v>
      </c>
      <c r="M266" s="235">
        <v>-222478.38917237835</v>
      </c>
      <c r="N266" s="236">
        <v>-12499.069022024982</v>
      </c>
      <c r="O266" s="175">
        <v>-234977.45819440344</v>
      </c>
      <c r="P266" s="237">
        <v>-7.8848629955751356E-2</v>
      </c>
      <c r="Q266" s="238">
        <v>0.37154989488149048</v>
      </c>
      <c r="R266" s="239">
        <v>2.3531161834130323E-3</v>
      </c>
      <c r="S266" s="240">
        <v>0.36948988970933455</v>
      </c>
      <c r="T266" s="239">
        <v>1.6317509776450898E-3</v>
      </c>
      <c r="U266" s="241">
        <v>-2.060005172155932E-3</v>
      </c>
      <c r="V266" s="242">
        <v>-7.2136520576794247E-4</v>
      </c>
      <c r="W266" s="243">
        <v>469.11889727736991</v>
      </c>
      <c r="X266" s="244">
        <v>235.31161834130324</v>
      </c>
      <c r="Y266" s="245">
        <v>704.4305156186731</v>
      </c>
      <c r="Z266" s="246">
        <v>466.51793474700588</v>
      </c>
      <c r="AA266" s="244">
        <v>163.17509776450899</v>
      </c>
      <c r="AB266" s="245">
        <v>629.69303251151484</v>
      </c>
      <c r="AC266" s="247">
        <v>-2.6009625303640291</v>
      </c>
      <c r="AD266" s="247">
        <v>-72.136520576794254</v>
      </c>
      <c r="AE266" s="248">
        <v>-74.737483107158255</v>
      </c>
      <c r="AF266" s="234">
        <f>-SUMIF('[1]Alt Fac'!$A$18:$A$139,'REPORT 4 - PROPERTY TAX'!A266,'[1]Alt Fac'!$U$18:$U$139)</f>
        <v>0</v>
      </c>
      <c r="AG266" s="247">
        <f t="shared" si="13"/>
        <v>822.08632478932475</v>
      </c>
      <c r="AH266" s="234">
        <f t="shared" si="14"/>
        <v>-110.80574339555545</v>
      </c>
      <c r="AI266" s="234">
        <f t="shared" si="12"/>
        <v>711.28058139376935</v>
      </c>
      <c r="AJ266" s="170"/>
      <c r="AK266" s="170"/>
      <c r="AL266" s="170"/>
      <c r="AM266" s="170"/>
      <c r="AN266" s="170"/>
      <c r="AO266" s="234"/>
    </row>
    <row r="267" spans="1:41" x14ac:dyDescent="0.25">
      <c r="A267" s="274">
        <v>771</v>
      </c>
      <c r="B267" s="274">
        <v>1</v>
      </c>
      <c r="C267" s="275" t="s">
        <v>599</v>
      </c>
      <c r="D267" s="276">
        <v>6</v>
      </c>
      <c r="E267" s="272">
        <v>3515760</v>
      </c>
      <c r="F267" s="273">
        <v>52142470</v>
      </c>
      <c r="G267" s="234">
        <v>410505.38000000006</v>
      </c>
      <c r="H267" s="234">
        <v>79515.414000000004</v>
      </c>
      <c r="I267" s="174">
        <v>490020.79400000005</v>
      </c>
      <c r="J267" s="234">
        <v>399810.16101763106</v>
      </c>
      <c r="K267" s="234">
        <v>148700.38801746906</v>
      </c>
      <c r="L267" s="175">
        <v>548510.54903510015</v>
      </c>
      <c r="M267" s="235">
        <v>-10695.218982368999</v>
      </c>
      <c r="N267" s="236">
        <v>69184.974017469052</v>
      </c>
      <c r="O267" s="175">
        <v>58489.755035100097</v>
      </c>
      <c r="P267" s="237">
        <v>0.11936178168614635</v>
      </c>
      <c r="Q267" s="238">
        <v>2.2616849272987918E-2</v>
      </c>
      <c r="R267" s="239">
        <v>7.8727643703875184E-3</v>
      </c>
      <c r="S267" s="240">
        <v>4.2295375115897857E-2</v>
      </c>
      <c r="T267" s="239">
        <v>7.6676490587736078E-3</v>
      </c>
      <c r="U267" s="241">
        <v>1.9678525842909939E-2</v>
      </c>
      <c r="V267" s="242">
        <v>-2.0511531161391053E-4</v>
      </c>
      <c r="W267" s="243">
        <v>28.556033892074549</v>
      </c>
      <c r="X267" s="244">
        <v>787.27643703875185</v>
      </c>
      <c r="Y267" s="245">
        <v>815.83247093082639</v>
      </c>
      <c r="Z267" s="246">
        <v>53.402140621332642</v>
      </c>
      <c r="AA267" s="244">
        <v>766.76490587736077</v>
      </c>
      <c r="AB267" s="245">
        <v>820.16704649869337</v>
      </c>
      <c r="AC267" s="247">
        <v>24.846106729258093</v>
      </c>
      <c r="AD267" s="247">
        <v>-20.511531161391076</v>
      </c>
      <c r="AE267" s="248">
        <v>4.3345755678669775</v>
      </c>
      <c r="AF267" s="234">
        <f>-SUMIF('[1]Alt Fac'!$A$18:$A$139,'REPORT 4 - PROPERTY TAX'!A267,'[1]Alt Fac'!$U$18:$U$139)</f>
        <v>0</v>
      </c>
      <c r="AG267" s="247">
        <f t="shared" si="13"/>
        <v>1209.4706894502024</v>
      </c>
      <c r="AH267" s="234">
        <f t="shared" si="14"/>
        <v>-5.921190012828486</v>
      </c>
      <c r="AI267" s="234">
        <f t="shared" si="12"/>
        <v>1203.5494994373739</v>
      </c>
      <c r="AJ267" s="170"/>
      <c r="AK267" s="170"/>
      <c r="AL267" s="170"/>
      <c r="AM267" s="170"/>
      <c r="AN267" s="170"/>
      <c r="AO267" s="234"/>
    </row>
    <row r="268" spans="1:41" x14ac:dyDescent="0.25">
      <c r="A268" s="274">
        <v>775</v>
      </c>
      <c r="B268" s="274">
        <v>1</v>
      </c>
      <c r="C268" s="275" t="s">
        <v>314</v>
      </c>
      <c r="D268" s="276">
        <v>6</v>
      </c>
      <c r="E268" s="272">
        <v>5710715</v>
      </c>
      <c r="F268" s="273">
        <v>126069895</v>
      </c>
      <c r="G268" s="234">
        <v>270951.75811546843</v>
      </c>
      <c r="H268" s="234">
        <v>781503.59119217307</v>
      </c>
      <c r="I268" s="174">
        <v>1052455.3493076414</v>
      </c>
      <c r="J268" s="234">
        <v>174828.56133168325</v>
      </c>
      <c r="K268" s="234">
        <v>856961.12914845743</v>
      </c>
      <c r="L268" s="175">
        <v>1031789.6904801407</v>
      </c>
      <c r="M268" s="235">
        <v>-96123.196783785184</v>
      </c>
      <c r="N268" s="236">
        <v>75457.537956284359</v>
      </c>
      <c r="O268" s="175">
        <v>-20665.658827500651</v>
      </c>
      <c r="P268" s="237">
        <v>-1.9635663252693402E-2</v>
      </c>
      <c r="Q268" s="238">
        <v>0.13684864175364611</v>
      </c>
      <c r="R268" s="239">
        <v>2.1492185593988827E-3</v>
      </c>
      <c r="S268" s="240">
        <v>0.15006196757296722</v>
      </c>
      <c r="T268" s="239">
        <v>1.386758998503832E-3</v>
      </c>
      <c r="U268" s="241">
        <v>1.3213325819321109E-2</v>
      </c>
      <c r="V268" s="242">
        <v>-7.6245956089505073E-4</v>
      </c>
      <c r="W268" s="243">
        <v>172.7850950781536</v>
      </c>
      <c r="X268" s="244">
        <v>214.92185593988827</v>
      </c>
      <c r="Y268" s="245">
        <v>387.70695101804188</v>
      </c>
      <c r="Z268" s="246">
        <v>189.46824025762842</v>
      </c>
      <c r="AA268" s="244">
        <v>138.67589985038319</v>
      </c>
      <c r="AB268" s="245">
        <v>328.14414010801158</v>
      </c>
      <c r="AC268" s="247">
        <v>16.68314517947482</v>
      </c>
      <c r="AD268" s="247">
        <v>-76.245956089505086</v>
      </c>
      <c r="AE268" s="248">
        <v>-59.562810910030294</v>
      </c>
      <c r="AF268" s="234">
        <f>-SUMIF('[1]Alt Fac'!$A$18:$A$139,'REPORT 4 - PROPERTY TAX'!A268,'[1]Alt Fac'!$U$18:$U$139)</f>
        <v>0</v>
      </c>
      <c r="AG268" s="247">
        <f t="shared" si="13"/>
        <v>495.167878987986</v>
      </c>
      <c r="AH268" s="234">
        <f t="shared" si="14"/>
        <v>-97.68578895478278</v>
      </c>
      <c r="AI268" s="234">
        <f t="shared" si="12"/>
        <v>397.48209003320324</v>
      </c>
      <c r="AJ268" s="170"/>
      <c r="AK268" s="170"/>
      <c r="AL268" s="170"/>
      <c r="AM268" s="170"/>
      <c r="AN268" s="170"/>
      <c r="AO268" s="234"/>
    </row>
    <row r="269" spans="1:41" x14ac:dyDescent="0.25">
      <c r="A269" s="274">
        <v>777</v>
      </c>
      <c r="B269" s="274">
        <v>1</v>
      </c>
      <c r="C269" s="275" t="s">
        <v>454</v>
      </c>
      <c r="D269" s="276">
        <v>6</v>
      </c>
      <c r="E269" s="272">
        <v>9704962</v>
      </c>
      <c r="F269" s="273">
        <v>300949780</v>
      </c>
      <c r="G269" s="234">
        <v>476590.34403361339</v>
      </c>
      <c r="H269" s="234">
        <v>665435.55729828263</v>
      </c>
      <c r="I269" s="174">
        <v>1142025.901331896</v>
      </c>
      <c r="J269" s="234">
        <v>418972.04072875937</v>
      </c>
      <c r="K269" s="234">
        <v>832106.41145129153</v>
      </c>
      <c r="L269" s="175">
        <v>1251078.4521800508</v>
      </c>
      <c r="M269" s="235">
        <v>-57618.303304854024</v>
      </c>
      <c r="N269" s="236">
        <v>166670.8541530089</v>
      </c>
      <c r="O269" s="175">
        <v>109052.55084815482</v>
      </c>
      <c r="P269" s="237">
        <v>9.5490435655593703E-2</v>
      </c>
      <c r="Q269" s="238">
        <v>6.8566528884737785E-2</v>
      </c>
      <c r="R269" s="239">
        <v>1.5836208421006767E-3</v>
      </c>
      <c r="S269" s="240">
        <v>8.574030598484482E-2</v>
      </c>
      <c r="T269" s="239">
        <v>1.3921659644634376E-3</v>
      </c>
      <c r="U269" s="241">
        <v>1.7173777100107035E-2</v>
      </c>
      <c r="V269" s="242">
        <v>-1.9145487763723911E-4</v>
      </c>
      <c r="W269" s="243">
        <v>86.572099369869932</v>
      </c>
      <c r="X269" s="244">
        <v>158.36208421006768</v>
      </c>
      <c r="Y269" s="245">
        <v>244.93418357993761</v>
      </c>
      <c r="Z269" s="246">
        <v>108.25571033646509</v>
      </c>
      <c r="AA269" s="244">
        <v>139.21659644634377</v>
      </c>
      <c r="AB269" s="245">
        <v>247.47230678280886</v>
      </c>
      <c r="AC269" s="247">
        <v>21.683610966595154</v>
      </c>
      <c r="AD269" s="247">
        <v>-19.145487763723906</v>
      </c>
      <c r="AE269" s="248">
        <v>2.5381232028712475</v>
      </c>
      <c r="AF269" s="234">
        <f>-SUMIF('[1]Alt Fac'!$A$18:$A$139,'REPORT 4 - PROPERTY TAX'!A269,'[1]Alt Fac'!$U$18:$U$139)</f>
        <v>0</v>
      </c>
      <c r="AG269" s="247">
        <f t="shared" si="13"/>
        <v>324.11522568497145</v>
      </c>
      <c r="AH269" s="234">
        <f t="shared" si="14"/>
        <v>-7.0346206789907235</v>
      </c>
      <c r="AI269" s="234">
        <f t="shared" si="12"/>
        <v>317.08060500598071</v>
      </c>
      <c r="AJ269" s="170"/>
      <c r="AK269" s="170"/>
      <c r="AL269" s="170"/>
      <c r="AM269" s="170"/>
      <c r="AN269" s="170"/>
      <c r="AO269" s="234"/>
    </row>
    <row r="270" spans="1:41" x14ac:dyDescent="0.25">
      <c r="A270" s="274">
        <v>786</v>
      </c>
      <c r="B270" s="274">
        <v>1</v>
      </c>
      <c r="C270" s="275" t="s">
        <v>600</v>
      </c>
      <c r="D270" s="276">
        <v>6</v>
      </c>
      <c r="E270" s="272">
        <v>1261407</v>
      </c>
      <c r="F270" s="273">
        <v>64345540</v>
      </c>
      <c r="G270" s="234">
        <v>128975.26014274948</v>
      </c>
      <c r="H270" s="234">
        <v>419249.376603521</v>
      </c>
      <c r="I270" s="174">
        <v>548224.63674627047</v>
      </c>
      <c r="J270" s="234">
        <v>94686.889745145745</v>
      </c>
      <c r="K270" s="234">
        <v>385649.43890363193</v>
      </c>
      <c r="L270" s="175">
        <v>480336.32864877768</v>
      </c>
      <c r="M270" s="235">
        <v>-34288.370397603736</v>
      </c>
      <c r="N270" s="236">
        <v>-33599.937699889066</v>
      </c>
      <c r="O270" s="175">
        <v>-67888.308097492787</v>
      </c>
      <c r="P270" s="237">
        <v>-0.12383301213971688</v>
      </c>
      <c r="Q270" s="238">
        <v>0.33236645793429165</v>
      </c>
      <c r="R270" s="239">
        <v>2.0044164699332618E-3</v>
      </c>
      <c r="S270" s="240">
        <v>0.30572958522002169</v>
      </c>
      <c r="T270" s="239">
        <v>1.4715377281027675E-3</v>
      </c>
      <c r="U270" s="241">
        <v>-2.6636872714269955E-2</v>
      </c>
      <c r="V270" s="242">
        <v>-5.3287874183049425E-4</v>
      </c>
      <c r="W270" s="243">
        <v>419.64588978783667</v>
      </c>
      <c r="X270" s="244">
        <v>200.44164699332617</v>
      </c>
      <c r="Y270" s="245">
        <v>620.08753678116284</v>
      </c>
      <c r="Z270" s="246">
        <v>386.01417429879945</v>
      </c>
      <c r="AA270" s="244">
        <v>147.15377281027676</v>
      </c>
      <c r="AB270" s="245">
        <v>533.16794710907618</v>
      </c>
      <c r="AC270" s="247">
        <v>-33.631715489037219</v>
      </c>
      <c r="AD270" s="247">
        <v>-53.287874183049411</v>
      </c>
      <c r="AE270" s="248">
        <v>-86.919589672086659</v>
      </c>
      <c r="AF270" s="234">
        <f>-SUMIF('[1]Alt Fac'!$A$18:$A$139,'REPORT 4 - PROPERTY TAX'!A270,'[1]Alt Fac'!$U$18:$U$139)</f>
        <v>0</v>
      </c>
      <c r="AG270" s="247">
        <f t="shared" si="13"/>
        <v>720.30836027782595</v>
      </c>
      <c r="AH270" s="234">
        <f t="shared" si="14"/>
        <v>-113.56352676361139</v>
      </c>
      <c r="AI270" s="234">
        <f t="shared" si="12"/>
        <v>606.74483351421452</v>
      </c>
      <c r="AJ270" s="170"/>
      <c r="AK270" s="170"/>
      <c r="AL270" s="170"/>
      <c r="AM270" s="170"/>
      <c r="AN270" s="170"/>
      <c r="AO270" s="234"/>
    </row>
    <row r="271" spans="1:41" x14ac:dyDescent="0.25">
      <c r="A271" s="274">
        <v>787</v>
      </c>
      <c r="B271" s="274">
        <v>1</v>
      </c>
      <c r="C271" s="275" t="s">
        <v>601</v>
      </c>
      <c r="D271" s="276">
        <v>6</v>
      </c>
      <c r="E271" s="272">
        <v>1816790</v>
      </c>
      <c r="F271" s="273">
        <v>100722150</v>
      </c>
      <c r="G271" s="234">
        <v>73898.736032721645</v>
      </c>
      <c r="H271" s="234">
        <v>295669.8840148715</v>
      </c>
      <c r="I271" s="174">
        <v>369568.62004759314</v>
      </c>
      <c r="J271" s="234">
        <v>81124.100705845238</v>
      </c>
      <c r="K271" s="234">
        <v>291086.92851464759</v>
      </c>
      <c r="L271" s="175">
        <v>372211.02922049281</v>
      </c>
      <c r="M271" s="235">
        <v>7225.3646731235931</v>
      </c>
      <c r="N271" s="236">
        <v>-4582.9555002239067</v>
      </c>
      <c r="O271" s="175">
        <v>2642.4091728996718</v>
      </c>
      <c r="P271" s="237">
        <v>7.1499825189686875E-3</v>
      </c>
      <c r="Q271" s="238">
        <v>0.16274301598691732</v>
      </c>
      <c r="R271" s="239">
        <v>7.3368902503294104E-4</v>
      </c>
      <c r="S271" s="240">
        <v>0.16022045944476113</v>
      </c>
      <c r="T271" s="239">
        <v>8.0542463307073213E-4</v>
      </c>
      <c r="U271" s="241">
        <v>-2.5225565421561902E-3</v>
      </c>
      <c r="V271" s="242">
        <v>7.1735608037791086E-5</v>
      </c>
      <c r="W271" s="243">
        <v>205.47933198508181</v>
      </c>
      <c r="X271" s="244">
        <v>73.368902503294109</v>
      </c>
      <c r="Y271" s="245">
        <v>278.84823448837591</v>
      </c>
      <c r="Z271" s="246">
        <v>202.29435209495543</v>
      </c>
      <c r="AA271" s="244">
        <v>80.542463307073206</v>
      </c>
      <c r="AB271" s="245">
        <v>282.83681540202861</v>
      </c>
      <c r="AC271" s="247">
        <v>-3.1849798901263853</v>
      </c>
      <c r="AD271" s="247">
        <v>7.1735608037790968</v>
      </c>
      <c r="AE271" s="248">
        <v>3.9885809136526973</v>
      </c>
      <c r="AF271" s="234">
        <f>-SUMIF('[1]Alt Fac'!$A$18:$A$139,'REPORT 4 - PROPERTY TAX'!A271,'[1]Alt Fac'!$U$18:$U$139)</f>
        <v>0</v>
      </c>
      <c r="AG271" s="247">
        <f t="shared" si="13"/>
        <v>315.532685740023</v>
      </c>
      <c r="AH271" s="234">
        <f t="shared" si="14"/>
        <v>7.5753613155422563</v>
      </c>
      <c r="AI271" s="234">
        <f t="shared" si="12"/>
        <v>323.10804705556524</v>
      </c>
      <c r="AJ271" s="170"/>
      <c r="AK271" s="170"/>
      <c r="AL271" s="170"/>
      <c r="AM271" s="170"/>
      <c r="AN271" s="170"/>
      <c r="AO271" s="234"/>
    </row>
    <row r="272" spans="1:41" x14ac:dyDescent="0.25">
      <c r="A272" s="274">
        <v>801</v>
      </c>
      <c r="B272" s="274">
        <v>1</v>
      </c>
      <c r="C272" s="275" t="s">
        <v>602</v>
      </c>
      <c r="D272" s="276">
        <v>6</v>
      </c>
      <c r="E272" s="272">
        <v>1210378</v>
      </c>
      <c r="F272" s="273">
        <v>20794725</v>
      </c>
      <c r="G272" s="234">
        <v>81522.883101774394</v>
      </c>
      <c r="H272" s="234">
        <v>50880.362614881735</v>
      </c>
      <c r="I272" s="174">
        <v>132403.24571665612</v>
      </c>
      <c r="J272" s="234">
        <v>61958.227304321241</v>
      </c>
      <c r="K272" s="234">
        <v>63416.016670821715</v>
      </c>
      <c r="L272" s="175">
        <v>125374.24397514295</v>
      </c>
      <c r="M272" s="235">
        <v>-19564.655797453153</v>
      </c>
      <c r="N272" s="236">
        <v>12535.65405593998</v>
      </c>
      <c r="O272" s="175">
        <v>-7029.0017415131733</v>
      </c>
      <c r="P272" s="237">
        <v>-5.3087835600007016E-2</v>
      </c>
      <c r="Q272" s="238">
        <v>4.2036754315496264E-2</v>
      </c>
      <c r="R272" s="239">
        <v>3.9203636067211469E-3</v>
      </c>
      <c r="S272" s="240">
        <v>5.239356355685721E-2</v>
      </c>
      <c r="T272" s="239">
        <v>2.9795165506791383E-3</v>
      </c>
      <c r="U272" s="241">
        <v>1.0356809241360947E-2</v>
      </c>
      <c r="V272" s="242">
        <v>-9.4084705604200857E-4</v>
      </c>
      <c r="W272" s="243">
        <v>53.075605998745587</v>
      </c>
      <c r="X272" s="244">
        <v>392.03636067211471</v>
      </c>
      <c r="Y272" s="245">
        <v>445.11196667086028</v>
      </c>
      <c r="Z272" s="246">
        <v>66.152113346887916</v>
      </c>
      <c r="AA272" s="244">
        <v>297.95165506791386</v>
      </c>
      <c r="AB272" s="245">
        <v>364.10376841480178</v>
      </c>
      <c r="AC272" s="247">
        <v>13.076507348142329</v>
      </c>
      <c r="AD272" s="247">
        <v>-94.084705604200849</v>
      </c>
      <c r="AE272" s="248">
        <v>-81.008198256058506</v>
      </c>
      <c r="AF272" s="234">
        <f>-SUMIF('[1]Alt Fac'!$A$18:$A$139,'REPORT 4 - PROPERTY TAX'!A272,'[1]Alt Fac'!$U$18:$U$139)</f>
        <v>0</v>
      </c>
      <c r="AG272" s="247">
        <f t="shared" si="13"/>
        <v>641.13014700691758</v>
      </c>
      <c r="AH272" s="234">
        <f t="shared" si="14"/>
        <v>-128.05055105815893</v>
      </c>
      <c r="AI272" s="234">
        <f t="shared" si="12"/>
        <v>513.07959594875865</v>
      </c>
      <c r="AJ272" s="170"/>
      <c r="AK272" s="170"/>
      <c r="AL272" s="170"/>
      <c r="AM272" s="170"/>
      <c r="AN272" s="170"/>
      <c r="AO272" s="234"/>
    </row>
    <row r="273" spans="1:41" x14ac:dyDescent="0.25">
      <c r="A273" s="274">
        <v>803</v>
      </c>
      <c r="B273" s="274">
        <v>1</v>
      </c>
      <c r="C273" s="275" t="s">
        <v>478</v>
      </c>
      <c r="D273" s="276">
        <v>6</v>
      </c>
      <c r="E273" s="272">
        <v>5970904</v>
      </c>
      <c r="F273" s="273">
        <v>92609935</v>
      </c>
      <c r="G273" s="234">
        <v>436234.98347494559</v>
      </c>
      <c r="H273" s="234">
        <v>186186.01800000001</v>
      </c>
      <c r="I273" s="174">
        <v>622421.00147494557</v>
      </c>
      <c r="J273" s="234">
        <v>277673.16210571892</v>
      </c>
      <c r="K273" s="234">
        <v>287063.07551068848</v>
      </c>
      <c r="L273" s="175">
        <v>564736.23761640745</v>
      </c>
      <c r="M273" s="235">
        <v>-158561.82136922667</v>
      </c>
      <c r="N273" s="236">
        <v>100877.05751068846</v>
      </c>
      <c r="O273" s="175">
        <v>-57684.763858538121</v>
      </c>
      <c r="P273" s="237">
        <v>-9.2678048654918521E-2</v>
      </c>
      <c r="Q273" s="238">
        <v>3.1182215959258432E-2</v>
      </c>
      <c r="R273" s="239">
        <v>4.710455562623444E-3</v>
      </c>
      <c r="S273" s="240">
        <v>4.8076987255311503E-2</v>
      </c>
      <c r="T273" s="239">
        <v>2.9983085735425571E-3</v>
      </c>
      <c r="U273" s="241">
        <v>1.689477129605307E-2</v>
      </c>
      <c r="V273" s="242">
        <v>-1.712146989080887E-3</v>
      </c>
      <c r="W273" s="243">
        <v>39.370665870159698</v>
      </c>
      <c r="X273" s="244">
        <v>471.04555626234441</v>
      </c>
      <c r="Y273" s="245">
        <v>510.41622213250412</v>
      </c>
      <c r="Z273" s="246">
        <v>60.702004108556309</v>
      </c>
      <c r="AA273" s="244">
        <v>299.83085735425573</v>
      </c>
      <c r="AB273" s="245">
        <v>360.53286146281204</v>
      </c>
      <c r="AC273" s="247">
        <v>21.331338238396611</v>
      </c>
      <c r="AD273" s="247">
        <v>-171.21469890808868</v>
      </c>
      <c r="AE273" s="248">
        <v>-149.88336066969208</v>
      </c>
      <c r="AF273" s="234">
        <f>-SUMIF('[1]Alt Fac'!$A$18:$A$139,'REPORT 4 - PROPERTY TAX'!A273,'[1]Alt Fac'!$U$18:$U$139)</f>
        <v>0</v>
      </c>
      <c r="AG273" s="247">
        <f t="shared" si="13"/>
        <v>745.93900026367623</v>
      </c>
      <c r="AH273" s="234">
        <f t="shared" si="14"/>
        <v>-235.49071012373645</v>
      </c>
      <c r="AI273" s="234">
        <f t="shared" si="12"/>
        <v>510.44829013993979</v>
      </c>
      <c r="AJ273" s="170"/>
      <c r="AK273" s="170"/>
      <c r="AL273" s="170"/>
      <c r="AM273" s="170"/>
      <c r="AN273" s="170"/>
      <c r="AO273" s="234"/>
    </row>
    <row r="274" spans="1:41" x14ac:dyDescent="0.25">
      <c r="A274" s="274">
        <v>811</v>
      </c>
      <c r="B274" s="274">
        <v>1</v>
      </c>
      <c r="C274" s="275" t="s">
        <v>604</v>
      </c>
      <c r="D274" s="276">
        <v>6</v>
      </c>
      <c r="E274" s="272">
        <v>5511293</v>
      </c>
      <c r="F274" s="273">
        <v>432118700</v>
      </c>
      <c r="G274" s="234">
        <v>811013.49</v>
      </c>
      <c r="H274" s="234">
        <v>403293.30354654533</v>
      </c>
      <c r="I274" s="174">
        <v>1214306.7935465453</v>
      </c>
      <c r="J274" s="234">
        <v>864760.32387758233</v>
      </c>
      <c r="K274" s="234">
        <v>470372.24754162994</v>
      </c>
      <c r="L274" s="175">
        <v>1335132.5714192123</v>
      </c>
      <c r="M274" s="235">
        <v>53746.833877582336</v>
      </c>
      <c r="N274" s="236">
        <v>67078.943995084614</v>
      </c>
      <c r="O274" s="175">
        <v>120825.77787266695</v>
      </c>
      <c r="P274" s="237">
        <v>9.9501854485866056E-2</v>
      </c>
      <c r="Q274" s="238">
        <v>7.3175805304952088E-2</v>
      </c>
      <c r="R274" s="239">
        <v>1.8768303477724986E-3</v>
      </c>
      <c r="S274" s="240">
        <v>8.534698618665891E-2</v>
      </c>
      <c r="T274" s="239">
        <v>2.0012101394306296E-3</v>
      </c>
      <c r="U274" s="241">
        <v>1.2171180881706822E-2</v>
      </c>
      <c r="V274" s="242">
        <v>1.2437979165813096E-4</v>
      </c>
      <c r="W274" s="243">
        <v>92.391771778032521</v>
      </c>
      <c r="X274" s="244">
        <v>187.68303477724987</v>
      </c>
      <c r="Y274" s="245">
        <v>280.07480655528241</v>
      </c>
      <c r="Z274" s="246">
        <v>107.75910475927556</v>
      </c>
      <c r="AA274" s="244">
        <v>200.12101394306296</v>
      </c>
      <c r="AB274" s="245">
        <v>307.88011870233851</v>
      </c>
      <c r="AC274" s="247">
        <v>15.367332981243038</v>
      </c>
      <c r="AD274" s="247">
        <v>12.43797916581309</v>
      </c>
      <c r="AE274" s="248">
        <v>27.8053121470561</v>
      </c>
      <c r="AF274" s="234">
        <f>-SUMIF('[1]Alt Fac'!$A$18:$A$139,'REPORT 4 - PROPERTY TAX'!A274,'[1]Alt Fac'!$U$18:$U$139)</f>
        <v>0</v>
      </c>
      <c r="AG274" s="247">
        <f t="shared" si="13"/>
        <v>373.91632394390734</v>
      </c>
      <c r="AH274" s="234">
        <f t="shared" si="14"/>
        <v>34.02430172996268</v>
      </c>
      <c r="AI274" s="234">
        <f t="shared" si="12"/>
        <v>407.94062567387004</v>
      </c>
      <c r="AJ274" s="170"/>
      <c r="AK274" s="170"/>
      <c r="AL274" s="170"/>
      <c r="AM274" s="170"/>
      <c r="AN274" s="170"/>
      <c r="AO274" s="234"/>
    </row>
    <row r="275" spans="1:41" x14ac:dyDescent="0.25">
      <c r="A275" s="274">
        <v>813</v>
      </c>
      <c r="B275" s="274">
        <v>1</v>
      </c>
      <c r="C275" s="275" t="s">
        <v>455</v>
      </c>
      <c r="D275" s="276">
        <v>5</v>
      </c>
      <c r="E275" s="272">
        <v>10349879</v>
      </c>
      <c r="F275" s="273">
        <v>714817350</v>
      </c>
      <c r="G275" s="234">
        <v>1350494.48</v>
      </c>
      <c r="H275" s="234">
        <v>1620903.8378777336</v>
      </c>
      <c r="I275" s="174">
        <v>2971398.3178777336</v>
      </c>
      <c r="J275" s="234">
        <v>1199296.1220486811</v>
      </c>
      <c r="K275" s="234">
        <v>1720281.3541549067</v>
      </c>
      <c r="L275" s="175">
        <v>2919577.4762035878</v>
      </c>
      <c r="M275" s="235">
        <v>-151198.35795131885</v>
      </c>
      <c r="N275" s="236">
        <v>99377.516277173068</v>
      </c>
      <c r="O275" s="175">
        <v>-51820.841674145777</v>
      </c>
      <c r="P275" s="237">
        <v>-1.7439883896534565E-2</v>
      </c>
      <c r="Q275" s="238">
        <v>0.1566108973716247</v>
      </c>
      <c r="R275" s="239">
        <v>1.8892860952521647E-3</v>
      </c>
      <c r="S275" s="240">
        <v>0.16621270201853633</v>
      </c>
      <c r="T275" s="239">
        <v>1.6777658265411173E-3</v>
      </c>
      <c r="U275" s="241">
        <v>9.6018046469116269E-3</v>
      </c>
      <c r="V275" s="242">
        <v>-2.1152026871104732E-4</v>
      </c>
      <c r="W275" s="243">
        <v>197.73691902141337</v>
      </c>
      <c r="X275" s="244">
        <v>188.92860952521647</v>
      </c>
      <c r="Y275" s="245">
        <v>386.66552854662984</v>
      </c>
      <c r="Z275" s="246">
        <v>209.860157568604</v>
      </c>
      <c r="AA275" s="244">
        <v>167.77658265411173</v>
      </c>
      <c r="AB275" s="245">
        <v>377.63674022271573</v>
      </c>
      <c r="AC275" s="247">
        <v>12.123238547190624</v>
      </c>
      <c r="AD275" s="247">
        <v>-21.152026871104738</v>
      </c>
      <c r="AE275" s="248">
        <v>-9.0287883239141138</v>
      </c>
      <c r="AF275" s="234">
        <f>-SUMIF('[1]Alt Fac'!$A$18:$A$139,'REPORT 4 - PROPERTY TAX'!A275,'[1]Alt Fac'!$U$18:$U$139)</f>
        <v>0</v>
      </c>
      <c r="AG275" s="247">
        <f t="shared" si="13"/>
        <v>481.12983330923805</v>
      </c>
      <c r="AH275" s="234">
        <f t="shared" si="14"/>
        <v>-19.604801759466476</v>
      </c>
      <c r="AI275" s="234">
        <f t="shared" si="12"/>
        <v>461.5250315497716</v>
      </c>
      <c r="AJ275" s="170"/>
      <c r="AK275" s="170"/>
      <c r="AL275" s="170"/>
      <c r="AM275" s="170"/>
      <c r="AN275" s="170"/>
      <c r="AO275" s="234"/>
    </row>
    <row r="276" spans="1:41" x14ac:dyDescent="0.25">
      <c r="A276" s="274">
        <v>815</v>
      </c>
      <c r="B276" s="274">
        <v>2</v>
      </c>
      <c r="C276" s="275" t="s">
        <v>245</v>
      </c>
      <c r="D276" s="276">
        <v>6</v>
      </c>
      <c r="E276" s="272">
        <v>1086333</v>
      </c>
      <c r="F276" s="273">
        <v>36422800</v>
      </c>
      <c r="G276" s="234">
        <v>2757.62</v>
      </c>
      <c r="H276" s="234">
        <v>69.2</v>
      </c>
      <c r="I276" s="174">
        <v>2826.8199999999997</v>
      </c>
      <c r="J276" s="234">
        <v>23897.699925794474</v>
      </c>
      <c r="K276" s="234">
        <v>34520.614625566363</v>
      </c>
      <c r="L276" s="175">
        <v>58418.314551360832</v>
      </c>
      <c r="M276" s="235">
        <v>21140.079925794475</v>
      </c>
      <c r="N276" s="236">
        <v>34451.414625566365</v>
      </c>
      <c r="O276" s="175">
        <v>55591.494551360833</v>
      </c>
      <c r="P276" s="237">
        <v>19.665735544308035</v>
      </c>
      <c r="Q276" s="238">
        <v>6.3700541178441609E-5</v>
      </c>
      <c r="R276" s="239">
        <v>7.5711367604906809E-5</v>
      </c>
      <c r="S276" s="240">
        <v>3.177719412515901E-2</v>
      </c>
      <c r="T276" s="239">
        <v>6.5611924195269099E-4</v>
      </c>
      <c r="U276" s="241">
        <v>3.1713493583980568E-2</v>
      </c>
      <c r="V276" s="242">
        <v>5.8040787434778418E-4</v>
      </c>
      <c r="W276" s="243">
        <v>8.0428303291900385E-2</v>
      </c>
      <c r="X276" s="244">
        <v>7.5711367604906812</v>
      </c>
      <c r="Y276" s="245">
        <v>7.6515650637825816</v>
      </c>
      <c r="Z276" s="246">
        <v>40.121885302425767</v>
      </c>
      <c r="AA276" s="244">
        <v>65.611924195269097</v>
      </c>
      <c r="AB276" s="245">
        <v>105.73380949769486</v>
      </c>
      <c r="AC276" s="247">
        <v>40.041456999133864</v>
      </c>
      <c r="AD276" s="247">
        <v>58.040787434778416</v>
      </c>
      <c r="AE276" s="248">
        <v>98.08224443391228</v>
      </c>
      <c r="AF276" s="234">
        <f>-SUMIF('[1]Alt Fac'!$A$18:$A$139,'REPORT 4 - PROPERTY TAX'!A276,'[1]Alt Fac'!$U$18:$U$139)</f>
        <v>0</v>
      </c>
      <c r="AG276" s="247">
        <f t="shared" si="13"/>
        <v>11.437133444027921</v>
      </c>
      <c r="AH276" s="234">
        <f t="shared" si="14"/>
        <v>127.10263815130151</v>
      </c>
      <c r="AI276" s="234">
        <f t="shared" si="12"/>
        <v>138.53977159532943</v>
      </c>
      <c r="AJ276" s="170"/>
      <c r="AK276" s="170"/>
      <c r="AL276" s="170"/>
      <c r="AM276" s="170"/>
      <c r="AN276" s="170"/>
      <c r="AO276" s="234"/>
    </row>
    <row r="277" spans="1:41" x14ac:dyDescent="0.25">
      <c r="A277" s="274">
        <v>818</v>
      </c>
      <c r="B277" s="274">
        <v>1</v>
      </c>
      <c r="C277" s="275" t="s">
        <v>605</v>
      </c>
      <c r="D277" s="276">
        <v>6</v>
      </c>
      <c r="E277" s="272">
        <v>1327528</v>
      </c>
      <c r="F277" s="273">
        <v>70261255</v>
      </c>
      <c r="G277" s="234">
        <v>38878.5</v>
      </c>
      <c r="H277" s="234">
        <v>333415.37104151712</v>
      </c>
      <c r="I277" s="174">
        <v>372293.87104151712</v>
      </c>
      <c r="J277" s="234">
        <v>56590.141369244717</v>
      </c>
      <c r="K277" s="234">
        <v>314901.33769685606</v>
      </c>
      <c r="L277" s="175">
        <v>371491.47906610079</v>
      </c>
      <c r="M277" s="235">
        <v>17711.641369244717</v>
      </c>
      <c r="N277" s="236">
        <v>-18514.03334466106</v>
      </c>
      <c r="O277" s="175">
        <v>-802.39197541633621</v>
      </c>
      <c r="P277" s="237">
        <v>-2.1552650683493413E-3</v>
      </c>
      <c r="Q277" s="238">
        <v>0.25115505740106209</v>
      </c>
      <c r="R277" s="239">
        <v>5.5334195211856091E-4</v>
      </c>
      <c r="S277" s="240">
        <v>0.2372088104332685</v>
      </c>
      <c r="T277" s="239">
        <v>8.054245738884783E-4</v>
      </c>
      <c r="U277" s="241">
        <v>-1.3946246967793591E-2</v>
      </c>
      <c r="V277" s="242">
        <v>2.5208262176991739E-4</v>
      </c>
      <c r="W277" s="243">
        <v>317.10837547458101</v>
      </c>
      <c r="X277" s="244">
        <v>55.334195211856091</v>
      </c>
      <c r="Y277" s="245">
        <v>372.44257068643708</v>
      </c>
      <c r="Z277" s="246">
        <v>299.49984405304485</v>
      </c>
      <c r="AA277" s="244">
        <v>80.542457388847836</v>
      </c>
      <c r="AB277" s="245">
        <v>380.04230144189268</v>
      </c>
      <c r="AC277" s="247">
        <v>-17.608531421536156</v>
      </c>
      <c r="AD277" s="247">
        <v>25.208262176991745</v>
      </c>
      <c r="AE277" s="248">
        <v>7.599730755455596</v>
      </c>
      <c r="AF277" s="234">
        <f>-SUMIF('[1]Alt Fac'!$A$18:$A$139,'REPORT 4 - PROPERTY TAX'!A277,'[1]Alt Fac'!$U$18:$U$139)</f>
        <v>0</v>
      </c>
      <c r="AG277" s="247">
        <f t="shared" si="13"/>
        <v>400.10966829236514</v>
      </c>
      <c r="AH277" s="234">
        <f t="shared" si="14"/>
        <v>20.203861843951419</v>
      </c>
      <c r="AI277" s="234">
        <f t="shared" si="12"/>
        <v>420.31353013631656</v>
      </c>
      <c r="AJ277" s="170"/>
      <c r="AK277" s="170"/>
      <c r="AL277" s="170"/>
      <c r="AM277" s="170"/>
      <c r="AN277" s="170"/>
      <c r="AO277" s="234"/>
    </row>
    <row r="278" spans="1:41" x14ac:dyDescent="0.25">
      <c r="A278" s="274">
        <v>820</v>
      </c>
      <c r="B278" s="274">
        <v>1</v>
      </c>
      <c r="C278" s="275" t="s">
        <v>595</v>
      </c>
      <c r="D278" s="276">
        <v>6</v>
      </c>
      <c r="E278" s="272">
        <v>2601490</v>
      </c>
      <c r="F278" s="273">
        <v>115464900</v>
      </c>
      <c r="G278" s="234">
        <v>239562.74130718957</v>
      </c>
      <c r="H278" s="234">
        <v>146482.31394078286</v>
      </c>
      <c r="I278" s="174">
        <v>386045.05524797243</v>
      </c>
      <c r="J278" s="234">
        <v>190257.30338164131</v>
      </c>
      <c r="K278" s="234">
        <v>176143.08274465991</v>
      </c>
      <c r="L278" s="175">
        <v>366400.38612630125</v>
      </c>
      <c r="M278" s="235">
        <v>-49305.437925548264</v>
      </c>
      <c r="N278" s="236">
        <v>29660.768803877058</v>
      </c>
      <c r="O278" s="175">
        <v>-19644.669121671177</v>
      </c>
      <c r="P278" s="237">
        <v>-5.0886985481662518E-2</v>
      </c>
      <c r="Q278" s="238">
        <v>5.6307083225683306E-2</v>
      </c>
      <c r="R278" s="239">
        <v>2.0747668019215327E-3</v>
      </c>
      <c r="S278" s="240">
        <v>6.7708537316945261E-2</v>
      </c>
      <c r="T278" s="239">
        <v>1.6477501247707425E-3</v>
      </c>
      <c r="U278" s="241">
        <v>1.1401454091261955E-2</v>
      </c>
      <c r="V278" s="242">
        <v>-4.270166771507902E-4</v>
      </c>
      <c r="W278" s="243">
        <v>71.093323280747754</v>
      </c>
      <c r="X278" s="244">
        <v>207.47668019215325</v>
      </c>
      <c r="Y278" s="245">
        <v>278.57000347290102</v>
      </c>
      <c r="Z278" s="246">
        <v>85.488799216375099</v>
      </c>
      <c r="AA278" s="244">
        <v>164.77501247707426</v>
      </c>
      <c r="AB278" s="245">
        <v>250.26381169344936</v>
      </c>
      <c r="AC278" s="247">
        <v>14.395475935627346</v>
      </c>
      <c r="AD278" s="247">
        <v>-42.701667715078997</v>
      </c>
      <c r="AE278" s="248">
        <v>-28.306191779451666</v>
      </c>
      <c r="AF278" s="234">
        <f>-SUMIF('[1]Alt Fac'!$A$18:$A$139,'REPORT 4 - PROPERTY TAX'!A278,'[1]Alt Fac'!$U$18:$U$139)</f>
        <v>0</v>
      </c>
      <c r="AG278" s="247">
        <f t="shared" si="13"/>
        <v>382.30834356897765</v>
      </c>
      <c r="AH278" s="234">
        <f t="shared" si="14"/>
        <v>-49.657025636991179</v>
      </c>
      <c r="AI278" s="234">
        <f t="shared" si="12"/>
        <v>332.65131793198645</v>
      </c>
      <c r="AJ278" s="170"/>
      <c r="AK278" s="170"/>
      <c r="AL278" s="170"/>
      <c r="AM278" s="170"/>
      <c r="AN278" s="170"/>
      <c r="AO278" s="234"/>
    </row>
    <row r="279" spans="1:41" x14ac:dyDescent="0.25">
      <c r="A279" s="274">
        <v>821</v>
      </c>
      <c r="B279" s="274">
        <v>1</v>
      </c>
      <c r="C279" s="275" t="s">
        <v>608</v>
      </c>
      <c r="D279" s="276">
        <v>6</v>
      </c>
      <c r="E279" s="272">
        <v>3313925</v>
      </c>
      <c r="F279" s="273">
        <v>174914230</v>
      </c>
      <c r="G279" s="234">
        <v>78423.7</v>
      </c>
      <c r="H279" s="234">
        <v>763145.19214709185</v>
      </c>
      <c r="I279" s="174">
        <v>841568.8921470918</v>
      </c>
      <c r="J279" s="234">
        <v>140880.23199433862</v>
      </c>
      <c r="K279" s="234">
        <v>766213.86804121756</v>
      </c>
      <c r="L279" s="175">
        <v>907094.10003555613</v>
      </c>
      <c r="M279" s="235">
        <v>62456.531994338628</v>
      </c>
      <c r="N279" s="236">
        <v>3068.675894125714</v>
      </c>
      <c r="O279" s="175">
        <v>65525.207888464327</v>
      </c>
      <c r="P279" s="237">
        <v>7.7860777055684754E-2</v>
      </c>
      <c r="Q279" s="238">
        <v>0.23028438849614635</v>
      </c>
      <c r="R279" s="239">
        <v>4.4835517384720497E-4</v>
      </c>
      <c r="S279" s="240">
        <v>0.23121038286660608</v>
      </c>
      <c r="T279" s="239">
        <v>8.0542464723618327E-4</v>
      </c>
      <c r="U279" s="241">
        <v>9.2599437045973176E-4</v>
      </c>
      <c r="V279" s="242">
        <v>3.5706947338897831E-4</v>
      </c>
      <c r="W279" s="243">
        <v>290.75706891523441</v>
      </c>
      <c r="X279" s="244">
        <v>44.835517384720497</v>
      </c>
      <c r="Y279" s="245">
        <v>335.59258629995492</v>
      </c>
      <c r="Z279" s="246">
        <v>291.92622940737687</v>
      </c>
      <c r="AA279" s="244">
        <v>80.542464723618323</v>
      </c>
      <c r="AB279" s="245">
        <v>372.46869413099517</v>
      </c>
      <c r="AC279" s="247">
        <v>1.1691604921424528</v>
      </c>
      <c r="AD279" s="247">
        <v>35.706947338897827</v>
      </c>
      <c r="AE279" s="248">
        <v>36.876107831040258</v>
      </c>
      <c r="AF279" s="234">
        <f>-SUMIF('[1]Alt Fac'!$A$18:$A$139,'REPORT 4 - PROPERTY TAX'!A279,'[1]Alt Fac'!$U$18:$U$139)</f>
        <v>0</v>
      </c>
      <c r="AG279" s="247">
        <f t="shared" si="13"/>
        <v>358.01034499231514</v>
      </c>
      <c r="AH279" s="234">
        <f t="shared" si="14"/>
        <v>54.729581500489203</v>
      </c>
      <c r="AI279" s="234">
        <f t="shared" si="12"/>
        <v>412.73992649280433</v>
      </c>
      <c r="AJ279" s="170"/>
      <c r="AK279" s="170"/>
      <c r="AL279" s="170"/>
      <c r="AM279" s="170"/>
      <c r="AN279" s="170"/>
      <c r="AO279" s="234"/>
    </row>
    <row r="280" spans="1:41" x14ac:dyDescent="0.25">
      <c r="A280" s="274">
        <v>829</v>
      </c>
      <c r="B280" s="274">
        <v>1</v>
      </c>
      <c r="C280" s="275" t="s">
        <v>352</v>
      </c>
      <c r="D280" s="276">
        <v>5</v>
      </c>
      <c r="E280" s="272">
        <v>10125445</v>
      </c>
      <c r="F280" s="273">
        <v>697497550</v>
      </c>
      <c r="G280" s="234">
        <v>1181673.6811764706</v>
      </c>
      <c r="H280" s="234">
        <v>1924145.806797503</v>
      </c>
      <c r="I280" s="174">
        <v>3105819.4879739736</v>
      </c>
      <c r="J280" s="234">
        <v>1034574.9458756347</v>
      </c>
      <c r="K280" s="234">
        <v>1773451.4813686209</v>
      </c>
      <c r="L280" s="175">
        <v>2808026.4272442553</v>
      </c>
      <c r="M280" s="235">
        <v>-147098.73530083592</v>
      </c>
      <c r="N280" s="236">
        <v>-150694.32542888215</v>
      </c>
      <c r="O280" s="175">
        <v>-297793.0607297183</v>
      </c>
      <c r="P280" s="237">
        <v>-9.5882282239132421E-2</v>
      </c>
      <c r="Q280" s="238">
        <v>0.19003074006105442</v>
      </c>
      <c r="R280" s="239">
        <v>1.6941617661258748E-3</v>
      </c>
      <c r="S280" s="240">
        <v>0.17514800400067562</v>
      </c>
      <c r="T280" s="239">
        <v>1.4832667811888868E-3</v>
      </c>
      <c r="U280" s="241">
        <v>-1.4882736060378793E-2</v>
      </c>
      <c r="V280" s="242">
        <v>-2.1089498493698797E-4</v>
      </c>
      <c r="W280" s="243">
        <v>239.93281240108732</v>
      </c>
      <c r="X280" s="244">
        <v>169.41617661258749</v>
      </c>
      <c r="Y280" s="245">
        <v>409.34898901367478</v>
      </c>
      <c r="Z280" s="246">
        <v>221.14186985125306</v>
      </c>
      <c r="AA280" s="244">
        <v>148.32667811888868</v>
      </c>
      <c r="AB280" s="245">
        <v>369.46854797014174</v>
      </c>
      <c r="AC280" s="247">
        <v>-18.790942549834256</v>
      </c>
      <c r="AD280" s="247">
        <v>-21.089498493698812</v>
      </c>
      <c r="AE280" s="248">
        <v>-39.88044104353304</v>
      </c>
      <c r="AF280" s="234">
        <f>-SUMIF('[1]Alt Fac'!$A$18:$A$139,'REPORT 4 - PROPERTY TAX'!A280,'[1]Alt Fac'!$U$18:$U$139)</f>
        <v>0</v>
      </c>
      <c r="AG280" s="247">
        <f t="shared" si="13"/>
        <v>494.05707731996853</v>
      </c>
      <c r="AH280" s="234">
        <f t="shared" si="14"/>
        <v>-50.42519029038246</v>
      </c>
      <c r="AI280" s="234">
        <f t="shared" si="12"/>
        <v>443.6318870295861</v>
      </c>
      <c r="AJ280" s="170"/>
      <c r="AK280" s="170"/>
      <c r="AL280" s="170"/>
      <c r="AM280" s="170"/>
      <c r="AN280" s="170"/>
      <c r="AO280" s="234"/>
    </row>
    <row r="281" spans="1:41" x14ac:dyDescent="0.25">
      <c r="A281" s="274">
        <v>831</v>
      </c>
      <c r="B281" s="274">
        <v>1</v>
      </c>
      <c r="C281" s="275" t="s">
        <v>398</v>
      </c>
      <c r="D281" s="276">
        <v>3</v>
      </c>
      <c r="E281" s="272">
        <v>49668615</v>
      </c>
      <c r="F281" s="273">
        <v>4505366200</v>
      </c>
      <c r="G281" s="234">
        <v>7505318.3100000005</v>
      </c>
      <c r="H281" s="234">
        <v>7146757.4294305732</v>
      </c>
      <c r="I281" s="174">
        <v>14652075.739430573</v>
      </c>
      <c r="J281" s="234">
        <v>7487862.0756244091</v>
      </c>
      <c r="K281" s="234">
        <v>7295101.8507827856</v>
      </c>
      <c r="L281" s="175">
        <v>14782963.926407196</v>
      </c>
      <c r="M281" s="235">
        <v>-17456.23437559139</v>
      </c>
      <c r="N281" s="236">
        <v>148344.42135221232</v>
      </c>
      <c r="O281" s="175">
        <v>130888.18697662279</v>
      </c>
      <c r="P281" s="237">
        <v>8.9330815172068943E-3</v>
      </c>
      <c r="Q281" s="238">
        <v>0.14388880039096263</v>
      </c>
      <c r="R281" s="239">
        <v>1.6658619914181451E-3</v>
      </c>
      <c r="S281" s="240">
        <v>0.14687548365870048</v>
      </c>
      <c r="T281" s="239">
        <v>1.6619874485728616E-3</v>
      </c>
      <c r="U281" s="241">
        <v>2.9866832677378496E-3</v>
      </c>
      <c r="V281" s="242">
        <v>-3.8745428452835462E-6</v>
      </c>
      <c r="W281" s="243">
        <v>181.67399937362944</v>
      </c>
      <c r="X281" s="244">
        <v>166.58619914181452</v>
      </c>
      <c r="Y281" s="245">
        <v>348.26019851544396</v>
      </c>
      <c r="Z281" s="246">
        <v>185.44498566747527</v>
      </c>
      <c r="AA281" s="244">
        <v>166.19874485728616</v>
      </c>
      <c r="AB281" s="245">
        <v>351.64373052476139</v>
      </c>
      <c r="AC281" s="247">
        <v>3.770986293845823</v>
      </c>
      <c r="AD281" s="247">
        <v>-0.38745428452835995</v>
      </c>
      <c r="AE281" s="248">
        <v>3.3835320093174346</v>
      </c>
      <c r="AF281" s="234">
        <f>-SUMIF('[1]Alt Fac'!$A$18:$A$139,'REPORT 4 - PROPERTY TAX'!A281,'[1]Alt Fac'!$U$18:$U$139)</f>
        <v>0</v>
      </c>
      <c r="AG281" s="247">
        <f t="shared" si="13"/>
        <v>431.55329808635122</v>
      </c>
      <c r="AH281" s="234">
        <f t="shared" si="14"/>
        <v>3.1898048670532773</v>
      </c>
      <c r="AI281" s="234">
        <f t="shared" si="12"/>
        <v>434.7431029534045</v>
      </c>
      <c r="AJ281" s="170"/>
      <c r="AK281" s="170"/>
      <c r="AL281" s="170"/>
      <c r="AM281" s="170"/>
      <c r="AN281" s="170"/>
      <c r="AO281" s="234"/>
    </row>
    <row r="282" spans="1:41" x14ac:dyDescent="0.25">
      <c r="A282" s="274">
        <v>832</v>
      </c>
      <c r="B282" s="274">
        <v>1</v>
      </c>
      <c r="C282" s="275" t="s">
        <v>612</v>
      </c>
      <c r="D282" s="276">
        <v>3</v>
      </c>
      <c r="E282" s="272">
        <v>21640222</v>
      </c>
      <c r="F282" s="273">
        <v>1996489800</v>
      </c>
      <c r="G282" s="234">
        <v>3652653.67</v>
      </c>
      <c r="H282" s="234">
        <v>6616016.9869843889</v>
      </c>
      <c r="I282" s="174">
        <v>10268670.656984389</v>
      </c>
      <c r="J282" s="234">
        <v>3425731.1052076705</v>
      </c>
      <c r="K282" s="234">
        <v>6686129.2554055369</v>
      </c>
      <c r="L282" s="175">
        <v>10111860.360613208</v>
      </c>
      <c r="M282" s="235">
        <v>-226922.56479232945</v>
      </c>
      <c r="N282" s="236">
        <v>70112.26842114795</v>
      </c>
      <c r="O282" s="175">
        <v>-156810.29637118056</v>
      </c>
      <c r="P282" s="237">
        <v>-1.5270749409469445E-2</v>
      </c>
      <c r="Q282" s="238">
        <v>0.30572777797678735</v>
      </c>
      <c r="R282" s="239">
        <v>1.8295378568926322E-3</v>
      </c>
      <c r="S282" s="240">
        <v>0.30896768320609358</v>
      </c>
      <c r="T282" s="239">
        <v>1.7158770884818297E-3</v>
      </c>
      <c r="U282" s="241">
        <v>3.239905229306228E-3</v>
      </c>
      <c r="V282" s="242">
        <v>-1.1366076841080246E-4</v>
      </c>
      <c r="W282" s="243">
        <v>386.01189247349174</v>
      </c>
      <c r="X282" s="244">
        <v>182.95378568926321</v>
      </c>
      <c r="Y282" s="245">
        <v>568.96567816275501</v>
      </c>
      <c r="Z282" s="246">
        <v>390.10259681601377</v>
      </c>
      <c r="AA282" s="244">
        <v>171.58770884818298</v>
      </c>
      <c r="AB282" s="245">
        <v>561.69030566419679</v>
      </c>
      <c r="AC282" s="247">
        <v>4.0907043425220309</v>
      </c>
      <c r="AD282" s="247">
        <v>-11.366076841080229</v>
      </c>
      <c r="AE282" s="248">
        <v>-7.2753724985582267</v>
      </c>
      <c r="AF282" s="234">
        <f>-SUMIF('[1]Alt Fac'!$A$18:$A$139,'REPORT 4 - PROPERTY TAX'!A282,'[1]Alt Fac'!$U$18:$U$139)</f>
        <v>0</v>
      </c>
      <c r="AG282" s="247">
        <f t="shared" si="13"/>
        <v>660.4425710073865</v>
      </c>
      <c r="AH282" s="234">
        <f t="shared" si="14"/>
        <v>-12.958410919098323</v>
      </c>
      <c r="AI282" s="234">
        <f t="shared" si="12"/>
        <v>647.48416008828815</v>
      </c>
      <c r="AJ282" s="170"/>
      <c r="AK282" s="170"/>
      <c r="AL282" s="170"/>
      <c r="AM282" s="170"/>
      <c r="AN282" s="170"/>
      <c r="AO282" s="234"/>
    </row>
    <row r="283" spans="1:41" x14ac:dyDescent="0.25">
      <c r="A283" s="274">
        <v>833</v>
      </c>
      <c r="B283" s="274">
        <v>1</v>
      </c>
      <c r="C283" s="275" t="s">
        <v>450</v>
      </c>
      <c r="D283" s="276">
        <v>2</v>
      </c>
      <c r="E283" s="272">
        <v>92007640</v>
      </c>
      <c r="F283" s="273">
        <v>8208261700</v>
      </c>
      <c r="G283" s="234">
        <v>19045197.618235294</v>
      </c>
      <c r="H283" s="234">
        <v>31342589.774240702</v>
      </c>
      <c r="I283" s="174">
        <v>50387787.392475992</v>
      </c>
      <c r="J283" s="234">
        <v>15833928.190922115</v>
      </c>
      <c r="K283" s="234">
        <v>30794205.799489547</v>
      </c>
      <c r="L283" s="175">
        <v>46628133.990411662</v>
      </c>
      <c r="M283" s="235">
        <v>-3211269.4273131788</v>
      </c>
      <c r="N283" s="236">
        <v>-548383.97475115582</v>
      </c>
      <c r="O283" s="175">
        <v>-3759653.4020643309</v>
      </c>
      <c r="P283" s="237">
        <v>-7.4614377741574145E-2</v>
      </c>
      <c r="Q283" s="238">
        <v>0.3406520347032127</v>
      </c>
      <c r="R283" s="239">
        <v>2.3202473695782986E-3</v>
      </c>
      <c r="S283" s="240">
        <v>0.33469183428125693</v>
      </c>
      <c r="T283" s="239">
        <v>1.9290233145127567E-3</v>
      </c>
      <c r="U283" s="241">
        <v>-5.9602004219557747E-3</v>
      </c>
      <c r="V283" s="242">
        <v>-3.9122405506554188E-4</v>
      </c>
      <c r="W283" s="243">
        <v>430.10725901627643</v>
      </c>
      <c r="X283" s="244">
        <v>232.02473695782987</v>
      </c>
      <c r="Y283" s="245">
        <v>662.1319959741063</v>
      </c>
      <c r="Z283" s="246">
        <v>422.58190996351505</v>
      </c>
      <c r="AA283" s="244">
        <v>192.90233145127567</v>
      </c>
      <c r="AB283" s="245">
        <v>615.48424141479074</v>
      </c>
      <c r="AC283" s="247">
        <v>-7.5253490527613849</v>
      </c>
      <c r="AD283" s="247">
        <v>-39.122405506554202</v>
      </c>
      <c r="AE283" s="248">
        <v>-46.647754559315558</v>
      </c>
      <c r="AF283" s="234">
        <f>-SUMIF('[1]Alt Fac'!$A$18:$A$139,'REPORT 4 - PROPERTY TAX'!A283,'[1]Alt Fac'!$U$18:$U$139)</f>
        <v>0</v>
      </c>
      <c r="AG283" s="247">
        <f t="shared" si="13"/>
        <v>778.14436445302124</v>
      </c>
      <c r="AH283" s="234">
        <f t="shared" si="14"/>
        <v>-66.208957312592645</v>
      </c>
      <c r="AI283" s="234">
        <f t="shared" si="12"/>
        <v>711.93540714042865</v>
      </c>
      <c r="AJ283" s="170"/>
      <c r="AK283" s="170"/>
      <c r="AL283" s="170"/>
      <c r="AM283" s="170"/>
      <c r="AN283" s="170"/>
      <c r="AO283" s="234"/>
    </row>
    <row r="284" spans="1:41" x14ac:dyDescent="0.25">
      <c r="A284" s="274">
        <v>834</v>
      </c>
      <c r="B284" s="274">
        <v>1</v>
      </c>
      <c r="C284" s="275" t="s">
        <v>489</v>
      </c>
      <c r="D284" s="276">
        <v>3</v>
      </c>
      <c r="E284" s="272">
        <v>84310439</v>
      </c>
      <c r="F284" s="273">
        <v>7641521000</v>
      </c>
      <c r="G284" s="234">
        <v>12441024.109999999</v>
      </c>
      <c r="H284" s="234">
        <v>14814869.447592832</v>
      </c>
      <c r="I284" s="174">
        <v>27255893.557592832</v>
      </c>
      <c r="J284" s="234">
        <v>14250404.555885568</v>
      </c>
      <c r="K284" s="234">
        <v>15137328.304880377</v>
      </c>
      <c r="L284" s="175">
        <v>29387732.860765945</v>
      </c>
      <c r="M284" s="235">
        <v>1809380.4458855689</v>
      </c>
      <c r="N284" s="236">
        <v>322458.85728754476</v>
      </c>
      <c r="O284" s="175">
        <v>2131839.3031731136</v>
      </c>
      <c r="P284" s="237">
        <v>7.8215718691021771E-2</v>
      </c>
      <c r="Q284" s="238">
        <v>0.17571809165402202</v>
      </c>
      <c r="R284" s="239">
        <v>1.6280821723842673E-3</v>
      </c>
      <c r="S284" s="240">
        <v>0.17954275276493789</v>
      </c>
      <c r="T284" s="239">
        <v>1.8648649340734086E-3</v>
      </c>
      <c r="U284" s="241">
        <v>3.8246611109158668E-3</v>
      </c>
      <c r="V284" s="242">
        <v>2.3678276168914128E-4</v>
      </c>
      <c r="W284" s="243">
        <v>221.86166252236822</v>
      </c>
      <c r="X284" s="244">
        <v>162.80821723842672</v>
      </c>
      <c r="Y284" s="245">
        <v>384.66987976079497</v>
      </c>
      <c r="Z284" s="246">
        <v>226.6906796410106</v>
      </c>
      <c r="AA284" s="244">
        <v>186.48649340734087</v>
      </c>
      <c r="AB284" s="245">
        <v>413.17717304835151</v>
      </c>
      <c r="AC284" s="247">
        <v>4.8290171186423834</v>
      </c>
      <c r="AD284" s="247">
        <v>23.678276168914152</v>
      </c>
      <c r="AE284" s="248">
        <v>28.507293287556536</v>
      </c>
      <c r="AF284" s="234">
        <f>-SUMIF('[1]Alt Fac'!$A$18:$A$139,'REPORT 4 - PROPERTY TAX'!A284,'[1]Alt Fac'!$U$18:$U$139)</f>
        <v>0</v>
      </c>
      <c r="AG284" s="247">
        <f t="shared" si="13"/>
        <v>466.07398838000836</v>
      </c>
      <c r="AH284" s="234">
        <f t="shared" si="14"/>
        <v>40.346431372013569</v>
      </c>
      <c r="AI284" s="234">
        <f t="shared" si="12"/>
        <v>506.42041975202193</v>
      </c>
      <c r="AJ284" s="170"/>
      <c r="AK284" s="170"/>
      <c r="AL284" s="170"/>
      <c r="AM284" s="170"/>
      <c r="AN284" s="170"/>
      <c r="AO284" s="234"/>
    </row>
    <row r="285" spans="1:41" x14ac:dyDescent="0.25">
      <c r="A285" s="274">
        <v>836</v>
      </c>
      <c r="B285" s="274">
        <v>1</v>
      </c>
      <c r="C285" s="275" t="s">
        <v>615</v>
      </c>
      <c r="D285" s="276">
        <v>6</v>
      </c>
      <c r="E285" s="272">
        <v>2388167</v>
      </c>
      <c r="F285" s="273">
        <v>36903545</v>
      </c>
      <c r="G285" s="234">
        <v>142084.27997172117</v>
      </c>
      <c r="H285" s="234">
        <v>177586.27407391602</v>
      </c>
      <c r="I285" s="174">
        <v>319670.5540456372</v>
      </c>
      <c r="J285" s="234">
        <v>102979.28668486536</v>
      </c>
      <c r="K285" s="234">
        <v>176776.49636229864</v>
      </c>
      <c r="L285" s="175">
        <v>279755.78304716398</v>
      </c>
      <c r="M285" s="235">
        <v>-39104.99328685581</v>
      </c>
      <c r="N285" s="236">
        <v>-809.77771161738201</v>
      </c>
      <c r="O285" s="175">
        <v>-39914.770998473221</v>
      </c>
      <c r="P285" s="237">
        <v>-0.12486220733604028</v>
      </c>
      <c r="Q285" s="238">
        <v>7.4360911139763688E-2</v>
      </c>
      <c r="R285" s="239">
        <v>3.8501526065238766E-3</v>
      </c>
      <c r="S285" s="240">
        <v>7.4021831958275386E-2</v>
      </c>
      <c r="T285" s="239">
        <v>2.7904984923498642E-3</v>
      </c>
      <c r="U285" s="241">
        <v>-3.3907918148830263E-4</v>
      </c>
      <c r="V285" s="242">
        <v>-1.0596541141740124E-3</v>
      </c>
      <c r="W285" s="243">
        <v>93.88808640506565</v>
      </c>
      <c r="X285" s="244">
        <v>385.01526065238767</v>
      </c>
      <c r="Y285" s="245">
        <v>478.90334705745329</v>
      </c>
      <c r="Z285" s="246">
        <v>93.459965030518518</v>
      </c>
      <c r="AA285" s="244">
        <v>279.04984923498643</v>
      </c>
      <c r="AB285" s="245">
        <v>372.50981426550493</v>
      </c>
      <c r="AC285" s="247">
        <v>-0.42812137454713195</v>
      </c>
      <c r="AD285" s="247">
        <v>-105.96541141740124</v>
      </c>
      <c r="AE285" s="248">
        <v>-106.39353279194836</v>
      </c>
      <c r="AF285" s="234">
        <f>-SUMIF('[1]Alt Fac'!$A$18:$A$139,'REPORT 4 - PROPERTY TAX'!A285,'[1]Alt Fac'!$U$18:$U$139)</f>
        <v>0</v>
      </c>
      <c r="AG285" s="247">
        <f t="shared" si="13"/>
        <v>671.41097738364715</v>
      </c>
      <c r="AH285" s="234">
        <f t="shared" si="14"/>
        <v>-159.37623850064898</v>
      </c>
      <c r="AI285" s="234">
        <f t="shared" si="12"/>
        <v>512.03473888299823</v>
      </c>
      <c r="AJ285" s="170"/>
      <c r="AK285" s="170"/>
      <c r="AL285" s="170"/>
      <c r="AM285" s="170"/>
      <c r="AN285" s="170"/>
      <c r="AO285" s="234"/>
    </row>
    <row r="286" spans="1:41" x14ac:dyDescent="0.25">
      <c r="A286" s="274">
        <v>837</v>
      </c>
      <c r="B286" s="274">
        <v>1</v>
      </c>
      <c r="C286" s="275" t="s">
        <v>617</v>
      </c>
      <c r="D286" s="276">
        <v>6</v>
      </c>
      <c r="E286" s="272">
        <v>4313403</v>
      </c>
      <c r="F286" s="273">
        <v>151260600</v>
      </c>
      <c r="G286" s="234">
        <v>267716.76882352942</v>
      </c>
      <c r="H286" s="234">
        <v>1006288.893431431</v>
      </c>
      <c r="I286" s="174">
        <v>1274005.6622549605</v>
      </c>
      <c r="J286" s="234">
        <v>229545.92614761059</v>
      </c>
      <c r="K286" s="234">
        <v>982594.70447104308</v>
      </c>
      <c r="L286" s="175">
        <v>1212140.6306186537</v>
      </c>
      <c r="M286" s="235">
        <v>-38170.84267591883</v>
      </c>
      <c r="N286" s="236">
        <v>-23694.188960387954</v>
      </c>
      <c r="O286" s="175">
        <v>-61865.031636306783</v>
      </c>
      <c r="P286" s="237">
        <v>-4.8559463642262872E-2</v>
      </c>
      <c r="Q286" s="238">
        <v>0.23329350246926406</v>
      </c>
      <c r="R286" s="239">
        <v>1.7699041840606835E-3</v>
      </c>
      <c r="S286" s="240">
        <v>0.22780034800157628</v>
      </c>
      <c r="T286" s="239">
        <v>1.5175526617480731E-3</v>
      </c>
      <c r="U286" s="241">
        <v>-5.4931544676877775E-3</v>
      </c>
      <c r="V286" s="242">
        <v>-2.5235152231261031E-4</v>
      </c>
      <c r="W286" s="243">
        <v>294.55637621769284</v>
      </c>
      <c r="X286" s="244">
        <v>176.99041840606836</v>
      </c>
      <c r="Y286" s="245">
        <v>471.54679462376123</v>
      </c>
      <c r="Z286" s="246">
        <v>287.62071938679026</v>
      </c>
      <c r="AA286" s="244">
        <v>151.7552661748073</v>
      </c>
      <c r="AB286" s="245">
        <v>439.37598556159753</v>
      </c>
      <c r="AC286" s="247">
        <v>-6.9356568309025874</v>
      </c>
      <c r="AD286" s="247">
        <v>-25.235152231261054</v>
      </c>
      <c r="AE286" s="248">
        <v>-32.170809062163698</v>
      </c>
      <c r="AF286" s="234">
        <f>-SUMIF('[1]Alt Fac'!$A$18:$A$139,'REPORT 4 - PROPERTY TAX'!A286,'[1]Alt Fac'!$U$18:$U$139)</f>
        <v>0</v>
      </c>
      <c r="AG286" s="247">
        <f t="shared" si="13"/>
        <v>560.04200382679528</v>
      </c>
      <c r="AH286" s="234">
        <f t="shared" si="14"/>
        <v>-44.788385177794133</v>
      </c>
      <c r="AI286" s="234">
        <f t="shared" ref="AI286:AI349" si="15">AG286+AH286</f>
        <v>515.25361864900117</v>
      </c>
      <c r="AJ286" s="170"/>
      <c r="AK286" s="170"/>
      <c r="AL286" s="170"/>
      <c r="AM286" s="170"/>
      <c r="AN286" s="170"/>
      <c r="AO286" s="234"/>
    </row>
    <row r="287" spans="1:41" x14ac:dyDescent="0.25">
      <c r="A287" s="274">
        <v>840</v>
      </c>
      <c r="B287" s="274">
        <v>1</v>
      </c>
      <c r="C287" s="275" t="s">
        <v>619</v>
      </c>
      <c r="D287" s="276">
        <v>5</v>
      </c>
      <c r="E287" s="272">
        <v>6898498</v>
      </c>
      <c r="F287" s="273">
        <v>256346020</v>
      </c>
      <c r="G287" s="234">
        <v>589576.43855672737</v>
      </c>
      <c r="H287" s="234">
        <v>937599.31863157928</v>
      </c>
      <c r="I287" s="174">
        <v>1527175.7571883067</v>
      </c>
      <c r="J287" s="234">
        <v>446877.6831196117</v>
      </c>
      <c r="K287" s="234">
        <v>812748.33011802123</v>
      </c>
      <c r="L287" s="175">
        <v>1259626.0132376328</v>
      </c>
      <c r="M287" s="235">
        <v>-142698.75543711567</v>
      </c>
      <c r="N287" s="236">
        <v>-124850.98851355806</v>
      </c>
      <c r="O287" s="175">
        <v>-267549.74395067384</v>
      </c>
      <c r="P287" s="237">
        <v>-0.17519250334569311</v>
      </c>
      <c r="Q287" s="238">
        <v>0.13591354504003325</v>
      </c>
      <c r="R287" s="239">
        <v>2.2999242920047182E-3</v>
      </c>
      <c r="S287" s="240">
        <v>0.11781525922280781</v>
      </c>
      <c r="T287" s="239">
        <v>1.7432596890703108E-3</v>
      </c>
      <c r="U287" s="241">
        <v>-1.8098285817225446E-2</v>
      </c>
      <c r="V287" s="242">
        <v>-5.5666460293440738E-4</v>
      </c>
      <c r="W287" s="243">
        <v>171.60444196754599</v>
      </c>
      <c r="X287" s="244">
        <v>229.99242920047183</v>
      </c>
      <c r="Y287" s="245">
        <v>401.59687116801786</v>
      </c>
      <c r="Z287" s="246">
        <v>148.75354629471715</v>
      </c>
      <c r="AA287" s="244">
        <v>174.3259689070311</v>
      </c>
      <c r="AB287" s="245">
        <v>323.07951520174822</v>
      </c>
      <c r="AC287" s="247">
        <v>-22.850895672828841</v>
      </c>
      <c r="AD287" s="247">
        <v>-55.666460293440736</v>
      </c>
      <c r="AE287" s="248">
        <v>-78.517355966269633</v>
      </c>
      <c r="AF287" s="234">
        <f>-SUMIF('[1]Alt Fac'!$A$18:$A$139,'REPORT 4 - PROPERTY TAX'!A287,'[1]Alt Fac'!$U$18:$U$139)</f>
        <v>0</v>
      </c>
      <c r="AG287" s="247">
        <f t="shared" si="13"/>
        <v>516.59308576825379</v>
      </c>
      <c r="AH287" s="234">
        <f t="shared" si="14"/>
        <v>-106.35058611298996</v>
      </c>
      <c r="AI287" s="234">
        <f t="shared" si="15"/>
        <v>410.24249965526383</v>
      </c>
      <c r="AJ287" s="170"/>
      <c r="AK287" s="170"/>
      <c r="AL287" s="170"/>
      <c r="AM287" s="170"/>
      <c r="AN287" s="170"/>
      <c r="AO287" s="234"/>
    </row>
    <row r="288" spans="1:41" x14ac:dyDescent="0.25">
      <c r="A288" s="274">
        <v>846</v>
      </c>
      <c r="B288" s="274">
        <v>1</v>
      </c>
      <c r="C288" s="275" t="s">
        <v>538</v>
      </c>
      <c r="D288" s="276">
        <v>6</v>
      </c>
      <c r="E288" s="272">
        <v>7067825</v>
      </c>
      <c r="F288" s="273">
        <v>201888470</v>
      </c>
      <c r="G288" s="234">
        <v>338736.60882352939</v>
      </c>
      <c r="H288" s="234">
        <v>587720.14509861695</v>
      </c>
      <c r="I288" s="174">
        <v>926456.75392214628</v>
      </c>
      <c r="J288" s="234">
        <v>300400.51982833259</v>
      </c>
      <c r="K288" s="234">
        <v>686308.6970676519</v>
      </c>
      <c r="L288" s="175">
        <v>986709.21689598449</v>
      </c>
      <c r="M288" s="235">
        <v>-38336.088995196798</v>
      </c>
      <c r="N288" s="236">
        <v>98588.551969034947</v>
      </c>
      <c r="O288" s="175">
        <v>60252.462973838206</v>
      </c>
      <c r="P288" s="237">
        <v>6.5035375605779711E-2</v>
      </c>
      <c r="Q288" s="238">
        <v>8.3154314813767588E-2</v>
      </c>
      <c r="R288" s="239">
        <v>1.6778402888660724E-3</v>
      </c>
      <c r="S288" s="240">
        <v>9.7103238558913368E-2</v>
      </c>
      <c r="T288" s="239">
        <v>1.4879528277584777E-3</v>
      </c>
      <c r="U288" s="241">
        <v>1.394892374514578E-2</v>
      </c>
      <c r="V288" s="242">
        <v>-1.8988746110759473E-4</v>
      </c>
      <c r="W288" s="243">
        <v>104.99063788386297</v>
      </c>
      <c r="X288" s="244">
        <v>167.78402888660725</v>
      </c>
      <c r="Y288" s="245">
        <v>272.77466677047022</v>
      </c>
      <c r="Z288" s="246">
        <v>122.60254900448403</v>
      </c>
      <c r="AA288" s="244">
        <v>148.79528277584777</v>
      </c>
      <c r="AB288" s="245">
        <v>271.39783178033179</v>
      </c>
      <c r="AC288" s="247">
        <v>17.611911120621059</v>
      </c>
      <c r="AD288" s="247">
        <v>-18.988746110759479</v>
      </c>
      <c r="AE288" s="248">
        <v>-1.376834990138434</v>
      </c>
      <c r="AF288" s="234">
        <f>-SUMIF('[1]Alt Fac'!$A$18:$A$139,'REPORT 4 - PROPERTY TAX'!A288,'[1]Alt Fac'!$U$18:$U$139)</f>
        <v>0</v>
      </c>
      <c r="AG288" s="247">
        <f t="shared" si="13"/>
        <v>356.66668121377381</v>
      </c>
      <c r="AH288" s="234">
        <f t="shared" si="14"/>
        <v>-10.871208045518145</v>
      </c>
      <c r="AI288" s="234">
        <f t="shared" si="15"/>
        <v>345.79547316825568</v>
      </c>
      <c r="AJ288" s="170"/>
      <c r="AK288" s="170"/>
      <c r="AL288" s="170"/>
      <c r="AM288" s="170"/>
      <c r="AN288" s="170"/>
      <c r="AO288" s="234"/>
    </row>
    <row r="289" spans="1:41" x14ac:dyDescent="0.25">
      <c r="A289" s="274">
        <v>850</v>
      </c>
      <c r="B289" s="274">
        <v>1</v>
      </c>
      <c r="C289" s="275" t="s">
        <v>265</v>
      </c>
      <c r="D289" s="276">
        <v>6</v>
      </c>
      <c r="E289" s="272">
        <v>2058494</v>
      </c>
      <c r="F289" s="273">
        <v>43820170</v>
      </c>
      <c r="G289" s="234">
        <v>324233.47165577341</v>
      </c>
      <c r="H289" s="234">
        <v>111139.53926470353</v>
      </c>
      <c r="I289" s="174">
        <v>435373.01092047693</v>
      </c>
      <c r="J289" s="234">
        <v>175777.36545487496</v>
      </c>
      <c r="K289" s="234">
        <v>110860.83344347507</v>
      </c>
      <c r="L289" s="175">
        <v>286638.19889835001</v>
      </c>
      <c r="M289" s="235">
        <v>-148456.10620089844</v>
      </c>
      <c r="N289" s="236">
        <v>-278.70582122846099</v>
      </c>
      <c r="O289" s="175">
        <v>-148734.81202212692</v>
      </c>
      <c r="P289" s="237">
        <v>-0.34162616490091546</v>
      </c>
      <c r="Q289" s="238">
        <v>5.399070352631756E-2</v>
      </c>
      <c r="R289" s="239">
        <v>7.3991833362529952E-3</v>
      </c>
      <c r="S289" s="240">
        <v>5.385531045680729E-2</v>
      </c>
      <c r="T289" s="239">
        <v>4.0113346309444938E-3</v>
      </c>
      <c r="U289" s="241">
        <v>-1.3539306951027008E-4</v>
      </c>
      <c r="V289" s="242">
        <v>-3.3878487053085014E-3</v>
      </c>
      <c r="W289" s="243">
        <v>68.168662272328561</v>
      </c>
      <c r="X289" s="244">
        <v>739.91833362529951</v>
      </c>
      <c r="Y289" s="245">
        <v>808.08699589762807</v>
      </c>
      <c r="Z289" s="246">
        <v>67.99771498276489</v>
      </c>
      <c r="AA289" s="244">
        <v>401.13346309444938</v>
      </c>
      <c r="AB289" s="245">
        <v>469.13117807721426</v>
      </c>
      <c r="AC289" s="247">
        <v>-0.17094728956367078</v>
      </c>
      <c r="AD289" s="247">
        <v>-338.78487053085013</v>
      </c>
      <c r="AE289" s="248">
        <v>-338.95581782041381</v>
      </c>
      <c r="AF289" s="234">
        <f>-SUMIF('[1]Alt Fac'!$A$18:$A$139,'REPORT 4 - PROPERTY TAX'!A289,'[1]Alt Fac'!$U$18:$U$139)</f>
        <v>0</v>
      </c>
      <c r="AG289" s="247">
        <f t="shared" si="13"/>
        <v>1178.0461627102777</v>
      </c>
      <c r="AH289" s="234">
        <f t="shared" si="14"/>
        <v>-508.34825308583891</v>
      </c>
      <c r="AI289" s="234">
        <f t="shared" si="15"/>
        <v>669.69790962443881</v>
      </c>
      <c r="AJ289" s="170"/>
      <c r="AK289" s="170"/>
      <c r="AL289" s="170"/>
      <c r="AM289" s="170"/>
      <c r="AN289" s="170"/>
      <c r="AO289" s="234"/>
    </row>
    <row r="290" spans="1:41" x14ac:dyDescent="0.25">
      <c r="A290" s="274">
        <v>852</v>
      </c>
      <c r="B290" s="274">
        <v>1</v>
      </c>
      <c r="C290" s="275" t="s">
        <v>588</v>
      </c>
      <c r="D290" s="276">
        <v>6</v>
      </c>
      <c r="E290" s="272">
        <v>5095358</v>
      </c>
      <c r="F290" s="273">
        <v>30759440</v>
      </c>
      <c r="G290" s="234">
        <v>275709.93</v>
      </c>
      <c r="H290" s="234">
        <v>68287.877999999997</v>
      </c>
      <c r="I290" s="174">
        <v>343997.80799999996</v>
      </c>
      <c r="J290" s="234">
        <v>252675.10091968172</v>
      </c>
      <c r="K290" s="234">
        <v>194707.19030318197</v>
      </c>
      <c r="L290" s="175">
        <v>447382.29122286371</v>
      </c>
      <c r="M290" s="235">
        <v>-23034.829080318275</v>
      </c>
      <c r="N290" s="236">
        <v>126419.31230318197</v>
      </c>
      <c r="O290" s="175">
        <v>103384.48322286375</v>
      </c>
      <c r="P290" s="237">
        <v>0.30053820349594718</v>
      </c>
      <c r="Q290" s="238">
        <v>1.3401978428208576E-2</v>
      </c>
      <c r="R290" s="239">
        <v>8.9634248867989791E-3</v>
      </c>
      <c r="S290" s="240">
        <v>3.8212661466217282E-2</v>
      </c>
      <c r="T290" s="239">
        <v>8.2145546511796612E-3</v>
      </c>
      <c r="U290" s="241">
        <v>2.4810683038008707E-2</v>
      </c>
      <c r="V290" s="242">
        <v>-7.488702356193179E-4</v>
      </c>
      <c r="W290" s="243">
        <v>16.92133796345615</v>
      </c>
      <c r="X290" s="244">
        <v>896.34248867989788</v>
      </c>
      <c r="Y290" s="245">
        <v>913.26382664335404</v>
      </c>
      <c r="Z290" s="246">
        <v>48.247306367245947</v>
      </c>
      <c r="AA290" s="244">
        <v>821.45546511796613</v>
      </c>
      <c r="AB290" s="245">
        <v>869.70277148521211</v>
      </c>
      <c r="AC290" s="247">
        <v>31.325968403789798</v>
      </c>
      <c r="AD290" s="247">
        <v>-74.887023561931755</v>
      </c>
      <c r="AE290" s="248">
        <v>-43.561055158141926</v>
      </c>
      <c r="AF290" s="234">
        <f>-SUMIF('[1]Alt Fac'!$A$18:$A$139,'REPORT 4 - PROPERTY TAX'!A290,'[1]Alt Fac'!$U$18:$U$139)</f>
        <v>0</v>
      </c>
      <c r="AG290" s="247">
        <f t="shared" si="13"/>
        <v>1361.4350709833029</v>
      </c>
      <c r="AH290" s="234">
        <f t="shared" si="14"/>
        <v>-81.004566939107889</v>
      </c>
      <c r="AI290" s="234">
        <f t="shared" si="15"/>
        <v>1280.430504044195</v>
      </c>
      <c r="AJ290" s="170"/>
      <c r="AK290" s="170"/>
      <c r="AL290" s="170"/>
      <c r="AM290" s="170"/>
      <c r="AN290" s="170"/>
      <c r="AO290" s="234"/>
    </row>
    <row r="291" spans="1:41" x14ac:dyDescent="0.25">
      <c r="A291" s="274">
        <v>857</v>
      </c>
      <c r="B291" s="274">
        <v>1</v>
      </c>
      <c r="C291" s="275" t="s">
        <v>404</v>
      </c>
      <c r="D291" s="276">
        <v>6</v>
      </c>
      <c r="E291" s="272">
        <v>4169558</v>
      </c>
      <c r="F291" s="273">
        <v>229007800</v>
      </c>
      <c r="G291" s="234">
        <v>492070.8064705882</v>
      </c>
      <c r="H291" s="234">
        <v>476913.29807864135</v>
      </c>
      <c r="I291" s="174">
        <v>968984.10454922961</v>
      </c>
      <c r="J291" s="234">
        <v>353300.33190951822</v>
      </c>
      <c r="K291" s="234">
        <v>451360.43398210977</v>
      </c>
      <c r="L291" s="175">
        <v>804660.76589162799</v>
      </c>
      <c r="M291" s="235">
        <v>-138770.47456106998</v>
      </c>
      <c r="N291" s="236">
        <v>-25552.864096531586</v>
      </c>
      <c r="O291" s="175">
        <v>-164323.33865760162</v>
      </c>
      <c r="P291" s="237">
        <v>-0.16958311068894641</v>
      </c>
      <c r="Q291" s="238">
        <v>0.11437982109342078</v>
      </c>
      <c r="R291" s="239">
        <v>2.1487076268606928E-3</v>
      </c>
      <c r="S291" s="240">
        <v>0.10825138635368779</v>
      </c>
      <c r="T291" s="239">
        <v>1.5427436616111689E-3</v>
      </c>
      <c r="U291" s="241">
        <v>-6.1284347397329852E-3</v>
      </c>
      <c r="V291" s="242">
        <v>-6.0596396524952392E-4</v>
      </c>
      <c r="W291" s="243">
        <v>144.4159621125531</v>
      </c>
      <c r="X291" s="244">
        <v>214.87076268606927</v>
      </c>
      <c r="Y291" s="245">
        <v>359.28672479862234</v>
      </c>
      <c r="Z291" s="246">
        <v>136.67820041016623</v>
      </c>
      <c r="AA291" s="244">
        <v>154.27436616111689</v>
      </c>
      <c r="AB291" s="245">
        <v>290.95256657128311</v>
      </c>
      <c r="AC291" s="247">
        <v>-7.7377617023868766</v>
      </c>
      <c r="AD291" s="247">
        <v>-60.596396524952382</v>
      </c>
      <c r="AE291" s="248">
        <v>-68.334158227339231</v>
      </c>
      <c r="AF291" s="234">
        <f>-SUMIF('[1]Alt Fac'!$A$18:$A$139,'REPORT 4 - PROPERTY TAX'!A291,'[1]Alt Fac'!$U$18:$U$139)</f>
        <v>0</v>
      </c>
      <c r="AG291" s="247">
        <f t="shared" si="13"/>
        <v>466.72210614165704</v>
      </c>
      <c r="AH291" s="234">
        <f t="shared" si="14"/>
        <v>-98.63235648981545</v>
      </c>
      <c r="AI291" s="234">
        <f t="shared" si="15"/>
        <v>368.0897496518416</v>
      </c>
      <c r="AJ291" s="170"/>
      <c r="AK291" s="170"/>
      <c r="AL291" s="170"/>
      <c r="AM291" s="170"/>
      <c r="AN291" s="170"/>
      <c r="AO291" s="234"/>
    </row>
    <row r="292" spans="1:41" x14ac:dyDescent="0.25">
      <c r="A292" s="274">
        <v>858</v>
      </c>
      <c r="B292" s="274">
        <v>1</v>
      </c>
      <c r="C292" s="275" t="s">
        <v>589</v>
      </c>
      <c r="D292" s="276">
        <v>6</v>
      </c>
      <c r="E292" s="272">
        <v>4860847</v>
      </c>
      <c r="F292" s="273">
        <v>350326425</v>
      </c>
      <c r="G292" s="234">
        <v>311054.94533613452</v>
      </c>
      <c r="H292" s="234">
        <v>873849.43517877837</v>
      </c>
      <c r="I292" s="174">
        <v>1184904.3805149128</v>
      </c>
      <c r="J292" s="234">
        <v>307097.11591015768</v>
      </c>
      <c r="K292" s="234">
        <v>963318.9287316968</v>
      </c>
      <c r="L292" s="175">
        <v>1270416.0446418545</v>
      </c>
      <c r="M292" s="235">
        <v>-3957.8294259768445</v>
      </c>
      <c r="N292" s="236">
        <v>89469.493552918429</v>
      </c>
      <c r="O292" s="175">
        <v>85511.664126941701</v>
      </c>
      <c r="P292" s="237">
        <v>7.2167565191869495E-2</v>
      </c>
      <c r="Q292" s="238">
        <v>0.17977307970787362</v>
      </c>
      <c r="R292" s="239">
        <v>8.8790032135353336E-4</v>
      </c>
      <c r="S292" s="240">
        <v>0.19817923269991769</v>
      </c>
      <c r="T292" s="239">
        <v>8.7660277385629044E-4</v>
      </c>
      <c r="U292" s="241">
        <v>1.8406152992044067E-2</v>
      </c>
      <c r="V292" s="242">
        <v>-1.1297547497242919E-5</v>
      </c>
      <c r="W292" s="243">
        <v>226.98149043916126</v>
      </c>
      <c r="X292" s="244">
        <v>88.790032135353343</v>
      </c>
      <c r="Y292" s="245">
        <v>315.77152257451462</v>
      </c>
      <c r="Z292" s="246">
        <v>250.22109920691611</v>
      </c>
      <c r="AA292" s="244">
        <v>87.660277385629044</v>
      </c>
      <c r="AB292" s="245">
        <v>337.88137659254517</v>
      </c>
      <c r="AC292" s="247">
        <v>23.239608767754845</v>
      </c>
      <c r="AD292" s="247">
        <v>-1.1297547497242988</v>
      </c>
      <c r="AE292" s="248">
        <v>22.109854018030546</v>
      </c>
      <c r="AF292" s="234">
        <f>-SUMIF('[1]Alt Fac'!$A$18:$A$139,'REPORT 4 - PROPERTY TAX'!A292,'[1]Alt Fac'!$U$18:$U$139)</f>
        <v>0</v>
      </c>
      <c r="AG292" s="247">
        <f t="shared" si="13"/>
        <v>360.16653864219126</v>
      </c>
      <c r="AH292" s="234">
        <f t="shared" si="14"/>
        <v>21.544976643168404</v>
      </c>
      <c r="AI292" s="234">
        <f t="shared" si="15"/>
        <v>381.71151528535967</v>
      </c>
      <c r="AJ292" s="170"/>
      <c r="AK292" s="170"/>
      <c r="AL292" s="170"/>
      <c r="AM292" s="170"/>
      <c r="AN292" s="170"/>
      <c r="AO292" s="234"/>
    </row>
    <row r="293" spans="1:41" x14ac:dyDescent="0.25">
      <c r="A293" s="274">
        <v>861</v>
      </c>
      <c r="B293" s="274">
        <v>1</v>
      </c>
      <c r="C293" s="275" t="s">
        <v>623</v>
      </c>
      <c r="D293" s="276">
        <v>4</v>
      </c>
      <c r="E293" s="272">
        <v>28448645</v>
      </c>
      <c r="F293" s="273">
        <v>2360041475</v>
      </c>
      <c r="G293" s="234">
        <v>7315374.7199999997</v>
      </c>
      <c r="H293" s="234">
        <v>4108315.2733940049</v>
      </c>
      <c r="I293" s="174">
        <v>11423689.993394004</v>
      </c>
      <c r="J293" s="234">
        <v>7345636.0274587814</v>
      </c>
      <c r="K293" s="234">
        <v>4016736.3647627342</v>
      </c>
      <c r="L293" s="175">
        <v>11362372.392221516</v>
      </c>
      <c r="M293" s="235">
        <v>30261.307458781637</v>
      </c>
      <c r="N293" s="236">
        <v>-91578.908631270751</v>
      </c>
      <c r="O293" s="175">
        <v>-61317.601172488183</v>
      </c>
      <c r="P293" s="237">
        <v>-5.3675827344707716E-3</v>
      </c>
      <c r="Q293" s="238">
        <v>0.14441163272957305</v>
      </c>
      <c r="R293" s="239">
        <v>3.0996805765881718E-3</v>
      </c>
      <c r="S293" s="240">
        <v>0.14119253710546614</v>
      </c>
      <c r="T293" s="239">
        <v>3.1125029391522799E-3</v>
      </c>
      <c r="U293" s="241">
        <v>-3.2190956241069102E-3</v>
      </c>
      <c r="V293" s="242">
        <v>1.2822362564108084E-5</v>
      </c>
      <c r="W293" s="243">
        <v>182.33412748435896</v>
      </c>
      <c r="X293" s="244">
        <v>309.9680576588172</v>
      </c>
      <c r="Y293" s="245">
        <v>492.30218514317619</v>
      </c>
      <c r="Z293" s="246">
        <v>178.26969734936156</v>
      </c>
      <c r="AA293" s="244">
        <v>311.25029391522799</v>
      </c>
      <c r="AB293" s="245">
        <v>489.51999126458952</v>
      </c>
      <c r="AC293" s="247">
        <v>-4.0644301349973944</v>
      </c>
      <c r="AD293" s="247">
        <v>1.2822362564107834</v>
      </c>
      <c r="AE293" s="248">
        <v>-2.7821938785866678</v>
      </c>
      <c r="AF293" s="234">
        <f>-SUMIF('[1]Alt Fac'!$A$18:$A$139,'REPORT 4 - PROPERTY TAX'!A293,'[1]Alt Fac'!$U$18:$U$139)</f>
        <v>0</v>
      </c>
      <c r="AG293" s="247">
        <f t="shared" si="13"/>
        <v>647.28621397258473</v>
      </c>
      <c r="AH293" s="234">
        <f t="shared" si="14"/>
        <v>-2.141075750381173</v>
      </c>
      <c r="AI293" s="234">
        <f t="shared" si="15"/>
        <v>645.14513822220351</v>
      </c>
      <c r="AJ293" s="170"/>
      <c r="AK293" s="170"/>
      <c r="AL293" s="170"/>
      <c r="AM293" s="170"/>
      <c r="AN293" s="170"/>
      <c r="AO293" s="234"/>
    </row>
    <row r="294" spans="1:41" x14ac:dyDescent="0.25">
      <c r="A294" s="274">
        <v>876</v>
      </c>
      <c r="B294" s="274">
        <v>1</v>
      </c>
      <c r="C294" s="275" t="s">
        <v>387</v>
      </c>
      <c r="D294" s="276">
        <v>5</v>
      </c>
      <c r="E294" s="272">
        <v>15856907</v>
      </c>
      <c r="F294" s="273">
        <v>931591550</v>
      </c>
      <c r="G294" s="234">
        <v>1439120.9199999997</v>
      </c>
      <c r="H294" s="234">
        <v>3274809.7553826659</v>
      </c>
      <c r="I294" s="174">
        <v>4713930.6753826654</v>
      </c>
      <c r="J294" s="234">
        <v>1327062.2621687958</v>
      </c>
      <c r="K294" s="234">
        <v>3478358.8119635927</v>
      </c>
      <c r="L294" s="175">
        <v>4805421.0741323885</v>
      </c>
      <c r="M294" s="235">
        <v>-112058.65783120389</v>
      </c>
      <c r="N294" s="236">
        <v>203549.05658092676</v>
      </c>
      <c r="O294" s="175">
        <v>91490.398749723099</v>
      </c>
      <c r="P294" s="237">
        <v>1.9408515960472019E-2</v>
      </c>
      <c r="Q294" s="238">
        <v>0.20652260591442365</v>
      </c>
      <c r="R294" s="239">
        <v>1.5447981682530285E-3</v>
      </c>
      <c r="S294" s="240">
        <v>0.21935922383624956</v>
      </c>
      <c r="T294" s="239">
        <v>1.4245108407958357E-3</v>
      </c>
      <c r="U294" s="241">
        <v>1.2836617921825916E-2</v>
      </c>
      <c r="V294" s="242">
        <v>-1.2028732745719283E-4</v>
      </c>
      <c r="W294" s="243">
        <v>260.75544222755133</v>
      </c>
      <c r="X294" s="244">
        <v>154.47981682530286</v>
      </c>
      <c r="Y294" s="245">
        <v>415.23525905285419</v>
      </c>
      <c r="Z294" s="246">
        <v>276.96295601564873</v>
      </c>
      <c r="AA294" s="244">
        <v>142.45108407958355</v>
      </c>
      <c r="AB294" s="245">
        <v>419.41404009523228</v>
      </c>
      <c r="AC294" s="247">
        <v>16.207513788097401</v>
      </c>
      <c r="AD294" s="247">
        <v>-12.02873274571931</v>
      </c>
      <c r="AE294" s="248">
        <v>4.1787810423780911</v>
      </c>
      <c r="AF294" s="234">
        <f>-SUMIF('[1]Alt Fac'!$A$18:$A$139,'REPORT 4 - PROPERTY TAX'!A294,'[1]Alt Fac'!$U$18:$U$139)</f>
        <v>0</v>
      </c>
      <c r="AG294" s="247">
        <f t="shared" ref="AG294:AG357" si="16">Q294*AH$23+R294*AH$25</f>
        <v>492.47516746550559</v>
      </c>
      <c r="AH294" s="234">
        <f t="shared" ref="AH294:AH357" si="17">U294*$AH$23+V294*$AH$25</f>
        <v>-1.8355853304815177</v>
      </c>
      <c r="AI294" s="234">
        <f t="shared" si="15"/>
        <v>490.63958213502406</v>
      </c>
      <c r="AJ294" s="170"/>
      <c r="AK294" s="170"/>
      <c r="AL294" s="170"/>
      <c r="AM294" s="170"/>
      <c r="AN294" s="170"/>
      <c r="AO294" s="234"/>
    </row>
    <row r="295" spans="1:41" x14ac:dyDescent="0.25">
      <c r="A295" s="274">
        <v>877</v>
      </c>
      <c r="B295" s="274">
        <v>1</v>
      </c>
      <c r="C295" s="275" t="s">
        <v>625</v>
      </c>
      <c r="D295" s="276">
        <v>4</v>
      </c>
      <c r="E295" s="272">
        <v>28837190</v>
      </c>
      <c r="F295" s="273">
        <v>2564340650</v>
      </c>
      <c r="G295" s="234">
        <v>3266182.8499894701</v>
      </c>
      <c r="H295" s="234">
        <v>8525459.9484286867</v>
      </c>
      <c r="I295" s="174">
        <v>11791642.798418157</v>
      </c>
      <c r="J295" s="234">
        <v>3092715.8933383087</v>
      </c>
      <c r="K295" s="234">
        <v>8280789.3917790204</v>
      </c>
      <c r="L295" s="175">
        <v>11373505.285117328</v>
      </c>
      <c r="M295" s="235">
        <v>-173466.95665116142</v>
      </c>
      <c r="N295" s="236">
        <v>-244670.55664966628</v>
      </c>
      <c r="O295" s="175">
        <v>-418137.51330082864</v>
      </c>
      <c r="P295" s="237">
        <v>-3.5460496934059227E-2</v>
      </c>
      <c r="Q295" s="238">
        <v>0.29564114771337591</v>
      </c>
      <c r="R295" s="239">
        <v>1.2736930446387729E-3</v>
      </c>
      <c r="S295" s="240">
        <v>0.28715659853747955</v>
      </c>
      <c r="T295" s="239">
        <v>1.2060472126970761E-3</v>
      </c>
      <c r="U295" s="241">
        <v>-8.4845491758963609E-3</v>
      </c>
      <c r="V295" s="242">
        <v>-6.7645831941696814E-5</v>
      </c>
      <c r="W295" s="243">
        <v>373.27651310290844</v>
      </c>
      <c r="X295" s="244">
        <v>127.3693044638773</v>
      </c>
      <c r="Y295" s="245">
        <v>500.64581756678575</v>
      </c>
      <c r="Z295" s="246">
        <v>362.5639213134217</v>
      </c>
      <c r="AA295" s="244">
        <v>120.60472126970761</v>
      </c>
      <c r="AB295" s="245">
        <v>483.16864258312933</v>
      </c>
      <c r="AC295" s="247">
        <v>-10.712591789486737</v>
      </c>
      <c r="AD295" s="247">
        <v>-6.7645831941696883</v>
      </c>
      <c r="AE295" s="248">
        <v>-17.477174983656425</v>
      </c>
      <c r="AF295" s="234">
        <f>-SUMIF('[1]Alt Fac'!$A$18:$A$139,'REPORT 4 - PROPERTY TAX'!A295,'[1]Alt Fac'!$U$18:$U$139)</f>
        <v>0</v>
      </c>
      <c r="AG295" s="247">
        <f t="shared" si="16"/>
        <v>564.33046979872438</v>
      </c>
      <c r="AH295" s="234">
        <f t="shared" si="17"/>
        <v>-20.85946658074127</v>
      </c>
      <c r="AI295" s="234">
        <f t="shared" si="15"/>
        <v>543.47100321798314</v>
      </c>
      <c r="AJ295" s="170"/>
      <c r="AK295" s="170"/>
      <c r="AL295" s="170"/>
      <c r="AM295" s="170"/>
      <c r="AN295" s="170"/>
      <c r="AO295" s="234"/>
    </row>
    <row r="296" spans="1:41" x14ac:dyDescent="0.25">
      <c r="A296" s="274">
        <v>879</v>
      </c>
      <c r="B296" s="274">
        <v>1</v>
      </c>
      <c r="C296" s="275" t="s">
        <v>626</v>
      </c>
      <c r="D296" s="276">
        <v>4</v>
      </c>
      <c r="E296" s="272">
        <v>12794275</v>
      </c>
      <c r="F296" s="273">
        <v>1163075975</v>
      </c>
      <c r="G296" s="234">
        <v>2064322.685588235</v>
      </c>
      <c r="H296" s="234">
        <v>3093712.401307228</v>
      </c>
      <c r="I296" s="174">
        <v>5158035.0868954631</v>
      </c>
      <c r="J296" s="234">
        <v>1711179.0525279613</v>
      </c>
      <c r="K296" s="234">
        <v>3065298.7438897965</v>
      </c>
      <c r="L296" s="175">
        <v>4776477.7964177579</v>
      </c>
      <c r="M296" s="235">
        <v>-353143.63306027371</v>
      </c>
      <c r="N296" s="236">
        <v>-28413.657417431474</v>
      </c>
      <c r="O296" s="175">
        <v>-381557.29047770519</v>
      </c>
      <c r="P296" s="237">
        <v>-7.397338018252185E-2</v>
      </c>
      <c r="Q296" s="238">
        <v>0.24180443216260616</v>
      </c>
      <c r="R296" s="239">
        <v>1.7748820627029418E-3</v>
      </c>
      <c r="S296" s="240">
        <v>0.23958362188477242</v>
      </c>
      <c r="T296" s="239">
        <v>1.4712530301625062E-3</v>
      </c>
      <c r="U296" s="241">
        <v>-2.2208102778337457E-3</v>
      </c>
      <c r="V296" s="242">
        <v>-3.0362903254043555E-4</v>
      </c>
      <c r="W296" s="243">
        <v>305.3022760485066</v>
      </c>
      <c r="X296" s="244">
        <v>177.48820627029417</v>
      </c>
      <c r="Y296" s="245">
        <v>482.79048231880074</v>
      </c>
      <c r="Z296" s="246">
        <v>302.49828099171367</v>
      </c>
      <c r="AA296" s="244">
        <v>147.12530301625063</v>
      </c>
      <c r="AB296" s="245">
        <v>449.62358400796427</v>
      </c>
      <c r="AC296" s="247">
        <v>-2.8039950567929282</v>
      </c>
      <c r="AD296" s="247">
        <v>-30.362903254043545</v>
      </c>
      <c r="AE296" s="248">
        <v>-33.166898310836473</v>
      </c>
      <c r="AF296" s="234">
        <f>-SUMIF('[1]Alt Fac'!$A$18:$A$139,'REPORT 4 - PROPERTY TAX'!A296,'[1]Alt Fac'!$U$18:$U$139)</f>
        <v>0</v>
      </c>
      <c r="AG296" s="247">
        <f t="shared" si="16"/>
        <v>571.53458545394778</v>
      </c>
      <c r="AH296" s="234">
        <f t="shared" si="17"/>
        <v>-48.348349937858217</v>
      </c>
      <c r="AI296" s="234">
        <f t="shared" si="15"/>
        <v>523.1862355160896</v>
      </c>
      <c r="AJ296" s="170"/>
      <c r="AK296" s="170"/>
      <c r="AL296" s="170"/>
      <c r="AM296" s="170"/>
      <c r="AN296" s="170"/>
      <c r="AO296" s="234"/>
    </row>
    <row r="297" spans="1:41" x14ac:dyDescent="0.25">
      <c r="A297" s="274">
        <v>881</v>
      </c>
      <c r="B297" s="274">
        <v>1</v>
      </c>
      <c r="C297" s="275" t="s">
        <v>472</v>
      </c>
      <c r="D297" s="276">
        <v>5</v>
      </c>
      <c r="E297" s="272">
        <v>5241881</v>
      </c>
      <c r="F297" s="273">
        <v>404152700</v>
      </c>
      <c r="G297" s="234">
        <v>697295.9077145101</v>
      </c>
      <c r="H297" s="234">
        <v>1695586.151474606</v>
      </c>
      <c r="I297" s="174">
        <v>2392882.0591891161</v>
      </c>
      <c r="J297" s="234">
        <v>547227.62307604752</v>
      </c>
      <c r="K297" s="234">
        <v>1752340.2308307246</v>
      </c>
      <c r="L297" s="175">
        <v>2299567.8539067721</v>
      </c>
      <c r="M297" s="235">
        <v>-150068.28463846259</v>
      </c>
      <c r="N297" s="236">
        <v>56754.079356118571</v>
      </c>
      <c r="O297" s="175">
        <v>-93314.205282344017</v>
      </c>
      <c r="P297" s="237">
        <v>-3.8996575248662992E-2</v>
      </c>
      <c r="Q297" s="238">
        <v>0.3234690279070826</v>
      </c>
      <c r="R297" s="239">
        <v>1.7253278469116008E-3</v>
      </c>
      <c r="S297" s="240">
        <v>0.33429607250350107</v>
      </c>
      <c r="T297" s="239">
        <v>1.3540120431610317E-3</v>
      </c>
      <c r="U297" s="241">
        <v>1.0827044596418478E-2</v>
      </c>
      <c r="V297" s="242">
        <v>-3.7131580375056902E-4</v>
      </c>
      <c r="W297" s="243">
        <v>408.41199463548253</v>
      </c>
      <c r="X297" s="244">
        <v>172.53278469116009</v>
      </c>
      <c r="Y297" s="245">
        <v>580.94477932664267</v>
      </c>
      <c r="Z297" s="246">
        <v>422.0822211429205</v>
      </c>
      <c r="AA297" s="244">
        <v>135.40120431610316</v>
      </c>
      <c r="AB297" s="245">
        <v>557.48342545902369</v>
      </c>
      <c r="AC297" s="247">
        <v>13.670226507437974</v>
      </c>
      <c r="AD297" s="247">
        <v>-37.131580375056927</v>
      </c>
      <c r="AE297" s="248">
        <v>-23.461353867618982</v>
      </c>
      <c r="AF297" s="234">
        <f>-SUMIF('[1]Alt Fac'!$A$18:$A$139,'REPORT 4 - PROPERTY TAX'!A297,'[1]Alt Fac'!$U$18:$U$139)</f>
        <v>0</v>
      </c>
      <c r="AG297" s="247">
        <f t="shared" si="16"/>
        <v>667.21117167222269</v>
      </c>
      <c r="AH297" s="234">
        <f t="shared" si="17"/>
        <v>-42.027144055147382</v>
      </c>
      <c r="AI297" s="234">
        <f t="shared" si="15"/>
        <v>625.18402761707534</v>
      </c>
      <c r="AJ297" s="170"/>
      <c r="AK297" s="170"/>
      <c r="AL297" s="170"/>
      <c r="AM297" s="170"/>
      <c r="AN297" s="170"/>
      <c r="AO297" s="234"/>
    </row>
    <row r="298" spans="1:41" x14ac:dyDescent="0.25">
      <c r="A298" s="274">
        <v>882</v>
      </c>
      <c r="B298" s="274">
        <v>1</v>
      </c>
      <c r="C298" s="275" t="s">
        <v>628</v>
      </c>
      <c r="D298" s="276">
        <v>4</v>
      </c>
      <c r="E298" s="272">
        <v>24480507</v>
      </c>
      <c r="F298" s="273">
        <v>1831674225</v>
      </c>
      <c r="G298" s="234">
        <v>3929957.0561764706</v>
      </c>
      <c r="H298" s="234">
        <v>5758230.0976415314</v>
      </c>
      <c r="I298" s="174">
        <v>9688187.153818002</v>
      </c>
      <c r="J298" s="234">
        <v>3271005.7829693155</v>
      </c>
      <c r="K298" s="234">
        <v>5738530.7132213144</v>
      </c>
      <c r="L298" s="175">
        <v>9009536.4961906299</v>
      </c>
      <c r="M298" s="235">
        <v>-658951.27320715506</v>
      </c>
      <c r="N298" s="236">
        <v>-19699.384420217015</v>
      </c>
      <c r="O298" s="175">
        <v>-678650.65762737207</v>
      </c>
      <c r="P298" s="237">
        <v>-7.004929269558173E-2</v>
      </c>
      <c r="Q298" s="238">
        <v>0.23521694618667544</v>
      </c>
      <c r="R298" s="239">
        <v>2.1455545983765046E-3</v>
      </c>
      <c r="S298" s="240">
        <v>0.23441224943671773</v>
      </c>
      <c r="T298" s="239">
        <v>1.785801065672208E-3</v>
      </c>
      <c r="U298" s="241">
        <v>-8.0469674995770069E-4</v>
      </c>
      <c r="V298" s="242">
        <v>-3.5975353270429667E-4</v>
      </c>
      <c r="W298" s="243">
        <v>296.98491625529641</v>
      </c>
      <c r="X298" s="244">
        <v>214.55545983765046</v>
      </c>
      <c r="Y298" s="245">
        <v>511.54037609294687</v>
      </c>
      <c r="Z298" s="246">
        <v>295.96890613879987</v>
      </c>
      <c r="AA298" s="244">
        <v>178.58010656722081</v>
      </c>
      <c r="AB298" s="245">
        <v>474.54901270602068</v>
      </c>
      <c r="AC298" s="247">
        <v>-1.0160101164965454</v>
      </c>
      <c r="AD298" s="247">
        <v>-35.97535327042965</v>
      </c>
      <c r="AE298" s="248">
        <v>-36.991363386926196</v>
      </c>
      <c r="AF298" s="234">
        <f>-SUMIF('[1]Alt Fac'!$A$18:$A$139,'REPORT 4 - PROPERTY TAX'!A298,'[1]Alt Fac'!$U$18:$U$139)</f>
        <v>0</v>
      </c>
      <c r="AG298" s="247">
        <f t="shared" si="16"/>
        <v>618.8181060117721</v>
      </c>
      <c r="AH298" s="234">
        <f t="shared" si="17"/>
        <v>-54.979040022141099</v>
      </c>
      <c r="AI298" s="234">
        <f t="shared" si="15"/>
        <v>563.83906598963097</v>
      </c>
      <c r="AJ298" s="170"/>
      <c r="AK298" s="170"/>
      <c r="AL298" s="170"/>
      <c r="AM298" s="170"/>
      <c r="AN298" s="170"/>
      <c r="AO298" s="234"/>
    </row>
    <row r="299" spans="1:41" x14ac:dyDescent="0.25">
      <c r="A299" s="274">
        <v>883</v>
      </c>
      <c r="B299" s="274">
        <v>1</v>
      </c>
      <c r="C299" s="275" t="s">
        <v>430</v>
      </c>
      <c r="D299" s="276">
        <v>5</v>
      </c>
      <c r="E299" s="272">
        <v>9916829</v>
      </c>
      <c r="F299" s="273">
        <v>909774100</v>
      </c>
      <c r="G299" s="234">
        <v>1003919.1797899159</v>
      </c>
      <c r="H299" s="234">
        <v>3484698.3130450514</v>
      </c>
      <c r="I299" s="174">
        <v>4488617.4928349676</v>
      </c>
      <c r="J299" s="234">
        <v>987073.86642433144</v>
      </c>
      <c r="K299" s="234">
        <v>3449679.6073662168</v>
      </c>
      <c r="L299" s="175">
        <v>4436753.4737905487</v>
      </c>
      <c r="M299" s="235">
        <v>-16845.313365584472</v>
      </c>
      <c r="N299" s="236">
        <v>-35018.70567883458</v>
      </c>
      <c r="O299" s="175">
        <v>-51864.019044418819</v>
      </c>
      <c r="P299" s="237">
        <v>-1.155456421207814E-2</v>
      </c>
      <c r="Q299" s="238">
        <v>0.35139239700967428</v>
      </c>
      <c r="R299" s="239">
        <v>1.1034818201462494E-3</v>
      </c>
      <c r="S299" s="240">
        <v>0.34786115676353974</v>
      </c>
      <c r="T299" s="239">
        <v>1.0849658903505073E-3</v>
      </c>
      <c r="U299" s="241">
        <v>-3.5312402461345482E-3</v>
      </c>
      <c r="V299" s="242">
        <v>-1.8515929795742117E-5</v>
      </c>
      <c r="W299" s="243">
        <v>443.66804046441479</v>
      </c>
      <c r="X299" s="244">
        <v>110.34818201462494</v>
      </c>
      <c r="Y299" s="245">
        <v>554.0162224790397</v>
      </c>
      <c r="Z299" s="246">
        <v>439.20949652964532</v>
      </c>
      <c r="AA299" s="244">
        <v>108.49658903505073</v>
      </c>
      <c r="AB299" s="245">
        <v>547.70608556469608</v>
      </c>
      <c r="AC299" s="247">
        <v>-4.458543934769466</v>
      </c>
      <c r="AD299" s="247">
        <v>-1.8515929795742068</v>
      </c>
      <c r="AE299" s="248">
        <v>-6.3101369143436159</v>
      </c>
      <c r="AF299" s="234">
        <f>-SUMIF('[1]Alt Fac'!$A$18:$A$139,'REPORT 4 - PROPERTY TAX'!A299,'[1]Alt Fac'!$U$18:$U$139)</f>
        <v>0</v>
      </c>
      <c r="AG299" s="247">
        <f t="shared" si="16"/>
        <v>609.19031348635224</v>
      </c>
      <c r="AH299" s="234">
        <f t="shared" si="17"/>
        <v>-7.2359334041307992</v>
      </c>
      <c r="AI299" s="234">
        <f t="shared" si="15"/>
        <v>601.95438008222141</v>
      </c>
      <c r="AJ299" s="170"/>
      <c r="AK299" s="170"/>
      <c r="AL299" s="170"/>
      <c r="AM299" s="170"/>
      <c r="AN299" s="170"/>
      <c r="AO299" s="234"/>
    </row>
    <row r="300" spans="1:41" x14ac:dyDescent="0.25">
      <c r="A300" s="274">
        <v>885</v>
      </c>
      <c r="B300" s="274">
        <v>1</v>
      </c>
      <c r="C300" s="275" t="s">
        <v>323</v>
      </c>
      <c r="D300" s="276">
        <v>4</v>
      </c>
      <c r="E300" s="272">
        <v>17011593</v>
      </c>
      <c r="F300" s="273">
        <v>1660662725</v>
      </c>
      <c r="G300" s="234">
        <v>2826564.9399894956</v>
      </c>
      <c r="H300" s="234">
        <v>8584256.9448400158</v>
      </c>
      <c r="I300" s="174">
        <v>11410821.884829512</v>
      </c>
      <c r="J300" s="234">
        <v>2374736.9805492274</v>
      </c>
      <c r="K300" s="234">
        <v>7185682.9819250051</v>
      </c>
      <c r="L300" s="175">
        <v>9560419.9624742325</v>
      </c>
      <c r="M300" s="235">
        <v>-451827.95944026811</v>
      </c>
      <c r="N300" s="236">
        <v>-1398573.9629150108</v>
      </c>
      <c r="O300" s="175">
        <v>-1850401.9223552793</v>
      </c>
      <c r="P300" s="237">
        <v>-0.16216201961888094</v>
      </c>
      <c r="Q300" s="238">
        <v>0.50461217505262534</v>
      </c>
      <c r="R300" s="239">
        <v>1.7020704429850412E-3</v>
      </c>
      <c r="S300" s="240">
        <v>0.42239918283519978</v>
      </c>
      <c r="T300" s="239">
        <v>1.4299935470335962E-3</v>
      </c>
      <c r="U300" s="241">
        <v>-8.2212992217425562E-2</v>
      </c>
      <c r="V300" s="242">
        <v>-2.7207689595144498E-4</v>
      </c>
      <c r="W300" s="243">
        <v>637.1233322214448</v>
      </c>
      <c r="X300" s="244">
        <v>170.20704429850412</v>
      </c>
      <c r="Y300" s="245">
        <v>807.33037651994891</v>
      </c>
      <c r="Z300" s="246">
        <v>533.32120824772335</v>
      </c>
      <c r="AA300" s="244">
        <v>142.99935470335961</v>
      </c>
      <c r="AB300" s="245">
        <v>676.32056295108293</v>
      </c>
      <c r="AC300" s="247">
        <v>-103.80212397372145</v>
      </c>
      <c r="AD300" s="247">
        <v>-27.207689595144501</v>
      </c>
      <c r="AE300" s="248">
        <v>-131.00981356886598</v>
      </c>
      <c r="AF300" s="234">
        <f>-SUMIF('[1]Alt Fac'!$A$18:$A$139,'REPORT 4 - PROPERTY TAX'!A300,'[1]Alt Fac'!$U$18:$U$139)</f>
        <v>0</v>
      </c>
      <c r="AG300" s="247">
        <f t="shared" si="16"/>
        <v>892.43389866920097</v>
      </c>
      <c r="AH300" s="234">
        <f t="shared" si="17"/>
        <v>-144.61365836643827</v>
      </c>
      <c r="AI300" s="234">
        <f t="shared" si="15"/>
        <v>747.82024030276273</v>
      </c>
      <c r="AJ300" s="170"/>
      <c r="AK300" s="170"/>
      <c r="AL300" s="170"/>
      <c r="AM300" s="170"/>
      <c r="AN300" s="170"/>
      <c r="AO300" s="234"/>
    </row>
    <row r="301" spans="1:41" x14ac:dyDescent="0.25">
      <c r="A301" s="274">
        <v>891</v>
      </c>
      <c r="B301" s="274">
        <v>1</v>
      </c>
      <c r="C301" s="275" t="s">
        <v>439</v>
      </c>
      <c r="D301" s="276">
        <v>6</v>
      </c>
      <c r="E301" s="272">
        <v>5995253</v>
      </c>
      <c r="F301" s="273">
        <v>128130010</v>
      </c>
      <c r="G301" s="234">
        <v>218656.57419226583</v>
      </c>
      <c r="H301" s="234">
        <v>572201.1230615105</v>
      </c>
      <c r="I301" s="174">
        <v>790857.69725377636</v>
      </c>
      <c r="J301" s="234">
        <v>183442.7670126282</v>
      </c>
      <c r="K301" s="234">
        <v>625647.32841044187</v>
      </c>
      <c r="L301" s="175">
        <v>809090.09542307002</v>
      </c>
      <c r="M301" s="235">
        <v>-35213.807179637632</v>
      </c>
      <c r="N301" s="236">
        <v>53446.205348931369</v>
      </c>
      <c r="O301" s="175">
        <v>18232.39816929365</v>
      </c>
      <c r="P301" s="237">
        <v>2.3053955512609876E-2</v>
      </c>
      <c r="Q301" s="238">
        <v>9.5442364661092779E-2</v>
      </c>
      <c r="R301" s="239">
        <v>1.7065211669948816E-3</v>
      </c>
      <c r="S301" s="240">
        <v>0.10435711860874626</v>
      </c>
      <c r="T301" s="239">
        <v>1.4316924427979691E-3</v>
      </c>
      <c r="U301" s="241">
        <v>8.9147539476534809E-3</v>
      </c>
      <c r="V301" s="242">
        <v>-2.7482872419691247E-4</v>
      </c>
      <c r="W301" s="243">
        <v>120.50552962109576</v>
      </c>
      <c r="X301" s="244">
        <v>170.65211669948815</v>
      </c>
      <c r="Y301" s="245">
        <v>291.15764632058392</v>
      </c>
      <c r="Z301" s="246">
        <v>131.76129795540305</v>
      </c>
      <c r="AA301" s="244">
        <v>143.16924427979691</v>
      </c>
      <c r="AB301" s="245">
        <v>274.93054223519994</v>
      </c>
      <c r="AC301" s="247">
        <v>11.255768334307291</v>
      </c>
      <c r="AD301" s="247">
        <v>-27.482872419691233</v>
      </c>
      <c r="AE301" s="248">
        <v>-16.227104085383985</v>
      </c>
      <c r="AF301" s="234">
        <f>-SUMIF('[1]Alt Fac'!$A$18:$A$139,'REPORT 4 - PROPERTY TAX'!A301,'[1]Alt Fac'!$U$18:$U$139)</f>
        <v>0</v>
      </c>
      <c r="AG301" s="247">
        <f t="shared" si="16"/>
        <v>376.483704670328</v>
      </c>
      <c r="AH301" s="234">
        <f t="shared" si="17"/>
        <v>-29.968540295229587</v>
      </c>
      <c r="AI301" s="234">
        <f t="shared" si="15"/>
        <v>346.51516437509838</v>
      </c>
      <c r="AJ301" s="170"/>
      <c r="AK301" s="170"/>
      <c r="AL301" s="170"/>
      <c r="AM301" s="170"/>
      <c r="AN301" s="170"/>
      <c r="AO301" s="234"/>
    </row>
    <row r="302" spans="1:41" x14ac:dyDescent="0.25">
      <c r="A302" s="274">
        <v>911</v>
      </c>
      <c r="B302" s="274">
        <v>1</v>
      </c>
      <c r="C302" s="275" t="s">
        <v>629</v>
      </c>
      <c r="D302" s="276">
        <v>4</v>
      </c>
      <c r="E302" s="272">
        <v>20688263</v>
      </c>
      <c r="F302" s="273">
        <v>1903308600</v>
      </c>
      <c r="G302" s="234">
        <v>338428.85</v>
      </c>
      <c r="H302" s="234">
        <v>6860256.4082005871</v>
      </c>
      <c r="I302" s="174">
        <v>7198685.2582005868</v>
      </c>
      <c r="J302" s="234">
        <v>1532971.6058340375</v>
      </c>
      <c r="K302" s="234">
        <v>6273940.9180207131</v>
      </c>
      <c r="L302" s="175">
        <v>7806912.5238547511</v>
      </c>
      <c r="M302" s="235">
        <v>1194542.7558340374</v>
      </c>
      <c r="N302" s="236">
        <v>-586315.490179874</v>
      </c>
      <c r="O302" s="175">
        <v>608227.26565416437</v>
      </c>
      <c r="P302" s="237">
        <v>8.449143751093785E-2</v>
      </c>
      <c r="Q302" s="238">
        <v>0.33160137263339057</v>
      </c>
      <c r="R302" s="239">
        <v>1.7781081323333482E-4</v>
      </c>
      <c r="S302" s="240">
        <v>0.30326088362375869</v>
      </c>
      <c r="T302" s="239">
        <v>8.0542461996653482E-4</v>
      </c>
      <c r="U302" s="241">
        <v>-2.8340489009631875E-2</v>
      </c>
      <c r="V302" s="242">
        <v>6.2761380673319995E-4</v>
      </c>
      <c r="W302" s="243">
        <v>418.67989308691898</v>
      </c>
      <c r="X302" s="244">
        <v>17.781081323333481</v>
      </c>
      <c r="Y302" s="245">
        <v>436.46097441025245</v>
      </c>
      <c r="Z302" s="246">
        <v>382.89719166335777</v>
      </c>
      <c r="AA302" s="244">
        <v>80.542461996653486</v>
      </c>
      <c r="AB302" s="245">
        <v>463.43965366001123</v>
      </c>
      <c r="AC302" s="247">
        <v>-35.782701423561207</v>
      </c>
      <c r="AD302" s="247">
        <v>62.761380673320005</v>
      </c>
      <c r="AE302" s="248">
        <v>26.978679249758784</v>
      </c>
      <c r="AF302" s="234">
        <f>-SUMIF('[1]Alt Fac'!$A$18:$A$139,'REPORT 4 - PROPERTY TAX'!A302,'[1]Alt Fac'!$U$18:$U$139)</f>
        <v>0</v>
      </c>
      <c r="AG302" s="247">
        <f t="shared" si="16"/>
        <v>445.35151507191921</v>
      </c>
      <c r="AH302" s="234">
        <f t="shared" si="17"/>
        <v>58.359369586418779</v>
      </c>
      <c r="AI302" s="234">
        <f t="shared" si="15"/>
        <v>503.71088465833799</v>
      </c>
      <c r="AJ302" s="170"/>
      <c r="AK302" s="170"/>
      <c r="AL302" s="170"/>
      <c r="AM302" s="170"/>
      <c r="AN302" s="170"/>
      <c r="AO302" s="234"/>
    </row>
    <row r="303" spans="1:41" x14ac:dyDescent="0.25">
      <c r="A303" s="274">
        <v>912</v>
      </c>
      <c r="B303" s="274">
        <v>1</v>
      </c>
      <c r="C303" s="275" t="s">
        <v>630</v>
      </c>
      <c r="D303" s="276">
        <v>5</v>
      </c>
      <c r="E303" s="272">
        <v>6875878</v>
      </c>
      <c r="F303" s="273">
        <v>577652260</v>
      </c>
      <c r="G303" s="234">
        <v>199858.85690050156</v>
      </c>
      <c r="H303" s="234">
        <v>2064726.7413109515</v>
      </c>
      <c r="I303" s="174">
        <v>2264585.5982114533</v>
      </c>
      <c r="J303" s="234">
        <v>465255.35294345871</v>
      </c>
      <c r="K303" s="234">
        <v>1802084.7743342128</v>
      </c>
      <c r="L303" s="175">
        <v>2267340.1272776714</v>
      </c>
      <c r="M303" s="235">
        <v>265396.49604295718</v>
      </c>
      <c r="N303" s="236">
        <v>-262641.96697673877</v>
      </c>
      <c r="O303" s="175">
        <v>2754.5290662180632</v>
      </c>
      <c r="P303" s="237">
        <v>1.2163501650781327E-3</v>
      </c>
      <c r="Q303" s="238">
        <v>0.30028554045184508</v>
      </c>
      <c r="R303" s="239">
        <v>3.4598472253964967E-4</v>
      </c>
      <c r="S303" s="240">
        <v>0.26208795070741697</v>
      </c>
      <c r="T303" s="239">
        <v>8.0542462162869178E-4</v>
      </c>
      <c r="U303" s="241">
        <v>-3.8197589744428107E-2</v>
      </c>
      <c r="V303" s="242">
        <v>4.5943989908904211E-4</v>
      </c>
      <c r="W303" s="243">
        <v>379.14052337449965</v>
      </c>
      <c r="X303" s="244">
        <v>34.598472253964964</v>
      </c>
      <c r="Y303" s="245">
        <v>413.73899562846464</v>
      </c>
      <c r="Z303" s="246">
        <v>330.91224656318468</v>
      </c>
      <c r="AA303" s="244">
        <v>80.542462162869171</v>
      </c>
      <c r="AB303" s="245">
        <v>411.45470872605387</v>
      </c>
      <c r="AC303" s="247">
        <v>-48.22827681131497</v>
      </c>
      <c r="AD303" s="247">
        <v>45.943989908904207</v>
      </c>
      <c r="AE303" s="248">
        <v>-2.2842869024107699</v>
      </c>
      <c r="AF303" s="234">
        <f>-SUMIF('[1]Alt Fac'!$A$18:$A$139,'REPORT 4 - PROPERTY TAX'!A303,'[1]Alt Fac'!$U$18:$U$139)</f>
        <v>0</v>
      </c>
      <c r="AG303" s="247">
        <f t="shared" si="16"/>
        <v>431.0382317554471</v>
      </c>
      <c r="AH303" s="234">
        <f t="shared" si="17"/>
        <v>20.68770805204138</v>
      </c>
      <c r="AI303" s="234">
        <f t="shared" si="15"/>
        <v>451.72593980748849</v>
      </c>
      <c r="AJ303" s="170"/>
      <c r="AK303" s="170"/>
      <c r="AL303" s="170"/>
      <c r="AM303" s="170"/>
      <c r="AN303" s="170"/>
      <c r="AO303" s="234"/>
    </row>
    <row r="304" spans="1:41" x14ac:dyDescent="0.25">
      <c r="A304" s="274">
        <v>914</v>
      </c>
      <c r="B304" s="274">
        <v>1</v>
      </c>
      <c r="C304" s="275" t="s">
        <v>631</v>
      </c>
      <c r="D304" s="276">
        <v>6</v>
      </c>
      <c r="E304" s="272">
        <v>2166827</v>
      </c>
      <c r="F304" s="273">
        <v>75741500</v>
      </c>
      <c r="G304" s="234">
        <v>480568.46437908494</v>
      </c>
      <c r="H304" s="234">
        <v>703810.30930431397</v>
      </c>
      <c r="I304" s="174">
        <v>1184378.773683399</v>
      </c>
      <c r="J304" s="234">
        <v>349558.41738403204</v>
      </c>
      <c r="K304" s="234">
        <v>731451.86182117579</v>
      </c>
      <c r="L304" s="175">
        <v>1081010.2792052077</v>
      </c>
      <c r="M304" s="235">
        <v>-131010.04699505289</v>
      </c>
      <c r="N304" s="236">
        <v>27641.552516861819</v>
      </c>
      <c r="O304" s="175">
        <v>-103368.49447819125</v>
      </c>
      <c r="P304" s="237">
        <v>-8.727655102828033E-2</v>
      </c>
      <c r="Q304" s="238">
        <v>0.32481149132086407</v>
      </c>
      <c r="R304" s="239">
        <v>6.3448501069966259E-3</v>
      </c>
      <c r="S304" s="240">
        <v>0.33756818694855462</v>
      </c>
      <c r="T304" s="239">
        <v>4.615150444393523E-3</v>
      </c>
      <c r="U304" s="241">
        <v>1.2756695627690551E-2</v>
      </c>
      <c r="V304" s="242">
        <v>-1.7296996626031029E-3</v>
      </c>
      <c r="W304" s="243">
        <v>410.10698894172299</v>
      </c>
      <c r="X304" s="244">
        <v>634.48501069966255</v>
      </c>
      <c r="Y304" s="245">
        <v>1044.5919996413854</v>
      </c>
      <c r="Z304" s="246">
        <v>426.21359284124509</v>
      </c>
      <c r="AA304" s="244">
        <v>461.51504443935232</v>
      </c>
      <c r="AB304" s="245">
        <v>887.72863728059747</v>
      </c>
      <c r="AC304" s="247">
        <v>16.106603899522099</v>
      </c>
      <c r="AD304" s="247">
        <v>-172.96996626031023</v>
      </c>
      <c r="AE304" s="248">
        <v>-156.86336236078796</v>
      </c>
      <c r="AF304" s="234">
        <f>-SUMIF('[1]Alt Fac'!$A$18:$A$139,'REPORT 4 - PROPERTY TAX'!A304,'[1]Alt Fac'!$U$18:$U$139)</f>
        <v>0</v>
      </c>
      <c r="AG304" s="247">
        <f t="shared" si="16"/>
        <v>1361.8345049912168</v>
      </c>
      <c r="AH304" s="234">
        <f t="shared" si="17"/>
        <v>-243.34834549094336</v>
      </c>
      <c r="AI304" s="234">
        <f t="shared" si="15"/>
        <v>1118.4861595002735</v>
      </c>
      <c r="AJ304" s="170"/>
      <c r="AK304" s="170"/>
      <c r="AL304" s="170"/>
      <c r="AM304" s="170"/>
      <c r="AN304" s="170"/>
      <c r="AO304" s="234"/>
    </row>
    <row r="305" spans="1:41" x14ac:dyDescent="0.25">
      <c r="A305" s="274">
        <v>2071</v>
      </c>
      <c r="B305" s="274">
        <v>1</v>
      </c>
      <c r="C305" s="275" t="s">
        <v>417</v>
      </c>
      <c r="D305" s="276">
        <v>6</v>
      </c>
      <c r="E305" s="272">
        <v>8068794</v>
      </c>
      <c r="F305" s="273">
        <v>410886060</v>
      </c>
      <c r="G305" s="234">
        <v>619910.81894117652</v>
      </c>
      <c r="H305" s="234">
        <v>1873876.9522189146</v>
      </c>
      <c r="I305" s="174">
        <v>2493787.7711600913</v>
      </c>
      <c r="J305" s="234">
        <v>651004.30430379859</v>
      </c>
      <c r="K305" s="234">
        <v>1912629.8932939183</v>
      </c>
      <c r="L305" s="175">
        <v>2563634.1975977169</v>
      </c>
      <c r="M305" s="235">
        <v>31093.485362622072</v>
      </c>
      <c r="N305" s="236">
        <v>38752.941075003706</v>
      </c>
      <c r="O305" s="175">
        <v>69846.426437625661</v>
      </c>
      <c r="P305" s="237">
        <v>2.8008167834239411E-2</v>
      </c>
      <c r="Q305" s="238">
        <v>0.23223755027317772</v>
      </c>
      <c r="R305" s="239">
        <v>1.5087170855618136E-3</v>
      </c>
      <c r="S305" s="240">
        <v>0.23704036728337821</v>
      </c>
      <c r="T305" s="239">
        <v>1.5843913135037938E-3</v>
      </c>
      <c r="U305" s="241">
        <v>4.8028170102004941E-3</v>
      </c>
      <c r="V305" s="242">
        <v>7.5674227941980145E-5</v>
      </c>
      <c r="W305" s="243">
        <v>293.22313097491423</v>
      </c>
      <c r="X305" s="244">
        <v>150.87170855618137</v>
      </c>
      <c r="Y305" s="245">
        <v>444.0948395310956</v>
      </c>
      <c r="Z305" s="246">
        <v>299.28716773199335</v>
      </c>
      <c r="AA305" s="244">
        <v>158.43913135037937</v>
      </c>
      <c r="AB305" s="245">
        <v>457.72629908237275</v>
      </c>
      <c r="AC305" s="247">
        <v>6.0640367570791227</v>
      </c>
      <c r="AD305" s="247">
        <v>7.567422794197995</v>
      </c>
      <c r="AE305" s="248">
        <v>13.631459551277146</v>
      </c>
      <c r="AF305" s="234">
        <f>-SUMIF('[1]Alt Fac'!$A$18:$A$139,'REPORT 4 - PROPERTY TAX'!A305,'[1]Alt Fac'!$U$18:$U$139)</f>
        <v>0</v>
      </c>
      <c r="AG305" s="247">
        <f t="shared" si="16"/>
        <v>519.53069380918623</v>
      </c>
      <c r="AH305" s="234">
        <f t="shared" si="17"/>
        <v>17.415170948376165</v>
      </c>
      <c r="AI305" s="234">
        <f t="shared" si="15"/>
        <v>536.94586475756239</v>
      </c>
      <c r="AJ305" s="170"/>
      <c r="AK305" s="170"/>
      <c r="AL305" s="170"/>
      <c r="AM305" s="170"/>
      <c r="AN305" s="170"/>
      <c r="AO305" s="234"/>
    </row>
    <row r="306" spans="1:41" x14ac:dyDescent="0.25">
      <c r="A306" s="274">
        <v>2125</v>
      </c>
      <c r="B306" s="274">
        <v>1</v>
      </c>
      <c r="C306" s="275" t="s">
        <v>532</v>
      </c>
      <c r="D306" s="276">
        <v>5</v>
      </c>
      <c r="E306" s="272">
        <v>8701855</v>
      </c>
      <c r="F306" s="273">
        <v>379616500</v>
      </c>
      <c r="G306" s="234">
        <v>638008.67882352939</v>
      </c>
      <c r="H306" s="234">
        <v>1422142.2876576367</v>
      </c>
      <c r="I306" s="174">
        <v>2060150.966481166</v>
      </c>
      <c r="J306" s="234">
        <v>562256.77834070963</v>
      </c>
      <c r="K306" s="234">
        <v>1482744.3055839858</v>
      </c>
      <c r="L306" s="175">
        <v>2045001.0839246954</v>
      </c>
      <c r="M306" s="235">
        <v>-75751.900482819765</v>
      </c>
      <c r="N306" s="236">
        <v>60602.017926349072</v>
      </c>
      <c r="O306" s="175">
        <v>-15149.882556470577</v>
      </c>
      <c r="P306" s="237">
        <v>-7.3537730015714739E-3</v>
      </c>
      <c r="Q306" s="238">
        <v>0.16342978452957865</v>
      </c>
      <c r="R306" s="239">
        <v>1.6806663536056241E-3</v>
      </c>
      <c r="S306" s="240">
        <v>0.17039404880729289</v>
      </c>
      <c r="T306" s="239">
        <v>1.4811178606322687E-3</v>
      </c>
      <c r="U306" s="241">
        <v>6.9642642777142383E-3</v>
      </c>
      <c r="V306" s="242">
        <v>-1.9954849297335541E-4</v>
      </c>
      <c r="W306" s="243">
        <v>206.34644594704602</v>
      </c>
      <c r="X306" s="244">
        <v>168.0666353605624</v>
      </c>
      <c r="Y306" s="245">
        <v>374.41308130760842</v>
      </c>
      <c r="Z306" s="246">
        <v>215.13952602408804</v>
      </c>
      <c r="AA306" s="244">
        <v>148.11178606322687</v>
      </c>
      <c r="AB306" s="245">
        <v>363.25131208731489</v>
      </c>
      <c r="AC306" s="247">
        <v>8.7930800770420205</v>
      </c>
      <c r="AD306" s="247">
        <v>-19.954849297335528</v>
      </c>
      <c r="AE306" s="248">
        <v>-11.161769220293536</v>
      </c>
      <c r="AF306" s="234">
        <f>-SUMIF('[1]Alt Fac'!$A$18:$A$139,'REPORT 4 - PROPERTY TAX'!A306,'[1]Alt Fac'!$U$18:$U$139)</f>
        <v>0</v>
      </c>
      <c r="AG306" s="247">
        <f t="shared" si="16"/>
        <v>458.44639898788967</v>
      </c>
      <c r="AH306" s="234">
        <f t="shared" si="17"/>
        <v>-21.139193868961314</v>
      </c>
      <c r="AI306" s="234">
        <f t="shared" si="15"/>
        <v>437.30720511892832</v>
      </c>
      <c r="AJ306" s="170"/>
      <c r="AK306" s="170"/>
      <c r="AL306" s="170"/>
      <c r="AM306" s="170"/>
      <c r="AN306" s="170"/>
      <c r="AO306" s="234"/>
    </row>
    <row r="307" spans="1:41" x14ac:dyDescent="0.25">
      <c r="A307" s="274">
        <v>2134</v>
      </c>
      <c r="B307" s="274">
        <v>1</v>
      </c>
      <c r="C307" s="275" t="s">
        <v>635</v>
      </c>
      <c r="D307" s="276">
        <v>6</v>
      </c>
      <c r="E307" s="272">
        <v>9841337</v>
      </c>
      <c r="F307" s="273">
        <v>243100990</v>
      </c>
      <c r="G307" s="234">
        <v>840881.67842309375</v>
      </c>
      <c r="H307" s="234">
        <v>408127.00599999999</v>
      </c>
      <c r="I307" s="174">
        <v>1249008.6844230937</v>
      </c>
      <c r="J307" s="234">
        <v>916220.29105402925</v>
      </c>
      <c r="K307" s="234">
        <v>533627.82630010997</v>
      </c>
      <c r="L307" s="175">
        <v>1449848.1173541392</v>
      </c>
      <c r="M307" s="235">
        <v>75338.612630935502</v>
      </c>
      <c r="N307" s="236">
        <v>125500.82030010998</v>
      </c>
      <c r="O307" s="175">
        <v>200839.43293104554</v>
      </c>
      <c r="P307" s="237">
        <v>0.16079906844187519</v>
      </c>
      <c r="Q307" s="238">
        <v>4.1470686960521724E-2</v>
      </c>
      <c r="R307" s="239">
        <v>3.4589808886549321E-3</v>
      </c>
      <c r="S307" s="240">
        <v>5.4223102643483297E-2</v>
      </c>
      <c r="T307" s="239">
        <v>3.7688875353984745E-3</v>
      </c>
      <c r="U307" s="241">
        <v>1.2752415682961572E-2</v>
      </c>
      <c r="V307" s="242">
        <v>3.0990664674354238E-4</v>
      </c>
      <c r="W307" s="243">
        <v>52.360889356354733</v>
      </c>
      <c r="X307" s="244">
        <v>345.89808886549321</v>
      </c>
      <c r="Y307" s="245">
        <v>398.25897822184794</v>
      </c>
      <c r="Z307" s="246">
        <v>68.462089397662012</v>
      </c>
      <c r="AA307" s="244">
        <v>376.88875353984747</v>
      </c>
      <c r="AB307" s="245">
        <v>445.35084293750947</v>
      </c>
      <c r="AC307" s="247">
        <v>16.10120004130728</v>
      </c>
      <c r="AD307" s="247">
        <v>30.990664674354264</v>
      </c>
      <c r="AE307" s="248">
        <v>47.091864715661529</v>
      </c>
      <c r="AF307" s="234">
        <f>-SUMIF('[1]Alt Fac'!$A$18:$A$139,'REPORT 4 - PROPERTY TAX'!A307,'[1]Alt Fac'!$U$18:$U$139)</f>
        <v>0</v>
      </c>
      <c r="AG307" s="247">
        <f t="shared" si="16"/>
        <v>571.20802265459452</v>
      </c>
      <c r="AH307" s="234">
        <f t="shared" si="17"/>
        <v>62.587197052838647</v>
      </c>
      <c r="AI307" s="234">
        <f t="shared" si="15"/>
        <v>633.79521970743315</v>
      </c>
      <c r="AJ307" s="170"/>
      <c r="AK307" s="170"/>
      <c r="AL307" s="170"/>
      <c r="AM307" s="170"/>
      <c r="AN307" s="170"/>
      <c r="AO307" s="234"/>
    </row>
    <row r="308" spans="1:41" x14ac:dyDescent="0.25">
      <c r="A308" s="274">
        <v>2135</v>
      </c>
      <c r="B308" s="274">
        <v>1</v>
      </c>
      <c r="C308" s="275" t="s">
        <v>583</v>
      </c>
      <c r="D308" s="276">
        <v>5</v>
      </c>
      <c r="E308" s="272">
        <v>8780576</v>
      </c>
      <c r="F308" s="273">
        <v>316522700</v>
      </c>
      <c r="G308" s="234">
        <v>754895.38882352936</v>
      </c>
      <c r="H308" s="234">
        <v>904877.5051265083</v>
      </c>
      <c r="I308" s="174">
        <v>1659772.8939500377</v>
      </c>
      <c r="J308" s="234">
        <v>531968.11755422782</v>
      </c>
      <c r="K308" s="234">
        <v>931851.42808271223</v>
      </c>
      <c r="L308" s="175">
        <v>1463819.54563694</v>
      </c>
      <c r="M308" s="235">
        <v>-222927.27126930153</v>
      </c>
      <c r="N308" s="236">
        <v>26973.922956203925</v>
      </c>
      <c r="O308" s="175">
        <v>-195953.34831309761</v>
      </c>
      <c r="P308" s="237">
        <v>-0.11806033766870046</v>
      </c>
      <c r="Q308" s="238">
        <v>0.10305445851462458</v>
      </c>
      <c r="R308" s="239">
        <v>2.3849644553882846E-3</v>
      </c>
      <c r="S308" s="240">
        <v>0.10612645777255526</v>
      </c>
      <c r="T308" s="239">
        <v>1.6806634012480868E-3</v>
      </c>
      <c r="U308" s="241">
        <v>3.0719992579306826E-3</v>
      </c>
      <c r="V308" s="242">
        <v>-7.0430105414019781E-4</v>
      </c>
      <c r="W308" s="243">
        <v>130.11655932056502</v>
      </c>
      <c r="X308" s="244">
        <v>238.49644553882845</v>
      </c>
      <c r="Y308" s="245">
        <v>368.61300485939347</v>
      </c>
      <c r="Z308" s="246">
        <v>133.99526558362828</v>
      </c>
      <c r="AA308" s="244">
        <v>168.06634012480868</v>
      </c>
      <c r="AB308" s="245">
        <v>302.06160570843696</v>
      </c>
      <c r="AC308" s="247">
        <v>3.8787062630632647</v>
      </c>
      <c r="AD308" s="247">
        <v>-70.430105414019778</v>
      </c>
      <c r="AE308" s="248">
        <v>-66.551399150956513</v>
      </c>
      <c r="AF308" s="234">
        <f>-SUMIF('[1]Alt Fac'!$A$18:$A$139,'REPORT 4 - PROPERTY TAX'!A308,'[1]Alt Fac'!$U$18:$U$139)</f>
        <v>0</v>
      </c>
      <c r="AG308" s="247">
        <f t="shared" si="16"/>
        <v>487.86122762880768</v>
      </c>
      <c r="AH308" s="234">
        <f t="shared" si="17"/>
        <v>-101.76645185796639</v>
      </c>
      <c r="AI308" s="234">
        <f t="shared" si="15"/>
        <v>386.0947757708413</v>
      </c>
      <c r="AJ308" s="170"/>
      <c r="AK308" s="170"/>
      <c r="AL308" s="170"/>
      <c r="AM308" s="170"/>
      <c r="AN308" s="170"/>
      <c r="AO308" s="234"/>
    </row>
    <row r="309" spans="1:41" x14ac:dyDescent="0.25">
      <c r="A309" s="274">
        <v>2137</v>
      </c>
      <c r="B309" s="274">
        <v>1</v>
      </c>
      <c r="C309" s="275" t="s">
        <v>528</v>
      </c>
      <c r="D309" s="276">
        <v>6</v>
      </c>
      <c r="E309" s="272">
        <v>5446353</v>
      </c>
      <c r="F309" s="273">
        <v>285752850</v>
      </c>
      <c r="G309" s="234">
        <v>476061.74941176467</v>
      </c>
      <c r="H309" s="234">
        <v>1437235.7083320902</v>
      </c>
      <c r="I309" s="174">
        <v>1913297.4577438547</v>
      </c>
      <c r="J309" s="234">
        <v>462010.74540834676</v>
      </c>
      <c r="K309" s="234">
        <v>1408140.9165551423</v>
      </c>
      <c r="L309" s="175">
        <v>1870151.6619634889</v>
      </c>
      <c r="M309" s="235">
        <v>-14051.004003417911</v>
      </c>
      <c r="N309" s="236">
        <v>-29094.79177694791</v>
      </c>
      <c r="O309" s="175">
        <v>-43145.795780365821</v>
      </c>
      <c r="P309" s="237">
        <v>-2.2550490309668315E-2</v>
      </c>
      <c r="Q309" s="238">
        <v>0.26388956212204573</v>
      </c>
      <c r="R309" s="239">
        <v>1.6659912557714287E-3</v>
      </c>
      <c r="S309" s="240">
        <v>0.25854749344288597</v>
      </c>
      <c r="T309" s="239">
        <v>1.6168193787335691E-3</v>
      </c>
      <c r="U309" s="241">
        <v>-5.3420686791597616E-3</v>
      </c>
      <c r="V309" s="242">
        <v>-4.9171877037859635E-5</v>
      </c>
      <c r="W309" s="243">
        <v>333.18696113529495</v>
      </c>
      <c r="X309" s="244">
        <v>166.59912557714287</v>
      </c>
      <c r="Y309" s="245">
        <v>499.78608671243785</v>
      </c>
      <c r="Z309" s="246">
        <v>326.44206522098784</v>
      </c>
      <c r="AA309" s="244">
        <v>161.6819378733569</v>
      </c>
      <c r="AB309" s="245">
        <v>488.12400309434474</v>
      </c>
      <c r="AC309" s="247">
        <v>-6.7448959143071079</v>
      </c>
      <c r="AD309" s="247">
        <v>-4.9171877037859701</v>
      </c>
      <c r="AE309" s="248">
        <v>-11.662083618093106</v>
      </c>
      <c r="AF309" s="234">
        <f>-SUMIF('[1]Alt Fac'!$A$18:$A$139,'REPORT 4 - PROPERTY TAX'!A309,'[1]Alt Fac'!$U$18:$U$139)</f>
        <v>0</v>
      </c>
      <c r="AG309" s="247">
        <f t="shared" si="16"/>
        <v>583.08564950100924</v>
      </c>
      <c r="AH309" s="234">
        <f t="shared" si="17"/>
        <v>-14.120677469986061</v>
      </c>
      <c r="AI309" s="234">
        <f t="shared" si="15"/>
        <v>568.96497203102319</v>
      </c>
      <c r="AJ309" s="170"/>
      <c r="AK309" s="170"/>
      <c r="AL309" s="170"/>
      <c r="AM309" s="170"/>
      <c r="AN309" s="170"/>
      <c r="AO309" s="234"/>
    </row>
    <row r="310" spans="1:41" x14ac:dyDescent="0.25">
      <c r="A310" s="274">
        <v>2142</v>
      </c>
      <c r="B310" s="274">
        <v>1</v>
      </c>
      <c r="C310" s="275" t="s">
        <v>637</v>
      </c>
      <c r="D310" s="276">
        <v>5</v>
      </c>
      <c r="E310" s="272">
        <v>34879003</v>
      </c>
      <c r="F310" s="273">
        <v>1512873571</v>
      </c>
      <c r="G310" s="234">
        <v>228623.54</v>
      </c>
      <c r="H310" s="234">
        <v>6761139.8999999994</v>
      </c>
      <c r="I310" s="174">
        <v>6989763.4399999995</v>
      </c>
      <c r="J310" s="234">
        <v>1192779.4605747806</v>
      </c>
      <c r="K310" s="234">
        <v>7374089.1492230035</v>
      </c>
      <c r="L310" s="175">
        <v>8566868.6097977832</v>
      </c>
      <c r="M310" s="235">
        <v>964155.92057478055</v>
      </c>
      <c r="N310" s="236">
        <v>612949.2492230041</v>
      </c>
      <c r="O310" s="175">
        <v>1577105.1697977837</v>
      </c>
      <c r="P310" s="237">
        <v>0.22563069313226769</v>
      </c>
      <c r="Q310" s="238">
        <v>0.19384556089518956</v>
      </c>
      <c r="R310" s="239">
        <v>1.5111873482519844E-4</v>
      </c>
      <c r="S310" s="240">
        <v>0.21141914948724319</v>
      </c>
      <c r="T310" s="239">
        <v>7.8841978830151733E-4</v>
      </c>
      <c r="U310" s="241">
        <v>1.7573588592053629E-2</v>
      </c>
      <c r="V310" s="242">
        <v>6.3730105347631892E-4</v>
      </c>
      <c r="W310" s="243">
        <v>244.74940518626636</v>
      </c>
      <c r="X310" s="244">
        <v>15.111873482519844</v>
      </c>
      <c r="Y310" s="245">
        <v>259.86127866878621</v>
      </c>
      <c r="Z310" s="246">
        <v>266.9378181425933</v>
      </c>
      <c r="AA310" s="244">
        <v>78.841978830151731</v>
      </c>
      <c r="AB310" s="245">
        <v>345.77979697274503</v>
      </c>
      <c r="AC310" s="247">
        <v>22.188412956326943</v>
      </c>
      <c r="AD310" s="247">
        <v>63.730105347631891</v>
      </c>
      <c r="AE310" s="248">
        <v>85.91851830395882</v>
      </c>
      <c r="AF310" s="234">
        <f>-SUMIF('[1]Alt Fac'!$A$18:$A$139,'REPORT 4 - PROPERTY TAX'!A310,'[1]Alt Fac'!$U$18:$U$139)</f>
        <v>0</v>
      </c>
      <c r="AG310" s="247">
        <f t="shared" si="16"/>
        <v>267.41721541004614</v>
      </c>
      <c r="AH310" s="234">
        <f t="shared" si="17"/>
        <v>117.78357097777476</v>
      </c>
      <c r="AI310" s="234">
        <f t="shared" si="15"/>
        <v>385.20078638782093</v>
      </c>
      <c r="AJ310" s="170"/>
      <c r="AK310" s="170"/>
      <c r="AL310" s="170"/>
      <c r="AM310" s="170"/>
      <c r="AN310" s="170"/>
      <c r="AO310" s="234"/>
    </row>
    <row r="311" spans="1:41" x14ac:dyDescent="0.25">
      <c r="A311" s="274">
        <v>2143</v>
      </c>
      <c r="B311" s="274">
        <v>1</v>
      </c>
      <c r="C311" s="275" t="s">
        <v>525</v>
      </c>
      <c r="D311" s="276">
        <v>6</v>
      </c>
      <c r="E311" s="272">
        <v>8366160</v>
      </c>
      <c r="F311" s="273">
        <v>517675275</v>
      </c>
      <c r="G311" s="234">
        <v>1403666.4791176468</v>
      </c>
      <c r="H311" s="234">
        <v>368312.13701836532</v>
      </c>
      <c r="I311" s="174">
        <v>1771978.6161360121</v>
      </c>
      <c r="J311" s="234">
        <v>1339052.5100060049</v>
      </c>
      <c r="K311" s="234">
        <v>438332.90040214028</v>
      </c>
      <c r="L311" s="175">
        <v>1777385.4104081453</v>
      </c>
      <c r="M311" s="235">
        <v>-64613.969111641869</v>
      </c>
      <c r="N311" s="236">
        <v>70020.76338377496</v>
      </c>
      <c r="O311" s="175">
        <v>5406.7942721331492</v>
      </c>
      <c r="P311" s="237">
        <v>3.0512751242581242E-3</v>
      </c>
      <c r="Q311" s="238">
        <v>4.4024036955827441E-2</v>
      </c>
      <c r="R311" s="239">
        <v>2.7114806267648128E-3</v>
      </c>
      <c r="S311" s="240">
        <v>5.2393559339307436E-2</v>
      </c>
      <c r="T311" s="239">
        <v>2.5866649899514804E-3</v>
      </c>
      <c r="U311" s="241">
        <v>8.3695223834799951E-3</v>
      </c>
      <c r="V311" s="242">
        <v>-1.2481563681333244E-4</v>
      </c>
      <c r="W311" s="243">
        <v>55.584749060427733</v>
      </c>
      <c r="X311" s="244">
        <v>271.14806267648129</v>
      </c>
      <c r="Y311" s="245">
        <v>326.73281173690901</v>
      </c>
      <c r="Z311" s="246">
        <v>66.152108021809582</v>
      </c>
      <c r="AA311" s="244">
        <v>258.66649899514806</v>
      </c>
      <c r="AB311" s="245">
        <v>324.81860701695763</v>
      </c>
      <c r="AC311" s="247">
        <v>10.567358961381849</v>
      </c>
      <c r="AD311" s="247">
        <v>-12.481563681333228</v>
      </c>
      <c r="AE311" s="248">
        <v>-1.9142047199513854</v>
      </c>
      <c r="AF311" s="234">
        <f>-SUMIF('[1]Alt Fac'!$A$18:$A$139,'REPORT 4 - PROPERTY TAX'!A311,'[1]Alt Fac'!$U$18:$U$139)</f>
        <v>0</v>
      </c>
      <c r="AG311" s="247">
        <f t="shared" si="16"/>
        <v>462.30684307514963</v>
      </c>
      <c r="AH311" s="234">
        <f t="shared" si="17"/>
        <v>-8.1549865606180241</v>
      </c>
      <c r="AI311" s="234">
        <f t="shared" si="15"/>
        <v>454.15185651453163</v>
      </c>
      <c r="AJ311" s="170"/>
      <c r="AK311" s="170"/>
      <c r="AL311" s="170"/>
      <c r="AM311" s="170"/>
      <c r="AN311" s="170"/>
      <c r="AO311" s="234"/>
    </row>
    <row r="312" spans="1:41" x14ac:dyDescent="0.25">
      <c r="A312" s="274">
        <v>2144</v>
      </c>
      <c r="B312" s="274">
        <v>1</v>
      </c>
      <c r="C312" s="275" t="s">
        <v>638</v>
      </c>
      <c r="D312" s="276">
        <v>4</v>
      </c>
      <c r="E312" s="272">
        <v>19119089</v>
      </c>
      <c r="F312" s="273">
        <v>1781359300</v>
      </c>
      <c r="G312" s="234">
        <v>1953529.6116402973</v>
      </c>
      <c r="H312" s="234">
        <v>4296651.7973686177</v>
      </c>
      <c r="I312" s="174">
        <v>6250181.4090089146</v>
      </c>
      <c r="J312" s="234">
        <v>1879021.1135613762</v>
      </c>
      <c r="K312" s="234">
        <v>4524193.3526491923</v>
      </c>
      <c r="L312" s="175">
        <v>6403214.4662105683</v>
      </c>
      <c r="M312" s="235">
        <v>-74508.498078921111</v>
      </c>
      <c r="N312" s="236">
        <v>227541.5552805746</v>
      </c>
      <c r="O312" s="175">
        <v>153033.05720165372</v>
      </c>
      <c r="P312" s="237">
        <v>2.4484578476566175E-2</v>
      </c>
      <c r="Q312" s="238">
        <v>0.22473098992157092</v>
      </c>
      <c r="R312" s="239">
        <v>1.0966510864149064E-3</v>
      </c>
      <c r="S312" s="240">
        <v>0.23663226593323522</v>
      </c>
      <c r="T312" s="239">
        <v>1.0548243207091216E-3</v>
      </c>
      <c r="U312" s="241">
        <v>1.1901276011664297E-2</v>
      </c>
      <c r="V312" s="242">
        <v>-4.1826765705784818E-5</v>
      </c>
      <c r="W312" s="243">
        <v>283.74534787497549</v>
      </c>
      <c r="X312" s="244">
        <v>109.66510864149063</v>
      </c>
      <c r="Y312" s="245">
        <v>393.41045651646613</v>
      </c>
      <c r="Z312" s="246">
        <v>298.77189896730283</v>
      </c>
      <c r="AA312" s="244">
        <v>105.48243207091215</v>
      </c>
      <c r="AB312" s="245">
        <v>404.25433103821501</v>
      </c>
      <c r="AC312" s="247">
        <v>15.026551092327338</v>
      </c>
      <c r="AD312" s="247">
        <v>-4.1826765705784794</v>
      </c>
      <c r="AE312" s="248">
        <v>10.843874521748887</v>
      </c>
      <c r="AF312" s="234">
        <f>-SUMIF('[1]Alt Fac'!$A$18:$A$139,'REPORT 4 - PROPERTY TAX'!A312,'[1]Alt Fac'!$U$18:$U$139)</f>
        <v>0</v>
      </c>
      <c r="AG312" s="247">
        <f t="shared" si="16"/>
        <v>448.24301083721144</v>
      </c>
      <c r="AH312" s="234">
        <f t="shared" si="17"/>
        <v>8.7525362364596209</v>
      </c>
      <c r="AI312" s="234">
        <f t="shared" si="15"/>
        <v>456.99554707367105</v>
      </c>
      <c r="AJ312" s="170"/>
      <c r="AK312" s="170"/>
      <c r="AL312" s="170"/>
      <c r="AM312" s="170"/>
      <c r="AN312" s="170"/>
      <c r="AO312" s="234"/>
    </row>
    <row r="313" spans="1:41" x14ac:dyDescent="0.25">
      <c r="A313" s="274">
        <v>2149</v>
      </c>
      <c r="B313" s="274">
        <v>1</v>
      </c>
      <c r="C313" s="275" t="s">
        <v>639</v>
      </c>
      <c r="D313" s="276">
        <v>5</v>
      </c>
      <c r="E313" s="272">
        <v>12866930</v>
      </c>
      <c r="F313" s="273">
        <v>663354390</v>
      </c>
      <c r="G313" s="234">
        <v>1040443.8600000001</v>
      </c>
      <c r="H313" s="234">
        <v>1539935.8959999999</v>
      </c>
      <c r="I313" s="174">
        <v>2580379.7560000001</v>
      </c>
      <c r="J313" s="234">
        <v>1031258.228303159</v>
      </c>
      <c r="K313" s="234">
        <v>1785908.2324048323</v>
      </c>
      <c r="L313" s="175">
        <v>2817166.4607079914</v>
      </c>
      <c r="M313" s="235">
        <v>-9185.6316968410974</v>
      </c>
      <c r="N313" s="236">
        <v>245972.33640483231</v>
      </c>
      <c r="O313" s="175">
        <v>236786.70470799133</v>
      </c>
      <c r="P313" s="237">
        <v>9.1764285530998149E-2</v>
      </c>
      <c r="Q313" s="238">
        <v>0.11968168755095426</v>
      </c>
      <c r="R313" s="239">
        <v>1.5684585429516795E-3</v>
      </c>
      <c r="S313" s="240">
        <v>0.13879831726797551</v>
      </c>
      <c r="T313" s="239">
        <v>1.5546112965396355E-3</v>
      </c>
      <c r="U313" s="241">
        <v>1.9116629717021244E-2</v>
      </c>
      <c r="V313" s="242">
        <v>-1.3847246412043972E-5</v>
      </c>
      <c r="W313" s="243">
        <v>151.11009870183486</v>
      </c>
      <c r="X313" s="244">
        <v>156.84585429516795</v>
      </c>
      <c r="Y313" s="245">
        <v>307.95595299700278</v>
      </c>
      <c r="Z313" s="246">
        <v>175.2467553825459</v>
      </c>
      <c r="AA313" s="244">
        <v>155.46112965396355</v>
      </c>
      <c r="AB313" s="245">
        <v>330.70788503650942</v>
      </c>
      <c r="AC313" s="247">
        <v>24.136656680711042</v>
      </c>
      <c r="AD313" s="247">
        <v>-1.3847246412044001</v>
      </c>
      <c r="AE313" s="248">
        <v>22.751932039506642</v>
      </c>
      <c r="AF313" s="234">
        <f>-SUMIF('[1]Alt Fac'!$A$18:$A$139,'REPORT 4 - PROPERTY TAX'!A313,'[1]Alt Fac'!$U$18:$U$139)</f>
        <v>0</v>
      </c>
      <c r="AG313" s="247">
        <f t="shared" si="16"/>
        <v>386.37888014458679</v>
      </c>
      <c r="AH313" s="234">
        <f t="shared" si="17"/>
        <v>22.059569718904427</v>
      </c>
      <c r="AI313" s="234">
        <f t="shared" si="15"/>
        <v>408.4384498634912</v>
      </c>
      <c r="AJ313" s="170"/>
      <c r="AK313" s="170"/>
      <c r="AL313" s="170"/>
      <c r="AM313" s="170"/>
      <c r="AN313" s="170"/>
      <c r="AO313" s="234"/>
    </row>
    <row r="314" spans="1:41" x14ac:dyDescent="0.25">
      <c r="A314" s="274">
        <v>2154</v>
      </c>
      <c r="B314" s="274">
        <v>1</v>
      </c>
      <c r="C314" s="275" t="s">
        <v>597</v>
      </c>
      <c r="D314" s="276">
        <v>5</v>
      </c>
      <c r="E314" s="272">
        <v>4613835</v>
      </c>
      <c r="F314" s="273">
        <v>382239690</v>
      </c>
      <c r="G314" s="234">
        <v>639163.15117647045</v>
      </c>
      <c r="H314" s="234">
        <v>446706.57036903704</v>
      </c>
      <c r="I314" s="174">
        <v>1085869.7215455074</v>
      </c>
      <c r="J314" s="234">
        <v>576035.99875356467</v>
      </c>
      <c r="K314" s="234">
        <v>381490.07045645302</v>
      </c>
      <c r="L314" s="175">
        <v>957526.06921001768</v>
      </c>
      <c r="M314" s="235">
        <v>-63127.152422905783</v>
      </c>
      <c r="N314" s="236">
        <v>-65216.499912584026</v>
      </c>
      <c r="O314" s="175">
        <v>-128343.65233548975</v>
      </c>
      <c r="P314" s="237">
        <v>-0.11819433748720751</v>
      </c>
      <c r="Q314" s="238">
        <v>9.6818930535885445E-2</v>
      </c>
      <c r="R314" s="239">
        <v>1.6721527562364611E-3</v>
      </c>
      <c r="S314" s="240">
        <v>8.2683943066115942E-2</v>
      </c>
      <c r="T314" s="239">
        <v>1.5070020561014077E-3</v>
      </c>
      <c r="U314" s="241">
        <v>-1.4134987469769503E-2</v>
      </c>
      <c r="V314" s="242">
        <v>-1.6515070013505342E-4</v>
      </c>
      <c r="W314" s="243">
        <v>122.24358169460898</v>
      </c>
      <c r="X314" s="244">
        <v>167.21527562364611</v>
      </c>
      <c r="Y314" s="245">
        <v>289.45885731825507</v>
      </c>
      <c r="Z314" s="246">
        <v>104.396746515278</v>
      </c>
      <c r="AA314" s="244">
        <v>150.70020561014078</v>
      </c>
      <c r="AB314" s="245">
        <v>255.0969521254188</v>
      </c>
      <c r="AC314" s="247">
        <v>-17.846835179330981</v>
      </c>
      <c r="AD314" s="247">
        <v>-16.515070013505323</v>
      </c>
      <c r="AE314" s="248">
        <v>-34.361905192836275</v>
      </c>
      <c r="AF314" s="234">
        <f>-SUMIF('[1]Alt Fac'!$A$18:$A$139,'REPORT 4 - PROPERTY TAX'!A314,'[1]Alt Fac'!$U$18:$U$139)</f>
        <v>0</v>
      </c>
      <c r="AG314" s="247">
        <f t="shared" si="16"/>
        <v>373.06649513007812</v>
      </c>
      <c r="AH314" s="234">
        <f t="shared" si="17"/>
        <v>-42.619440199588993</v>
      </c>
      <c r="AI314" s="234">
        <f t="shared" si="15"/>
        <v>330.44705493048912</v>
      </c>
      <c r="AJ314" s="170"/>
      <c r="AK314" s="170"/>
      <c r="AL314" s="170"/>
      <c r="AM314" s="170"/>
      <c r="AN314" s="170"/>
      <c r="AO314" s="234"/>
    </row>
    <row r="315" spans="1:41" x14ac:dyDescent="0.25">
      <c r="A315" s="274">
        <v>2155</v>
      </c>
      <c r="B315" s="274">
        <v>1</v>
      </c>
      <c r="C315" s="275" t="s">
        <v>640</v>
      </c>
      <c r="D315" s="276">
        <v>5</v>
      </c>
      <c r="E315" s="272">
        <v>4081183</v>
      </c>
      <c r="F315" s="273">
        <v>311894500</v>
      </c>
      <c r="G315" s="234">
        <v>643424.1738344226</v>
      </c>
      <c r="H315" s="234">
        <v>848110.99252258113</v>
      </c>
      <c r="I315" s="174">
        <v>1491535.1663570036</v>
      </c>
      <c r="J315" s="234">
        <v>533815.18758397049</v>
      </c>
      <c r="K315" s="234">
        <v>859203.37445129897</v>
      </c>
      <c r="L315" s="175">
        <v>1393018.5620352696</v>
      </c>
      <c r="M315" s="235">
        <v>-109608.98625045212</v>
      </c>
      <c r="N315" s="236">
        <v>11092.381928717834</v>
      </c>
      <c r="O315" s="175">
        <v>-98516.604321734048</v>
      </c>
      <c r="P315" s="237">
        <v>-6.6050473729262232E-2</v>
      </c>
      <c r="Q315" s="238">
        <v>0.20781008656621894</v>
      </c>
      <c r="R315" s="239">
        <v>2.0629545369810066E-3</v>
      </c>
      <c r="S315" s="240">
        <v>0.21052801955984304</v>
      </c>
      <c r="T315" s="239">
        <v>1.7115248508196537E-3</v>
      </c>
      <c r="U315" s="241">
        <v>2.7179329936241059E-3</v>
      </c>
      <c r="V315" s="242">
        <v>-3.5142968616135289E-4</v>
      </c>
      <c r="W315" s="243">
        <v>262.38101529850803</v>
      </c>
      <c r="X315" s="244">
        <v>206.29545369810066</v>
      </c>
      <c r="Y315" s="245">
        <v>468.67646899660872</v>
      </c>
      <c r="Z315" s="246">
        <v>265.81267749625783</v>
      </c>
      <c r="AA315" s="244">
        <v>171.15248508196538</v>
      </c>
      <c r="AB315" s="245">
        <v>436.96516257822321</v>
      </c>
      <c r="AC315" s="247">
        <v>3.4316621977498016</v>
      </c>
      <c r="AD315" s="247">
        <v>-35.142968616135278</v>
      </c>
      <c r="AE315" s="248">
        <v>-31.711306418385504</v>
      </c>
      <c r="AF315" s="234">
        <f>-SUMIF('[1]Alt Fac'!$A$18:$A$139,'REPORT 4 - PROPERTY TAX'!A315,'[1]Alt Fac'!$U$18:$U$139)</f>
        <v>0</v>
      </c>
      <c r="AG315" s="247">
        <f t="shared" si="16"/>
        <v>571.82419584565901</v>
      </c>
      <c r="AH315" s="234">
        <f t="shared" si="17"/>
        <v>-49.282790726453136</v>
      </c>
      <c r="AI315" s="234">
        <f t="shared" si="15"/>
        <v>522.54140511920582</v>
      </c>
      <c r="AJ315" s="170"/>
      <c r="AK315" s="170"/>
      <c r="AL315" s="170"/>
      <c r="AM315" s="170"/>
      <c r="AN315" s="170"/>
      <c r="AO315" s="234"/>
    </row>
    <row r="316" spans="1:41" x14ac:dyDescent="0.25">
      <c r="A316" s="274">
        <v>2159</v>
      </c>
      <c r="B316" s="274">
        <v>1</v>
      </c>
      <c r="C316" s="275" t="s">
        <v>641</v>
      </c>
      <c r="D316" s="276">
        <v>6</v>
      </c>
      <c r="E316" s="272">
        <v>9489080</v>
      </c>
      <c r="F316" s="273">
        <v>230608785</v>
      </c>
      <c r="G316" s="234">
        <v>458840.13617647061</v>
      </c>
      <c r="H316" s="234">
        <v>218212.95599999998</v>
      </c>
      <c r="I316" s="174">
        <v>677053.09217647056</v>
      </c>
      <c r="J316" s="234">
        <v>418712.96873841691</v>
      </c>
      <c r="K316" s="234">
        <v>440419.53722916386</v>
      </c>
      <c r="L316" s="175">
        <v>859132.50596758071</v>
      </c>
      <c r="M316" s="235">
        <v>-40127.167438053701</v>
      </c>
      <c r="N316" s="236">
        <v>222206.58122916389</v>
      </c>
      <c r="O316" s="175">
        <v>182079.41379111016</v>
      </c>
      <c r="P316" s="237">
        <v>0.2689292994819556</v>
      </c>
      <c r="Q316" s="238">
        <v>2.2996218389980901E-2</v>
      </c>
      <c r="R316" s="239">
        <v>1.9896906190129339E-3</v>
      </c>
      <c r="S316" s="240">
        <v>4.6413302156706852E-2</v>
      </c>
      <c r="T316" s="239">
        <v>1.8156852469363512E-3</v>
      </c>
      <c r="U316" s="241">
        <v>2.3417083766725952E-2</v>
      </c>
      <c r="V316" s="242">
        <v>-1.7400537207658273E-4</v>
      </c>
      <c r="W316" s="243">
        <v>29.03502533918989</v>
      </c>
      <c r="X316" s="244">
        <v>198.9690619012934</v>
      </c>
      <c r="Y316" s="245">
        <v>228.0040872404833</v>
      </c>
      <c r="Z316" s="246">
        <v>58.601435303058075</v>
      </c>
      <c r="AA316" s="244">
        <v>181.56852469363511</v>
      </c>
      <c r="AB316" s="245">
        <v>240.16995999669319</v>
      </c>
      <c r="AC316" s="247">
        <v>29.566409963868185</v>
      </c>
      <c r="AD316" s="247">
        <v>-17.400537207658289</v>
      </c>
      <c r="AE316" s="248">
        <v>12.165872756209893</v>
      </c>
      <c r="AF316" s="234">
        <f>-SUMIF('[1]Alt Fac'!$A$18:$A$139,'REPORT 4 - PROPERTY TAX'!A316,'[1]Alt Fac'!$U$18:$U$139)</f>
        <v>0</v>
      </c>
      <c r="AG316" s="247">
        <f t="shared" si="16"/>
        <v>327.48861819112994</v>
      </c>
      <c r="AH316" s="234">
        <f t="shared" si="17"/>
        <v>3.4656041523807808</v>
      </c>
      <c r="AI316" s="234">
        <f t="shared" si="15"/>
        <v>330.95422234351071</v>
      </c>
      <c r="AJ316" s="170"/>
      <c r="AK316" s="170"/>
      <c r="AL316" s="170"/>
      <c r="AM316" s="170"/>
      <c r="AN316" s="170"/>
      <c r="AO316" s="234"/>
    </row>
    <row r="317" spans="1:41" x14ac:dyDescent="0.25">
      <c r="A317" s="274">
        <v>2164</v>
      </c>
      <c r="B317" s="274">
        <v>1</v>
      </c>
      <c r="C317" s="275" t="s">
        <v>424</v>
      </c>
      <c r="D317" s="276">
        <v>5</v>
      </c>
      <c r="E317" s="272">
        <v>6218328</v>
      </c>
      <c r="F317" s="273">
        <v>305824100</v>
      </c>
      <c r="G317" s="234">
        <v>434780.71252100839</v>
      </c>
      <c r="H317" s="234">
        <v>1426986.5675406435</v>
      </c>
      <c r="I317" s="174">
        <v>1861767.280061652</v>
      </c>
      <c r="J317" s="234">
        <v>337307.95675236511</v>
      </c>
      <c r="K317" s="234">
        <v>1437084.6252447343</v>
      </c>
      <c r="L317" s="175">
        <v>1774392.5819970993</v>
      </c>
      <c r="M317" s="235">
        <v>-97472.755768643285</v>
      </c>
      <c r="N317" s="236">
        <v>10098.057704090839</v>
      </c>
      <c r="O317" s="175">
        <v>-87374.69806455262</v>
      </c>
      <c r="P317" s="237">
        <v>-4.6931052554355361E-2</v>
      </c>
      <c r="Q317" s="238">
        <v>0.22948074909214236</v>
      </c>
      <c r="R317" s="239">
        <v>1.4216692292105442E-3</v>
      </c>
      <c r="S317" s="240">
        <v>0.23110466756413209</v>
      </c>
      <c r="T317" s="239">
        <v>1.1029475988071742E-3</v>
      </c>
      <c r="U317" s="241">
        <v>1.6239184719897271E-3</v>
      </c>
      <c r="V317" s="242">
        <v>-3.1872163040337002E-4</v>
      </c>
      <c r="W317" s="243">
        <v>289.74239380373899</v>
      </c>
      <c r="X317" s="244">
        <v>142.16692292105441</v>
      </c>
      <c r="Y317" s="245">
        <v>431.90931672479337</v>
      </c>
      <c r="Z317" s="246">
        <v>291.7927532664732</v>
      </c>
      <c r="AA317" s="244">
        <v>110.29475988071742</v>
      </c>
      <c r="AB317" s="245">
        <v>402.08751314719063</v>
      </c>
      <c r="AC317" s="247">
        <v>2.0503594627342068</v>
      </c>
      <c r="AD317" s="247">
        <v>-31.872163040336986</v>
      </c>
      <c r="AE317" s="248">
        <v>-29.821803577602736</v>
      </c>
      <c r="AF317" s="234">
        <f>-SUMIF('[1]Alt Fac'!$A$18:$A$139,'REPORT 4 - PROPERTY TAX'!A317,'[1]Alt Fac'!$U$18:$U$139)</f>
        <v>0</v>
      </c>
      <c r="AG317" s="247">
        <f t="shared" si="16"/>
        <v>502.99277818532062</v>
      </c>
      <c r="AH317" s="234">
        <f t="shared" si="17"/>
        <v>-45.757885097771272</v>
      </c>
      <c r="AI317" s="234">
        <f t="shared" si="15"/>
        <v>457.23489308754932</v>
      </c>
      <c r="AJ317" s="170"/>
      <c r="AK317" s="170"/>
      <c r="AL317" s="170"/>
      <c r="AM317" s="170"/>
      <c r="AN317" s="170"/>
      <c r="AO317" s="234"/>
    </row>
    <row r="318" spans="1:41" x14ac:dyDescent="0.25">
      <c r="A318" s="274">
        <v>2165</v>
      </c>
      <c r="B318" s="274">
        <v>1</v>
      </c>
      <c r="C318" s="275" t="s">
        <v>644</v>
      </c>
      <c r="D318" s="276">
        <v>5</v>
      </c>
      <c r="E318" s="272">
        <v>7317832</v>
      </c>
      <c r="F318" s="273">
        <v>433282415</v>
      </c>
      <c r="G318" s="234">
        <v>381963.32231092441</v>
      </c>
      <c r="H318" s="234">
        <v>1023155.2196518764</v>
      </c>
      <c r="I318" s="174">
        <v>1405118.5419628008</v>
      </c>
      <c r="J318" s="234">
        <v>368289.01229179511</v>
      </c>
      <c r="K318" s="234">
        <v>1102656.0780393006</v>
      </c>
      <c r="L318" s="175">
        <v>1470945.0903310957</v>
      </c>
      <c r="M318" s="235">
        <v>-13674.310019129305</v>
      </c>
      <c r="N318" s="236">
        <v>79500.858387424261</v>
      </c>
      <c r="O318" s="175">
        <v>65826.548368294956</v>
      </c>
      <c r="P318" s="237">
        <v>4.684768323983704E-2</v>
      </c>
      <c r="Q318" s="238">
        <v>0.13981671342712929</v>
      </c>
      <c r="R318" s="239">
        <v>8.8155740710345798E-4</v>
      </c>
      <c r="S318" s="240">
        <v>0.1506807040718208</v>
      </c>
      <c r="T318" s="239">
        <v>8.4999759866043743E-4</v>
      </c>
      <c r="U318" s="241">
        <v>1.0863990644691512E-2</v>
      </c>
      <c r="V318" s="242">
        <v>-3.155980844302055E-5</v>
      </c>
      <c r="W318" s="243">
        <v>176.53258237309345</v>
      </c>
      <c r="X318" s="244">
        <v>88.155740710345796</v>
      </c>
      <c r="Y318" s="245">
        <v>264.68832308343923</v>
      </c>
      <c r="Z318" s="246">
        <v>190.24945696108097</v>
      </c>
      <c r="AA318" s="244">
        <v>84.999759866043746</v>
      </c>
      <c r="AB318" s="245">
        <v>275.24921682712471</v>
      </c>
      <c r="AC318" s="247">
        <v>13.716874587987519</v>
      </c>
      <c r="AD318" s="247">
        <v>-3.1559808443020501</v>
      </c>
      <c r="AE318" s="248">
        <v>10.560893743685483</v>
      </c>
      <c r="AF318" s="234">
        <f>-SUMIF('[1]Alt Fac'!$A$18:$A$139,'REPORT 4 - PROPERTY TAX'!A318,'[1]Alt Fac'!$U$18:$U$139)</f>
        <v>0</v>
      </c>
      <c r="AG318" s="247">
        <f t="shared" si="16"/>
        <v>308.76619343861216</v>
      </c>
      <c r="AH318" s="234">
        <f t="shared" si="17"/>
        <v>8.9829033215344225</v>
      </c>
      <c r="AI318" s="234">
        <f t="shared" si="15"/>
        <v>317.74909676014659</v>
      </c>
      <c r="AJ318" s="170"/>
      <c r="AK318" s="170"/>
      <c r="AL318" s="170"/>
      <c r="AM318" s="170"/>
      <c r="AN318" s="170"/>
      <c r="AO318" s="234"/>
    </row>
    <row r="319" spans="1:41" x14ac:dyDescent="0.25">
      <c r="A319" s="274">
        <v>2167</v>
      </c>
      <c r="B319" s="274">
        <v>1</v>
      </c>
      <c r="C319" s="275" t="s">
        <v>287</v>
      </c>
      <c r="D319" s="276">
        <v>6</v>
      </c>
      <c r="E319" s="272">
        <v>5244524</v>
      </c>
      <c r="F319" s="273">
        <v>137026410</v>
      </c>
      <c r="G319" s="234">
        <v>292033.64869281038</v>
      </c>
      <c r="H319" s="234">
        <v>1061834.5229482048</v>
      </c>
      <c r="I319" s="174">
        <v>1353868.1716410152</v>
      </c>
      <c r="J319" s="234">
        <v>200562.38543557501</v>
      </c>
      <c r="K319" s="234">
        <v>1080436.8372420552</v>
      </c>
      <c r="L319" s="175">
        <v>1280999.2226776301</v>
      </c>
      <c r="M319" s="235">
        <v>-91471.263257235376</v>
      </c>
      <c r="N319" s="236">
        <v>18602.314293850446</v>
      </c>
      <c r="O319" s="175">
        <v>-72868.948963385075</v>
      </c>
      <c r="P319" s="237">
        <v>-5.382278015669803E-2</v>
      </c>
      <c r="Q319" s="238">
        <v>0.20246537587552366</v>
      </c>
      <c r="R319" s="239">
        <v>2.1312216286831888E-3</v>
      </c>
      <c r="S319" s="240">
        <v>0.20601237352370877</v>
      </c>
      <c r="T319" s="239">
        <v>1.4636768593410206E-3</v>
      </c>
      <c r="U319" s="241">
        <v>3.5469976481851129E-3</v>
      </c>
      <c r="V319" s="242">
        <v>-6.6754476934216826E-4</v>
      </c>
      <c r="W319" s="243">
        <v>255.63278358043618</v>
      </c>
      <c r="X319" s="244">
        <v>213.1221628683189</v>
      </c>
      <c r="Y319" s="245">
        <v>468.75494644875505</v>
      </c>
      <c r="Z319" s="246">
        <v>260.11122281103474</v>
      </c>
      <c r="AA319" s="244">
        <v>146.36768593410207</v>
      </c>
      <c r="AB319" s="245">
        <v>406.47890874513678</v>
      </c>
      <c r="AC319" s="247">
        <v>4.4784392305985534</v>
      </c>
      <c r="AD319" s="247">
        <v>-66.754476934216825</v>
      </c>
      <c r="AE319" s="248">
        <v>-62.276037703618272</v>
      </c>
      <c r="AF319" s="234">
        <f>-SUMIF('[1]Alt Fac'!$A$18:$A$139,'REPORT 4 - PROPERTY TAX'!A319,'[1]Alt Fac'!$U$18:$U$139)</f>
        <v>0</v>
      </c>
      <c r="AG319" s="247">
        <f t="shared" si="16"/>
        <v>575.31602788291457</v>
      </c>
      <c r="AH319" s="234">
        <f t="shared" si="17"/>
        <v>-95.653276170726713</v>
      </c>
      <c r="AI319" s="234">
        <f t="shared" si="15"/>
        <v>479.66275171218786</v>
      </c>
      <c r="AJ319" s="170"/>
      <c r="AK319" s="170"/>
      <c r="AL319" s="170"/>
      <c r="AM319" s="170"/>
      <c r="AN319" s="170"/>
      <c r="AO319" s="234"/>
    </row>
    <row r="320" spans="1:41" x14ac:dyDescent="0.25">
      <c r="A320" s="274">
        <v>2168</v>
      </c>
      <c r="B320" s="274">
        <v>1</v>
      </c>
      <c r="C320" s="275" t="s">
        <v>543</v>
      </c>
      <c r="D320" s="276">
        <v>6</v>
      </c>
      <c r="E320" s="272">
        <v>8279421</v>
      </c>
      <c r="F320" s="273">
        <v>309749300</v>
      </c>
      <c r="G320" s="234">
        <v>379021.71058823529</v>
      </c>
      <c r="H320" s="234">
        <v>801587.96012796275</v>
      </c>
      <c r="I320" s="174">
        <v>1180609.6707161982</v>
      </c>
      <c r="J320" s="234">
        <v>329831.9824996856</v>
      </c>
      <c r="K320" s="234">
        <v>930815.36836091825</v>
      </c>
      <c r="L320" s="175">
        <v>1260647.3508606039</v>
      </c>
      <c r="M320" s="235">
        <v>-49189.728088549688</v>
      </c>
      <c r="N320" s="236">
        <v>129227.40823295549</v>
      </c>
      <c r="O320" s="175">
        <v>80037.680144405691</v>
      </c>
      <c r="P320" s="237">
        <v>6.779351561287153E-2</v>
      </c>
      <c r="Q320" s="238">
        <v>9.6816910280074261E-2</v>
      </c>
      <c r="R320" s="239">
        <v>1.2236402490279567E-3</v>
      </c>
      <c r="S320" s="240">
        <v>0.1124251766350471</v>
      </c>
      <c r="T320" s="239">
        <v>1.0648352796913038E-3</v>
      </c>
      <c r="U320" s="241">
        <v>1.5608266354972838E-2</v>
      </c>
      <c r="V320" s="242">
        <v>-1.5880496933665285E-4</v>
      </c>
      <c r="W320" s="243">
        <v>122.24103091962178</v>
      </c>
      <c r="X320" s="244">
        <v>122.36402490279566</v>
      </c>
      <c r="Y320" s="245">
        <v>244.60505582241746</v>
      </c>
      <c r="Z320" s="246">
        <v>141.94802801941049</v>
      </c>
      <c r="AA320" s="244">
        <v>106.48352796913038</v>
      </c>
      <c r="AB320" s="245">
        <v>248.43155598854088</v>
      </c>
      <c r="AC320" s="247">
        <v>19.706997099788708</v>
      </c>
      <c r="AD320" s="247">
        <v>-15.880496933665285</v>
      </c>
      <c r="AE320" s="248">
        <v>3.8265001661234237</v>
      </c>
      <c r="AF320" s="234">
        <f>-SUMIF('[1]Alt Fac'!$A$18:$A$139,'REPORT 4 - PROPERTY TAX'!A320,'[1]Alt Fac'!$U$18:$U$139)</f>
        <v>0</v>
      </c>
      <c r="AG320" s="247">
        <f t="shared" si="16"/>
        <v>305.78706827381529</v>
      </c>
      <c r="AH320" s="234">
        <f t="shared" si="17"/>
        <v>-4.1137483007092186</v>
      </c>
      <c r="AI320" s="234">
        <f t="shared" si="15"/>
        <v>301.67331997310606</v>
      </c>
      <c r="AJ320" s="170"/>
      <c r="AK320" s="170"/>
      <c r="AL320" s="170"/>
      <c r="AM320" s="170"/>
      <c r="AN320" s="170"/>
      <c r="AO320" s="234"/>
    </row>
    <row r="321" spans="1:41" x14ac:dyDescent="0.25">
      <c r="A321" s="274">
        <v>2169</v>
      </c>
      <c r="B321" s="274">
        <v>1</v>
      </c>
      <c r="C321" s="275" t="s">
        <v>514</v>
      </c>
      <c r="D321" s="276">
        <v>6</v>
      </c>
      <c r="E321" s="272">
        <v>8028483</v>
      </c>
      <c r="F321" s="273">
        <v>209548135</v>
      </c>
      <c r="G321" s="234">
        <v>798830.84002546733</v>
      </c>
      <c r="H321" s="234">
        <v>807787.94974739803</v>
      </c>
      <c r="I321" s="174">
        <v>1606618.7897728654</v>
      </c>
      <c r="J321" s="234">
        <v>566896.08067760046</v>
      </c>
      <c r="K321" s="234">
        <v>919436.75282153895</v>
      </c>
      <c r="L321" s="175">
        <v>1486332.8334991394</v>
      </c>
      <c r="M321" s="235">
        <v>-231934.75934786687</v>
      </c>
      <c r="N321" s="236">
        <v>111648.80307414092</v>
      </c>
      <c r="O321" s="175">
        <v>-120285.95627372595</v>
      </c>
      <c r="P321" s="237">
        <v>-7.4869008777577725E-2</v>
      </c>
      <c r="Q321" s="238">
        <v>0.10061526564201456</v>
      </c>
      <c r="R321" s="239">
        <v>3.8121591491399689E-3</v>
      </c>
      <c r="S321" s="240">
        <v>0.11452185335903918</v>
      </c>
      <c r="T321" s="239">
        <v>2.7053262997430183E-3</v>
      </c>
      <c r="U321" s="241">
        <v>1.3906587717024618E-2</v>
      </c>
      <c r="V321" s="242">
        <v>-1.1068328493969506E-3</v>
      </c>
      <c r="W321" s="243">
        <v>127.0368343996076</v>
      </c>
      <c r="X321" s="244">
        <v>381.21591491399687</v>
      </c>
      <c r="Y321" s="245">
        <v>508.25274931360445</v>
      </c>
      <c r="Z321" s="246">
        <v>144.5952920511229</v>
      </c>
      <c r="AA321" s="244">
        <v>270.53262997430181</v>
      </c>
      <c r="AB321" s="245">
        <v>415.12792202542471</v>
      </c>
      <c r="AC321" s="247">
        <v>17.558457651515297</v>
      </c>
      <c r="AD321" s="247">
        <v>-110.68328493969506</v>
      </c>
      <c r="AE321" s="248">
        <v>-93.124827288179745</v>
      </c>
      <c r="AF321" s="234">
        <f>-SUMIF('[1]Alt Fac'!$A$18:$A$139,'REPORT 4 - PROPERTY TAX'!A321,'[1]Alt Fac'!$U$18:$U$139)</f>
        <v>0</v>
      </c>
      <c r="AG321" s="247">
        <f t="shared" si="16"/>
        <v>698.86070677060297</v>
      </c>
      <c r="AH321" s="234">
        <f t="shared" si="17"/>
        <v>-148.4664697580273</v>
      </c>
      <c r="AI321" s="234">
        <f t="shared" si="15"/>
        <v>550.39423701257567</v>
      </c>
      <c r="AJ321" s="170"/>
      <c r="AK321" s="170"/>
      <c r="AL321" s="170"/>
      <c r="AM321" s="170"/>
      <c r="AN321" s="170"/>
      <c r="AO321" s="234"/>
    </row>
    <row r="322" spans="1:41" x14ac:dyDescent="0.25">
      <c r="A322" s="274">
        <v>2170</v>
      </c>
      <c r="B322" s="274">
        <v>1</v>
      </c>
      <c r="C322" s="275" t="s">
        <v>647</v>
      </c>
      <c r="D322" s="276">
        <v>5</v>
      </c>
      <c r="E322" s="272">
        <v>9486074</v>
      </c>
      <c r="F322" s="273">
        <v>510297661</v>
      </c>
      <c r="G322" s="234">
        <v>658268.40575281496</v>
      </c>
      <c r="H322" s="234">
        <v>614674.72728032863</v>
      </c>
      <c r="I322" s="174">
        <v>1272943.1330331436</v>
      </c>
      <c r="J322" s="234">
        <v>676297.26178306248</v>
      </c>
      <c r="K322" s="234">
        <v>799861.94498362369</v>
      </c>
      <c r="L322" s="175">
        <v>1476159.2067666862</v>
      </c>
      <c r="M322" s="235">
        <v>18028.856030247523</v>
      </c>
      <c r="N322" s="236">
        <v>185187.21770329506</v>
      </c>
      <c r="O322" s="175">
        <v>203216.07373354258</v>
      </c>
      <c r="P322" s="237">
        <v>0.1596426960954048</v>
      </c>
      <c r="Q322" s="238">
        <v>6.4797589316753029E-2</v>
      </c>
      <c r="R322" s="239">
        <v>1.2899694748019137E-3</v>
      </c>
      <c r="S322" s="240">
        <v>8.4319597863523277E-2</v>
      </c>
      <c r="T322" s="239">
        <v>1.3252995525352064E-3</v>
      </c>
      <c r="U322" s="241">
        <v>1.9522008546770248E-2</v>
      </c>
      <c r="V322" s="242">
        <v>3.533007773329276E-5</v>
      </c>
      <c r="W322" s="243">
        <v>81.813436271332378</v>
      </c>
      <c r="X322" s="244">
        <v>128.99694748019138</v>
      </c>
      <c r="Y322" s="245">
        <v>210.81038375152377</v>
      </c>
      <c r="Z322" s="246">
        <v>106.4619242624845</v>
      </c>
      <c r="AA322" s="244">
        <v>132.52995525352065</v>
      </c>
      <c r="AB322" s="245">
        <v>238.99187951600516</v>
      </c>
      <c r="AC322" s="247">
        <v>24.648487991152123</v>
      </c>
      <c r="AD322" s="247">
        <v>3.533007773329274</v>
      </c>
      <c r="AE322" s="248">
        <v>28.181495764481383</v>
      </c>
      <c r="AF322" s="234">
        <f>-SUMIF('[1]Alt Fac'!$A$18:$A$139,'REPORT 4 - PROPERTY TAX'!A322,'[1]Alt Fac'!$U$18:$U$139)</f>
        <v>0</v>
      </c>
      <c r="AG322" s="247">
        <f t="shared" si="16"/>
        <v>275.30885749161945</v>
      </c>
      <c r="AH322" s="234">
        <f t="shared" si="17"/>
        <v>29.947999651146031</v>
      </c>
      <c r="AI322" s="234">
        <f t="shared" si="15"/>
        <v>305.25685714276545</v>
      </c>
      <c r="AJ322" s="170"/>
      <c r="AK322" s="170"/>
      <c r="AL322" s="170"/>
      <c r="AM322" s="170"/>
      <c r="AN322" s="170"/>
      <c r="AO322" s="234"/>
    </row>
    <row r="323" spans="1:41" x14ac:dyDescent="0.25">
      <c r="A323" s="274">
        <v>2171</v>
      </c>
      <c r="B323" s="274">
        <v>1</v>
      </c>
      <c r="C323" s="275" t="s">
        <v>512</v>
      </c>
      <c r="D323" s="276">
        <v>6</v>
      </c>
      <c r="E323" s="272">
        <v>6748688</v>
      </c>
      <c r="F323" s="273">
        <v>170547600</v>
      </c>
      <c r="G323" s="234">
        <v>397723.78</v>
      </c>
      <c r="H323" s="234">
        <v>509952.13199999998</v>
      </c>
      <c r="I323" s="174">
        <v>907675.91200000001</v>
      </c>
      <c r="J323" s="234">
        <v>818092.57010983757</v>
      </c>
      <c r="K323" s="234">
        <v>656006.87866613118</v>
      </c>
      <c r="L323" s="175">
        <v>1474099.4487759687</v>
      </c>
      <c r="M323" s="235">
        <v>420368.79010983754</v>
      </c>
      <c r="N323" s="236">
        <v>146054.74666613119</v>
      </c>
      <c r="O323" s="175">
        <v>566423.53677596874</v>
      </c>
      <c r="P323" s="237">
        <v>0.62403720236212323</v>
      </c>
      <c r="Q323" s="238">
        <v>7.5563151237692416E-2</v>
      </c>
      <c r="R323" s="239">
        <v>2.3320397355342439E-3</v>
      </c>
      <c r="S323" s="240">
        <v>9.720509803774173E-2</v>
      </c>
      <c r="T323" s="239">
        <v>4.7968577107495945E-3</v>
      </c>
      <c r="U323" s="241">
        <v>2.1641946800049314E-2</v>
      </c>
      <c r="V323" s="242">
        <v>2.4648179752153505E-3</v>
      </c>
      <c r="W323" s="243">
        <v>95.406034752710454</v>
      </c>
      <c r="X323" s="244">
        <v>233.20397355342439</v>
      </c>
      <c r="Y323" s="245">
        <v>328.61000830613483</v>
      </c>
      <c r="Z323" s="246">
        <v>122.73115678245273</v>
      </c>
      <c r="AA323" s="244">
        <v>479.68577107495946</v>
      </c>
      <c r="AB323" s="245">
        <v>602.41692785741225</v>
      </c>
      <c r="AC323" s="247">
        <v>27.325122029742275</v>
      </c>
      <c r="AD323" s="247">
        <v>246.48179752153507</v>
      </c>
      <c r="AE323" s="248">
        <v>273.80691955127742</v>
      </c>
      <c r="AF323" s="234">
        <f>-SUMIF('[1]Alt Fac'!$A$18:$A$139,'REPORT 4 - PROPERTY TAX'!A323,'[1]Alt Fac'!$U$18:$U$139)</f>
        <v>0</v>
      </c>
      <c r="AG323" s="247">
        <f t="shared" si="16"/>
        <v>445.21199508284707</v>
      </c>
      <c r="AH323" s="234">
        <f t="shared" si="17"/>
        <v>397.04781831204485</v>
      </c>
      <c r="AI323" s="234">
        <f t="shared" si="15"/>
        <v>842.25981339489192</v>
      </c>
      <c r="AJ323" s="170"/>
      <c r="AK323" s="170"/>
      <c r="AL323" s="170"/>
      <c r="AM323" s="170"/>
      <c r="AN323" s="170"/>
      <c r="AO323" s="234"/>
    </row>
    <row r="324" spans="1:41" x14ac:dyDescent="0.25">
      <c r="A324" s="274">
        <v>2172</v>
      </c>
      <c r="B324" s="274">
        <v>1</v>
      </c>
      <c r="C324" s="275" t="s">
        <v>462</v>
      </c>
      <c r="D324" s="276">
        <v>6</v>
      </c>
      <c r="E324" s="272">
        <v>7930524</v>
      </c>
      <c r="F324" s="273">
        <v>378920675</v>
      </c>
      <c r="G324" s="234">
        <v>820179.47676470585</v>
      </c>
      <c r="H324" s="234">
        <v>1419744.7347380838</v>
      </c>
      <c r="I324" s="174">
        <v>2239924.2115027895</v>
      </c>
      <c r="J324" s="234">
        <v>750355.50030002021</v>
      </c>
      <c r="K324" s="234">
        <v>1447269.7706622325</v>
      </c>
      <c r="L324" s="175">
        <v>2197625.2709622527</v>
      </c>
      <c r="M324" s="235">
        <v>-69823.976464685635</v>
      </c>
      <c r="N324" s="236">
        <v>27525.035924148746</v>
      </c>
      <c r="O324" s="175">
        <v>-42298.940540536772</v>
      </c>
      <c r="P324" s="237">
        <v>-1.8884094525750919E-2</v>
      </c>
      <c r="Q324" s="238">
        <v>0.17902281548332541</v>
      </c>
      <c r="R324" s="239">
        <v>2.1645149786685717E-3</v>
      </c>
      <c r="S324" s="240">
        <v>0.18249358688810885</v>
      </c>
      <c r="T324" s="239">
        <v>1.9802442827909039E-3</v>
      </c>
      <c r="U324" s="241">
        <v>3.4707714047834404E-3</v>
      </c>
      <c r="V324" s="242">
        <v>-1.8427069587766782E-4</v>
      </c>
      <c r="W324" s="243">
        <v>226.0342068292467</v>
      </c>
      <c r="X324" s="244">
        <v>216.45149786685718</v>
      </c>
      <c r="Y324" s="245">
        <v>442.48570469610388</v>
      </c>
      <c r="Z324" s="246">
        <v>230.41640280492626</v>
      </c>
      <c r="AA324" s="244">
        <v>198.02442827909039</v>
      </c>
      <c r="AB324" s="245">
        <v>428.44083108401662</v>
      </c>
      <c r="AC324" s="247">
        <v>4.382195975679565</v>
      </c>
      <c r="AD324" s="247">
        <v>-18.427069587766795</v>
      </c>
      <c r="AE324" s="248">
        <v>-14.044873612087258</v>
      </c>
      <c r="AF324" s="234">
        <f>-SUMIF('[1]Alt Fac'!$A$18:$A$139,'REPORT 4 - PROPERTY TAX'!A324,'[1]Alt Fac'!$U$18:$U$139)</f>
        <v>0</v>
      </c>
      <c r="AG324" s="247">
        <f t="shared" si="16"/>
        <v>550.71145362953246</v>
      </c>
      <c r="AH324" s="234">
        <f t="shared" si="17"/>
        <v>-23.258408405970602</v>
      </c>
      <c r="AI324" s="234">
        <f t="shared" si="15"/>
        <v>527.45304522356184</v>
      </c>
      <c r="AJ324" s="170"/>
      <c r="AK324" s="170"/>
      <c r="AL324" s="170"/>
      <c r="AM324" s="170"/>
      <c r="AN324" s="170"/>
      <c r="AO324" s="234"/>
    </row>
    <row r="325" spans="1:41" x14ac:dyDescent="0.25">
      <c r="A325" s="274">
        <v>2174</v>
      </c>
      <c r="B325" s="274">
        <v>1</v>
      </c>
      <c r="C325" s="275" t="s">
        <v>642</v>
      </c>
      <c r="D325" s="276">
        <v>6</v>
      </c>
      <c r="E325" s="272">
        <v>15407040</v>
      </c>
      <c r="F325" s="273">
        <v>614568355</v>
      </c>
      <c r="G325" s="234">
        <v>242284.97999999998</v>
      </c>
      <c r="H325" s="234">
        <v>728302.91799999995</v>
      </c>
      <c r="I325" s="174">
        <v>970587.89799999993</v>
      </c>
      <c r="J325" s="234">
        <v>494988.48321071226</v>
      </c>
      <c r="K325" s="234">
        <v>1081985.0609740899</v>
      </c>
      <c r="L325" s="175">
        <v>1576973.5441848021</v>
      </c>
      <c r="M325" s="235">
        <v>252703.50321071228</v>
      </c>
      <c r="N325" s="236">
        <v>353682.14297408995</v>
      </c>
      <c r="O325" s="175">
        <v>606385.64618480217</v>
      </c>
      <c r="P325" s="237">
        <v>0.62476118591044105</v>
      </c>
      <c r="Q325" s="238">
        <v>4.7270787769746817E-2</v>
      </c>
      <c r="R325" s="239">
        <v>3.9423601626868666E-4</v>
      </c>
      <c r="S325" s="240">
        <v>7.0226666574117413E-2</v>
      </c>
      <c r="T325" s="239">
        <v>8.0542461905756975E-4</v>
      </c>
      <c r="U325" s="241">
        <v>2.2955878804370597E-2</v>
      </c>
      <c r="V325" s="242">
        <v>4.1118860278888309E-4</v>
      </c>
      <c r="W325" s="243">
        <v>59.684096638082337</v>
      </c>
      <c r="X325" s="244">
        <v>39.423601626868667</v>
      </c>
      <c r="Y325" s="245">
        <v>99.107698264951011</v>
      </c>
      <c r="Z325" s="246">
        <v>88.668189216480656</v>
      </c>
      <c r="AA325" s="244">
        <v>80.54246190575698</v>
      </c>
      <c r="AB325" s="245">
        <v>169.21065112223764</v>
      </c>
      <c r="AC325" s="247">
        <v>28.984092578398318</v>
      </c>
      <c r="AD325" s="247">
        <v>41.118860278888313</v>
      </c>
      <c r="AE325" s="248">
        <v>70.102952857286624</v>
      </c>
      <c r="AF325" s="234">
        <f>-SUMIF('[1]Alt Fac'!$A$18:$A$139,'REPORT 4 - PROPERTY TAX'!A325,'[1]Alt Fac'!$U$18:$U$139)</f>
        <v>0</v>
      </c>
      <c r="AG325" s="247">
        <f t="shared" si="16"/>
        <v>118.81949907838533</v>
      </c>
      <c r="AH325" s="234">
        <f t="shared" si="17"/>
        <v>90.662382996730784</v>
      </c>
      <c r="AI325" s="234">
        <f t="shared" si="15"/>
        <v>209.48188207511612</v>
      </c>
      <c r="AJ325" s="170"/>
      <c r="AK325" s="170"/>
      <c r="AL325" s="170"/>
      <c r="AM325" s="170"/>
      <c r="AN325" s="170"/>
      <c r="AO325" s="234"/>
    </row>
    <row r="326" spans="1:41" x14ac:dyDescent="0.25">
      <c r="A326" s="274">
        <v>2176</v>
      </c>
      <c r="B326" s="274">
        <v>1</v>
      </c>
      <c r="C326" s="275" t="s">
        <v>648</v>
      </c>
      <c r="D326" s="276">
        <v>6</v>
      </c>
      <c r="E326" s="272">
        <v>6155541</v>
      </c>
      <c r="F326" s="273">
        <v>138196875</v>
      </c>
      <c r="G326" s="234">
        <v>475758.03</v>
      </c>
      <c r="H326" s="234">
        <v>200940.07200000001</v>
      </c>
      <c r="I326" s="174">
        <v>676698.10200000007</v>
      </c>
      <c r="J326" s="234">
        <v>521433.09801788157</v>
      </c>
      <c r="K326" s="234">
        <v>299082.82130237541</v>
      </c>
      <c r="L326" s="175">
        <v>820515.91932025691</v>
      </c>
      <c r="M326" s="235">
        <v>45675.068017881538</v>
      </c>
      <c r="N326" s="236">
        <v>98142.749302375392</v>
      </c>
      <c r="O326" s="175">
        <v>143817.81732025684</v>
      </c>
      <c r="P326" s="237">
        <v>0.21252877301591253</v>
      </c>
      <c r="Q326" s="238">
        <v>3.2643771197365105E-2</v>
      </c>
      <c r="R326" s="239">
        <v>3.4426106234312463E-3</v>
      </c>
      <c r="S326" s="240">
        <v>4.8587576835630759E-2</v>
      </c>
      <c r="T326" s="239">
        <v>3.7731178654935691E-3</v>
      </c>
      <c r="U326" s="241">
        <v>1.5943805638265654E-2</v>
      </c>
      <c r="V326" s="242">
        <v>3.3050724206232273E-4</v>
      </c>
      <c r="W326" s="243">
        <v>41.216025513793184</v>
      </c>
      <c r="X326" s="244">
        <v>344.26106234312465</v>
      </c>
      <c r="Y326" s="245">
        <v>385.47708785691782</v>
      </c>
      <c r="Z326" s="246">
        <v>61.346674512667406</v>
      </c>
      <c r="AA326" s="244">
        <v>377.3117865493569</v>
      </c>
      <c r="AB326" s="245">
        <v>438.65846106202429</v>
      </c>
      <c r="AC326" s="247">
        <v>20.130648998874221</v>
      </c>
      <c r="AD326" s="247">
        <v>33.050724206232246</v>
      </c>
      <c r="AE326" s="248">
        <v>53.181373205106468</v>
      </c>
      <c r="AF326" s="234">
        <f>-SUMIF('[1]Alt Fac'!$A$18:$A$139,'REPORT 4 - PROPERTY TAX'!A326,'[1]Alt Fac'!$U$18:$U$139)</f>
        <v>0</v>
      </c>
      <c r="AG326" s="247">
        <f t="shared" si="16"/>
        <v>557.60761902848014</v>
      </c>
      <c r="AH326" s="234">
        <f t="shared" si="17"/>
        <v>69.706735308222633</v>
      </c>
      <c r="AI326" s="234">
        <f t="shared" si="15"/>
        <v>627.31435433670276</v>
      </c>
      <c r="AJ326" s="170"/>
      <c r="AK326" s="170"/>
      <c r="AL326" s="170"/>
      <c r="AM326" s="170"/>
      <c r="AN326" s="170"/>
      <c r="AO326" s="234"/>
    </row>
    <row r="327" spans="1:41" x14ac:dyDescent="0.25">
      <c r="A327" s="274">
        <v>2180</v>
      </c>
      <c r="B327" s="274">
        <v>1</v>
      </c>
      <c r="C327" s="275" t="s">
        <v>611</v>
      </c>
      <c r="D327" s="276">
        <v>6</v>
      </c>
      <c r="E327" s="272">
        <v>8496572</v>
      </c>
      <c r="F327" s="273">
        <v>217239415</v>
      </c>
      <c r="G327" s="234">
        <v>1137028.6444296595</v>
      </c>
      <c r="H327" s="234">
        <v>942036.4776000001</v>
      </c>
      <c r="I327" s="174">
        <v>2079065.1220296596</v>
      </c>
      <c r="J327" s="234">
        <v>873647.18436941656</v>
      </c>
      <c r="K327" s="234">
        <v>1067775.2378423908</v>
      </c>
      <c r="L327" s="175">
        <v>1941422.4222118072</v>
      </c>
      <c r="M327" s="235">
        <v>-263381.46006024291</v>
      </c>
      <c r="N327" s="236">
        <v>125738.76024239068</v>
      </c>
      <c r="O327" s="175">
        <v>-137642.69981785235</v>
      </c>
      <c r="P327" s="237">
        <v>-6.6204131058425195E-2</v>
      </c>
      <c r="Q327" s="238">
        <v>0.11087253513534637</v>
      </c>
      <c r="R327" s="239">
        <v>5.2339887051788435E-3</v>
      </c>
      <c r="S327" s="240">
        <v>0.12567129871227958</v>
      </c>
      <c r="T327" s="239">
        <v>4.0215868946683392E-3</v>
      </c>
      <c r="U327" s="241">
        <v>1.4798763576933216E-2</v>
      </c>
      <c r="V327" s="242">
        <v>-1.2124018105105043E-3</v>
      </c>
      <c r="W327" s="243">
        <v>139.98766286188834</v>
      </c>
      <c r="X327" s="244">
        <v>523.39887051788435</v>
      </c>
      <c r="Y327" s="245">
        <v>663.38653337977269</v>
      </c>
      <c r="Z327" s="246">
        <v>158.67258175412422</v>
      </c>
      <c r="AA327" s="244">
        <v>402.15868946683389</v>
      </c>
      <c r="AB327" s="245">
        <v>560.83127122095812</v>
      </c>
      <c r="AC327" s="247">
        <v>18.684918892235885</v>
      </c>
      <c r="AD327" s="247">
        <v>-121.24018105105046</v>
      </c>
      <c r="AE327" s="248">
        <v>-102.55526215881457</v>
      </c>
      <c r="AF327" s="234">
        <f>-SUMIF('[1]Alt Fac'!$A$18:$A$139,'REPORT 4 - PROPERTY TAX'!A327,'[1]Alt Fac'!$U$18:$U$139)</f>
        <v>0</v>
      </c>
      <c r="AG327" s="247">
        <f t="shared" si="16"/>
        <v>925.0859686387148</v>
      </c>
      <c r="AH327" s="234">
        <f t="shared" si="17"/>
        <v>-163.17535268433977</v>
      </c>
      <c r="AI327" s="234">
        <f t="shared" si="15"/>
        <v>761.91061595437509</v>
      </c>
      <c r="AJ327" s="170"/>
      <c r="AK327" s="170"/>
      <c r="AL327" s="170"/>
      <c r="AM327" s="170"/>
      <c r="AN327" s="170"/>
      <c r="AO327" s="234"/>
    </row>
    <row r="328" spans="1:41" x14ac:dyDescent="0.25">
      <c r="A328" s="274">
        <v>2184</v>
      </c>
      <c r="B328" s="274">
        <v>1</v>
      </c>
      <c r="C328" s="275" t="s">
        <v>389</v>
      </c>
      <c r="D328" s="276">
        <v>5</v>
      </c>
      <c r="E328" s="272">
        <v>8897979</v>
      </c>
      <c r="F328" s="273">
        <v>313437260</v>
      </c>
      <c r="G328" s="234">
        <v>983504.09165242163</v>
      </c>
      <c r="H328" s="234">
        <v>1356232.2347716114</v>
      </c>
      <c r="I328" s="174">
        <v>2339736.3264240329</v>
      </c>
      <c r="J328" s="234">
        <v>727018.47185284307</v>
      </c>
      <c r="K328" s="234">
        <v>1467501.5460045883</v>
      </c>
      <c r="L328" s="175">
        <v>2194520.0178574314</v>
      </c>
      <c r="M328" s="235">
        <v>-256485.61979957856</v>
      </c>
      <c r="N328" s="236">
        <v>111269.31123297685</v>
      </c>
      <c r="O328" s="175">
        <v>-145216.30856660148</v>
      </c>
      <c r="P328" s="237">
        <v>-6.2065245099025647E-2</v>
      </c>
      <c r="Q328" s="238">
        <v>0.15242025574252438</v>
      </c>
      <c r="R328" s="239">
        <v>3.1378020968292719E-3</v>
      </c>
      <c r="S328" s="240">
        <v>0.16492526516466136</v>
      </c>
      <c r="T328" s="239">
        <v>2.3195023841544654E-3</v>
      </c>
      <c r="U328" s="241">
        <v>1.2505009422136976E-2</v>
      </c>
      <c r="V328" s="242">
        <v>-8.1829971267480652E-4</v>
      </c>
      <c r="W328" s="243">
        <v>192.44581490051129</v>
      </c>
      <c r="X328" s="244">
        <v>313.78020968292719</v>
      </c>
      <c r="Y328" s="245">
        <v>506.22602458343852</v>
      </c>
      <c r="Z328" s="246">
        <v>208.23463979690146</v>
      </c>
      <c r="AA328" s="244">
        <v>231.95023841544653</v>
      </c>
      <c r="AB328" s="245">
        <v>440.184878212348</v>
      </c>
      <c r="AC328" s="247">
        <v>15.788824896390167</v>
      </c>
      <c r="AD328" s="247">
        <v>-81.829971267480659</v>
      </c>
      <c r="AE328" s="248">
        <v>-66.04114637109052</v>
      </c>
      <c r="AF328" s="234">
        <f>-SUMIF('[1]Alt Fac'!$A$18:$A$139,'REPORT 4 - PROPERTY TAX'!A328,'[1]Alt Fac'!$U$18:$U$139)</f>
        <v>0</v>
      </c>
      <c r="AG328" s="247">
        <f t="shared" si="16"/>
        <v>663.11612942490206</v>
      </c>
      <c r="AH328" s="234">
        <f t="shared" si="17"/>
        <v>-106.95613200483082</v>
      </c>
      <c r="AI328" s="234">
        <f t="shared" si="15"/>
        <v>556.15999742007125</v>
      </c>
      <c r="AJ328" s="170"/>
      <c r="AK328" s="170"/>
      <c r="AL328" s="170"/>
      <c r="AM328" s="170"/>
      <c r="AN328" s="170"/>
      <c r="AO328" s="234"/>
    </row>
    <row r="329" spans="1:41" x14ac:dyDescent="0.25">
      <c r="A329" s="274">
        <v>2190</v>
      </c>
      <c r="B329" s="274">
        <v>1</v>
      </c>
      <c r="C329" s="275" t="s">
        <v>649</v>
      </c>
      <c r="D329" s="276">
        <v>6</v>
      </c>
      <c r="E329" s="272">
        <v>10811914</v>
      </c>
      <c r="F329" s="273">
        <v>300790955</v>
      </c>
      <c r="G329" s="234">
        <v>850013.25877601909</v>
      </c>
      <c r="H329" s="234">
        <v>934371.31575000007</v>
      </c>
      <c r="I329" s="174">
        <v>1784384.5745260192</v>
      </c>
      <c r="J329" s="234">
        <v>799595.62310171151</v>
      </c>
      <c r="K329" s="234">
        <v>1101675.8900425243</v>
      </c>
      <c r="L329" s="175">
        <v>1901271.5131442358</v>
      </c>
      <c r="M329" s="235">
        <v>-50417.635674307588</v>
      </c>
      <c r="N329" s="236">
        <v>167304.57429252425</v>
      </c>
      <c r="O329" s="175">
        <v>116886.93861821666</v>
      </c>
      <c r="P329" s="237">
        <v>6.5505463500918792E-2</v>
      </c>
      <c r="Q329" s="238">
        <v>8.6420527924102986E-2</v>
      </c>
      <c r="R329" s="239">
        <v>2.8259269258147043E-3</v>
      </c>
      <c r="S329" s="240">
        <v>0.1018946219922323</v>
      </c>
      <c r="T329" s="239">
        <v>2.6583100648811448E-3</v>
      </c>
      <c r="U329" s="241">
        <v>1.5474094068129315E-2</v>
      </c>
      <c r="V329" s="242">
        <v>-1.6761686093355946E-4</v>
      </c>
      <c r="W329" s="243">
        <v>109.11455855697244</v>
      </c>
      <c r="X329" s="244">
        <v>282.59269258147043</v>
      </c>
      <c r="Y329" s="245">
        <v>391.70725113844287</v>
      </c>
      <c r="Z329" s="246">
        <v>128.65214972739253</v>
      </c>
      <c r="AA329" s="244">
        <v>265.8310064881145</v>
      </c>
      <c r="AB329" s="245">
        <v>394.48315621550705</v>
      </c>
      <c r="AC329" s="247">
        <v>19.537591170420086</v>
      </c>
      <c r="AD329" s="247">
        <v>-16.761686093355934</v>
      </c>
      <c r="AE329" s="248">
        <v>2.7759050770641807</v>
      </c>
      <c r="AF329" s="234">
        <f>-SUMIF('[1]Alt Fac'!$A$18:$A$139,'REPORT 4 - PROPERTY TAX'!A329,'[1]Alt Fac'!$U$18:$U$139)</f>
        <v>0</v>
      </c>
      <c r="AG329" s="247">
        <f t="shared" si="16"/>
        <v>533.00359742917806</v>
      </c>
      <c r="AH329" s="234">
        <f t="shared" si="17"/>
        <v>-5.6049379696138431</v>
      </c>
      <c r="AI329" s="234">
        <f t="shared" si="15"/>
        <v>527.39865945956421</v>
      </c>
      <c r="AJ329" s="170"/>
      <c r="AK329" s="170"/>
      <c r="AL329" s="170"/>
      <c r="AM329" s="170"/>
      <c r="AN329" s="170"/>
      <c r="AO329" s="234"/>
    </row>
    <row r="330" spans="1:41" x14ac:dyDescent="0.25">
      <c r="A330" s="274">
        <v>2198</v>
      </c>
      <c r="B330" s="274">
        <v>1</v>
      </c>
      <c r="C330" s="275" t="s">
        <v>383</v>
      </c>
      <c r="D330" s="276">
        <v>6</v>
      </c>
      <c r="E330" s="272">
        <v>5644220</v>
      </c>
      <c r="F330" s="273">
        <v>255948550</v>
      </c>
      <c r="G330" s="234">
        <v>621004.6664705883</v>
      </c>
      <c r="H330" s="234">
        <v>824653.17330934654</v>
      </c>
      <c r="I330" s="174">
        <v>1445657.8397799348</v>
      </c>
      <c r="J330" s="234">
        <v>568149.09497872007</v>
      </c>
      <c r="K330" s="234">
        <v>831495.04462510499</v>
      </c>
      <c r="L330" s="175">
        <v>1399644.1396038251</v>
      </c>
      <c r="M330" s="235">
        <v>-52855.571491868235</v>
      </c>
      <c r="N330" s="236">
        <v>6841.8713157584425</v>
      </c>
      <c r="O330" s="175">
        <v>-46013.700176109793</v>
      </c>
      <c r="P330" s="237">
        <v>-3.182890094042877E-2</v>
      </c>
      <c r="Q330" s="238">
        <v>0.14610578136737168</v>
      </c>
      <c r="R330" s="239">
        <v>2.4262871052427855E-3</v>
      </c>
      <c r="S330" s="240">
        <v>0.14731797212459916</v>
      </c>
      <c r="T330" s="239">
        <v>2.2197785257182354E-3</v>
      </c>
      <c r="U330" s="241">
        <v>1.212190757227477E-3</v>
      </c>
      <c r="V330" s="242">
        <v>-2.0650857952455009E-4</v>
      </c>
      <c r="W330" s="243">
        <v>184.4731595544435</v>
      </c>
      <c r="X330" s="244">
        <v>242.62871052427855</v>
      </c>
      <c r="Y330" s="245">
        <v>427.10187007872207</v>
      </c>
      <c r="Z330" s="246">
        <v>186.00367160451893</v>
      </c>
      <c r="AA330" s="244">
        <v>221.97785257182355</v>
      </c>
      <c r="AB330" s="245">
        <v>407.98152417634248</v>
      </c>
      <c r="AC330" s="247">
        <v>1.5305120500754299</v>
      </c>
      <c r="AD330" s="247">
        <v>-20.650857952454999</v>
      </c>
      <c r="AE330" s="248">
        <v>-19.120345902379597</v>
      </c>
      <c r="AF330" s="234">
        <f>-SUMIF('[1]Alt Fac'!$A$18:$A$139,'REPORT 4 - PROPERTY TAX'!A330,'[1]Alt Fac'!$U$18:$U$139)</f>
        <v>0</v>
      </c>
      <c r="AG330" s="247">
        <f t="shared" si="16"/>
        <v>548.41622534086127</v>
      </c>
      <c r="AH330" s="234">
        <f t="shared" si="17"/>
        <v>-29.4457748786071</v>
      </c>
      <c r="AI330" s="234">
        <f t="shared" si="15"/>
        <v>518.97045046225412</v>
      </c>
      <c r="AJ330" s="170"/>
      <c r="AK330" s="170"/>
      <c r="AL330" s="170"/>
      <c r="AM330" s="170"/>
      <c r="AN330" s="170"/>
      <c r="AO330" s="234"/>
    </row>
    <row r="331" spans="1:41" x14ac:dyDescent="0.25">
      <c r="A331" s="274">
        <v>2215</v>
      </c>
      <c r="B331" s="274">
        <v>1</v>
      </c>
      <c r="C331" s="275" t="s">
        <v>566</v>
      </c>
      <c r="D331" s="276">
        <v>6</v>
      </c>
      <c r="E331" s="272">
        <v>2262584</v>
      </c>
      <c r="F331" s="273">
        <v>64744720</v>
      </c>
      <c r="G331" s="234">
        <v>303931.7738997821</v>
      </c>
      <c r="H331" s="234">
        <v>482148.42819639144</v>
      </c>
      <c r="I331" s="174">
        <v>786080.20209617354</v>
      </c>
      <c r="J331" s="234">
        <v>253885.30566543719</v>
      </c>
      <c r="K331" s="234">
        <v>458309.90099247877</v>
      </c>
      <c r="L331" s="175">
        <v>712195.20665791596</v>
      </c>
      <c r="M331" s="235">
        <v>-50046.468234344909</v>
      </c>
      <c r="N331" s="236">
        <v>-23838.527203912672</v>
      </c>
      <c r="O331" s="175">
        <v>-73884.995438257582</v>
      </c>
      <c r="P331" s="237">
        <v>-9.3991675710995801E-2</v>
      </c>
      <c r="Q331" s="238">
        <v>0.21309636601177745</v>
      </c>
      <c r="R331" s="239">
        <v>4.6943098047189345E-3</v>
      </c>
      <c r="S331" s="240">
        <v>0.20256039156666836</v>
      </c>
      <c r="T331" s="239">
        <v>3.9213283440786709E-3</v>
      </c>
      <c r="U331" s="241">
        <v>-1.0535974445109092E-2</v>
      </c>
      <c r="V331" s="242">
        <v>-7.7298146064026362E-4</v>
      </c>
      <c r="W331" s="243">
        <v>269.05547172647022</v>
      </c>
      <c r="X331" s="244">
        <v>469.43098047189346</v>
      </c>
      <c r="Y331" s="245">
        <v>738.48645219836362</v>
      </c>
      <c r="Z331" s="246">
        <v>255.75275039207548</v>
      </c>
      <c r="AA331" s="244">
        <v>392.13283440786711</v>
      </c>
      <c r="AB331" s="245">
        <v>647.88558479994254</v>
      </c>
      <c r="AC331" s="247">
        <v>-13.302721334394732</v>
      </c>
      <c r="AD331" s="247">
        <v>-77.298146064026355</v>
      </c>
      <c r="AE331" s="248">
        <v>-90.600867398421087</v>
      </c>
      <c r="AF331" s="234">
        <f>-SUMIF('[1]Alt Fac'!$A$18:$A$139,'REPORT 4 - PROPERTY TAX'!A331,'[1]Alt Fac'!$U$18:$U$139)</f>
        <v>0</v>
      </c>
      <c r="AG331" s="247">
        <f t="shared" si="16"/>
        <v>973.20194243431047</v>
      </c>
      <c r="AH331" s="234">
        <f t="shared" si="17"/>
        <v>-129.24994043043429</v>
      </c>
      <c r="AI331" s="234">
        <f t="shared" si="15"/>
        <v>843.95200200387615</v>
      </c>
      <c r="AJ331" s="170"/>
      <c r="AK331" s="170"/>
      <c r="AL331" s="170"/>
      <c r="AM331" s="170"/>
      <c r="AN331" s="170"/>
      <c r="AO331" s="234"/>
    </row>
    <row r="332" spans="1:41" x14ac:dyDescent="0.25">
      <c r="A332" s="274">
        <v>2310</v>
      </c>
      <c r="B332" s="274">
        <v>1</v>
      </c>
      <c r="C332" s="275" t="s">
        <v>603</v>
      </c>
      <c r="D332" s="276">
        <v>5</v>
      </c>
      <c r="E332" s="272">
        <v>8892632</v>
      </c>
      <c r="F332" s="273">
        <v>410507715</v>
      </c>
      <c r="G332" s="234">
        <v>613729.77957983187</v>
      </c>
      <c r="H332" s="234">
        <v>577512.93604549172</v>
      </c>
      <c r="I332" s="174">
        <v>1191242.7156253236</v>
      </c>
      <c r="J332" s="234">
        <v>542639.94234364526</v>
      </c>
      <c r="K332" s="234">
        <v>544658.22334760102</v>
      </c>
      <c r="L332" s="175">
        <v>1087298.1656912463</v>
      </c>
      <c r="M332" s="235">
        <v>-71089.837236186606</v>
      </c>
      <c r="N332" s="236">
        <v>-32854.712697890704</v>
      </c>
      <c r="O332" s="175">
        <v>-103944.54993407731</v>
      </c>
      <c r="P332" s="237">
        <v>-8.7257238655611261E-2</v>
      </c>
      <c r="Q332" s="238">
        <v>6.4942857867669748E-2</v>
      </c>
      <c r="R332" s="239">
        <v>1.4950505365772038E-3</v>
      </c>
      <c r="S332" s="240">
        <v>6.1248258484957102E-2</v>
      </c>
      <c r="T332" s="239">
        <v>1.3218751378244993E-3</v>
      </c>
      <c r="U332" s="241">
        <v>-3.6945993827126461E-3</v>
      </c>
      <c r="V332" s="242">
        <v>-1.7317539875270449E-4</v>
      </c>
      <c r="W332" s="243">
        <v>81.996852343719837</v>
      </c>
      <c r="X332" s="244">
        <v>149.5050536577204</v>
      </c>
      <c r="Y332" s="245">
        <v>231.50190600144023</v>
      </c>
      <c r="Z332" s="246">
        <v>77.33205116310684</v>
      </c>
      <c r="AA332" s="244">
        <v>132.18751378244994</v>
      </c>
      <c r="AB332" s="245">
        <v>209.51956494555679</v>
      </c>
      <c r="AC332" s="247">
        <v>-4.6648011806129972</v>
      </c>
      <c r="AD332" s="247">
        <v>-17.317539875270455</v>
      </c>
      <c r="AE332" s="248">
        <v>-21.982341055883438</v>
      </c>
      <c r="AF332" s="234">
        <f>-SUMIF('[1]Alt Fac'!$A$18:$A$139,'REPORT 4 - PROPERTY TAX'!A332,'[1]Alt Fac'!$U$18:$U$139)</f>
        <v>0</v>
      </c>
      <c r="AG332" s="247">
        <f t="shared" si="16"/>
        <v>306.2544328303004</v>
      </c>
      <c r="AH332" s="234">
        <f t="shared" si="17"/>
        <v>-30.641110993518659</v>
      </c>
      <c r="AI332" s="234">
        <f t="shared" si="15"/>
        <v>275.61332183678172</v>
      </c>
      <c r="AJ332" s="170"/>
      <c r="AK332" s="170"/>
      <c r="AL332" s="170"/>
      <c r="AM332" s="170"/>
      <c r="AN332" s="170"/>
      <c r="AO332" s="234"/>
    </row>
    <row r="333" spans="1:41" x14ac:dyDescent="0.25">
      <c r="A333" s="274">
        <v>2311</v>
      </c>
      <c r="B333" s="274">
        <v>1</v>
      </c>
      <c r="C333" s="275" t="s">
        <v>500</v>
      </c>
      <c r="D333" s="276">
        <v>6</v>
      </c>
      <c r="E333" s="272">
        <v>6233903</v>
      </c>
      <c r="F333" s="273">
        <v>301490800</v>
      </c>
      <c r="G333" s="234">
        <v>394482.16000000003</v>
      </c>
      <c r="H333" s="234">
        <v>956888.8459999999</v>
      </c>
      <c r="I333" s="174">
        <v>1351371.0060000001</v>
      </c>
      <c r="J333" s="234">
        <v>396008.53686018579</v>
      </c>
      <c r="K333" s="234">
        <v>1072114.4057884112</v>
      </c>
      <c r="L333" s="175">
        <v>1468122.9426485971</v>
      </c>
      <c r="M333" s="235">
        <v>1526.3768601857591</v>
      </c>
      <c r="N333" s="236">
        <v>115225.55978841125</v>
      </c>
      <c r="O333" s="175">
        <v>116751.93664859701</v>
      </c>
      <c r="P333" s="237">
        <v>8.639517655050015E-2</v>
      </c>
      <c r="Q333" s="238">
        <v>0.15349755137351351</v>
      </c>
      <c r="R333" s="239">
        <v>1.3084384664474008E-3</v>
      </c>
      <c r="S333" s="240">
        <v>0.17198124606501114</v>
      </c>
      <c r="T333" s="239">
        <v>1.3135012307512726E-3</v>
      </c>
      <c r="U333" s="241">
        <v>1.8483694691497632E-2</v>
      </c>
      <c r="V333" s="242">
        <v>5.0627643038718331E-6</v>
      </c>
      <c r="W333" s="243">
        <v>193.80600836419816</v>
      </c>
      <c r="X333" s="244">
        <v>130.84384664474007</v>
      </c>
      <c r="Y333" s="245">
        <v>324.64985500893823</v>
      </c>
      <c r="Z333" s="246">
        <v>217.14352128168309</v>
      </c>
      <c r="AA333" s="244">
        <v>131.35012307512727</v>
      </c>
      <c r="AB333" s="245">
        <v>348.49364435681036</v>
      </c>
      <c r="AC333" s="247">
        <v>23.337512917484929</v>
      </c>
      <c r="AD333" s="247">
        <v>0.50627643038720294</v>
      </c>
      <c r="AE333" s="248">
        <v>23.843789347872132</v>
      </c>
      <c r="AF333" s="234">
        <f>-SUMIF('[1]Alt Fac'!$A$18:$A$139,'REPORT 4 - PROPERTY TAX'!A333,'[1]Alt Fac'!$U$18:$U$139)</f>
        <v>0</v>
      </c>
      <c r="AG333" s="247">
        <f t="shared" si="16"/>
        <v>390.07177833130828</v>
      </c>
      <c r="AH333" s="234">
        <f t="shared" si="17"/>
        <v>24.096927563065687</v>
      </c>
      <c r="AI333" s="234">
        <f t="shared" si="15"/>
        <v>414.16870589437394</v>
      </c>
      <c r="AJ333" s="170"/>
      <c r="AK333" s="170"/>
      <c r="AL333" s="170"/>
      <c r="AM333" s="170"/>
      <c r="AN333" s="170"/>
      <c r="AO333" s="234"/>
    </row>
    <row r="334" spans="1:41" x14ac:dyDescent="0.25">
      <c r="A334" s="274">
        <v>2342</v>
      </c>
      <c r="B334" s="274">
        <v>1</v>
      </c>
      <c r="C334" s="275" t="s">
        <v>572</v>
      </c>
      <c r="D334" s="276">
        <v>6</v>
      </c>
      <c r="E334" s="272">
        <v>8121748</v>
      </c>
      <c r="F334" s="273">
        <v>240861390</v>
      </c>
      <c r="G334" s="234">
        <v>975823.37647058838</v>
      </c>
      <c r="H334" s="234">
        <v>708152.09211360896</v>
      </c>
      <c r="I334" s="174">
        <v>1683975.4685841973</v>
      </c>
      <c r="J334" s="234">
        <v>751313.88870835199</v>
      </c>
      <c r="K334" s="234">
        <v>852150.31283162185</v>
      </c>
      <c r="L334" s="175">
        <v>1603464.2015399737</v>
      </c>
      <c r="M334" s="235">
        <v>-224509.48776223639</v>
      </c>
      <c r="N334" s="236">
        <v>143998.22071801289</v>
      </c>
      <c r="O334" s="175">
        <v>-80511.267044223612</v>
      </c>
      <c r="P334" s="237">
        <v>-4.7810237468550225E-2</v>
      </c>
      <c r="Q334" s="238">
        <v>8.7192078862039182E-2</v>
      </c>
      <c r="R334" s="239">
        <v>4.0513897909108159E-3</v>
      </c>
      <c r="S334" s="240">
        <v>0.10492203314257249</v>
      </c>
      <c r="T334" s="239">
        <v>3.1192790538506483E-3</v>
      </c>
      <c r="U334" s="241">
        <v>1.7729954280533311E-2</v>
      </c>
      <c r="V334" s="242">
        <v>-9.3211073706016756E-4</v>
      </c>
      <c r="W334" s="243">
        <v>110.08871877121068</v>
      </c>
      <c r="X334" s="244">
        <v>405.13897909108158</v>
      </c>
      <c r="Y334" s="245">
        <v>515.2276978622923</v>
      </c>
      <c r="Z334" s="246">
        <v>132.47455904581204</v>
      </c>
      <c r="AA334" s="244">
        <v>311.92790538506483</v>
      </c>
      <c r="AB334" s="245">
        <v>444.40246443087688</v>
      </c>
      <c r="AC334" s="247">
        <v>22.385840274601364</v>
      </c>
      <c r="AD334" s="247">
        <v>-93.211073706016748</v>
      </c>
      <c r="AE334" s="248">
        <v>-70.825233431415427</v>
      </c>
      <c r="AF334" s="234">
        <f>-SUMIF('[1]Alt Fac'!$A$18:$A$139,'REPORT 4 - PROPERTY TAX'!A334,'[1]Alt Fac'!$U$18:$U$139)</f>
        <v>0</v>
      </c>
      <c r="AG334" s="247">
        <f t="shared" si="16"/>
        <v>717.79718740783301</v>
      </c>
      <c r="AH334" s="234">
        <f t="shared" si="17"/>
        <v>-117.43077028442376</v>
      </c>
      <c r="AI334" s="234">
        <f t="shared" si="15"/>
        <v>600.36641712340929</v>
      </c>
      <c r="AJ334" s="170"/>
      <c r="AK334" s="170"/>
      <c r="AL334" s="170"/>
      <c r="AM334" s="170"/>
      <c r="AN334" s="170"/>
      <c r="AO334" s="234"/>
    </row>
    <row r="335" spans="1:41" x14ac:dyDescent="0.25">
      <c r="A335" s="274">
        <v>2358</v>
      </c>
      <c r="B335" s="274">
        <v>1</v>
      </c>
      <c r="C335" s="275" t="s">
        <v>646</v>
      </c>
      <c r="D335" s="276">
        <v>6</v>
      </c>
      <c r="E335" s="272">
        <v>1826338</v>
      </c>
      <c r="F335" s="273">
        <v>59756018</v>
      </c>
      <c r="G335" s="234">
        <v>214980.64891067537</v>
      </c>
      <c r="H335" s="234">
        <v>293659.7327608444</v>
      </c>
      <c r="I335" s="174">
        <v>508640.38167151978</v>
      </c>
      <c r="J335" s="234">
        <v>203873.2707879832</v>
      </c>
      <c r="K335" s="234">
        <v>290280.42716415465</v>
      </c>
      <c r="L335" s="175">
        <v>494153.69795213785</v>
      </c>
      <c r="M335" s="235">
        <v>-11107.378122692171</v>
      </c>
      <c r="N335" s="236">
        <v>-3379.3055966897518</v>
      </c>
      <c r="O335" s="175">
        <v>-14486.683719381923</v>
      </c>
      <c r="P335" s="237">
        <v>-2.8481190722166119E-2</v>
      </c>
      <c r="Q335" s="238">
        <v>0.16079155816768004</v>
      </c>
      <c r="R335" s="239">
        <v>3.5976401391182955E-3</v>
      </c>
      <c r="S335" s="240">
        <v>0.15894124042984084</v>
      </c>
      <c r="T335" s="239">
        <v>3.4117613189684629E-3</v>
      </c>
      <c r="U335" s="241">
        <v>-1.8503177378391966E-3</v>
      </c>
      <c r="V335" s="242">
        <v>-1.8587882014983259E-4</v>
      </c>
      <c r="W335" s="243">
        <v>203.01542134251284</v>
      </c>
      <c r="X335" s="244">
        <v>359.76401391182952</v>
      </c>
      <c r="Y335" s="245">
        <v>562.77943525434239</v>
      </c>
      <c r="Z335" s="246">
        <v>200.67921016671707</v>
      </c>
      <c r="AA335" s="244">
        <v>341.1761318968463</v>
      </c>
      <c r="AB335" s="245">
        <v>541.8553420635634</v>
      </c>
      <c r="AC335" s="247">
        <v>-2.3362111757957678</v>
      </c>
      <c r="AD335" s="247">
        <v>-18.587882014983222</v>
      </c>
      <c r="AE335" s="248">
        <v>-20.92409319077899</v>
      </c>
      <c r="AF335" s="234">
        <f>-SUMIF('[1]Alt Fac'!$A$18:$A$139,'REPORT 4 - PROPERTY TAX'!A335,'[1]Alt Fac'!$U$18:$U$139)</f>
        <v>0</v>
      </c>
      <c r="AG335" s="247">
        <f t="shared" si="16"/>
        <v>742.66144221025718</v>
      </c>
      <c r="AH335" s="234">
        <f t="shared" si="17"/>
        <v>-30.218034198270662</v>
      </c>
      <c r="AI335" s="234">
        <f t="shared" si="15"/>
        <v>712.44340801198655</v>
      </c>
      <c r="AJ335" s="170"/>
      <c r="AK335" s="170"/>
      <c r="AL335" s="170"/>
      <c r="AM335" s="170"/>
      <c r="AN335" s="170"/>
      <c r="AO335" s="234"/>
    </row>
    <row r="336" spans="1:41" x14ac:dyDescent="0.25">
      <c r="A336" s="274">
        <v>2364</v>
      </c>
      <c r="B336" s="274">
        <v>1</v>
      </c>
      <c r="C336" s="275" t="s">
        <v>577</v>
      </c>
      <c r="D336" s="276">
        <v>6</v>
      </c>
      <c r="E336" s="272">
        <v>5491482</v>
      </c>
      <c r="F336" s="273">
        <v>211735600</v>
      </c>
      <c r="G336" s="234">
        <v>479308.74994996708</v>
      </c>
      <c r="H336" s="234">
        <v>1154452.6668506721</v>
      </c>
      <c r="I336" s="174">
        <v>1633761.4168006391</v>
      </c>
      <c r="J336" s="234">
        <v>383487.0204882531</v>
      </c>
      <c r="K336" s="234">
        <v>1204084.7295488166</v>
      </c>
      <c r="L336" s="175">
        <v>1587571.7500370697</v>
      </c>
      <c r="M336" s="235">
        <v>-95821.729461713985</v>
      </c>
      <c r="N336" s="236">
        <v>49632.062698144466</v>
      </c>
      <c r="O336" s="175">
        <v>-46189.666763569461</v>
      </c>
      <c r="P336" s="237">
        <v>-2.8271977957480304E-2</v>
      </c>
      <c r="Q336" s="238">
        <v>0.21022606772646657</v>
      </c>
      <c r="R336" s="239">
        <v>2.2637135651726354E-3</v>
      </c>
      <c r="S336" s="240">
        <v>0.21926407653686503</v>
      </c>
      <c r="T336" s="239">
        <v>1.8111598639447173E-3</v>
      </c>
      <c r="U336" s="241">
        <v>9.0380088103984568E-3</v>
      </c>
      <c r="V336" s="242">
        <v>-4.5255370122791803E-4</v>
      </c>
      <c r="W336" s="243">
        <v>265.43143311143672</v>
      </c>
      <c r="X336" s="244">
        <v>226.37135651726354</v>
      </c>
      <c r="Y336" s="245">
        <v>491.80278962870022</v>
      </c>
      <c r="Z336" s="246">
        <v>276.8428230354458</v>
      </c>
      <c r="AA336" s="244">
        <v>181.11598639447172</v>
      </c>
      <c r="AB336" s="245">
        <v>457.95880942991755</v>
      </c>
      <c r="AC336" s="247">
        <v>11.411389924009086</v>
      </c>
      <c r="AD336" s="247">
        <v>-45.255370122791817</v>
      </c>
      <c r="AE336" s="248">
        <v>-33.843980198782674</v>
      </c>
      <c r="AF336" s="234">
        <f>-SUMIF('[1]Alt Fac'!$A$18:$A$139,'REPORT 4 - PROPERTY TAX'!A336,'[1]Alt Fac'!$U$18:$U$139)</f>
        <v>0</v>
      </c>
      <c r="AG336" s="247">
        <f t="shared" si="16"/>
        <v>604.98846788733204</v>
      </c>
      <c r="AH336" s="234">
        <f t="shared" si="17"/>
        <v>-56.471665260178618</v>
      </c>
      <c r="AI336" s="234">
        <f t="shared" si="15"/>
        <v>548.51680262715342</v>
      </c>
      <c r="AJ336" s="170"/>
      <c r="AK336" s="170"/>
      <c r="AL336" s="170"/>
      <c r="AM336" s="170"/>
      <c r="AN336" s="170"/>
      <c r="AO336" s="234"/>
    </row>
    <row r="337" spans="1:41" x14ac:dyDescent="0.25">
      <c r="A337" s="274">
        <v>2365</v>
      </c>
      <c r="B337" s="274">
        <v>1</v>
      </c>
      <c r="C337" s="275" t="s">
        <v>436</v>
      </c>
      <c r="D337" s="276">
        <v>6</v>
      </c>
      <c r="E337" s="272">
        <v>11704648</v>
      </c>
      <c r="F337" s="273">
        <v>310316245</v>
      </c>
      <c r="G337" s="234">
        <v>708797.179117647</v>
      </c>
      <c r="H337" s="234">
        <v>893711.75560000003</v>
      </c>
      <c r="I337" s="174">
        <v>1602508.934717647</v>
      </c>
      <c r="J337" s="234">
        <v>575173.59806636581</v>
      </c>
      <c r="K337" s="234">
        <v>1011875.1016626542</v>
      </c>
      <c r="L337" s="175">
        <v>1587048.69972902</v>
      </c>
      <c r="M337" s="235">
        <v>-133623.58105128119</v>
      </c>
      <c r="N337" s="236">
        <v>118163.34606265416</v>
      </c>
      <c r="O337" s="175">
        <v>-15460.234988627024</v>
      </c>
      <c r="P337" s="237">
        <v>-9.6475187461909726E-3</v>
      </c>
      <c r="Q337" s="238">
        <v>7.6355286856981952E-2</v>
      </c>
      <c r="R337" s="239">
        <v>2.2841123870832062E-3</v>
      </c>
      <c r="S337" s="240">
        <v>8.6450707587503201E-2</v>
      </c>
      <c r="T337" s="239">
        <v>1.8535078563688015E-3</v>
      </c>
      <c r="U337" s="241">
        <v>1.0095420730521248E-2</v>
      </c>
      <c r="V337" s="242">
        <v>-4.3060453071440473E-4</v>
      </c>
      <c r="W337" s="243">
        <v>96.406185185625418</v>
      </c>
      <c r="X337" s="244">
        <v>228.41123870832061</v>
      </c>
      <c r="Y337" s="245">
        <v>324.81742389394606</v>
      </c>
      <c r="Z337" s="246">
        <v>109.15266339998155</v>
      </c>
      <c r="AA337" s="244">
        <v>185.35078563688015</v>
      </c>
      <c r="AB337" s="245">
        <v>294.5034490368617</v>
      </c>
      <c r="AC337" s="247">
        <v>12.746478214356131</v>
      </c>
      <c r="AD337" s="247">
        <v>-43.060453071440463</v>
      </c>
      <c r="AE337" s="248">
        <v>-30.313974857084361</v>
      </c>
      <c r="AF337" s="234">
        <f>-SUMIF('[1]Alt Fac'!$A$18:$A$139,'REPORT 4 - PROPERTY TAX'!A337,'[1]Alt Fac'!$U$18:$U$139)</f>
        <v>0</v>
      </c>
      <c r="AG337" s="247">
        <f t="shared" si="16"/>
        <v>439.02304324810638</v>
      </c>
      <c r="AH337" s="234">
        <f t="shared" si="17"/>
        <v>-51.844201392804578</v>
      </c>
      <c r="AI337" s="234">
        <f t="shared" si="15"/>
        <v>387.17884185530181</v>
      </c>
      <c r="AJ337" s="170"/>
      <c r="AK337" s="170"/>
      <c r="AL337" s="170"/>
      <c r="AM337" s="170"/>
      <c r="AN337" s="170"/>
      <c r="AO337" s="234"/>
    </row>
    <row r="338" spans="1:41" x14ac:dyDescent="0.25">
      <c r="A338" s="274">
        <v>2396</v>
      </c>
      <c r="B338" s="274">
        <v>1</v>
      </c>
      <c r="C338" s="275" t="s">
        <v>606</v>
      </c>
      <c r="D338" s="276">
        <v>6</v>
      </c>
      <c r="E338" s="272">
        <v>9672108</v>
      </c>
      <c r="F338" s="273">
        <v>351519925</v>
      </c>
      <c r="G338" s="234">
        <v>956920.28617647057</v>
      </c>
      <c r="H338" s="234">
        <v>1202999.8293999999</v>
      </c>
      <c r="I338" s="174">
        <v>2159920.1155764703</v>
      </c>
      <c r="J338" s="234">
        <v>878159.33548509667</v>
      </c>
      <c r="K338" s="234">
        <v>1334803.9035155035</v>
      </c>
      <c r="L338" s="175">
        <v>2212963.2390006003</v>
      </c>
      <c r="M338" s="235">
        <v>-78760.950691373902</v>
      </c>
      <c r="N338" s="236">
        <v>131804.07411550358</v>
      </c>
      <c r="O338" s="175">
        <v>53043.123424130026</v>
      </c>
      <c r="P338" s="237">
        <v>2.4557909823425633E-2</v>
      </c>
      <c r="Q338" s="238">
        <v>0.12437824612793819</v>
      </c>
      <c r="R338" s="239">
        <v>2.7222362606514282E-3</v>
      </c>
      <c r="S338" s="240">
        <v>0.13800547962403889</v>
      </c>
      <c r="T338" s="239">
        <v>2.4981779780622582E-3</v>
      </c>
      <c r="U338" s="241">
        <v>1.3627233496100705E-2</v>
      </c>
      <c r="V338" s="242">
        <v>-2.2405828258917002E-4</v>
      </c>
      <c r="W338" s="243">
        <v>157.03997356113476</v>
      </c>
      <c r="X338" s="244">
        <v>272.22362606514281</v>
      </c>
      <c r="Y338" s="245">
        <v>429.2635996262776</v>
      </c>
      <c r="Z338" s="246">
        <v>174.24571857331154</v>
      </c>
      <c r="AA338" s="244">
        <v>249.81779780622583</v>
      </c>
      <c r="AB338" s="245">
        <v>424.06351637953736</v>
      </c>
      <c r="AC338" s="247">
        <v>17.205745012176777</v>
      </c>
      <c r="AD338" s="247">
        <v>-22.405828258916983</v>
      </c>
      <c r="AE338" s="248">
        <v>-5.2000832467402347</v>
      </c>
      <c r="AF338" s="234">
        <f>-SUMIF('[1]Alt Fac'!$A$18:$A$139,'REPORT 4 - PROPERTY TAX'!A338,'[1]Alt Fac'!$U$18:$U$139)</f>
        <v>0</v>
      </c>
      <c r="AG338" s="247">
        <f t="shared" si="16"/>
        <v>565.37541265884897</v>
      </c>
      <c r="AH338" s="234">
        <f t="shared" si="17"/>
        <v>-16.402997376198751</v>
      </c>
      <c r="AI338" s="234">
        <f t="shared" si="15"/>
        <v>548.97241528265022</v>
      </c>
      <c r="AJ338" s="170"/>
      <c r="AK338" s="170"/>
      <c r="AL338" s="170"/>
      <c r="AM338" s="170"/>
      <c r="AN338" s="170"/>
      <c r="AO338" s="234"/>
    </row>
    <row r="339" spans="1:41" x14ac:dyDescent="0.25">
      <c r="A339" s="274">
        <v>2397</v>
      </c>
      <c r="B339" s="274">
        <v>1</v>
      </c>
      <c r="C339" s="275" t="s">
        <v>372</v>
      </c>
      <c r="D339" s="276">
        <v>5</v>
      </c>
      <c r="E339" s="272">
        <v>8034108</v>
      </c>
      <c r="F339" s="273">
        <v>506364775</v>
      </c>
      <c r="G339" s="234">
        <v>992911.22088235291</v>
      </c>
      <c r="H339" s="234">
        <v>1592193.1021853453</v>
      </c>
      <c r="I339" s="174">
        <v>2585104.3230676982</v>
      </c>
      <c r="J339" s="234">
        <v>869878.19262070442</v>
      </c>
      <c r="K339" s="234">
        <v>1650293.7195384928</v>
      </c>
      <c r="L339" s="175">
        <v>2520171.912159197</v>
      </c>
      <c r="M339" s="235">
        <v>-123033.02826164849</v>
      </c>
      <c r="N339" s="236">
        <v>58100.617353147594</v>
      </c>
      <c r="O339" s="175">
        <v>-64932.41090850113</v>
      </c>
      <c r="P339" s="237">
        <v>-2.5117907362224738E-2</v>
      </c>
      <c r="Q339" s="238">
        <v>0.19817920075076725</v>
      </c>
      <c r="R339" s="239">
        <v>1.9608615565376818E-3</v>
      </c>
      <c r="S339" s="240">
        <v>0.20541094537669805</v>
      </c>
      <c r="T339" s="239">
        <v>1.7178884384694895E-3</v>
      </c>
      <c r="U339" s="241">
        <v>7.2317446259307916E-3</v>
      </c>
      <c r="V339" s="242">
        <v>-2.4297311806819222E-4</v>
      </c>
      <c r="W339" s="243">
        <v>250.22105886791877</v>
      </c>
      <c r="X339" s="244">
        <v>196.08615565376817</v>
      </c>
      <c r="Y339" s="245">
        <v>446.30721452168694</v>
      </c>
      <c r="Z339" s="246">
        <v>259.35185963261898</v>
      </c>
      <c r="AA339" s="244">
        <v>171.78884384694896</v>
      </c>
      <c r="AB339" s="245">
        <v>431.14070347956795</v>
      </c>
      <c r="AC339" s="247">
        <v>9.1308007647002114</v>
      </c>
      <c r="AD339" s="247">
        <v>-24.297311806819209</v>
      </c>
      <c r="AE339" s="248">
        <v>-15.166511042118998</v>
      </c>
      <c r="AF339" s="234">
        <f>-SUMIF('[1]Alt Fac'!$A$18:$A$139,'REPORT 4 - PROPERTY TAX'!A339,'[1]Alt Fac'!$U$18:$U$139)</f>
        <v>0</v>
      </c>
      <c r="AG339" s="247">
        <f t="shared" si="16"/>
        <v>544.35029234857097</v>
      </c>
      <c r="AH339" s="234">
        <f t="shared" si="17"/>
        <v>-27.315166945528617</v>
      </c>
      <c r="AI339" s="234">
        <f t="shared" si="15"/>
        <v>517.03512540304234</v>
      </c>
      <c r="AJ339" s="170"/>
      <c r="AK339" s="170"/>
      <c r="AL339" s="170"/>
      <c r="AM339" s="170"/>
      <c r="AN339" s="170"/>
      <c r="AO339" s="234"/>
    </row>
    <row r="340" spans="1:41" x14ac:dyDescent="0.25">
      <c r="A340" s="274">
        <v>2448</v>
      </c>
      <c r="B340" s="274">
        <v>1</v>
      </c>
      <c r="C340" s="275" t="s">
        <v>474</v>
      </c>
      <c r="D340" s="276">
        <v>6</v>
      </c>
      <c r="E340" s="272">
        <v>9879970</v>
      </c>
      <c r="F340" s="273">
        <v>263305215</v>
      </c>
      <c r="G340" s="234">
        <v>1047618.4700000001</v>
      </c>
      <c r="H340" s="234">
        <v>591373.38679999998</v>
      </c>
      <c r="I340" s="174">
        <v>1638991.8568000002</v>
      </c>
      <c r="J340" s="234">
        <v>797967.96899723506</v>
      </c>
      <c r="K340" s="234">
        <v>747287.42464074725</v>
      </c>
      <c r="L340" s="175">
        <v>1545255.3936379822</v>
      </c>
      <c r="M340" s="235">
        <v>-249650.50100276503</v>
      </c>
      <c r="N340" s="236">
        <v>155914.03784074727</v>
      </c>
      <c r="O340" s="175">
        <v>-93736.463162017986</v>
      </c>
      <c r="P340" s="237">
        <v>-5.7191536842062712E-2</v>
      </c>
      <c r="Q340" s="238">
        <v>5.9855787699760223E-2</v>
      </c>
      <c r="R340" s="239">
        <v>3.9787228293218582E-3</v>
      </c>
      <c r="S340" s="240">
        <v>7.5636608678037204E-2</v>
      </c>
      <c r="T340" s="239">
        <v>3.0305817110277706E-3</v>
      </c>
      <c r="U340" s="241">
        <v>1.5780820978276981E-2</v>
      </c>
      <c r="V340" s="242">
        <v>-9.4814111829408763E-4</v>
      </c>
      <c r="W340" s="243">
        <v>75.573917549717265</v>
      </c>
      <c r="X340" s="244">
        <v>397.87228293218584</v>
      </c>
      <c r="Y340" s="245">
        <v>473.44620048190313</v>
      </c>
      <c r="Z340" s="246">
        <v>95.498782116889785</v>
      </c>
      <c r="AA340" s="244">
        <v>303.05817110277707</v>
      </c>
      <c r="AB340" s="245">
        <v>398.55695321966687</v>
      </c>
      <c r="AC340" s="247">
        <v>19.92486456717252</v>
      </c>
      <c r="AD340" s="247">
        <v>-94.814111829408773</v>
      </c>
      <c r="AE340" s="248">
        <v>-74.889247262236267</v>
      </c>
      <c r="AF340" s="234">
        <f>-SUMIF('[1]Alt Fac'!$A$18:$A$139,'REPORT 4 - PROPERTY TAX'!A340,'[1]Alt Fac'!$U$18:$U$139)</f>
        <v>0</v>
      </c>
      <c r="AG340" s="247">
        <f t="shared" si="16"/>
        <v>672.382341947996</v>
      </c>
      <c r="AH340" s="234">
        <f t="shared" si="17"/>
        <v>-122.29630317694061</v>
      </c>
      <c r="AI340" s="234">
        <f t="shared" si="15"/>
        <v>550.08603877105543</v>
      </c>
      <c r="AJ340" s="170"/>
      <c r="AK340" s="170"/>
      <c r="AL340" s="170"/>
      <c r="AM340" s="170"/>
      <c r="AN340" s="170"/>
      <c r="AO340" s="234"/>
    </row>
    <row r="341" spans="1:41" x14ac:dyDescent="0.25">
      <c r="A341" s="274">
        <v>2527</v>
      </c>
      <c r="B341" s="274">
        <v>1</v>
      </c>
      <c r="C341" s="275" t="s">
        <v>533</v>
      </c>
      <c r="D341" s="276">
        <v>6</v>
      </c>
      <c r="E341" s="272">
        <v>3286561</v>
      </c>
      <c r="F341" s="273">
        <v>51078230</v>
      </c>
      <c r="G341" s="234">
        <v>257762.03414030842</v>
      </c>
      <c r="H341" s="234">
        <v>155810.92801775734</v>
      </c>
      <c r="I341" s="174">
        <v>413572.96215806575</v>
      </c>
      <c r="J341" s="234">
        <v>177216.19487256219</v>
      </c>
      <c r="K341" s="234">
        <v>198594.62690117673</v>
      </c>
      <c r="L341" s="175">
        <v>375810.82177373895</v>
      </c>
      <c r="M341" s="235">
        <v>-80545.839267746225</v>
      </c>
      <c r="N341" s="236">
        <v>42783.698883419391</v>
      </c>
      <c r="O341" s="175">
        <v>-37762.140384326805</v>
      </c>
      <c r="P341" s="237">
        <v>-9.1307082037665424E-2</v>
      </c>
      <c r="Q341" s="238">
        <v>4.7408500258403034E-2</v>
      </c>
      <c r="R341" s="239">
        <v>5.0464167247046034E-3</v>
      </c>
      <c r="S341" s="240">
        <v>6.0426271382510999E-2</v>
      </c>
      <c r="T341" s="239">
        <v>3.4695054012749108E-3</v>
      </c>
      <c r="U341" s="241">
        <v>1.3017771124107964E-2</v>
      </c>
      <c r="V341" s="242">
        <v>-1.5769113234296926E-3</v>
      </c>
      <c r="W341" s="243">
        <v>59.857972426259678</v>
      </c>
      <c r="X341" s="244">
        <v>504.64167247046032</v>
      </c>
      <c r="Y341" s="245">
        <v>564.49964489672004</v>
      </c>
      <c r="Z341" s="246">
        <v>76.294210247558397</v>
      </c>
      <c r="AA341" s="244">
        <v>346.95054012749108</v>
      </c>
      <c r="AB341" s="245">
        <v>423.24475037504948</v>
      </c>
      <c r="AC341" s="247">
        <v>16.436237821298718</v>
      </c>
      <c r="AD341" s="247">
        <v>-157.69113234296924</v>
      </c>
      <c r="AE341" s="248">
        <v>-141.25489452167056</v>
      </c>
      <c r="AF341" s="234">
        <f>-SUMIF('[1]Alt Fac'!$A$18:$A$139,'REPORT 4 - PROPERTY TAX'!A341,'[1]Alt Fac'!$U$18:$U$139)</f>
        <v>0</v>
      </c>
      <c r="AG341" s="247">
        <f t="shared" si="16"/>
        <v>816.82048113195026</v>
      </c>
      <c r="AH341" s="234">
        <f t="shared" si="17"/>
        <v>-220.10046069315518</v>
      </c>
      <c r="AI341" s="234">
        <f t="shared" si="15"/>
        <v>596.72002043879502</v>
      </c>
      <c r="AJ341" s="170"/>
      <c r="AK341" s="170"/>
      <c r="AL341" s="170"/>
      <c r="AM341" s="170"/>
      <c r="AN341" s="170"/>
      <c r="AO341" s="234"/>
    </row>
    <row r="342" spans="1:41" x14ac:dyDescent="0.25">
      <c r="A342" s="274">
        <v>2534</v>
      </c>
      <c r="B342" s="274">
        <v>1</v>
      </c>
      <c r="C342" s="275" t="s">
        <v>541</v>
      </c>
      <c r="D342" s="276">
        <v>6</v>
      </c>
      <c r="E342" s="272">
        <v>9111533</v>
      </c>
      <c r="F342" s="273">
        <v>259677035</v>
      </c>
      <c r="G342" s="234">
        <v>438204.1826470588</v>
      </c>
      <c r="H342" s="234">
        <v>728859.70280000009</v>
      </c>
      <c r="I342" s="174">
        <v>1167063.8854470588</v>
      </c>
      <c r="J342" s="234">
        <v>380403.67697236629</v>
      </c>
      <c r="K342" s="234">
        <v>868130.7329187924</v>
      </c>
      <c r="L342" s="175">
        <v>1248534.4098911588</v>
      </c>
      <c r="M342" s="235">
        <v>-57800.505674692511</v>
      </c>
      <c r="N342" s="236">
        <v>139271.03011879232</v>
      </c>
      <c r="O342" s="175">
        <v>81470.524444099981</v>
      </c>
      <c r="P342" s="237">
        <v>6.9808110301426765E-2</v>
      </c>
      <c r="Q342" s="238">
        <v>7.9993092578383912E-2</v>
      </c>
      <c r="R342" s="239">
        <v>1.6874968656626058E-3</v>
      </c>
      <c r="S342" s="240">
        <v>9.5278229571115244E-2</v>
      </c>
      <c r="T342" s="239">
        <v>1.4649107379571178E-3</v>
      </c>
      <c r="U342" s="241">
        <v>1.5285136992731332E-2</v>
      </c>
      <c r="V342" s="242">
        <v>-2.2258612770548799E-4</v>
      </c>
      <c r="W342" s="243">
        <v>100.99927868946754</v>
      </c>
      <c r="X342" s="244">
        <v>168.74968656626058</v>
      </c>
      <c r="Y342" s="245">
        <v>269.74896525572814</v>
      </c>
      <c r="Z342" s="246">
        <v>120.29829265649012</v>
      </c>
      <c r="AA342" s="244">
        <v>146.49107379571177</v>
      </c>
      <c r="AB342" s="245">
        <v>266.78936645220188</v>
      </c>
      <c r="AC342" s="247">
        <v>19.299013967022574</v>
      </c>
      <c r="AD342" s="247">
        <v>-22.258612770548808</v>
      </c>
      <c r="AE342" s="248">
        <v>-2.9595988035262621</v>
      </c>
      <c r="AF342" s="234">
        <f>-SUMIF('[1]Alt Fac'!$A$18:$A$139,'REPORT 4 - PROPERTY TAX'!A342,'[1]Alt Fac'!$U$18:$U$139)</f>
        <v>0</v>
      </c>
      <c r="AG342" s="247">
        <f t="shared" si="16"/>
        <v>354.12380853885838</v>
      </c>
      <c r="AH342" s="234">
        <f t="shared" si="17"/>
        <v>-14.088905188800616</v>
      </c>
      <c r="AI342" s="234">
        <f t="shared" si="15"/>
        <v>340.03490335005779</v>
      </c>
      <c r="AJ342" s="170"/>
      <c r="AK342" s="170"/>
      <c r="AL342" s="170"/>
      <c r="AM342" s="170"/>
      <c r="AN342" s="170"/>
      <c r="AO342" s="234"/>
    </row>
    <row r="343" spans="1:41" x14ac:dyDescent="0.25">
      <c r="A343" s="274">
        <v>2536</v>
      </c>
      <c r="B343" s="274">
        <v>1</v>
      </c>
      <c r="C343" s="275" t="s">
        <v>555</v>
      </c>
      <c r="D343" s="276">
        <v>6</v>
      </c>
      <c r="E343" s="272">
        <v>5245807</v>
      </c>
      <c r="F343" s="273">
        <v>75520545</v>
      </c>
      <c r="G343" s="234">
        <v>639461.23604892113</v>
      </c>
      <c r="H343" s="234">
        <v>348750.69800000003</v>
      </c>
      <c r="I343" s="174">
        <v>988211.9340489211</v>
      </c>
      <c r="J343" s="234">
        <v>620288.72183824657</v>
      </c>
      <c r="K343" s="234">
        <v>451958.12738211802</v>
      </c>
      <c r="L343" s="175">
        <v>1072246.8492203646</v>
      </c>
      <c r="M343" s="235">
        <v>-19172.514210674562</v>
      </c>
      <c r="N343" s="236">
        <v>103207.42938211799</v>
      </c>
      <c r="O343" s="175">
        <v>84034.915171443485</v>
      </c>
      <c r="P343" s="237">
        <v>8.5037340954924517E-2</v>
      </c>
      <c r="Q343" s="238">
        <v>6.6481801179494412E-2</v>
      </c>
      <c r="R343" s="239">
        <v>8.46738110866283E-3</v>
      </c>
      <c r="S343" s="240">
        <v>8.6156072341608839E-2</v>
      </c>
      <c r="T343" s="239">
        <v>8.2135096064024238E-3</v>
      </c>
      <c r="U343" s="241">
        <v>1.9674271162114426E-2</v>
      </c>
      <c r="V343" s="242">
        <v>-2.5387150226040614E-4</v>
      </c>
      <c r="W343" s="243">
        <v>83.939922169229661</v>
      </c>
      <c r="X343" s="244">
        <v>846.73811086628302</v>
      </c>
      <c r="Y343" s="245">
        <v>930.67803303551273</v>
      </c>
      <c r="Z343" s="246">
        <v>108.78065693851534</v>
      </c>
      <c r="AA343" s="244">
        <v>821.35096064024242</v>
      </c>
      <c r="AB343" s="245">
        <v>930.13161757875775</v>
      </c>
      <c r="AC343" s="247">
        <v>24.840734769285675</v>
      </c>
      <c r="AD343" s="247">
        <v>-25.387150226040603</v>
      </c>
      <c r="AE343" s="248">
        <v>-0.54641545675497127</v>
      </c>
      <c r="AF343" s="234">
        <f>-SUMIF('[1]Alt Fac'!$A$18:$A$139,'REPORT 4 - PROPERTY TAX'!A343,'[1]Alt Fac'!$U$18:$U$139)</f>
        <v>0</v>
      </c>
      <c r="AG343" s="247">
        <f t="shared" si="16"/>
        <v>1354.0470884686542</v>
      </c>
      <c r="AH343" s="234">
        <f t="shared" si="17"/>
        <v>-13.239990569775241</v>
      </c>
      <c r="AI343" s="234">
        <f t="shared" si="15"/>
        <v>1340.807097898879</v>
      </c>
      <c r="AJ343" s="170"/>
      <c r="AK343" s="170"/>
      <c r="AL343" s="170"/>
      <c r="AM343" s="170"/>
      <c r="AN343" s="170"/>
      <c r="AO343" s="234"/>
    </row>
    <row r="344" spans="1:41" x14ac:dyDescent="0.25">
      <c r="A344" s="274">
        <v>2580</v>
      </c>
      <c r="B344" s="274">
        <v>1</v>
      </c>
      <c r="C344" s="275" t="s">
        <v>659</v>
      </c>
      <c r="D344" s="276">
        <v>6</v>
      </c>
      <c r="E344" s="272">
        <v>5737688</v>
      </c>
      <c r="F344" s="273">
        <v>290210051</v>
      </c>
      <c r="G344" s="234">
        <v>173892.66773109243</v>
      </c>
      <c r="H344" s="234">
        <v>1893821.7890023792</v>
      </c>
      <c r="I344" s="174">
        <v>2067714.4567334717</v>
      </c>
      <c r="J344" s="234">
        <v>233742.31866917177</v>
      </c>
      <c r="K344" s="234">
        <v>1903836.5445415564</v>
      </c>
      <c r="L344" s="175">
        <v>2137578.8632107284</v>
      </c>
      <c r="M344" s="235">
        <v>59849.650938079343</v>
      </c>
      <c r="N344" s="236">
        <v>10014.755539177218</v>
      </c>
      <c r="O344" s="175">
        <v>69864.406477256678</v>
      </c>
      <c r="P344" s="237">
        <v>3.3788227503920867E-2</v>
      </c>
      <c r="Q344" s="238">
        <v>0.33006705645242113</v>
      </c>
      <c r="R344" s="239">
        <v>5.9919588288516045E-4</v>
      </c>
      <c r="S344" s="240">
        <v>0.33181249042150018</v>
      </c>
      <c r="T344" s="239">
        <v>8.0542461525280455E-4</v>
      </c>
      <c r="U344" s="241">
        <v>1.7454339690790577E-3</v>
      </c>
      <c r="V344" s="242">
        <v>2.062287323676441E-4</v>
      </c>
      <c r="W344" s="243">
        <v>416.74266547682697</v>
      </c>
      <c r="X344" s="244">
        <v>59.919588288516046</v>
      </c>
      <c r="Y344" s="245">
        <v>476.662253765343</v>
      </c>
      <c r="Z344" s="246">
        <v>418.94645040618616</v>
      </c>
      <c r="AA344" s="244">
        <v>80.542461525280459</v>
      </c>
      <c r="AB344" s="245">
        <v>499.48891193146665</v>
      </c>
      <c r="AC344" s="247">
        <v>2.2037849293591876</v>
      </c>
      <c r="AD344" s="247">
        <v>20.622873236764413</v>
      </c>
      <c r="AE344" s="248">
        <v>22.82665816612365</v>
      </c>
      <c r="AF344" s="234">
        <f>-SUMIF('[1]Alt Fac'!$A$18:$A$139,'REPORT 4 - PROPERTY TAX'!A344,'[1]Alt Fac'!$U$18:$U$139)</f>
        <v>0</v>
      </c>
      <c r="AG344" s="247">
        <f t="shared" si="16"/>
        <v>506.62204790960106</v>
      </c>
      <c r="AH344" s="234">
        <f t="shared" si="17"/>
        <v>33.138094784505832</v>
      </c>
      <c r="AI344" s="234">
        <f t="shared" si="15"/>
        <v>539.76014269410689</v>
      </c>
      <c r="AJ344" s="170"/>
      <c r="AK344" s="170"/>
      <c r="AL344" s="170"/>
      <c r="AM344" s="170"/>
      <c r="AN344" s="170"/>
      <c r="AO344" s="234"/>
    </row>
    <row r="345" spans="1:41" x14ac:dyDescent="0.25">
      <c r="A345" s="274">
        <v>2609</v>
      </c>
      <c r="B345" s="274">
        <v>1</v>
      </c>
      <c r="C345" s="275" t="s">
        <v>590</v>
      </c>
      <c r="D345" s="276">
        <v>6</v>
      </c>
      <c r="E345" s="272">
        <v>3737902</v>
      </c>
      <c r="F345" s="273">
        <v>164511500</v>
      </c>
      <c r="G345" s="234">
        <v>367382.82647058816</v>
      </c>
      <c r="H345" s="234">
        <v>744046.42078466108</v>
      </c>
      <c r="I345" s="174">
        <v>1111429.2472552492</v>
      </c>
      <c r="J345" s="234">
        <v>317203.29277212545</v>
      </c>
      <c r="K345" s="234">
        <v>781671.41747482016</v>
      </c>
      <c r="L345" s="175">
        <v>1098874.7102469457</v>
      </c>
      <c r="M345" s="235">
        <v>-50179.533698462707</v>
      </c>
      <c r="N345" s="236">
        <v>37624.996690159081</v>
      </c>
      <c r="O345" s="175">
        <v>-12554.53700830345</v>
      </c>
      <c r="P345" s="237">
        <v>-1.1295849051397326E-2</v>
      </c>
      <c r="Q345" s="238">
        <v>0.19905455541227701</v>
      </c>
      <c r="R345" s="239">
        <v>2.2331741335443914E-3</v>
      </c>
      <c r="S345" s="240">
        <v>0.20912036149551813</v>
      </c>
      <c r="T345" s="239">
        <v>1.928152699185926E-3</v>
      </c>
      <c r="U345" s="241">
        <v>1.0065806083241119E-2</v>
      </c>
      <c r="V345" s="242">
        <v>-3.0502143435846537E-4</v>
      </c>
      <c r="W345" s="243">
        <v>251.32628166354098</v>
      </c>
      <c r="X345" s="244">
        <v>223.31741335443914</v>
      </c>
      <c r="Y345" s="245">
        <v>474.64369501798012</v>
      </c>
      <c r="Z345" s="246">
        <v>264.0353684242412</v>
      </c>
      <c r="AA345" s="244">
        <v>192.81526991859261</v>
      </c>
      <c r="AB345" s="245">
        <v>456.8506383428338</v>
      </c>
      <c r="AC345" s="247">
        <v>12.709086760700217</v>
      </c>
      <c r="AD345" s="247">
        <v>-30.502143435846534</v>
      </c>
      <c r="AE345" s="248">
        <v>-17.793056675146318</v>
      </c>
      <c r="AF345" s="234">
        <f>-SUMIF('[1]Alt Fac'!$A$18:$A$139,'REPORT 4 - PROPERTY TAX'!A345,'[1]Alt Fac'!$U$18:$U$139)</f>
        <v>0</v>
      </c>
      <c r="AG345" s="247">
        <f t="shared" si="16"/>
        <v>586.30240169519971</v>
      </c>
      <c r="AH345" s="234">
        <f t="shared" si="17"/>
        <v>-33.04412839306957</v>
      </c>
      <c r="AI345" s="234">
        <f t="shared" si="15"/>
        <v>553.25827330213019</v>
      </c>
      <c r="AJ345" s="170"/>
      <c r="AK345" s="170"/>
      <c r="AL345" s="170"/>
      <c r="AM345" s="170"/>
      <c r="AN345" s="170"/>
      <c r="AO345" s="234"/>
    </row>
    <row r="346" spans="1:41" x14ac:dyDescent="0.25">
      <c r="A346" s="274">
        <v>2683</v>
      </c>
      <c r="B346" s="274">
        <v>1</v>
      </c>
      <c r="C346" s="275" t="s">
        <v>507</v>
      </c>
      <c r="D346" s="276">
        <v>6</v>
      </c>
      <c r="E346" s="272">
        <v>1786732</v>
      </c>
      <c r="F346" s="273">
        <v>78412131</v>
      </c>
      <c r="G346" s="234">
        <v>255673.36285294109</v>
      </c>
      <c r="H346" s="234">
        <v>173875.33008374009</v>
      </c>
      <c r="I346" s="174">
        <v>429548.69293668121</v>
      </c>
      <c r="J346" s="234">
        <v>188988.95260351792</v>
      </c>
      <c r="K346" s="234">
        <v>163348.76961363363</v>
      </c>
      <c r="L346" s="175">
        <v>352337.72221715155</v>
      </c>
      <c r="M346" s="235">
        <v>-66684.410249423177</v>
      </c>
      <c r="N346" s="236">
        <v>-10526.560470106459</v>
      </c>
      <c r="O346" s="175">
        <v>-77210.970719529665</v>
      </c>
      <c r="P346" s="237">
        <v>-0.17974905287608722</v>
      </c>
      <c r="Q346" s="238">
        <v>9.731472323982561E-2</v>
      </c>
      <c r="R346" s="239">
        <v>3.2606353072197605E-3</v>
      </c>
      <c r="S346" s="240">
        <v>9.1423207069461804E-2</v>
      </c>
      <c r="T346" s="239">
        <v>2.4102004395661421E-3</v>
      </c>
      <c r="U346" s="241">
        <v>-5.8915161703638058E-3</v>
      </c>
      <c r="V346" s="242">
        <v>-8.504348676536184E-4</v>
      </c>
      <c r="W346" s="243">
        <v>122.86956956260383</v>
      </c>
      <c r="X346" s="244">
        <v>326.06353072197606</v>
      </c>
      <c r="Y346" s="245">
        <v>448.93310028457989</v>
      </c>
      <c r="Z346" s="246">
        <v>115.43094124590249</v>
      </c>
      <c r="AA346" s="244">
        <v>241.02004395661422</v>
      </c>
      <c r="AB346" s="245">
        <v>356.45098520251668</v>
      </c>
      <c r="AC346" s="247">
        <v>-7.4386283167013403</v>
      </c>
      <c r="AD346" s="247">
        <v>-85.043486765361848</v>
      </c>
      <c r="AE346" s="248">
        <v>-92.482115082063217</v>
      </c>
      <c r="AF346" s="234">
        <f>-SUMIF('[1]Alt Fac'!$A$18:$A$139,'REPORT 4 - PROPERTY TAX'!A346,'[1]Alt Fac'!$U$18:$U$139)</f>
        <v>0</v>
      </c>
      <c r="AG346" s="247">
        <f t="shared" si="16"/>
        <v>611.9648656455679</v>
      </c>
      <c r="AH346" s="234">
        <f t="shared" si="17"/>
        <v>-135.0038584647441</v>
      </c>
      <c r="AI346" s="234">
        <f t="shared" si="15"/>
        <v>476.9610071808238</v>
      </c>
      <c r="AJ346" s="170"/>
      <c r="AK346" s="170"/>
      <c r="AL346" s="170"/>
      <c r="AM346" s="170"/>
      <c r="AN346" s="170"/>
      <c r="AO346" s="234"/>
    </row>
    <row r="347" spans="1:41" x14ac:dyDescent="0.25">
      <c r="A347" s="274">
        <v>2687</v>
      </c>
      <c r="B347" s="274">
        <v>1</v>
      </c>
      <c r="C347" s="275" t="s">
        <v>402</v>
      </c>
      <c r="D347" s="276">
        <v>5</v>
      </c>
      <c r="E347" s="272">
        <v>7209037</v>
      </c>
      <c r="F347" s="273">
        <v>608377100</v>
      </c>
      <c r="G347" s="234">
        <v>831391.50102096004</v>
      </c>
      <c r="H347" s="234">
        <v>2437628.08649089</v>
      </c>
      <c r="I347" s="174">
        <v>3269019.5875118501</v>
      </c>
      <c r="J347" s="234">
        <v>845595.48849061213</v>
      </c>
      <c r="K347" s="234">
        <v>2475512.402597955</v>
      </c>
      <c r="L347" s="175">
        <v>3321107.8910885672</v>
      </c>
      <c r="M347" s="235">
        <v>14203.987469652086</v>
      </c>
      <c r="N347" s="236">
        <v>37884.316107064951</v>
      </c>
      <c r="O347" s="175">
        <v>52088.303576717153</v>
      </c>
      <c r="P347" s="237">
        <v>1.593392213852201E-2</v>
      </c>
      <c r="Q347" s="238">
        <v>0.33813505000610899</v>
      </c>
      <c r="R347" s="239">
        <v>1.3665726422328521E-3</v>
      </c>
      <c r="S347" s="240">
        <v>0.34339016467774475</v>
      </c>
      <c r="T347" s="239">
        <v>1.3899199830016812E-3</v>
      </c>
      <c r="U347" s="241">
        <v>5.2551146716357522E-3</v>
      </c>
      <c r="V347" s="242">
        <v>2.3347340768829121E-5</v>
      </c>
      <c r="W347" s="243">
        <v>426.92931413771328</v>
      </c>
      <c r="X347" s="244">
        <v>136.65726422328521</v>
      </c>
      <c r="Y347" s="245">
        <v>563.58657836099849</v>
      </c>
      <c r="Z347" s="246">
        <v>433.56442192212057</v>
      </c>
      <c r="AA347" s="244">
        <v>138.99199830016812</v>
      </c>
      <c r="AB347" s="245">
        <v>572.55642022228869</v>
      </c>
      <c r="AC347" s="247">
        <v>6.6351077844072961</v>
      </c>
      <c r="AD347" s="247">
        <v>2.3347340768829099</v>
      </c>
      <c r="AE347" s="248">
        <v>8.969841861290206</v>
      </c>
      <c r="AF347" s="234">
        <f>-SUMIF('[1]Alt Fac'!$A$18:$A$139,'REPORT 4 - PROPERTY TAX'!A347,'[1]Alt Fac'!$U$18:$U$139)</f>
        <v>0</v>
      </c>
      <c r="AG347" s="247">
        <f t="shared" si="16"/>
        <v>631.91521047264109</v>
      </c>
      <c r="AH347" s="234">
        <f t="shared" si="17"/>
        <v>10.13720889973167</v>
      </c>
      <c r="AI347" s="234">
        <f t="shared" si="15"/>
        <v>642.05241937237281</v>
      </c>
      <c r="AJ347" s="170"/>
      <c r="AK347" s="170"/>
      <c r="AL347" s="170"/>
      <c r="AM347" s="170"/>
      <c r="AN347" s="170"/>
      <c r="AO347" s="234"/>
    </row>
    <row r="348" spans="1:41" x14ac:dyDescent="0.25">
      <c r="A348" s="274">
        <v>2689</v>
      </c>
      <c r="B348" s="274">
        <v>1</v>
      </c>
      <c r="C348" s="275" t="s">
        <v>434</v>
      </c>
      <c r="D348" s="276">
        <v>5</v>
      </c>
      <c r="E348" s="272">
        <v>11622136</v>
      </c>
      <c r="F348" s="273">
        <v>281636940</v>
      </c>
      <c r="G348" s="234">
        <v>858060.89836601308</v>
      </c>
      <c r="H348" s="234">
        <v>1981559.2474990478</v>
      </c>
      <c r="I348" s="174">
        <v>2839620.1458650609</v>
      </c>
      <c r="J348" s="234">
        <v>694008.42105415231</v>
      </c>
      <c r="K348" s="234">
        <v>2156175.0218209992</v>
      </c>
      <c r="L348" s="175">
        <v>2850183.4428751515</v>
      </c>
      <c r="M348" s="235">
        <v>-164052.47731186077</v>
      </c>
      <c r="N348" s="236">
        <v>174615.77432195144</v>
      </c>
      <c r="O348" s="175">
        <v>10563.297010090668</v>
      </c>
      <c r="P348" s="237">
        <v>3.7199683293811358E-3</v>
      </c>
      <c r="Q348" s="238">
        <v>0.17049871447890885</v>
      </c>
      <c r="R348" s="239">
        <v>3.046691596514339E-3</v>
      </c>
      <c r="S348" s="240">
        <v>0.18552312774699928</v>
      </c>
      <c r="T348" s="239">
        <v>2.4641952900573069E-3</v>
      </c>
      <c r="U348" s="241">
        <v>1.5024413268090425E-2</v>
      </c>
      <c r="V348" s="242">
        <v>-5.8249630645703212E-4</v>
      </c>
      <c r="W348" s="243">
        <v>215.27167690107035</v>
      </c>
      <c r="X348" s="244">
        <v>304.66915965143392</v>
      </c>
      <c r="Y348" s="245">
        <v>519.94083655250427</v>
      </c>
      <c r="Z348" s="246">
        <v>234.24150109336131</v>
      </c>
      <c r="AA348" s="244">
        <v>246.41952900573068</v>
      </c>
      <c r="AB348" s="245">
        <v>480.66103009909199</v>
      </c>
      <c r="AC348" s="247">
        <v>18.969824192290957</v>
      </c>
      <c r="AD348" s="247">
        <v>-58.249630645703235</v>
      </c>
      <c r="AE348" s="248">
        <v>-39.279806453412277</v>
      </c>
      <c r="AF348" s="234">
        <f>-SUMIF('[1]Alt Fac'!$A$18:$A$139,'REPORT 4 - PROPERTY TAX'!A348,'[1]Alt Fac'!$U$18:$U$139)</f>
        <v>0</v>
      </c>
      <c r="AG348" s="247">
        <f t="shared" si="16"/>
        <v>672.27541637822128</v>
      </c>
      <c r="AH348" s="234">
        <f t="shared" si="17"/>
        <v>-68.404621776263852</v>
      </c>
      <c r="AI348" s="234">
        <f t="shared" si="15"/>
        <v>603.87079460195741</v>
      </c>
      <c r="AJ348" s="170"/>
      <c r="AK348" s="170"/>
      <c r="AL348" s="170"/>
      <c r="AM348" s="170"/>
      <c r="AN348" s="170"/>
      <c r="AO348" s="234"/>
    </row>
    <row r="349" spans="1:41" x14ac:dyDescent="0.25">
      <c r="A349" s="274">
        <v>2711</v>
      </c>
      <c r="B349" s="274">
        <v>1</v>
      </c>
      <c r="C349" s="275" t="s">
        <v>662</v>
      </c>
      <c r="D349" s="276">
        <v>6</v>
      </c>
      <c r="E349" s="272">
        <v>6255182</v>
      </c>
      <c r="F349" s="273">
        <v>392265295</v>
      </c>
      <c r="G349" s="234">
        <v>115982.62</v>
      </c>
      <c r="H349" s="234">
        <v>1243410.7012505776</v>
      </c>
      <c r="I349" s="174">
        <v>1359393.3212505775</v>
      </c>
      <c r="J349" s="234">
        <v>315940.12799974869</v>
      </c>
      <c r="K349" s="234">
        <v>1161559.1427022002</v>
      </c>
      <c r="L349" s="175">
        <v>1477499.270701949</v>
      </c>
      <c r="M349" s="235">
        <v>199957.50799974869</v>
      </c>
      <c r="N349" s="236">
        <v>-81851.558548377361</v>
      </c>
      <c r="O349" s="175">
        <v>118105.94945137156</v>
      </c>
      <c r="P349" s="237">
        <v>8.6881366566314802E-2</v>
      </c>
      <c r="Q349" s="238">
        <v>0.19878089898112919</v>
      </c>
      <c r="R349" s="239">
        <v>2.9567392649405805E-4</v>
      </c>
      <c r="S349" s="240">
        <v>0.18569549898023754</v>
      </c>
      <c r="T349" s="239">
        <v>8.0542462467843019E-4</v>
      </c>
      <c r="U349" s="241">
        <v>-1.3085400000891645E-2</v>
      </c>
      <c r="V349" s="242">
        <v>5.0975069818437208E-4</v>
      </c>
      <c r="W349" s="243">
        <v>250.98076305357375</v>
      </c>
      <c r="X349" s="244">
        <v>29.567392649405804</v>
      </c>
      <c r="Y349" s="245">
        <v>280.54815570297956</v>
      </c>
      <c r="Z349" s="246">
        <v>234.45913701244794</v>
      </c>
      <c r="AA349" s="244">
        <v>80.542462467843023</v>
      </c>
      <c r="AB349" s="245">
        <v>315.00159948029096</v>
      </c>
      <c r="AC349" s="247">
        <v>-16.521626041125813</v>
      </c>
      <c r="AD349" s="247">
        <v>50.97506981843722</v>
      </c>
      <c r="AE349" s="248">
        <v>34.453443777311406</v>
      </c>
      <c r="AF349" s="234">
        <f>-SUMIF('[1]Alt Fac'!$A$18:$A$139,'REPORT 4 - PROPERTY TAX'!A349,'[1]Alt Fac'!$U$18:$U$139)</f>
        <v>0</v>
      </c>
      <c r="AG349" s="247">
        <f t="shared" si="16"/>
        <v>295.33185202768243</v>
      </c>
      <c r="AH349" s="234">
        <f t="shared" si="17"/>
        <v>59.940978686530023</v>
      </c>
      <c r="AI349" s="234">
        <f t="shared" si="15"/>
        <v>355.27283071421243</v>
      </c>
      <c r="AJ349" s="170"/>
      <c r="AK349" s="170"/>
      <c r="AL349" s="170"/>
      <c r="AM349" s="170"/>
      <c r="AN349" s="170"/>
      <c r="AO349" s="234"/>
    </row>
    <row r="350" spans="1:41" x14ac:dyDescent="0.25">
      <c r="A350" s="274">
        <v>2752</v>
      </c>
      <c r="B350" s="274">
        <v>1</v>
      </c>
      <c r="C350" s="275" t="s">
        <v>393</v>
      </c>
      <c r="D350" s="276">
        <v>5</v>
      </c>
      <c r="E350" s="272">
        <v>11409922</v>
      </c>
      <c r="F350" s="273">
        <v>689936705</v>
      </c>
      <c r="G350" s="234">
        <v>928925.38962184871</v>
      </c>
      <c r="H350" s="234">
        <v>3599387.7475935775</v>
      </c>
      <c r="I350" s="174">
        <v>4528313.1372154262</v>
      </c>
      <c r="J350" s="234">
        <v>827519.60124679108</v>
      </c>
      <c r="K350" s="234">
        <v>3513355.9263469223</v>
      </c>
      <c r="L350" s="175">
        <v>4340875.5275937133</v>
      </c>
      <c r="M350" s="235">
        <v>-101405.78837505763</v>
      </c>
      <c r="N350" s="236">
        <v>-86031.821246655192</v>
      </c>
      <c r="O350" s="175">
        <v>-187437.60962171294</v>
      </c>
      <c r="P350" s="237">
        <v>-4.1392369286761176E-2</v>
      </c>
      <c r="Q350" s="238">
        <v>0.31546120539593325</v>
      </c>
      <c r="R350" s="239">
        <v>1.3463921877034338E-3</v>
      </c>
      <c r="S350" s="240">
        <v>0.30792111693199326</v>
      </c>
      <c r="T350" s="239">
        <v>1.199413794410012E-3</v>
      </c>
      <c r="U350" s="241">
        <v>-7.5400884639399979E-3</v>
      </c>
      <c r="V350" s="242">
        <v>-1.4697839329342178E-4</v>
      </c>
      <c r="W350" s="243">
        <v>398.30131793290536</v>
      </c>
      <c r="X350" s="244">
        <v>134.63921877034338</v>
      </c>
      <c r="Y350" s="245">
        <v>532.94053670324877</v>
      </c>
      <c r="Z350" s="246">
        <v>388.78120223833474</v>
      </c>
      <c r="AA350" s="244">
        <v>119.9413794410012</v>
      </c>
      <c r="AB350" s="245">
        <v>508.72258167933592</v>
      </c>
      <c r="AC350" s="247">
        <v>-9.5201156945706202</v>
      </c>
      <c r="AD350" s="247">
        <v>-14.697839329342173</v>
      </c>
      <c r="AE350" s="248">
        <v>-24.21795502391285</v>
      </c>
      <c r="AF350" s="234">
        <f>-SUMIF('[1]Alt Fac'!$A$18:$A$139,'REPORT 4 - PROPERTY TAX'!A350,'[1]Alt Fac'!$U$18:$U$139)</f>
        <v>0</v>
      </c>
      <c r="AG350" s="247">
        <f t="shared" si="16"/>
        <v>600.26014608842047</v>
      </c>
      <c r="AH350" s="234">
        <f t="shared" si="17"/>
        <v>-31.566874688583908</v>
      </c>
      <c r="AI350" s="234">
        <f t="shared" ref="AI350:AI413" si="18">AG350+AH350</f>
        <v>568.69327139983659</v>
      </c>
      <c r="AJ350" s="170"/>
      <c r="AK350" s="170"/>
      <c r="AL350" s="170"/>
      <c r="AM350" s="170"/>
      <c r="AN350" s="170"/>
      <c r="AO350" s="234"/>
    </row>
    <row r="351" spans="1:41" x14ac:dyDescent="0.25">
      <c r="A351" s="274">
        <v>2753</v>
      </c>
      <c r="B351" s="274">
        <v>1</v>
      </c>
      <c r="C351" s="275" t="s">
        <v>643</v>
      </c>
      <c r="D351" s="276">
        <v>5</v>
      </c>
      <c r="E351" s="272">
        <v>6028430</v>
      </c>
      <c r="F351" s="273">
        <v>393421180</v>
      </c>
      <c r="G351" s="234">
        <v>641257.81882352929</v>
      </c>
      <c r="H351" s="234">
        <v>1364049.3073254903</v>
      </c>
      <c r="I351" s="174">
        <v>2005307.1261490197</v>
      </c>
      <c r="J351" s="234">
        <v>645587.12952951691</v>
      </c>
      <c r="K351" s="234">
        <v>1367646.3603799322</v>
      </c>
      <c r="L351" s="175">
        <v>2013233.4899094491</v>
      </c>
      <c r="M351" s="235">
        <v>4329.3107059876202</v>
      </c>
      <c r="N351" s="236">
        <v>3597.0530544419307</v>
      </c>
      <c r="O351" s="175">
        <v>7926.3637604294345</v>
      </c>
      <c r="P351" s="237">
        <v>3.952693159601531E-3</v>
      </c>
      <c r="Q351" s="238">
        <v>0.22626941132691103</v>
      </c>
      <c r="R351" s="239">
        <v>1.629952456610316E-3</v>
      </c>
      <c r="S351" s="240">
        <v>0.22686609289316326</v>
      </c>
      <c r="T351" s="239">
        <v>1.6409567210629507E-3</v>
      </c>
      <c r="U351" s="241">
        <v>5.9668156625222735E-4</v>
      </c>
      <c r="V351" s="242">
        <v>1.1004264452634709E-5</v>
      </c>
      <c r="W351" s="243">
        <v>285.68775874135792</v>
      </c>
      <c r="X351" s="244">
        <v>162.99524566103159</v>
      </c>
      <c r="Y351" s="245">
        <v>448.68300440238954</v>
      </c>
      <c r="Z351" s="246">
        <v>286.44112888690796</v>
      </c>
      <c r="AA351" s="244">
        <v>164.09567210629507</v>
      </c>
      <c r="AB351" s="245">
        <v>450.53680099320303</v>
      </c>
      <c r="AC351" s="247">
        <v>0.75337014555003634</v>
      </c>
      <c r="AD351" s="247">
        <v>1.10042644526348</v>
      </c>
      <c r="AE351" s="248">
        <v>1.8537965908134879</v>
      </c>
      <c r="AF351" s="234">
        <f>-SUMIF('[1]Alt Fac'!$A$18:$A$139,'REPORT 4 - PROPERTY TAX'!A351,'[1]Alt Fac'!$U$18:$U$139)</f>
        <v>0</v>
      </c>
      <c r="AG351" s="247">
        <f t="shared" si="16"/>
        <v>530.18062723290529</v>
      </c>
      <c r="AH351" s="234">
        <f t="shared" si="17"/>
        <v>2.4040098134452688</v>
      </c>
      <c r="AI351" s="234">
        <f t="shared" si="18"/>
        <v>532.58463704635051</v>
      </c>
      <c r="AJ351" s="170"/>
      <c r="AK351" s="170"/>
      <c r="AL351" s="170"/>
      <c r="AM351" s="170"/>
      <c r="AN351" s="170"/>
      <c r="AO351" s="234"/>
    </row>
    <row r="352" spans="1:41" x14ac:dyDescent="0.25">
      <c r="A352" s="274">
        <v>2754</v>
      </c>
      <c r="B352" s="274">
        <v>1</v>
      </c>
      <c r="C352" s="275" t="s">
        <v>484</v>
      </c>
      <c r="D352" s="276">
        <v>6</v>
      </c>
      <c r="E352" s="272">
        <v>5413138</v>
      </c>
      <c r="F352" s="273">
        <v>86183070</v>
      </c>
      <c r="G352" s="234">
        <v>149624.55882352943</v>
      </c>
      <c r="H352" s="234">
        <v>445522.70712978829</v>
      </c>
      <c r="I352" s="174">
        <v>595147.26595331775</v>
      </c>
      <c r="J352" s="234">
        <v>118051.45678192348</v>
      </c>
      <c r="K352" s="234">
        <v>489461.20705227496</v>
      </c>
      <c r="L352" s="175">
        <v>607512.66383419838</v>
      </c>
      <c r="M352" s="235">
        <v>-31573.102041605947</v>
      </c>
      <c r="N352" s="236">
        <v>43938.499922486662</v>
      </c>
      <c r="O352" s="175">
        <v>12365.397880880628</v>
      </c>
      <c r="P352" s="237">
        <v>2.0777038874695168E-2</v>
      </c>
      <c r="Q352" s="238">
        <v>8.2303962531490665E-2</v>
      </c>
      <c r="R352" s="239">
        <v>1.7361247263938198E-3</v>
      </c>
      <c r="S352" s="240">
        <v>9.0420973389607834E-2</v>
      </c>
      <c r="T352" s="239">
        <v>1.369775488177939E-3</v>
      </c>
      <c r="U352" s="241">
        <v>8.1170108581171685E-3</v>
      </c>
      <c r="V352" s="242">
        <v>-3.663492382158808E-4</v>
      </c>
      <c r="W352" s="243">
        <v>103.91698309226012</v>
      </c>
      <c r="X352" s="244">
        <v>173.61247263938199</v>
      </c>
      <c r="Y352" s="245">
        <v>277.52945573164209</v>
      </c>
      <c r="Z352" s="246">
        <v>114.16552100171886</v>
      </c>
      <c r="AA352" s="244">
        <v>136.97754881779389</v>
      </c>
      <c r="AB352" s="245">
        <v>251.14306981951273</v>
      </c>
      <c r="AC352" s="247">
        <v>10.248537909458733</v>
      </c>
      <c r="AD352" s="247">
        <v>-36.634923821588103</v>
      </c>
      <c r="AE352" s="248">
        <v>-26.386385912129356</v>
      </c>
      <c r="AF352" s="234">
        <f>-SUMIF('[1]Alt Fac'!$A$18:$A$139,'REPORT 4 - PROPERTY TAX'!A352,'[1]Alt Fac'!$U$18:$U$139)</f>
        <v>0</v>
      </c>
      <c r="AG352" s="247">
        <f t="shared" si="16"/>
        <v>364.33569205133307</v>
      </c>
      <c r="AH352" s="234">
        <f t="shared" si="17"/>
        <v>-44.703847822923379</v>
      </c>
      <c r="AI352" s="234">
        <f t="shared" si="18"/>
        <v>319.6318442284097</v>
      </c>
      <c r="AJ352" s="170"/>
      <c r="AK352" s="170"/>
      <c r="AL352" s="170"/>
      <c r="AM352" s="170"/>
      <c r="AN352" s="170"/>
      <c r="AO352" s="234"/>
    </row>
    <row r="353" spans="1:41" x14ac:dyDescent="0.25">
      <c r="A353" s="274">
        <v>2759</v>
      </c>
      <c r="B353" s="274">
        <v>1</v>
      </c>
      <c r="C353" s="275" t="s">
        <v>547</v>
      </c>
      <c r="D353" s="276">
        <v>6</v>
      </c>
      <c r="E353" s="272">
        <v>1450447</v>
      </c>
      <c r="F353" s="273">
        <v>92704245</v>
      </c>
      <c r="G353" s="234">
        <v>185070.87699121507</v>
      </c>
      <c r="H353" s="234">
        <v>183212.32442201144</v>
      </c>
      <c r="I353" s="174">
        <v>368283.20141322655</v>
      </c>
      <c r="J353" s="234">
        <v>184910.48811531364</v>
      </c>
      <c r="K353" s="234">
        <v>166499.91588725452</v>
      </c>
      <c r="L353" s="175">
        <v>351410.40400256816</v>
      </c>
      <c r="M353" s="235">
        <v>-160.38887590143713</v>
      </c>
      <c r="N353" s="236">
        <v>-16712.40853475692</v>
      </c>
      <c r="O353" s="175">
        <v>-16872.797410658386</v>
      </c>
      <c r="P353" s="237">
        <v>-4.5814735361025934E-2</v>
      </c>
      <c r="Q353" s="238">
        <v>0.12631438751089247</v>
      </c>
      <c r="R353" s="239">
        <v>1.9963581709900673E-3</v>
      </c>
      <c r="S353" s="240">
        <v>0.11479214055201915</v>
      </c>
      <c r="T353" s="239">
        <v>1.9946280573809069E-3</v>
      </c>
      <c r="U353" s="241">
        <v>-1.1522246958873314E-2</v>
      </c>
      <c r="V353" s="242">
        <v>-1.730113609160408E-6</v>
      </c>
      <c r="W353" s="243">
        <v>159.48454567125285</v>
      </c>
      <c r="X353" s="244">
        <v>199.63581709900674</v>
      </c>
      <c r="Y353" s="245">
        <v>359.12036277025959</v>
      </c>
      <c r="Z353" s="246">
        <v>144.93655666097939</v>
      </c>
      <c r="AA353" s="244">
        <v>199.46280573809068</v>
      </c>
      <c r="AB353" s="245">
        <v>344.39936239907007</v>
      </c>
      <c r="AC353" s="247">
        <v>-14.547989010273454</v>
      </c>
      <c r="AD353" s="247">
        <v>-0.17301136091606395</v>
      </c>
      <c r="AE353" s="248">
        <v>-14.721000371189518</v>
      </c>
      <c r="AF353" s="234">
        <f>-SUMIF('[1]Alt Fac'!$A$18:$A$139,'REPORT 4 - PROPERTY TAX'!A353,'[1]Alt Fac'!$U$18:$U$139)</f>
        <v>0</v>
      </c>
      <c r="AG353" s="247">
        <f t="shared" si="16"/>
        <v>458.93827131976298</v>
      </c>
      <c r="AH353" s="234">
        <f t="shared" si="17"/>
        <v>-14.807506051647508</v>
      </c>
      <c r="AI353" s="234">
        <f t="shared" si="18"/>
        <v>444.13076526811545</v>
      </c>
      <c r="AJ353" s="170"/>
      <c r="AK353" s="170"/>
      <c r="AL353" s="170"/>
      <c r="AM353" s="170"/>
      <c r="AN353" s="170"/>
      <c r="AO353" s="234"/>
    </row>
    <row r="354" spans="1:41" x14ac:dyDescent="0.25">
      <c r="A354" s="274">
        <v>2805</v>
      </c>
      <c r="B354" s="274">
        <v>1</v>
      </c>
      <c r="C354" s="275" t="s">
        <v>285</v>
      </c>
      <c r="D354" s="276">
        <v>5</v>
      </c>
      <c r="E354" s="272">
        <v>7038443</v>
      </c>
      <c r="F354" s="273">
        <v>505252550</v>
      </c>
      <c r="G354" s="234">
        <v>1166532.2858823529</v>
      </c>
      <c r="H354" s="234">
        <v>1065590.8674650637</v>
      </c>
      <c r="I354" s="174">
        <v>2232123.1533474168</v>
      </c>
      <c r="J354" s="234">
        <v>976012.76346807403</v>
      </c>
      <c r="K354" s="234">
        <v>1020906.0895498665</v>
      </c>
      <c r="L354" s="175">
        <v>1996918.8530179407</v>
      </c>
      <c r="M354" s="235">
        <v>-190519.52241427882</v>
      </c>
      <c r="N354" s="236">
        <v>-44684.777915197192</v>
      </c>
      <c r="O354" s="175">
        <v>-235204.30032947613</v>
      </c>
      <c r="P354" s="237">
        <v>-0.10537245670193</v>
      </c>
      <c r="Q354" s="238">
        <v>0.15139582255124659</v>
      </c>
      <c r="R354" s="239">
        <v>2.3088102887998344E-3</v>
      </c>
      <c r="S354" s="240">
        <v>0.14504714885804523</v>
      </c>
      <c r="T354" s="239">
        <v>1.9317324840182875E-3</v>
      </c>
      <c r="U354" s="241">
        <v>-6.3486736932013565E-3</v>
      </c>
      <c r="V354" s="242">
        <v>-3.7707780478154693E-4</v>
      </c>
      <c r="W354" s="243">
        <v>191.15236555320396</v>
      </c>
      <c r="X354" s="244">
        <v>230.88102887998343</v>
      </c>
      <c r="Y354" s="245">
        <v>422.03339443318737</v>
      </c>
      <c r="Z354" s="246">
        <v>183.13653014816794</v>
      </c>
      <c r="AA354" s="244">
        <v>193.17324840182874</v>
      </c>
      <c r="AB354" s="245">
        <v>376.30977854999668</v>
      </c>
      <c r="AC354" s="247">
        <v>-8.0158354050360288</v>
      </c>
      <c r="AD354" s="247">
        <v>-37.707780478154689</v>
      </c>
      <c r="AE354" s="248">
        <v>-45.723615883190689</v>
      </c>
      <c r="AF354" s="234">
        <f>-SUMIF('[1]Alt Fac'!$A$18:$A$139,'REPORT 4 - PROPERTY TAX'!A354,'[1]Alt Fac'!$U$18:$U$139)</f>
        <v>0</v>
      </c>
      <c r="AG354" s="247">
        <f t="shared" si="16"/>
        <v>537.47390887317908</v>
      </c>
      <c r="AH354" s="234">
        <f t="shared" si="17"/>
        <v>-64.577506122268076</v>
      </c>
      <c r="AI354" s="234">
        <f t="shared" si="18"/>
        <v>472.89640275091102</v>
      </c>
      <c r="AJ354" s="170"/>
      <c r="AK354" s="170"/>
      <c r="AL354" s="170"/>
      <c r="AM354" s="170"/>
      <c r="AN354" s="170"/>
      <c r="AO354" s="234"/>
    </row>
    <row r="355" spans="1:41" x14ac:dyDescent="0.25">
      <c r="A355" s="274">
        <v>2835</v>
      </c>
      <c r="B355" s="274">
        <v>1</v>
      </c>
      <c r="C355" s="275" t="s">
        <v>530</v>
      </c>
      <c r="D355" s="276">
        <v>6</v>
      </c>
      <c r="E355" s="272">
        <v>7329143</v>
      </c>
      <c r="F355" s="273">
        <v>306967175</v>
      </c>
      <c r="G355" s="234">
        <v>1183248.7861764708</v>
      </c>
      <c r="H355" s="234">
        <v>1071867.2</v>
      </c>
      <c r="I355" s="174">
        <v>2255115.9861764708</v>
      </c>
      <c r="J355" s="234">
        <v>1240054.8824388999</v>
      </c>
      <c r="K355" s="234">
        <v>1216130.0098820503</v>
      </c>
      <c r="L355" s="175">
        <v>2456184.8923209505</v>
      </c>
      <c r="M355" s="235">
        <v>56806.096262429142</v>
      </c>
      <c r="N355" s="236">
        <v>144262.80988205038</v>
      </c>
      <c r="O355" s="175">
        <v>201068.90614447976</v>
      </c>
      <c r="P355" s="237">
        <v>8.9161226019859985E-2</v>
      </c>
      <c r="Q355" s="238">
        <v>0.14624727611400132</v>
      </c>
      <c r="R355" s="239">
        <v>3.854642719295543E-3</v>
      </c>
      <c r="S355" s="240">
        <v>0.16593072476305215</v>
      </c>
      <c r="T355" s="239">
        <v>4.039698649990508E-3</v>
      </c>
      <c r="U355" s="241">
        <v>1.9683448649050833E-2</v>
      </c>
      <c r="V355" s="242">
        <v>1.8505593069496505E-4</v>
      </c>
      <c r="W355" s="243">
        <v>184.65181082153808</v>
      </c>
      <c r="X355" s="244">
        <v>385.46427192955429</v>
      </c>
      <c r="Y355" s="245">
        <v>570.11608275109234</v>
      </c>
      <c r="Z355" s="246">
        <v>209.50413308582966</v>
      </c>
      <c r="AA355" s="244">
        <v>403.9698649990508</v>
      </c>
      <c r="AB355" s="245">
        <v>613.47399808488046</v>
      </c>
      <c r="AC355" s="247">
        <v>24.852322264291587</v>
      </c>
      <c r="AD355" s="247">
        <v>18.505593069496513</v>
      </c>
      <c r="AE355" s="248">
        <v>43.357915333788128</v>
      </c>
      <c r="AF355" s="234">
        <f>-SUMIF('[1]Alt Fac'!$A$18:$A$139,'REPORT 4 - PROPERTY TAX'!A355,'[1]Alt Fac'!$U$18:$U$139)</f>
        <v>0</v>
      </c>
      <c r="AG355" s="247">
        <f t="shared" si="16"/>
        <v>762.84821871586951</v>
      </c>
      <c r="AH355" s="234">
        <f t="shared" si="17"/>
        <v>52.610711868536342</v>
      </c>
      <c r="AI355" s="234">
        <f t="shared" si="18"/>
        <v>815.45893058440583</v>
      </c>
      <c r="AJ355" s="170"/>
      <c r="AK355" s="170"/>
      <c r="AL355" s="170"/>
      <c r="AM355" s="170"/>
      <c r="AN355" s="170"/>
      <c r="AO355" s="234"/>
    </row>
    <row r="356" spans="1:41" x14ac:dyDescent="0.25">
      <c r="A356" s="274">
        <v>2853</v>
      </c>
      <c r="B356" s="274">
        <v>1</v>
      </c>
      <c r="C356" s="275" t="s">
        <v>634</v>
      </c>
      <c r="D356" s="276">
        <v>6</v>
      </c>
      <c r="E356" s="272">
        <v>11588802</v>
      </c>
      <c r="F356" s="273">
        <v>238517570</v>
      </c>
      <c r="G356" s="234">
        <v>743963.02531590406</v>
      </c>
      <c r="H356" s="234">
        <v>379443.21799999994</v>
      </c>
      <c r="I356" s="174">
        <v>1123406.2433159039</v>
      </c>
      <c r="J356" s="234">
        <v>615408.75664692535</v>
      </c>
      <c r="K356" s="234">
        <v>635549.41083203093</v>
      </c>
      <c r="L356" s="175">
        <v>1250958.1674789563</v>
      </c>
      <c r="M356" s="235">
        <v>-128554.26866897871</v>
      </c>
      <c r="N356" s="236">
        <v>256106.192832031</v>
      </c>
      <c r="O356" s="175">
        <v>127551.92416305235</v>
      </c>
      <c r="P356" s="237">
        <v>0.11354033763117026</v>
      </c>
      <c r="Q356" s="238">
        <v>3.2742229783544491E-2</v>
      </c>
      <c r="R356" s="239">
        <v>3.119112044097649E-3</v>
      </c>
      <c r="S356" s="240">
        <v>5.4841683448559303E-2</v>
      </c>
      <c r="T356" s="239">
        <v>2.5801401408161477E-3</v>
      </c>
      <c r="U356" s="241">
        <v>2.2099453665014812E-2</v>
      </c>
      <c r="V356" s="242">
        <v>-5.3897190328150131E-4</v>
      </c>
      <c r="W356" s="243">
        <v>41.34033932470328</v>
      </c>
      <c r="X356" s="244">
        <v>311.91120440976488</v>
      </c>
      <c r="Y356" s="245">
        <v>353.25154373446816</v>
      </c>
      <c r="Z356" s="246">
        <v>69.243109522150988</v>
      </c>
      <c r="AA356" s="244">
        <v>258.01401408161479</v>
      </c>
      <c r="AB356" s="245">
        <v>327.25712360376576</v>
      </c>
      <c r="AC356" s="247">
        <v>27.902770197447708</v>
      </c>
      <c r="AD356" s="247">
        <v>-53.897190328150089</v>
      </c>
      <c r="AE356" s="248">
        <v>-25.994420130702395</v>
      </c>
      <c r="AF356" s="234">
        <f>-SUMIF('[1]Alt Fac'!$A$18:$A$139,'REPORT 4 - PROPERTY TAX'!A356,'[1]Alt Fac'!$U$18:$U$139)</f>
        <v>0</v>
      </c>
      <c r="AG356" s="247">
        <f t="shared" si="16"/>
        <v>509.20714593935065</v>
      </c>
      <c r="AH356" s="234">
        <f t="shared" si="17"/>
        <v>-52.943015294777496</v>
      </c>
      <c r="AI356" s="234">
        <f t="shared" si="18"/>
        <v>456.26413064457313</v>
      </c>
      <c r="AJ356" s="170"/>
      <c r="AK356" s="170"/>
      <c r="AL356" s="170"/>
      <c r="AM356" s="170"/>
      <c r="AN356" s="170"/>
      <c r="AO356" s="234"/>
    </row>
    <row r="357" spans="1:41" x14ac:dyDescent="0.25">
      <c r="A357" s="274">
        <v>2854</v>
      </c>
      <c r="B357" s="274">
        <v>1</v>
      </c>
      <c r="C357" s="275" t="s">
        <v>356</v>
      </c>
      <c r="D357" s="276">
        <v>6</v>
      </c>
      <c r="E357" s="272">
        <v>5086184</v>
      </c>
      <c r="F357" s="273">
        <v>93811680</v>
      </c>
      <c r="G357" s="234">
        <v>197318.64157932231</v>
      </c>
      <c r="H357" s="234">
        <v>264742.43422075041</v>
      </c>
      <c r="I357" s="174">
        <v>462061.07580007275</v>
      </c>
      <c r="J357" s="234">
        <v>150541.11117659896</v>
      </c>
      <c r="K357" s="234">
        <v>288820.90632427775</v>
      </c>
      <c r="L357" s="175">
        <v>439362.01750087668</v>
      </c>
      <c r="M357" s="235">
        <v>-46777.530402723351</v>
      </c>
      <c r="N357" s="236">
        <v>24078.47210352734</v>
      </c>
      <c r="O357" s="175">
        <v>-22699.058299196069</v>
      </c>
      <c r="P357" s="237">
        <v>-4.9125666471455019E-2</v>
      </c>
      <c r="Q357" s="238">
        <v>5.2051289182764603E-2</v>
      </c>
      <c r="R357" s="239">
        <v>2.1033483419049983E-3</v>
      </c>
      <c r="S357" s="240">
        <v>5.6785382975582034E-2</v>
      </c>
      <c r="T357" s="239">
        <v>1.6047160777485166E-3</v>
      </c>
      <c r="U357" s="241">
        <v>4.7340937928174315E-3</v>
      </c>
      <c r="V357" s="242">
        <v>-4.9863226415648178E-4</v>
      </c>
      <c r="W357" s="243">
        <v>65.719957722158597</v>
      </c>
      <c r="X357" s="244">
        <v>210.33483419049983</v>
      </c>
      <c r="Y357" s="245">
        <v>276.0547919126584</v>
      </c>
      <c r="Z357" s="246">
        <v>71.697224544969885</v>
      </c>
      <c r="AA357" s="244">
        <v>160.47160777485166</v>
      </c>
      <c r="AB357" s="245">
        <v>232.16883231982155</v>
      </c>
      <c r="AC357" s="247">
        <v>5.9772668228112877</v>
      </c>
      <c r="AD357" s="247">
        <v>-49.863226415648171</v>
      </c>
      <c r="AE357" s="248">
        <v>-43.885959592836855</v>
      </c>
      <c r="AF357" s="234">
        <f>-SUMIF('[1]Alt Fac'!$A$18:$A$139,'REPORT 4 - PROPERTY TAX'!A357,'[1]Alt Fac'!$U$18:$U$139)</f>
        <v>0</v>
      </c>
      <c r="AG357" s="247">
        <f t="shared" si="16"/>
        <v>381.22220900790836</v>
      </c>
      <c r="AH357" s="234">
        <f t="shared" si="17"/>
        <v>-68.817572800660983</v>
      </c>
      <c r="AI357" s="234">
        <f t="shared" si="18"/>
        <v>312.40463620724739</v>
      </c>
      <c r="AJ357" s="170"/>
      <c r="AK357" s="170"/>
      <c r="AL357" s="170"/>
      <c r="AM357" s="170"/>
      <c r="AN357" s="170"/>
      <c r="AO357" s="234"/>
    </row>
    <row r="358" spans="1:41" x14ac:dyDescent="0.25">
      <c r="A358" s="274">
        <v>2856</v>
      </c>
      <c r="B358" s="274">
        <v>1</v>
      </c>
      <c r="C358" s="275" t="s">
        <v>312</v>
      </c>
      <c r="D358" s="276">
        <v>6</v>
      </c>
      <c r="E358" s="272">
        <v>5283712</v>
      </c>
      <c r="F358" s="273">
        <v>115078300</v>
      </c>
      <c r="G358" s="234">
        <v>257808.59</v>
      </c>
      <c r="H358" s="234">
        <v>234299.37799999997</v>
      </c>
      <c r="I358" s="174">
        <v>492107.96799999999</v>
      </c>
      <c r="J358" s="234">
        <v>236297.49253934488</v>
      </c>
      <c r="K358" s="234">
        <v>306401.73192543216</v>
      </c>
      <c r="L358" s="175">
        <v>542699.22446477704</v>
      </c>
      <c r="M358" s="235">
        <v>-21511.097460655117</v>
      </c>
      <c r="N358" s="236">
        <v>72102.353925432195</v>
      </c>
      <c r="O358" s="175">
        <v>50591.256464777049</v>
      </c>
      <c r="P358" s="237">
        <v>0.10280519673434153</v>
      </c>
      <c r="Q358" s="238">
        <v>4.4343707227040376E-2</v>
      </c>
      <c r="R358" s="239">
        <v>2.2402884818423629E-3</v>
      </c>
      <c r="S358" s="240">
        <v>5.79898624159364E-2</v>
      </c>
      <c r="T358" s="239">
        <v>2.0533627324990453E-3</v>
      </c>
      <c r="U358" s="241">
        <v>1.3646155188896024E-2</v>
      </c>
      <c r="V358" s="242">
        <v>-1.8692574934331754E-4</v>
      </c>
      <c r="W358" s="243">
        <v>55.988364744861187</v>
      </c>
      <c r="X358" s="244">
        <v>224.0288481842363</v>
      </c>
      <c r="Y358" s="245">
        <v>280.01721292909747</v>
      </c>
      <c r="Z358" s="246">
        <v>73.218000286361303</v>
      </c>
      <c r="AA358" s="244">
        <v>205.33627324990454</v>
      </c>
      <c r="AB358" s="245">
        <v>278.55427353626584</v>
      </c>
      <c r="AC358" s="247">
        <v>17.229635541500116</v>
      </c>
      <c r="AD358" s="247">
        <v>-18.692574934331759</v>
      </c>
      <c r="AE358" s="248">
        <v>-1.462939392831629</v>
      </c>
      <c r="AF358" s="234">
        <f>-SUMIF('[1]Alt Fac'!$A$18:$A$139,'REPORT 4 - PROPERTY TAX'!A358,'[1]Alt Fac'!$U$18:$U$139)</f>
        <v>0</v>
      </c>
      <c r="AG358" s="247">
        <f t="shared" ref="AG358:AG421" si="19">Q358*AH$23+R358*AH$25</f>
        <v>392.03163702121566</v>
      </c>
      <c r="AH358" s="234">
        <f t="shared" ref="AH358:AH421" si="20">U358*$AH$23+V358*$AH$25</f>
        <v>-10.809226859997509</v>
      </c>
      <c r="AI358" s="234">
        <f t="shared" si="18"/>
        <v>381.22241016121814</v>
      </c>
      <c r="AJ358" s="170"/>
      <c r="AK358" s="170"/>
      <c r="AL358" s="170"/>
      <c r="AM358" s="170"/>
      <c r="AN358" s="170"/>
      <c r="AO358" s="234"/>
    </row>
    <row r="359" spans="1:41" x14ac:dyDescent="0.25">
      <c r="A359" s="274">
        <v>2859</v>
      </c>
      <c r="B359" s="274">
        <v>1</v>
      </c>
      <c r="C359" s="275" t="s">
        <v>660</v>
      </c>
      <c r="D359" s="276">
        <v>5</v>
      </c>
      <c r="E359" s="272">
        <v>11023072</v>
      </c>
      <c r="F359" s="273">
        <v>763299695</v>
      </c>
      <c r="G359" s="234">
        <v>1359993.6214705883</v>
      </c>
      <c r="H359" s="234">
        <v>510054.02609465597</v>
      </c>
      <c r="I359" s="174">
        <v>1870047.6475652442</v>
      </c>
      <c r="J359" s="234">
        <v>1277347.000546589</v>
      </c>
      <c r="K359" s="234">
        <v>577537.97879960481</v>
      </c>
      <c r="L359" s="175">
        <v>1854884.9793461938</v>
      </c>
      <c r="M359" s="235">
        <v>-82646.620923999231</v>
      </c>
      <c r="N359" s="236">
        <v>67483.952704948839</v>
      </c>
      <c r="O359" s="175">
        <v>-15162.668219050393</v>
      </c>
      <c r="P359" s="237">
        <v>-8.1081721306897232E-3</v>
      </c>
      <c r="Q359" s="238">
        <v>4.6271495468291957E-2</v>
      </c>
      <c r="R359" s="239">
        <v>1.7817295491917998E-3</v>
      </c>
      <c r="S359" s="240">
        <v>5.2393559508602035E-2</v>
      </c>
      <c r="T359" s="239">
        <v>1.6734540953099544E-3</v>
      </c>
      <c r="U359" s="241">
        <v>6.1220640403100782E-3</v>
      </c>
      <c r="V359" s="242">
        <v>-1.0827545388184543E-4</v>
      </c>
      <c r="W359" s="243">
        <v>58.422390178265431</v>
      </c>
      <c r="X359" s="244">
        <v>178.17295491917997</v>
      </c>
      <c r="Y359" s="245">
        <v>236.5953450974454</v>
      </c>
      <c r="Z359" s="246">
        <v>66.152108235560931</v>
      </c>
      <c r="AA359" s="244">
        <v>167.34540953099543</v>
      </c>
      <c r="AB359" s="245">
        <v>233.49751776655637</v>
      </c>
      <c r="AC359" s="247">
        <v>7.7297180572955</v>
      </c>
      <c r="AD359" s="247">
        <v>-10.827545388184546</v>
      </c>
      <c r="AE359" s="248">
        <v>-3.0978273308890323</v>
      </c>
      <c r="AF359" s="234">
        <f>-SUMIF('[1]Alt Fac'!$A$18:$A$139,'REPORT 4 - PROPERTY TAX'!A359,'[1]Alt Fac'!$U$18:$U$139)</f>
        <v>0</v>
      </c>
      <c r="AG359" s="247">
        <f t="shared" si="19"/>
        <v>325.68182255703539</v>
      </c>
      <c r="AH359" s="234">
        <f t="shared" si="20"/>
        <v>-8.5116000249813073</v>
      </c>
      <c r="AI359" s="234">
        <f t="shared" si="18"/>
        <v>317.17022253205408</v>
      </c>
      <c r="AJ359" s="170"/>
      <c r="AK359" s="170"/>
      <c r="AL359" s="170"/>
      <c r="AM359" s="170"/>
      <c r="AN359" s="170"/>
      <c r="AO359" s="234"/>
    </row>
    <row r="360" spans="1:41" x14ac:dyDescent="0.25">
      <c r="A360" s="274">
        <v>2860</v>
      </c>
      <c r="B360" s="274">
        <v>1</v>
      </c>
      <c r="C360" s="275" t="s">
        <v>607</v>
      </c>
      <c r="D360" s="276">
        <v>5</v>
      </c>
      <c r="E360" s="272">
        <v>12840646</v>
      </c>
      <c r="F360" s="273">
        <v>348164000</v>
      </c>
      <c r="G360" s="234">
        <v>552084.69361344539</v>
      </c>
      <c r="H360" s="234">
        <v>819418.28618892131</v>
      </c>
      <c r="I360" s="174">
        <v>1371502.9798023668</v>
      </c>
      <c r="J360" s="234">
        <v>483311.904076898</v>
      </c>
      <c r="K360" s="234">
        <v>1076934.1606344467</v>
      </c>
      <c r="L360" s="175">
        <v>1560246.0647113447</v>
      </c>
      <c r="M360" s="235">
        <v>-68772.789536547381</v>
      </c>
      <c r="N360" s="236">
        <v>257515.87444552535</v>
      </c>
      <c r="O360" s="175">
        <v>188743.08490897785</v>
      </c>
      <c r="P360" s="237">
        <v>0.13761769947898742</v>
      </c>
      <c r="Q360" s="238">
        <v>6.3814412934436585E-2</v>
      </c>
      <c r="R360" s="239">
        <v>1.5857029836900006E-3</v>
      </c>
      <c r="S360" s="240">
        <v>8.3869157411118306E-2</v>
      </c>
      <c r="T360" s="239">
        <v>1.3881731140407911E-3</v>
      </c>
      <c r="U360" s="241">
        <v>2.0054744476681721E-2</v>
      </c>
      <c r="V360" s="242">
        <v>-1.9752986964920952E-4</v>
      </c>
      <c r="W360" s="243">
        <v>80.572077771019636</v>
      </c>
      <c r="X360" s="244">
        <v>158.57029836900006</v>
      </c>
      <c r="Y360" s="245">
        <v>239.14237614001968</v>
      </c>
      <c r="Z360" s="246">
        <v>105.89319814727799</v>
      </c>
      <c r="AA360" s="244">
        <v>138.81731140407911</v>
      </c>
      <c r="AB360" s="245">
        <v>244.71050955135709</v>
      </c>
      <c r="AC360" s="247">
        <v>25.321120376258349</v>
      </c>
      <c r="AD360" s="247">
        <v>-19.75298696492095</v>
      </c>
      <c r="AE360" s="248">
        <v>5.5681334113374135</v>
      </c>
      <c r="AF360" s="234">
        <f>-SUMIF('[1]Alt Fac'!$A$18:$A$139,'REPORT 4 - PROPERTY TAX'!A360,'[1]Alt Fac'!$U$18:$U$139)</f>
        <v>0</v>
      </c>
      <c r="AG360" s="247">
        <f t="shared" si="19"/>
        <v>318.42752532451971</v>
      </c>
      <c r="AH360" s="234">
        <f t="shared" si="20"/>
        <v>-4.3083600711230865</v>
      </c>
      <c r="AI360" s="234">
        <f t="shared" si="18"/>
        <v>314.1191652533966</v>
      </c>
      <c r="AJ360" s="170"/>
      <c r="AK360" s="170"/>
      <c r="AL360" s="170"/>
      <c r="AM360" s="170"/>
      <c r="AN360" s="170"/>
      <c r="AO360" s="234"/>
    </row>
    <row r="361" spans="1:41" x14ac:dyDescent="0.25">
      <c r="A361" s="274">
        <v>2884</v>
      </c>
      <c r="B361" s="274">
        <v>1</v>
      </c>
      <c r="C361" s="275" t="s">
        <v>586</v>
      </c>
      <c r="D361" s="276">
        <v>6</v>
      </c>
      <c r="E361" s="272">
        <v>8297445</v>
      </c>
      <c r="F361" s="273">
        <v>134336820</v>
      </c>
      <c r="G361" s="234">
        <v>588957.24403502455</v>
      </c>
      <c r="H361" s="234">
        <v>257026.41700000002</v>
      </c>
      <c r="I361" s="174">
        <v>845983.66103502456</v>
      </c>
      <c r="J361" s="234">
        <v>481385.97309470567</v>
      </c>
      <c r="K361" s="234">
        <v>400255.82050783001</v>
      </c>
      <c r="L361" s="175">
        <v>881641.79360253573</v>
      </c>
      <c r="M361" s="235">
        <v>-107571.27094031888</v>
      </c>
      <c r="N361" s="236">
        <v>143229.40350782999</v>
      </c>
      <c r="O361" s="175">
        <v>35658.132567511173</v>
      </c>
      <c r="P361" s="237">
        <v>4.2149906918870023E-2</v>
      </c>
      <c r="Q361" s="238">
        <v>3.0976573752522617E-2</v>
      </c>
      <c r="R361" s="239">
        <v>4.3841833090512679E-3</v>
      </c>
      <c r="S361" s="240">
        <v>4.8238442135841816E-2</v>
      </c>
      <c r="T361" s="239">
        <v>3.5834254011275959E-3</v>
      </c>
      <c r="U361" s="241">
        <v>1.7261868383319199E-2</v>
      </c>
      <c r="V361" s="242">
        <v>-8.0075790792367204E-4</v>
      </c>
      <c r="W361" s="243">
        <v>39.111022019935064</v>
      </c>
      <c r="X361" s="244">
        <v>438.41833090512677</v>
      </c>
      <c r="Y361" s="245">
        <v>477.52935292506186</v>
      </c>
      <c r="Z361" s="246">
        <v>60.905857040713883</v>
      </c>
      <c r="AA361" s="244">
        <v>358.34254011275959</v>
      </c>
      <c r="AB361" s="245">
        <v>419.24839715347349</v>
      </c>
      <c r="AC361" s="247">
        <v>21.79483502077882</v>
      </c>
      <c r="AD361" s="247">
        <v>-80.075790792367172</v>
      </c>
      <c r="AE361" s="248">
        <v>-58.280955771588367</v>
      </c>
      <c r="AF361" s="234">
        <f>-SUMIF('[1]Alt Fac'!$A$18:$A$139,'REPORT 4 - PROPERTY TAX'!A361,'[1]Alt Fac'!$U$18:$U$139)</f>
        <v>0</v>
      </c>
      <c r="AG361" s="247">
        <f t="shared" si="19"/>
        <v>696.73851837762527</v>
      </c>
      <c r="AH361" s="234">
        <f t="shared" si="20"/>
        <v>-98.318851167771982</v>
      </c>
      <c r="AI361" s="234">
        <f t="shared" si="18"/>
        <v>598.41966720985329</v>
      </c>
      <c r="AJ361" s="170"/>
      <c r="AK361" s="170"/>
      <c r="AL361" s="170"/>
      <c r="AM361" s="170"/>
      <c r="AN361" s="170"/>
      <c r="AO361" s="234"/>
    </row>
    <row r="362" spans="1:41" x14ac:dyDescent="0.25">
      <c r="A362" s="274">
        <v>2886</v>
      </c>
      <c r="B362" s="274">
        <v>1</v>
      </c>
      <c r="C362" s="275" t="s">
        <v>616</v>
      </c>
      <c r="D362" s="276">
        <v>6</v>
      </c>
      <c r="E362" s="272">
        <v>4749802</v>
      </c>
      <c r="F362" s="273">
        <v>137661175</v>
      </c>
      <c r="G362" s="234">
        <v>281303.8</v>
      </c>
      <c r="H362" s="234">
        <v>154480.46735000002</v>
      </c>
      <c r="I362" s="174">
        <v>435784.26734999998</v>
      </c>
      <c r="J362" s="234">
        <v>256120.02746770217</v>
      </c>
      <c r="K362" s="234">
        <v>242523.68021006853</v>
      </c>
      <c r="L362" s="175">
        <v>498643.7076777707</v>
      </c>
      <c r="M362" s="235">
        <v>-25183.772532297822</v>
      </c>
      <c r="N362" s="236">
        <v>88043.21286006851</v>
      </c>
      <c r="O362" s="175">
        <v>62859.440327770717</v>
      </c>
      <c r="P362" s="237">
        <v>0.14424440035437347</v>
      </c>
      <c r="Q362" s="238">
        <v>3.252355937152749E-2</v>
      </c>
      <c r="R362" s="239">
        <v>2.0434505226328338E-3</v>
      </c>
      <c r="S362" s="240">
        <v>5.1059745271501533E-2</v>
      </c>
      <c r="T362" s="239">
        <v>1.8605102525654177E-3</v>
      </c>
      <c r="U362" s="241">
        <v>1.8536185899974043E-2</v>
      </c>
      <c r="V362" s="242">
        <v>-1.8294027006741606E-4</v>
      </c>
      <c r="W362" s="243">
        <v>41.064246062490611</v>
      </c>
      <c r="X362" s="244">
        <v>204.34505226328338</v>
      </c>
      <c r="Y362" s="245">
        <v>245.40929832577399</v>
      </c>
      <c r="Z362" s="246">
        <v>64.468034379797842</v>
      </c>
      <c r="AA362" s="244">
        <v>186.05102525654178</v>
      </c>
      <c r="AB362" s="245">
        <v>250.51905963633962</v>
      </c>
      <c r="AC362" s="247">
        <v>23.403788317307232</v>
      </c>
      <c r="AD362" s="247">
        <v>-18.294027006741601</v>
      </c>
      <c r="AE362" s="248">
        <v>5.1097613105656308</v>
      </c>
      <c r="AF362" s="234">
        <f>-SUMIF('[1]Alt Fac'!$A$18:$A$139,'REPORT 4 - PROPERTY TAX'!A362,'[1]Alt Fac'!$U$18:$U$139)</f>
        <v>0</v>
      </c>
      <c r="AG362" s="247">
        <f t="shared" si="19"/>
        <v>347.58182445741568</v>
      </c>
      <c r="AH362" s="234">
        <f t="shared" si="20"/>
        <v>-4.0372521928051803</v>
      </c>
      <c r="AI362" s="234">
        <f t="shared" si="18"/>
        <v>343.54457226461051</v>
      </c>
      <c r="AJ362" s="170"/>
      <c r="AK362" s="170"/>
      <c r="AL362" s="170"/>
      <c r="AM362" s="170"/>
      <c r="AN362" s="170"/>
      <c r="AO362" s="234"/>
    </row>
    <row r="363" spans="1:41" x14ac:dyDescent="0.25">
      <c r="A363" s="274">
        <v>2888</v>
      </c>
      <c r="B363" s="274">
        <v>1</v>
      </c>
      <c r="C363" s="275" t="s">
        <v>444</v>
      </c>
      <c r="D363" s="276">
        <v>6</v>
      </c>
      <c r="E363" s="272">
        <v>7225403</v>
      </c>
      <c r="F363" s="273">
        <v>80210225</v>
      </c>
      <c r="G363" s="234">
        <v>213200.26277233119</v>
      </c>
      <c r="H363" s="234">
        <v>374534.80200000003</v>
      </c>
      <c r="I363" s="174">
        <v>587735.06477233116</v>
      </c>
      <c r="J363" s="234">
        <v>167201.4325340942</v>
      </c>
      <c r="K363" s="234">
        <v>521880.4937635063</v>
      </c>
      <c r="L363" s="175">
        <v>689081.9262976005</v>
      </c>
      <c r="M363" s="235">
        <v>-45998.830238236987</v>
      </c>
      <c r="N363" s="236">
        <v>147345.69176350627</v>
      </c>
      <c r="O363" s="175">
        <v>101346.86152526934</v>
      </c>
      <c r="P363" s="237">
        <v>0.17243630268091578</v>
      </c>
      <c r="Q363" s="238">
        <v>5.1835835592838213E-2</v>
      </c>
      <c r="R363" s="239">
        <v>2.6580185103873125E-3</v>
      </c>
      <c r="S363" s="240">
        <v>7.2228565488112739E-2</v>
      </c>
      <c r="T363" s="239">
        <v>2.0845401260761232E-3</v>
      </c>
      <c r="U363" s="241">
        <v>2.0392729895274526E-2</v>
      </c>
      <c r="V363" s="242">
        <v>-5.734783843111893E-4</v>
      </c>
      <c r="W363" s="243">
        <v>65.447926019517539</v>
      </c>
      <c r="X363" s="244">
        <v>265.80185103873123</v>
      </c>
      <c r="Y363" s="245">
        <v>331.24977705824875</v>
      </c>
      <c r="Z363" s="246">
        <v>91.195786785291148</v>
      </c>
      <c r="AA363" s="244">
        <v>208.45401260761233</v>
      </c>
      <c r="AB363" s="245">
        <v>299.64979939290345</v>
      </c>
      <c r="AC363" s="247">
        <v>25.747860765773609</v>
      </c>
      <c r="AD363" s="247">
        <v>-57.347838431118902</v>
      </c>
      <c r="AE363" s="248">
        <v>-31.599977665345307</v>
      </c>
      <c r="AF363" s="234">
        <f>-SUMIF('[1]Alt Fac'!$A$18:$A$139,'REPORT 4 - PROPERTY TAX'!A363,'[1]Alt Fac'!$U$18:$U$139)</f>
        <v>0</v>
      </c>
      <c r="AG363" s="247">
        <f t="shared" si="19"/>
        <v>464.15070257761442</v>
      </c>
      <c r="AH363" s="234">
        <f t="shared" si="20"/>
        <v>-60.273896880904772</v>
      </c>
      <c r="AI363" s="234">
        <f t="shared" si="18"/>
        <v>403.87680569670965</v>
      </c>
      <c r="AJ363" s="170"/>
      <c r="AK363" s="170"/>
      <c r="AL363" s="170"/>
      <c r="AM363" s="170"/>
      <c r="AN363" s="170"/>
      <c r="AO363" s="234"/>
    </row>
    <row r="364" spans="1:41" x14ac:dyDescent="0.25">
      <c r="A364" s="274">
        <v>2889</v>
      </c>
      <c r="B364" s="274">
        <v>1</v>
      </c>
      <c r="C364" s="275" t="s">
        <v>502</v>
      </c>
      <c r="D364" s="276">
        <v>6</v>
      </c>
      <c r="E364" s="272">
        <v>9995758</v>
      </c>
      <c r="F364" s="273">
        <v>437217200</v>
      </c>
      <c r="G364" s="234">
        <v>653105.31000000006</v>
      </c>
      <c r="H364" s="234">
        <v>1678469.0747999998</v>
      </c>
      <c r="I364" s="174">
        <v>2331574.3848000001</v>
      </c>
      <c r="J364" s="234">
        <v>700348.63165918831</v>
      </c>
      <c r="K364" s="234">
        <v>1864226.4423941113</v>
      </c>
      <c r="L364" s="175">
        <v>2564575.0740532996</v>
      </c>
      <c r="M364" s="235">
        <v>47243.321659188252</v>
      </c>
      <c r="N364" s="236">
        <v>185757.36759411148</v>
      </c>
      <c r="O364" s="175">
        <v>233000.6892532995</v>
      </c>
      <c r="P364" s="237">
        <v>9.9932771080467178E-2</v>
      </c>
      <c r="Q364" s="238">
        <v>0.16791813835428987</v>
      </c>
      <c r="R364" s="239">
        <v>1.4937777150578707E-3</v>
      </c>
      <c r="S364" s="240">
        <v>0.18650175828527574</v>
      </c>
      <c r="T364" s="239">
        <v>1.601832296760485E-3</v>
      </c>
      <c r="U364" s="241">
        <v>1.8583619930985867E-2</v>
      </c>
      <c r="V364" s="242">
        <v>1.0805458170261425E-4</v>
      </c>
      <c r="W364" s="243">
        <v>212.01344148612642</v>
      </c>
      <c r="X364" s="244">
        <v>149.37777150578708</v>
      </c>
      <c r="Y364" s="245">
        <v>361.39121299191351</v>
      </c>
      <c r="Z364" s="246">
        <v>235.47712001098918</v>
      </c>
      <c r="AA364" s="244">
        <v>160.18322967604848</v>
      </c>
      <c r="AB364" s="245">
        <v>395.66034968703764</v>
      </c>
      <c r="AC364" s="247">
        <v>23.463678524862758</v>
      </c>
      <c r="AD364" s="247">
        <v>10.805458170261403</v>
      </c>
      <c r="AE364" s="248">
        <v>34.269136695124132</v>
      </c>
      <c r="AF364" s="234">
        <f>-SUMIF('[1]Alt Fac'!$A$18:$A$139,'REPORT 4 - PROPERTY TAX'!A364,'[1]Alt Fac'!$U$18:$U$139)</f>
        <v>0</v>
      </c>
      <c r="AG364" s="247">
        <f t="shared" si="19"/>
        <v>436.08009874480706</v>
      </c>
      <c r="AH364" s="234">
        <f t="shared" si="20"/>
        <v>39.67186578025489</v>
      </c>
      <c r="AI364" s="234">
        <f t="shared" si="18"/>
        <v>475.75196452506196</v>
      </c>
      <c r="AJ364" s="170"/>
      <c r="AK364" s="170"/>
      <c r="AL364" s="170"/>
      <c r="AM364" s="170"/>
      <c r="AN364" s="170"/>
      <c r="AO364" s="234"/>
    </row>
    <row r="365" spans="1:41" x14ac:dyDescent="0.25">
      <c r="A365" s="274">
        <v>2890</v>
      </c>
      <c r="B365" s="274">
        <v>1</v>
      </c>
      <c r="C365" s="275" t="s">
        <v>581</v>
      </c>
      <c r="D365" s="276">
        <v>6</v>
      </c>
      <c r="E365" s="272">
        <v>8859356</v>
      </c>
      <c r="F365" s="273">
        <v>201437765</v>
      </c>
      <c r="G365" s="234">
        <v>1069247.32</v>
      </c>
      <c r="H365" s="234">
        <v>391510.88254999998</v>
      </c>
      <c r="I365" s="174">
        <v>1460758.20255</v>
      </c>
      <c r="J365" s="234">
        <v>1054545.0809523605</v>
      </c>
      <c r="K365" s="234">
        <v>505403.83543589222</v>
      </c>
      <c r="L365" s="175">
        <v>1559948.9163882528</v>
      </c>
      <c r="M365" s="235">
        <v>-14702.239047639538</v>
      </c>
      <c r="N365" s="236">
        <v>113892.95288589224</v>
      </c>
      <c r="O365" s="175">
        <v>99190.713838252705</v>
      </c>
      <c r="P365" s="237">
        <v>6.7903581622953457E-2</v>
      </c>
      <c r="Q365" s="238">
        <v>4.4191799330560819E-2</v>
      </c>
      <c r="R365" s="239">
        <v>5.3080777579119784E-3</v>
      </c>
      <c r="S365" s="240">
        <v>5.7047468849416617E-2</v>
      </c>
      <c r="T365" s="239">
        <v>5.2350912499071886E-3</v>
      </c>
      <c r="U365" s="241">
        <v>1.2855669518855799E-2</v>
      </c>
      <c r="V365" s="242">
        <v>-7.2986508004789855E-5</v>
      </c>
      <c r="W365" s="243">
        <v>55.796565834766099</v>
      </c>
      <c r="X365" s="244">
        <v>530.80777579119786</v>
      </c>
      <c r="Y365" s="245">
        <v>586.60434162596391</v>
      </c>
      <c r="Z365" s="246">
        <v>72.028134169273429</v>
      </c>
      <c r="AA365" s="244">
        <v>523.50912499071887</v>
      </c>
      <c r="AB365" s="245">
        <v>595.53725915999235</v>
      </c>
      <c r="AC365" s="247">
        <v>16.23156833450733</v>
      </c>
      <c r="AD365" s="247">
        <v>-7.2986508004789812</v>
      </c>
      <c r="AE365" s="248">
        <v>8.9329175340284337</v>
      </c>
      <c r="AF365" s="234">
        <f>-SUMIF('[1]Alt Fac'!$A$18:$A$139,'REPORT 4 - PROPERTY TAX'!A365,'[1]Alt Fac'!$U$18:$U$139)</f>
        <v>0</v>
      </c>
      <c r="AG365" s="247">
        <f t="shared" si="19"/>
        <v>852.00822952156284</v>
      </c>
      <c r="AH365" s="234">
        <f t="shared" si="20"/>
        <v>5.2835921337888543</v>
      </c>
      <c r="AI365" s="234">
        <f t="shared" si="18"/>
        <v>857.29182165535167</v>
      </c>
      <c r="AJ365" s="170"/>
      <c r="AK365" s="170"/>
      <c r="AL365" s="170"/>
      <c r="AM365" s="170"/>
      <c r="AN365" s="170"/>
      <c r="AO365" s="234"/>
    </row>
    <row r="366" spans="1:41" x14ac:dyDescent="0.25">
      <c r="A366" s="274">
        <v>2895</v>
      </c>
      <c r="B366" s="274">
        <v>1</v>
      </c>
      <c r="C366" s="275" t="s">
        <v>509</v>
      </c>
      <c r="D366" s="276">
        <v>5</v>
      </c>
      <c r="E366" s="272">
        <v>12425747</v>
      </c>
      <c r="F366" s="273">
        <v>375102975</v>
      </c>
      <c r="G366" s="234">
        <v>972573.52765024826</v>
      </c>
      <c r="H366" s="234">
        <v>1930253.3742849231</v>
      </c>
      <c r="I366" s="174">
        <v>2902826.9019351713</v>
      </c>
      <c r="J366" s="234">
        <v>711167.9698276025</v>
      </c>
      <c r="K366" s="234">
        <v>2064995.8245691122</v>
      </c>
      <c r="L366" s="175">
        <v>2776163.7943967148</v>
      </c>
      <c r="M366" s="235">
        <v>-261405.55782264576</v>
      </c>
      <c r="N366" s="236">
        <v>134742.45028418908</v>
      </c>
      <c r="O366" s="175">
        <v>-126663.10753845656</v>
      </c>
      <c r="P366" s="237">
        <v>-4.3634399093523811E-2</v>
      </c>
      <c r="Q366" s="238">
        <v>0.15534304491190132</v>
      </c>
      <c r="R366" s="239">
        <v>2.5928174194039602E-3</v>
      </c>
      <c r="S366" s="240">
        <v>0.16618685577366996</v>
      </c>
      <c r="T366" s="239">
        <v>1.8959272979042689E-3</v>
      </c>
      <c r="U366" s="241">
        <v>1.0843810861768638E-2</v>
      </c>
      <c r="V366" s="242">
        <v>-6.9689012149969131E-4</v>
      </c>
      <c r="W366" s="243">
        <v>196.13612850576664</v>
      </c>
      <c r="X366" s="244">
        <v>259.28174194039605</v>
      </c>
      <c r="Y366" s="245">
        <v>455.41787044616268</v>
      </c>
      <c r="Z366" s="246">
        <v>209.8275240998357</v>
      </c>
      <c r="AA366" s="244">
        <v>189.59272979042689</v>
      </c>
      <c r="AB366" s="245">
        <v>399.42025389026259</v>
      </c>
      <c r="AC366" s="247">
        <v>13.691395594069064</v>
      </c>
      <c r="AD366" s="247">
        <v>-69.689012149969159</v>
      </c>
      <c r="AE366" s="248">
        <v>-55.997616555900095</v>
      </c>
      <c r="AF366" s="234">
        <f>-SUMIF('[1]Alt Fac'!$A$18:$A$139,'REPORT 4 - PROPERTY TAX'!A366,'[1]Alt Fac'!$U$18:$U$139)</f>
        <v>0</v>
      </c>
      <c r="AG366" s="247">
        <f t="shared" si="19"/>
        <v>585.05874141636059</v>
      </c>
      <c r="AH366" s="234">
        <f t="shared" si="20"/>
        <v>-90.842122630884617</v>
      </c>
      <c r="AI366" s="234">
        <f t="shared" si="18"/>
        <v>494.21661878547599</v>
      </c>
      <c r="AJ366" s="170"/>
      <c r="AK366" s="170"/>
      <c r="AL366" s="170"/>
      <c r="AM366" s="170"/>
      <c r="AN366" s="170"/>
      <c r="AO366" s="234"/>
    </row>
    <row r="367" spans="1:41" x14ac:dyDescent="0.25">
      <c r="A367" s="274">
        <v>2897</v>
      </c>
      <c r="B367" s="274">
        <v>1</v>
      </c>
      <c r="C367" s="275" t="s">
        <v>554</v>
      </c>
      <c r="D367" s="276">
        <v>5</v>
      </c>
      <c r="E367" s="272">
        <v>8563796</v>
      </c>
      <c r="F367" s="273">
        <v>360444150</v>
      </c>
      <c r="G367" s="234">
        <v>873686.31313725503</v>
      </c>
      <c r="H367" s="234">
        <v>291160.35957857565</v>
      </c>
      <c r="I367" s="174">
        <v>1164846.6727158306</v>
      </c>
      <c r="J367" s="234">
        <v>741212.86632541136</v>
      </c>
      <c r="K367" s="234">
        <v>398445.43794026028</v>
      </c>
      <c r="L367" s="175">
        <v>1139658.3042656716</v>
      </c>
      <c r="M367" s="235">
        <v>-132473.44681184366</v>
      </c>
      <c r="N367" s="236">
        <v>107285.07836168463</v>
      </c>
      <c r="O367" s="175">
        <v>-25188.368450158974</v>
      </c>
      <c r="P367" s="237">
        <v>-2.1623763058388187E-2</v>
      </c>
      <c r="Q367" s="238">
        <v>3.3998983579078206E-2</v>
      </c>
      <c r="R367" s="239">
        <v>2.4239159191160545E-3</v>
      </c>
      <c r="S367" s="240">
        <v>4.6526731596626111E-2</v>
      </c>
      <c r="T367" s="239">
        <v>2.0563875605288957E-3</v>
      </c>
      <c r="U367" s="241">
        <v>1.2527748017547906E-2</v>
      </c>
      <c r="V367" s="242">
        <v>-3.6752835858715888E-4</v>
      </c>
      <c r="W367" s="243">
        <v>42.927116666944144</v>
      </c>
      <c r="X367" s="244">
        <v>242.39159191160545</v>
      </c>
      <c r="Y367" s="245">
        <v>285.3187085785496</v>
      </c>
      <c r="Z367" s="246">
        <v>58.744651313900135</v>
      </c>
      <c r="AA367" s="244">
        <v>205.63875605288956</v>
      </c>
      <c r="AB367" s="245">
        <v>264.3834073667897</v>
      </c>
      <c r="AC367" s="247">
        <v>15.817534646955991</v>
      </c>
      <c r="AD367" s="247">
        <v>-36.752835858715883</v>
      </c>
      <c r="AE367" s="248">
        <v>-20.935301211759906</v>
      </c>
      <c r="AF367" s="234">
        <f>-SUMIF('[1]Alt Fac'!$A$18:$A$139,'REPORT 4 - PROPERTY TAX'!A367,'[1]Alt Fac'!$U$18:$U$139)</f>
        <v>0</v>
      </c>
      <c r="AG367" s="247">
        <f t="shared" si="19"/>
        <v>406.51450453435228</v>
      </c>
      <c r="AH367" s="234">
        <f t="shared" si="20"/>
        <v>-39.311719141117848</v>
      </c>
      <c r="AI367" s="234">
        <f t="shared" si="18"/>
        <v>367.20278539323442</v>
      </c>
      <c r="AJ367" s="170"/>
      <c r="AK367" s="170"/>
      <c r="AL367" s="170"/>
      <c r="AM367" s="170"/>
      <c r="AN367" s="170"/>
      <c r="AO367" s="234"/>
    </row>
    <row r="368" spans="1:41" x14ac:dyDescent="0.25">
      <c r="A368" s="274">
        <v>2898</v>
      </c>
      <c r="B368" s="274">
        <v>1</v>
      </c>
      <c r="C368" s="275" t="s">
        <v>669</v>
      </c>
      <c r="D368" s="276">
        <v>6</v>
      </c>
      <c r="E368" s="272">
        <v>5856886</v>
      </c>
      <c r="F368" s="273">
        <v>96746835</v>
      </c>
      <c r="G368" s="234">
        <v>183078.35735294124</v>
      </c>
      <c r="H368" s="234">
        <v>193523.514</v>
      </c>
      <c r="I368" s="174">
        <v>376601.87135294126</v>
      </c>
      <c r="J368" s="234">
        <v>161329.99491368287</v>
      </c>
      <c r="K368" s="234">
        <v>293346.00339092605</v>
      </c>
      <c r="L368" s="175">
        <v>454675.99830460892</v>
      </c>
      <c r="M368" s="235">
        <v>-21748.362439258373</v>
      </c>
      <c r="N368" s="236">
        <v>99822.489390926057</v>
      </c>
      <c r="O368" s="175">
        <v>78074.126951667655</v>
      </c>
      <c r="P368" s="237">
        <v>0.20731210567591327</v>
      </c>
      <c r="Q368" s="238">
        <v>3.3042048965952212E-2</v>
      </c>
      <c r="R368" s="239">
        <v>1.8923446679464113E-3</v>
      </c>
      <c r="S368" s="240">
        <v>5.0085660433022948E-2</v>
      </c>
      <c r="T368" s="239">
        <v>1.6675480382762171E-3</v>
      </c>
      <c r="U368" s="241">
        <v>1.7043611467070736E-2</v>
      </c>
      <c r="V368" s="242">
        <v>-2.2479662967019422E-4</v>
      </c>
      <c r="W368" s="243">
        <v>41.718891024411263</v>
      </c>
      <c r="X368" s="244">
        <v>189.23446679464112</v>
      </c>
      <c r="Y368" s="245">
        <v>230.95335781905237</v>
      </c>
      <c r="Z368" s="246">
        <v>63.238154862734781</v>
      </c>
      <c r="AA368" s="244">
        <v>166.75480382762171</v>
      </c>
      <c r="AB368" s="245">
        <v>229.99295869035649</v>
      </c>
      <c r="AC368" s="247">
        <v>21.519263838323518</v>
      </c>
      <c r="AD368" s="247">
        <v>-22.479662967019408</v>
      </c>
      <c r="AE368" s="248">
        <v>-0.96039912869588306</v>
      </c>
      <c r="AF368" s="234">
        <f>-SUMIF('[1]Alt Fac'!$A$18:$A$139,'REPORT 4 - PROPERTY TAX'!A368,'[1]Alt Fac'!$U$18:$U$139)</f>
        <v>0</v>
      </c>
      <c r="AG368" s="247">
        <f t="shared" si="19"/>
        <v>325.57059121637297</v>
      </c>
      <c r="AH368" s="234">
        <f t="shared" si="20"/>
        <v>-12.200230612205619</v>
      </c>
      <c r="AI368" s="234">
        <f t="shared" si="18"/>
        <v>313.37036060416733</v>
      </c>
      <c r="AJ368" s="170"/>
      <c r="AK368" s="170"/>
      <c r="AL368" s="170"/>
      <c r="AM368" s="170"/>
      <c r="AN368" s="170"/>
      <c r="AO368" s="234"/>
    </row>
    <row r="369" spans="1:41" x14ac:dyDescent="0.25">
      <c r="A369" s="274">
        <v>2899</v>
      </c>
      <c r="B369" s="274">
        <v>1</v>
      </c>
      <c r="C369" s="275" t="s">
        <v>446</v>
      </c>
      <c r="D369" s="276">
        <v>5</v>
      </c>
      <c r="E369" s="272">
        <v>8096415</v>
      </c>
      <c r="F369" s="273">
        <v>498312525</v>
      </c>
      <c r="G369" s="234">
        <v>442043.49321670603</v>
      </c>
      <c r="H369" s="234">
        <v>1426794.6468493363</v>
      </c>
      <c r="I369" s="174">
        <v>1868838.1400660423</v>
      </c>
      <c r="J369" s="234">
        <v>423447.01404625899</v>
      </c>
      <c r="K369" s="234">
        <v>1374789.3411728491</v>
      </c>
      <c r="L369" s="175">
        <v>1798236.3552191081</v>
      </c>
      <c r="M369" s="235">
        <v>-18596.479170447041</v>
      </c>
      <c r="N369" s="236">
        <v>-52005.305676487274</v>
      </c>
      <c r="O369" s="175">
        <v>-70601.784846934257</v>
      </c>
      <c r="P369" s="237">
        <v>-3.777843748653336E-2</v>
      </c>
      <c r="Q369" s="238">
        <v>0.17622548335891086</v>
      </c>
      <c r="R369" s="239">
        <v>8.8708083991408007E-4</v>
      </c>
      <c r="S369" s="240">
        <v>0.16980223236739336</v>
      </c>
      <c r="T369" s="239">
        <v>8.4976193212534445E-4</v>
      </c>
      <c r="U369" s="241">
        <v>-6.4232509915174985E-3</v>
      </c>
      <c r="V369" s="242">
        <v>-3.7318907788735619E-5</v>
      </c>
      <c r="W369" s="243">
        <v>222.50229528896088</v>
      </c>
      <c r="X369" s="244">
        <v>88.708083991408003</v>
      </c>
      <c r="Y369" s="245">
        <v>311.2103792803689</v>
      </c>
      <c r="Z369" s="246">
        <v>214.39229858707088</v>
      </c>
      <c r="AA369" s="244">
        <v>84.97619321253444</v>
      </c>
      <c r="AB369" s="245">
        <v>299.36849179960529</v>
      </c>
      <c r="AC369" s="247">
        <v>-8.1099967018899974</v>
      </c>
      <c r="AD369" s="247">
        <v>-3.7318907788735629</v>
      </c>
      <c r="AE369" s="248">
        <v>-11.841887480763603</v>
      </c>
      <c r="AF369" s="234">
        <f>-SUMIF('[1]Alt Fac'!$A$18:$A$139,'REPORT 4 - PROPERTY TAX'!A369,'[1]Alt Fac'!$U$18:$U$139)</f>
        <v>0</v>
      </c>
      <c r="AG369" s="247">
        <f t="shared" si="19"/>
        <v>355.56442127607289</v>
      </c>
      <c r="AH369" s="234">
        <f t="shared" si="20"/>
        <v>-13.707832870200336</v>
      </c>
      <c r="AI369" s="234">
        <f t="shared" si="18"/>
        <v>341.85658840587257</v>
      </c>
      <c r="AJ369" s="170"/>
      <c r="AK369" s="170"/>
      <c r="AL369" s="170"/>
      <c r="AM369" s="170"/>
      <c r="AN369" s="170"/>
      <c r="AO369" s="234"/>
    </row>
    <row r="370" spans="1:41" x14ac:dyDescent="0.25">
      <c r="A370" s="274">
        <v>2902</v>
      </c>
      <c r="B370" s="274">
        <v>1</v>
      </c>
      <c r="C370" s="275" t="s">
        <v>334</v>
      </c>
      <c r="D370" s="276">
        <v>6</v>
      </c>
      <c r="E370" s="272">
        <v>5645511</v>
      </c>
      <c r="F370" s="273">
        <v>151827245</v>
      </c>
      <c r="G370" s="234">
        <v>264349.12062474969</v>
      </c>
      <c r="H370" s="234">
        <v>350576.5296200033</v>
      </c>
      <c r="I370" s="174">
        <v>614925.65024475299</v>
      </c>
      <c r="J370" s="234">
        <v>225753.91160176159</v>
      </c>
      <c r="K370" s="234">
        <v>360414.76898272056</v>
      </c>
      <c r="L370" s="175">
        <v>586168.68058448215</v>
      </c>
      <c r="M370" s="235">
        <v>-38595.2090229881</v>
      </c>
      <c r="N370" s="236">
        <v>9838.2393627172569</v>
      </c>
      <c r="O370" s="175">
        <v>-28756.969660270843</v>
      </c>
      <c r="P370" s="237">
        <v>-4.6764953858771351E-2</v>
      </c>
      <c r="Q370" s="238">
        <v>6.2098281204306098E-2</v>
      </c>
      <c r="R370" s="239">
        <v>1.7411178120550742E-3</v>
      </c>
      <c r="S370" s="240">
        <v>6.3840947078611765E-2</v>
      </c>
      <c r="T370" s="239">
        <v>1.4869130477982498E-3</v>
      </c>
      <c r="U370" s="241">
        <v>1.7426658743056669E-3</v>
      </c>
      <c r="V370" s="242">
        <v>-2.5420476425682434E-4</v>
      </c>
      <c r="W370" s="243">
        <v>78.40528984855689</v>
      </c>
      <c r="X370" s="244">
        <v>174.11178120550741</v>
      </c>
      <c r="Y370" s="245">
        <v>252.5170710540643</v>
      </c>
      <c r="Z370" s="246">
        <v>80.605579781455219</v>
      </c>
      <c r="AA370" s="244">
        <v>148.69130477982497</v>
      </c>
      <c r="AB370" s="245">
        <v>229.29688456128019</v>
      </c>
      <c r="AC370" s="247">
        <v>2.200289932898329</v>
      </c>
      <c r="AD370" s="247">
        <v>-25.420476425682438</v>
      </c>
      <c r="AE370" s="248">
        <v>-23.220186492784109</v>
      </c>
      <c r="AF370" s="234">
        <f>-SUMIF('[1]Alt Fac'!$A$18:$A$139,'REPORT 4 - PROPERTY TAX'!A370,'[1]Alt Fac'!$U$18:$U$139)</f>
        <v>0</v>
      </c>
      <c r="AG370" s="247">
        <f t="shared" si="19"/>
        <v>339.57296165681799</v>
      </c>
      <c r="AH370" s="234">
        <f t="shared" si="20"/>
        <v>-35.930424705625313</v>
      </c>
      <c r="AI370" s="234">
        <f t="shared" si="18"/>
        <v>303.64253695119271</v>
      </c>
      <c r="AJ370" s="170"/>
      <c r="AK370" s="170"/>
      <c r="AL370" s="170"/>
      <c r="AM370" s="170"/>
      <c r="AN370" s="170"/>
      <c r="AO370" s="234"/>
    </row>
    <row r="371" spans="1:41" x14ac:dyDescent="0.25">
      <c r="A371" s="170">
        <v>2903</v>
      </c>
      <c r="B371" s="274">
        <v>1</v>
      </c>
      <c r="C371" s="171" t="s">
        <v>503</v>
      </c>
      <c r="D371" s="177">
        <v>6</v>
      </c>
      <c r="E371" s="272">
        <v>4500007</v>
      </c>
      <c r="F371" s="273">
        <v>137378115</v>
      </c>
      <c r="G371" s="234">
        <v>399454.29211544804</v>
      </c>
      <c r="H371" s="234">
        <v>959167.00338235078</v>
      </c>
      <c r="I371" s="174">
        <v>1358621.2954977988</v>
      </c>
      <c r="J371" s="234">
        <v>305871.55625711457</v>
      </c>
      <c r="K371" s="234">
        <v>976819.38600357447</v>
      </c>
      <c r="L371" s="175">
        <v>1282690.9422606891</v>
      </c>
      <c r="M371" s="235">
        <v>-93582.735858333472</v>
      </c>
      <c r="N371" s="236">
        <v>17652.382621223689</v>
      </c>
      <c r="O371" s="175">
        <v>-75930.353237109724</v>
      </c>
      <c r="P371" s="237">
        <v>-5.5887798526880035E-2</v>
      </c>
      <c r="Q371" s="238">
        <v>0.21314789141046908</v>
      </c>
      <c r="R371" s="239">
        <v>2.9076996151493856E-3</v>
      </c>
      <c r="S371" s="240">
        <v>0.21707063700202567</v>
      </c>
      <c r="T371" s="239">
        <v>2.2264940544359235E-3</v>
      </c>
      <c r="U371" s="241">
        <v>3.9227455915565868E-3</v>
      </c>
      <c r="V371" s="242">
        <v>-6.8120556071346204E-4</v>
      </c>
      <c r="W371" s="243">
        <v>269.12052769485831</v>
      </c>
      <c r="X371" s="244">
        <v>290.76996151493853</v>
      </c>
      <c r="Y371" s="245">
        <v>559.8904892097969</v>
      </c>
      <c r="Z371" s="246">
        <v>274.07338627875765</v>
      </c>
      <c r="AA371" s="244">
        <v>222.64940544359234</v>
      </c>
      <c r="AB371" s="245">
        <v>496.72279172235</v>
      </c>
      <c r="AC371" s="247">
        <v>4.9528585838993422</v>
      </c>
      <c r="AD371" s="247">
        <v>-68.120556071346186</v>
      </c>
      <c r="AE371" s="248">
        <v>-63.167697487446901</v>
      </c>
      <c r="AF371" s="234">
        <f>-SUMIF('[1]Alt Fac'!$A$18:$A$139,'REPORT 4 - PROPERTY TAX'!A371,'[1]Alt Fac'!$U$18:$U$139)</f>
        <v>0</v>
      </c>
      <c r="AG371" s="247">
        <f t="shared" si="19"/>
        <v>705.27546996726619</v>
      </c>
      <c r="AH371" s="234">
        <f t="shared" si="20"/>
        <v>-97.227975523119966</v>
      </c>
      <c r="AI371" s="234">
        <f t="shared" si="18"/>
        <v>608.0474944441462</v>
      </c>
      <c r="AJ371" s="170"/>
      <c r="AK371" s="170"/>
      <c r="AL371" s="170"/>
      <c r="AM371" s="170"/>
      <c r="AN371" s="170"/>
      <c r="AO371" s="234"/>
    </row>
    <row r="372" spans="1:41" x14ac:dyDescent="0.25">
      <c r="A372" s="170">
        <v>2904</v>
      </c>
      <c r="B372" s="274">
        <v>1</v>
      </c>
      <c r="C372" s="171" t="s">
        <v>656</v>
      </c>
      <c r="D372" s="177">
        <v>6</v>
      </c>
      <c r="E372" s="272">
        <v>9833384</v>
      </c>
      <c r="F372" s="273">
        <v>263067635</v>
      </c>
      <c r="G372" s="234">
        <v>636563.51911764697</v>
      </c>
      <c r="H372" s="234">
        <v>344916.09079999995</v>
      </c>
      <c r="I372" s="174">
        <v>981479.60991764697</v>
      </c>
      <c r="J372" s="234">
        <v>513406.27694390249</v>
      </c>
      <c r="K372" s="234">
        <v>499777.85227523261</v>
      </c>
      <c r="L372" s="175">
        <v>1013184.129219135</v>
      </c>
      <c r="M372" s="235">
        <v>-123157.24217374448</v>
      </c>
      <c r="N372" s="236">
        <v>154861.76147523266</v>
      </c>
      <c r="O372" s="175">
        <v>31704.519301488064</v>
      </c>
      <c r="P372" s="237">
        <v>3.2302779376280975E-2</v>
      </c>
      <c r="Q372" s="238">
        <v>3.5076031892988205E-2</v>
      </c>
      <c r="R372" s="239">
        <v>2.4197713227537359E-3</v>
      </c>
      <c r="S372" s="240">
        <v>5.0824604457146455E-2</v>
      </c>
      <c r="T372" s="239">
        <v>1.9516132303538688E-3</v>
      </c>
      <c r="U372" s="241">
        <v>1.574857256415825E-2</v>
      </c>
      <c r="V372" s="242">
        <v>-4.6815809239986704E-4</v>
      </c>
      <c r="W372" s="243">
        <v>44.286997868086914</v>
      </c>
      <c r="X372" s="244">
        <v>241.97713227537358</v>
      </c>
      <c r="Y372" s="245">
        <v>286.26413014346048</v>
      </c>
      <c r="Z372" s="246">
        <v>64.171145587593116</v>
      </c>
      <c r="AA372" s="244">
        <v>195.16132303538689</v>
      </c>
      <c r="AB372" s="245">
        <v>259.33246862298</v>
      </c>
      <c r="AC372" s="247">
        <v>19.884147719506203</v>
      </c>
      <c r="AD372" s="247">
        <v>-46.815809239986692</v>
      </c>
      <c r="AE372" s="248">
        <v>-26.931661520480475</v>
      </c>
      <c r="AF372" s="234">
        <f>-SUMIF('[1]Alt Fac'!$A$18:$A$139,'REPORT 4 - PROPERTY TAX'!A372,'[1]Alt Fac'!$U$18:$U$139)</f>
        <v>0</v>
      </c>
      <c r="AG372" s="247">
        <f t="shared" si="19"/>
        <v>407.25269628114734</v>
      </c>
      <c r="AH372" s="234">
        <f t="shared" si="20"/>
        <v>-50.339566140473842</v>
      </c>
      <c r="AI372" s="234">
        <f t="shared" si="18"/>
        <v>356.9131301406735</v>
      </c>
      <c r="AJ372" s="170"/>
      <c r="AK372" s="170"/>
      <c r="AL372" s="170"/>
      <c r="AM372" s="170"/>
      <c r="AN372" s="170"/>
      <c r="AO372" s="234"/>
    </row>
    <row r="373" spans="1:41" x14ac:dyDescent="0.25">
      <c r="A373" s="277">
        <v>2905</v>
      </c>
      <c r="B373" s="277">
        <v>1</v>
      </c>
      <c r="C373" s="278" t="s">
        <v>279</v>
      </c>
      <c r="D373" s="279">
        <v>5</v>
      </c>
      <c r="E373" s="272">
        <v>11827712</v>
      </c>
      <c r="F373" s="273">
        <v>876260225</v>
      </c>
      <c r="G373" s="234">
        <v>999821.89069721941</v>
      </c>
      <c r="H373" s="234">
        <v>4047878.044796865</v>
      </c>
      <c r="I373" s="174">
        <v>5047699.9354940839</v>
      </c>
      <c r="J373" s="234">
        <v>1045653.2380368812</v>
      </c>
      <c r="K373" s="234">
        <v>3997077.3691099416</v>
      </c>
      <c r="L373" s="175">
        <v>5042730.6071468228</v>
      </c>
      <c r="M373" s="235">
        <v>45831.347339661792</v>
      </c>
      <c r="N373" s="236">
        <v>-50800.675686923321</v>
      </c>
      <c r="O373" s="175">
        <v>-4969.3283472610638</v>
      </c>
      <c r="P373" s="237">
        <v>-9.8447380208123458E-4</v>
      </c>
      <c r="Q373" s="238">
        <v>0.34223677789896007</v>
      </c>
      <c r="R373" s="239">
        <v>1.1410102412182631E-3</v>
      </c>
      <c r="S373" s="240">
        <v>0.33794172271948636</v>
      </c>
      <c r="T373" s="239">
        <v>1.193313593615277E-3</v>
      </c>
      <c r="U373" s="241">
        <v>-4.2950551794737057E-3</v>
      </c>
      <c r="V373" s="242">
        <v>5.2303352397013985E-5</v>
      </c>
      <c r="W373" s="243">
        <v>432.10815577522703</v>
      </c>
      <c r="X373" s="244">
        <v>114.1010241218263</v>
      </c>
      <c r="Y373" s="245">
        <v>546.20917989705333</v>
      </c>
      <c r="Z373" s="246">
        <v>426.6852191056235</v>
      </c>
      <c r="AA373" s="244">
        <v>119.3313593615277</v>
      </c>
      <c r="AB373" s="245">
        <v>546.01657846715125</v>
      </c>
      <c r="AC373" s="247">
        <v>-5.4229366696035299</v>
      </c>
      <c r="AD373" s="247">
        <v>5.2303352397014038</v>
      </c>
      <c r="AE373" s="248">
        <v>-0.19260142990208351</v>
      </c>
      <c r="AF373" s="234">
        <f>-SUMIF('[1]Alt Fac'!$A$18:$A$139,'REPORT 4 - PROPERTY TAX'!A373,'[1]Alt Fac'!$U$18:$U$139)</f>
        <v>0</v>
      </c>
      <c r="AG373" s="247">
        <f t="shared" si="19"/>
        <v>603.25969195796642</v>
      </c>
      <c r="AH373" s="234">
        <f t="shared" si="20"/>
        <v>2.4225661899485962</v>
      </c>
      <c r="AI373" s="234">
        <f t="shared" si="18"/>
        <v>605.68225814791504</v>
      </c>
      <c r="AJ373" s="170"/>
      <c r="AK373" s="170"/>
      <c r="AL373" s="170"/>
      <c r="AM373" s="170"/>
      <c r="AN373" s="170"/>
      <c r="AO373" s="234"/>
    </row>
    <row r="374" spans="1:41" hidden="1" x14ac:dyDescent="0.25">
      <c r="A374" s="170">
        <v>4000</v>
      </c>
      <c r="B374" s="170">
        <v>7</v>
      </c>
      <c r="C374" s="171" t="s">
        <v>673</v>
      </c>
      <c r="D374" s="177">
        <v>7</v>
      </c>
      <c r="E374" s="272">
        <v>0</v>
      </c>
      <c r="F374" s="273">
        <v>0</v>
      </c>
      <c r="G374" s="234">
        <v>0</v>
      </c>
      <c r="H374" s="234">
        <v>0</v>
      </c>
      <c r="I374" s="174">
        <v>0</v>
      </c>
      <c r="J374" s="234">
        <v>0</v>
      </c>
      <c r="K374" s="234">
        <v>0</v>
      </c>
      <c r="L374" s="175">
        <v>0</v>
      </c>
      <c r="M374" s="235">
        <v>0</v>
      </c>
      <c r="N374" s="236">
        <v>0</v>
      </c>
      <c r="O374" s="175">
        <v>0</v>
      </c>
      <c r="P374" s="237" t="e">
        <v>#DIV/0!</v>
      </c>
      <c r="Q374" s="238">
        <v>0</v>
      </c>
      <c r="R374" s="239">
        <v>0</v>
      </c>
      <c r="S374" s="240">
        <v>0</v>
      </c>
      <c r="T374" s="239">
        <v>0</v>
      </c>
      <c r="U374" s="241">
        <v>0</v>
      </c>
      <c r="V374" s="242">
        <v>0</v>
      </c>
      <c r="W374" s="243">
        <v>0</v>
      </c>
      <c r="X374" s="244">
        <v>0</v>
      </c>
      <c r="Y374" s="245">
        <v>0</v>
      </c>
      <c r="Z374" s="246">
        <v>0</v>
      </c>
      <c r="AA374" s="244">
        <v>0</v>
      </c>
      <c r="AB374" s="245">
        <v>0</v>
      </c>
      <c r="AC374" s="247">
        <v>0</v>
      </c>
      <c r="AD374" s="247">
        <v>0</v>
      </c>
      <c r="AE374" s="248">
        <v>0</v>
      </c>
      <c r="AF374" s="234">
        <f>-SUMIF('[1]Alt Fac'!$A$18:$A$139,'REPORT 4 - PROPERTY TAX'!A374,'[1]Alt Fac'!$U$18:$U$139)</f>
        <v>0</v>
      </c>
      <c r="AG374" s="247">
        <f t="shared" si="19"/>
        <v>0</v>
      </c>
      <c r="AH374" s="234">
        <f t="shared" si="20"/>
        <v>0</v>
      </c>
      <c r="AI374" s="234">
        <f t="shared" si="18"/>
        <v>0</v>
      </c>
      <c r="AJ374" s="170"/>
      <c r="AK374" s="170"/>
      <c r="AL374" s="170"/>
      <c r="AM374" s="170"/>
      <c r="AN374" s="170"/>
      <c r="AO374" s="170"/>
    </row>
    <row r="375" spans="1:41" hidden="1" x14ac:dyDescent="0.25">
      <c r="A375" s="170">
        <v>4001</v>
      </c>
      <c r="B375" s="170">
        <v>7</v>
      </c>
      <c r="C375" s="171" t="s">
        <v>415</v>
      </c>
      <c r="D375" s="177">
        <v>7</v>
      </c>
      <c r="E375" s="272">
        <v>0</v>
      </c>
      <c r="F375" s="273">
        <v>0</v>
      </c>
      <c r="G375" s="234">
        <v>0</v>
      </c>
      <c r="H375" s="234">
        <v>0</v>
      </c>
      <c r="I375" s="174">
        <v>0</v>
      </c>
      <c r="J375" s="234">
        <v>0</v>
      </c>
      <c r="K375" s="234">
        <v>0</v>
      </c>
      <c r="L375" s="175">
        <v>0</v>
      </c>
      <c r="M375" s="235">
        <v>0</v>
      </c>
      <c r="N375" s="236">
        <v>0</v>
      </c>
      <c r="O375" s="175">
        <v>0</v>
      </c>
      <c r="P375" s="237" t="e">
        <v>#DIV/0!</v>
      </c>
      <c r="Q375" s="238">
        <v>0</v>
      </c>
      <c r="R375" s="239">
        <v>0</v>
      </c>
      <c r="S375" s="240">
        <v>0</v>
      </c>
      <c r="T375" s="239">
        <v>0</v>
      </c>
      <c r="U375" s="241">
        <v>0</v>
      </c>
      <c r="V375" s="242">
        <v>0</v>
      </c>
      <c r="W375" s="243">
        <v>0</v>
      </c>
      <c r="X375" s="244">
        <v>0</v>
      </c>
      <c r="Y375" s="245">
        <v>0</v>
      </c>
      <c r="Z375" s="246">
        <v>0</v>
      </c>
      <c r="AA375" s="244">
        <v>0</v>
      </c>
      <c r="AB375" s="245">
        <v>0</v>
      </c>
      <c r="AC375" s="247">
        <v>0</v>
      </c>
      <c r="AD375" s="247">
        <v>0</v>
      </c>
      <c r="AE375" s="248">
        <v>0</v>
      </c>
      <c r="AF375" s="234">
        <f>-SUMIF('[1]Alt Fac'!$A$18:$A$139,'REPORT 4 - PROPERTY TAX'!A375,'[1]Alt Fac'!$U$18:$U$139)</f>
        <v>0</v>
      </c>
      <c r="AG375" s="247">
        <f t="shared" si="19"/>
        <v>0</v>
      </c>
      <c r="AH375" s="234">
        <f t="shared" si="20"/>
        <v>0</v>
      </c>
      <c r="AI375" s="234">
        <f t="shared" si="18"/>
        <v>0</v>
      </c>
      <c r="AJ375" s="170"/>
      <c r="AK375" s="170"/>
      <c r="AL375" s="170"/>
      <c r="AM375" s="170"/>
      <c r="AN375" s="170"/>
      <c r="AO375" s="170"/>
    </row>
    <row r="376" spans="1:41" hidden="1" x14ac:dyDescent="0.25">
      <c r="A376" s="170">
        <v>4003</v>
      </c>
      <c r="B376" s="170">
        <v>7</v>
      </c>
      <c r="C376" s="171" t="s">
        <v>675</v>
      </c>
      <c r="D376" s="177">
        <v>7</v>
      </c>
      <c r="E376" s="272">
        <v>0</v>
      </c>
      <c r="F376" s="273">
        <v>0</v>
      </c>
      <c r="G376" s="234">
        <v>0</v>
      </c>
      <c r="H376" s="234">
        <v>0</v>
      </c>
      <c r="I376" s="174">
        <v>0</v>
      </c>
      <c r="J376" s="234">
        <v>0</v>
      </c>
      <c r="K376" s="234">
        <v>0</v>
      </c>
      <c r="L376" s="175">
        <v>0</v>
      </c>
      <c r="M376" s="235">
        <v>0</v>
      </c>
      <c r="N376" s="236">
        <v>0</v>
      </c>
      <c r="O376" s="175">
        <v>0</v>
      </c>
      <c r="P376" s="237" t="e">
        <v>#DIV/0!</v>
      </c>
      <c r="Q376" s="238">
        <v>0</v>
      </c>
      <c r="R376" s="239">
        <v>0</v>
      </c>
      <c r="S376" s="240">
        <v>0</v>
      </c>
      <c r="T376" s="239">
        <v>0</v>
      </c>
      <c r="U376" s="241">
        <v>0</v>
      </c>
      <c r="V376" s="242">
        <v>0</v>
      </c>
      <c r="W376" s="243">
        <v>0</v>
      </c>
      <c r="X376" s="244">
        <v>0</v>
      </c>
      <c r="Y376" s="245">
        <v>0</v>
      </c>
      <c r="Z376" s="246">
        <v>0</v>
      </c>
      <c r="AA376" s="246">
        <v>0</v>
      </c>
      <c r="AB376" s="246">
        <v>0</v>
      </c>
      <c r="AC376" s="247">
        <v>0</v>
      </c>
      <c r="AD376" s="247">
        <v>0</v>
      </c>
      <c r="AE376" s="248">
        <v>0</v>
      </c>
      <c r="AF376" s="234">
        <f>-SUMIF('[1]Alt Fac'!$A$18:$A$139,'REPORT 4 - PROPERTY TAX'!A376,'[1]Alt Fac'!$U$18:$U$139)</f>
        <v>0</v>
      </c>
      <c r="AG376" s="247">
        <f t="shared" si="19"/>
        <v>0</v>
      </c>
      <c r="AH376" s="234">
        <f t="shared" si="20"/>
        <v>0</v>
      </c>
      <c r="AI376" s="234">
        <f t="shared" si="18"/>
        <v>0</v>
      </c>
      <c r="AJ376" s="170"/>
      <c r="AK376" s="170"/>
      <c r="AL376" s="170"/>
      <c r="AM376" s="170"/>
      <c r="AN376" s="170"/>
      <c r="AO376" s="170"/>
    </row>
    <row r="377" spans="1:41" hidden="1" x14ac:dyDescent="0.25">
      <c r="A377" s="170">
        <v>4004</v>
      </c>
      <c r="B377" s="170">
        <v>7</v>
      </c>
      <c r="C377" s="171" t="s">
        <v>676</v>
      </c>
      <c r="D377" s="177">
        <v>7</v>
      </c>
      <c r="E377" s="272">
        <v>0</v>
      </c>
      <c r="F377" s="273">
        <v>0</v>
      </c>
      <c r="G377" s="234">
        <v>0</v>
      </c>
      <c r="H377" s="234">
        <v>0</v>
      </c>
      <c r="I377" s="174">
        <v>0</v>
      </c>
      <c r="J377" s="234">
        <v>0</v>
      </c>
      <c r="K377" s="234">
        <v>0</v>
      </c>
      <c r="L377" s="175">
        <v>0</v>
      </c>
      <c r="M377" s="235">
        <v>0</v>
      </c>
      <c r="N377" s="235">
        <v>0</v>
      </c>
      <c r="O377" s="235">
        <v>0</v>
      </c>
      <c r="P377" s="237" t="e">
        <v>#DIV/0!</v>
      </c>
      <c r="Q377" s="238">
        <v>0</v>
      </c>
      <c r="R377" s="239">
        <v>0</v>
      </c>
      <c r="S377" s="240">
        <v>0</v>
      </c>
      <c r="T377" s="239">
        <v>0</v>
      </c>
      <c r="U377" s="241">
        <v>0</v>
      </c>
      <c r="V377" s="242">
        <v>0</v>
      </c>
      <c r="W377" s="243">
        <v>0</v>
      </c>
      <c r="X377" s="244">
        <v>0</v>
      </c>
      <c r="Y377" s="245">
        <v>0</v>
      </c>
      <c r="Z377" s="246">
        <v>0</v>
      </c>
      <c r="AA377" s="246">
        <v>0</v>
      </c>
      <c r="AB377" s="246">
        <v>0</v>
      </c>
      <c r="AC377" s="247">
        <v>0</v>
      </c>
      <c r="AD377" s="247">
        <v>0</v>
      </c>
      <c r="AE377" s="248">
        <v>0</v>
      </c>
      <c r="AF377" s="234">
        <f>-SUMIF('[1]Alt Fac'!$A$18:$A$139,'REPORT 4 - PROPERTY TAX'!A377,'[1]Alt Fac'!$U$18:$U$139)</f>
        <v>0</v>
      </c>
      <c r="AG377" s="247">
        <f t="shared" si="19"/>
        <v>0</v>
      </c>
      <c r="AH377" s="234">
        <f t="shared" si="20"/>
        <v>0</v>
      </c>
      <c r="AI377" s="234">
        <f t="shared" si="18"/>
        <v>0</v>
      </c>
      <c r="AJ377" s="170"/>
      <c r="AK377" s="170"/>
      <c r="AL377" s="170"/>
      <c r="AM377" s="170"/>
      <c r="AN377" s="170"/>
      <c r="AO377" s="170"/>
    </row>
    <row r="378" spans="1:41" hidden="1" x14ac:dyDescent="0.25">
      <c r="A378" s="170">
        <v>4005</v>
      </c>
      <c r="B378" s="170">
        <v>7</v>
      </c>
      <c r="C378" s="171" t="s">
        <v>247</v>
      </c>
      <c r="D378" s="177">
        <v>7</v>
      </c>
      <c r="E378" s="272">
        <v>0</v>
      </c>
      <c r="F378" s="273">
        <v>0</v>
      </c>
      <c r="G378" s="234">
        <v>0</v>
      </c>
      <c r="H378" s="234">
        <v>0</v>
      </c>
      <c r="I378" s="174">
        <v>0</v>
      </c>
      <c r="J378" s="234">
        <v>0</v>
      </c>
      <c r="K378" s="234">
        <v>0</v>
      </c>
      <c r="L378" s="175">
        <v>0</v>
      </c>
      <c r="M378" s="235">
        <v>0</v>
      </c>
      <c r="N378" s="235">
        <v>0</v>
      </c>
      <c r="O378" s="235">
        <v>0</v>
      </c>
      <c r="P378" s="237" t="e">
        <v>#DIV/0!</v>
      </c>
      <c r="Q378" s="238">
        <v>0</v>
      </c>
      <c r="R378" s="239">
        <v>0</v>
      </c>
      <c r="S378" s="240">
        <v>0</v>
      </c>
      <c r="T378" s="239">
        <v>0</v>
      </c>
      <c r="U378" s="241">
        <v>0</v>
      </c>
      <c r="V378" s="242">
        <v>0</v>
      </c>
      <c r="W378" s="243">
        <v>0</v>
      </c>
      <c r="X378" s="244">
        <v>0</v>
      </c>
      <c r="Y378" s="245">
        <v>0</v>
      </c>
      <c r="Z378" s="246">
        <v>0</v>
      </c>
      <c r="AA378" s="246">
        <v>0</v>
      </c>
      <c r="AB378" s="246">
        <v>0</v>
      </c>
      <c r="AC378" s="247">
        <v>0</v>
      </c>
      <c r="AD378" s="247">
        <v>0</v>
      </c>
      <c r="AE378" s="248">
        <v>0</v>
      </c>
      <c r="AF378" s="234">
        <f>-SUMIF('[1]Alt Fac'!$A$18:$A$139,'REPORT 4 - PROPERTY TAX'!A378,'[1]Alt Fac'!$U$18:$U$139)</f>
        <v>0</v>
      </c>
      <c r="AG378" s="247">
        <f t="shared" si="19"/>
        <v>0</v>
      </c>
      <c r="AH378" s="234">
        <f t="shared" si="20"/>
        <v>0</v>
      </c>
      <c r="AI378" s="234">
        <f t="shared" si="18"/>
        <v>0</v>
      </c>
      <c r="AJ378" s="170"/>
      <c r="AK378" s="170"/>
      <c r="AL378" s="170"/>
      <c r="AM378" s="170"/>
      <c r="AN378" s="170"/>
      <c r="AO378" s="170"/>
    </row>
    <row r="379" spans="1:41" hidden="1" x14ac:dyDescent="0.25">
      <c r="A379" s="170">
        <v>4007</v>
      </c>
      <c r="B379" s="170">
        <v>7</v>
      </c>
      <c r="C379" s="171" t="s">
        <v>668</v>
      </c>
      <c r="D379" s="177">
        <v>7</v>
      </c>
      <c r="E379" s="272">
        <v>0</v>
      </c>
      <c r="F379" s="273">
        <v>0</v>
      </c>
      <c r="G379" s="234">
        <v>0</v>
      </c>
      <c r="H379" s="234">
        <v>0</v>
      </c>
      <c r="I379" s="174">
        <v>0</v>
      </c>
      <c r="J379" s="234">
        <v>0</v>
      </c>
      <c r="K379" s="234">
        <v>0</v>
      </c>
      <c r="L379" s="175">
        <v>0</v>
      </c>
      <c r="M379" s="235">
        <v>0</v>
      </c>
      <c r="N379" s="235">
        <v>0</v>
      </c>
      <c r="O379" s="235">
        <v>0</v>
      </c>
      <c r="P379" s="237" t="e">
        <v>#DIV/0!</v>
      </c>
      <c r="Q379" s="238">
        <v>0</v>
      </c>
      <c r="R379" s="239">
        <v>0</v>
      </c>
      <c r="S379" s="240">
        <v>0</v>
      </c>
      <c r="T379" s="239">
        <v>0</v>
      </c>
      <c r="U379" s="241">
        <v>0</v>
      </c>
      <c r="V379" s="242">
        <v>0</v>
      </c>
      <c r="W379" s="243">
        <v>0</v>
      </c>
      <c r="X379" s="244">
        <v>0</v>
      </c>
      <c r="Y379" s="245">
        <v>0</v>
      </c>
      <c r="Z379" s="246">
        <v>0</v>
      </c>
      <c r="AA379" s="246">
        <v>0</v>
      </c>
      <c r="AB379" s="246">
        <v>0</v>
      </c>
      <c r="AC379" s="247">
        <v>0</v>
      </c>
      <c r="AD379" s="247">
        <v>0</v>
      </c>
      <c r="AE379" s="248">
        <v>0</v>
      </c>
      <c r="AF379" s="234">
        <f>-SUMIF('[1]Alt Fac'!$A$18:$A$139,'REPORT 4 - PROPERTY TAX'!A379,'[1]Alt Fac'!$U$18:$U$139)</f>
        <v>0</v>
      </c>
      <c r="AG379" s="247">
        <f t="shared" si="19"/>
        <v>0</v>
      </c>
      <c r="AH379" s="234">
        <f t="shared" si="20"/>
        <v>0</v>
      </c>
      <c r="AI379" s="234">
        <f t="shared" si="18"/>
        <v>0</v>
      </c>
      <c r="AJ379" s="170"/>
      <c r="AK379" s="170"/>
      <c r="AL379" s="170"/>
      <c r="AM379" s="170"/>
      <c r="AN379" s="170"/>
      <c r="AO379" s="170"/>
    </row>
    <row r="380" spans="1:41" hidden="1" x14ac:dyDescent="0.25">
      <c r="A380" s="170">
        <v>4008</v>
      </c>
      <c r="B380" s="170">
        <v>7</v>
      </c>
      <c r="C380" s="171" t="s">
        <v>582</v>
      </c>
      <c r="D380" s="177">
        <v>7</v>
      </c>
      <c r="E380" s="272">
        <v>0</v>
      </c>
      <c r="F380" s="273">
        <v>0</v>
      </c>
      <c r="G380" s="234">
        <v>0</v>
      </c>
      <c r="H380" s="234">
        <v>0</v>
      </c>
      <c r="I380" s="174">
        <v>0</v>
      </c>
      <c r="J380" s="234">
        <v>0</v>
      </c>
      <c r="K380" s="234">
        <v>0</v>
      </c>
      <c r="L380" s="175">
        <v>0</v>
      </c>
      <c r="M380" s="235">
        <v>0</v>
      </c>
      <c r="N380" s="235">
        <v>0</v>
      </c>
      <c r="O380" s="235">
        <v>0</v>
      </c>
      <c r="P380" s="237" t="e">
        <v>#DIV/0!</v>
      </c>
      <c r="Q380" s="238">
        <v>0</v>
      </c>
      <c r="R380" s="239">
        <v>0</v>
      </c>
      <c r="S380" s="240">
        <v>0</v>
      </c>
      <c r="T380" s="239">
        <v>0</v>
      </c>
      <c r="U380" s="241">
        <v>0</v>
      </c>
      <c r="V380" s="242">
        <v>0</v>
      </c>
      <c r="W380" s="243">
        <v>0</v>
      </c>
      <c r="X380" s="244">
        <v>0</v>
      </c>
      <c r="Y380" s="245">
        <v>0</v>
      </c>
      <c r="Z380" s="246">
        <v>0</v>
      </c>
      <c r="AA380" s="246">
        <v>0</v>
      </c>
      <c r="AB380" s="246">
        <v>0</v>
      </c>
      <c r="AC380" s="247">
        <v>0</v>
      </c>
      <c r="AD380" s="247">
        <v>0</v>
      </c>
      <c r="AE380" s="248">
        <v>0</v>
      </c>
      <c r="AF380" s="234">
        <f>-SUMIF('[1]Alt Fac'!$A$18:$A$139,'REPORT 4 - PROPERTY TAX'!A380,'[1]Alt Fac'!$U$18:$U$139)</f>
        <v>0</v>
      </c>
      <c r="AG380" s="247">
        <f t="shared" si="19"/>
        <v>0</v>
      </c>
      <c r="AH380" s="234">
        <f t="shared" si="20"/>
        <v>0</v>
      </c>
      <c r="AI380" s="234">
        <f t="shared" si="18"/>
        <v>0</v>
      </c>
      <c r="AJ380" s="170"/>
      <c r="AK380" s="170"/>
      <c r="AL380" s="170"/>
      <c r="AM380" s="170"/>
      <c r="AN380" s="170"/>
      <c r="AO380" s="170"/>
    </row>
    <row r="381" spans="1:41" hidden="1" x14ac:dyDescent="0.25">
      <c r="A381" s="170">
        <v>4011</v>
      </c>
      <c r="B381" s="170">
        <v>7</v>
      </c>
      <c r="C381" s="171" t="s">
        <v>552</v>
      </c>
      <c r="D381" s="177">
        <v>7</v>
      </c>
      <c r="E381" s="272">
        <v>0</v>
      </c>
      <c r="F381" s="273">
        <v>0</v>
      </c>
      <c r="G381" s="234">
        <v>0</v>
      </c>
      <c r="H381" s="234">
        <v>0</v>
      </c>
      <c r="I381" s="174">
        <v>0</v>
      </c>
      <c r="J381" s="234">
        <v>0</v>
      </c>
      <c r="K381" s="234">
        <v>0</v>
      </c>
      <c r="L381" s="175">
        <v>0</v>
      </c>
      <c r="M381" s="235">
        <v>0</v>
      </c>
      <c r="N381" s="235">
        <v>0</v>
      </c>
      <c r="O381" s="235">
        <v>0</v>
      </c>
      <c r="P381" s="237" t="e">
        <v>#DIV/0!</v>
      </c>
      <c r="Q381" s="238">
        <v>0</v>
      </c>
      <c r="R381" s="239">
        <v>0</v>
      </c>
      <c r="S381" s="240">
        <v>0</v>
      </c>
      <c r="T381" s="239">
        <v>0</v>
      </c>
      <c r="U381" s="241">
        <v>0</v>
      </c>
      <c r="V381" s="242">
        <v>0</v>
      </c>
      <c r="W381" s="243">
        <v>0</v>
      </c>
      <c r="X381" s="244">
        <v>0</v>
      </c>
      <c r="Y381" s="245">
        <v>0</v>
      </c>
      <c r="Z381" s="246">
        <v>0</v>
      </c>
      <c r="AA381" s="246">
        <v>0</v>
      </c>
      <c r="AB381" s="246">
        <v>0</v>
      </c>
      <c r="AC381" s="247">
        <v>0</v>
      </c>
      <c r="AD381" s="247">
        <v>0</v>
      </c>
      <c r="AE381" s="248">
        <v>0</v>
      </c>
      <c r="AF381" s="234">
        <f>-SUMIF('[1]Alt Fac'!$A$18:$A$139,'REPORT 4 - PROPERTY TAX'!A381,'[1]Alt Fac'!$U$18:$U$139)</f>
        <v>0</v>
      </c>
      <c r="AG381" s="247">
        <f t="shared" si="19"/>
        <v>0</v>
      </c>
      <c r="AH381" s="234">
        <f t="shared" si="20"/>
        <v>0</v>
      </c>
      <c r="AI381" s="234">
        <f t="shared" si="18"/>
        <v>0</v>
      </c>
      <c r="AJ381" s="170"/>
      <c r="AK381" s="170"/>
      <c r="AL381" s="170"/>
      <c r="AM381" s="170"/>
      <c r="AN381" s="170"/>
      <c r="AO381" s="170"/>
    </row>
    <row r="382" spans="1:41" hidden="1" x14ac:dyDescent="0.25">
      <c r="A382" s="170">
        <v>4015</v>
      </c>
      <c r="B382" s="170">
        <v>7</v>
      </c>
      <c r="C382" s="171" t="s">
        <v>627</v>
      </c>
      <c r="D382" s="177">
        <v>7</v>
      </c>
      <c r="E382" s="272">
        <v>0</v>
      </c>
      <c r="F382" s="273">
        <v>0</v>
      </c>
      <c r="G382" s="234">
        <v>0</v>
      </c>
      <c r="H382" s="234">
        <v>0</v>
      </c>
      <c r="I382" s="174">
        <v>0</v>
      </c>
      <c r="J382" s="234">
        <v>0</v>
      </c>
      <c r="K382" s="234">
        <v>0</v>
      </c>
      <c r="L382" s="175">
        <v>0</v>
      </c>
      <c r="M382" s="235">
        <v>0</v>
      </c>
      <c r="N382" s="235">
        <v>0</v>
      </c>
      <c r="O382" s="235">
        <v>0</v>
      </c>
      <c r="P382" s="237" t="e">
        <v>#DIV/0!</v>
      </c>
      <c r="Q382" s="238">
        <v>0</v>
      </c>
      <c r="R382" s="239">
        <v>0</v>
      </c>
      <c r="S382" s="240">
        <v>0</v>
      </c>
      <c r="T382" s="239">
        <v>0</v>
      </c>
      <c r="U382" s="241">
        <v>0</v>
      </c>
      <c r="V382" s="242">
        <v>0</v>
      </c>
      <c r="W382" s="243">
        <v>0</v>
      </c>
      <c r="X382" s="244">
        <v>0</v>
      </c>
      <c r="Y382" s="245">
        <v>0</v>
      </c>
      <c r="Z382" s="246">
        <v>0</v>
      </c>
      <c r="AA382" s="246">
        <v>0</v>
      </c>
      <c r="AB382" s="246">
        <v>0</v>
      </c>
      <c r="AC382" s="247">
        <v>0</v>
      </c>
      <c r="AD382" s="247">
        <v>0</v>
      </c>
      <c r="AE382" s="248">
        <v>0</v>
      </c>
      <c r="AF382" s="234">
        <f>-SUMIF('[1]Alt Fac'!$A$18:$A$139,'REPORT 4 - PROPERTY TAX'!A382,'[1]Alt Fac'!$U$18:$U$139)</f>
        <v>0</v>
      </c>
      <c r="AG382" s="247">
        <f t="shared" si="19"/>
        <v>0</v>
      </c>
      <c r="AH382" s="234">
        <f t="shared" si="20"/>
        <v>0</v>
      </c>
      <c r="AI382" s="234">
        <f t="shared" si="18"/>
        <v>0</v>
      </c>
      <c r="AJ382" s="170"/>
      <c r="AK382" s="170"/>
      <c r="AL382" s="170"/>
      <c r="AM382" s="170"/>
      <c r="AN382" s="170"/>
      <c r="AO382" s="170"/>
    </row>
    <row r="383" spans="1:41" hidden="1" x14ac:dyDescent="0.25">
      <c r="A383" s="170">
        <v>4016</v>
      </c>
      <c r="B383" s="170">
        <v>7</v>
      </c>
      <c r="C383" s="171" t="s">
        <v>557</v>
      </c>
      <c r="D383" s="177">
        <v>7</v>
      </c>
      <c r="E383" s="272">
        <v>0</v>
      </c>
      <c r="F383" s="273">
        <v>0</v>
      </c>
      <c r="G383" s="234">
        <v>0</v>
      </c>
      <c r="H383" s="234">
        <v>0</v>
      </c>
      <c r="I383" s="174">
        <v>0</v>
      </c>
      <c r="J383" s="234">
        <v>0</v>
      </c>
      <c r="K383" s="234">
        <v>0</v>
      </c>
      <c r="L383" s="175">
        <v>0</v>
      </c>
      <c r="M383" s="235">
        <v>0</v>
      </c>
      <c r="N383" s="235">
        <v>0</v>
      </c>
      <c r="O383" s="235">
        <v>0</v>
      </c>
      <c r="P383" s="237" t="e">
        <v>#DIV/0!</v>
      </c>
      <c r="Q383" s="238">
        <v>0</v>
      </c>
      <c r="R383" s="239">
        <v>0</v>
      </c>
      <c r="S383" s="240">
        <v>0</v>
      </c>
      <c r="T383" s="239">
        <v>0</v>
      </c>
      <c r="U383" s="241">
        <v>0</v>
      </c>
      <c r="V383" s="242">
        <v>0</v>
      </c>
      <c r="W383" s="243">
        <v>0</v>
      </c>
      <c r="X383" s="244">
        <v>0</v>
      </c>
      <c r="Y383" s="245">
        <v>0</v>
      </c>
      <c r="Z383" s="246">
        <v>0</v>
      </c>
      <c r="AA383" s="246">
        <v>0</v>
      </c>
      <c r="AB383" s="246">
        <v>0</v>
      </c>
      <c r="AC383" s="247">
        <v>0</v>
      </c>
      <c r="AD383" s="247">
        <v>0</v>
      </c>
      <c r="AE383" s="248">
        <v>0</v>
      </c>
      <c r="AF383" s="234">
        <f>-SUMIF('[1]Alt Fac'!$A$18:$A$139,'REPORT 4 - PROPERTY TAX'!A383,'[1]Alt Fac'!$U$18:$U$139)</f>
        <v>0</v>
      </c>
      <c r="AG383" s="247">
        <f t="shared" si="19"/>
        <v>0</v>
      </c>
      <c r="AH383" s="234">
        <f t="shared" si="20"/>
        <v>0</v>
      </c>
      <c r="AI383" s="234">
        <f t="shared" si="18"/>
        <v>0</v>
      </c>
      <c r="AJ383" s="170"/>
      <c r="AK383" s="170"/>
      <c r="AL383" s="170"/>
      <c r="AM383" s="170"/>
      <c r="AN383" s="170"/>
      <c r="AO383" s="170"/>
    </row>
    <row r="384" spans="1:41" hidden="1" x14ac:dyDescent="0.25">
      <c r="A384" s="170">
        <v>4017</v>
      </c>
      <c r="B384" s="170">
        <v>7</v>
      </c>
      <c r="C384" s="171" t="s">
        <v>347</v>
      </c>
      <c r="D384" s="177">
        <v>7</v>
      </c>
      <c r="E384" s="272">
        <v>0</v>
      </c>
      <c r="F384" s="273">
        <v>0</v>
      </c>
      <c r="G384" s="234">
        <v>0</v>
      </c>
      <c r="H384" s="234">
        <v>0</v>
      </c>
      <c r="I384" s="174">
        <v>0</v>
      </c>
      <c r="J384" s="234">
        <v>0</v>
      </c>
      <c r="K384" s="234">
        <v>0</v>
      </c>
      <c r="L384" s="175">
        <v>0</v>
      </c>
      <c r="M384" s="235">
        <v>0</v>
      </c>
      <c r="N384" s="235">
        <v>0</v>
      </c>
      <c r="O384" s="235">
        <v>0</v>
      </c>
      <c r="P384" s="237" t="e">
        <v>#DIV/0!</v>
      </c>
      <c r="Q384" s="238">
        <v>0</v>
      </c>
      <c r="R384" s="239">
        <v>0</v>
      </c>
      <c r="S384" s="240">
        <v>0</v>
      </c>
      <c r="T384" s="239">
        <v>0</v>
      </c>
      <c r="U384" s="241">
        <v>0</v>
      </c>
      <c r="V384" s="242">
        <v>0</v>
      </c>
      <c r="W384" s="243">
        <v>0</v>
      </c>
      <c r="X384" s="244">
        <v>0</v>
      </c>
      <c r="Y384" s="245">
        <v>0</v>
      </c>
      <c r="Z384" s="246">
        <v>0</v>
      </c>
      <c r="AA384" s="246">
        <v>0</v>
      </c>
      <c r="AB384" s="246">
        <v>0</v>
      </c>
      <c r="AC384" s="247">
        <v>0</v>
      </c>
      <c r="AD384" s="247">
        <v>0</v>
      </c>
      <c r="AE384" s="248">
        <v>0</v>
      </c>
      <c r="AF384" s="234">
        <f>-SUMIF('[1]Alt Fac'!$A$18:$A$139,'REPORT 4 - PROPERTY TAX'!A384,'[1]Alt Fac'!$U$18:$U$139)</f>
        <v>0</v>
      </c>
      <c r="AG384" s="247">
        <f t="shared" si="19"/>
        <v>0</v>
      </c>
      <c r="AH384" s="234">
        <f t="shared" si="20"/>
        <v>0</v>
      </c>
      <c r="AI384" s="234">
        <f t="shared" si="18"/>
        <v>0</v>
      </c>
      <c r="AJ384" s="170"/>
      <c r="AK384" s="170"/>
      <c r="AL384" s="170"/>
      <c r="AM384" s="170"/>
      <c r="AN384" s="170"/>
      <c r="AO384" s="170"/>
    </row>
    <row r="385" spans="1:35" hidden="1" x14ac:dyDescent="0.25">
      <c r="A385" s="170">
        <v>4018</v>
      </c>
      <c r="B385" s="170">
        <v>7</v>
      </c>
      <c r="C385" s="171" t="s">
        <v>580</v>
      </c>
      <c r="D385" s="177">
        <v>7</v>
      </c>
      <c r="E385" s="272">
        <v>0</v>
      </c>
      <c r="F385" s="273">
        <v>0</v>
      </c>
      <c r="G385" s="234">
        <v>0</v>
      </c>
      <c r="H385" s="234">
        <v>0</v>
      </c>
      <c r="I385" s="174">
        <v>0</v>
      </c>
      <c r="J385" s="234">
        <v>0</v>
      </c>
      <c r="K385" s="234">
        <v>0</v>
      </c>
      <c r="L385" s="175">
        <v>0</v>
      </c>
      <c r="M385" s="235">
        <v>0</v>
      </c>
      <c r="N385" s="235">
        <v>0</v>
      </c>
      <c r="O385" s="235">
        <v>0</v>
      </c>
      <c r="P385" s="237" t="e">
        <v>#DIV/0!</v>
      </c>
      <c r="Q385" s="238">
        <v>0</v>
      </c>
      <c r="R385" s="239">
        <v>0</v>
      </c>
      <c r="S385" s="240">
        <v>0</v>
      </c>
      <c r="T385" s="239">
        <v>0</v>
      </c>
      <c r="U385" s="241">
        <v>0</v>
      </c>
      <c r="V385" s="242">
        <v>0</v>
      </c>
      <c r="W385" s="243">
        <v>0</v>
      </c>
      <c r="X385" s="244">
        <v>0</v>
      </c>
      <c r="Y385" s="245">
        <v>0</v>
      </c>
      <c r="Z385" s="246">
        <v>0</v>
      </c>
      <c r="AA385" s="246">
        <v>0</v>
      </c>
      <c r="AB385" s="246">
        <v>0</v>
      </c>
      <c r="AC385" s="247">
        <v>0</v>
      </c>
      <c r="AD385" s="247">
        <v>0</v>
      </c>
      <c r="AE385" s="248">
        <v>0</v>
      </c>
      <c r="AF385" s="234">
        <f>-SUMIF('[1]Alt Fac'!$A$18:$A$139,'REPORT 4 - PROPERTY TAX'!A385,'[1]Alt Fac'!$U$18:$U$139)</f>
        <v>0</v>
      </c>
      <c r="AG385" s="247">
        <f t="shared" si="19"/>
        <v>0</v>
      </c>
      <c r="AH385" s="234">
        <f t="shared" si="20"/>
        <v>0</v>
      </c>
      <c r="AI385" s="234">
        <f t="shared" si="18"/>
        <v>0</v>
      </c>
    </row>
    <row r="386" spans="1:35" hidden="1" x14ac:dyDescent="0.25">
      <c r="A386" s="170">
        <v>4020</v>
      </c>
      <c r="B386" s="170">
        <v>7</v>
      </c>
      <c r="C386" s="171" t="s">
        <v>592</v>
      </c>
      <c r="D386" s="177">
        <v>7</v>
      </c>
      <c r="E386" s="272">
        <v>0</v>
      </c>
      <c r="F386" s="273">
        <v>0</v>
      </c>
      <c r="G386" s="234">
        <v>0</v>
      </c>
      <c r="H386" s="234">
        <v>0</v>
      </c>
      <c r="I386" s="174">
        <v>0</v>
      </c>
      <c r="J386" s="234">
        <v>0</v>
      </c>
      <c r="K386" s="234">
        <v>0</v>
      </c>
      <c r="L386" s="175">
        <v>0</v>
      </c>
      <c r="M386" s="235">
        <v>0</v>
      </c>
      <c r="N386" s="235">
        <v>0</v>
      </c>
      <c r="O386" s="235">
        <v>0</v>
      </c>
      <c r="P386" s="237" t="e">
        <v>#DIV/0!</v>
      </c>
      <c r="Q386" s="238">
        <v>0</v>
      </c>
      <c r="R386" s="239">
        <v>0</v>
      </c>
      <c r="S386" s="240">
        <v>0</v>
      </c>
      <c r="T386" s="239">
        <v>0</v>
      </c>
      <c r="U386" s="241">
        <v>0</v>
      </c>
      <c r="V386" s="242">
        <v>0</v>
      </c>
      <c r="W386" s="243">
        <v>0</v>
      </c>
      <c r="X386" s="244">
        <v>0</v>
      </c>
      <c r="Y386" s="245">
        <v>0</v>
      </c>
      <c r="Z386" s="246">
        <v>0</v>
      </c>
      <c r="AA386" s="246">
        <v>0</v>
      </c>
      <c r="AB386" s="246">
        <v>0</v>
      </c>
      <c r="AC386" s="247">
        <v>0</v>
      </c>
      <c r="AD386" s="247">
        <v>0</v>
      </c>
      <c r="AE386" s="248">
        <v>0</v>
      </c>
      <c r="AF386" s="234">
        <f>-SUMIF('[1]Alt Fac'!$A$18:$A$139,'REPORT 4 - PROPERTY TAX'!A386,'[1]Alt Fac'!$U$18:$U$139)</f>
        <v>0</v>
      </c>
      <c r="AG386" s="247">
        <f t="shared" si="19"/>
        <v>0</v>
      </c>
      <c r="AH386" s="234">
        <f t="shared" si="20"/>
        <v>0</v>
      </c>
      <c r="AI386" s="234">
        <f t="shared" si="18"/>
        <v>0</v>
      </c>
    </row>
    <row r="387" spans="1:35" hidden="1" x14ac:dyDescent="0.25">
      <c r="A387" s="170">
        <v>4025</v>
      </c>
      <c r="B387" s="170">
        <v>7</v>
      </c>
      <c r="C387" s="171" t="s">
        <v>598</v>
      </c>
      <c r="D387" s="177">
        <v>7</v>
      </c>
      <c r="E387" s="272">
        <v>0</v>
      </c>
      <c r="F387" s="273">
        <v>0</v>
      </c>
      <c r="G387" s="234">
        <v>0</v>
      </c>
      <c r="H387" s="234">
        <v>0</v>
      </c>
      <c r="I387" s="174">
        <v>0</v>
      </c>
      <c r="J387" s="234">
        <v>0</v>
      </c>
      <c r="K387" s="234">
        <v>0</v>
      </c>
      <c r="L387" s="175">
        <v>0</v>
      </c>
      <c r="M387" s="235">
        <v>0</v>
      </c>
      <c r="N387" s="235">
        <v>0</v>
      </c>
      <c r="O387" s="235">
        <v>0</v>
      </c>
      <c r="P387" s="237" t="e">
        <v>#DIV/0!</v>
      </c>
      <c r="Q387" s="238">
        <v>0</v>
      </c>
      <c r="R387" s="239">
        <v>0</v>
      </c>
      <c r="S387" s="240">
        <v>0</v>
      </c>
      <c r="T387" s="239">
        <v>0</v>
      </c>
      <c r="U387" s="241">
        <v>0</v>
      </c>
      <c r="V387" s="242">
        <v>0</v>
      </c>
      <c r="W387" s="243">
        <v>0</v>
      </c>
      <c r="X387" s="244">
        <v>0</v>
      </c>
      <c r="Y387" s="245">
        <v>0</v>
      </c>
      <c r="Z387" s="246">
        <v>0</v>
      </c>
      <c r="AA387" s="246">
        <v>0</v>
      </c>
      <c r="AB387" s="246">
        <v>0</v>
      </c>
      <c r="AC387" s="247">
        <v>0</v>
      </c>
      <c r="AD387" s="247">
        <v>0</v>
      </c>
      <c r="AE387" s="248">
        <v>0</v>
      </c>
      <c r="AF387" s="234">
        <f>-SUMIF('[1]Alt Fac'!$A$18:$A$139,'REPORT 4 - PROPERTY TAX'!A387,'[1]Alt Fac'!$U$18:$U$139)</f>
        <v>0</v>
      </c>
      <c r="AG387" s="247">
        <f t="shared" si="19"/>
        <v>0</v>
      </c>
      <c r="AH387" s="234">
        <f t="shared" si="20"/>
        <v>0</v>
      </c>
      <c r="AI387" s="234">
        <f t="shared" si="18"/>
        <v>0</v>
      </c>
    </row>
    <row r="388" spans="1:35" hidden="1" x14ac:dyDescent="0.25">
      <c r="A388" s="170">
        <v>4026</v>
      </c>
      <c r="B388" s="170">
        <v>7</v>
      </c>
      <c r="C388" s="171" t="s">
        <v>679</v>
      </c>
      <c r="D388" s="177">
        <v>7</v>
      </c>
      <c r="E388" s="272">
        <v>0</v>
      </c>
      <c r="F388" s="273">
        <v>0</v>
      </c>
      <c r="G388" s="234">
        <v>0</v>
      </c>
      <c r="H388" s="234">
        <v>0</v>
      </c>
      <c r="I388" s="174">
        <v>0</v>
      </c>
      <c r="J388" s="234">
        <v>0</v>
      </c>
      <c r="K388" s="234">
        <v>0</v>
      </c>
      <c r="L388" s="175">
        <v>0</v>
      </c>
      <c r="M388" s="235">
        <v>0</v>
      </c>
      <c r="N388" s="235">
        <v>0</v>
      </c>
      <c r="O388" s="235">
        <v>0</v>
      </c>
      <c r="P388" s="237" t="e">
        <v>#DIV/0!</v>
      </c>
      <c r="Q388" s="238">
        <v>0</v>
      </c>
      <c r="R388" s="239">
        <v>0</v>
      </c>
      <c r="S388" s="240">
        <v>0</v>
      </c>
      <c r="T388" s="239">
        <v>0</v>
      </c>
      <c r="U388" s="241">
        <v>0</v>
      </c>
      <c r="V388" s="242">
        <v>0</v>
      </c>
      <c r="W388" s="243">
        <v>0</v>
      </c>
      <c r="X388" s="244">
        <v>0</v>
      </c>
      <c r="Y388" s="245">
        <v>0</v>
      </c>
      <c r="Z388" s="246">
        <v>0</v>
      </c>
      <c r="AA388" s="246">
        <v>0</v>
      </c>
      <c r="AB388" s="246">
        <v>0</v>
      </c>
      <c r="AC388" s="247">
        <v>0</v>
      </c>
      <c r="AD388" s="247">
        <v>0</v>
      </c>
      <c r="AE388" s="248">
        <v>0</v>
      </c>
      <c r="AF388" s="234">
        <f>-SUMIF('[1]Alt Fac'!$A$18:$A$139,'REPORT 4 - PROPERTY TAX'!A388,'[1]Alt Fac'!$U$18:$U$139)</f>
        <v>0</v>
      </c>
      <c r="AG388" s="247">
        <f t="shared" si="19"/>
        <v>0</v>
      </c>
      <c r="AH388" s="234">
        <f t="shared" si="20"/>
        <v>0</v>
      </c>
      <c r="AI388" s="234">
        <f t="shared" si="18"/>
        <v>0</v>
      </c>
    </row>
    <row r="389" spans="1:35" hidden="1" x14ac:dyDescent="0.25">
      <c r="A389" s="170">
        <v>4027</v>
      </c>
      <c r="B389" s="170">
        <v>7</v>
      </c>
      <c r="C389" s="171" t="s">
        <v>273</v>
      </c>
      <c r="D389" s="177">
        <v>7</v>
      </c>
      <c r="E389" s="272">
        <v>0</v>
      </c>
      <c r="F389" s="273">
        <v>0</v>
      </c>
      <c r="G389" s="234">
        <v>0</v>
      </c>
      <c r="H389" s="234">
        <v>0</v>
      </c>
      <c r="I389" s="174">
        <v>0</v>
      </c>
      <c r="J389" s="234">
        <v>0</v>
      </c>
      <c r="K389" s="234">
        <v>0</v>
      </c>
      <c r="L389" s="175">
        <v>0</v>
      </c>
      <c r="M389" s="235">
        <v>0</v>
      </c>
      <c r="N389" s="235">
        <v>0</v>
      </c>
      <c r="O389" s="235">
        <v>0</v>
      </c>
      <c r="P389" s="237" t="e">
        <v>#DIV/0!</v>
      </c>
      <c r="Q389" s="238">
        <v>0</v>
      </c>
      <c r="R389" s="239">
        <v>0</v>
      </c>
      <c r="S389" s="240">
        <v>0</v>
      </c>
      <c r="T389" s="239">
        <v>0</v>
      </c>
      <c r="U389" s="241">
        <v>0</v>
      </c>
      <c r="V389" s="242">
        <v>0</v>
      </c>
      <c r="W389" s="243">
        <v>0</v>
      </c>
      <c r="X389" s="244">
        <v>0</v>
      </c>
      <c r="Y389" s="245">
        <v>0</v>
      </c>
      <c r="Z389" s="246">
        <v>0</v>
      </c>
      <c r="AA389" s="246">
        <v>0</v>
      </c>
      <c r="AB389" s="246">
        <v>0</v>
      </c>
      <c r="AC389" s="247">
        <v>0</v>
      </c>
      <c r="AD389" s="247">
        <v>0</v>
      </c>
      <c r="AE389" s="248">
        <v>0</v>
      </c>
      <c r="AF389" s="234">
        <f>-SUMIF('[1]Alt Fac'!$A$18:$A$139,'REPORT 4 - PROPERTY TAX'!A389,'[1]Alt Fac'!$U$18:$U$139)</f>
        <v>0</v>
      </c>
      <c r="AG389" s="247">
        <f t="shared" si="19"/>
        <v>0</v>
      </c>
      <c r="AH389" s="234">
        <f t="shared" si="20"/>
        <v>0</v>
      </c>
      <c r="AI389" s="234">
        <f t="shared" si="18"/>
        <v>0</v>
      </c>
    </row>
    <row r="390" spans="1:35" hidden="1" x14ac:dyDescent="0.25">
      <c r="A390" s="170">
        <v>4029</v>
      </c>
      <c r="B390" s="170">
        <v>7</v>
      </c>
      <c r="C390" s="171" t="s">
        <v>680</v>
      </c>
      <c r="D390" s="177">
        <v>7</v>
      </c>
      <c r="E390" s="272">
        <v>0</v>
      </c>
      <c r="F390" s="273">
        <v>0</v>
      </c>
      <c r="G390" s="234">
        <v>0</v>
      </c>
      <c r="H390" s="234">
        <v>0</v>
      </c>
      <c r="I390" s="174">
        <v>0</v>
      </c>
      <c r="J390" s="234">
        <v>0</v>
      </c>
      <c r="K390" s="234">
        <v>0</v>
      </c>
      <c r="L390" s="175">
        <v>0</v>
      </c>
      <c r="M390" s="235">
        <v>0</v>
      </c>
      <c r="N390" s="235">
        <v>0</v>
      </c>
      <c r="O390" s="235">
        <v>0</v>
      </c>
      <c r="P390" s="237" t="e">
        <v>#DIV/0!</v>
      </c>
      <c r="Q390" s="238">
        <v>0</v>
      </c>
      <c r="R390" s="239">
        <v>0</v>
      </c>
      <c r="S390" s="240">
        <v>0</v>
      </c>
      <c r="T390" s="239">
        <v>0</v>
      </c>
      <c r="U390" s="241">
        <v>0</v>
      </c>
      <c r="V390" s="242">
        <v>0</v>
      </c>
      <c r="W390" s="243">
        <v>0</v>
      </c>
      <c r="X390" s="244">
        <v>0</v>
      </c>
      <c r="Y390" s="245">
        <v>0</v>
      </c>
      <c r="Z390" s="246">
        <v>0</v>
      </c>
      <c r="AA390" s="246">
        <v>0</v>
      </c>
      <c r="AB390" s="246">
        <v>0</v>
      </c>
      <c r="AC390" s="247">
        <v>0</v>
      </c>
      <c r="AD390" s="247">
        <v>0</v>
      </c>
      <c r="AE390" s="248">
        <v>0</v>
      </c>
      <c r="AF390" s="234">
        <f>-SUMIF('[1]Alt Fac'!$A$18:$A$139,'REPORT 4 - PROPERTY TAX'!A390,'[1]Alt Fac'!$U$18:$U$139)</f>
        <v>0</v>
      </c>
      <c r="AG390" s="247">
        <f t="shared" si="19"/>
        <v>0</v>
      </c>
      <c r="AH390" s="234">
        <f t="shared" si="20"/>
        <v>0</v>
      </c>
      <c r="AI390" s="234">
        <f t="shared" si="18"/>
        <v>0</v>
      </c>
    </row>
    <row r="391" spans="1:35" hidden="1" x14ac:dyDescent="0.25">
      <c r="A391" s="170">
        <v>4030</v>
      </c>
      <c r="B391" s="170">
        <v>7</v>
      </c>
      <c r="C391" s="171" t="s">
        <v>682</v>
      </c>
      <c r="D391" s="177">
        <v>7</v>
      </c>
      <c r="E391" s="272">
        <v>0</v>
      </c>
      <c r="F391" s="273">
        <v>0</v>
      </c>
      <c r="G391" s="234">
        <v>0</v>
      </c>
      <c r="H391" s="234">
        <v>0</v>
      </c>
      <c r="I391" s="174">
        <v>0</v>
      </c>
      <c r="J391" s="234">
        <v>0</v>
      </c>
      <c r="K391" s="234">
        <v>0</v>
      </c>
      <c r="L391" s="175">
        <v>0</v>
      </c>
      <c r="M391" s="235">
        <v>0</v>
      </c>
      <c r="N391" s="235">
        <v>0</v>
      </c>
      <c r="O391" s="235">
        <v>0</v>
      </c>
      <c r="P391" s="237" t="e">
        <v>#DIV/0!</v>
      </c>
      <c r="Q391" s="238">
        <v>0</v>
      </c>
      <c r="R391" s="239">
        <v>0</v>
      </c>
      <c r="S391" s="240">
        <v>0</v>
      </c>
      <c r="T391" s="239">
        <v>0</v>
      </c>
      <c r="U391" s="241">
        <v>0</v>
      </c>
      <c r="V391" s="242">
        <v>0</v>
      </c>
      <c r="W391" s="243">
        <v>0</v>
      </c>
      <c r="X391" s="244">
        <v>0</v>
      </c>
      <c r="Y391" s="245">
        <v>0</v>
      </c>
      <c r="Z391" s="246">
        <v>0</v>
      </c>
      <c r="AA391" s="246">
        <v>0</v>
      </c>
      <c r="AB391" s="246">
        <v>0</v>
      </c>
      <c r="AC391" s="247">
        <v>0</v>
      </c>
      <c r="AD391" s="247">
        <v>0</v>
      </c>
      <c r="AE391" s="248">
        <v>0</v>
      </c>
      <c r="AF391" s="234">
        <f>-SUMIF('[1]Alt Fac'!$A$18:$A$139,'REPORT 4 - PROPERTY TAX'!A391,'[1]Alt Fac'!$U$18:$U$139)</f>
        <v>0</v>
      </c>
      <c r="AG391" s="247">
        <f t="shared" si="19"/>
        <v>0</v>
      </c>
      <c r="AH391" s="234">
        <f t="shared" si="20"/>
        <v>0</v>
      </c>
      <c r="AI391" s="234">
        <f t="shared" si="18"/>
        <v>0</v>
      </c>
    </row>
    <row r="392" spans="1:35" hidden="1" x14ac:dyDescent="0.25">
      <c r="A392" s="170">
        <v>4031</v>
      </c>
      <c r="B392" s="170">
        <v>7</v>
      </c>
      <c r="C392" s="171" t="s">
        <v>261</v>
      </c>
      <c r="D392" s="177">
        <v>7</v>
      </c>
      <c r="E392" s="272">
        <v>0</v>
      </c>
      <c r="F392" s="273">
        <v>0</v>
      </c>
      <c r="G392" s="234">
        <v>0</v>
      </c>
      <c r="H392" s="234">
        <v>0</v>
      </c>
      <c r="I392" s="174">
        <v>0</v>
      </c>
      <c r="J392" s="234">
        <v>0</v>
      </c>
      <c r="K392" s="234">
        <v>0</v>
      </c>
      <c r="L392" s="175">
        <v>0</v>
      </c>
      <c r="M392" s="235">
        <v>0</v>
      </c>
      <c r="N392" s="235">
        <v>0</v>
      </c>
      <c r="O392" s="235">
        <v>0</v>
      </c>
      <c r="P392" s="237" t="e">
        <v>#DIV/0!</v>
      </c>
      <c r="Q392" s="238">
        <v>0</v>
      </c>
      <c r="R392" s="239">
        <v>0</v>
      </c>
      <c r="S392" s="240">
        <v>0</v>
      </c>
      <c r="T392" s="239">
        <v>0</v>
      </c>
      <c r="U392" s="241">
        <v>0</v>
      </c>
      <c r="V392" s="242">
        <v>0</v>
      </c>
      <c r="W392" s="243">
        <v>0</v>
      </c>
      <c r="X392" s="244">
        <v>0</v>
      </c>
      <c r="Y392" s="245">
        <v>0</v>
      </c>
      <c r="Z392" s="246">
        <v>0</v>
      </c>
      <c r="AA392" s="246">
        <v>0</v>
      </c>
      <c r="AB392" s="246">
        <v>0</v>
      </c>
      <c r="AC392" s="247">
        <v>0</v>
      </c>
      <c r="AD392" s="247">
        <v>0</v>
      </c>
      <c r="AE392" s="248">
        <v>0</v>
      </c>
      <c r="AF392" s="234">
        <f>-SUMIF('[1]Alt Fac'!$A$18:$A$139,'REPORT 4 - PROPERTY TAX'!A392,'[1]Alt Fac'!$U$18:$U$139)</f>
        <v>0</v>
      </c>
      <c r="AG392" s="247">
        <f t="shared" si="19"/>
        <v>0</v>
      </c>
      <c r="AH392" s="234">
        <f t="shared" si="20"/>
        <v>0</v>
      </c>
      <c r="AI392" s="234">
        <f t="shared" si="18"/>
        <v>0</v>
      </c>
    </row>
    <row r="393" spans="1:35" hidden="1" x14ac:dyDescent="0.25">
      <c r="A393" s="170">
        <v>4032</v>
      </c>
      <c r="B393" s="170">
        <v>7</v>
      </c>
      <c r="C393" s="171" t="s">
        <v>283</v>
      </c>
      <c r="D393" s="177">
        <v>7</v>
      </c>
      <c r="E393" s="272">
        <v>0</v>
      </c>
      <c r="F393" s="273">
        <v>0</v>
      </c>
      <c r="G393" s="234">
        <v>0</v>
      </c>
      <c r="H393" s="234">
        <v>0</v>
      </c>
      <c r="I393" s="174">
        <v>0</v>
      </c>
      <c r="J393" s="234">
        <v>0</v>
      </c>
      <c r="K393" s="234">
        <v>0</v>
      </c>
      <c r="L393" s="175">
        <v>0</v>
      </c>
      <c r="M393" s="235">
        <v>0</v>
      </c>
      <c r="N393" s="235">
        <v>0</v>
      </c>
      <c r="O393" s="235">
        <v>0</v>
      </c>
      <c r="P393" s="237" t="e">
        <v>#DIV/0!</v>
      </c>
      <c r="Q393" s="238">
        <v>0</v>
      </c>
      <c r="R393" s="239">
        <v>0</v>
      </c>
      <c r="S393" s="240">
        <v>0</v>
      </c>
      <c r="T393" s="239">
        <v>0</v>
      </c>
      <c r="U393" s="241">
        <v>0</v>
      </c>
      <c r="V393" s="242">
        <v>0</v>
      </c>
      <c r="W393" s="243">
        <v>0</v>
      </c>
      <c r="X393" s="244">
        <v>0</v>
      </c>
      <c r="Y393" s="245">
        <v>0</v>
      </c>
      <c r="Z393" s="246">
        <v>0</v>
      </c>
      <c r="AA393" s="246">
        <v>0</v>
      </c>
      <c r="AB393" s="246">
        <v>0</v>
      </c>
      <c r="AC393" s="247">
        <v>0</v>
      </c>
      <c r="AD393" s="247">
        <v>0</v>
      </c>
      <c r="AE393" s="248">
        <v>0</v>
      </c>
      <c r="AF393" s="234">
        <f>-SUMIF('[1]Alt Fac'!$A$18:$A$139,'REPORT 4 - PROPERTY TAX'!A393,'[1]Alt Fac'!$U$18:$U$139)</f>
        <v>0</v>
      </c>
      <c r="AG393" s="247">
        <f t="shared" si="19"/>
        <v>0</v>
      </c>
      <c r="AH393" s="234">
        <f t="shared" si="20"/>
        <v>0</v>
      </c>
      <c r="AI393" s="234">
        <f t="shared" si="18"/>
        <v>0</v>
      </c>
    </row>
    <row r="394" spans="1:35" hidden="1" x14ac:dyDescent="0.25">
      <c r="A394" s="170">
        <v>4035</v>
      </c>
      <c r="B394" s="170">
        <v>7</v>
      </c>
      <c r="C394" s="171" t="s">
        <v>249</v>
      </c>
      <c r="D394" s="177">
        <v>7</v>
      </c>
      <c r="E394" s="272">
        <v>0</v>
      </c>
      <c r="F394" s="273">
        <v>0</v>
      </c>
      <c r="G394" s="234">
        <v>0</v>
      </c>
      <c r="H394" s="234">
        <v>0</v>
      </c>
      <c r="I394" s="174">
        <v>0</v>
      </c>
      <c r="J394" s="234">
        <v>0</v>
      </c>
      <c r="K394" s="234">
        <v>0</v>
      </c>
      <c r="L394" s="175">
        <v>0</v>
      </c>
      <c r="M394" s="235">
        <v>0</v>
      </c>
      <c r="N394" s="235">
        <v>0</v>
      </c>
      <c r="O394" s="235">
        <v>0</v>
      </c>
      <c r="P394" s="237" t="e">
        <v>#DIV/0!</v>
      </c>
      <c r="Q394" s="238">
        <v>0</v>
      </c>
      <c r="R394" s="239">
        <v>0</v>
      </c>
      <c r="S394" s="240">
        <v>0</v>
      </c>
      <c r="T394" s="239">
        <v>0</v>
      </c>
      <c r="U394" s="241">
        <v>0</v>
      </c>
      <c r="V394" s="242">
        <v>0</v>
      </c>
      <c r="W394" s="243">
        <v>0</v>
      </c>
      <c r="X394" s="244">
        <v>0</v>
      </c>
      <c r="Y394" s="245">
        <v>0</v>
      </c>
      <c r="Z394" s="246">
        <v>0</v>
      </c>
      <c r="AA394" s="246">
        <v>0</v>
      </c>
      <c r="AB394" s="246">
        <v>0</v>
      </c>
      <c r="AC394" s="247">
        <v>0</v>
      </c>
      <c r="AD394" s="247">
        <v>0</v>
      </c>
      <c r="AE394" s="248">
        <v>0</v>
      </c>
      <c r="AF394" s="234">
        <f>-SUMIF('[1]Alt Fac'!$A$18:$A$139,'REPORT 4 - PROPERTY TAX'!A394,'[1]Alt Fac'!$U$18:$U$139)</f>
        <v>0</v>
      </c>
      <c r="AG394" s="247">
        <f t="shared" si="19"/>
        <v>0</v>
      </c>
      <c r="AH394" s="234">
        <f t="shared" si="20"/>
        <v>0</v>
      </c>
      <c r="AI394" s="234">
        <f t="shared" si="18"/>
        <v>0</v>
      </c>
    </row>
    <row r="395" spans="1:35" hidden="1" x14ac:dyDescent="0.25">
      <c r="A395" s="170">
        <v>4036</v>
      </c>
      <c r="B395" s="170">
        <v>7</v>
      </c>
      <c r="C395" s="171" t="s">
        <v>684</v>
      </c>
      <c r="D395" s="177">
        <v>7</v>
      </c>
      <c r="E395" s="272">
        <v>0</v>
      </c>
      <c r="F395" s="273">
        <v>0</v>
      </c>
      <c r="G395" s="234">
        <v>0</v>
      </c>
      <c r="H395" s="234">
        <v>0</v>
      </c>
      <c r="I395" s="174">
        <v>0</v>
      </c>
      <c r="J395" s="234">
        <v>0</v>
      </c>
      <c r="K395" s="234">
        <v>0</v>
      </c>
      <c r="L395" s="175">
        <v>0</v>
      </c>
      <c r="M395" s="235">
        <v>0</v>
      </c>
      <c r="N395" s="235">
        <v>0</v>
      </c>
      <c r="O395" s="235">
        <v>0</v>
      </c>
      <c r="P395" s="237" t="e">
        <v>#DIV/0!</v>
      </c>
      <c r="Q395" s="238">
        <v>0</v>
      </c>
      <c r="R395" s="239">
        <v>0</v>
      </c>
      <c r="S395" s="240">
        <v>0</v>
      </c>
      <c r="T395" s="239">
        <v>0</v>
      </c>
      <c r="U395" s="241">
        <v>0</v>
      </c>
      <c r="V395" s="242">
        <v>0</v>
      </c>
      <c r="W395" s="243">
        <v>0</v>
      </c>
      <c r="X395" s="244">
        <v>0</v>
      </c>
      <c r="Y395" s="245">
        <v>0</v>
      </c>
      <c r="Z395" s="246">
        <v>0</v>
      </c>
      <c r="AA395" s="246">
        <v>0</v>
      </c>
      <c r="AB395" s="246">
        <v>0</v>
      </c>
      <c r="AC395" s="247">
        <v>0</v>
      </c>
      <c r="AD395" s="247">
        <v>0</v>
      </c>
      <c r="AE395" s="248">
        <v>0</v>
      </c>
      <c r="AF395" s="234">
        <f>-SUMIF('[1]Alt Fac'!$A$18:$A$139,'REPORT 4 - PROPERTY TAX'!A395,'[1]Alt Fac'!$U$18:$U$139)</f>
        <v>0</v>
      </c>
      <c r="AG395" s="247">
        <f t="shared" si="19"/>
        <v>0</v>
      </c>
      <c r="AH395" s="234">
        <f t="shared" si="20"/>
        <v>0</v>
      </c>
      <c r="AI395" s="234">
        <f t="shared" si="18"/>
        <v>0</v>
      </c>
    </row>
    <row r="396" spans="1:35" hidden="1" x14ac:dyDescent="0.25">
      <c r="A396" s="170">
        <v>4038</v>
      </c>
      <c r="B396" s="170">
        <v>7</v>
      </c>
      <c r="C396" s="171" t="s">
        <v>685</v>
      </c>
      <c r="D396" s="177">
        <v>7</v>
      </c>
      <c r="E396" s="272">
        <v>0</v>
      </c>
      <c r="F396" s="273">
        <v>0</v>
      </c>
      <c r="G396" s="234">
        <v>0</v>
      </c>
      <c r="H396" s="234">
        <v>0</v>
      </c>
      <c r="I396" s="174">
        <v>0</v>
      </c>
      <c r="J396" s="234">
        <v>0</v>
      </c>
      <c r="K396" s="234">
        <v>0</v>
      </c>
      <c r="L396" s="175">
        <v>0</v>
      </c>
      <c r="M396" s="235">
        <v>0</v>
      </c>
      <c r="N396" s="235">
        <v>0</v>
      </c>
      <c r="O396" s="235">
        <v>0</v>
      </c>
      <c r="P396" s="237" t="e">
        <v>#DIV/0!</v>
      </c>
      <c r="Q396" s="238">
        <v>0</v>
      </c>
      <c r="R396" s="239">
        <v>0</v>
      </c>
      <c r="S396" s="240">
        <v>0</v>
      </c>
      <c r="T396" s="239">
        <v>0</v>
      </c>
      <c r="U396" s="241">
        <v>0</v>
      </c>
      <c r="V396" s="242">
        <v>0</v>
      </c>
      <c r="W396" s="243">
        <v>0</v>
      </c>
      <c r="X396" s="244">
        <v>0</v>
      </c>
      <c r="Y396" s="245">
        <v>0</v>
      </c>
      <c r="Z396" s="246">
        <v>0</v>
      </c>
      <c r="AA396" s="246">
        <v>0</v>
      </c>
      <c r="AB396" s="246">
        <v>0</v>
      </c>
      <c r="AC396" s="247">
        <v>0</v>
      </c>
      <c r="AD396" s="247">
        <v>0</v>
      </c>
      <c r="AE396" s="248">
        <v>0</v>
      </c>
      <c r="AF396" s="234">
        <f>-SUMIF('[1]Alt Fac'!$A$18:$A$139,'REPORT 4 - PROPERTY TAX'!A396,'[1]Alt Fac'!$U$18:$U$139)</f>
        <v>0</v>
      </c>
      <c r="AG396" s="247">
        <f t="shared" si="19"/>
        <v>0</v>
      </c>
      <c r="AH396" s="234">
        <f t="shared" si="20"/>
        <v>0</v>
      </c>
      <c r="AI396" s="234">
        <f t="shared" si="18"/>
        <v>0</v>
      </c>
    </row>
    <row r="397" spans="1:35" hidden="1" x14ac:dyDescent="0.25">
      <c r="A397" s="170">
        <v>4039</v>
      </c>
      <c r="B397" s="170">
        <v>7</v>
      </c>
      <c r="C397" s="171" t="s">
        <v>686</v>
      </c>
      <c r="D397" s="177">
        <v>7</v>
      </c>
      <c r="E397" s="272">
        <v>0</v>
      </c>
      <c r="F397" s="273">
        <v>0</v>
      </c>
      <c r="G397" s="234">
        <v>0</v>
      </c>
      <c r="H397" s="234">
        <v>0</v>
      </c>
      <c r="I397" s="174">
        <v>0</v>
      </c>
      <c r="J397" s="234">
        <v>0</v>
      </c>
      <c r="K397" s="234">
        <v>0</v>
      </c>
      <c r="L397" s="175">
        <v>0</v>
      </c>
      <c r="M397" s="235">
        <v>0</v>
      </c>
      <c r="N397" s="235">
        <v>0</v>
      </c>
      <c r="O397" s="235">
        <v>0</v>
      </c>
      <c r="P397" s="237" t="e">
        <v>#DIV/0!</v>
      </c>
      <c r="Q397" s="238">
        <v>0</v>
      </c>
      <c r="R397" s="239">
        <v>0</v>
      </c>
      <c r="S397" s="240">
        <v>0</v>
      </c>
      <c r="T397" s="239">
        <v>0</v>
      </c>
      <c r="U397" s="241">
        <v>0</v>
      </c>
      <c r="V397" s="242">
        <v>0</v>
      </c>
      <c r="W397" s="243">
        <v>0</v>
      </c>
      <c r="X397" s="244">
        <v>0</v>
      </c>
      <c r="Y397" s="245">
        <v>0</v>
      </c>
      <c r="Z397" s="246">
        <v>0</v>
      </c>
      <c r="AA397" s="246">
        <v>0</v>
      </c>
      <c r="AB397" s="246">
        <v>0</v>
      </c>
      <c r="AC397" s="247">
        <v>0</v>
      </c>
      <c r="AD397" s="247">
        <v>0</v>
      </c>
      <c r="AE397" s="248">
        <v>0</v>
      </c>
      <c r="AF397" s="234">
        <f>-SUMIF('[1]Alt Fac'!$A$18:$A$139,'REPORT 4 - PROPERTY TAX'!A397,'[1]Alt Fac'!$U$18:$U$139)</f>
        <v>0</v>
      </c>
      <c r="AG397" s="247">
        <f t="shared" si="19"/>
        <v>0</v>
      </c>
      <c r="AH397" s="234">
        <f t="shared" si="20"/>
        <v>0</v>
      </c>
      <c r="AI397" s="234">
        <f t="shared" si="18"/>
        <v>0</v>
      </c>
    </row>
    <row r="398" spans="1:35" hidden="1" x14ac:dyDescent="0.25">
      <c r="A398" s="170">
        <v>4042</v>
      </c>
      <c r="B398" s="170">
        <v>7</v>
      </c>
      <c r="C398" s="171" t="s">
        <v>579</v>
      </c>
      <c r="D398" s="177">
        <v>7</v>
      </c>
      <c r="E398" s="272">
        <v>0</v>
      </c>
      <c r="F398" s="273">
        <v>0</v>
      </c>
      <c r="G398" s="234">
        <v>0</v>
      </c>
      <c r="H398" s="234">
        <v>0</v>
      </c>
      <c r="I398" s="174">
        <v>0</v>
      </c>
      <c r="J398" s="234">
        <v>0</v>
      </c>
      <c r="K398" s="234">
        <v>0</v>
      </c>
      <c r="L398" s="175">
        <v>0</v>
      </c>
      <c r="M398" s="235">
        <v>0</v>
      </c>
      <c r="N398" s="235">
        <v>0</v>
      </c>
      <c r="O398" s="235">
        <v>0</v>
      </c>
      <c r="P398" s="237" t="e">
        <v>#DIV/0!</v>
      </c>
      <c r="Q398" s="238">
        <v>0</v>
      </c>
      <c r="R398" s="239">
        <v>0</v>
      </c>
      <c r="S398" s="240">
        <v>0</v>
      </c>
      <c r="T398" s="239">
        <v>0</v>
      </c>
      <c r="U398" s="241">
        <v>0</v>
      </c>
      <c r="V398" s="242">
        <v>0</v>
      </c>
      <c r="W398" s="243">
        <v>0</v>
      </c>
      <c r="X398" s="244">
        <v>0</v>
      </c>
      <c r="Y398" s="245">
        <v>0</v>
      </c>
      <c r="Z398" s="246">
        <v>0</v>
      </c>
      <c r="AA398" s="246">
        <v>0</v>
      </c>
      <c r="AB398" s="246">
        <v>0</v>
      </c>
      <c r="AC398" s="247">
        <v>0</v>
      </c>
      <c r="AD398" s="247">
        <v>0</v>
      </c>
      <c r="AE398" s="248">
        <v>0</v>
      </c>
      <c r="AF398" s="234">
        <f>-SUMIF('[1]Alt Fac'!$A$18:$A$139,'REPORT 4 - PROPERTY TAX'!A398,'[1]Alt Fac'!$U$18:$U$139)</f>
        <v>0</v>
      </c>
      <c r="AG398" s="247">
        <f t="shared" si="19"/>
        <v>0</v>
      </c>
      <c r="AH398" s="234">
        <f t="shared" si="20"/>
        <v>0</v>
      </c>
      <c r="AI398" s="234">
        <f t="shared" si="18"/>
        <v>0</v>
      </c>
    </row>
    <row r="399" spans="1:35" hidden="1" x14ac:dyDescent="0.25">
      <c r="A399" s="170">
        <v>4043</v>
      </c>
      <c r="B399" s="170">
        <v>7</v>
      </c>
      <c r="C399" s="171" t="s">
        <v>570</v>
      </c>
      <c r="D399" s="177">
        <v>7</v>
      </c>
      <c r="E399" s="272">
        <v>0</v>
      </c>
      <c r="F399" s="273">
        <v>0</v>
      </c>
      <c r="G399" s="234">
        <v>0</v>
      </c>
      <c r="H399" s="234">
        <v>0</v>
      </c>
      <c r="I399" s="174">
        <v>0</v>
      </c>
      <c r="J399" s="234">
        <v>0</v>
      </c>
      <c r="K399" s="234">
        <v>0</v>
      </c>
      <c r="L399" s="175">
        <v>0</v>
      </c>
      <c r="M399" s="235">
        <v>0</v>
      </c>
      <c r="N399" s="235">
        <v>0</v>
      </c>
      <c r="O399" s="235">
        <v>0</v>
      </c>
      <c r="P399" s="237" t="e">
        <v>#DIV/0!</v>
      </c>
      <c r="Q399" s="238">
        <v>0</v>
      </c>
      <c r="R399" s="239">
        <v>0</v>
      </c>
      <c r="S399" s="240">
        <v>0</v>
      </c>
      <c r="T399" s="239">
        <v>0</v>
      </c>
      <c r="U399" s="241">
        <v>0</v>
      </c>
      <c r="V399" s="242">
        <v>0</v>
      </c>
      <c r="W399" s="243">
        <v>0</v>
      </c>
      <c r="X399" s="244">
        <v>0</v>
      </c>
      <c r="Y399" s="245">
        <v>0</v>
      </c>
      <c r="Z399" s="246">
        <v>0</v>
      </c>
      <c r="AA399" s="246">
        <v>0</v>
      </c>
      <c r="AB399" s="246">
        <v>0</v>
      </c>
      <c r="AC399" s="247">
        <v>0</v>
      </c>
      <c r="AD399" s="247">
        <v>0</v>
      </c>
      <c r="AE399" s="248">
        <v>0</v>
      </c>
      <c r="AF399" s="234">
        <f>-SUMIF('[1]Alt Fac'!$A$18:$A$139,'REPORT 4 - PROPERTY TAX'!A399,'[1]Alt Fac'!$U$18:$U$139)</f>
        <v>0</v>
      </c>
      <c r="AG399" s="247">
        <f t="shared" si="19"/>
        <v>0</v>
      </c>
      <c r="AH399" s="234">
        <f t="shared" si="20"/>
        <v>0</v>
      </c>
      <c r="AI399" s="234">
        <f t="shared" si="18"/>
        <v>0</v>
      </c>
    </row>
    <row r="400" spans="1:35" hidden="1" x14ac:dyDescent="0.25">
      <c r="A400" s="170">
        <v>4045</v>
      </c>
      <c r="B400" s="170">
        <v>7</v>
      </c>
      <c r="C400" s="171" t="s">
        <v>651</v>
      </c>
      <c r="D400" s="177">
        <v>7</v>
      </c>
      <c r="E400" s="272">
        <v>0</v>
      </c>
      <c r="F400" s="273">
        <v>0</v>
      </c>
      <c r="G400" s="234">
        <v>0</v>
      </c>
      <c r="H400" s="234">
        <v>0</v>
      </c>
      <c r="I400" s="174">
        <v>0</v>
      </c>
      <c r="J400" s="234">
        <v>0</v>
      </c>
      <c r="K400" s="234">
        <v>0</v>
      </c>
      <c r="L400" s="175">
        <v>0</v>
      </c>
      <c r="M400" s="235">
        <v>0</v>
      </c>
      <c r="N400" s="235">
        <v>0</v>
      </c>
      <c r="O400" s="235">
        <v>0</v>
      </c>
      <c r="P400" s="237" t="e">
        <v>#DIV/0!</v>
      </c>
      <c r="Q400" s="238">
        <v>0</v>
      </c>
      <c r="R400" s="239">
        <v>0</v>
      </c>
      <c r="S400" s="240">
        <v>0</v>
      </c>
      <c r="T400" s="239">
        <v>0</v>
      </c>
      <c r="U400" s="241">
        <v>0</v>
      </c>
      <c r="V400" s="242">
        <v>0</v>
      </c>
      <c r="W400" s="243">
        <v>0</v>
      </c>
      <c r="X400" s="244">
        <v>0</v>
      </c>
      <c r="Y400" s="245">
        <v>0</v>
      </c>
      <c r="Z400" s="246">
        <v>0</v>
      </c>
      <c r="AA400" s="246">
        <v>0</v>
      </c>
      <c r="AB400" s="246">
        <v>0</v>
      </c>
      <c r="AC400" s="247">
        <v>0</v>
      </c>
      <c r="AD400" s="247">
        <v>0</v>
      </c>
      <c r="AE400" s="248">
        <v>0</v>
      </c>
      <c r="AF400" s="234">
        <f>-SUMIF('[1]Alt Fac'!$A$18:$A$139,'REPORT 4 - PROPERTY TAX'!A400,'[1]Alt Fac'!$U$18:$U$139)</f>
        <v>0</v>
      </c>
      <c r="AG400" s="247">
        <f t="shared" si="19"/>
        <v>0</v>
      </c>
      <c r="AH400" s="234">
        <f t="shared" si="20"/>
        <v>0</v>
      </c>
      <c r="AI400" s="234">
        <f t="shared" si="18"/>
        <v>0</v>
      </c>
    </row>
    <row r="401" spans="1:35" hidden="1" x14ac:dyDescent="0.25">
      <c r="A401" s="170">
        <v>4049</v>
      </c>
      <c r="B401" s="170">
        <v>7</v>
      </c>
      <c r="C401" s="171" t="s">
        <v>688</v>
      </c>
      <c r="D401" s="177">
        <v>7</v>
      </c>
      <c r="E401" s="272">
        <v>0</v>
      </c>
      <c r="F401" s="273">
        <v>0</v>
      </c>
      <c r="G401" s="234">
        <v>0</v>
      </c>
      <c r="H401" s="234">
        <v>0</v>
      </c>
      <c r="I401" s="174">
        <v>0</v>
      </c>
      <c r="J401" s="234">
        <v>0</v>
      </c>
      <c r="K401" s="234">
        <v>0</v>
      </c>
      <c r="L401" s="175">
        <v>0</v>
      </c>
      <c r="M401" s="235">
        <v>0</v>
      </c>
      <c r="N401" s="235">
        <v>0</v>
      </c>
      <c r="O401" s="235">
        <v>0</v>
      </c>
      <c r="P401" s="237" t="e">
        <v>#DIV/0!</v>
      </c>
      <c r="Q401" s="238">
        <v>0</v>
      </c>
      <c r="R401" s="239">
        <v>0</v>
      </c>
      <c r="S401" s="240">
        <v>0</v>
      </c>
      <c r="T401" s="239">
        <v>0</v>
      </c>
      <c r="U401" s="241">
        <v>0</v>
      </c>
      <c r="V401" s="242">
        <v>0</v>
      </c>
      <c r="W401" s="243">
        <v>0</v>
      </c>
      <c r="X401" s="244">
        <v>0</v>
      </c>
      <c r="Y401" s="245">
        <v>0</v>
      </c>
      <c r="Z401" s="246">
        <v>0</v>
      </c>
      <c r="AA401" s="246">
        <v>0</v>
      </c>
      <c r="AB401" s="246">
        <v>0</v>
      </c>
      <c r="AC401" s="247">
        <v>0</v>
      </c>
      <c r="AD401" s="247">
        <v>0</v>
      </c>
      <c r="AE401" s="248">
        <v>0</v>
      </c>
      <c r="AF401" s="234">
        <f>-SUMIF('[1]Alt Fac'!$A$18:$A$139,'REPORT 4 - PROPERTY TAX'!A401,'[1]Alt Fac'!$U$18:$U$139)</f>
        <v>0</v>
      </c>
      <c r="AG401" s="247">
        <f t="shared" si="19"/>
        <v>0</v>
      </c>
      <c r="AH401" s="234">
        <f t="shared" si="20"/>
        <v>0</v>
      </c>
      <c r="AI401" s="234">
        <f t="shared" si="18"/>
        <v>0</v>
      </c>
    </row>
    <row r="402" spans="1:35" hidden="1" x14ac:dyDescent="0.25">
      <c r="A402" s="170">
        <v>4050</v>
      </c>
      <c r="B402" s="170">
        <v>7</v>
      </c>
      <c r="C402" s="171" t="s">
        <v>666</v>
      </c>
      <c r="D402" s="177">
        <v>7</v>
      </c>
      <c r="E402" s="272">
        <v>0</v>
      </c>
      <c r="F402" s="273">
        <v>0</v>
      </c>
      <c r="G402" s="234">
        <v>0</v>
      </c>
      <c r="H402" s="234">
        <v>0</v>
      </c>
      <c r="I402" s="174">
        <v>0</v>
      </c>
      <c r="J402" s="234">
        <v>0</v>
      </c>
      <c r="K402" s="234">
        <v>0</v>
      </c>
      <c r="L402" s="175">
        <v>0</v>
      </c>
      <c r="M402" s="235">
        <v>0</v>
      </c>
      <c r="N402" s="235">
        <v>0</v>
      </c>
      <c r="O402" s="235">
        <v>0</v>
      </c>
      <c r="P402" s="237" t="e">
        <v>#DIV/0!</v>
      </c>
      <c r="Q402" s="238">
        <v>0</v>
      </c>
      <c r="R402" s="239">
        <v>0</v>
      </c>
      <c r="S402" s="240">
        <v>0</v>
      </c>
      <c r="T402" s="239">
        <v>0</v>
      </c>
      <c r="U402" s="241">
        <v>0</v>
      </c>
      <c r="V402" s="242">
        <v>0</v>
      </c>
      <c r="W402" s="243">
        <v>0</v>
      </c>
      <c r="X402" s="244">
        <v>0</v>
      </c>
      <c r="Y402" s="245">
        <v>0</v>
      </c>
      <c r="Z402" s="246">
        <v>0</v>
      </c>
      <c r="AA402" s="246">
        <v>0</v>
      </c>
      <c r="AB402" s="246">
        <v>0</v>
      </c>
      <c r="AC402" s="247">
        <v>0</v>
      </c>
      <c r="AD402" s="247">
        <v>0</v>
      </c>
      <c r="AE402" s="248">
        <v>0</v>
      </c>
      <c r="AF402" s="234">
        <f>-SUMIF('[1]Alt Fac'!$A$18:$A$139,'REPORT 4 - PROPERTY TAX'!A402,'[1]Alt Fac'!$U$18:$U$139)</f>
        <v>0</v>
      </c>
      <c r="AG402" s="247">
        <f t="shared" si="19"/>
        <v>0</v>
      </c>
      <c r="AH402" s="234">
        <f t="shared" si="20"/>
        <v>0</v>
      </c>
      <c r="AI402" s="234">
        <f t="shared" si="18"/>
        <v>0</v>
      </c>
    </row>
    <row r="403" spans="1:35" hidden="1" x14ac:dyDescent="0.25">
      <c r="A403" s="170">
        <v>4053</v>
      </c>
      <c r="B403" s="170">
        <v>7</v>
      </c>
      <c r="C403" s="171" t="s">
        <v>653</v>
      </c>
      <c r="D403" s="177">
        <v>7</v>
      </c>
      <c r="E403" s="272">
        <v>0</v>
      </c>
      <c r="F403" s="273">
        <v>0</v>
      </c>
      <c r="G403" s="234">
        <v>0</v>
      </c>
      <c r="H403" s="234">
        <v>0</v>
      </c>
      <c r="I403" s="174">
        <v>0</v>
      </c>
      <c r="J403" s="234">
        <v>0</v>
      </c>
      <c r="K403" s="234">
        <v>0</v>
      </c>
      <c r="L403" s="175">
        <v>0</v>
      </c>
      <c r="M403" s="235">
        <v>0</v>
      </c>
      <c r="N403" s="235">
        <v>0</v>
      </c>
      <c r="O403" s="235">
        <v>0</v>
      </c>
      <c r="P403" s="237" t="e">
        <v>#DIV/0!</v>
      </c>
      <c r="Q403" s="238">
        <v>0</v>
      </c>
      <c r="R403" s="239">
        <v>0</v>
      </c>
      <c r="S403" s="240">
        <v>0</v>
      </c>
      <c r="T403" s="239">
        <v>0</v>
      </c>
      <c r="U403" s="241">
        <v>0</v>
      </c>
      <c r="V403" s="242">
        <v>0</v>
      </c>
      <c r="W403" s="243">
        <v>0</v>
      </c>
      <c r="X403" s="244">
        <v>0</v>
      </c>
      <c r="Y403" s="245">
        <v>0</v>
      </c>
      <c r="Z403" s="246">
        <v>0</v>
      </c>
      <c r="AA403" s="246">
        <v>0</v>
      </c>
      <c r="AB403" s="246">
        <v>0</v>
      </c>
      <c r="AC403" s="247">
        <v>0</v>
      </c>
      <c r="AD403" s="247">
        <v>0</v>
      </c>
      <c r="AE403" s="248">
        <v>0</v>
      </c>
      <c r="AF403" s="234">
        <f>-SUMIF('[1]Alt Fac'!$A$18:$A$139,'REPORT 4 - PROPERTY TAX'!A403,'[1]Alt Fac'!$U$18:$U$139)</f>
        <v>0</v>
      </c>
      <c r="AG403" s="247">
        <f t="shared" si="19"/>
        <v>0</v>
      </c>
      <c r="AH403" s="234">
        <f t="shared" si="20"/>
        <v>0</v>
      </c>
      <c r="AI403" s="234">
        <f t="shared" si="18"/>
        <v>0</v>
      </c>
    </row>
    <row r="404" spans="1:35" hidden="1" x14ac:dyDescent="0.25">
      <c r="A404" s="170">
        <v>4054</v>
      </c>
      <c r="B404" s="170">
        <v>7</v>
      </c>
      <c r="C404" s="171" t="s">
        <v>624</v>
      </c>
      <c r="D404" s="177">
        <v>7</v>
      </c>
      <c r="E404" s="272">
        <v>0</v>
      </c>
      <c r="F404" s="273">
        <v>0</v>
      </c>
      <c r="G404" s="234">
        <v>0</v>
      </c>
      <c r="H404" s="234">
        <v>0</v>
      </c>
      <c r="I404" s="174">
        <v>0</v>
      </c>
      <c r="J404" s="234">
        <v>0</v>
      </c>
      <c r="K404" s="234">
        <v>0</v>
      </c>
      <c r="L404" s="175">
        <v>0</v>
      </c>
      <c r="M404" s="235">
        <v>0</v>
      </c>
      <c r="N404" s="235">
        <v>0</v>
      </c>
      <c r="O404" s="235">
        <v>0</v>
      </c>
      <c r="P404" s="237" t="e">
        <v>#DIV/0!</v>
      </c>
      <c r="Q404" s="238">
        <v>0</v>
      </c>
      <c r="R404" s="239">
        <v>0</v>
      </c>
      <c r="S404" s="240">
        <v>0</v>
      </c>
      <c r="T404" s="239">
        <v>0</v>
      </c>
      <c r="U404" s="241">
        <v>0</v>
      </c>
      <c r="V404" s="242">
        <v>0</v>
      </c>
      <c r="W404" s="243">
        <v>0</v>
      </c>
      <c r="X404" s="244">
        <v>0</v>
      </c>
      <c r="Y404" s="245">
        <v>0</v>
      </c>
      <c r="Z404" s="246">
        <v>0</v>
      </c>
      <c r="AA404" s="246">
        <v>0</v>
      </c>
      <c r="AB404" s="246">
        <v>0</v>
      </c>
      <c r="AC404" s="247">
        <v>0</v>
      </c>
      <c r="AD404" s="247">
        <v>0</v>
      </c>
      <c r="AE404" s="248">
        <v>0</v>
      </c>
      <c r="AF404" s="234">
        <f>-SUMIF('[1]Alt Fac'!$A$18:$A$139,'REPORT 4 - PROPERTY TAX'!A404,'[1]Alt Fac'!$U$18:$U$139)</f>
        <v>0</v>
      </c>
      <c r="AG404" s="247">
        <f t="shared" si="19"/>
        <v>0</v>
      </c>
      <c r="AH404" s="234">
        <f t="shared" si="20"/>
        <v>0</v>
      </c>
      <c r="AI404" s="234">
        <f t="shared" si="18"/>
        <v>0</v>
      </c>
    </row>
    <row r="405" spans="1:35" hidden="1" x14ac:dyDescent="0.25">
      <c r="A405" s="170">
        <v>4055</v>
      </c>
      <c r="B405" s="170">
        <v>7</v>
      </c>
      <c r="C405" s="171" t="s">
        <v>290</v>
      </c>
      <c r="D405" s="177">
        <v>7</v>
      </c>
      <c r="E405" s="272">
        <v>0</v>
      </c>
      <c r="F405" s="273">
        <v>0</v>
      </c>
      <c r="G405" s="234">
        <v>0</v>
      </c>
      <c r="H405" s="234">
        <v>0</v>
      </c>
      <c r="I405" s="174">
        <v>0</v>
      </c>
      <c r="J405" s="234">
        <v>0</v>
      </c>
      <c r="K405" s="234">
        <v>0</v>
      </c>
      <c r="L405" s="175">
        <v>0</v>
      </c>
      <c r="M405" s="235">
        <v>0</v>
      </c>
      <c r="N405" s="235">
        <v>0</v>
      </c>
      <c r="O405" s="235">
        <v>0</v>
      </c>
      <c r="P405" s="237" t="e">
        <v>#DIV/0!</v>
      </c>
      <c r="Q405" s="238">
        <v>0</v>
      </c>
      <c r="R405" s="239">
        <v>0</v>
      </c>
      <c r="S405" s="240">
        <v>0</v>
      </c>
      <c r="T405" s="239">
        <v>0</v>
      </c>
      <c r="U405" s="241">
        <v>0</v>
      </c>
      <c r="V405" s="242">
        <v>0</v>
      </c>
      <c r="W405" s="243">
        <v>0</v>
      </c>
      <c r="X405" s="244">
        <v>0</v>
      </c>
      <c r="Y405" s="245">
        <v>0</v>
      </c>
      <c r="Z405" s="246">
        <v>0</v>
      </c>
      <c r="AA405" s="246">
        <v>0</v>
      </c>
      <c r="AB405" s="246">
        <v>0</v>
      </c>
      <c r="AC405" s="247">
        <v>0</v>
      </c>
      <c r="AD405" s="247">
        <v>0</v>
      </c>
      <c r="AE405" s="248">
        <v>0</v>
      </c>
      <c r="AF405" s="234">
        <f>-SUMIF('[1]Alt Fac'!$A$18:$A$139,'REPORT 4 - PROPERTY TAX'!A405,'[1]Alt Fac'!$U$18:$U$139)</f>
        <v>0</v>
      </c>
      <c r="AG405" s="247">
        <f t="shared" si="19"/>
        <v>0</v>
      </c>
      <c r="AH405" s="234">
        <f t="shared" si="20"/>
        <v>0</v>
      </c>
      <c r="AI405" s="234">
        <f t="shared" si="18"/>
        <v>0</v>
      </c>
    </row>
    <row r="406" spans="1:35" hidden="1" x14ac:dyDescent="0.25">
      <c r="A406" s="170">
        <v>4056</v>
      </c>
      <c r="B406" s="170">
        <v>7</v>
      </c>
      <c r="C406" s="171" t="s">
        <v>689</v>
      </c>
      <c r="D406" s="177">
        <v>7</v>
      </c>
      <c r="E406" s="272">
        <v>0</v>
      </c>
      <c r="F406" s="273">
        <v>0</v>
      </c>
      <c r="G406" s="234">
        <v>0</v>
      </c>
      <c r="H406" s="234">
        <v>0</v>
      </c>
      <c r="I406" s="174">
        <v>0</v>
      </c>
      <c r="J406" s="234">
        <v>0</v>
      </c>
      <c r="K406" s="234">
        <v>0</v>
      </c>
      <c r="L406" s="175">
        <v>0</v>
      </c>
      <c r="M406" s="235">
        <v>0</v>
      </c>
      <c r="N406" s="235">
        <v>0</v>
      </c>
      <c r="O406" s="235">
        <v>0</v>
      </c>
      <c r="P406" s="237" t="e">
        <v>#DIV/0!</v>
      </c>
      <c r="Q406" s="238">
        <v>0</v>
      </c>
      <c r="R406" s="239">
        <v>0</v>
      </c>
      <c r="S406" s="240">
        <v>0</v>
      </c>
      <c r="T406" s="239">
        <v>0</v>
      </c>
      <c r="U406" s="241">
        <v>0</v>
      </c>
      <c r="V406" s="242">
        <v>0</v>
      </c>
      <c r="W406" s="243">
        <v>0</v>
      </c>
      <c r="X406" s="244">
        <v>0</v>
      </c>
      <c r="Y406" s="245">
        <v>0</v>
      </c>
      <c r="Z406" s="246">
        <v>0</v>
      </c>
      <c r="AA406" s="246">
        <v>0</v>
      </c>
      <c r="AB406" s="246">
        <v>0</v>
      </c>
      <c r="AC406" s="247">
        <v>0</v>
      </c>
      <c r="AD406" s="247">
        <v>0</v>
      </c>
      <c r="AE406" s="248">
        <v>0</v>
      </c>
      <c r="AF406" s="234">
        <f>-SUMIF('[1]Alt Fac'!$A$18:$A$139,'REPORT 4 - PROPERTY TAX'!A406,'[1]Alt Fac'!$U$18:$U$139)</f>
        <v>0</v>
      </c>
      <c r="AG406" s="247">
        <f t="shared" si="19"/>
        <v>0</v>
      </c>
      <c r="AH406" s="234">
        <f t="shared" si="20"/>
        <v>0</v>
      </c>
      <c r="AI406" s="234">
        <f t="shared" si="18"/>
        <v>0</v>
      </c>
    </row>
    <row r="407" spans="1:35" hidden="1" x14ac:dyDescent="0.25">
      <c r="A407" s="170">
        <v>4057</v>
      </c>
      <c r="B407" s="170">
        <v>7</v>
      </c>
      <c r="C407" s="171" t="s">
        <v>493</v>
      </c>
      <c r="D407" s="177">
        <v>7</v>
      </c>
      <c r="E407" s="272">
        <v>0</v>
      </c>
      <c r="F407" s="273">
        <v>0</v>
      </c>
      <c r="G407" s="234">
        <v>0</v>
      </c>
      <c r="H407" s="234">
        <v>0</v>
      </c>
      <c r="I407" s="174">
        <v>0</v>
      </c>
      <c r="J407" s="234">
        <v>0</v>
      </c>
      <c r="K407" s="234">
        <v>0</v>
      </c>
      <c r="L407" s="175">
        <v>0</v>
      </c>
      <c r="M407" s="235">
        <v>0</v>
      </c>
      <c r="N407" s="235">
        <v>0</v>
      </c>
      <c r="O407" s="235">
        <v>0</v>
      </c>
      <c r="P407" s="237" t="e">
        <v>#DIV/0!</v>
      </c>
      <c r="Q407" s="238">
        <v>0</v>
      </c>
      <c r="R407" s="239">
        <v>0</v>
      </c>
      <c r="S407" s="240">
        <v>0</v>
      </c>
      <c r="T407" s="239">
        <v>0</v>
      </c>
      <c r="U407" s="241">
        <v>0</v>
      </c>
      <c r="V407" s="242">
        <v>0</v>
      </c>
      <c r="W407" s="243">
        <v>0</v>
      </c>
      <c r="X407" s="244">
        <v>0</v>
      </c>
      <c r="Y407" s="245">
        <v>0</v>
      </c>
      <c r="Z407" s="246">
        <v>0</v>
      </c>
      <c r="AA407" s="246">
        <v>0</v>
      </c>
      <c r="AB407" s="246">
        <v>0</v>
      </c>
      <c r="AC407" s="247">
        <v>0</v>
      </c>
      <c r="AD407" s="247">
        <v>0</v>
      </c>
      <c r="AE407" s="248">
        <v>0</v>
      </c>
      <c r="AF407" s="234">
        <f>-SUMIF('[1]Alt Fac'!$A$18:$A$139,'REPORT 4 - PROPERTY TAX'!A407,'[1]Alt Fac'!$U$18:$U$139)</f>
        <v>0</v>
      </c>
      <c r="AG407" s="247">
        <f t="shared" si="19"/>
        <v>0</v>
      </c>
      <c r="AH407" s="234">
        <f t="shared" si="20"/>
        <v>0</v>
      </c>
      <c r="AI407" s="234">
        <f t="shared" si="18"/>
        <v>0</v>
      </c>
    </row>
    <row r="408" spans="1:35" hidden="1" x14ac:dyDescent="0.25">
      <c r="A408" s="170">
        <v>4058</v>
      </c>
      <c r="B408" s="170">
        <v>7</v>
      </c>
      <c r="C408" s="171" t="s">
        <v>495</v>
      </c>
      <c r="D408" s="177">
        <v>7</v>
      </c>
      <c r="E408" s="272">
        <v>0</v>
      </c>
      <c r="F408" s="273">
        <v>0</v>
      </c>
      <c r="G408" s="234">
        <v>0</v>
      </c>
      <c r="H408" s="234">
        <v>0</v>
      </c>
      <c r="I408" s="174">
        <v>0</v>
      </c>
      <c r="J408" s="234">
        <v>0</v>
      </c>
      <c r="K408" s="234">
        <v>0</v>
      </c>
      <c r="L408" s="175">
        <v>0</v>
      </c>
      <c r="M408" s="235">
        <v>0</v>
      </c>
      <c r="N408" s="235">
        <v>0</v>
      </c>
      <c r="O408" s="235">
        <v>0</v>
      </c>
      <c r="P408" s="237" t="e">
        <v>#DIV/0!</v>
      </c>
      <c r="Q408" s="238">
        <v>0</v>
      </c>
      <c r="R408" s="239">
        <v>0</v>
      </c>
      <c r="S408" s="240">
        <v>0</v>
      </c>
      <c r="T408" s="239">
        <v>0</v>
      </c>
      <c r="U408" s="241">
        <v>0</v>
      </c>
      <c r="V408" s="242">
        <v>0</v>
      </c>
      <c r="W408" s="243">
        <v>0</v>
      </c>
      <c r="X408" s="244">
        <v>0</v>
      </c>
      <c r="Y408" s="245">
        <v>0</v>
      </c>
      <c r="Z408" s="246">
        <v>0</v>
      </c>
      <c r="AA408" s="246">
        <v>0</v>
      </c>
      <c r="AB408" s="246">
        <v>0</v>
      </c>
      <c r="AC408" s="247">
        <v>0</v>
      </c>
      <c r="AD408" s="247">
        <v>0</v>
      </c>
      <c r="AE408" s="248">
        <v>0</v>
      </c>
      <c r="AF408" s="234">
        <f>-SUMIF('[1]Alt Fac'!$A$18:$A$139,'REPORT 4 - PROPERTY TAX'!A408,'[1]Alt Fac'!$U$18:$U$139)</f>
        <v>0</v>
      </c>
      <c r="AG408" s="247">
        <f t="shared" si="19"/>
        <v>0</v>
      </c>
      <c r="AH408" s="234">
        <f t="shared" si="20"/>
        <v>0</v>
      </c>
      <c r="AI408" s="234">
        <f t="shared" si="18"/>
        <v>0</v>
      </c>
    </row>
    <row r="409" spans="1:35" hidden="1" x14ac:dyDescent="0.25">
      <c r="A409" s="170">
        <v>4059</v>
      </c>
      <c r="B409" s="170">
        <v>7</v>
      </c>
      <c r="C409" s="171" t="s">
        <v>663</v>
      </c>
      <c r="D409" s="177">
        <v>7</v>
      </c>
      <c r="E409" s="272">
        <v>0</v>
      </c>
      <c r="F409" s="273">
        <v>0</v>
      </c>
      <c r="G409" s="234">
        <v>0</v>
      </c>
      <c r="H409" s="234">
        <v>0</v>
      </c>
      <c r="I409" s="174">
        <v>0</v>
      </c>
      <c r="J409" s="234">
        <v>0</v>
      </c>
      <c r="K409" s="234">
        <v>0</v>
      </c>
      <c r="L409" s="175">
        <v>0</v>
      </c>
      <c r="M409" s="235">
        <v>0</v>
      </c>
      <c r="N409" s="235">
        <v>0</v>
      </c>
      <c r="O409" s="235">
        <v>0</v>
      </c>
      <c r="P409" s="237" t="e">
        <v>#DIV/0!</v>
      </c>
      <c r="Q409" s="238">
        <v>0</v>
      </c>
      <c r="R409" s="239">
        <v>0</v>
      </c>
      <c r="S409" s="240">
        <v>0</v>
      </c>
      <c r="T409" s="239">
        <v>0</v>
      </c>
      <c r="U409" s="241">
        <v>0</v>
      </c>
      <c r="V409" s="242">
        <v>0</v>
      </c>
      <c r="W409" s="243">
        <v>0</v>
      </c>
      <c r="X409" s="244">
        <v>0</v>
      </c>
      <c r="Y409" s="245">
        <v>0</v>
      </c>
      <c r="Z409" s="246">
        <v>0</v>
      </c>
      <c r="AA409" s="246">
        <v>0</v>
      </c>
      <c r="AB409" s="246">
        <v>0</v>
      </c>
      <c r="AC409" s="247">
        <v>0</v>
      </c>
      <c r="AD409" s="247">
        <v>0</v>
      </c>
      <c r="AE409" s="248">
        <v>0</v>
      </c>
      <c r="AF409" s="234">
        <f>-SUMIF('[1]Alt Fac'!$A$18:$A$139,'REPORT 4 - PROPERTY TAX'!A409,'[1]Alt Fac'!$U$18:$U$139)</f>
        <v>0</v>
      </c>
      <c r="AG409" s="247">
        <f t="shared" si="19"/>
        <v>0</v>
      </c>
      <c r="AH409" s="234">
        <f t="shared" si="20"/>
        <v>0</v>
      </c>
      <c r="AI409" s="234">
        <f t="shared" si="18"/>
        <v>0</v>
      </c>
    </row>
    <row r="410" spans="1:35" hidden="1" x14ac:dyDescent="0.25">
      <c r="A410" s="170">
        <v>4064</v>
      </c>
      <c r="B410" s="170">
        <v>7</v>
      </c>
      <c r="C410" s="171" t="s">
        <v>691</v>
      </c>
      <c r="D410" s="177">
        <v>7</v>
      </c>
      <c r="E410" s="272">
        <v>0</v>
      </c>
      <c r="F410" s="273">
        <v>0</v>
      </c>
      <c r="G410" s="234">
        <v>0</v>
      </c>
      <c r="H410" s="234">
        <v>0</v>
      </c>
      <c r="I410" s="174">
        <v>0</v>
      </c>
      <c r="J410" s="234">
        <v>0</v>
      </c>
      <c r="K410" s="234">
        <v>0</v>
      </c>
      <c r="L410" s="175">
        <v>0</v>
      </c>
      <c r="M410" s="235">
        <v>0</v>
      </c>
      <c r="N410" s="235">
        <v>0</v>
      </c>
      <c r="O410" s="235">
        <v>0</v>
      </c>
      <c r="P410" s="237" t="e">
        <v>#DIV/0!</v>
      </c>
      <c r="Q410" s="238">
        <v>0</v>
      </c>
      <c r="R410" s="239">
        <v>0</v>
      </c>
      <c r="S410" s="240">
        <v>0</v>
      </c>
      <c r="T410" s="239">
        <v>0</v>
      </c>
      <c r="U410" s="241">
        <v>0</v>
      </c>
      <c r="V410" s="242">
        <v>0</v>
      </c>
      <c r="W410" s="243">
        <v>0</v>
      </c>
      <c r="X410" s="244">
        <v>0</v>
      </c>
      <c r="Y410" s="245">
        <v>0</v>
      </c>
      <c r="Z410" s="246">
        <v>0</v>
      </c>
      <c r="AA410" s="246">
        <v>0</v>
      </c>
      <c r="AB410" s="246">
        <v>0</v>
      </c>
      <c r="AC410" s="247">
        <v>0</v>
      </c>
      <c r="AD410" s="247">
        <v>0</v>
      </c>
      <c r="AE410" s="248">
        <v>0</v>
      </c>
      <c r="AF410" s="234">
        <f>-SUMIF('[1]Alt Fac'!$A$18:$A$139,'REPORT 4 - PROPERTY TAX'!A410,'[1]Alt Fac'!$U$18:$U$139)</f>
        <v>0</v>
      </c>
      <c r="AG410" s="247">
        <f t="shared" si="19"/>
        <v>0</v>
      </c>
      <c r="AH410" s="234">
        <f t="shared" si="20"/>
        <v>0</v>
      </c>
      <c r="AI410" s="234">
        <f t="shared" si="18"/>
        <v>0</v>
      </c>
    </row>
    <row r="411" spans="1:35" hidden="1" x14ac:dyDescent="0.25">
      <c r="A411" s="170">
        <v>4066</v>
      </c>
      <c r="B411" s="170">
        <v>7</v>
      </c>
      <c r="C411" s="171" t="s">
        <v>692</v>
      </c>
      <c r="D411" s="177">
        <v>7</v>
      </c>
      <c r="E411" s="272">
        <v>0</v>
      </c>
      <c r="F411" s="273">
        <v>0</v>
      </c>
      <c r="G411" s="234">
        <v>0</v>
      </c>
      <c r="H411" s="234">
        <v>0</v>
      </c>
      <c r="I411" s="174">
        <v>0</v>
      </c>
      <c r="J411" s="234">
        <v>0</v>
      </c>
      <c r="K411" s="234">
        <v>0</v>
      </c>
      <c r="L411" s="175">
        <v>0</v>
      </c>
      <c r="M411" s="235">
        <v>0</v>
      </c>
      <c r="N411" s="235">
        <v>0</v>
      </c>
      <c r="O411" s="235">
        <v>0</v>
      </c>
      <c r="P411" s="237" t="e">
        <v>#DIV/0!</v>
      </c>
      <c r="Q411" s="238">
        <v>0</v>
      </c>
      <c r="R411" s="239">
        <v>0</v>
      </c>
      <c r="S411" s="240">
        <v>0</v>
      </c>
      <c r="T411" s="239">
        <v>0</v>
      </c>
      <c r="U411" s="241">
        <v>0</v>
      </c>
      <c r="V411" s="242">
        <v>0</v>
      </c>
      <c r="W411" s="243">
        <v>0</v>
      </c>
      <c r="X411" s="244">
        <v>0</v>
      </c>
      <c r="Y411" s="245">
        <v>0</v>
      </c>
      <c r="Z411" s="246">
        <v>0</v>
      </c>
      <c r="AA411" s="246">
        <v>0</v>
      </c>
      <c r="AB411" s="246">
        <v>0</v>
      </c>
      <c r="AC411" s="247">
        <v>0</v>
      </c>
      <c r="AD411" s="247">
        <v>0</v>
      </c>
      <c r="AE411" s="248">
        <v>0</v>
      </c>
      <c r="AF411" s="234">
        <f>-SUMIF('[1]Alt Fac'!$A$18:$A$139,'REPORT 4 - PROPERTY TAX'!A411,'[1]Alt Fac'!$U$18:$U$139)</f>
        <v>0</v>
      </c>
      <c r="AG411" s="247">
        <f t="shared" si="19"/>
        <v>0</v>
      </c>
      <c r="AH411" s="234">
        <f t="shared" si="20"/>
        <v>0</v>
      </c>
      <c r="AI411" s="234">
        <f t="shared" si="18"/>
        <v>0</v>
      </c>
    </row>
    <row r="412" spans="1:35" hidden="1" x14ac:dyDescent="0.25">
      <c r="A412" s="170">
        <v>4067</v>
      </c>
      <c r="B412" s="170">
        <v>7</v>
      </c>
      <c r="C412" s="171" t="s">
        <v>693</v>
      </c>
      <c r="D412" s="177">
        <v>7</v>
      </c>
      <c r="E412" s="272">
        <v>0</v>
      </c>
      <c r="F412" s="273">
        <v>0</v>
      </c>
      <c r="G412" s="234">
        <v>0</v>
      </c>
      <c r="H412" s="234">
        <v>0</v>
      </c>
      <c r="I412" s="174">
        <v>0</v>
      </c>
      <c r="J412" s="234">
        <v>0</v>
      </c>
      <c r="K412" s="234">
        <v>0</v>
      </c>
      <c r="L412" s="175">
        <v>0</v>
      </c>
      <c r="M412" s="235">
        <v>0</v>
      </c>
      <c r="N412" s="235">
        <v>0</v>
      </c>
      <c r="O412" s="235">
        <v>0</v>
      </c>
      <c r="P412" s="237" t="e">
        <v>#DIV/0!</v>
      </c>
      <c r="Q412" s="238">
        <v>0</v>
      </c>
      <c r="R412" s="239">
        <v>0</v>
      </c>
      <c r="S412" s="240">
        <v>0</v>
      </c>
      <c r="T412" s="239">
        <v>0</v>
      </c>
      <c r="U412" s="241">
        <v>0</v>
      </c>
      <c r="V412" s="242">
        <v>0</v>
      </c>
      <c r="W412" s="243">
        <v>0</v>
      </c>
      <c r="X412" s="244">
        <v>0</v>
      </c>
      <c r="Y412" s="245">
        <v>0</v>
      </c>
      <c r="Z412" s="246">
        <v>0</v>
      </c>
      <c r="AA412" s="246">
        <v>0</v>
      </c>
      <c r="AB412" s="246">
        <v>0</v>
      </c>
      <c r="AC412" s="247">
        <v>0</v>
      </c>
      <c r="AD412" s="247">
        <v>0</v>
      </c>
      <c r="AE412" s="248">
        <v>0</v>
      </c>
      <c r="AF412" s="234">
        <f>-SUMIF('[1]Alt Fac'!$A$18:$A$139,'REPORT 4 - PROPERTY TAX'!A412,'[1]Alt Fac'!$U$18:$U$139)</f>
        <v>0</v>
      </c>
      <c r="AG412" s="247">
        <f t="shared" si="19"/>
        <v>0</v>
      </c>
      <c r="AH412" s="234">
        <f t="shared" si="20"/>
        <v>0</v>
      </c>
      <c r="AI412" s="234">
        <f t="shared" si="18"/>
        <v>0</v>
      </c>
    </row>
    <row r="413" spans="1:35" hidden="1" x14ac:dyDescent="0.25">
      <c r="A413" s="170">
        <v>4068</v>
      </c>
      <c r="B413" s="170">
        <v>7</v>
      </c>
      <c r="C413" s="171" t="s">
        <v>694</v>
      </c>
      <c r="D413" s="177">
        <v>7</v>
      </c>
      <c r="E413" s="272">
        <v>0</v>
      </c>
      <c r="F413" s="273">
        <v>0</v>
      </c>
      <c r="G413" s="234">
        <v>0</v>
      </c>
      <c r="H413" s="234">
        <v>0</v>
      </c>
      <c r="I413" s="174">
        <v>0</v>
      </c>
      <c r="J413" s="234">
        <v>0</v>
      </c>
      <c r="K413" s="234">
        <v>0</v>
      </c>
      <c r="L413" s="175">
        <v>0</v>
      </c>
      <c r="M413" s="235">
        <v>0</v>
      </c>
      <c r="N413" s="235">
        <v>0</v>
      </c>
      <c r="O413" s="235">
        <v>0</v>
      </c>
      <c r="P413" s="237" t="e">
        <v>#DIV/0!</v>
      </c>
      <c r="Q413" s="238">
        <v>0</v>
      </c>
      <c r="R413" s="239">
        <v>0</v>
      </c>
      <c r="S413" s="240">
        <v>0</v>
      </c>
      <c r="T413" s="239">
        <v>0</v>
      </c>
      <c r="U413" s="241">
        <v>0</v>
      </c>
      <c r="V413" s="242">
        <v>0</v>
      </c>
      <c r="W413" s="243">
        <v>0</v>
      </c>
      <c r="X413" s="244">
        <v>0</v>
      </c>
      <c r="Y413" s="245">
        <v>0</v>
      </c>
      <c r="Z413" s="246">
        <v>0</v>
      </c>
      <c r="AA413" s="246">
        <v>0</v>
      </c>
      <c r="AB413" s="246">
        <v>0</v>
      </c>
      <c r="AC413" s="247">
        <v>0</v>
      </c>
      <c r="AD413" s="247">
        <v>0</v>
      </c>
      <c r="AE413" s="248">
        <v>0</v>
      </c>
      <c r="AF413" s="234">
        <f>-SUMIF('[1]Alt Fac'!$A$18:$A$139,'REPORT 4 - PROPERTY TAX'!A413,'[1]Alt Fac'!$U$18:$U$139)</f>
        <v>0</v>
      </c>
      <c r="AG413" s="247">
        <f t="shared" si="19"/>
        <v>0</v>
      </c>
      <c r="AH413" s="234">
        <f t="shared" si="20"/>
        <v>0</v>
      </c>
      <c r="AI413" s="234">
        <f t="shared" si="18"/>
        <v>0</v>
      </c>
    </row>
    <row r="414" spans="1:35" hidden="1" x14ac:dyDescent="0.25">
      <c r="A414" s="170">
        <v>4070</v>
      </c>
      <c r="B414" s="170">
        <v>7</v>
      </c>
      <c r="C414" s="171" t="s">
        <v>419</v>
      </c>
      <c r="D414" s="177">
        <v>7</v>
      </c>
      <c r="E414" s="272">
        <v>0</v>
      </c>
      <c r="F414" s="273">
        <v>0</v>
      </c>
      <c r="G414" s="234">
        <v>0</v>
      </c>
      <c r="H414" s="234">
        <v>0</v>
      </c>
      <c r="I414" s="174">
        <v>0</v>
      </c>
      <c r="J414" s="234">
        <v>0</v>
      </c>
      <c r="K414" s="234">
        <v>0</v>
      </c>
      <c r="L414" s="175">
        <v>0</v>
      </c>
      <c r="M414" s="235">
        <v>0</v>
      </c>
      <c r="N414" s="235">
        <v>0</v>
      </c>
      <c r="O414" s="235">
        <v>0</v>
      </c>
      <c r="P414" s="237" t="e">
        <v>#DIV/0!</v>
      </c>
      <c r="Q414" s="238">
        <v>0</v>
      </c>
      <c r="R414" s="239">
        <v>0</v>
      </c>
      <c r="S414" s="240">
        <v>0</v>
      </c>
      <c r="T414" s="239">
        <v>0</v>
      </c>
      <c r="U414" s="241">
        <v>0</v>
      </c>
      <c r="V414" s="242">
        <v>0</v>
      </c>
      <c r="W414" s="243">
        <v>0</v>
      </c>
      <c r="X414" s="244">
        <v>0</v>
      </c>
      <c r="Y414" s="245">
        <v>0</v>
      </c>
      <c r="Z414" s="246">
        <v>0</v>
      </c>
      <c r="AA414" s="246">
        <v>0</v>
      </c>
      <c r="AB414" s="246">
        <v>0</v>
      </c>
      <c r="AC414" s="247">
        <v>0</v>
      </c>
      <c r="AD414" s="247">
        <v>0</v>
      </c>
      <c r="AE414" s="248">
        <v>0</v>
      </c>
      <c r="AF414" s="234">
        <f>-SUMIF('[1]Alt Fac'!$A$18:$A$139,'REPORT 4 - PROPERTY TAX'!A414,'[1]Alt Fac'!$U$18:$U$139)</f>
        <v>0</v>
      </c>
      <c r="AG414" s="247">
        <f t="shared" si="19"/>
        <v>0</v>
      </c>
      <c r="AH414" s="234">
        <f t="shared" si="20"/>
        <v>0</v>
      </c>
      <c r="AI414" s="234">
        <f t="shared" ref="AI414:AI477" si="21">AG414+AH414</f>
        <v>0</v>
      </c>
    </row>
    <row r="415" spans="1:35" hidden="1" x14ac:dyDescent="0.25">
      <c r="A415" s="170">
        <v>4073</v>
      </c>
      <c r="B415" s="170">
        <v>7</v>
      </c>
      <c r="C415" s="171" t="s">
        <v>695</v>
      </c>
      <c r="D415" s="177">
        <v>7</v>
      </c>
      <c r="E415" s="272">
        <v>0</v>
      </c>
      <c r="F415" s="273">
        <v>0</v>
      </c>
      <c r="G415" s="234">
        <v>0</v>
      </c>
      <c r="H415" s="234">
        <v>0</v>
      </c>
      <c r="I415" s="174">
        <v>0</v>
      </c>
      <c r="J415" s="234">
        <v>0</v>
      </c>
      <c r="K415" s="234">
        <v>0</v>
      </c>
      <c r="L415" s="175">
        <v>0</v>
      </c>
      <c r="M415" s="235">
        <v>0</v>
      </c>
      <c r="N415" s="235">
        <v>0</v>
      </c>
      <c r="O415" s="235">
        <v>0</v>
      </c>
      <c r="P415" s="237" t="e">
        <v>#DIV/0!</v>
      </c>
      <c r="Q415" s="238">
        <v>0</v>
      </c>
      <c r="R415" s="239">
        <v>0</v>
      </c>
      <c r="S415" s="240">
        <v>0</v>
      </c>
      <c r="T415" s="239">
        <v>0</v>
      </c>
      <c r="U415" s="241">
        <v>0</v>
      </c>
      <c r="V415" s="242">
        <v>0</v>
      </c>
      <c r="W415" s="243">
        <v>0</v>
      </c>
      <c r="X415" s="244">
        <v>0</v>
      </c>
      <c r="Y415" s="245">
        <v>0</v>
      </c>
      <c r="Z415" s="246">
        <v>0</v>
      </c>
      <c r="AA415" s="246">
        <v>0</v>
      </c>
      <c r="AB415" s="246">
        <v>0</v>
      </c>
      <c r="AC415" s="247">
        <v>0</v>
      </c>
      <c r="AD415" s="247">
        <v>0</v>
      </c>
      <c r="AE415" s="248">
        <v>0</v>
      </c>
      <c r="AF415" s="234">
        <f>-SUMIF('[1]Alt Fac'!$A$18:$A$139,'REPORT 4 - PROPERTY TAX'!A415,'[1]Alt Fac'!$U$18:$U$139)</f>
        <v>0</v>
      </c>
      <c r="AG415" s="247">
        <f t="shared" si="19"/>
        <v>0</v>
      </c>
      <c r="AH415" s="234">
        <f t="shared" si="20"/>
        <v>0</v>
      </c>
      <c r="AI415" s="234">
        <f t="shared" si="21"/>
        <v>0</v>
      </c>
    </row>
    <row r="416" spans="1:35" hidden="1" x14ac:dyDescent="0.25">
      <c r="A416" s="170">
        <v>4074</v>
      </c>
      <c r="B416" s="170">
        <v>7</v>
      </c>
      <c r="C416" s="171" t="s">
        <v>491</v>
      </c>
      <c r="D416" s="177">
        <v>7</v>
      </c>
      <c r="E416" s="272">
        <v>0</v>
      </c>
      <c r="F416" s="273">
        <v>0</v>
      </c>
      <c r="G416" s="234">
        <v>0</v>
      </c>
      <c r="H416" s="234">
        <v>0</v>
      </c>
      <c r="I416" s="174">
        <v>0</v>
      </c>
      <c r="J416" s="234">
        <v>0</v>
      </c>
      <c r="K416" s="234">
        <v>0</v>
      </c>
      <c r="L416" s="175">
        <v>0</v>
      </c>
      <c r="M416" s="235">
        <v>0</v>
      </c>
      <c r="N416" s="235">
        <v>0</v>
      </c>
      <c r="O416" s="235">
        <v>0</v>
      </c>
      <c r="P416" s="237" t="e">
        <v>#DIV/0!</v>
      </c>
      <c r="Q416" s="238">
        <v>0</v>
      </c>
      <c r="R416" s="239">
        <v>0</v>
      </c>
      <c r="S416" s="240">
        <v>0</v>
      </c>
      <c r="T416" s="239">
        <v>0</v>
      </c>
      <c r="U416" s="241">
        <v>0</v>
      </c>
      <c r="V416" s="242">
        <v>0</v>
      </c>
      <c r="W416" s="243">
        <v>0</v>
      </c>
      <c r="X416" s="244">
        <v>0</v>
      </c>
      <c r="Y416" s="245">
        <v>0</v>
      </c>
      <c r="Z416" s="246">
        <v>0</v>
      </c>
      <c r="AA416" s="246">
        <v>0</v>
      </c>
      <c r="AB416" s="246">
        <v>0</v>
      </c>
      <c r="AC416" s="247">
        <v>0</v>
      </c>
      <c r="AD416" s="247">
        <v>0</v>
      </c>
      <c r="AE416" s="248">
        <v>0</v>
      </c>
      <c r="AF416" s="234">
        <f>-SUMIF('[1]Alt Fac'!$A$18:$A$139,'REPORT 4 - PROPERTY TAX'!A416,'[1]Alt Fac'!$U$18:$U$139)</f>
        <v>0</v>
      </c>
      <c r="AG416" s="247">
        <f t="shared" si="19"/>
        <v>0</v>
      </c>
      <c r="AH416" s="234">
        <f t="shared" si="20"/>
        <v>0</v>
      </c>
      <c r="AI416" s="234">
        <f t="shared" si="21"/>
        <v>0</v>
      </c>
    </row>
    <row r="417" spans="1:35" hidden="1" x14ac:dyDescent="0.25">
      <c r="A417" s="170">
        <v>4075</v>
      </c>
      <c r="B417" s="170">
        <v>7</v>
      </c>
      <c r="C417" s="171" t="s">
        <v>645</v>
      </c>
      <c r="D417" s="177">
        <v>7</v>
      </c>
      <c r="E417" s="272">
        <v>0</v>
      </c>
      <c r="F417" s="273">
        <v>0</v>
      </c>
      <c r="G417" s="234">
        <v>0</v>
      </c>
      <c r="H417" s="234">
        <v>0</v>
      </c>
      <c r="I417" s="174">
        <v>0</v>
      </c>
      <c r="J417" s="234">
        <v>0</v>
      </c>
      <c r="K417" s="234">
        <v>0</v>
      </c>
      <c r="L417" s="175">
        <v>0</v>
      </c>
      <c r="M417" s="235">
        <v>0</v>
      </c>
      <c r="N417" s="235">
        <v>0</v>
      </c>
      <c r="O417" s="235">
        <v>0</v>
      </c>
      <c r="P417" s="237" t="e">
        <v>#DIV/0!</v>
      </c>
      <c r="Q417" s="238">
        <v>0</v>
      </c>
      <c r="R417" s="239">
        <v>0</v>
      </c>
      <c r="S417" s="240">
        <v>0</v>
      </c>
      <c r="T417" s="239">
        <v>0</v>
      </c>
      <c r="U417" s="241">
        <v>0</v>
      </c>
      <c r="V417" s="242">
        <v>0</v>
      </c>
      <c r="W417" s="246">
        <v>0</v>
      </c>
      <c r="X417" s="246">
        <v>0</v>
      </c>
      <c r="Y417" s="246">
        <v>0</v>
      </c>
      <c r="Z417" s="246">
        <v>0</v>
      </c>
      <c r="AA417" s="246">
        <v>0</v>
      </c>
      <c r="AB417" s="246">
        <v>0</v>
      </c>
      <c r="AC417" s="247">
        <v>0</v>
      </c>
      <c r="AD417" s="247">
        <v>0</v>
      </c>
      <c r="AE417" s="248">
        <v>0</v>
      </c>
      <c r="AF417" s="234">
        <f>-SUMIF('[1]Alt Fac'!$A$18:$A$139,'REPORT 4 - PROPERTY TAX'!A417,'[1]Alt Fac'!$U$18:$U$139)</f>
        <v>0</v>
      </c>
      <c r="AG417" s="247">
        <f t="shared" si="19"/>
        <v>0</v>
      </c>
      <c r="AH417" s="234">
        <f t="shared" si="20"/>
        <v>0</v>
      </c>
      <c r="AI417" s="234">
        <f t="shared" si="21"/>
        <v>0</v>
      </c>
    </row>
    <row r="418" spans="1:35" hidden="1" x14ac:dyDescent="0.25">
      <c r="A418" s="170">
        <v>4077</v>
      </c>
      <c r="B418" s="170">
        <v>7</v>
      </c>
      <c r="C418" s="171" t="s">
        <v>696</v>
      </c>
      <c r="D418" s="177">
        <v>7</v>
      </c>
      <c r="E418" s="272">
        <v>0</v>
      </c>
      <c r="F418" s="273">
        <v>0</v>
      </c>
      <c r="G418" s="234">
        <v>0</v>
      </c>
      <c r="H418" s="234">
        <v>0</v>
      </c>
      <c r="I418" s="174">
        <v>0</v>
      </c>
      <c r="J418" s="234">
        <v>0</v>
      </c>
      <c r="K418" s="234">
        <v>0</v>
      </c>
      <c r="L418" s="175">
        <v>0</v>
      </c>
      <c r="M418" s="235">
        <v>0</v>
      </c>
      <c r="N418" s="235">
        <v>0</v>
      </c>
      <c r="O418" s="235">
        <v>0</v>
      </c>
      <c r="P418" s="237" t="e">
        <v>#DIV/0!</v>
      </c>
      <c r="Q418" s="238">
        <v>0</v>
      </c>
      <c r="R418" s="239">
        <v>0</v>
      </c>
      <c r="S418" s="240">
        <v>0</v>
      </c>
      <c r="T418" s="239">
        <v>0</v>
      </c>
      <c r="U418" s="241">
        <v>0</v>
      </c>
      <c r="V418" s="242">
        <v>0</v>
      </c>
      <c r="W418" s="246">
        <v>0</v>
      </c>
      <c r="X418" s="246">
        <v>0</v>
      </c>
      <c r="Y418" s="246">
        <v>0</v>
      </c>
      <c r="Z418" s="246">
        <v>0</v>
      </c>
      <c r="AA418" s="246">
        <v>0</v>
      </c>
      <c r="AB418" s="246">
        <v>0</v>
      </c>
      <c r="AC418" s="247">
        <v>0</v>
      </c>
      <c r="AD418" s="247">
        <v>0</v>
      </c>
      <c r="AE418" s="248">
        <v>0</v>
      </c>
      <c r="AF418" s="234">
        <f>-SUMIF('[1]Alt Fac'!$A$18:$A$139,'REPORT 4 - PROPERTY TAX'!A418,'[1]Alt Fac'!$U$18:$U$139)</f>
        <v>0</v>
      </c>
      <c r="AG418" s="247">
        <f t="shared" si="19"/>
        <v>0</v>
      </c>
      <c r="AH418" s="234">
        <f t="shared" si="20"/>
        <v>0</v>
      </c>
      <c r="AI418" s="234">
        <f t="shared" si="21"/>
        <v>0</v>
      </c>
    </row>
    <row r="419" spans="1:35" hidden="1" x14ac:dyDescent="0.25">
      <c r="A419" s="170">
        <v>4078</v>
      </c>
      <c r="B419" s="170">
        <v>7</v>
      </c>
      <c r="C419" s="171" t="s">
        <v>618</v>
      </c>
      <c r="D419" s="177">
        <v>7</v>
      </c>
      <c r="E419" s="272">
        <v>0</v>
      </c>
      <c r="F419" s="273">
        <v>0</v>
      </c>
      <c r="G419" s="234">
        <v>0</v>
      </c>
      <c r="H419" s="234">
        <v>0</v>
      </c>
      <c r="I419" s="174">
        <v>0</v>
      </c>
      <c r="J419" s="234">
        <v>0</v>
      </c>
      <c r="K419" s="234">
        <v>0</v>
      </c>
      <c r="L419" s="175">
        <v>0</v>
      </c>
      <c r="M419" s="235">
        <v>0</v>
      </c>
      <c r="N419" s="235">
        <v>0</v>
      </c>
      <c r="O419" s="235">
        <v>0</v>
      </c>
      <c r="P419" s="237" t="e">
        <v>#DIV/0!</v>
      </c>
      <c r="Q419" s="238">
        <v>0</v>
      </c>
      <c r="R419" s="239">
        <v>0</v>
      </c>
      <c r="S419" s="240">
        <v>0</v>
      </c>
      <c r="T419" s="239">
        <v>0</v>
      </c>
      <c r="U419" s="241">
        <v>0</v>
      </c>
      <c r="V419" s="242">
        <v>0</v>
      </c>
      <c r="W419" s="246">
        <v>0</v>
      </c>
      <c r="X419" s="246">
        <v>0</v>
      </c>
      <c r="Y419" s="246">
        <v>0</v>
      </c>
      <c r="Z419" s="246">
        <v>0</v>
      </c>
      <c r="AA419" s="246">
        <v>0</v>
      </c>
      <c r="AB419" s="246">
        <v>0</v>
      </c>
      <c r="AC419" s="247">
        <v>0</v>
      </c>
      <c r="AD419" s="247">
        <v>0</v>
      </c>
      <c r="AE419" s="248">
        <v>0</v>
      </c>
      <c r="AF419" s="234">
        <f>-SUMIF('[1]Alt Fac'!$A$18:$A$139,'REPORT 4 - PROPERTY TAX'!A419,'[1]Alt Fac'!$U$18:$U$139)</f>
        <v>0</v>
      </c>
      <c r="AG419" s="247">
        <f t="shared" si="19"/>
        <v>0</v>
      </c>
      <c r="AH419" s="234">
        <f t="shared" si="20"/>
        <v>0</v>
      </c>
      <c r="AI419" s="234">
        <f t="shared" si="21"/>
        <v>0</v>
      </c>
    </row>
    <row r="420" spans="1:35" hidden="1" x14ac:dyDescent="0.25">
      <c r="A420" s="170">
        <v>4079</v>
      </c>
      <c r="B420" s="170">
        <v>7</v>
      </c>
      <c r="C420" s="171" t="s">
        <v>697</v>
      </c>
      <c r="D420" s="177">
        <v>7</v>
      </c>
      <c r="E420" s="272">
        <v>0</v>
      </c>
      <c r="F420" s="273">
        <v>0</v>
      </c>
      <c r="G420" s="234">
        <v>0</v>
      </c>
      <c r="H420" s="234">
        <v>0</v>
      </c>
      <c r="I420" s="174">
        <v>0</v>
      </c>
      <c r="J420" s="234">
        <v>0</v>
      </c>
      <c r="K420" s="234">
        <v>0</v>
      </c>
      <c r="L420" s="175">
        <v>0</v>
      </c>
      <c r="M420" s="235">
        <v>0</v>
      </c>
      <c r="N420" s="235">
        <v>0</v>
      </c>
      <c r="O420" s="235">
        <v>0</v>
      </c>
      <c r="P420" s="237" t="e">
        <v>#DIV/0!</v>
      </c>
      <c r="Q420" s="238">
        <v>0</v>
      </c>
      <c r="R420" s="239">
        <v>0</v>
      </c>
      <c r="S420" s="240">
        <v>0</v>
      </c>
      <c r="T420" s="239">
        <v>0</v>
      </c>
      <c r="U420" s="241">
        <v>0</v>
      </c>
      <c r="V420" s="242">
        <v>0</v>
      </c>
      <c r="W420" s="246">
        <v>0</v>
      </c>
      <c r="X420" s="246">
        <v>0</v>
      </c>
      <c r="Y420" s="246">
        <v>0</v>
      </c>
      <c r="Z420" s="246">
        <v>0</v>
      </c>
      <c r="AA420" s="246">
        <v>0</v>
      </c>
      <c r="AB420" s="246">
        <v>0</v>
      </c>
      <c r="AC420" s="247">
        <v>0</v>
      </c>
      <c r="AD420" s="247">
        <v>0</v>
      </c>
      <c r="AE420" s="248">
        <v>0</v>
      </c>
      <c r="AF420" s="234">
        <f>-SUMIF('[1]Alt Fac'!$A$18:$A$139,'REPORT 4 - PROPERTY TAX'!A420,'[1]Alt Fac'!$U$18:$U$139)</f>
        <v>0</v>
      </c>
      <c r="AG420" s="247">
        <f t="shared" si="19"/>
        <v>0</v>
      </c>
      <c r="AH420" s="234">
        <f t="shared" si="20"/>
        <v>0</v>
      </c>
      <c r="AI420" s="234">
        <f t="shared" si="21"/>
        <v>0</v>
      </c>
    </row>
    <row r="421" spans="1:35" hidden="1" x14ac:dyDescent="0.25">
      <c r="A421" s="170">
        <v>4080</v>
      </c>
      <c r="B421" s="170">
        <v>7</v>
      </c>
      <c r="C421" s="171" t="s">
        <v>683</v>
      </c>
      <c r="D421" s="177">
        <v>7</v>
      </c>
      <c r="E421" s="272">
        <v>0</v>
      </c>
      <c r="F421" s="273">
        <v>0</v>
      </c>
      <c r="G421" s="234">
        <v>0</v>
      </c>
      <c r="H421" s="234">
        <v>0</v>
      </c>
      <c r="I421" s="174">
        <v>0</v>
      </c>
      <c r="J421" s="234">
        <v>0</v>
      </c>
      <c r="K421" s="234">
        <v>0</v>
      </c>
      <c r="L421" s="175">
        <v>0</v>
      </c>
      <c r="M421" s="235">
        <v>0</v>
      </c>
      <c r="N421" s="235">
        <v>0</v>
      </c>
      <c r="O421" s="235">
        <v>0</v>
      </c>
      <c r="P421" s="237" t="e">
        <v>#DIV/0!</v>
      </c>
      <c r="Q421" s="238">
        <v>0</v>
      </c>
      <c r="R421" s="239">
        <v>0</v>
      </c>
      <c r="S421" s="240">
        <v>0</v>
      </c>
      <c r="T421" s="239">
        <v>0</v>
      </c>
      <c r="U421" s="241">
        <v>0</v>
      </c>
      <c r="V421" s="242">
        <v>0</v>
      </c>
      <c r="W421" s="246">
        <v>0</v>
      </c>
      <c r="X421" s="246">
        <v>0</v>
      </c>
      <c r="Y421" s="246">
        <v>0</v>
      </c>
      <c r="Z421" s="246">
        <v>0</v>
      </c>
      <c r="AA421" s="246">
        <v>0</v>
      </c>
      <c r="AB421" s="246">
        <v>0</v>
      </c>
      <c r="AC421" s="247">
        <v>0</v>
      </c>
      <c r="AD421" s="247">
        <v>0</v>
      </c>
      <c r="AE421" s="248">
        <v>0</v>
      </c>
      <c r="AF421" s="234">
        <f>-SUMIF('[1]Alt Fac'!$A$18:$A$139,'REPORT 4 - PROPERTY TAX'!A421,'[1]Alt Fac'!$U$18:$U$139)</f>
        <v>0</v>
      </c>
      <c r="AG421" s="247">
        <f t="shared" si="19"/>
        <v>0</v>
      </c>
      <c r="AH421" s="234">
        <f t="shared" si="20"/>
        <v>0</v>
      </c>
      <c r="AI421" s="234">
        <f t="shared" si="21"/>
        <v>0</v>
      </c>
    </row>
    <row r="422" spans="1:35" hidden="1" x14ac:dyDescent="0.25">
      <c r="A422" s="170">
        <v>4081</v>
      </c>
      <c r="B422" s="170">
        <v>7</v>
      </c>
      <c r="C422" s="171" t="s">
        <v>687</v>
      </c>
      <c r="D422" s="177">
        <v>7</v>
      </c>
      <c r="E422" s="272">
        <v>0</v>
      </c>
      <c r="F422" s="273">
        <v>0</v>
      </c>
      <c r="G422" s="234">
        <v>0</v>
      </c>
      <c r="H422" s="234">
        <v>0</v>
      </c>
      <c r="I422" s="174">
        <v>0</v>
      </c>
      <c r="J422" s="234">
        <v>0</v>
      </c>
      <c r="K422" s="234">
        <v>0</v>
      </c>
      <c r="L422" s="175">
        <v>0</v>
      </c>
      <c r="M422" s="235">
        <v>0</v>
      </c>
      <c r="N422" s="235">
        <v>0</v>
      </c>
      <c r="O422" s="235">
        <v>0</v>
      </c>
      <c r="P422" s="237" t="e">
        <v>#DIV/0!</v>
      </c>
      <c r="Q422" s="238">
        <v>0</v>
      </c>
      <c r="R422" s="239">
        <v>0</v>
      </c>
      <c r="S422" s="240">
        <v>0</v>
      </c>
      <c r="T422" s="239">
        <v>0</v>
      </c>
      <c r="U422" s="241">
        <v>0</v>
      </c>
      <c r="V422" s="242">
        <v>0</v>
      </c>
      <c r="W422" s="246">
        <v>0</v>
      </c>
      <c r="X422" s="246">
        <v>0</v>
      </c>
      <c r="Y422" s="246">
        <v>0</v>
      </c>
      <c r="Z422" s="246">
        <v>0</v>
      </c>
      <c r="AA422" s="246">
        <v>0</v>
      </c>
      <c r="AB422" s="246">
        <v>0</v>
      </c>
      <c r="AC422" s="247">
        <v>0</v>
      </c>
      <c r="AD422" s="247">
        <v>0</v>
      </c>
      <c r="AE422" s="248">
        <v>0</v>
      </c>
      <c r="AF422" s="234">
        <f>-SUMIF('[1]Alt Fac'!$A$18:$A$139,'REPORT 4 - PROPERTY TAX'!A422,'[1]Alt Fac'!$U$18:$U$139)</f>
        <v>0</v>
      </c>
      <c r="AG422" s="247">
        <f t="shared" ref="AG422:AG485" si="22">Q422*AH$23+R422*AH$25</f>
        <v>0</v>
      </c>
      <c r="AH422" s="234">
        <f t="shared" ref="AH422:AH485" si="23">U422*$AH$23+V422*$AH$25</f>
        <v>0</v>
      </c>
      <c r="AI422" s="234">
        <f t="shared" si="21"/>
        <v>0</v>
      </c>
    </row>
    <row r="423" spans="1:35" hidden="1" x14ac:dyDescent="0.25">
      <c r="A423" s="170">
        <v>4082</v>
      </c>
      <c r="B423" s="170">
        <v>7</v>
      </c>
      <c r="C423" s="171" t="s">
        <v>609</v>
      </c>
      <c r="D423" s="177">
        <v>7</v>
      </c>
      <c r="E423" s="272">
        <v>0</v>
      </c>
      <c r="F423" s="273">
        <v>0</v>
      </c>
      <c r="G423" s="234">
        <v>0</v>
      </c>
      <c r="H423" s="234">
        <v>0</v>
      </c>
      <c r="I423" s="174">
        <v>0</v>
      </c>
      <c r="J423" s="234">
        <v>0</v>
      </c>
      <c r="K423" s="234">
        <v>0</v>
      </c>
      <c r="L423" s="175">
        <v>0</v>
      </c>
      <c r="M423" s="235">
        <v>0</v>
      </c>
      <c r="N423" s="235">
        <v>0</v>
      </c>
      <c r="O423" s="235">
        <v>0</v>
      </c>
      <c r="P423" s="237" t="e">
        <v>#DIV/0!</v>
      </c>
      <c r="Q423" s="238">
        <v>0</v>
      </c>
      <c r="R423" s="239">
        <v>0</v>
      </c>
      <c r="S423" s="240">
        <v>0</v>
      </c>
      <c r="T423" s="239">
        <v>0</v>
      </c>
      <c r="U423" s="241">
        <v>0</v>
      </c>
      <c r="V423" s="242">
        <v>0</v>
      </c>
      <c r="W423" s="246">
        <v>0</v>
      </c>
      <c r="X423" s="246">
        <v>0</v>
      </c>
      <c r="Y423" s="246">
        <v>0</v>
      </c>
      <c r="Z423" s="246">
        <v>0</v>
      </c>
      <c r="AA423" s="246">
        <v>0</v>
      </c>
      <c r="AB423" s="246">
        <v>0</v>
      </c>
      <c r="AC423" s="247">
        <v>0</v>
      </c>
      <c r="AD423" s="247">
        <v>0</v>
      </c>
      <c r="AE423" s="248">
        <v>0</v>
      </c>
      <c r="AF423" s="234">
        <f>-SUMIF('[1]Alt Fac'!$A$18:$A$139,'REPORT 4 - PROPERTY TAX'!A423,'[1]Alt Fac'!$U$18:$U$139)</f>
        <v>0</v>
      </c>
      <c r="AG423" s="247">
        <f t="shared" si="22"/>
        <v>0</v>
      </c>
      <c r="AH423" s="234">
        <f t="shared" si="23"/>
        <v>0</v>
      </c>
      <c r="AI423" s="234">
        <f t="shared" si="21"/>
        <v>0</v>
      </c>
    </row>
    <row r="424" spans="1:35" hidden="1" x14ac:dyDescent="0.25">
      <c r="A424" s="170">
        <v>4083</v>
      </c>
      <c r="B424" s="170">
        <v>7</v>
      </c>
      <c r="C424" s="171" t="s">
        <v>443</v>
      </c>
      <c r="D424" s="177">
        <v>7</v>
      </c>
      <c r="E424" s="272">
        <v>0</v>
      </c>
      <c r="F424" s="273">
        <v>0</v>
      </c>
      <c r="G424" s="234">
        <v>0</v>
      </c>
      <c r="H424" s="234">
        <v>0</v>
      </c>
      <c r="I424" s="174">
        <v>0</v>
      </c>
      <c r="J424" s="234">
        <v>0</v>
      </c>
      <c r="K424" s="234">
        <v>0</v>
      </c>
      <c r="L424" s="175">
        <v>0</v>
      </c>
      <c r="M424" s="235">
        <v>0</v>
      </c>
      <c r="N424" s="235">
        <v>0</v>
      </c>
      <c r="O424" s="235">
        <v>0</v>
      </c>
      <c r="P424" s="237" t="e">
        <v>#DIV/0!</v>
      </c>
      <c r="Q424" s="238">
        <v>0</v>
      </c>
      <c r="R424" s="239">
        <v>0</v>
      </c>
      <c r="S424" s="240">
        <v>0</v>
      </c>
      <c r="T424" s="239">
        <v>0</v>
      </c>
      <c r="U424" s="241">
        <v>0</v>
      </c>
      <c r="V424" s="242">
        <v>0</v>
      </c>
      <c r="W424" s="246">
        <v>0</v>
      </c>
      <c r="X424" s="246">
        <v>0</v>
      </c>
      <c r="Y424" s="246">
        <v>0</v>
      </c>
      <c r="Z424" s="246">
        <v>0</v>
      </c>
      <c r="AA424" s="246">
        <v>0</v>
      </c>
      <c r="AB424" s="246">
        <v>0</v>
      </c>
      <c r="AC424" s="247">
        <v>0</v>
      </c>
      <c r="AD424" s="247">
        <v>0</v>
      </c>
      <c r="AE424" s="248">
        <v>0</v>
      </c>
      <c r="AF424" s="234">
        <f>-SUMIF('[1]Alt Fac'!$A$18:$A$139,'REPORT 4 - PROPERTY TAX'!A424,'[1]Alt Fac'!$U$18:$U$139)</f>
        <v>0</v>
      </c>
      <c r="AG424" s="247">
        <f t="shared" si="22"/>
        <v>0</v>
      </c>
      <c r="AH424" s="234">
        <f t="shared" si="23"/>
        <v>0</v>
      </c>
      <c r="AI424" s="234">
        <f t="shared" si="21"/>
        <v>0</v>
      </c>
    </row>
    <row r="425" spans="1:35" hidden="1" x14ac:dyDescent="0.25">
      <c r="A425" s="170">
        <v>4084</v>
      </c>
      <c r="B425" s="170">
        <v>7</v>
      </c>
      <c r="C425" s="171" t="s">
        <v>518</v>
      </c>
      <c r="D425" s="177">
        <v>7</v>
      </c>
      <c r="E425" s="272">
        <v>0</v>
      </c>
      <c r="F425" s="273">
        <v>0</v>
      </c>
      <c r="G425" s="234">
        <v>0</v>
      </c>
      <c r="H425" s="234">
        <v>0</v>
      </c>
      <c r="I425" s="174">
        <v>0</v>
      </c>
      <c r="J425" s="234">
        <v>0</v>
      </c>
      <c r="K425" s="234">
        <v>0</v>
      </c>
      <c r="L425" s="175">
        <v>0</v>
      </c>
      <c r="M425" s="235">
        <v>0</v>
      </c>
      <c r="N425" s="235">
        <v>0</v>
      </c>
      <c r="O425" s="235">
        <v>0</v>
      </c>
      <c r="P425" s="237" t="e">
        <v>#DIV/0!</v>
      </c>
      <c r="Q425" s="238">
        <v>0</v>
      </c>
      <c r="R425" s="239">
        <v>0</v>
      </c>
      <c r="S425" s="240">
        <v>0</v>
      </c>
      <c r="T425" s="239">
        <v>0</v>
      </c>
      <c r="U425" s="241">
        <v>0</v>
      </c>
      <c r="V425" s="242">
        <v>0</v>
      </c>
      <c r="W425" s="246">
        <v>0</v>
      </c>
      <c r="X425" s="246">
        <v>0</v>
      </c>
      <c r="Y425" s="246">
        <v>0</v>
      </c>
      <c r="Z425" s="246">
        <v>0</v>
      </c>
      <c r="AA425" s="246">
        <v>0</v>
      </c>
      <c r="AB425" s="246">
        <v>0</v>
      </c>
      <c r="AC425" s="247">
        <v>0</v>
      </c>
      <c r="AD425" s="247">
        <v>0</v>
      </c>
      <c r="AE425" s="248">
        <v>0</v>
      </c>
      <c r="AF425" s="234">
        <f>-SUMIF('[1]Alt Fac'!$A$18:$A$139,'REPORT 4 - PROPERTY TAX'!A425,'[1]Alt Fac'!$U$18:$U$139)</f>
        <v>0</v>
      </c>
      <c r="AG425" s="247">
        <f t="shared" si="22"/>
        <v>0</v>
      </c>
      <c r="AH425" s="234">
        <f t="shared" si="23"/>
        <v>0</v>
      </c>
      <c r="AI425" s="234">
        <f t="shared" si="21"/>
        <v>0</v>
      </c>
    </row>
    <row r="426" spans="1:35" hidden="1" x14ac:dyDescent="0.25">
      <c r="A426" s="170">
        <v>4085</v>
      </c>
      <c r="B426" s="170">
        <v>7</v>
      </c>
      <c r="C426" s="171" t="s">
        <v>681</v>
      </c>
      <c r="D426" s="177">
        <v>7</v>
      </c>
      <c r="E426" s="272">
        <v>0</v>
      </c>
      <c r="F426" s="273">
        <v>0</v>
      </c>
      <c r="G426" s="234">
        <v>0</v>
      </c>
      <c r="H426" s="234">
        <v>0</v>
      </c>
      <c r="I426" s="174">
        <v>0</v>
      </c>
      <c r="J426" s="234">
        <v>0</v>
      </c>
      <c r="K426" s="234">
        <v>0</v>
      </c>
      <c r="L426" s="175">
        <v>0</v>
      </c>
      <c r="M426" s="235">
        <v>0</v>
      </c>
      <c r="N426" s="235">
        <v>0</v>
      </c>
      <c r="O426" s="235">
        <v>0</v>
      </c>
      <c r="P426" s="237" t="e">
        <v>#DIV/0!</v>
      </c>
      <c r="Q426" s="238">
        <v>0</v>
      </c>
      <c r="R426" s="239">
        <v>0</v>
      </c>
      <c r="S426" s="240">
        <v>0</v>
      </c>
      <c r="T426" s="239">
        <v>0</v>
      </c>
      <c r="U426" s="241">
        <v>0</v>
      </c>
      <c r="V426" s="242">
        <v>0</v>
      </c>
      <c r="W426" s="246">
        <v>0</v>
      </c>
      <c r="X426" s="246">
        <v>0</v>
      </c>
      <c r="Y426" s="246">
        <v>0</v>
      </c>
      <c r="Z426" s="246">
        <v>0</v>
      </c>
      <c r="AA426" s="246">
        <v>0</v>
      </c>
      <c r="AB426" s="246">
        <v>0</v>
      </c>
      <c r="AC426" s="247">
        <v>0</v>
      </c>
      <c r="AD426" s="247">
        <v>0</v>
      </c>
      <c r="AE426" s="248">
        <v>0</v>
      </c>
      <c r="AF426" s="234">
        <f>-SUMIF('[1]Alt Fac'!$A$18:$A$139,'REPORT 4 - PROPERTY TAX'!A426,'[1]Alt Fac'!$U$18:$U$139)</f>
        <v>0</v>
      </c>
      <c r="AG426" s="247">
        <f t="shared" si="22"/>
        <v>0</v>
      </c>
      <c r="AH426" s="234">
        <f t="shared" si="23"/>
        <v>0</v>
      </c>
      <c r="AI426" s="234">
        <f t="shared" si="21"/>
        <v>0</v>
      </c>
    </row>
    <row r="427" spans="1:35" hidden="1" x14ac:dyDescent="0.25">
      <c r="A427" s="170">
        <v>4086</v>
      </c>
      <c r="B427" s="170">
        <v>7</v>
      </c>
      <c r="C427" s="171" t="s">
        <v>354</v>
      </c>
      <c r="D427" s="177">
        <v>7</v>
      </c>
      <c r="E427" s="272">
        <v>0</v>
      </c>
      <c r="F427" s="273">
        <v>0</v>
      </c>
      <c r="G427" s="234">
        <v>0</v>
      </c>
      <c r="H427" s="234">
        <v>0</v>
      </c>
      <c r="I427" s="174">
        <v>0</v>
      </c>
      <c r="J427" s="234">
        <v>0</v>
      </c>
      <c r="K427" s="234">
        <v>0</v>
      </c>
      <c r="L427" s="175">
        <v>0</v>
      </c>
      <c r="M427" s="235">
        <v>0</v>
      </c>
      <c r="N427" s="235">
        <v>0</v>
      </c>
      <c r="O427" s="235">
        <v>0</v>
      </c>
      <c r="P427" s="237" t="e">
        <v>#DIV/0!</v>
      </c>
      <c r="Q427" s="238">
        <v>0</v>
      </c>
      <c r="R427" s="239">
        <v>0</v>
      </c>
      <c r="S427" s="240">
        <v>0</v>
      </c>
      <c r="T427" s="239">
        <v>0</v>
      </c>
      <c r="U427" s="241">
        <v>0</v>
      </c>
      <c r="V427" s="242">
        <v>0</v>
      </c>
      <c r="W427" s="246">
        <v>0</v>
      </c>
      <c r="X427" s="246">
        <v>0</v>
      </c>
      <c r="Y427" s="246">
        <v>0</v>
      </c>
      <c r="Z427" s="246">
        <v>0</v>
      </c>
      <c r="AA427" s="246">
        <v>0</v>
      </c>
      <c r="AB427" s="246">
        <v>0</v>
      </c>
      <c r="AC427" s="247">
        <v>0</v>
      </c>
      <c r="AD427" s="247">
        <v>0</v>
      </c>
      <c r="AE427" s="248">
        <v>0</v>
      </c>
      <c r="AF427" s="234">
        <f>-SUMIF('[1]Alt Fac'!$A$18:$A$139,'REPORT 4 - PROPERTY TAX'!A427,'[1]Alt Fac'!$U$18:$U$139)</f>
        <v>0</v>
      </c>
      <c r="AG427" s="247">
        <f t="shared" si="22"/>
        <v>0</v>
      </c>
      <c r="AH427" s="234">
        <f t="shared" si="23"/>
        <v>0</v>
      </c>
      <c r="AI427" s="234">
        <f t="shared" si="21"/>
        <v>0</v>
      </c>
    </row>
    <row r="428" spans="1:35" hidden="1" x14ac:dyDescent="0.25">
      <c r="A428" s="170">
        <v>4087</v>
      </c>
      <c r="B428" s="170">
        <v>7</v>
      </c>
      <c r="C428" s="171" t="s">
        <v>698</v>
      </c>
      <c r="D428" s="177">
        <v>7</v>
      </c>
      <c r="E428" s="272">
        <v>0</v>
      </c>
      <c r="F428" s="273">
        <v>0</v>
      </c>
      <c r="G428" s="234">
        <v>0</v>
      </c>
      <c r="H428" s="234">
        <v>0</v>
      </c>
      <c r="I428" s="174">
        <v>0</v>
      </c>
      <c r="J428" s="234">
        <v>0</v>
      </c>
      <c r="K428" s="234">
        <v>0</v>
      </c>
      <c r="L428" s="175">
        <v>0</v>
      </c>
      <c r="M428" s="235">
        <v>0</v>
      </c>
      <c r="N428" s="235">
        <v>0</v>
      </c>
      <c r="O428" s="235">
        <v>0</v>
      </c>
      <c r="P428" s="237" t="e">
        <v>#DIV/0!</v>
      </c>
      <c r="Q428" s="238">
        <v>0</v>
      </c>
      <c r="R428" s="239">
        <v>0</v>
      </c>
      <c r="S428" s="240">
        <v>0</v>
      </c>
      <c r="T428" s="239">
        <v>0</v>
      </c>
      <c r="U428" s="241">
        <v>0</v>
      </c>
      <c r="V428" s="242">
        <v>0</v>
      </c>
      <c r="W428" s="246">
        <v>0</v>
      </c>
      <c r="X428" s="246">
        <v>0</v>
      </c>
      <c r="Y428" s="246">
        <v>0</v>
      </c>
      <c r="Z428" s="246">
        <v>0</v>
      </c>
      <c r="AA428" s="246">
        <v>0</v>
      </c>
      <c r="AB428" s="246">
        <v>0</v>
      </c>
      <c r="AC428" s="247">
        <v>0</v>
      </c>
      <c r="AD428" s="247">
        <v>0</v>
      </c>
      <c r="AE428" s="248">
        <v>0</v>
      </c>
      <c r="AF428" s="234">
        <f>-SUMIF('[1]Alt Fac'!$A$18:$A$139,'REPORT 4 - PROPERTY TAX'!A428,'[1]Alt Fac'!$U$18:$U$139)</f>
        <v>0</v>
      </c>
      <c r="AG428" s="247">
        <f t="shared" si="22"/>
        <v>0</v>
      </c>
      <c r="AH428" s="234">
        <f t="shared" si="23"/>
        <v>0</v>
      </c>
      <c r="AI428" s="234">
        <f t="shared" si="21"/>
        <v>0</v>
      </c>
    </row>
    <row r="429" spans="1:35" hidden="1" x14ac:dyDescent="0.25">
      <c r="A429" s="170">
        <v>4088</v>
      </c>
      <c r="B429" s="170">
        <v>7</v>
      </c>
      <c r="C429" s="171" t="s">
        <v>699</v>
      </c>
      <c r="D429" s="177">
        <v>7</v>
      </c>
      <c r="E429" s="272">
        <v>0</v>
      </c>
      <c r="F429" s="273">
        <v>0</v>
      </c>
      <c r="G429" s="234">
        <v>0</v>
      </c>
      <c r="H429" s="234">
        <v>0</v>
      </c>
      <c r="I429" s="174">
        <v>0</v>
      </c>
      <c r="J429" s="234">
        <v>0</v>
      </c>
      <c r="K429" s="234">
        <v>0</v>
      </c>
      <c r="L429" s="175">
        <v>0</v>
      </c>
      <c r="M429" s="235">
        <v>0</v>
      </c>
      <c r="N429" s="235">
        <v>0</v>
      </c>
      <c r="O429" s="235">
        <v>0</v>
      </c>
      <c r="P429" s="237" t="e">
        <v>#DIV/0!</v>
      </c>
      <c r="Q429" s="238">
        <v>0</v>
      </c>
      <c r="R429" s="239">
        <v>0</v>
      </c>
      <c r="S429" s="240">
        <v>0</v>
      </c>
      <c r="T429" s="239">
        <v>0</v>
      </c>
      <c r="U429" s="241">
        <v>0</v>
      </c>
      <c r="V429" s="242">
        <v>0</v>
      </c>
      <c r="W429" s="246">
        <v>0</v>
      </c>
      <c r="X429" s="246">
        <v>0</v>
      </c>
      <c r="Y429" s="246">
        <v>0</v>
      </c>
      <c r="Z429" s="246">
        <v>0</v>
      </c>
      <c r="AA429" s="246">
        <v>0</v>
      </c>
      <c r="AB429" s="246">
        <v>0</v>
      </c>
      <c r="AC429" s="247">
        <v>0</v>
      </c>
      <c r="AD429" s="247">
        <v>0</v>
      </c>
      <c r="AE429" s="248">
        <v>0</v>
      </c>
      <c r="AF429" s="234">
        <f>-SUMIF('[1]Alt Fac'!$A$18:$A$139,'REPORT 4 - PROPERTY TAX'!A429,'[1]Alt Fac'!$U$18:$U$139)</f>
        <v>0</v>
      </c>
      <c r="AG429" s="247">
        <f t="shared" si="22"/>
        <v>0</v>
      </c>
      <c r="AH429" s="234">
        <f t="shared" si="23"/>
        <v>0</v>
      </c>
      <c r="AI429" s="234">
        <f t="shared" si="21"/>
        <v>0</v>
      </c>
    </row>
    <row r="430" spans="1:35" hidden="1" x14ac:dyDescent="0.25">
      <c r="A430" s="170">
        <v>4089</v>
      </c>
      <c r="B430" s="170">
        <v>7</v>
      </c>
      <c r="C430" s="171" t="s">
        <v>661</v>
      </c>
      <c r="D430" s="177">
        <v>7</v>
      </c>
      <c r="E430" s="272">
        <v>0</v>
      </c>
      <c r="F430" s="273">
        <v>0</v>
      </c>
      <c r="G430" s="234">
        <v>0</v>
      </c>
      <c r="H430" s="234">
        <v>0</v>
      </c>
      <c r="I430" s="174">
        <v>0</v>
      </c>
      <c r="J430" s="234">
        <v>0</v>
      </c>
      <c r="K430" s="234">
        <v>0</v>
      </c>
      <c r="L430" s="175">
        <v>0</v>
      </c>
      <c r="M430" s="235">
        <v>0</v>
      </c>
      <c r="N430" s="235">
        <v>0</v>
      </c>
      <c r="O430" s="235">
        <v>0</v>
      </c>
      <c r="P430" s="237" t="e">
        <v>#DIV/0!</v>
      </c>
      <c r="Q430" s="238">
        <v>0</v>
      </c>
      <c r="R430" s="239">
        <v>0</v>
      </c>
      <c r="S430" s="240">
        <v>0</v>
      </c>
      <c r="T430" s="239">
        <v>0</v>
      </c>
      <c r="U430" s="241">
        <v>0</v>
      </c>
      <c r="V430" s="242">
        <v>0</v>
      </c>
      <c r="W430" s="246">
        <v>0</v>
      </c>
      <c r="X430" s="246">
        <v>0</v>
      </c>
      <c r="Y430" s="246">
        <v>0</v>
      </c>
      <c r="Z430" s="246">
        <v>0</v>
      </c>
      <c r="AA430" s="246">
        <v>0</v>
      </c>
      <c r="AB430" s="246">
        <v>0</v>
      </c>
      <c r="AC430" s="247">
        <v>0</v>
      </c>
      <c r="AD430" s="247">
        <v>0</v>
      </c>
      <c r="AE430" s="248">
        <v>0</v>
      </c>
      <c r="AF430" s="234">
        <f>-SUMIF('[1]Alt Fac'!$A$18:$A$139,'REPORT 4 - PROPERTY TAX'!A430,'[1]Alt Fac'!$U$18:$U$139)</f>
        <v>0</v>
      </c>
      <c r="AG430" s="247">
        <f t="shared" si="22"/>
        <v>0</v>
      </c>
      <c r="AH430" s="234">
        <f t="shared" si="23"/>
        <v>0</v>
      </c>
      <c r="AI430" s="234">
        <f t="shared" si="21"/>
        <v>0</v>
      </c>
    </row>
    <row r="431" spans="1:35" hidden="1" x14ac:dyDescent="0.25">
      <c r="A431" s="170">
        <v>4090</v>
      </c>
      <c r="B431" s="170">
        <v>7</v>
      </c>
      <c r="C431" s="171" t="s">
        <v>480</v>
      </c>
      <c r="D431" s="177">
        <v>7</v>
      </c>
      <c r="E431" s="272">
        <v>0</v>
      </c>
      <c r="F431" s="273">
        <v>0</v>
      </c>
      <c r="G431" s="234">
        <v>0</v>
      </c>
      <c r="H431" s="234">
        <v>0</v>
      </c>
      <c r="I431" s="174">
        <v>0</v>
      </c>
      <c r="J431" s="234">
        <v>0</v>
      </c>
      <c r="K431" s="234">
        <v>0</v>
      </c>
      <c r="L431" s="175">
        <v>0</v>
      </c>
      <c r="M431" s="235">
        <v>0</v>
      </c>
      <c r="N431" s="235">
        <v>0</v>
      </c>
      <c r="O431" s="235">
        <v>0</v>
      </c>
      <c r="P431" s="237" t="e">
        <v>#DIV/0!</v>
      </c>
      <c r="Q431" s="238">
        <v>0</v>
      </c>
      <c r="R431" s="239">
        <v>0</v>
      </c>
      <c r="S431" s="240">
        <v>0</v>
      </c>
      <c r="T431" s="239">
        <v>0</v>
      </c>
      <c r="U431" s="241">
        <v>0</v>
      </c>
      <c r="V431" s="242">
        <v>0</v>
      </c>
      <c r="W431" s="246">
        <v>0</v>
      </c>
      <c r="X431" s="246">
        <v>0</v>
      </c>
      <c r="Y431" s="246">
        <v>0</v>
      </c>
      <c r="Z431" s="246">
        <v>0</v>
      </c>
      <c r="AA431" s="246">
        <v>0</v>
      </c>
      <c r="AB431" s="246">
        <v>0</v>
      </c>
      <c r="AC431" s="247">
        <v>0</v>
      </c>
      <c r="AD431" s="247">
        <v>0</v>
      </c>
      <c r="AE431" s="248">
        <v>0</v>
      </c>
      <c r="AF431" s="234">
        <f>-SUMIF('[1]Alt Fac'!$A$18:$A$139,'REPORT 4 - PROPERTY TAX'!A431,'[1]Alt Fac'!$U$18:$U$139)</f>
        <v>0</v>
      </c>
      <c r="AG431" s="247">
        <f t="shared" si="22"/>
        <v>0</v>
      </c>
      <c r="AH431" s="234">
        <f t="shared" si="23"/>
        <v>0</v>
      </c>
      <c r="AI431" s="234">
        <f t="shared" si="21"/>
        <v>0</v>
      </c>
    </row>
    <row r="432" spans="1:35" hidden="1" x14ac:dyDescent="0.25">
      <c r="A432" s="170">
        <v>4091</v>
      </c>
      <c r="B432" s="170">
        <v>7</v>
      </c>
      <c r="C432" s="171" t="s">
        <v>700</v>
      </c>
      <c r="D432" s="177">
        <v>7</v>
      </c>
      <c r="E432" s="272">
        <v>0</v>
      </c>
      <c r="F432" s="273">
        <v>0</v>
      </c>
      <c r="G432" s="234">
        <v>0</v>
      </c>
      <c r="H432" s="234">
        <v>0</v>
      </c>
      <c r="I432" s="174">
        <v>0</v>
      </c>
      <c r="J432" s="234">
        <v>0</v>
      </c>
      <c r="K432" s="234">
        <v>0</v>
      </c>
      <c r="L432" s="175">
        <v>0</v>
      </c>
      <c r="M432" s="235">
        <v>0</v>
      </c>
      <c r="N432" s="235">
        <v>0</v>
      </c>
      <c r="O432" s="235">
        <v>0</v>
      </c>
      <c r="P432" s="237" t="e">
        <v>#DIV/0!</v>
      </c>
      <c r="Q432" s="238">
        <v>0</v>
      </c>
      <c r="R432" s="239">
        <v>0</v>
      </c>
      <c r="S432" s="240">
        <v>0</v>
      </c>
      <c r="T432" s="239">
        <v>0</v>
      </c>
      <c r="U432" s="241">
        <v>0</v>
      </c>
      <c r="V432" s="242">
        <v>0</v>
      </c>
      <c r="W432" s="246">
        <v>0</v>
      </c>
      <c r="X432" s="246">
        <v>0</v>
      </c>
      <c r="Y432" s="246">
        <v>0</v>
      </c>
      <c r="Z432" s="246">
        <v>0</v>
      </c>
      <c r="AA432" s="246">
        <v>0</v>
      </c>
      <c r="AB432" s="246">
        <v>0</v>
      </c>
      <c r="AC432" s="247">
        <v>0</v>
      </c>
      <c r="AD432" s="247">
        <v>0</v>
      </c>
      <c r="AE432" s="248">
        <v>0</v>
      </c>
      <c r="AF432" s="234">
        <f>-SUMIF('[1]Alt Fac'!$A$18:$A$139,'REPORT 4 - PROPERTY TAX'!A432,'[1]Alt Fac'!$U$18:$U$139)</f>
        <v>0</v>
      </c>
      <c r="AG432" s="247">
        <f t="shared" si="22"/>
        <v>0</v>
      </c>
      <c r="AH432" s="234">
        <f t="shared" si="23"/>
        <v>0</v>
      </c>
      <c r="AI432" s="234">
        <f t="shared" si="21"/>
        <v>0</v>
      </c>
    </row>
    <row r="433" spans="1:35" hidden="1" x14ac:dyDescent="0.25">
      <c r="A433" s="170">
        <v>4092</v>
      </c>
      <c r="B433" s="170">
        <v>7</v>
      </c>
      <c r="C433" s="171" t="s">
        <v>677</v>
      </c>
      <c r="D433" s="177">
        <v>7</v>
      </c>
      <c r="E433" s="272">
        <v>0</v>
      </c>
      <c r="F433" s="273">
        <v>0</v>
      </c>
      <c r="G433" s="234">
        <v>0</v>
      </c>
      <c r="H433" s="234">
        <v>0</v>
      </c>
      <c r="I433" s="174">
        <v>0</v>
      </c>
      <c r="J433" s="234">
        <v>0</v>
      </c>
      <c r="K433" s="234">
        <v>0</v>
      </c>
      <c r="L433" s="175">
        <v>0</v>
      </c>
      <c r="M433" s="235">
        <v>0</v>
      </c>
      <c r="N433" s="235">
        <v>0</v>
      </c>
      <c r="O433" s="235">
        <v>0</v>
      </c>
      <c r="P433" s="237" t="e">
        <v>#DIV/0!</v>
      </c>
      <c r="Q433" s="238">
        <v>0</v>
      </c>
      <c r="R433" s="239">
        <v>0</v>
      </c>
      <c r="S433" s="240">
        <v>0</v>
      </c>
      <c r="T433" s="239">
        <v>0</v>
      </c>
      <c r="U433" s="241">
        <v>0</v>
      </c>
      <c r="V433" s="242">
        <v>0</v>
      </c>
      <c r="W433" s="246">
        <v>0</v>
      </c>
      <c r="X433" s="246">
        <v>0</v>
      </c>
      <c r="Y433" s="246">
        <v>0</v>
      </c>
      <c r="Z433" s="246">
        <v>0</v>
      </c>
      <c r="AA433" s="246">
        <v>0</v>
      </c>
      <c r="AB433" s="246">
        <v>0</v>
      </c>
      <c r="AC433" s="247">
        <v>0</v>
      </c>
      <c r="AD433" s="247">
        <v>0</v>
      </c>
      <c r="AE433" s="248">
        <v>0</v>
      </c>
      <c r="AF433" s="234">
        <f>-SUMIF('[1]Alt Fac'!$A$18:$A$139,'REPORT 4 - PROPERTY TAX'!A433,'[1]Alt Fac'!$U$18:$U$139)</f>
        <v>0</v>
      </c>
      <c r="AG433" s="247">
        <f t="shared" si="22"/>
        <v>0</v>
      </c>
      <c r="AH433" s="234">
        <f t="shared" si="23"/>
        <v>0</v>
      </c>
      <c r="AI433" s="234">
        <f t="shared" si="21"/>
        <v>0</v>
      </c>
    </row>
    <row r="434" spans="1:35" hidden="1" x14ac:dyDescent="0.25">
      <c r="A434" s="170">
        <v>4093</v>
      </c>
      <c r="B434" s="170">
        <v>7</v>
      </c>
      <c r="C434" s="171" t="s">
        <v>671</v>
      </c>
      <c r="D434" s="177">
        <v>7</v>
      </c>
      <c r="E434" s="272">
        <v>0</v>
      </c>
      <c r="F434" s="273">
        <v>0</v>
      </c>
      <c r="G434" s="234">
        <v>0</v>
      </c>
      <c r="H434" s="234">
        <v>0</v>
      </c>
      <c r="I434" s="174">
        <v>0</v>
      </c>
      <c r="J434" s="234">
        <v>0</v>
      </c>
      <c r="K434" s="234">
        <v>0</v>
      </c>
      <c r="L434" s="175">
        <v>0</v>
      </c>
      <c r="M434" s="235">
        <v>0</v>
      </c>
      <c r="N434" s="235">
        <v>0</v>
      </c>
      <c r="O434" s="235">
        <v>0</v>
      </c>
      <c r="P434" s="237" t="e">
        <v>#DIV/0!</v>
      </c>
      <c r="Q434" s="238">
        <v>0</v>
      </c>
      <c r="R434" s="239">
        <v>0</v>
      </c>
      <c r="S434" s="240">
        <v>0</v>
      </c>
      <c r="T434" s="239">
        <v>0</v>
      </c>
      <c r="U434" s="241">
        <v>0</v>
      </c>
      <c r="V434" s="242">
        <v>0</v>
      </c>
      <c r="W434" s="246">
        <v>0</v>
      </c>
      <c r="X434" s="246">
        <v>0</v>
      </c>
      <c r="Y434" s="246">
        <v>0</v>
      </c>
      <c r="Z434" s="246">
        <v>0</v>
      </c>
      <c r="AA434" s="246">
        <v>0</v>
      </c>
      <c r="AB434" s="246">
        <v>0</v>
      </c>
      <c r="AC434" s="247">
        <v>0</v>
      </c>
      <c r="AD434" s="247">
        <v>0</v>
      </c>
      <c r="AE434" s="248">
        <v>0</v>
      </c>
      <c r="AF434" s="234">
        <f>-SUMIF('[1]Alt Fac'!$A$18:$A$139,'REPORT 4 - PROPERTY TAX'!A434,'[1]Alt Fac'!$U$18:$U$139)</f>
        <v>0</v>
      </c>
      <c r="AG434" s="247">
        <f t="shared" si="22"/>
        <v>0</v>
      </c>
      <c r="AH434" s="234">
        <f t="shared" si="23"/>
        <v>0</v>
      </c>
      <c r="AI434" s="234">
        <f t="shared" si="21"/>
        <v>0</v>
      </c>
    </row>
    <row r="435" spans="1:35" hidden="1" x14ac:dyDescent="0.25">
      <c r="A435" s="170">
        <v>4095</v>
      </c>
      <c r="B435" s="170">
        <v>7</v>
      </c>
      <c r="C435" s="171" t="s">
        <v>548</v>
      </c>
      <c r="D435" s="177">
        <v>7</v>
      </c>
      <c r="E435" s="272">
        <v>0</v>
      </c>
      <c r="F435" s="273">
        <v>0</v>
      </c>
      <c r="G435" s="234">
        <v>0</v>
      </c>
      <c r="H435" s="234">
        <v>0</v>
      </c>
      <c r="I435" s="174">
        <v>0</v>
      </c>
      <c r="J435" s="234">
        <v>0</v>
      </c>
      <c r="K435" s="234">
        <v>0</v>
      </c>
      <c r="L435" s="175">
        <v>0</v>
      </c>
      <c r="M435" s="235">
        <v>0</v>
      </c>
      <c r="N435" s="235">
        <v>0</v>
      </c>
      <c r="O435" s="235">
        <v>0</v>
      </c>
      <c r="P435" s="237" t="e">
        <v>#DIV/0!</v>
      </c>
      <c r="Q435" s="238">
        <v>0</v>
      </c>
      <c r="R435" s="239">
        <v>0</v>
      </c>
      <c r="S435" s="240">
        <v>0</v>
      </c>
      <c r="T435" s="239">
        <v>0</v>
      </c>
      <c r="U435" s="241">
        <v>0</v>
      </c>
      <c r="V435" s="242">
        <v>0</v>
      </c>
      <c r="W435" s="246">
        <v>0</v>
      </c>
      <c r="X435" s="246">
        <v>0</v>
      </c>
      <c r="Y435" s="246">
        <v>0</v>
      </c>
      <c r="Z435" s="246">
        <v>0</v>
      </c>
      <c r="AA435" s="246">
        <v>0</v>
      </c>
      <c r="AB435" s="246">
        <v>0</v>
      </c>
      <c r="AC435" s="247">
        <v>0</v>
      </c>
      <c r="AD435" s="247">
        <v>0</v>
      </c>
      <c r="AE435" s="248">
        <v>0</v>
      </c>
      <c r="AF435" s="234">
        <f>-SUMIF('[1]Alt Fac'!$A$18:$A$139,'REPORT 4 - PROPERTY TAX'!A435,'[1]Alt Fac'!$U$18:$U$139)</f>
        <v>0</v>
      </c>
      <c r="AG435" s="247">
        <f t="shared" si="22"/>
        <v>0</v>
      </c>
      <c r="AH435" s="234">
        <f t="shared" si="23"/>
        <v>0</v>
      </c>
      <c r="AI435" s="234">
        <f t="shared" si="21"/>
        <v>0</v>
      </c>
    </row>
    <row r="436" spans="1:35" hidden="1" x14ac:dyDescent="0.25">
      <c r="A436" s="170">
        <v>4097</v>
      </c>
      <c r="B436" s="170">
        <v>7</v>
      </c>
      <c r="C436" s="171" t="s">
        <v>255</v>
      </c>
      <c r="D436" s="177">
        <v>7</v>
      </c>
      <c r="E436" s="272">
        <v>0</v>
      </c>
      <c r="F436" s="273">
        <v>0</v>
      </c>
      <c r="G436" s="234">
        <v>0</v>
      </c>
      <c r="H436" s="234">
        <v>0</v>
      </c>
      <c r="I436" s="174">
        <v>0</v>
      </c>
      <c r="J436" s="234">
        <v>0</v>
      </c>
      <c r="K436" s="234">
        <v>0</v>
      </c>
      <c r="L436" s="175">
        <v>0</v>
      </c>
      <c r="M436" s="235">
        <v>0</v>
      </c>
      <c r="N436" s="235">
        <v>0</v>
      </c>
      <c r="O436" s="235">
        <v>0</v>
      </c>
      <c r="P436" s="237" t="e">
        <v>#DIV/0!</v>
      </c>
      <c r="Q436" s="238">
        <v>0</v>
      </c>
      <c r="R436" s="239">
        <v>0</v>
      </c>
      <c r="S436" s="240">
        <v>0</v>
      </c>
      <c r="T436" s="239">
        <v>0</v>
      </c>
      <c r="U436" s="241">
        <v>0</v>
      </c>
      <c r="V436" s="242">
        <v>0</v>
      </c>
      <c r="W436" s="246">
        <v>0</v>
      </c>
      <c r="X436" s="246">
        <v>0</v>
      </c>
      <c r="Y436" s="246">
        <v>0</v>
      </c>
      <c r="Z436" s="246">
        <v>0</v>
      </c>
      <c r="AA436" s="246">
        <v>0</v>
      </c>
      <c r="AB436" s="246">
        <v>0</v>
      </c>
      <c r="AC436" s="247">
        <v>0</v>
      </c>
      <c r="AD436" s="247">
        <v>0</v>
      </c>
      <c r="AE436" s="248">
        <v>0</v>
      </c>
      <c r="AF436" s="234">
        <f>-SUMIF('[1]Alt Fac'!$A$18:$A$139,'REPORT 4 - PROPERTY TAX'!A436,'[1]Alt Fac'!$U$18:$U$139)</f>
        <v>0</v>
      </c>
      <c r="AG436" s="247">
        <f t="shared" si="22"/>
        <v>0</v>
      </c>
      <c r="AH436" s="234">
        <f t="shared" si="23"/>
        <v>0</v>
      </c>
      <c r="AI436" s="234">
        <f t="shared" si="21"/>
        <v>0</v>
      </c>
    </row>
    <row r="437" spans="1:35" hidden="1" x14ac:dyDescent="0.25">
      <c r="A437" s="170">
        <v>4098</v>
      </c>
      <c r="B437" s="170">
        <v>7</v>
      </c>
      <c r="C437" s="171" t="s">
        <v>428</v>
      </c>
      <c r="D437" s="177">
        <v>7</v>
      </c>
      <c r="E437" s="272">
        <v>0</v>
      </c>
      <c r="F437" s="273">
        <v>0</v>
      </c>
      <c r="G437" s="234">
        <v>0</v>
      </c>
      <c r="H437" s="234">
        <v>0</v>
      </c>
      <c r="I437" s="174">
        <v>0</v>
      </c>
      <c r="J437" s="234">
        <v>0</v>
      </c>
      <c r="K437" s="234">
        <v>0</v>
      </c>
      <c r="L437" s="175">
        <v>0</v>
      </c>
      <c r="M437" s="235">
        <v>0</v>
      </c>
      <c r="N437" s="235">
        <v>0</v>
      </c>
      <c r="O437" s="235">
        <v>0</v>
      </c>
      <c r="P437" s="237" t="e">
        <v>#DIV/0!</v>
      </c>
      <c r="Q437" s="238">
        <v>0</v>
      </c>
      <c r="R437" s="239">
        <v>0</v>
      </c>
      <c r="S437" s="240">
        <v>0</v>
      </c>
      <c r="T437" s="239">
        <v>0</v>
      </c>
      <c r="U437" s="241">
        <v>0</v>
      </c>
      <c r="V437" s="242">
        <v>0</v>
      </c>
      <c r="W437" s="246">
        <v>0</v>
      </c>
      <c r="X437" s="246">
        <v>0</v>
      </c>
      <c r="Y437" s="246">
        <v>0</v>
      </c>
      <c r="Z437" s="246">
        <v>0</v>
      </c>
      <c r="AA437" s="246">
        <v>0</v>
      </c>
      <c r="AB437" s="246">
        <v>0</v>
      </c>
      <c r="AC437" s="247">
        <v>0</v>
      </c>
      <c r="AD437" s="247">
        <v>0</v>
      </c>
      <c r="AE437" s="248">
        <v>0</v>
      </c>
      <c r="AF437" s="234">
        <f>-SUMIF('[1]Alt Fac'!$A$18:$A$139,'REPORT 4 - PROPERTY TAX'!A437,'[1]Alt Fac'!$U$18:$U$139)</f>
        <v>0</v>
      </c>
      <c r="AG437" s="247">
        <f t="shared" si="22"/>
        <v>0</v>
      </c>
      <c r="AH437" s="234">
        <f t="shared" si="23"/>
        <v>0</v>
      </c>
      <c r="AI437" s="234">
        <f t="shared" si="21"/>
        <v>0</v>
      </c>
    </row>
    <row r="438" spans="1:35" hidden="1" x14ac:dyDescent="0.25">
      <c r="A438" s="170">
        <v>4100</v>
      </c>
      <c r="B438" s="170">
        <v>7</v>
      </c>
      <c r="C438" s="171" t="s">
        <v>545</v>
      </c>
      <c r="D438" s="177">
        <v>7</v>
      </c>
      <c r="E438" s="272">
        <v>0</v>
      </c>
      <c r="F438" s="273">
        <v>0</v>
      </c>
      <c r="G438" s="234">
        <v>0</v>
      </c>
      <c r="H438" s="234">
        <v>0</v>
      </c>
      <c r="I438" s="174">
        <v>0</v>
      </c>
      <c r="J438" s="234">
        <v>0</v>
      </c>
      <c r="K438" s="234">
        <v>0</v>
      </c>
      <c r="L438" s="175">
        <v>0</v>
      </c>
      <c r="M438" s="235">
        <v>0</v>
      </c>
      <c r="N438" s="235">
        <v>0</v>
      </c>
      <c r="O438" s="235">
        <v>0</v>
      </c>
      <c r="P438" s="237" t="e">
        <v>#DIV/0!</v>
      </c>
      <c r="Q438" s="238">
        <v>0</v>
      </c>
      <c r="R438" s="239">
        <v>0</v>
      </c>
      <c r="S438" s="240">
        <v>0</v>
      </c>
      <c r="T438" s="239">
        <v>0</v>
      </c>
      <c r="U438" s="241">
        <v>0</v>
      </c>
      <c r="V438" s="242">
        <v>0</v>
      </c>
      <c r="W438" s="246">
        <v>0</v>
      </c>
      <c r="X438" s="246">
        <v>0</v>
      </c>
      <c r="Y438" s="246">
        <v>0</v>
      </c>
      <c r="Z438" s="246">
        <v>0</v>
      </c>
      <c r="AA438" s="246">
        <v>0</v>
      </c>
      <c r="AB438" s="246">
        <v>0</v>
      </c>
      <c r="AC438" s="247">
        <v>0</v>
      </c>
      <c r="AD438" s="247">
        <v>0</v>
      </c>
      <c r="AE438" s="248">
        <v>0</v>
      </c>
      <c r="AF438" s="234">
        <f>-SUMIF('[1]Alt Fac'!$A$18:$A$139,'REPORT 4 - PROPERTY TAX'!A438,'[1]Alt Fac'!$U$18:$U$139)</f>
        <v>0</v>
      </c>
      <c r="AG438" s="247">
        <f t="shared" si="22"/>
        <v>0</v>
      </c>
      <c r="AH438" s="234">
        <f t="shared" si="23"/>
        <v>0</v>
      </c>
      <c r="AI438" s="234">
        <f t="shared" si="21"/>
        <v>0</v>
      </c>
    </row>
    <row r="439" spans="1:35" hidden="1" x14ac:dyDescent="0.25">
      <c r="A439" s="170">
        <v>4102</v>
      </c>
      <c r="B439" s="170">
        <v>7</v>
      </c>
      <c r="C439" s="171" t="s">
        <v>701</v>
      </c>
      <c r="D439" s="177">
        <v>7</v>
      </c>
      <c r="E439" s="272">
        <v>0</v>
      </c>
      <c r="F439" s="273">
        <v>0</v>
      </c>
      <c r="G439" s="234">
        <v>0</v>
      </c>
      <c r="H439" s="234">
        <v>0</v>
      </c>
      <c r="I439" s="174">
        <v>0</v>
      </c>
      <c r="J439" s="234">
        <v>0</v>
      </c>
      <c r="K439" s="234">
        <v>0</v>
      </c>
      <c r="L439" s="175">
        <v>0</v>
      </c>
      <c r="M439" s="235">
        <v>0</v>
      </c>
      <c r="N439" s="235">
        <v>0</v>
      </c>
      <c r="O439" s="235">
        <v>0</v>
      </c>
      <c r="P439" s="237" t="e">
        <v>#DIV/0!</v>
      </c>
      <c r="Q439" s="238">
        <v>0</v>
      </c>
      <c r="R439" s="239">
        <v>0</v>
      </c>
      <c r="S439" s="240">
        <v>0</v>
      </c>
      <c r="T439" s="239">
        <v>0</v>
      </c>
      <c r="U439" s="241">
        <v>0</v>
      </c>
      <c r="V439" s="242">
        <v>0</v>
      </c>
      <c r="W439" s="246">
        <v>0</v>
      </c>
      <c r="X439" s="246">
        <v>0</v>
      </c>
      <c r="Y439" s="246">
        <v>0</v>
      </c>
      <c r="Z439" s="246">
        <v>0</v>
      </c>
      <c r="AA439" s="246">
        <v>0</v>
      </c>
      <c r="AB439" s="246">
        <v>0</v>
      </c>
      <c r="AC439" s="247">
        <v>0</v>
      </c>
      <c r="AD439" s="247">
        <v>0</v>
      </c>
      <c r="AE439" s="248">
        <v>0</v>
      </c>
      <c r="AF439" s="234">
        <f>-SUMIF('[1]Alt Fac'!$A$18:$A$139,'REPORT 4 - PROPERTY TAX'!A439,'[1]Alt Fac'!$U$18:$U$139)</f>
        <v>0</v>
      </c>
      <c r="AG439" s="247">
        <f t="shared" si="22"/>
        <v>0</v>
      </c>
      <c r="AH439" s="234">
        <f t="shared" si="23"/>
        <v>0</v>
      </c>
      <c r="AI439" s="234">
        <f t="shared" si="21"/>
        <v>0</v>
      </c>
    </row>
    <row r="440" spans="1:35" hidden="1" x14ac:dyDescent="0.25">
      <c r="A440" s="170">
        <v>4103</v>
      </c>
      <c r="B440" s="170">
        <v>7</v>
      </c>
      <c r="C440" s="171" t="s">
        <v>690</v>
      </c>
      <c r="D440" s="177">
        <v>7</v>
      </c>
      <c r="E440" s="272">
        <v>0</v>
      </c>
      <c r="F440" s="273">
        <v>0</v>
      </c>
      <c r="G440" s="234">
        <v>0</v>
      </c>
      <c r="H440" s="234">
        <v>0</v>
      </c>
      <c r="I440" s="174">
        <v>0</v>
      </c>
      <c r="J440" s="234">
        <v>0</v>
      </c>
      <c r="K440" s="234">
        <v>0</v>
      </c>
      <c r="L440" s="175">
        <v>0</v>
      </c>
      <c r="M440" s="235">
        <v>0</v>
      </c>
      <c r="N440" s="235">
        <v>0</v>
      </c>
      <c r="O440" s="235">
        <v>0</v>
      </c>
      <c r="P440" s="237" t="e">
        <v>#DIV/0!</v>
      </c>
      <c r="Q440" s="238">
        <v>0</v>
      </c>
      <c r="R440" s="239">
        <v>0</v>
      </c>
      <c r="S440" s="240">
        <v>0</v>
      </c>
      <c r="T440" s="239">
        <v>0</v>
      </c>
      <c r="U440" s="241">
        <v>0</v>
      </c>
      <c r="V440" s="242">
        <v>0</v>
      </c>
      <c r="W440" s="246">
        <v>0</v>
      </c>
      <c r="X440" s="246">
        <v>0</v>
      </c>
      <c r="Y440" s="246">
        <v>0</v>
      </c>
      <c r="Z440" s="246">
        <v>0</v>
      </c>
      <c r="AA440" s="246">
        <v>0</v>
      </c>
      <c r="AB440" s="246">
        <v>0</v>
      </c>
      <c r="AC440" s="247">
        <v>0</v>
      </c>
      <c r="AD440" s="247">
        <v>0</v>
      </c>
      <c r="AE440" s="248">
        <v>0</v>
      </c>
      <c r="AF440" s="234">
        <f>-SUMIF('[1]Alt Fac'!$A$18:$A$139,'REPORT 4 - PROPERTY TAX'!A440,'[1]Alt Fac'!$U$18:$U$139)</f>
        <v>0</v>
      </c>
      <c r="AG440" s="247">
        <f t="shared" si="22"/>
        <v>0</v>
      </c>
      <c r="AH440" s="234">
        <f t="shared" si="23"/>
        <v>0</v>
      </c>
      <c r="AI440" s="234">
        <f t="shared" si="21"/>
        <v>0</v>
      </c>
    </row>
    <row r="441" spans="1:35" hidden="1" x14ac:dyDescent="0.25">
      <c r="A441" s="170">
        <v>4104</v>
      </c>
      <c r="B441" s="170">
        <v>7</v>
      </c>
      <c r="C441" s="171" t="s">
        <v>702</v>
      </c>
      <c r="D441" s="177">
        <v>7</v>
      </c>
      <c r="E441" s="272">
        <v>0</v>
      </c>
      <c r="F441" s="273">
        <v>0</v>
      </c>
      <c r="G441" s="234">
        <v>0</v>
      </c>
      <c r="H441" s="234">
        <v>0</v>
      </c>
      <c r="I441" s="174">
        <v>0</v>
      </c>
      <c r="J441" s="234">
        <v>0</v>
      </c>
      <c r="K441" s="234">
        <v>0</v>
      </c>
      <c r="L441" s="175">
        <v>0</v>
      </c>
      <c r="M441" s="235">
        <v>0</v>
      </c>
      <c r="N441" s="235">
        <v>0</v>
      </c>
      <c r="O441" s="235">
        <v>0</v>
      </c>
      <c r="P441" s="237" t="e">
        <v>#DIV/0!</v>
      </c>
      <c r="Q441" s="238">
        <v>0</v>
      </c>
      <c r="R441" s="239">
        <v>0</v>
      </c>
      <c r="S441" s="240">
        <v>0</v>
      </c>
      <c r="T441" s="239">
        <v>0</v>
      </c>
      <c r="U441" s="241">
        <v>0</v>
      </c>
      <c r="V441" s="242">
        <v>0</v>
      </c>
      <c r="W441" s="246">
        <v>0</v>
      </c>
      <c r="X441" s="246">
        <v>0</v>
      </c>
      <c r="Y441" s="246">
        <v>0</v>
      </c>
      <c r="Z441" s="246">
        <v>0</v>
      </c>
      <c r="AA441" s="246">
        <v>0</v>
      </c>
      <c r="AB441" s="246">
        <v>0</v>
      </c>
      <c r="AC441" s="247">
        <v>0</v>
      </c>
      <c r="AD441" s="247">
        <v>0</v>
      </c>
      <c r="AE441" s="248">
        <v>0</v>
      </c>
      <c r="AF441" s="234">
        <f>-SUMIF('[1]Alt Fac'!$A$18:$A$139,'REPORT 4 - PROPERTY TAX'!A441,'[1]Alt Fac'!$U$18:$U$139)</f>
        <v>0</v>
      </c>
      <c r="AG441" s="247">
        <f t="shared" si="22"/>
        <v>0</v>
      </c>
      <c r="AH441" s="234">
        <f t="shared" si="23"/>
        <v>0</v>
      </c>
      <c r="AI441" s="234">
        <f t="shared" si="21"/>
        <v>0</v>
      </c>
    </row>
    <row r="442" spans="1:35" hidden="1" x14ac:dyDescent="0.25">
      <c r="A442" s="170">
        <v>4105</v>
      </c>
      <c r="B442" s="170">
        <v>7</v>
      </c>
      <c r="C442" s="171" t="s">
        <v>568</v>
      </c>
      <c r="D442" s="177">
        <v>7</v>
      </c>
      <c r="E442" s="272">
        <v>0</v>
      </c>
      <c r="F442" s="273">
        <v>0</v>
      </c>
      <c r="G442" s="234">
        <v>0</v>
      </c>
      <c r="H442" s="234">
        <v>0</v>
      </c>
      <c r="I442" s="174">
        <v>0</v>
      </c>
      <c r="J442" s="234">
        <v>0</v>
      </c>
      <c r="K442" s="234">
        <v>0</v>
      </c>
      <c r="L442" s="175">
        <v>0</v>
      </c>
      <c r="M442" s="235">
        <v>0</v>
      </c>
      <c r="N442" s="235">
        <v>0</v>
      </c>
      <c r="O442" s="235">
        <v>0</v>
      </c>
      <c r="P442" s="237" t="e">
        <v>#DIV/0!</v>
      </c>
      <c r="Q442" s="238">
        <v>0</v>
      </c>
      <c r="R442" s="239">
        <v>0</v>
      </c>
      <c r="S442" s="240">
        <v>0</v>
      </c>
      <c r="T442" s="239">
        <v>0</v>
      </c>
      <c r="U442" s="241">
        <v>0</v>
      </c>
      <c r="V442" s="242">
        <v>0</v>
      </c>
      <c r="W442" s="246">
        <v>0</v>
      </c>
      <c r="X442" s="246">
        <v>0</v>
      </c>
      <c r="Y442" s="246">
        <v>0</v>
      </c>
      <c r="Z442" s="246">
        <v>0</v>
      </c>
      <c r="AA442" s="246">
        <v>0</v>
      </c>
      <c r="AB442" s="246">
        <v>0</v>
      </c>
      <c r="AC442" s="247">
        <v>0</v>
      </c>
      <c r="AD442" s="247">
        <v>0</v>
      </c>
      <c r="AE442" s="248">
        <v>0</v>
      </c>
      <c r="AF442" s="234">
        <f>-SUMIF('[1]Alt Fac'!$A$18:$A$139,'REPORT 4 - PROPERTY TAX'!A442,'[1]Alt Fac'!$U$18:$U$139)</f>
        <v>0</v>
      </c>
      <c r="AG442" s="247">
        <f t="shared" si="22"/>
        <v>0</v>
      </c>
      <c r="AH442" s="234">
        <f t="shared" si="23"/>
        <v>0</v>
      </c>
      <c r="AI442" s="234">
        <f t="shared" si="21"/>
        <v>0</v>
      </c>
    </row>
    <row r="443" spans="1:35" hidden="1" x14ac:dyDescent="0.25">
      <c r="A443" s="170">
        <v>4106</v>
      </c>
      <c r="B443" s="170">
        <v>7</v>
      </c>
      <c r="C443" s="171" t="s">
        <v>636</v>
      </c>
      <c r="D443" s="177">
        <v>7</v>
      </c>
      <c r="E443" s="272">
        <v>0</v>
      </c>
      <c r="F443" s="273">
        <v>0</v>
      </c>
      <c r="G443" s="234">
        <v>0</v>
      </c>
      <c r="H443" s="234">
        <v>0</v>
      </c>
      <c r="I443" s="174">
        <v>0</v>
      </c>
      <c r="J443" s="234">
        <v>0</v>
      </c>
      <c r="K443" s="234">
        <v>0</v>
      </c>
      <c r="L443" s="175">
        <v>0</v>
      </c>
      <c r="M443" s="235">
        <v>0</v>
      </c>
      <c r="N443" s="235">
        <v>0</v>
      </c>
      <c r="O443" s="235">
        <v>0</v>
      </c>
      <c r="P443" s="237" t="e">
        <v>#DIV/0!</v>
      </c>
      <c r="Q443" s="238">
        <v>0</v>
      </c>
      <c r="R443" s="239">
        <v>0</v>
      </c>
      <c r="S443" s="240">
        <v>0</v>
      </c>
      <c r="T443" s="239">
        <v>0</v>
      </c>
      <c r="U443" s="241">
        <v>0</v>
      </c>
      <c r="V443" s="242">
        <v>0</v>
      </c>
      <c r="W443" s="246">
        <v>0</v>
      </c>
      <c r="X443" s="246">
        <v>0</v>
      </c>
      <c r="Y443" s="246">
        <v>0</v>
      </c>
      <c r="Z443" s="246">
        <v>0</v>
      </c>
      <c r="AA443" s="246">
        <v>0</v>
      </c>
      <c r="AB443" s="246">
        <v>0</v>
      </c>
      <c r="AC443" s="247">
        <v>0</v>
      </c>
      <c r="AD443" s="247">
        <v>0</v>
      </c>
      <c r="AE443" s="248">
        <v>0</v>
      </c>
      <c r="AF443" s="234">
        <f>-SUMIF('[1]Alt Fac'!$A$18:$A$139,'REPORT 4 - PROPERTY TAX'!A443,'[1]Alt Fac'!$U$18:$U$139)</f>
        <v>0</v>
      </c>
      <c r="AG443" s="247">
        <f t="shared" si="22"/>
        <v>0</v>
      </c>
      <c r="AH443" s="234">
        <f t="shared" si="23"/>
        <v>0</v>
      </c>
      <c r="AI443" s="234">
        <f t="shared" si="21"/>
        <v>0</v>
      </c>
    </row>
    <row r="444" spans="1:35" hidden="1" x14ac:dyDescent="0.25">
      <c r="A444" s="170">
        <v>4107</v>
      </c>
      <c r="B444" s="170">
        <v>7</v>
      </c>
      <c r="C444" s="171" t="s">
        <v>655</v>
      </c>
      <c r="D444" s="177">
        <v>7</v>
      </c>
      <c r="E444" s="272">
        <v>0</v>
      </c>
      <c r="F444" s="273">
        <v>0</v>
      </c>
      <c r="G444" s="234">
        <v>0</v>
      </c>
      <c r="H444" s="234">
        <v>0</v>
      </c>
      <c r="I444" s="174">
        <v>0</v>
      </c>
      <c r="J444" s="234">
        <v>0</v>
      </c>
      <c r="K444" s="234">
        <v>0</v>
      </c>
      <c r="L444" s="175">
        <v>0</v>
      </c>
      <c r="M444" s="235">
        <v>0</v>
      </c>
      <c r="N444" s="235">
        <v>0</v>
      </c>
      <c r="O444" s="235">
        <v>0</v>
      </c>
      <c r="P444" s="237" t="e">
        <v>#DIV/0!</v>
      </c>
      <c r="Q444" s="238">
        <v>0</v>
      </c>
      <c r="R444" s="239">
        <v>0</v>
      </c>
      <c r="S444" s="240">
        <v>0</v>
      </c>
      <c r="T444" s="239">
        <v>0</v>
      </c>
      <c r="U444" s="241">
        <v>0</v>
      </c>
      <c r="V444" s="242">
        <v>0</v>
      </c>
      <c r="W444" s="246">
        <v>0</v>
      </c>
      <c r="X444" s="246">
        <v>0</v>
      </c>
      <c r="Y444" s="246">
        <v>0</v>
      </c>
      <c r="Z444" s="246">
        <v>0</v>
      </c>
      <c r="AA444" s="246">
        <v>0</v>
      </c>
      <c r="AB444" s="246">
        <v>0</v>
      </c>
      <c r="AC444" s="247">
        <v>0</v>
      </c>
      <c r="AD444" s="247">
        <v>0</v>
      </c>
      <c r="AE444" s="248">
        <v>0</v>
      </c>
      <c r="AF444" s="234">
        <f>-SUMIF('[1]Alt Fac'!$A$18:$A$139,'REPORT 4 - PROPERTY TAX'!A444,'[1]Alt Fac'!$U$18:$U$139)</f>
        <v>0</v>
      </c>
      <c r="AG444" s="247">
        <f t="shared" si="22"/>
        <v>0</v>
      </c>
      <c r="AH444" s="234">
        <f t="shared" si="23"/>
        <v>0</v>
      </c>
      <c r="AI444" s="234">
        <f t="shared" si="21"/>
        <v>0</v>
      </c>
    </row>
    <row r="445" spans="1:35" hidden="1" x14ac:dyDescent="0.25">
      <c r="A445" s="170">
        <v>4109</v>
      </c>
      <c r="B445" s="170">
        <v>7</v>
      </c>
      <c r="C445" s="171" t="s">
        <v>703</v>
      </c>
      <c r="D445" s="177">
        <v>7</v>
      </c>
      <c r="E445" s="272">
        <v>0</v>
      </c>
      <c r="F445" s="273">
        <v>0</v>
      </c>
      <c r="G445" s="234">
        <v>0</v>
      </c>
      <c r="H445" s="234">
        <v>0</v>
      </c>
      <c r="I445" s="174">
        <v>0</v>
      </c>
      <c r="J445" s="234">
        <v>0</v>
      </c>
      <c r="K445" s="234">
        <v>0</v>
      </c>
      <c r="L445" s="175">
        <v>0</v>
      </c>
      <c r="M445" s="235">
        <v>0</v>
      </c>
      <c r="N445" s="235">
        <v>0</v>
      </c>
      <c r="O445" s="235">
        <v>0</v>
      </c>
      <c r="P445" s="237" t="e">
        <v>#DIV/0!</v>
      </c>
      <c r="Q445" s="238">
        <v>0</v>
      </c>
      <c r="R445" s="239">
        <v>0</v>
      </c>
      <c r="S445" s="240">
        <v>0</v>
      </c>
      <c r="T445" s="239">
        <v>0</v>
      </c>
      <c r="U445" s="241">
        <v>0</v>
      </c>
      <c r="V445" s="242">
        <v>0</v>
      </c>
      <c r="W445" s="246">
        <v>0</v>
      </c>
      <c r="X445" s="246">
        <v>0</v>
      </c>
      <c r="Y445" s="246">
        <v>0</v>
      </c>
      <c r="Z445" s="246">
        <v>0</v>
      </c>
      <c r="AA445" s="246">
        <v>0</v>
      </c>
      <c r="AB445" s="246">
        <v>0</v>
      </c>
      <c r="AC445" s="247">
        <v>0</v>
      </c>
      <c r="AD445" s="247">
        <v>0</v>
      </c>
      <c r="AE445" s="248">
        <v>0</v>
      </c>
      <c r="AF445" s="234">
        <f>-SUMIF('[1]Alt Fac'!$A$18:$A$139,'REPORT 4 - PROPERTY TAX'!A445,'[1]Alt Fac'!$U$18:$U$139)</f>
        <v>0</v>
      </c>
      <c r="AG445" s="247">
        <f t="shared" si="22"/>
        <v>0</v>
      </c>
      <c r="AH445" s="234">
        <f t="shared" si="23"/>
        <v>0</v>
      </c>
      <c r="AI445" s="234">
        <f t="shared" si="21"/>
        <v>0</v>
      </c>
    </row>
    <row r="446" spans="1:35" hidden="1" x14ac:dyDescent="0.25">
      <c r="A446" s="170">
        <v>4110</v>
      </c>
      <c r="B446" s="170">
        <v>7</v>
      </c>
      <c r="C446" s="171" t="s">
        <v>650</v>
      </c>
      <c r="D446" s="177">
        <v>7</v>
      </c>
      <c r="E446" s="272">
        <v>0</v>
      </c>
      <c r="F446" s="273">
        <v>0</v>
      </c>
      <c r="G446" s="234">
        <v>0</v>
      </c>
      <c r="H446" s="234">
        <v>0</v>
      </c>
      <c r="I446" s="174">
        <v>0</v>
      </c>
      <c r="J446" s="234">
        <v>0</v>
      </c>
      <c r="K446" s="234">
        <v>0</v>
      </c>
      <c r="L446" s="175">
        <v>0</v>
      </c>
      <c r="M446" s="235">
        <v>0</v>
      </c>
      <c r="N446" s="235">
        <v>0</v>
      </c>
      <c r="O446" s="235">
        <v>0</v>
      </c>
      <c r="P446" s="237" t="e">
        <v>#DIV/0!</v>
      </c>
      <c r="Q446" s="238">
        <v>0</v>
      </c>
      <c r="R446" s="239">
        <v>0</v>
      </c>
      <c r="S446" s="240">
        <v>0</v>
      </c>
      <c r="T446" s="239">
        <v>0</v>
      </c>
      <c r="U446" s="241">
        <v>0</v>
      </c>
      <c r="V446" s="242">
        <v>0</v>
      </c>
      <c r="W446" s="246">
        <v>0</v>
      </c>
      <c r="X446" s="246">
        <v>0</v>
      </c>
      <c r="Y446" s="246">
        <v>0</v>
      </c>
      <c r="Z446" s="246">
        <v>0</v>
      </c>
      <c r="AA446" s="246">
        <v>0</v>
      </c>
      <c r="AB446" s="246">
        <v>0</v>
      </c>
      <c r="AC446" s="247">
        <v>0</v>
      </c>
      <c r="AD446" s="247">
        <v>0</v>
      </c>
      <c r="AE446" s="248">
        <v>0</v>
      </c>
      <c r="AF446" s="234">
        <f>-SUMIF('[1]Alt Fac'!$A$18:$A$139,'REPORT 4 - PROPERTY TAX'!A446,'[1]Alt Fac'!$U$18:$U$139)</f>
        <v>0</v>
      </c>
      <c r="AG446" s="247">
        <f t="shared" si="22"/>
        <v>0</v>
      </c>
      <c r="AH446" s="234">
        <f t="shared" si="23"/>
        <v>0</v>
      </c>
      <c r="AI446" s="234">
        <f t="shared" si="21"/>
        <v>0</v>
      </c>
    </row>
    <row r="447" spans="1:35" hidden="1" x14ac:dyDescent="0.25">
      <c r="A447" s="170">
        <v>4111</v>
      </c>
      <c r="B447" s="170">
        <v>7</v>
      </c>
      <c r="C447" s="171" t="s">
        <v>704</v>
      </c>
      <c r="D447" s="177">
        <v>7</v>
      </c>
      <c r="E447" s="272">
        <v>0</v>
      </c>
      <c r="F447" s="273">
        <v>0</v>
      </c>
      <c r="G447" s="234">
        <v>0</v>
      </c>
      <c r="H447" s="234">
        <v>0</v>
      </c>
      <c r="I447" s="174">
        <v>0</v>
      </c>
      <c r="J447" s="234">
        <v>0</v>
      </c>
      <c r="K447" s="234">
        <v>0</v>
      </c>
      <c r="L447" s="175">
        <v>0</v>
      </c>
      <c r="M447" s="235">
        <v>0</v>
      </c>
      <c r="N447" s="235">
        <v>0</v>
      </c>
      <c r="O447" s="235">
        <v>0</v>
      </c>
      <c r="P447" s="237" t="e">
        <v>#DIV/0!</v>
      </c>
      <c r="Q447" s="238">
        <v>0</v>
      </c>
      <c r="R447" s="239">
        <v>0</v>
      </c>
      <c r="S447" s="240">
        <v>0</v>
      </c>
      <c r="T447" s="239">
        <v>0</v>
      </c>
      <c r="U447" s="241">
        <v>0</v>
      </c>
      <c r="V447" s="242">
        <v>0</v>
      </c>
      <c r="W447" s="246">
        <v>0</v>
      </c>
      <c r="X447" s="246">
        <v>0</v>
      </c>
      <c r="Y447" s="246">
        <v>0</v>
      </c>
      <c r="Z447" s="246">
        <v>0</v>
      </c>
      <c r="AA447" s="246">
        <v>0</v>
      </c>
      <c r="AB447" s="246">
        <v>0</v>
      </c>
      <c r="AC447" s="247">
        <v>0</v>
      </c>
      <c r="AD447" s="247">
        <v>0</v>
      </c>
      <c r="AE447" s="248">
        <v>0</v>
      </c>
      <c r="AF447" s="234">
        <f>-SUMIF('[1]Alt Fac'!$A$18:$A$139,'REPORT 4 - PROPERTY TAX'!A447,'[1]Alt Fac'!$U$18:$U$139)</f>
        <v>0</v>
      </c>
      <c r="AG447" s="247">
        <f t="shared" si="22"/>
        <v>0</v>
      </c>
      <c r="AH447" s="234">
        <f t="shared" si="23"/>
        <v>0</v>
      </c>
      <c r="AI447" s="234">
        <f t="shared" si="21"/>
        <v>0</v>
      </c>
    </row>
    <row r="448" spans="1:35" hidden="1" x14ac:dyDescent="0.25">
      <c r="A448" s="170">
        <v>4112</v>
      </c>
      <c r="B448" s="170">
        <v>7</v>
      </c>
      <c r="C448" s="171" t="s">
        <v>622</v>
      </c>
      <c r="D448" s="177">
        <v>7</v>
      </c>
      <c r="E448" s="272">
        <v>0</v>
      </c>
      <c r="F448" s="273">
        <v>0</v>
      </c>
      <c r="G448" s="234">
        <v>0</v>
      </c>
      <c r="H448" s="234">
        <v>0</v>
      </c>
      <c r="I448" s="174">
        <v>0</v>
      </c>
      <c r="J448" s="234">
        <v>0</v>
      </c>
      <c r="K448" s="234">
        <v>0</v>
      </c>
      <c r="L448" s="175">
        <v>0</v>
      </c>
      <c r="M448" s="235">
        <v>0</v>
      </c>
      <c r="N448" s="235">
        <v>0</v>
      </c>
      <c r="O448" s="235">
        <v>0</v>
      </c>
      <c r="P448" s="237" t="e">
        <v>#DIV/0!</v>
      </c>
      <c r="Q448" s="238">
        <v>0</v>
      </c>
      <c r="R448" s="239">
        <v>0</v>
      </c>
      <c r="S448" s="240">
        <v>0</v>
      </c>
      <c r="T448" s="239">
        <v>0</v>
      </c>
      <c r="U448" s="241">
        <v>0</v>
      </c>
      <c r="V448" s="242">
        <v>0</v>
      </c>
      <c r="W448" s="246">
        <v>0</v>
      </c>
      <c r="X448" s="246">
        <v>0</v>
      </c>
      <c r="Y448" s="246">
        <v>0</v>
      </c>
      <c r="Z448" s="246">
        <v>0</v>
      </c>
      <c r="AA448" s="246">
        <v>0</v>
      </c>
      <c r="AB448" s="246">
        <v>0</v>
      </c>
      <c r="AC448" s="247">
        <v>0</v>
      </c>
      <c r="AD448" s="247">
        <v>0</v>
      </c>
      <c r="AE448" s="248">
        <v>0</v>
      </c>
      <c r="AF448" s="234">
        <f>-SUMIF('[1]Alt Fac'!$A$18:$A$139,'REPORT 4 - PROPERTY TAX'!A448,'[1]Alt Fac'!$U$18:$U$139)</f>
        <v>0</v>
      </c>
      <c r="AG448" s="247">
        <f t="shared" si="22"/>
        <v>0</v>
      </c>
      <c r="AH448" s="234">
        <f t="shared" si="23"/>
        <v>0</v>
      </c>
      <c r="AI448" s="234">
        <f t="shared" si="21"/>
        <v>0</v>
      </c>
    </row>
    <row r="449" spans="1:35" hidden="1" x14ac:dyDescent="0.25">
      <c r="A449" s="170">
        <v>4113</v>
      </c>
      <c r="B449" s="170">
        <v>7</v>
      </c>
      <c r="C449" s="171" t="s">
        <v>672</v>
      </c>
      <c r="D449" s="177">
        <v>7</v>
      </c>
      <c r="E449" s="272">
        <v>0</v>
      </c>
      <c r="F449" s="273">
        <v>0</v>
      </c>
      <c r="G449" s="234">
        <v>0</v>
      </c>
      <c r="H449" s="234">
        <v>0</v>
      </c>
      <c r="I449" s="174">
        <v>0</v>
      </c>
      <c r="J449" s="234">
        <v>0</v>
      </c>
      <c r="K449" s="234">
        <v>0</v>
      </c>
      <c r="L449" s="175">
        <v>0</v>
      </c>
      <c r="M449" s="235">
        <v>0</v>
      </c>
      <c r="N449" s="235">
        <v>0</v>
      </c>
      <c r="O449" s="235">
        <v>0</v>
      </c>
      <c r="P449" s="237" t="e">
        <v>#DIV/0!</v>
      </c>
      <c r="Q449" s="238">
        <v>0</v>
      </c>
      <c r="R449" s="239">
        <v>0</v>
      </c>
      <c r="S449" s="240">
        <v>0</v>
      </c>
      <c r="T449" s="239">
        <v>0</v>
      </c>
      <c r="U449" s="241">
        <v>0</v>
      </c>
      <c r="V449" s="242">
        <v>0</v>
      </c>
      <c r="W449" s="246">
        <v>0</v>
      </c>
      <c r="X449" s="246">
        <v>0</v>
      </c>
      <c r="Y449" s="246">
        <v>0</v>
      </c>
      <c r="Z449" s="246">
        <v>0</v>
      </c>
      <c r="AA449" s="246">
        <v>0</v>
      </c>
      <c r="AB449" s="246">
        <v>0</v>
      </c>
      <c r="AC449" s="247">
        <v>0</v>
      </c>
      <c r="AD449" s="247">
        <v>0</v>
      </c>
      <c r="AE449" s="248">
        <v>0</v>
      </c>
      <c r="AF449" s="234">
        <f>-SUMIF('[1]Alt Fac'!$A$18:$A$139,'REPORT 4 - PROPERTY TAX'!A449,'[1]Alt Fac'!$U$18:$U$139)</f>
        <v>0</v>
      </c>
      <c r="AG449" s="247">
        <f t="shared" si="22"/>
        <v>0</v>
      </c>
      <c r="AH449" s="234">
        <f t="shared" si="23"/>
        <v>0</v>
      </c>
      <c r="AI449" s="234">
        <f t="shared" si="21"/>
        <v>0</v>
      </c>
    </row>
    <row r="450" spans="1:35" hidden="1" x14ac:dyDescent="0.25">
      <c r="A450" s="170">
        <v>4115</v>
      </c>
      <c r="B450" s="170">
        <v>7</v>
      </c>
      <c r="C450" s="171" t="s">
        <v>674</v>
      </c>
      <c r="D450" s="177">
        <v>7</v>
      </c>
      <c r="E450" s="272">
        <v>0</v>
      </c>
      <c r="F450" s="273">
        <v>0</v>
      </c>
      <c r="G450" s="234">
        <v>0</v>
      </c>
      <c r="H450" s="234">
        <v>0</v>
      </c>
      <c r="I450" s="174">
        <v>0</v>
      </c>
      <c r="J450" s="234">
        <v>0</v>
      </c>
      <c r="K450" s="234">
        <v>0</v>
      </c>
      <c r="L450" s="175">
        <v>0</v>
      </c>
      <c r="M450" s="235">
        <v>0</v>
      </c>
      <c r="N450" s="235">
        <v>0</v>
      </c>
      <c r="O450" s="235">
        <v>0</v>
      </c>
      <c r="P450" s="237" t="e">
        <v>#DIV/0!</v>
      </c>
      <c r="Q450" s="238">
        <v>0</v>
      </c>
      <c r="R450" s="239">
        <v>0</v>
      </c>
      <c r="S450" s="240">
        <v>0</v>
      </c>
      <c r="T450" s="239">
        <v>0</v>
      </c>
      <c r="U450" s="241">
        <v>0</v>
      </c>
      <c r="V450" s="242">
        <v>0</v>
      </c>
      <c r="W450" s="246">
        <v>0</v>
      </c>
      <c r="X450" s="246">
        <v>0</v>
      </c>
      <c r="Y450" s="246">
        <v>0</v>
      </c>
      <c r="Z450" s="246">
        <v>0</v>
      </c>
      <c r="AA450" s="246">
        <v>0</v>
      </c>
      <c r="AB450" s="246">
        <v>0</v>
      </c>
      <c r="AC450" s="247">
        <v>0</v>
      </c>
      <c r="AD450" s="247">
        <v>0</v>
      </c>
      <c r="AE450" s="248">
        <v>0</v>
      </c>
      <c r="AF450" s="234">
        <f>-SUMIF('[1]Alt Fac'!$A$18:$A$139,'REPORT 4 - PROPERTY TAX'!A450,'[1]Alt Fac'!$U$18:$U$139)</f>
        <v>0</v>
      </c>
      <c r="AG450" s="247">
        <f t="shared" si="22"/>
        <v>0</v>
      </c>
      <c r="AH450" s="234">
        <f t="shared" si="23"/>
        <v>0</v>
      </c>
      <c r="AI450" s="234">
        <f t="shared" si="21"/>
        <v>0</v>
      </c>
    </row>
    <row r="451" spans="1:35" hidden="1" x14ac:dyDescent="0.25">
      <c r="A451" s="170">
        <v>4116</v>
      </c>
      <c r="B451" s="170">
        <v>7</v>
      </c>
      <c r="C451" s="171" t="s">
        <v>368</v>
      </c>
      <c r="D451" s="177">
        <v>7</v>
      </c>
      <c r="E451" s="272">
        <v>0</v>
      </c>
      <c r="F451" s="273">
        <v>0</v>
      </c>
      <c r="G451" s="234">
        <v>0</v>
      </c>
      <c r="H451" s="234">
        <v>0</v>
      </c>
      <c r="I451" s="174">
        <v>0</v>
      </c>
      <c r="J451" s="234">
        <v>0</v>
      </c>
      <c r="K451" s="234">
        <v>0</v>
      </c>
      <c r="L451" s="175">
        <v>0</v>
      </c>
      <c r="M451" s="235">
        <v>0</v>
      </c>
      <c r="N451" s="235">
        <v>0</v>
      </c>
      <c r="O451" s="235">
        <v>0</v>
      </c>
      <c r="P451" s="237" t="e">
        <v>#DIV/0!</v>
      </c>
      <c r="Q451" s="238">
        <v>0</v>
      </c>
      <c r="R451" s="239">
        <v>0</v>
      </c>
      <c r="S451" s="240">
        <v>0</v>
      </c>
      <c r="T451" s="239">
        <v>0</v>
      </c>
      <c r="U451" s="241">
        <v>0</v>
      </c>
      <c r="V451" s="242">
        <v>0</v>
      </c>
      <c r="W451" s="246">
        <v>0</v>
      </c>
      <c r="X451" s="246">
        <v>0</v>
      </c>
      <c r="Y451" s="246">
        <v>0</v>
      </c>
      <c r="Z451" s="246">
        <v>0</v>
      </c>
      <c r="AA451" s="246">
        <v>0</v>
      </c>
      <c r="AB451" s="246">
        <v>0</v>
      </c>
      <c r="AC451" s="247">
        <v>0</v>
      </c>
      <c r="AD451" s="247">
        <v>0</v>
      </c>
      <c r="AE451" s="248">
        <v>0</v>
      </c>
      <c r="AF451" s="234">
        <f>-SUMIF('[1]Alt Fac'!$A$18:$A$139,'REPORT 4 - PROPERTY TAX'!A451,'[1]Alt Fac'!$U$18:$U$139)</f>
        <v>0</v>
      </c>
      <c r="AG451" s="247">
        <f t="shared" si="22"/>
        <v>0</v>
      </c>
      <c r="AH451" s="234">
        <f t="shared" si="23"/>
        <v>0</v>
      </c>
      <c r="AI451" s="234">
        <f t="shared" si="21"/>
        <v>0</v>
      </c>
    </row>
    <row r="452" spans="1:35" hidden="1" x14ac:dyDescent="0.25">
      <c r="A452" s="170">
        <v>4118</v>
      </c>
      <c r="B452" s="170">
        <v>7</v>
      </c>
      <c r="C452" s="171" t="s">
        <v>520</v>
      </c>
      <c r="D452" s="177">
        <v>7</v>
      </c>
      <c r="E452" s="272">
        <v>0</v>
      </c>
      <c r="F452" s="273">
        <v>0</v>
      </c>
      <c r="G452" s="234">
        <v>0</v>
      </c>
      <c r="H452" s="234">
        <v>0</v>
      </c>
      <c r="I452" s="174">
        <v>0</v>
      </c>
      <c r="J452" s="234">
        <v>0</v>
      </c>
      <c r="K452" s="234">
        <v>0</v>
      </c>
      <c r="L452" s="175">
        <v>0</v>
      </c>
      <c r="M452" s="235">
        <v>0</v>
      </c>
      <c r="N452" s="235">
        <v>0</v>
      </c>
      <c r="O452" s="235">
        <v>0</v>
      </c>
      <c r="P452" s="237" t="e">
        <v>#DIV/0!</v>
      </c>
      <c r="Q452" s="238">
        <v>0</v>
      </c>
      <c r="R452" s="239">
        <v>0</v>
      </c>
      <c r="S452" s="240">
        <v>0</v>
      </c>
      <c r="T452" s="239">
        <v>0</v>
      </c>
      <c r="U452" s="241">
        <v>0</v>
      </c>
      <c r="V452" s="242">
        <v>0</v>
      </c>
      <c r="W452" s="246">
        <v>0</v>
      </c>
      <c r="X452" s="246">
        <v>0</v>
      </c>
      <c r="Y452" s="246">
        <v>0</v>
      </c>
      <c r="Z452" s="246">
        <v>0</v>
      </c>
      <c r="AA452" s="246">
        <v>0</v>
      </c>
      <c r="AB452" s="246">
        <v>0</v>
      </c>
      <c r="AC452" s="247">
        <v>0</v>
      </c>
      <c r="AD452" s="247">
        <v>0</v>
      </c>
      <c r="AE452" s="248">
        <v>0</v>
      </c>
      <c r="AF452" s="234">
        <f>-SUMIF('[1]Alt Fac'!$A$18:$A$139,'REPORT 4 - PROPERTY TAX'!A452,'[1]Alt Fac'!$U$18:$U$139)</f>
        <v>0</v>
      </c>
      <c r="AG452" s="247">
        <f t="shared" si="22"/>
        <v>0</v>
      </c>
      <c r="AH452" s="234">
        <f t="shared" si="23"/>
        <v>0</v>
      </c>
      <c r="AI452" s="234">
        <f t="shared" si="21"/>
        <v>0</v>
      </c>
    </row>
    <row r="453" spans="1:35" hidden="1" x14ac:dyDescent="0.25">
      <c r="A453" s="170">
        <v>4119</v>
      </c>
      <c r="B453" s="170">
        <v>7</v>
      </c>
      <c r="C453" s="171" t="s">
        <v>613</v>
      </c>
      <c r="D453" s="177">
        <v>7</v>
      </c>
      <c r="E453" s="272">
        <v>0</v>
      </c>
      <c r="F453" s="273">
        <v>0</v>
      </c>
      <c r="G453" s="234">
        <v>0</v>
      </c>
      <c r="H453" s="234">
        <v>0</v>
      </c>
      <c r="I453" s="174">
        <v>0</v>
      </c>
      <c r="J453" s="234">
        <v>0</v>
      </c>
      <c r="K453" s="234">
        <v>0</v>
      </c>
      <c r="L453" s="175">
        <v>0</v>
      </c>
      <c r="M453" s="235">
        <v>0</v>
      </c>
      <c r="N453" s="235">
        <v>0</v>
      </c>
      <c r="O453" s="235">
        <v>0</v>
      </c>
      <c r="P453" s="237" t="e">
        <v>#DIV/0!</v>
      </c>
      <c r="Q453" s="238">
        <v>0</v>
      </c>
      <c r="R453" s="239">
        <v>0</v>
      </c>
      <c r="S453" s="240">
        <v>0</v>
      </c>
      <c r="T453" s="239">
        <v>0</v>
      </c>
      <c r="U453" s="241">
        <v>0</v>
      </c>
      <c r="V453" s="242">
        <v>0</v>
      </c>
      <c r="W453" s="246">
        <v>0</v>
      </c>
      <c r="X453" s="246">
        <v>0</v>
      </c>
      <c r="Y453" s="246">
        <v>0</v>
      </c>
      <c r="Z453" s="246">
        <v>0</v>
      </c>
      <c r="AA453" s="246">
        <v>0</v>
      </c>
      <c r="AB453" s="246">
        <v>0</v>
      </c>
      <c r="AC453" s="247">
        <v>0</v>
      </c>
      <c r="AD453" s="247">
        <v>0</v>
      </c>
      <c r="AE453" s="248">
        <v>0</v>
      </c>
      <c r="AF453" s="234">
        <f>-SUMIF('[1]Alt Fac'!$A$18:$A$139,'REPORT 4 - PROPERTY TAX'!A453,'[1]Alt Fac'!$U$18:$U$139)</f>
        <v>0</v>
      </c>
      <c r="AG453" s="247">
        <f t="shared" si="22"/>
        <v>0</v>
      </c>
      <c r="AH453" s="234">
        <f t="shared" si="23"/>
        <v>0</v>
      </c>
      <c r="AI453" s="234">
        <f t="shared" si="21"/>
        <v>0</v>
      </c>
    </row>
    <row r="454" spans="1:35" hidden="1" x14ac:dyDescent="0.25">
      <c r="A454" s="170">
        <v>4120</v>
      </c>
      <c r="B454" s="170">
        <v>7</v>
      </c>
      <c r="C454" s="171" t="s">
        <v>476</v>
      </c>
      <c r="D454" s="177">
        <v>7</v>
      </c>
      <c r="E454" s="272">
        <v>0</v>
      </c>
      <c r="F454" s="273">
        <v>0</v>
      </c>
      <c r="G454" s="234">
        <v>0</v>
      </c>
      <c r="H454" s="234">
        <v>0</v>
      </c>
      <c r="I454" s="174">
        <v>0</v>
      </c>
      <c r="J454" s="234">
        <v>0</v>
      </c>
      <c r="K454" s="234">
        <v>0</v>
      </c>
      <c r="L454" s="175">
        <v>0</v>
      </c>
      <c r="M454" s="235">
        <v>0</v>
      </c>
      <c r="N454" s="235">
        <v>0</v>
      </c>
      <c r="O454" s="235">
        <v>0</v>
      </c>
      <c r="P454" s="237" t="e">
        <v>#DIV/0!</v>
      </c>
      <c r="Q454" s="238">
        <v>0</v>
      </c>
      <c r="R454" s="239">
        <v>0</v>
      </c>
      <c r="S454" s="240">
        <v>0</v>
      </c>
      <c r="T454" s="239">
        <v>0</v>
      </c>
      <c r="U454" s="241">
        <v>0</v>
      </c>
      <c r="V454" s="242">
        <v>0</v>
      </c>
      <c r="W454" s="246">
        <v>0</v>
      </c>
      <c r="X454" s="246">
        <v>0</v>
      </c>
      <c r="Y454" s="246">
        <v>0</v>
      </c>
      <c r="Z454" s="246">
        <v>0</v>
      </c>
      <c r="AA454" s="246">
        <v>0</v>
      </c>
      <c r="AB454" s="246">
        <v>0</v>
      </c>
      <c r="AC454" s="247">
        <v>0</v>
      </c>
      <c r="AD454" s="247">
        <v>0</v>
      </c>
      <c r="AE454" s="248">
        <v>0</v>
      </c>
      <c r="AF454" s="234">
        <f>-SUMIF('[1]Alt Fac'!$A$18:$A$139,'REPORT 4 - PROPERTY TAX'!A454,'[1]Alt Fac'!$U$18:$U$139)</f>
        <v>0</v>
      </c>
      <c r="AG454" s="247">
        <f t="shared" si="22"/>
        <v>0</v>
      </c>
      <c r="AH454" s="234">
        <f t="shared" si="23"/>
        <v>0</v>
      </c>
      <c r="AI454" s="234">
        <f t="shared" si="21"/>
        <v>0</v>
      </c>
    </row>
    <row r="455" spans="1:35" hidden="1" x14ac:dyDescent="0.25">
      <c r="A455" s="170">
        <v>4121</v>
      </c>
      <c r="B455" s="170">
        <v>7</v>
      </c>
      <c r="C455" s="171" t="s">
        <v>706</v>
      </c>
      <c r="D455" s="177">
        <v>7</v>
      </c>
      <c r="E455" s="272">
        <v>0</v>
      </c>
      <c r="F455" s="273">
        <v>0</v>
      </c>
      <c r="G455" s="234">
        <v>0</v>
      </c>
      <c r="H455" s="234">
        <v>0</v>
      </c>
      <c r="I455" s="174">
        <v>0</v>
      </c>
      <c r="J455" s="234">
        <v>0</v>
      </c>
      <c r="K455" s="234">
        <v>0</v>
      </c>
      <c r="L455" s="175">
        <v>0</v>
      </c>
      <c r="M455" s="235">
        <v>0</v>
      </c>
      <c r="N455" s="235">
        <v>0</v>
      </c>
      <c r="O455" s="235">
        <v>0</v>
      </c>
      <c r="P455" s="237" t="e">
        <v>#DIV/0!</v>
      </c>
      <c r="Q455" s="238">
        <v>0</v>
      </c>
      <c r="R455" s="239">
        <v>0</v>
      </c>
      <c r="S455" s="240">
        <v>0</v>
      </c>
      <c r="T455" s="239">
        <v>0</v>
      </c>
      <c r="U455" s="241">
        <v>0</v>
      </c>
      <c r="V455" s="242">
        <v>0</v>
      </c>
      <c r="W455" s="246">
        <v>0</v>
      </c>
      <c r="X455" s="246">
        <v>0</v>
      </c>
      <c r="Y455" s="246">
        <v>0</v>
      </c>
      <c r="Z455" s="246">
        <v>0</v>
      </c>
      <c r="AA455" s="246">
        <v>0</v>
      </c>
      <c r="AB455" s="246">
        <v>0</v>
      </c>
      <c r="AC455" s="247">
        <v>0</v>
      </c>
      <c r="AD455" s="247">
        <v>0</v>
      </c>
      <c r="AE455" s="248">
        <v>0</v>
      </c>
      <c r="AF455" s="234">
        <f>-SUMIF('[1]Alt Fac'!$A$18:$A$139,'REPORT 4 - PROPERTY TAX'!A455,'[1]Alt Fac'!$U$18:$U$139)</f>
        <v>0</v>
      </c>
      <c r="AG455" s="247">
        <f t="shared" si="22"/>
        <v>0</v>
      </c>
      <c r="AH455" s="234">
        <f t="shared" si="23"/>
        <v>0</v>
      </c>
      <c r="AI455" s="234">
        <f t="shared" si="21"/>
        <v>0</v>
      </c>
    </row>
    <row r="456" spans="1:35" hidden="1" x14ac:dyDescent="0.25">
      <c r="A456" s="170">
        <v>4122</v>
      </c>
      <c r="B456" s="170">
        <v>7</v>
      </c>
      <c r="C456" s="171" t="s">
        <v>470</v>
      </c>
      <c r="D456" s="177">
        <v>7</v>
      </c>
      <c r="E456" s="272">
        <v>0</v>
      </c>
      <c r="F456" s="273">
        <v>0</v>
      </c>
      <c r="G456" s="234">
        <v>0</v>
      </c>
      <c r="H456" s="234">
        <v>0</v>
      </c>
      <c r="I456" s="174">
        <v>0</v>
      </c>
      <c r="J456" s="234">
        <v>0</v>
      </c>
      <c r="K456" s="234">
        <v>0</v>
      </c>
      <c r="L456" s="175">
        <v>0</v>
      </c>
      <c r="M456" s="235">
        <v>0</v>
      </c>
      <c r="N456" s="235">
        <v>0</v>
      </c>
      <c r="O456" s="235">
        <v>0</v>
      </c>
      <c r="P456" s="237" t="e">
        <v>#DIV/0!</v>
      </c>
      <c r="Q456" s="238">
        <v>0</v>
      </c>
      <c r="R456" s="239">
        <v>0</v>
      </c>
      <c r="S456" s="240">
        <v>0</v>
      </c>
      <c r="T456" s="239">
        <v>0</v>
      </c>
      <c r="U456" s="241">
        <v>0</v>
      </c>
      <c r="V456" s="242">
        <v>0</v>
      </c>
      <c r="W456" s="246">
        <v>0</v>
      </c>
      <c r="X456" s="246">
        <v>0</v>
      </c>
      <c r="Y456" s="246">
        <v>0</v>
      </c>
      <c r="Z456" s="246">
        <v>0</v>
      </c>
      <c r="AA456" s="246">
        <v>0</v>
      </c>
      <c r="AB456" s="246">
        <v>0</v>
      </c>
      <c r="AC456" s="247">
        <v>0</v>
      </c>
      <c r="AD456" s="247">
        <v>0</v>
      </c>
      <c r="AE456" s="248">
        <v>0</v>
      </c>
      <c r="AF456" s="234">
        <f>-SUMIF('[1]Alt Fac'!$A$18:$A$139,'REPORT 4 - PROPERTY TAX'!A456,'[1]Alt Fac'!$U$18:$U$139)</f>
        <v>0</v>
      </c>
      <c r="AG456" s="247">
        <f t="shared" si="22"/>
        <v>0</v>
      </c>
      <c r="AH456" s="234">
        <f t="shared" si="23"/>
        <v>0</v>
      </c>
      <c r="AI456" s="234">
        <f t="shared" si="21"/>
        <v>0</v>
      </c>
    </row>
    <row r="457" spans="1:35" hidden="1" x14ac:dyDescent="0.25">
      <c r="A457" s="170">
        <v>4123</v>
      </c>
      <c r="B457" s="170">
        <v>7</v>
      </c>
      <c r="C457" s="171" t="s">
        <v>385</v>
      </c>
      <c r="D457" s="177">
        <v>7</v>
      </c>
      <c r="E457" s="272">
        <v>0</v>
      </c>
      <c r="F457" s="273">
        <v>0</v>
      </c>
      <c r="G457" s="234">
        <v>0</v>
      </c>
      <c r="H457" s="234">
        <v>0</v>
      </c>
      <c r="I457" s="174">
        <v>0</v>
      </c>
      <c r="J457" s="234">
        <v>0</v>
      </c>
      <c r="K457" s="234">
        <v>0</v>
      </c>
      <c r="L457" s="175">
        <v>0</v>
      </c>
      <c r="M457" s="235">
        <v>0</v>
      </c>
      <c r="N457" s="235">
        <v>0</v>
      </c>
      <c r="O457" s="235">
        <v>0</v>
      </c>
      <c r="P457" s="237" t="e">
        <v>#DIV/0!</v>
      </c>
      <c r="Q457" s="238">
        <v>0</v>
      </c>
      <c r="R457" s="239">
        <v>0</v>
      </c>
      <c r="S457" s="240">
        <v>0</v>
      </c>
      <c r="T457" s="239">
        <v>0</v>
      </c>
      <c r="U457" s="241">
        <v>0</v>
      </c>
      <c r="V457" s="242">
        <v>0</v>
      </c>
      <c r="W457" s="246">
        <v>0</v>
      </c>
      <c r="X457" s="246">
        <v>0</v>
      </c>
      <c r="Y457" s="246">
        <v>0</v>
      </c>
      <c r="Z457" s="246">
        <v>0</v>
      </c>
      <c r="AA457" s="246">
        <v>0</v>
      </c>
      <c r="AB457" s="246">
        <v>0</v>
      </c>
      <c r="AC457" s="247">
        <v>0</v>
      </c>
      <c r="AD457" s="247">
        <v>0</v>
      </c>
      <c r="AE457" s="248">
        <v>0</v>
      </c>
      <c r="AF457" s="234">
        <f>-SUMIF('[1]Alt Fac'!$A$18:$A$139,'REPORT 4 - PROPERTY TAX'!A457,'[1]Alt Fac'!$U$18:$U$139)</f>
        <v>0</v>
      </c>
      <c r="AG457" s="247">
        <f t="shared" si="22"/>
        <v>0</v>
      </c>
      <c r="AH457" s="234">
        <f t="shared" si="23"/>
        <v>0</v>
      </c>
      <c r="AI457" s="234">
        <f t="shared" si="21"/>
        <v>0</v>
      </c>
    </row>
    <row r="458" spans="1:35" hidden="1" x14ac:dyDescent="0.25">
      <c r="A458" s="170">
        <v>4124</v>
      </c>
      <c r="B458" s="170">
        <v>7</v>
      </c>
      <c r="C458" s="171" t="s">
        <v>523</v>
      </c>
      <c r="D458" s="177">
        <v>7</v>
      </c>
      <c r="E458" s="272">
        <v>0</v>
      </c>
      <c r="F458" s="273">
        <v>0</v>
      </c>
      <c r="G458" s="234">
        <v>0</v>
      </c>
      <c r="H458" s="234">
        <v>0</v>
      </c>
      <c r="I458" s="174">
        <v>0</v>
      </c>
      <c r="J458" s="234">
        <v>0</v>
      </c>
      <c r="K458" s="234">
        <v>0</v>
      </c>
      <c r="L458" s="175">
        <v>0</v>
      </c>
      <c r="M458" s="235">
        <v>0</v>
      </c>
      <c r="N458" s="235">
        <v>0</v>
      </c>
      <c r="O458" s="235">
        <v>0</v>
      </c>
      <c r="P458" s="237" t="e">
        <v>#DIV/0!</v>
      </c>
      <c r="Q458" s="238">
        <v>0</v>
      </c>
      <c r="R458" s="239">
        <v>0</v>
      </c>
      <c r="S458" s="240">
        <v>0</v>
      </c>
      <c r="T458" s="239">
        <v>0</v>
      </c>
      <c r="U458" s="241">
        <v>0</v>
      </c>
      <c r="V458" s="242">
        <v>0</v>
      </c>
      <c r="W458" s="246">
        <v>0</v>
      </c>
      <c r="X458" s="246">
        <v>0</v>
      </c>
      <c r="Y458" s="246">
        <v>0</v>
      </c>
      <c r="Z458" s="246">
        <v>0</v>
      </c>
      <c r="AA458" s="246">
        <v>0</v>
      </c>
      <c r="AB458" s="246">
        <v>0</v>
      </c>
      <c r="AC458" s="247">
        <v>0</v>
      </c>
      <c r="AD458" s="247">
        <v>0</v>
      </c>
      <c r="AE458" s="248">
        <v>0</v>
      </c>
      <c r="AF458" s="234">
        <f>-SUMIF('[1]Alt Fac'!$A$18:$A$139,'REPORT 4 - PROPERTY TAX'!A458,'[1]Alt Fac'!$U$18:$U$139)</f>
        <v>0</v>
      </c>
      <c r="AG458" s="247">
        <f t="shared" si="22"/>
        <v>0</v>
      </c>
      <c r="AH458" s="234">
        <f t="shared" si="23"/>
        <v>0</v>
      </c>
      <c r="AI458" s="234">
        <f t="shared" si="21"/>
        <v>0</v>
      </c>
    </row>
    <row r="459" spans="1:35" hidden="1" x14ac:dyDescent="0.25">
      <c r="A459" s="170">
        <v>4126</v>
      </c>
      <c r="B459" s="170">
        <v>7</v>
      </c>
      <c r="C459" s="171" t="s">
        <v>707</v>
      </c>
      <c r="D459" s="177">
        <v>7</v>
      </c>
      <c r="E459" s="272">
        <v>0</v>
      </c>
      <c r="F459" s="273">
        <v>0</v>
      </c>
      <c r="G459" s="234">
        <v>0</v>
      </c>
      <c r="H459" s="234">
        <v>0</v>
      </c>
      <c r="I459" s="174">
        <v>0</v>
      </c>
      <c r="J459" s="234">
        <v>0</v>
      </c>
      <c r="K459" s="234">
        <v>0</v>
      </c>
      <c r="L459" s="175">
        <v>0</v>
      </c>
      <c r="M459" s="235">
        <v>0</v>
      </c>
      <c r="N459" s="235">
        <v>0</v>
      </c>
      <c r="O459" s="235">
        <v>0</v>
      </c>
      <c r="P459" s="237" t="e">
        <v>#DIV/0!</v>
      </c>
      <c r="Q459" s="238">
        <v>0</v>
      </c>
      <c r="R459" s="239">
        <v>0</v>
      </c>
      <c r="S459" s="240">
        <v>0</v>
      </c>
      <c r="T459" s="239">
        <v>0</v>
      </c>
      <c r="U459" s="241">
        <v>0</v>
      </c>
      <c r="V459" s="242">
        <v>0</v>
      </c>
      <c r="W459" s="246">
        <v>0</v>
      </c>
      <c r="X459" s="246">
        <v>0</v>
      </c>
      <c r="Y459" s="246">
        <v>0</v>
      </c>
      <c r="Z459" s="246">
        <v>0</v>
      </c>
      <c r="AA459" s="246">
        <v>0</v>
      </c>
      <c r="AB459" s="246">
        <v>0</v>
      </c>
      <c r="AC459" s="247">
        <v>0</v>
      </c>
      <c r="AD459" s="247">
        <v>0</v>
      </c>
      <c r="AE459" s="248">
        <v>0</v>
      </c>
      <c r="AF459" s="234">
        <f>-SUMIF('[1]Alt Fac'!$A$18:$A$139,'REPORT 4 - PROPERTY TAX'!A459,'[1]Alt Fac'!$U$18:$U$139)</f>
        <v>0</v>
      </c>
      <c r="AG459" s="247">
        <f t="shared" si="22"/>
        <v>0</v>
      </c>
      <c r="AH459" s="234">
        <f t="shared" si="23"/>
        <v>0</v>
      </c>
      <c r="AI459" s="234">
        <f t="shared" si="21"/>
        <v>0</v>
      </c>
    </row>
    <row r="460" spans="1:35" hidden="1" x14ac:dyDescent="0.25">
      <c r="A460" s="170">
        <v>4127</v>
      </c>
      <c r="B460" s="170">
        <v>7</v>
      </c>
      <c r="C460" s="171" t="s">
        <v>610</v>
      </c>
      <c r="D460" s="177">
        <v>7</v>
      </c>
      <c r="E460" s="272">
        <v>0</v>
      </c>
      <c r="F460" s="273">
        <v>0</v>
      </c>
      <c r="G460" s="234">
        <v>0</v>
      </c>
      <c r="H460" s="234">
        <v>0</v>
      </c>
      <c r="I460" s="174">
        <v>0</v>
      </c>
      <c r="J460" s="234">
        <v>0</v>
      </c>
      <c r="K460" s="234">
        <v>0</v>
      </c>
      <c r="L460" s="175">
        <v>0</v>
      </c>
      <c r="M460" s="235">
        <v>0</v>
      </c>
      <c r="N460" s="235">
        <v>0</v>
      </c>
      <c r="O460" s="235">
        <v>0</v>
      </c>
      <c r="P460" s="237" t="e">
        <v>#DIV/0!</v>
      </c>
      <c r="Q460" s="238">
        <v>0</v>
      </c>
      <c r="R460" s="239">
        <v>0</v>
      </c>
      <c r="S460" s="240">
        <v>0</v>
      </c>
      <c r="T460" s="239">
        <v>0</v>
      </c>
      <c r="U460" s="241">
        <v>0</v>
      </c>
      <c r="V460" s="242">
        <v>0</v>
      </c>
      <c r="W460" s="246">
        <v>0</v>
      </c>
      <c r="X460" s="246">
        <v>0</v>
      </c>
      <c r="Y460" s="246">
        <v>0</v>
      </c>
      <c r="Z460" s="246">
        <v>0</v>
      </c>
      <c r="AA460" s="246">
        <v>0</v>
      </c>
      <c r="AB460" s="246">
        <v>0</v>
      </c>
      <c r="AC460" s="247">
        <v>0</v>
      </c>
      <c r="AD460" s="247">
        <v>0</v>
      </c>
      <c r="AE460" s="248">
        <v>0</v>
      </c>
      <c r="AF460" s="234">
        <f>-SUMIF('[1]Alt Fac'!$A$18:$A$139,'REPORT 4 - PROPERTY TAX'!A460,'[1]Alt Fac'!$U$18:$U$139)</f>
        <v>0</v>
      </c>
      <c r="AG460" s="247">
        <f t="shared" si="22"/>
        <v>0</v>
      </c>
      <c r="AH460" s="234">
        <f t="shared" si="23"/>
        <v>0</v>
      </c>
      <c r="AI460" s="234">
        <f t="shared" si="21"/>
        <v>0</v>
      </c>
    </row>
    <row r="461" spans="1:35" hidden="1" x14ac:dyDescent="0.25">
      <c r="A461" s="170">
        <v>4131</v>
      </c>
      <c r="B461" s="170">
        <v>7</v>
      </c>
      <c r="C461" s="171" t="s">
        <v>708</v>
      </c>
      <c r="D461" s="177">
        <v>7</v>
      </c>
      <c r="E461" s="272">
        <v>0</v>
      </c>
      <c r="F461" s="273">
        <v>0</v>
      </c>
      <c r="G461" s="234">
        <v>0</v>
      </c>
      <c r="H461" s="234">
        <v>0</v>
      </c>
      <c r="I461" s="174">
        <v>0</v>
      </c>
      <c r="J461" s="234">
        <v>0</v>
      </c>
      <c r="K461" s="234">
        <v>0</v>
      </c>
      <c r="L461" s="175">
        <v>0</v>
      </c>
      <c r="M461" s="235">
        <v>0</v>
      </c>
      <c r="N461" s="235">
        <v>0</v>
      </c>
      <c r="O461" s="235">
        <v>0</v>
      </c>
      <c r="P461" s="237" t="e">
        <v>#DIV/0!</v>
      </c>
      <c r="Q461" s="238">
        <v>0</v>
      </c>
      <c r="R461" s="239">
        <v>0</v>
      </c>
      <c r="S461" s="240">
        <v>0</v>
      </c>
      <c r="T461" s="239">
        <v>0</v>
      </c>
      <c r="U461" s="241">
        <v>0</v>
      </c>
      <c r="V461" s="242">
        <v>0</v>
      </c>
      <c r="W461" s="246">
        <v>0</v>
      </c>
      <c r="X461" s="246">
        <v>0</v>
      </c>
      <c r="Y461" s="246">
        <v>0</v>
      </c>
      <c r="Z461" s="246">
        <v>0</v>
      </c>
      <c r="AA461" s="246">
        <v>0</v>
      </c>
      <c r="AB461" s="246">
        <v>0</v>
      </c>
      <c r="AC461" s="247">
        <v>0</v>
      </c>
      <c r="AD461" s="247">
        <v>0</v>
      </c>
      <c r="AE461" s="248">
        <v>0</v>
      </c>
      <c r="AF461" s="234">
        <f>-SUMIF('[1]Alt Fac'!$A$18:$A$139,'REPORT 4 - PROPERTY TAX'!A461,'[1]Alt Fac'!$U$18:$U$139)</f>
        <v>0</v>
      </c>
      <c r="AG461" s="247">
        <f t="shared" si="22"/>
        <v>0</v>
      </c>
      <c r="AH461" s="234">
        <f t="shared" si="23"/>
        <v>0</v>
      </c>
      <c r="AI461" s="234">
        <f t="shared" si="21"/>
        <v>0</v>
      </c>
    </row>
    <row r="462" spans="1:35" hidden="1" x14ac:dyDescent="0.25">
      <c r="A462" s="170">
        <v>4132</v>
      </c>
      <c r="B462" s="170">
        <v>7</v>
      </c>
      <c r="C462" s="171" t="s">
        <v>652</v>
      </c>
      <c r="D462" s="177">
        <v>7</v>
      </c>
      <c r="E462" s="272">
        <v>0</v>
      </c>
      <c r="F462" s="273">
        <v>0</v>
      </c>
      <c r="G462" s="234">
        <v>0</v>
      </c>
      <c r="H462" s="234">
        <v>0</v>
      </c>
      <c r="I462" s="174">
        <v>0</v>
      </c>
      <c r="J462" s="234">
        <v>0</v>
      </c>
      <c r="K462" s="234">
        <v>0</v>
      </c>
      <c r="L462" s="175">
        <v>0</v>
      </c>
      <c r="M462" s="235">
        <v>0</v>
      </c>
      <c r="N462" s="235">
        <v>0</v>
      </c>
      <c r="O462" s="235">
        <v>0</v>
      </c>
      <c r="P462" s="237" t="e">
        <v>#DIV/0!</v>
      </c>
      <c r="Q462" s="238">
        <v>0</v>
      </c>
      <c r="R462" s="239">
        <v>0</v>
      </c>
      <c r="S462" s="240">
        <v>0</v>
      </c>
      <c r="T462" s="239">
        <v>0</v>
      </c>
      <c r="U462" s="241">
        <v>0</v>
      </c>
      <c r="V462" s="242">
        <v>0</v>
      </c>
      <c r="W462" s="246">
        <v>0</v>
      </c>
      <c r="X462" s="246">
        <v>0</v>
      </c>
      <c r="Y462" s="246">
        <v>0</v>
      </c>
      <c r="Z462" s="246">
        <v>0</v>
      </c>
      <c r="AA462" s="246">
        <v>0</v>
      </c>
      <c r="AB462" s="246">
        <v>0</v>
      </c>
      <c r="AC462" s="247">
        <v>0</v>
      </c>
      <c r="AD462" s="247">
        <v>0</v>
      </c>
      <c r="AE462" s="248">
        <v>0</v>
      </c>
      <c r="AF462" s="234">
        <f>-SUMIF('[1]Alt Fac'!$A$18:$A$139,'REPORT 4 - PROPERTY TAX'!A462,'[1]Alt Fac'!$U$18:$U$139)</f>
        <v>0</v>
      </c>
      <c r="AG462" s="247">
        <f t="shared" si="22"/>
        <v>0</v>
      </c>
      <c r="AH462" s="234">
        <f t="shared" si="23"/>
        <v>0</v>
      </c>
      <c r="AI462" s="234">
        <f t="shared" si="21"/>
        <v>0</v>
      </c>
    </row>
    <row r="463" spans="1:35" hidden="1" x14ac:dyDescent="0.25">
      <c r="A463" s="170">
        <v>4133</v>
      </c>
      <c r="B463" s="170">
        <v>7</v>
      </c>
      <c r="C463" s="171" t="s">
        <v>632</v>
      </c>
      <c r="D463" s="177">
        <v>7</v>
      </c>
      <c r="E463" s="272">
        <v>0</v>
      </c>
      <c r="F463" s="273">
        <v>0</v>
      </c>
      <c r="G463" s="234">
        <v>0</v>
      </c>
      <c r="H463" s="234">
        <v>0</v>
      </c>
      <c r="I463" s="174">
        <v>0</v>
      </c>
      <c r="J463" s="234">
        <v>0</v>
      </c>
      <c r="K463" s="234">
        <v>0</v>
      </c>
      <c r="L463" s="175">
        <v>0</v>
      </c>
      <c r="M463" s="235">
        <v>0</v>
      </c>
      <c r="N463" s="235">
        <v>0</v>
      </c>
      <c r="O463" s="235">
        <v>0</v>
      </c>
      <c r="P463" s="237" t="e">
        <v>#DIV/0!</v>
      </c>
      <c r="Q463" s="238">
        <v>0</v>
      </c>
      <c r="R463" s="239">
        <v>0</v>
      </c>
      <c r="S463" s="240">
        <v>0</v>
      </c>
      <c r="T463" s="239">
        <v>0</v>
      </c>
      <c r="U463" s="241">
        <v>0</v>
      </c>
      <c r="V463" s="242">
        <v>0</v>
      </c>
      <c r="W463" s="246">
        <v>0</v>
      </c>
      <c r="X463" s="246">
        <v>0</v>
      </c>
      <c r="Y463" s="246">
        <v>0</v>
      </c>
      <c r="Z463" s="246">
        <v>0</v>
      </c>
      <c r="AA463" s="246">
        <v>0</v>
      </c>
      <c r="AB463" s="246">
        <v>0</v>
      </c>
      <c r="AC463" s="247">
        <v>0</v>
      </c>
      <c r="AD463" s="247">
        <v>0</v>
      </c>
      <c r="AE463" s="248">
        <v>0</v>
      </c>
      <c r="AF463" s="234">
        <f>-SUMIF('[1]Alt Fac'!$A$18:$A$139,'REPORT 4 - PROPERTY TAX'!A463,'[1]Alt Fac'!$U$18:$U$139)</f>
        <v>0</v>
      </c>
      <c r="AG463" s="247">
        <f t="shared" si="22"/>
        <v>0</v>
      </c>
      <c r="AH463" s="234">
        <f t="shared" si="23"/>
        <v>0</v>
      </c>
      <c r="AI463" s="234">
        <f t="shared" si="21"/>
        <v>0</v>
      </c>
    </row>
    <row r="464" spans="1:35" hidden="1" x14ac:dyDescent="0.25">
      <c r="A464" s="170">
        <v>4135</v>
      </c>
      <c r="B464" s="170">
        <v>7</v>
      </c>
      <c r="C464" s="171" t="s">
        <v>710</v>
      </c>
      <c r="D464" s="177">
        <v>7</v>
      </c>
      <c r="E464" s="272">
        <v>0</v>
      </c>
      <c r="F464" s="273">
        <v>0</v>
      </c>
      <c r="G464" s="234">
        <v>0</v>
      </c>
      <c r="H464" s="234">
        <v>0</v>
      </c>
      <c r="I464" s="174">
        <v>0</v>
      </c>
      <c r="J464" s="234">
        <v>0</v>
      </c>
      <c r="K464" s="234">
        <v>0</v>
      </c>
      <c r="L464" s="175">
        <v>0</v>
      </c>
      <c r="M464" s="235">
        <v>0</v>
      </c>
      <c r="N464" s="235">
        <v>0</v>
      </c>
      <c r="O464" s="235">
        <v>0</v>
      </c>
      <c r="P464" s="237" t="e">
        <v>#DIV/0!</v>
      </c>
      <c r="Q464" s="238">
        <v>0</v>
      </c>
      <c r="R464" s="239">
        <v>0</v>
      </c>
      <c r="S464" s="240">
        <v>0</v>
      </c>
      <c r="T464" s="239">
        <v>0</v>
      </c>
      <c r="U464" s="241">
        <v>0</v>
      </c>
      <c r="V464" s="242">
        <v>0</v>
      </c>
      <c r="W464" s="246">
        <v>0</v>
      </c>
      <c r="X464" s="246">
        <v>0</v>
      </c>
      <c r="Y464" s="246">
        <v>0</v>
      </c>
      <c r="Z464" s="246">
        <v>0</v>
      </c>
      <c r="AA464" s="246">
        <v>0</v>
      </c>
      <c r="AB464" s="246">
        <v>0</v>
      </c>
      <c r="AC464" s="247">
        <v>0</v>
      </c>
      <c r="AD464" s="247">
        <v>0</v>
      </c>
      <c r="AE464" s="248">
        <v>0</v>
      </c>
      <c r="AF464" s="234">
        <f>-SUMIF('[1]Alt Fac'!$A$18:$A$139,'REPORT 4 - PROPERTY TAX'!A464,'[1]Alt Fac'!$U$18:$U$139)</f>
        <v>0</v>
      </c>
      <c r="AG464" s="247">
        <f t="shared" si="22"/>
        <v>0</v>
      </c>
      <c r="AH464" s="234">
        <f t="shared" si="23"/>
        <v>0</v>
      </c>
      <c r="AI464" s="234">
        <f t="shared" si="21"/>
        <v>0</v>
      </c>
    </row>
    <row r="465" spans="1:35" hidden="1" x14ac:dyDescent="0.25">
      <c r="A465" s="170">
        <v>4137</v>
      </c>
      <c r="B465" s="170">
        <v>7</v>
      </c>
      <c r="C465" s="171" t="s">
        <v>371</v>
      </c>
      <c r="D465" s="177">
        <v>7</v>
      </c>
      <c r="E465" s="272">
        <v>0</v>
      </c>
      <c r="F465" s="273">
        <v>0</v>
      </c>
      <c r="G465" s="234">
        <v>0</v>
      </c>
      <c r="H465" s="234">
        <v>0</v>
      </c>
      <c r="I465" s="174">
        <v>0</v>
      </c>
      <c r="J465" s="234">
        <v>0</v>
      </c>
      <c r="K465" s="234">
        <v>0</v>
      </c>
      <c r="L465" s="175">
        <v>0</v>
      </c>
      <c r="M465" s="235">
        <v>0</v>
      </c>
      <c r="N465" s="235">
        <v>0</v>
      </c>
      <c r="O465" s="235">
        <v>0</v>
      </c>
      <c r="P465" s="237" t="e">
        <v>#DIV/0!</v>
      </c>
      <c r="Q465" s="238">
        <v>0</v>
      </c>
      <c r="R465" s="239">
        <v>0</v>
      </c>
      <c r="S465" s="240">
        <v>0</v>
      </c>
      <c r="T465" s="239">
        <v>0</v>
      </c>
      <c r="U465" s="241">
        <v>0</v>
      </c>
      <c r="V465" s="242">
        <v>0</v>
      </c>
      <c r="W465" s="246">
        <v>0</v>
      </c>
      <c r="X465" s="246">
        <v>0</v>
      </c>
      <c r="Y465" s="246">
        <v>0</v>
      </c>
      <c r="Z465" s="246">
        <v>0</v>
      </c>
      <c r="AA465" s="246">
        <v>0</v>
      </c>
      <c r="AB465" s="246">
        <v>0</v>
      </c>
      <c r="AC465" s="247">
        <v>0</v>
      </c>
      <c r="AD465" s="247">
        <v>0</v>
      </c>
      <c r="AE465" s="248">
        <v>0</v>
      </c>
      <c r="AF465" s="234">
        <f>-SUMIF('[1]Alt Fac'!$A$18:$A$139,'REPORT 4 - PROPERTY TAX'!A465,'[1]Alt Fac'!$U$18:$U$139)</f>
        <v>0</v>
      </c>
      <c r="AG465" s="247">
        <f t="shared" si="22"/>
        <v>0</v>
      </c>
      <c r="AH465" s="234">
        <f t="shared" si="23"/>
        <v>0</v>
      </c>
      <c r="AI465" s="234">
        <f t="shared" si="21"/>
        <v>0</v>
      </c>
    </row>
    <row r="466" spans="1:35" hidden="1" x14ac:dyDescent="0.25">
      <c r="A466" s="170">
        <v>4138</v>
      </c>
      <c r="B466" s="170">
        <v>7</v>
      </c>
      <c r="C466" s="171" t="s">
        <v>345</v>
      </c>
      <c r="D466" s="177">
        <v>7</v>
      </c>
      <c r="E466" s="272">
        <v>0</v>
      </c>
      <c r="F466" s="273">
        <v>0</v>
      </c>
      <c r="G466" s="234">
        <v>0</v>
      </c>
      <c r="H466" s="234">
        <v>0</v>
      </c>
      <c r="I466" s="174">
        <v>0</v>
      </c>
      <c r="J466" s="234">
        <v>0</v>
      </c>
      <c r="K466" s="234">
        <v>0</v>
      </c>
      <c r="L466" s="175">
        <v>0</v>
      </c>
      <c r="M466" s="235">
        <v>0</v>
      </c>
      <c r="N466" s="235">
        <v>0</v>
      </c>
      <c r="O466" s="235">
        <v>0</v>
      </c>
      <c r="P466" s="237" t="e">
        <v>#DIV/0!</v>
      </c>
      <c r="Q466" s="238">
        <v>0</v>
      </c>
      <c r="R466" s="239">
        <v>0</v>
      </c>
      <c r="S466" s="240">
        <v>0</v>
      </c>
      <c r="T466" s="239">
        <v>0</v>
      </c>
      <c r="U466" s="241">
        <v>0</v>
      </c>
      <c r="V466" s="242">
        <v>0</v>
      </c>
      <c r="W466" s="246">
        <v>0</v>
      </c>
      <c r="X466" s="246">
        <v>0</v>
      </c>
      <c r="Y466" s="246">
        <v>0</v>
      </c>
      <c r="Z466" s="246">
        <v>0</v>
      </c>
      <c r="AA466" s="246">
        <v>0</v>
      </c>
      <c r="AB466" s="246">
        <v>0</v>
      </c>
      <c r="AC466" s="247">
        <v>0</v>
      </c>
      <c r="AD466" s="247">
        <v>0</v>
      </c>
      <c r="AE466" s="248">
        <v>0</v>
      </c>
      <c r="AF466" s="234">
        <f>-SUMIF('[1]Alt Fac'!$A$18:$A$139,'REPORT 4 - PROPERTY TAX'!A466,'[1]Alt Fac'!$U$18:$U$139)</f>
        <v>0</v>
      </c>
      <c r="AG466" s="247">
        <f t="shared" si="22"/>
        <v>0</v>
      </c>
      <c r="AH466" s="234">
        <f t="shared" si="23"/>
        <v>0</v>
      </c>
      <c r="AI466" s="234">
        <f t="shared" si="21"/>
        <v>0</v>
      </c>
    </row>
    <row r="467" spans="1:35" hidden="1" x14ac:dyDescent="0.25">
      <c r="A467" s="170">
        <v>4139</v>
      </c>
      <c r="B467" s="170">
        <v>7</v>
      </c>
      <c r="C467" s="171" t="s">
        <v>711</v>
      </c>
      <c r="D467" s="177">
        <v>7</v>
      </c>
      <c r="E467" s="272">
        <v>0</v>
      </c>
      <c r="F467" s="273">
        <v>0</v>
      </c>
      <c r="G467" s="234">
        <v>0</v>
      </c>
      <c r="H467" s="234">
        <v>0</v>
      </c>
      <c r="I467" s="174">
        <v>0</v>
      </c>
      <c r="J467" s="234">
        <v>0</v>
      </c>
      <c r="K467" s="234">
        <v>0</v>
      </c>
      <c r="L467" s="175">
        <v>0</v>
      </c>
      <c r="M467" s="235">
        <v>0</v>
      </c>
      <c r="N467" s="235">
        <v>0</v>
      </c>
      <c r="O467" s="235">
        <v>0</v>
      </c>
      <c r="P467" s="237" t="e">
        <v>#DIV/0!</v>
      </c>
      <c r="Q467" s="238">
        <v>0</v>
      </c>
      <c r="R467" s="239">
        <v>0</v>
      </c>
      <c r="S467" s="240">
        <v>0</v>
      </c>
      <c r="T467" s="239">
        <v>0</v>
      </c>
      <c r="U467" s="241">
        <v>0</v>
      </c>
      <c r="V467" s="242">
        <v>0</v>
      </c>
      <c r="W467" s="246">
        <v>0</v>
      </c>
      <c r="X467" s="246">
        <v>0</v>
      </c>
      <c r="Y467" s="246">
        <v>0</v>
      </c>
      <c r="Z467" s="246">
        <v>0</v>
      </c>
      <c r="AA467" s="246">
        <v>0</v>
      </c>
      <c r="AB467" s="246">
        <v>0</v>
      </c>
      <c r="AC467" s="247">
        <v>0</v>
      </c>
      <c r="AD467" s="247">
        <v>0</v>
      </c>
      <c r="AE467" s="248">
        <v>0</v>
      </c>
      <c r="AF467" s="234">
        <f>-SUMIF('[1]Alt Fac'!$A$18:$A$139,'REPORT 4 - PROPERTY TAX'!A467,'[1]Alt Fac'!$U$18:$U$139)</f>
        <v>0</v>
      </c>
      <c r="AG467" s="247">
        <f t="shared" si="22"/>
        <v>0</v>
      </c>
      <c r="AH467" s="234">
        <f t="shared" si="23"/>
        <v>0</v>
      </c>
      <c r="AI467" s="234">
        <f t="shared" si="21"/>
        <v>0</v>
      </c>
    </row>
    <row r="468" spans="1:35" hidden="1" x14ac:dyDescent="0.25">
      <c r="A468" s="170">
        <v>4140</v>
      </c>
      <c r="B468" s="170">
        <v>7</v>
      </c>
      <c r="C468" s="171" t="s">
        <v>300</v>
      </c>
      <c r="D468" s="177">
        <v>7</v>
      </c>
      <c r="E468" s="272">
        <v>0</v>
      </c>
      <c r="F468" s="273">
        <v>0</v>
      </c>
      <c r="G468" s="234">
        <v>0</v>
      </c>
      <c r="H468" s="234">
        <v>0</v>
      </c>
      <c r="I468" s="174">
        <v>0</v>
      </c>
      <c r="J468" s="234">
        <v>0</v>
      </c>
      <c r="K468" s="234">
        <v>0</v>
      </c>
      <c r="L468" s="175">
        <v>0</v>
      </c>
      <c r="M468" s="235">
        <v>0</v>
      </c>
      <c r="N468" s="235">
        <v>0</v>
      </c>
      <c r="O468" s="235">
        <v>0</v>
      </c>
      <c r="P468" s="237" t="e">
        <v>#DIV/0!</v>
      </c>
      <c r="Q468" s="238">
        <v>0</v>
      </c>
      <c r="R468" s="239">
        <v>0</v>
      </c>
      <c r="S468" s="240">
        <v>0</v>
      </c>
      <c r="T468" s="239">
        <v>0</v>
      </c>
      <c r="U468" s="241">
        <v>0</v>
      </c>
      <c r="V468" s="242">
        <v>0</v>
      </c>
      <c r="W468" s="246">
        <v>0</v>
      </c>
      <c r="X468" s="246">
        <v>0</v>
      </c>
      <c r="Y468" s="246">
        <v>0</v>
      </c>
      <c r="Z468" s="246">
        <v>0</v>
      </c>
      <c r="AA468" s="246">
        <v>0</v>
      </c>
      <c r="AB468" s="246">
        <v>0</v>
      </c>
      <c r="AC468" s="247">
        <v>0</v>
      </c>
      <c r="AD468" s="247">
        <v>0</v>
      </c>
      <c r="AE468" s="248">
        <v>0</v>
      </c>
      <c r="AF468" s="234">
        <f>-SUMIF('[1]Alt Fac'!$A$18:$A$139,'REPORT 4 - PROPERTY TAX'!A468,'[1]Alt Fac'!$U$18:$U$139)</f>
        <v>0</v>
      </c>
      <c r="AG468" s="247">
        <f t="shared" si="22"/>
        <v>0</v>
      </c>
      <c r="AH468" s="234">
        <f t="shared" si="23"/>
        <v>0</v>
      </c>
      <c r="AI468" s="234">
        <f t="shared" si="21"/>
        <v>0</v>
      </c>
    </row>
    <row r="469" spans="1:35" hidden="1" x14ac:dyDescent="0.25">
      <c r="A469" s="170">
        <v>4141</v>
      </c>
      <c r="B469" s="170">
        <v>7</v>
      </c>
      <c r="C469" s="171" t="s">
        <v>517</v>
      </c>
      <c r="D469" s="177">
        <v>7</v>
      </c>
      <c r="E469" s="272">
        <v>0</v>
      </c>
      <c r="F469" s="273">
        <v>0</v>
      </c>
      <c r="G469" s="234">
        <v>0</v>
      </c>
      <c r="H469" s="234">
        <v>0</v>
      </c>
      <c r="I469" s="174">
        <v>0</v>
      </c>
      <c r="J469" s="234">
        <v>0</v>
      </c>
      <c r="K469" s="234">
        <v>0</v>
      </c>
      <c r="L469" s="175">
        <v>0</v>
      </c>
      <c r="M469" s="235">
        <v>0</v>
      </c>
      <c r="N469" s="235">
        <v>0</v>
      </c>
      <c r="O469" s="235">
        <v>0</v>
      </c>
      <c r="P469" s="237" t="e">
        <v>#DIV/0!</v>
      </c>
      <c r="Q469" s="238">
        <v>0</v>
      </c>
      <c r="R469" s="239">
        <v>0</v>
      </c>
      <c r="S469" s="240">
        <v>0</v>
      </c>
      <c r="T469" s="239">
        <v>0</v>
      </c>
      <c r="U469" s="241">
        <v>0</v>
      </c>
      <c r="V469" s="242">
        <v>0</v>
      </c>
      <c r="W469" s="246">
        <v>0</v>
      </c>
      <c r="X469" s="246">
        <v>0</v>
      </c>
      <c r="Y469" s="246">
        <v>0</v>
      </c>
      <c r="Z469" s="246">
        <v>0</v>
      </c>
      <c r="AA469" s="246">
        <v>0</v>
      </c>
      <c r="AB469" s="246">
        <v>0</v>
      </c>
      <c r="AC469" s="247">
        <v>0</v>
      </c>
      <c r="AD469" s="247">
        <v>0</v>
      </c>
      <c r="AE469" s="248">
        <v>0</v>
      </c>
      <c r="AF469" s="234">
        <f>-SUMIF('[1]Alt Fac'!$A$18:$A$139,'REPORT 4 - PROPERTY TAX'!A469,'[1]Alt Fac'!$U$18:$U$139)</f>
        <v>0</v>
      </c>
      <c r="AG469" s="247">
        <f t="shared" si="22"/>
        <v>0</v>
      </c>
      <c r="AH469" s="234">
        <f t="shared" si="23"/>
        <v>0</v>
      </c>
      <c r="AI469" s="234">
        <f t="shared" si="21"/>
        <v>0</v>
      </c>
    </row>
    <row r="470" spans="1:35" hidden="1" x14ac:dyDescent="0.25">
      <c r="A470" s="170">
        <v>4142</v>
      </c>
      <c r="B470" s="170">
        <v>7</v>
      </c>
      <c r="C470" s="171" t="s">
        <v>621</v>
      </c>
      <c r="D470" s="177">
        <v>7</v>
      </c>
      <c r="E470" s="272">
        <v>0</v>
      </c>
      <c r="F470" s="273">
        <v>0</v>
      </c>
      <c r="G470" s="234">
        <v>0</v>
      </c>
      <c r="H470" s="234">
        <v>0</v>
      </c>
      <c r="I470" s="174">
        <v>0</v>
      </c>
      <c r="J470" s="234">
        <v>0</v>
      </c>
      <c r="K470" s="234">
        <v>0</v>
      </c>
      <c r="L470" s="175">
        <v>0</v>
      </c>
      <c r="M470" s="235">
        <v>0</v>
      </c>
      <c r="N470" s="235">
        <v>0</v>
      </c>
      <c r="O470" s="235">
        <v>0</v>
      </c>
      <c r="P470" s="237" t="e">
        <v>#DIV/0!</v>
      </c>
      <c r="Q470" s="238">
        <v>0</v>
      </c>
      <c r="R470" s="239">
        <v>0</v>
      </c>
      <c r="S470" s="240">
        <v>0</v>
      </c>
      <c r="T470" s="239">
        <v>0</v>
      </c>
      <c r="U470" s="241">
        <v>0</v>
      </c>
      <c r="V470" s="242">
        <v>0</v>
      </c>
      <c r="W470" s="246">
        <v>0</v>
      </c>
      <c r="X470" s="246">
        <v>0</v>
      </c>
      <c r="Y470" s="246">
        <v>0</v>
      </c>
      <c r="Z470" s="246">
        <v>0</v>
      </c>
      <c r="AA470" s="246">
        <v>0</v>
      </c>
      <c r="AB470" s="246">
        <v>0</v>
      </c>
      <c r="AC470" s="247">
        <v>0</v>
      </c>
      <c r="AD470" s="247">
        <v>0</v>
      </c>
      <c r="AE470" s="248">
        <v>0</v>
      </c>
      <c r="AF470" s="234">
        <f>-SUMIF('[1]Alt Fac'!$A$18:$A$139,'REPORT 4 - PROPERTY TAX'!A470,'[1]Alt Fac'!$U$18:$U$139)</f>
        <v>0</v>
      </c>
      <c r="AG470" s="247">
        <f t="shared" si="22"/>
        <v>0</v>
      </c>
      <c r="AH470" s="234">
        <f t="shared" si="23"/>
        <v>0</v>
      </c>
      <c r="AI470" s="234">
        <f t="shared" si="21"/>
        <v>0</v>
      </c>
    </row>
    <row r="471" spans="1:35" hidden="1" x14ac:dyDescent="0.25">
      <c r="A471" s="170">
        <v>4143</v>
      </c>
      <c r="B471" s="170">
        <v>7</v>
      </c>
      <c r="C471" s="171" t="s">
        <v>713</v>
      </c>
      <c r="D471" s="177">
        <v>7</v>
      </c>
      <c r="E471" s="272">
        <v>0</v>
      </c>
      <c r="F471" s="273">
        <v>0</v>
      </c>
      <c r="G471" s="234">
        <v>0</v>
      </c>
      <c r="H471" s="234">
        <v>0</v>
      </c>
      <c r="I471" s="174">
        <v>0</v>
      </c>
      <c r="J471" s="234">
        <v>0</v>
      </c>
      <c r="K471" s="234">
        <v>0</v>
      </c>
      <c r="L471" s="175">
        <v>0</v>
      </c>
      <c r="M471" s="235">
        <v>0</v>
      </c>
      <c r="N471" s="235">
        <v>0</v>
      </c>
      <c r="O471" s="235">
        <v>0</v>
      </c>
      <c r="P471" s="237" t="e">
        <v>#DIV/0!</v>
      </c>
      <c r="Q471" s="238">
        <v>0</v>
      </c>
      <c r="R471" s="239">
        <v>0</v>
      </c>
      <c r="S471" s="240">
        <v>0</v>
      </c>
      <c r="T471" s="239">
        <v>0</v>
      </c>
      <c r="U471" s="241">
        <v>0</v>
      </c>
      <c r="V471" s="242">
        <v>0</v>
      </c>
      <c r="W471" s="246">
        <v>0</v>
      </c>
      <c r="X471" s="246">
        <v>0</v>
      </c>
      <c r="Y471" s="246">
        <v>0</v>
      </c>
      <c r="Z471" s="246">
        <v>0</v>
      </c>
      <c r="AA471" s="246">
        <v>0</v>
      </c>
      <c r="AB471" s="246">
        <v>0</v>
      </c>
      <c r="AC471" s="247">
        <v>0</v>
      </c>
      <c r="AD471" s="247">
        <v>0</v>
      </c>
      <c r="AE471" s="248">
        <v>0</v>
      </c>
      <c r="AF471" s="234">
        <f>-SUMIF('[1]Alt Fac'!$A$18:$A$139,'REPORT 4 - PROPERTY TAX'!A471,'[1]Alt Fac'!$U$18:$U$139)</f>
        <v>0</v>
      </c>
      <c r="AG471" s="247">
        <f t="shared" si="22"/>
        <v>0</v>
      </c>
      <c r="AH471" s="234">
        <f t="shared" si="23"/>
        <v>0</v>
      </c>
      <c r="AI471" s="234">
        <f t="shared" si="21"/>
        <v>0</v>
      </c>
    </row>
    <row r="472" spans="1:35" hidden="1" x14ac:dyDescent="0.25">
      <c r="A472" s="170">
        <v>4144</v>
      </c>
      <c r="B472" s="170">
        <v>7</v>
      </c>
      <c r="C472" s="171" t="s">
        <v>664</v>
      </c>
      <c r="D472" s="177">
        <v>7</v>
      </c>
      <c r="E472" s="272">
        <v>0</v>
      </c>
      <c r="F472" s="273">
        <v>0</v>
      </c>
      <c r="G472" s="234">
        <v>0</v>
      </c>
      <c r="H472" s="234">
        <v>0</v>
      </c>
      <c r="I472" s="174">
        <v>0</v>
      </c>
      <c r="J472" s="234">
        <v>0</v>
      </c>
      <c r="K472" s="234">
        <v>0</v>
      </c>
      <c r="L472" s="175">
        <v>0</v>
      </c>
      <c r="M472" s="235">
        <v>0</v>
      </c>
      <c r="N472" s="235">
        <v>0</v>
      </c>
      <c r="O472" s="235">
        <v>0</v>
      </c>
      <c r="P472" s="237" t="e">
        <v>#DIV/0!</v>
      </c>
      <c r="Q472" s="238">
        <v>0</v>
      </c>
      <c r="R472" s="239">
        <v>0</v>
      </c>
      <c r="S472" s="240">
        <v>0</v>
      </c>
      <c r="T472" s="239">
        <v>0</v>
      </c>
      <c r="U472" s="241">
        <v>0</v>
      </c>
      <c r="V472" s="242">
        <v>0</v>
      </c>
      <c r="W472" s="246">
        <v>0</v>
      </c>
      <c r="X472" s="246">
        <v>0</v>
      </c>
      <c r="Y472" s="246">
        <v>0</v>
      </c>
      <c r="Z472" s="246">
        <v>0</v>
      </c>
      <c r="AA472" s="246">
        <v>0</v>
      </c>
      <c r="AB472" s="246">
        <v>0</v>
      </c>
      <c r="AC472" s="247">
        <v>0</v>
      </c>
      <c r="AD472" s="247">
        <v>0</v>
      </c>
      <c r="AE472" s="248">
        <v>0</v>
      </c>
      <c r="AF472" s="234">
        <f>-SUMIF('[1]Alt Fac'!$A$18:$A$139,'REPORT 4 - PROPERTY TAX'!A472,'[1]Alt Fac'!$U$18:$U$139)</f>
        <v>0</v>
      </c>
      <c r="AG472" s="247">
        <f t="shared" si="22"/>
        <v>0</v>
      </c>
      <c r="AH472" s="234">
        <f t="shared" si="23"/>
        <v>0</v>
      </c>
      <c r="AI472" s="234">
        <f t="shared" si="21"/>
        <v>0</v>
      </c>
    </row>
    <row r="473" spans="1:35" hidden="1" x14ac:dyDescent="0.25">
      <c r="A473" s="170">
        <v>4145</v>
      </c>
      <c r="B473" s="170">
        <v>7</v>
      </c>
      <c r="C473" s="171" t="s">
        <v>562</v>
      </c>
      <c r="D473" s="177">
        <v>7</v>
      </c>
      <c r="E473" s="272">
        <v>0</v>
      </c>
      <c r="F473" s="273">
        <v>0</v>
      </c>
      <c r="G473" s="234">
        <v>0</v>
      </c>
      <c r="H473" s="234">
        <v>0</v>
      </c>
      <c r="I473" s="174">
        <v>0</v>
      </c>
      <c r="J473" s="234">
        <v>0</v>
      </c>
      <c r="K473" s="234">
        <v>0</v>
      </c>
      <c r="L473" s="175">
        <v>0</v>
      </c>
      <c r="M473" s="235">
        <v>0</v>
      </c>
      <c r="N473" s="235">
        <v>0</v>
      </c>
      <c r="O473" s="235">
        <v>0</v>
      </c>
      <c r="P473" s="237" t="e">
        <v>#DIV/0!</v>
      </c>
      <c r="Q473" s="238">
        <v>0</v>
      </c>
      <c r="R473" s="239">
        <v>0</v>
      </c>
      <c r="S473" s="240">
        <v>0</v>
      </c>
      <c r="T473" s="239">
        <v>0</v>
      </c>
      <c r="U473" s="241">
        <v>0</v>
      </c>
      <c r="V473" s="242">
        <v>0</v>
      </c>
      <c r="W473" s="246">
        <v>0</v>
      </c>
      <c r="X473" s="246">
        <v>0</v>
      </c>
      <c r="Y473" s="246">
        <v>0</v>
      </c>
      <c r="Z473" s="246">
        <v>0</v>
      </c>
      <c r="AA473" s="246">
        <v>0</v>
      </c>
      <c r="AB473" s="246">
        <v>0</v>
      </c>
      <c r="AC473" s="247">
        <v>0</v>
      </c>
      <c r="AD473" s="247">
        <v>0</v>
      </c>
      <c r="AE473" s="248">
        <v>0</v>
      </c>
      <c r="AF473" s="234">
        <f>-SUMIF('[1]Alt Fac'!$A$18:$A$139,'REPORT 4 - PROPERTY TAX'!A473,'[1]Alt Fac'!$U$18:$U$139)</f>
        <v>0</v>
      </c>
      <c r="AG473" s="247">
        <f t="shared" si="22"/>
        <v>0</v>
      </c>
      <c r="AH473" s="234">
        <f t="shared" si="23"/>
        <v>0</v>
      </c>
      <c r="AI473" s="234">
        <f t="shared" si="21"/>
        <v>0</v>
      </c>
    </row>
    <row r="474" spans="1:35" hidden="1" x14ac:dyDescent="0.25">
      <c r="A474" s="170">
        <v>4146</v>
      </c>
      <c r="B474" s="170">
        <v>7</v>
      </c>
      <c r="C474" s="171" t="s">
        <v>714</v>
      </c>
      <c r="D474" s="177">
        <v>7</v>
      </c>
      <c r="E474" s="272">
        <v>0</v>
      </c>
      <c r="F474" s="273">
        <v>0</v>
      </c>
      <c r="G474" s="234">
        <v>0</v>
      </c>
      <c r="H474" s="234">
        <v>0</v>
      </c>
      <c r="I474" s="174">
        <v>0</v>
      </c>
      <c r="J474" s="234">
        <v>0</v>
      </c>
      <c r="K474" s="234">
        <v>0</v>
      </c>
      <c r="L474" s="175">
        <v>0</v>
      </c>
      <c r="M474" s="235">
        <v>0</v>
      </c>
      <c r="N474" s="235">
        <v>0</v>
      </c>
      <c r="O474" s="235">
        <v>0</v>
      </c>
      <c r="P474" s="237" t="e">
        <v>#DIV/0!</v>
      </c>
      <c r="Q474" s="238">
        <v>0</v>
      </c>
      <c r="R474" s="239">
        <v>0</v>
      </c>
      <c r="S474" s="240">
        <v>0</v>
      </c>
      <c r="T474" s="239">
        <v>0</v>
      </c>
      <c r="U474" s="241">
        <v>0</v>
      </c>
      <c r="V474" s="242">
        <v>0</v>
      </c>
      <c r="W474" s="246">
        <v>0</v>
      </c>
      <c r="X474" s="246">
        <v>0</v>
      </c>
      <c r="Y474" s="246">
        <v>0</v>
      </c>
      <c r="Z474" s="246">
        <v>0</v>
      </c>
      <c r="AA474" s="246">
        <v>0</v>
      </c>
      <c r="AB474" s="246">
        <v>0</v>
      </c>
      <c r="AC474" s="247">
        <v>0</v>
      </c>
      <c r="AD474" s="247">
        <v>0</v>
      </c>
      <c r="AE474" s="248">
        <v>0</v>
      </c>
      <c r="AF474" s="234">
        <f>-SUMIF('[1]Alt Fac'!$A$18:$A$139,'REPORT 4 - PROPERTY TAX'!A474,'[1]Alt Fac'!$U$18:$U$139)</f>
        <v>0</v>
      </c>
      <c r="AG474" s="247">
        <f t="shared" si="22"/>
        <v>0</v>
      </c>
      <c r="AH474" s="234">
        <f t="shared" si="23"/>
        <v>0</v>
      </c>
      <c r="AI474" s="234">
        <f t="shared" si="21"/>
        <v>0</v>
      </c>
    </row>
    <row r="475" spans="1:35" hidden="1" x14ac:dyDescent="0.25">
      <c r="A475" s="170">
        <v>4150</v>
      </c>
      <c r="B475" s="170">
        <v>7</v>
      </c>
      <c r="C475" s="171" t="s">
        <v>658</v>
      </c>
      <c r="D475" s="177">
        <v>7</v>
      </c>
      <c r="E475" s="272">
        <v>0</v>
      </c>
      <c r="F475" s="273">
        <v>0</v>
      </c>
      <c r="G475" s="234">
        <v>0</v>
      </c>
      <c r="H475" s="234">
        <v>0</v>
      </c>
      <c r="I475" s="174">
        <v>0</v>
      </c>
      <c r="J475" s="234">
        <v>0</v>
      </c>
      <c r="K475" s="234">
        <v>0</v>
      </c>
      <c r="L475" s="175">
        <v>0</v>
      </c>
      <c r="M475" s="235">
        <v>0</v>
      </c>
      <c r="N475" s="235">
        <v>0</v>
      </c>
      <c r="O475" s="235">
        <v>0</v>
      </c>
      <c r="P475" s="237" t="e">
        <v>#DIV/0!</v>
      </c>
      <c r="Q475" s="238">
        <v>0</v>
      </c>
      <c r="R475" s="239">
        <v>0</v>
      </c>
      <c r="S475" s="240">
        <v>0</v>
      </c>
      <c r="T475" s="239">
        <v>0</v>
      </c>
      <c r="U475" s="241">
        <v>0</v>
      </c>
      <c r="V475" s="242">
        <v>0</v>
      </c>
      <c r="W475" s="246">
        <v>0</v>
      </c>
      <c r="X475" s="246">
        <v>0</v>
      </c>
      <c r="Y475" s="246">
        <v>0</v>
      </c>
      <c r="Z475" s="246">
        <v>0</v>
      </c>
      <c r="AA475" s="246">
        <v>0</v>
      </c>
      <c r="AB475" s="246">
        <v>0</v>
      </c>
      <c r="AC475" s="247">
        <v>0</v>
      </c>
      <c r="AD475" s="247">
        <v>0</v>
      </c>
      <c r="AE475" s="248">
        <v>0</v>
      </c>
      <c r="AF475" s="234">
        <f>-SUMIF('[1]Alt Fac'!$A$18:$A$139,'REPORT 4 - PROPERTY TAX'!A475,'[1]Alt Fac'!$U$18:$U$139)</f>
        <v>0</v>
      </c>
      <c r="AG475" s="247">
        <f t="shared" si="22"/>
        <v>0</v>
      </c>
      <c r="AH475" s="234">
        <f t="shared" si="23"/>
        <v>0</v>
      </c>
      <c r="AI475" s="234">
        <f t="shared" si="21"/>
        <v>0</v>
      </c>
    </row>
    <row r="476" spans="1:35" hidden="1" x14ac:dyDescent="0.25">
      <c r="A476" s="170">
        <v>4151</v>
      </c>
      <c r="B476" s="170">
        <v>7</v>
      </c>
      <c r="C476" s="171" t="s">
        <v>657</v>
      </c>
      <c r="D476" s="177">
        <v>7</v>
      </c>
      <c r="E476" s="272">
        <v>0</v>
      </c>
      <c r="F476" s="273">
        <v>0</v>
      </c>
      <c r="G476" s="234">
        <v>0</v>
      </c>
      <c r="H476" s="234">
        <v>0</v>
      </c>
      <c r="I476" s="174">
        <v>0</v>
      </c>
      <c r="J476" s="234">
        <v>0</v>
      </c>
      <c r="K476" s="234">
        <v>0</v>
      </c>
      <c r="L476" s="175">
        <v>0</v>
      </c>
      <c r="M476" s="235">
        <v>0</v>
      </c>
      <c r="N476" s="235">
        <v>0</v>
      </c>
      <c r="O476" s="235">
        <v>0</v>
      </c>
      <c r="P476" s="237" t="e">
        <v>#DIV/0!</v>
      </c>
      <c r="Q476" s="238">
        <v>0</v>
      </c>
      <c r="R476" s="239">
        <v>0</v>
      </c>
      <c r="S476" s="240">
        <v>0</v>
      </c>
      <c r="T476" s="239">
        <v>0</v>
      </c>
      <c r="U476" s="241">
        <v>0</v>
      </c>
      <c r="V476" s="242">
        <v>0</v>
      </c>
      <c r="W476" s="246">
        <v>0</v>
      </c>
      <c r="X476" s="246">
        <v>0</v>
      </c>
      <c r="Y476" s="246">
        <v>0</v>
      </c>
      <c r="Z476" s="246">
        <v>0</v>
      </c>
      <c r="AA476" s="246">
        <v>0</v>
      </c>
      <c r="AB476" s="246">
        <v>0</v>
      </c>
      <c r="AC476" s="247">
        <v>0</v>
      </c>
      <c r="AD476" s="247">
        <v>0</v>
      </c>
      <c r="AE476" s="248">
        <v>0</v>
      </c>
      <c r="AF476" s="234">
        <f>-SUMIF('[1]Alt Fac'!$A$18:$A$139,'REPORT 4 - PROPERTY TAX'!A476,'[1]Alt Fac'!$U$18:$U$139)</f>
        <v>0</v>
      </c>
      <c r="AG476" s="247">
        <f t="shared" si="22"/>
        <v>0</v>
      </c>
      <c r="AH476" s="234">
        <f t="shared" si="23"/>
        <v>0</v>
      </c>
      <c r="AI476" s="234">
        <f t="shared" si="21"/>
        <v>0</v>
      </c>
    </row>
    <row r="477" spans="1:35" hidden="1" x14ac:dyDescent="0.25">
      <c r="A477" s="170">
        <v>4152</v>
      </c>
      <c r="B477" s="170">
        <v>7</v>
      </c>
      <c r="C477" s="171" t="s">
        <v>318</v>
      </c>
      <c r="D477" s="177">
        <v>7</v>
      </c>
      <c r="E477" s="272">
        <v>0</v>
      </c>
      <c r="F477" s="273">
        <v>0</v>
      </c>
      <c r="G477" s="234">
        <v>0</v>
      </c>
      <c r="H477" s="234">
        <v>0</v>
      </c>
      <c r="I477" s="174">
        <v>0</v>
      </c>
      <c r="J477" s="234">
        <v>0</v>
      </c>
      <c r="K477" s="234">
        <v>0</v>
      </c>
      <c r="L477" s="175">
        <v>0</v>
      </c>
      <c r="M477" s="235">
        <v>0</v>
      </c>
      <c r="N477" s="235">
        <v>0</v>
      </c>
      <c r="O477" s="235">
        <v>0</v>
      </c>
      <c r="P477" s="237" t="e">
        <v>#DIV/0!</v>
      </c>
      <c r="Q477" s="238">
        <v>0</v>
      </c>
      <c r="R477" s="239">
        <v>0</v>
      </c>
      <c r="S477" s="240">
        <v>0</v>
      </c>
      <c r="T477" s="239">
        <v>0</v>
      </c>
      <c r="U477" s="241">
        <v>0</v>
      </c>
      <c r="V477" s="242">
        <v>0</v>
      </c>
      <c r="W477" s="246">
        <v>0</v>
      </c>
      <c r="X477" s="246">
        <v>0</v>
      </c>
      <c r="Y477" s="246">
        <v>0</v>
      </c>
      <c r="Z477" s="246">
        <v>0</v>
      </c>
      <c r="AA477" s="246">
        <v>0</v>
      </c>
      <c r="AB477" s="246">
        <v>0</v>
      </c>
      <c r="AC477" s="247">
        <v>0</v>
      </c>
      <c r="AD477" s="247">
        <v>0</v>
      </c>
      <c r="AE477" s="248">
        <v>0</v>
      </c>
      <c r="AF477" s="234">
        <f>-SUMIF('[1]Alt Fac'!$A$18:$A$139,'REPORT 4 - PROPERTY TAX'!A477,'[1]Alt Fac'!$U$18:$U$139)</f>
        <v>0</v>
      </c>
      <c r="AG477" s="247">
        <f t="shared" si="22"/>
        <v>0</v>
      </c>
      <c r="AH477" s="234">
        <f t="shared" si="23"/>
        <v>0</v>
      </c>
      <c r="AI477" s="234">
        <f t="shared" si="21"/>
        <v>0</v>
      </c>
    </row>
    <row r="478" spans="1:35" hidden="1" x14ac:dyDescent="0.25">
      <c r="A478" s="170">
        <v>4153</v>
      </c>
      <c r="B478" s="170">
        <v>7</v>
      </c>
      <c r="C478" s="171" t="s">
        <v>715</v>
      </c>
      <c r="D478" s="177">
        <v>7</v>
      </c>
      <c r="E478" s="272">
        <v>0</v>
      </c>
      <c r="F478" s="273">
        <v>0</v>
      </c>
      <c r="G478" s="234">
        <v>0</v>
      </c>
      <c r="H478" s="234">
        <v>0</v>
      </c>
      <c r="I478" s="174">
        <v>0</v>
      </c>
      <c r="J478" s="234">
        <v>0</v>
      </c>
      <c r="K478" s="234">
        <v>0</v>
      </c>
      <c r="L478" s="175">
        <v>0</v>
      </c>
      <c r="M478" s="235">
        <v>0</v>
      </c>
      <c r="N478" s="235">
        <v>0</v>
      </c>
      <c r="O478" s="235">
        <v>0</v>
      </c>
      <c r="P478" s="237" t="e">
        <v>#DIV/0!</v>
      </c>
      <c r="Q478" s="238">
        <v>0</v>
      </c>
      <c r="R478" s="239">
        <v>0</v>
      </c>
      <c r="S478" s="240">
        <v>0</v>
      </c>
      <c r="T478" s="239">
        <v>0</v>
      </c>
      <c r="U478" s="241">
        <v>0</v>
      </c>
      <c r="V478" s="242">
        <v>0</v>
      </c>
      <c r="W478" s="246">
        <v>0</v>
      </c>
      <c r="X478" s="246">
        <v>0</v>
      </c>
      <c r="Y478" s="246">
        <v>0</v>
      </c>
      <c r="Z478" s="246">
        <v>0</v>
      </c>
      <c r="AA478" s="246">
        <v>0</v>
      </c>
      <c r="AB478" s="246">
        <v>0</v>
      </c>
      <c r="AC478" s="247">
        <v>0</v>
      </c>
      <c r="AD478" s="247">
        <v>0</v>
      </c>
      <c r="AE478" s="248">
        <v>0</v>
      </c>
      <c r="AF478" s="234">
        <f>-SUMIF('[1]Alt Fac'!$A$18:$A$139,'REPORT 4 - PROPERTY TAX'!A478,'[1]Alt Fac'!$U$18:$U$139)</f>
        <v>0</v>
      </c>
      <c r="AG478" s="247">
        <f t="shared" si="22"/>
        <v>0</v>
      </c>
      <c r="AH478" s="234">
        <f t="shared" si="23"/>
        <v>0</v>
      </c>
      <c r="AI478" s="234">
        <f t="shared" ref="AI478:AI525" si="24">AG478+AH478</f>
        <v>0</v>
      </c>
    </row>
    <row r="479" spans="1:35" hidden="1" x14ac:dyDescent="0.25">
      <c r="A479" s="170">
        <v>4155</v>
      </c>
      <c r="B479" s="170">
        <v>7</v>
      </c>
      <c r="C479" s="171" t="s">
        <v>716</v>
      </c>
      <c r="D479" s="177">
        <v>7</v>
      </c>
      <c r="E479" s="272">
        <v>0</v>
      </c>
      <c r="F479" s="273">
        <v>0</v>
      </c>
      <c r="G479" s="234">
        <v>0</v>
      </c>
      <c r="H479" s="234">
        <v>0</v>
      </c>
      <c r="I479" s="174">
        <v>0</v>
      </c>
      <c r="J479" s="234">
        <v>0</v>
      </c>
      <c r="K479" s="234">
        <v>0</v>
      </c>
      <c r="L479" s="175">
        <v>0</v>
      </c>
      <c r="M479" s="235">
        <v>0</v>
      </c>
      <c r="N479" s="235">
        <v>0</v>
      </c>
      <c r="O479" s="235">
        <v>0</v>
      </c>
      <c r="P479" s="237" t="e">
        <v>#DIV/0!</v>
      </c>
      <c r="Q479" s="238">
        <v>0</v>
      </c>
      <c r="R479" s="239">
        <v>0</v>
      </c>
      <c r="S479" s="240">
        <v>0</v>
      </c>
      <c r="T479" s="239">
        <v>0</v>
      </c>
      <c r="U479" s="241">
        <v>0</v>
      </c>
      <c r="V479" s="242">
        <v>0</v>
      </c>
      <c r="W479" s="246">
        <v>0</v>
      </c>
      <c r="X479" s="246">
        <v>0</v>
      </c>
      <c r="Y479" s="246">
        <v>0</v>
      </c>
      <c r="Z479" s="246">
        <v>0</v>
      </c>
      <c r="AA479" s="246">
        <v>0</v>
      </c>
      <c r="AB479" s="246">
        <v>0</v>
      </c>
      <c r="AC479" s="247">
        <v>0</v>
      </c>
      <c r="AD479" s="247">
        <v>0</v>
      </c>
      <c r="AE479" s="248">
        <v>0</v>
      </c>
      <c r="AF479" s="234">
        <f>-SUMIF('[1]Alt Fac'!$A$18:$A$139,'REPORT 4 - PROPERTY TAX'!A479,'[1]Alt Fac'!$U$18:$U$139)</f>
        <v>0</v>
      </c>
      <c r="AG479" s="247">
        <f t="shared" si="22"/>
        <v>0</v>
      </c>
      <c r="AH479" s="234">
        <f t="shared" si="23"/>
        <v>0</v>
      </c>
      <c r="AI479" s="234">
        <f t="shared" si="24"/>
        <v>0</v>
      </c>
    </row>
    <row r="480" spans="1:35" hidden="1" x14ac:dyDescent="0.25">
      <c r="A480" s="170">
        <v>4159</v>
      </c>
      <c r="B480" s="170">
        <v>7</v>
      </c>
      <c r="C480" s="171" t="s">
        <v>321</v>
      </c>
      <c r="D480" s="177">
        <v>7</v>
      </c>
      <c r="E480" s="272">
        <v>0</v>
      </c>
      <c r="F480" s="273">
        <v>0</v>
      </c>
      <c r="G480" s="234">
        <v>0</v>
      </c>
      <c r="H480" s="234">
        <v>0</v>
      </c>
      <c r="I480" s="174">
        <v>0</v>
      </c>
      <c r="J480" s="234">
        <v>0</v>
      </c>
      <c r="K480" s="234">
        <v>0</v>
      </c>
      <c r="L480" s="175">
        <v>0</v>
      </c>
      <c r="M480" s="235">
        <v>0</v>
      </c>
      <c r="N480" s="235">
        <v>0</v>
      </c>
      <c r="O480" s="235">
        <v>0</v>
      </c>
      <c r="P480" s="237" t="e">
        <v>#DIV/0!</v>
      </c>
      <c r="Q480" s="238">
        <v>0</v>
      </c>
      <c r="R480" s="239">
        <v>0</v>
      </c>
      <c r="S480" s="240">
        <v>0</v>
      </c>
      <c r="T480" s="239">
        <v>0</v>
      </c>
      <c r="U480" s="241">
        <v>0</v>
      </c>
      <c r="V480" s="242">
        <v>0</v>
      </c>
      <c r="W480" s="246">
        <v>0</v>
      </c>
      <c r="X480" s="246">
        <v>0</v>
      </c>
      <c r="Y480" s="246">
        <v>0</v>
      </c>
      <c r="Z480" s="246">
        <v>0</v>
      </c>
      <c r="AA480" s="246">
        <v>0</v>
      </c>
      <c r="AB480" s="246">
        <v>0</v>
      </c>
      <c r="AC480" s="247">
        <v>0</v>
      </c>
      <c r="AD480" s="247">
        <v>0</v>
      </c>
      <c r="AE480" s="248">
        <v>0</v>
      </c>
      <c r="AF480" s="234">
        <f>-SUMIF('[1]Alt Fac'!$A$18:$A$139,'REPORT 4 - PROPERTY TAX'!A480,'[1]Alt Fac'!$U$18:$U$139)</f>
        <v>0</v>
      </c>
      <c r="AG480" s="247">
        <f t="shared" si="22"/>
        <v>0</v>
      </c>
      <c r="AH480" s="234">
        <f t="shared" si="23"/>
        <v>0</v>
      </c>
      <c r="AI480" s="234">
        <f t="shared" si="24"/>
        <v>0</v>
      </c>
    </row>
    <row r="481" spans="1:35" hidden="1" x14ac:dyDescent="0.25">
      <c r="A481" s="170">
        <v>4160</v>
      </c>
      <c r="B481" s="170">
        <v>7</v>
      </c>
      <c r="C481" s="171" t="s">
        <v>614</v>
      </c>
      <c r="D481" s="177">
        <v>7</v>
      </c>
      <c r="E481" s="272">
        <v>0</v>
      </c>
      <c r="F481" s="273">
        <v>0</v>
      </c>
      <c r="G481" s="234">
        <v>0</v>
      </c>
      <c r="H481" s="234">
        <v>0</v>
      </c>
      <c r="I481" s="174">
        <v>0</v>
      </c>
      <c r="J481" s="234">
        <v>0</v>
      </c>
      <c r="K481" s="234">
        <v>0</v>
      </c>
      <c r="L481" s="175">
        <v>0</v>
      </c>
      <c r="M481" s="235">
        <v>0</v>
      </c>
      <c r="N481" s="235">
        <v>0</v>
      </c>
      <c r="O481" s="235">
        <v>0</v>
      </c>
      <c r="P481" s="237" t="e">
        <v>#DIV/0!</v>
      </c>
      <c r="Q481" s="238">
        <v>0</v>
      </c>
      <c r="R481" s="239">
        <v>0</v>
      </c>
      <c r="S481" s="240">
        <v>0</v>
      </c>
      <c r="T481" s="239">
        <v>0</v>
      </c>
      <c r="U481" s="241">
        <v>0</v>
      </c>
      <c r="V481" s="242">
        <v>0</v>
      </c>
      <c r="W481" s="246">
        <v>0</v>
      </c>
      <c r="X481" s="246">
        <v>0</v>
      </c>
      <c r="Y481" s="246">
        <v>0</v>
      </c>
      <c r="Z481" s="246">
        <v>0</v>
      </c>
      <c r="AA481" s="246">
        <v>0</v>
      </c>
      <c r="AB481" s="246">
        <v>0</v>
      </c>
      <c r="AC481" s="247">
        <v>0</v>
      </c>
      <c r="AD481" s="247">
        <v>0</v>
      </c>
      <c r="AE481" s="248">
        <v>0</v>
      </c>
      <c r="AF481" s="234">
        <f>-SUMIF('[1]Alt Fac'!$A$18:$A$139,'REPORT 4 - PROPERTY TAX'!A481,'[1]Alt Fac'!$U$18:$U$139)</f>
        <v>0</v>
      </c>
      <c r="AG481" s="247">
        <f t="shared" si="22"/>
        <v>0</v>
      </c>
      <c r="AH481" s="234">
        <f t="shared" si="23"/>
        <v>0</v>
      </c>
      <c r="AI481" s="234">
        <f t="shared" si="24"/>
        <v>0</v>
      </c>
    </row>
    <row r="482" spans="1:35" hidden="1" x14ac:dyDescent="0.25">
      <c r="A482" s="170">
        <v>4161</v>
      </c>
      <c r="B482" s="170">
        <v>7</v>
      </c>
      <c r="C482" s="171" t="s">
        <v>665</v>
      </c>
      <c r="D482" s="177">
        <v>7</v>
      </c>
      <c r="E482" s="272">
        <v>0</v>
      </c>
      <c r="F482" s="273">
        <v>0</v>
      </c>
      <c r="G482" s="234">
        <v>0</v>
      </c>
      <c r="H482" s="234">
        <v>0</v>
      </c>
      <c r="I482" s="174">
        <v>0</v>
      </c>
      <c r="J482" s="234">
        <v>0</v>
      </c>
      <c r="K482" s="234">
        <v>0</v>
      </c>
      <c r="L482" s="175">
        <v>0</v>
      </c>
      <c r="M482" s="235">
        <v>0</v>
      </c>
      <c r="N482" s="235">
        <v>0</v>
      </c>
      <c r="O482" s="235">
        <v>0</v>
      </c>
      <c r="P482" s="237" t="e">
        <v>#DIV/0!</v>
      </c>
      <c r="Q482" s="238">
        <v>0</v>
      </c>
      <c r="R482" s="239">
        <v>0</v>
      </c>
      <c r="S482" s="240">
        <v>0</v>
      </c>
      <c r="T482" s="239">
        <v>0</v>
      </c>
      <c r="U482" s="241">
        <v>0</v>
      </c>
      <c r="V482" s="242">
        <v>0</v>
      </c>
      <c r="W482" s="246">
        <v>0</v>
      </c>
      <c r="X482" s="246">
        <v>0</v>
      </c>
      <c r="Y482" s="246">
        <v>0</v>
      </c>
      <c r="Z482" s="246">
        <v>0</v>
      </c>
      <c r="AA482" s="246">
        <v>0</v>
      </c>
      <c r="AB482" s="246">
        <v>0</v>
      </c>
      <c r="AC482" s="247">
        <v>0</v>
      </c>
      <c r="AD482" s="247">
        <v>0</v>
      </c>
      <c r="AE482" s="248">
        <v>0</v>
      </c>
      <c r="AF482" s="234">
        <f>-SUMIF('[1]Alt Fac'!$A$18:$A$139,'REPORT 4 - PROPERTY TAX'!A482,'[1]Alt Fac'!$U$18:$U$139)</f>
        <v>0</v>
      </c>
      <c r="AG482" s="247">
        <f t="shared" si="22"/>
        <v>0</v>
      </c>
      <c r="AH482" s="234">
        <f t="shared" si="23"/>
        <v>0</v>
      </c>
      <c r="AI482" s="234">
        <f t="shared" si="24"/>
        <v>0</v>
      </c>
    </row>
    <row r="483" spans="1:35" hidden="1" x14ac:dyDescent="0.25">
      <c r="A483" s="170">
        <v>4162</v>
      </c>
      <c r="B483" s="170">
        <v>7</v>
      </c>
      <c r="C483" s="171" t="s">
        <v>667</v>
      </c>
      <c r="D483" s="177">
        <v>7</v>
      </c>
      <c r="E483" s="272">
        <v>0</v>
      </c>
      <c r="F483" s="273">
        <v>0</v>
      </c>
      <c r="G483" s="234">
        <v>0</v>
      </c>
      <c r="H483" s="234">
        <v>0</v>
      </c>
      <c r="I483" s="174">
        <v>0</v>
      </c>
      <c r="J483" s="234">
        <v>0</v>
      </c>
      <c r="K483" s="234">
        <v>0</v>
      </c>
      <c r="L483" s="175">
        <v>0</v>
      </c>
      <c r="M483" s="235">
        <v>0</v>
      </c>
      <c r="N483" s="235">
        <v>0</v>
      </c>
      <c r="O483" s="235">
        <v>0</v>
      </c>
      <c r="P483" s="237" t="e">
        <v>#DIV/0!</v>
      </c>
      <c r="Q483" s="238">
        <v>0</v>
      </c>
      <c r="R483" s="239">
        <v>0</v>
      </c>
      <c r="S483" s="240">
        <v>0</v>
      </c>
      <c r="T483" s="239">
        <v>0</v>
      </c>
      <c r="U483" s="241">
        <v>0</v>
      </c>
      <c r="V483" s="242">
        <v>0</v>
      </c>
      <c r="W483" s="246">
        <v>0</v>
      </c>
      <c r="X483" s="246">
        <v>0</v>
      </c>
      <c r="Y483" s="246">
        <v>0</v>
      </c>
      <c r="Z483" s="246">
        <v>0</v>
      </c>
      <c r="AA483" s="246">
        <v>0</v>
      </c>
      <c r="AB483" s="246">
        <v>0</v>
      </c>
      <c r="AC483" s="247">
        <v>0</v>
      </c>
      <c r="AD483" s="247">
        <v>0</v>
      </c>
      <c r="AE483" s="248">
        <v>0</v>
      </c>
      <c r="AF483" s="234">
        <f>-SUMIF('[1]Alt Fac'!$A$18:$A$139,'REPORT 4 - PROPERTY TAX'!A483,'[1]Alt Fac'!$U$18:$U$139)</f>
        <v>0</v>
      </c>
      <c r="AG483" s="247">
        <f t="shared" si="22"/>
        <v>0</v>
      </c>
      <c r="AH483" s="234">
        <f t="shared" si="23"/>
        <v>0</v>
      </c>
      <c r="AI483" s="234">
        <f t="shared" si="24"/>
        <v>0</v>
      </c>
    </row>
    <row r="484" spans="1:35" hidden="1" x14ac:dyDescent="0.25">
      <c r="A484" s="170">
        <v>4163</v>
      </c>
      <c r="B484" s="170">
        <v>7</v>
      </c>
      <c r="C484" s="171" t="s">
        <v>253</v>
      </c>
      <c r="D484" s="177">
        <v>7</v>
      </c>
      <c r="E484" s="272">
        <v>0</v>
      </c>
      <c r="F484" s="273">
        <v>0</v>
      </c>
      <c r="G484" s="234">
        <v>0</v>
      </c>
      <c r="H484" s="234">
        <v>0</v>
      </c>
      <c r="I484" s="174">
        <v>0</v>
      </c>
      <c r="J484" s="234">
        <v>0</v>
      </c>
      <c r="K484" s="234">
        <v>0</v>
      </c>
      <c r="L484" s="175">
        <v>0</v>
      </c>
      <c r="M484" s="235">
        <v>0</v>
      </c>
      <c r="N484" s="235">
        <v>0</v>
      </c>
      <c r="O484" s="235">
        <v>0</v>
      </c>
      <c r="P484" s="237" t="e">
        <v>#DIV/0!</v>
      </c>
      <c r="Q484" s="238">
        <v>0</v>
      </c>
      <c r="R484" s="239">
        <v>0</v>
      </c>
      <c r="S484" s="240">
        <v>0</v>
      </c>
      <c r="T484" s="239">
        <v>0</v>
      </c>
      <c r="U484" s="241">
        <v>0</v>
      </c>
      <c r="V484" s="242">
        <v>0</v>
      </c>
      <c r="W484" s="246">
        <v>0</v>
      </c>
      <c r="X484" s="246">
        <v>0</v>
      </c>
      <c r="Y484" s="246">
        <v>0</v>
      </c>
      <c r="Z484" s="246">
        <v>0</v>
      </c>
      <c r="AA484" s="246">
        <v>0</v>
      </c>
      <c r="AB484" s="246">
        <v>0</v>
      </c>
      <c r="AC484" s="247">
        <v>0</v>
      </c>
      <c r="AD484" s="247">
        <v>0</v>
      </c>
      <c r="AE484" s="248">
        <v>0</v>
      </c>
      <c r="AF484" s="234">
        <f>-SUMIF('[1]Alt Fac'!$A$18:$A$139,'REPORT 4 - PROPERTY TAX'!A484,'[1]Alt Fac'!$U$18:$U$139)</f>
        <v>0</v>
      </c>
      <c r="AG484" s="247">
        <f t="shared" si="22"/>
        <v>0</v>
      </c>
      <c r="AH484" s="234">
        <f t="shared" si="23"/>
        <v>0</v>
      </c>
      <c r="AI484" s="234">
        <f t="shared" si="24"/>
        <v>0</v>
      </c>
    </row>
    <row r="485" spans="1:35" hidden="1" x14ac:dyDescent="0.25">
      <c r="A485" s="170">
        <v>4164</v>
      </c>
      <c r="B485" s="170">
        <v>7</v>
      </c>
      <c r="C485" s="171" t="s">
        <v>259</v>
      </c>
      <c r="D485" s="177">
        <v>7</v>
      </c>
      <c r="E485" s="272">
        <v>0</v>
      </c>
      <c r="F485" s="273">
        <v>0</v>
      </c>
      <c r="G485" s="234">
        <v>0</v>
      </c>
      <c r="H485" s="234">
        <v>0</v>
      </c>
      <c r="I485" s="174">
        <v>0</v>
      </c>
      <c r="J485" s="234">
        <v>0</v>
      </c>
      <c r="K485" s="234">
        <v>0</v>
      </c>
      <c r="L485" s="175">
        <v>0</v>
      </c>
      <c r="M485" s="235">
        <v>0</v>
      </c>
      <c r="N485" s="235">
        <v>0</v>
      </c>
      <c r="O485" s="235">
        <v>0</v>
      </c>
      <c r="P485" s="237" t="e">
        <v>#DIV/0!</v>
      </c>
      <c r="Q485" s="238">
        <v>0</v>
      </c>
      <c r="R485" s="239">
        <v>0</v>
      </c>
      <c r="S485" s="240">
        <v>0</v>
      </c>
      <c r="T485" s="239">
        <v>0</v>
      </c>
      <c r="U485" s="241">
        <v>0</v>
      </c>
      <c r="V485" s="242">
        <v>0</v>
      </c>
      <c r="W485" s="246">
        <v>0</v>
      </c>
      <c r="X485" s="246">
        <v>0</v>
      </c>
      <c r="Y485" s="246">
        <v>0</v>
      </c>
      <c r="Z485" s="246">
        <v>0</v>
      </c>
      <c r="AA485" s="246">
        <v>0</v>
      </c>
      <c r="AB485" s="246">
        <v>0</v>
      </c>
      <c r="AC485" s="247">
        <v>0</v>
      </c>
      <c r="AD485" s="247">
        <v>0</v>
      </c>
      <c r="AE485" s="248">
        <v>0</v>
      </c>
      <c r="AF485" s="234">
        <f>-SUMIF('[1]Alt Fac'!$A$18:$A$139,'REPORT 4 - PROPERTY TAX'!A485,'[1]Alt Fac'!$U$18:$U$139)</f>
        <v>0</v>
      </c>
      <c r="AG485" s="247">
        <f t="shared" si="22"/>
        <v>0</v>
      </c>
      <c r="AH485" s="234">
        <f t="shared" si="23"/>
        <v>0</v>
      </c>
      <c r="AI485" s="234">
        <f t="shared" si="24"/>
        <v>0</v>
      </c>
    </row>
    <row r="486" spans="1:35" hidden="1" x14ac:dyDescent="0.25">
      <c r="A486" s="170">
        <v>4166</v>
      </c>
      <c r="B486" s="170">
        <v>7</v>
      </c>
      <c r="C486" s="171" t="s">
        <v>678</v>
      </c>
      <c r="D486" s="177">
        <v>7</v>
      </c>
      <c r="E486" s="272">
        <v>0</v>
      </c>
      <c r="F486" s="273">
        <v>0</v>
      </c>
      <c r="G486" s="234">
        <v>0</v>
      </c>
      <c r="H486" s="234">
        <v>0</v>
      </c>
      <c r="I486" s="174">
        <v>0</v>
      </c>
      <c r="J486" s="234">
        <v>0</v>
      </c>
      <c r="K486" s="234">
        <v>0</v>
      </c>
      <c r="L486" s="175">
        <v>0</v>
      </c>
      <c r="M486" s="235">
        <v>0</v>
      </c>
      <c r="N486" s="235">
        <v>0</v>
      </c>
      <c r="O486" s="235">
        <v>0</v>
      </c>
      <c r="P486" s="237" t="e">
        <v>#DIV/0!</v>
      </c>
      <c r="Q486" s="238">
        <v>0</v>
      </c>
      <c r="R486" s="239">
        <v>0</v>
      </c>
      <c r="S486" s="240">
        <v>0</v>
      </c>
      <c r="T486" s="239">
        <v>0</v>
      </c>
      <c r="U486" s="241">
        <v>0</v>
      </c>
      <c r="V486" s="242">
        <v>0</v>
      </c>
      <c r="W486" s="246">
        <v>0</v>
      </c>
      <c r="X486" s="246">
        <v>0</v>
      </c>
      <c r="Y486" s="246">
        <v>0</v>
      </c>
      <c r="Z486" s="246">
        <v>0</v>
      </c>
      <c r="AA486" s="246">
        <v>0</v>
      </c>
      <c r="AB486" s="246">
        <v>0</v>
      </c>
      <c r="AC486" s="247">
        <v>0</v>
      </c>
      <c r="AD486" s="247">
        <v>0</v>
      </c>
      <c r="AE486" s="248">
        <v>0</v>
      </c>
      <c r="AF486" s="234">
        <f>-SUMIF('[1]Alt Fac'!$A$18:$A$139,'REPORT 4 - PROPERTY TAX'!A486,'[1]Alt Fac'!$U$18:$U$139)</f>
        <v>0</v>
      </c>
      <c r="AG486" s="247">
        <f t="shared" ref="AG486:AG525" si="25">Q486*AH$23+R486*AH$25</f>
        <v>0</v>
      </c>
      <c r="AH486" s="234">
        <f t="shared" ref="AH486:AH525" si="26">U486*$AH$23+V486*$AH$25</f>
        <v>0</v>
      </c>
      <c r="AI486" s="234">
        <f t="shared" si="24"/>
        <v>0</v>
      </c>
    </row>
    <row r="487" spans="1:35" hidden="1" x14ac:dyDescent="0.25">
      <c r="A487" s="170">
        <v>4167</v>
      </c>
      <c r="B487" s="170">
        <v>7</v>
      </c>
      <c r="C487" s="171" t="s">
        <v>411</v>
      </c>
      <c r="D487" s="177">
        <v>7</v>
      </c>
      <c r="E487" s="272">
        <v>0</v>
      </c>
      <c r="F487" s="273">
        <v>0</v>
      </c>
      <c r="G487" s="234">
        <v>0</v>
      </c>
      <c r="H487" s="234">
        <v>0</v>
      </c>
      <c r="I487" s="174">
        <v>0</v>
      </c>
      <c r="J487" s="234">
        <v>0</v>
      </c>
      <c r="K487" s="234">
        <v>0</v>
      </c>
      <c r="L487" s="175">
        <v>0</v>
      </c>
      <c r="M487" s="235">
        <v>0</v>
      </c>
      <c r="N487" s="235">
        <v>0</v>
      </c>
      <c r="O487" s="235">
        <v>0</v>
      </c>
      <c r="P487" s="237" t="e">
        <v>#DIV/0!</v>
      </c>
      <c r="Q487" s="238">
        <v>0</v>
      </c>
      <c r="R487" s="239">
        <v>0</v>
      </c>
      <c r="S487" s="240">
        <v>0</v>
      </c>
      <c r="T487" s="239">
        <v>0</v>
      </c>
      <c r="U487" s="241">
        <v>0</v>
      </c>
      <c r="V487" s="242">
        <v>0</v>
      </c>
      <c r="W487" s="246">
        <v>0</v>
      </c>
      <c r="X487" s="246">
        <v>0</v>
      </c>
      <c r="Y487" s="246">
        <v>0</v>
      </c>
      <c r="Z487" s="246">
        <v>0</v>
      </c>
      <c r="AA487" s="246">
        <v>0</v>
      </c>
      <c r="AB487" s="246">
        <v>0</v>
      </c>
      <c r="AC487" s="247">
        <v>0</v>
      </c>
      <c r="AD487" s="247">
        <v>0</v>
      </c>
      <c r="AE487" s="248">
        <v>0</v>
      </c>
      <c r="AF487" s="234">
        <f>-SUMIF('[1]Alt Fac'!$A$18:$A$139,'REPORT 4 - PROPERTY TAX'!A487,'[1]Alt Fac'!$U$18:$U$139)</f>
        <v>0</v>
      </c>
      <c r="AG487" s="247">
        <f t="shared" si="25"/>
        <v>0</v>
      </c>
      <c r="AH487" s="234">
        <f t="shared" si="26"/>
        <v>0</v>
      </c>
      <c r="AI487" s="234">
        <f t="shared" si="24"/>
        <v>0</v>
      </c>
    </row>
    <row r="488" spans="1:35" hidden="1" x14ac:dyDescent="0.25">
      <c r="A488" s="170">
        <v>4168</v>
      </c>
      <c r="B488" s="170">
        <v>7</v>
      </c>
      <c r="C488" s="171" t="s">
        <v>620</v>
      </c>
      <c r="D488" s="177">
        <v>7</v>
      </c>
      <c r="E488" s="272">
        <v>0</v>
      </c>
      <c r="F488" s="273">
        <v>0</v>
      </c>
      <c r="G488" s="234">
        <v>0</v>
      </c>
      <c r="H488" s="234">
        <v>0</v>
      </c>
      <c r="I488" s="174">
        <v>0</v>
      </c>
      <c r="J488" s="234">
        <v>0</v>
      </c>
      <c r="K488" s="234">
        <v>0</v>
      </c>
      <c r="L488" s="175">
        <v>0</v>
      </c>
      <c r="M488" s="235">
        <v>0</v>
      </c>
      <c r="N488" s="235">
        <v>0</v>
      </c>
      <c r="O488" s="235">
        <v>0</v>
      </c>
      <c r="P488" s="237" t="e">
        <v>#DIV/0!</v>
      </c>
      <c r="Q488" s="238">
        <v>0</v>
      </c>
      <c r="R488" s="239">
        <v>0</v>
      </c>
      <c r="S488" s="240">
        <v>0</v>
      </c>
      <c r="T488" s="239">
        <v>0</v>
      </c>
      <c r="U488" s="241">
        <v>0</v>
      </c>
      <c r="V488" s="242">
        <v>0</v>
      </c>
      <c r="W488" s="246">
        <v>0</v>
      </c>
      <c r="X488" s="246">
        <v>0</v>
      </c>
      <c r="Y488" s="246">
        <v>0</v>
      </c>
      <c r="Z488" s="246">
        <v>0</v>
      </c>
      <c r="AA488" s="246">
        <v>0</v>
      </c>
      <c r="AB488" s="246">
        <v>0</v>
      </c>
      <c r="AC488" s="247">
        <v>0</v>
      </c>
      <c r="AD488" s="247">
        <v>0</v>
      </c>
      <c r="AE488" s="248">
        <v>0</v>
      </c>
      <c r="AF488" s="234">
        <f>-SUMIF('[1]Alt Fac'!$A$18:$A$139,'REPORT 4 - PROPERTY TAX'!A488,'[1]Alt Fac'!$U$18:$U$139)</f>
        <v>0</v>
      </c>
      <c r="AG488" s="247">
        <f t="shared" si="25"/>
        <v>0</v>
      </c>
      <c r="AH488" s="234">
        <f t="shared" si="26"/>
        <v>0</v>
      </c>
      <c r="AI488" s="234">
        <f t="shared" si="24"/>
        <v>0</v>
      </c>
    </row>
    <row r="489" spans="1:35" hidden="1" x14ac:dyDescent="0.25">
      <c r="A489" s="170">
        <v>4169</v>
      </c>
      <c r="B489" s="170">
        <v>7</v>
      </c>
      <c r="C489" s="171" t="s">
        <v>593</v>
      </c>
      <c r="D489" s="177">
        <v>7</v>
      </c>
      <c r="E489" s="272">
        <v>0</v>
      </c>
      <c r="F489" s="273">
        <v>0</v>
      </c>
      <c r="G489" s="234">
        <v>0</v>
      </c>
      <c r="H489" s="234">
        <v>0</v>
      </c>
      <c r="I489" s="174">
        <v>0</v>
      </c>
      <c r="J489" s="234">
        <v>0</v>
      </c>
      <c r="K489" s="234">
        <v>0</v>
      </c>
      <c r="L489" s="175">
        <v>0</v>
      </c>
      <c r="M489" s="235">
        <v>0</v>
      </c>
      <c r="N489" s="235">
        <v>0</v>
      </c>
      <c r="O489" s="235">
        <v>0</v>
      </c>
      <c r="P489" s="237" t="e">
        <v>#DIV/0!</v>
      </c>
      <c r="Q489" s="238">
        <v>0</v>
      </c>
      <c r="R489" s="239">
        <v>0</v>
      </c>
      <c r="S489" s="240">
        <v>0</v>
      </c>
      <c r="T489" s="239">
        <v>0</v>
      </c>
      <c r="U489" s="241">
        <v>0</v>
      </c>
      <c r="V489" s="242">
        <v>0</v>
      </c>
      <c r="W489" s="246">
        <v>0</v>
      </c>
      <c r="X489" s="246">
        <v>0</v>
      </c>
      <c r="Y489" s="246">
        <v>0</v>
      </c>
      <c r="Z489" s="246">
        <v>0</v>
      </c>
      <c r="AA489" s="246">
        <v>0</v>
      </c>
      <c r="AB489" s="246">
        <v>0</v>
      </c>
      <c r="AC489" s="247">
        <v>0</v>
      </c>
      <c r="AD489" s="247">
        <v>0</v>
      </c>
      <c r="AE489" s="248">
        <v>0</v>
      </c>
      <c r="AF489" s="234">
        <f>-SUMIF('[1]Alt Fac'!$A$18:$A$139,'REPORT 4 - PROPERTY TAX'!A489,'[1]Alt Fac'!$U$18:$U$139)</f>
        <v>0</v>
      </c>
      <c r="AG489" s="247">
        <f t="shared" si="25"/>
        <v>0</v>
      </c>
      <c r="AH489" s="234">
        <f t="shared" si="26"/>
        <v>0</v>
      </c>
      <c r="AI489" s="234">
        <f t="shared" si="24"/>
        <v>0</v>
      </c>
    </row>
    <row r="490" spans="1:35" hidden="1" x14ac:dyDescent="0.25">
      <c r="A490" s="170">
        <v>4170</v>
      </c>
      <c r="B490" s="170">
        <v>7</v>
      </c>
      <c r="C490" s="171" t="s">
        <v>721</v>
      </c>
      <c r="D490" s="177">
        <v>7</v>
      </c>
      <c r="E490" s="272">
        <v>0</v>
      </c>
      <c r="F490" s="273">
        <v>0</v>
      </c>
      <c r="G490" s="234">
        <v>0</v>
      </c>
      <c r="H490" s="234">
        <v>0</v>
      </c>
      <c r="I490" s="174">
        <v>0</v>
      </c>
      <c r="J490" s="234">
        <v>0</v>
      </c>
      <c r="K490" s="234">
        <v>0</v>
      </c>
      <c r="L490" s="175">
        <v>0</v>
      </c>
      <c r="M490" s="235">
        <v>0</v>
      </c>
      <c r="N490" s="235">
        <v>0</v>
      </c>
      <c r="O490" s="235">
        <v>0</v>
      </c>
      <c r="P490" s="237" t="e">
        <v>#DIV/0!</v>
      </c>
      <c r="Q490" s="238">
        <v>0</v>
      </c>
      <c r="R490" s="239">
        <v>0</v>
      </c>
      <c r="S490" s="240">
        <v>0</v>
      </c>
      <c r="T490" s="239">
        <v>0</v>
      </c>
      <c r="U490" s="241">
        <v>0</v>
      </c>
      <c r="V490" s="242">
        <v>0</v>
      </c>
      <c r="W490" s="246">
        <v>0</v>
      </c>
      <c r="X490" s="246">
        <v>0</v>
      </c>
      <c r="Y490" s="246">
        <v>0</v>
      </c>
      <c r="Z490" s="246">
        <v>0</v>
      </c>
      <c r="AA490" s="246">
        <v>0</v>
      </c>
      <c r="AB490" s="246">
        <v>0</v>
      </c>
      <c r="AC490" s="247">
        <v>0</v>
      </c>
      <c r="AD490" s="247">
        <v>0</v>
      </c>
      <c r="AE490" s="248">
        <v>0</v>
      </c>
      <c r="AF490" s="234">
        <f>-SUMIF('[1]Alt Fac'!$A$18:$A$139,'REPORT 4 - PROPERTY TAX'!A490,'[1]Alt Fac'!$U$18:$U$139)</f>
        <v>0</v>
      </c>
      <c r="AG490" s="247">
        <f t="shared" si="25"/>
        <v>0</v>
      </c>
      <c r="AH490" s="234">
        <f t="shared" si="26"/>
        <v>0</v>
      </c>
      <c r="AI490" s="234">
        <f t="shared" si="24"/>
        <v>0</v>
      </c>
    </row>
    <row r="491" spans="1:35" hidden="1" x14ac:dyDescent="0.25">
      <c r="A491" s="170">
        <v>4171</v>
      </c>
      <c r="B491" s="170">
        <v>7</v>
      </c>
      <c r="C491" s="171" t="s">
        <v>722</v>
      </c>
      <c r="D491" s="177">
        <v>7</v>
      </c>
      <c r="E491" s="272">
        <v>0</v>
      </c>
      <c r="F491" s="273">
        <v>0</v>
      </c>
      <c r="G491" s="234">
        <v>0</v>
      </c>
      <c r="H491" s="234">
        <v>0</v>
      </c>
      <c r="I491" s="174">
        <v>0</v>
      </c>
      <c r="J491" s="234">
        <v>0</v>
      </c>
      <c r="K491" s="234">
        <v>0</v>
      </c>
      <c r="L491" s="175">
        <v>0</v>
      </c>
      <c r="M491" s="235">
        <v>0</v>
      </c>
      <c r="N491" s="235">
        <v>0</v>
      </c>
      <c r="O491" s="235">
        <v>0</v>
      </c>
      <c r="P491" s="237" t="e">
        <v>#DIV/0!</v>
      </c>
      <c r="Q491" s="238">
        <v>0</v>
      </c>
      <c r="R491" s="239">
        <v>0</v>
      </c>
      <c r="S491" s="240">
        <v>0</v>
      </c>
      <c r="T491" s="239">
        <v>0</v>
      </c>
      <c r="U491" s="241">
        <v>0</v>
      </c>
      <c r="V491" s="242">
        <v>0</v>
      </c>
      <c r="W491" s="246">
        <v>0</v>
      </c>
      <c r="X491" s="246">
        <v>0</v>
      </c>
      <c r="Y491" s="246">
        <v>0</v>
      </c>
      <c r="Z491" s="246">
        <v>0</v>
      </c>
      <c r="AA491" s="246">
        <v>0</v>
      </c>
      <c r="AB491" s="246">
        <v>0</v>
      </c>
      <c r="AC491" s="247">
        <v>0</v>
      </c>
      <c r="AD491" s="247">
        <v>0</v>
      </c>
      <c r="AE491" s="248">
        <v>0</v>
      </c>
      <c r="AF491" s="234">
        <f>-SUMIF('[1]Alt Fac'!$A$18:$A$139,'REPORT 4 - PROPERTY TAX'!A491,'[1]Alt Fac'!$U$18:$U$139)</f>
        <v>0</v>
      </c>
      <c r="AG491" s="247">
        <f t="shared" si="25"/>
        <v>0</v>
      </c>
      <c r="AH491" s="234">
        <f t="shared" si="26"/>
        <v>0</v>
      </c>
      <c r="AI491" s="234">
        <f t="shared" si="24"/>
        <v>0</v>
      </c>
    </row>
    <row r="492" spans="1:35" hidden="1" x14ac:dyDescent="0.25">
      <c r="A492" s="170">
        <v>4172</v>
      </c>
      <c r="B492" s="170">
        <v>7</v>
      </c>
      <c r="C492" s="171" t="s">
        <v>712</v>
      </c>
      <c r="D492" s="177">
        <v>7</v>
      </c>
      <c r="E492" s="272">
        <v>0</v>
      </c>
      <c r="F492" s="273">
        <v>0</v>
      </c>
      <c r="G492" s="234">
        <v>0</v>
      </c>
      <c r="H492" s="234">
        <v>0</v>
      </c>
      <c r="I492" s="174">
        <v>0</v>
      </c>
      <c r="J492" s="234">
        <v>0</v>
      </c>
      <c r="K492" s="234">
        <v>0</v>
      </c>
      <c r="L492" s="175">
        <v>0</v>
      </c>
      <c r="M492" s="235">
        <v>0</v>
      </c>
      <c r="N492" s="235">
        <v>0</v>
      </c>
      <c r="O492" s="235">
        <v>0</v>
      </c>
      <c r="P492" s="237" t="e">
        <v>#DIV/0!</v>
      </c>
      <c r="Q492" s="238">
        <v>0</v>
      </c>
      <c r="R492" s="239">
        <v>0</v>
      </c>
      <c r="S492" s="240">
        <v>0</v>
      </c>
      <c r="T492" s="239">
        <v>0</v>
      </c>
      <c r="U492" s="241">
        <v>0</v>
      </c>
      <c r="V492" s="242">
        <v>0</v>
      </c>
      <c r="W492" s="246">
        <v>0</v>
      </c>
      <c r="X492" s="246">
        <v>0</v>
      </c>
      <c r="Y492" s="246">
        <v>0</v>
      </c>
      <c r="Z492" s="246">
        <v>0</v>
      </c>
      <c r="AA492" s="246">
        <v>0</v>
      </c>
      <c r="AB492" s="246">
        <v>0</v>
      </c>
      <c r="AC492" s="247">
        <v>0</v>
      </c>
      <c r="AD492" s="247">
        <v>0</v>
      </c>
      <c r="AE492" s="248">
        <v>0</v>
      </c>
      <c r="AF492" s="234">
        <f>-SUMIF('[1]Alt Fac'!$A$18:$A$139,'REPORT 4 - PROPERTY TAX'!A492,'[1]Alt Fac'!$U$18:$U$139)</f>
        <v>0</v>
      </c>
      <c r="AG492" s="247">
        <f t="shared" si="25"/>
        <v>0</v>
      </c>
      <c r="AH492" s="234">
        <f t="shared" si="26"/>
        <v>0</v>
      </c>
      <c r="AI492" s="234">
        <f t="shared" si="24"/>
        <v>0</v>
      </c>
    </row>
    <row r="493" spans="1:35" hidden="1" x14ac:dyDescent="0.25">
      <c r="A493" s="170">
        <v>4173</v>
      </c>
      <c r="B493" s="170">
        <v>7</v>
      </c>
      <c r="C493" s="171" t="s">
        <v>251</v>
      </c>
      <c r="D493" s="177">
        <v>7</v>
      </c>
      <c r="E493" s="272">
        <v>0</v>
      </c>
      <c r="F493" s="273">
        <v>0</v>
      </c>
      <c r="G493" s="234">
        <v>0</v>
      </c>
      <c r="H493" s="234">
        <v>0</v>
      </c>
      <c r="I493" s="174">
        <v>0</v>
      </c>
      <c r="J493" s="234">
        <v>0</v>
      </c>
      <c r="K493" s="234">
        <v>0</v>
      </c>
      <c r="L493" s="175">
        <v>0</v>
      </c>
      <c r="M493" s="235">
        <v>0</v>
      </c>
      <c r="N493" s="235">
        <v>0</v>
      </c>
      <c r="O493" s="235">
        <v>0</v>
      </c>
      <c r="P493" s="237" t="e">
        <v>#DIV/0!</v>
      </c>
      <c r="Q493" s="238">
        <v>0</v>
      </c>
      <c r="R493" s="239">
        <v>0</v>
      </c>
      <c r="S493" s="240">
        <v>0</v>
      </c>
      <c r="T493" s="239">
        <v>0</v>
      </c>
      <c r="U493" s="241">
        <v>0</v>
      </c>
      <c r="V493" s="242">
        <v>0</v>
      </c>
      <c r="W493" s="246">
        <v>0</v>
      </c>
      <c r="X493" s="246">
        <v>0</v>
      </c>
      <c r="Y493" s="246">
        <v>0</v>
      </c>
      <c r="Z493" s="246">
        <v>0</v>
      </c>
      <c r="AA493" s="246">
        <v>0</v>
      </c>
      <c r="AB493" s="246">
        <v>0</v>
      </c>
      <c r="AC493" s="247">
        <v>0</v>
      </c>
      <c r="AD493" s="247">
        <v>0</v>
      </c>
      <c r="AE493" s="248">
        <v>0</v>
      </c>
      <c r="AF493" s="234">
        <f>-SUMIF('[1]Alt Fac'!$A$18:$A$139,'REPORT 4 - PROPERTY TAX'!A493,'[1]Alt Fac'!$U$18:$U$139)</f>
        <v>0</v>
      </c>
      <c r="AG493" s="247">
        <f t="shared" si="25"/>
        <v>0</v>
      </c>
      <c r="AH493" s="234">
        <f t="shared" si="26"/>
        <v>0</v>
      </c>
      <c r="AI493" s="234">
        <f t="shared" si="24"/>
        <v>0</v>
      </c>
    </row>
    <row r="494" spans="1:35" hidden="1" x14ac:dyDescent="0.25">
      <c r="A494" s="170">
        <v>4177</v>
      </c>
      <c r="B494" s="170">
        <v>7</v>
      </c>
      <c r="C494" s="171" t="s">
        <v>705</v>
      </c>
      <c r="D494" s="177">
        <v>7</v>
      </c>
      <c r="E494" s="272">
        <v>0</v>
      </c>
      <c r="F494" s="273">
        <v>0</v>
      </c>
      <c r="G494" s="234">
        <v>0</v>
      </c>
      <c r="H494" s="234">
        <v>0</v>
      </c>
      <c r="I494" s="174">
        <v>0</v>
      </c>
      <c r="J494" s="234">
        <v>0</v>
      </c>
      <c r="K494" s="234">
        <v>0</v>
      </c>
      <c r="L494" s="175">
        <v>0</v>
      </c>
      <c r="M494" s="235">
        <v>0</v>
      </c>
      <c r="N494" s="235">
        <v>0</v>
      </c>
      <c r="O494" s="235">
        <v>0</v>
      </c>
      <c r="P494" s="237" t="e">
        <v>#DIV/0!</v>
      </c>
      <c r="Q494" s="238">
        <v>0</v>
      </c>
      <c r="R494" s="239">
        <v>0</v>
      </c>
      <c r="S494" s="240">
        <v>0</v>
      </c>
      <c r="T494" s="239">
        <v>0</v>
      </c>
      <c r="U494" s="241">
        <v>0</v>
      </c>
      <c r="V494" s="242">
        <v>0</v>
      </c>
      <c r="W494" s="246">
        <v>0</v>
      </c>
      <c r="X494" s="246">
        <v>0</v>
      </c>
      <c r="Y494" s="246">
        <v>0</v>
      </c>
      <c r="Z494" s="246">
        <v>0</v>
      </c>
      <c r="AA494" s="246">
        <v>0</v>
      </c>
      <c r="AB494" s="246">
        <v>0</v>
      </c>
      <c r="AC494" s="247">
        <v>0</v>
      </c>
      <c r="AD494" s="247">
        <v>0</v>
      </c>
      <c r="AE494" s="248">
        <v>0</v>
      </c>
      <c r="AF494" s="234">
        <f>-SUMIF('[1]Alt Fac'!$A$18:$A$139,'REPORT 4 - PROPERTY TAX'!A494,'[1]Alt Fac'!$U$18:$U$139)</f>
        <v>0</v>
      </c>
      <c r="AG494" s="247">
        <f t="shared" si="25"/>
        <v>0</v>
      </c>
      <c r="AH494" s="234">
        <f t="shared" si="26"/>
        <v>0</v>
      </c>
      <c r="AI494" s="234">
        <f t="shared" si="24"/>
        <v>0</v>
      </c>
    </row>
    <row r="495" spans="1:35" hidden="1" x14ac:dyDescent="0.25">
      <c r="A495" s="170">
        <v>4178</v>
      </c>
      <c r="B495" s="170">
        <v>7</v>
      </c>
      <c r="C495" s="171" t="s">
        <v>723</v>
      </c>
      <c r="D495" s="177">
        <v>7</v>
      </c>
      <c r="E495" s="272">
        <v>0</v>
      </c>
      <c r="F495" s="273">
        <v>0</v>
      </c>
      <c r="G495" s="234">
        <v>0</v>
      </c>
      <c r="H495" s="234">
        <v>0</v>
      </c>
      <c r="I495" s="174">
        <v>0</v>
      </c>
      <c r="J495" s="234">
        <v>0</v>
      </c>
      <c r="K495" s="234">
        <v>0</v>
      </c>
      <c r="L495" s="175">
        <v>0</v>
      </c>
      <c r="M495" s="235">
        <v>0</v>
      </c>
      <c r="N495" s="235">
        <v>0</v>
      </c>
      <c r="O495" s="235">
        <v>0</v>
      </c>
      <c r="P495" s="237" t="e">
        <v>#DIV/0!</v>
      </c>
      <c r="Q495" s="238">
        <v>0</v>
      </c>
      <c r="R495" s="239">
        <v>0</v>
      </c>
      <c r="S495" s="240">
        <v>0</v>
      </c>
      <c r="T495" s="239">
        <v>0</v>
      </c>
      <c r="U495" s="241">
        <v>0</v>
      </c>
      <c r="V495" s="242">
        <v>0</v>
      </c>
      <c r="W495" s="246">
        <v>0</v>
      </c>
      <c r="X495" s="246">
        <v>0</v>
      </c>
      <c r="Y495" s="246">
        <v>0</v>
      </c>
      <c r="Z495" s="246">
        <v>0</v>
      </c>
      <c r="AA495" s="246">
        <v>0</v>
      </c>
      <c r="AB495" s="246">
        <v>0</v>
      </c>
      <c r="AC495" s="247">
        <v>0</v>
      </c>
      <c r="AD495" s="247">
        <v>0</v>
      </c>
      <c r="AE495" s="248">
        <v>0</v>
      </c>
      <c r="AF495" s="234">
        <f>-SUMIF('[1]Alt Fac'!$A$18:$A$139,'REPORT 4 - PROPERTY TAX'!A495,'[1]Alt Fac'!$U$18:$U$139)</f>
        <v>0</v>
      </c>
      <c r="AG495" s="247">
        <f t="shared" si="25"/>
        <v>0</v>
      </c>
      <c r="AH495" s="234">
        <f t="shared" si="26"/>
        <v>0</v>
      </c>
      <c r="AI495" s="234">
        <f t="shared" si="24"/>
        <v>0</v>
      </c>
    </row>
    <row r="496" spans="1:35" hidden="1" x14ac:dyDescent="0.25">
      <c r="A496" s="170">
        <v>4180</v>
      </c>
      <c r="B496" s="170">
        <v>7</v>
      </c>
      <c r="C496" s="171" t="s">
        <v>367</v>
      </c>
      <c r="D496" s="177">
        <v>7</v>
      </c>
      <c r="E496" s="272">
        <v>0</v>
      </c>
      <c r="F496" s="273">
        <v>0</v>
      </c>
      <c r="G496" s="234">
        <v>0</v>
      </c>
      <c r="H496" s="234">
        <v>0</v>
      </c>
      <c r="I496" s="174">
        <v>0</v>
      </c>
      <c r="J496" s="234">
        <v>0</v>
      </c>
      <c r="K496" s="234">
        <v>0</v>
      </c>
      <c r="L496" s="175">
        <v>0</v>
      </c>
      <c r="M496" s="235">
        <v>0</v>
      </c>
      <c r="N496" s="235">
        <v>0</v>
      </c>
      <c r="O496" s="235">
        <v>0</v>
      </c>
      <c r="P496" s="237" t="e">
        <v>#DIV/0!</v>
      </c>
      <c r="Q496" s="238">
        <v>0</v>
      </c>
      <c r="R496" s="239">
        <v>0</v>
      </c>
      <c r="S496" s="240">
        <v>0</v>
      </c>
      <c r="T496" s="239">
        <v>0</v>
      </c>
      <c r="U496" s="241">
        <v>0</v>
      </c>
      <c r="V496" s="242">
        <v>0</v>
      </c>
      <c r="W496" s="246">
        <v>0</v>
      </c>
      <c r="X496" s="246">
        <v>0</v>
      </c>
      <c r="Y496" s="246">
        <v>0</v>
      </c>
      <c r="Z496" s="246">
        <v>0</v>
      </c>
      <c r="AA496" s="246">
        <v>0</v>
      </c>
      <c r="AB496" s="246">
        <v>0</v>
      </c>
      <c r="AC496" s="247">
        <v>0</v>
      </c>
      <c r="AD496" s="247">
        <v>0</v>
      </c>
      <c r="AE496" s="248">
        <v>0</v>
      </c>
      <c r="AF496" s="234">
        <f>-SUMIF('[1]Alt Fac'!$A$18:$A$139,'REPORT 4 - PROPERTY TAX'!A496,'[1]Alt Fac'!$U$18:$U$139)</f>
        <v>0</v>
      </c>
      <c r="AG496" s="247">
        <f t="shared" si="25"/>
        <v>0</v>
      </c>
      <c r="AH496" s="234">
        <f t="shared" si="26"/>
        <v>0</v>
      </c>
      <c r="AI496" s="234">
        <f t="shared" si="24"/>
        <v>0</v>
      </c>
    </row>
    <row r="497" spans="1:35" hidden="1" x14ac:dyDescent="0.25">
      <c r="A497" s="170">
        <v>4181</v>
      </c>
      <c r="B497" s="170">
        <v>7</v>
      </c>
      <c r="C497" s="171" t="s">
        <v>718</v>
      </c>
      <c r="D497" s="177">
        <v>7</v>
      </c>
      <c r="E497" s="272">
        <v>0</v>
      </c>
      <c r="F497" s="273">
        <v>0</v>
      </c>
      <c r="G497" s="234">
        <v>0</v>
      </c>
      <c r="H497" s="234">
        <v>0</v>
      </c>
      <c r="I497" s="174">
        <v>0</v>
      </c>
      <c r="J497" s="234">
        <v>0</v>
      </c>
      <c r="K497" s="234">
        <v>0</v>
      </c>
      <c r="L497" s="175">
        <v>0</v>
      </c>
      <c r="M497" s="235">
        <v>0</v>
      </c>
      <c r="N497" s="235">
        <v>0</v>
      </c>
      <c r="O497" s="235">
        <v>0</v>
      </c>
      <c r="P497" s="237" t="e">
        <v>#DIV/0!</v>
      </c>
      <c r="Q497" s="238">
        <v>0</v>
      </c>
      <c r="R497" s="239">
        <v>0</v>
      </c>
      <c r="S497" s="240">
        <v>0</v>
      </c>
      <c r="T497" s="239">
        <v>0</v>
      </c>
      <c r="U497" s="241">
        <v>0</v>
      </c>
      <c r="V497" s="242">
        <v>0</v>
      </c>
      <c r="W497" s="246">
        <v>0</v>
      </c>
      <c r="X497" s="246">
        <v>0</v>
      </c>
      <c r="Y497" s="246">
        <v>0</v>
      </c>
      <c r="Z497" s="246">
        <v>0</v>
      </c>
      <c r="AA497" s="246">
        <v>0</v>
      </c>
      <c r="AB497" s="246">
        <v>0</v>
      </c>
      <c r="AC497" s="247">
        <v>0</v>
      </c>
      <c r="AD497" s="247">
        <v>0</v>
      </c>
      <c r="AE497" s="248">
        <v>0</v>
      </c>
      <c r="AF497" s="234">
        <f>-SUMIF('[1]Alt Fac'!$A$18:$A$139,'REPORT 4 - PROPERTY TAX'!A497,'[1]Alt Fac'!$U$18:$U$139)</f>
        <v>0</v>
      </c>
      <c r="AG497" s="247">
        <f t="shared" si="25"/>
        <v>0</v>
      </c>
      <c r="AH497" s="234">
        <f t="shared" si="26"/>
        <v>0</v>
      </c>
      <c r="AI497" s="234">
        <f t="shared" si="24"/>
        <v>0</v>
      </c>
    </row>
    <row r="498" spans="1:35" hidden="1" x14ac:dyDescent="0.25">
      <c r="A498" s="170">
        <v>4182</v>
      </c>
      <c r="B498" s="170">
        <v>7</v>
      </c>
      <c r="C498" s="171" t="s">
        <v>633</v>
      </c>
      <c r="D498" s="177">
        <v>7</v>
      </c>
      <c r="E498" s="272">
        <v>0</v>
      </c>
      <c r="F498" s="273">
        <v>0</v>
      </c>
      <c r="G498" s="234">
        <v>0</v>
      </c>
      <c r="H498" s="234">
        <v>0</v>
      </c>
      <c r="I498" s="174">
        <v>0</v>
      </c>
      <c r="J498" s="234">
        <v>0</v>
      </c>
      <c r="K498" s="234">
        <v>0</v>
      </c>
      <c r="L498" s="175">
        <v>0</v>
      </c>
      <c r="M498" s="235">
        <v>0</v>
      </c>
      <c r="N498" s="235">
        <v>0</v>
      </c>
      <c r="O498" s="235">
        <v>0</v>
      </c>
      <c r="P498" s="237" t="e">
        <v>#DIV/0!</v>
      </c>
      <c r="Q498" s="238">
        <v>0</v>
      </c>
      <c r="R498" s="239">
        <v>0</v>
      </c>
      <c r="S498" s="240">
        <v>0</v>
      </c>
      <c r="T498" s="239">
        <v>0</v>
      </c>
      <c r="U498" s="241">
        <v>0</v>
      </c>
      <c r="V498" s="242">
        <v>0</v>
      </c>
      <c r="W498" s="246">
        <v>0</v>
      </c>
      <c r="X498" s="246">
        <v>0</v>
      </c>
      <c r="Y498" s="246">
        <v>0</v>
      </c>
      <c r="Z498" s="246">
        <v>0</v>
      </c>
      <c r="AA498" s="246">
        <v>0</v>
      </c>
      <c r="AB498" s="246">
        <v>0</v>
      </c>
      <c r="AC498" s="247">
        <v>0</v>
      </c>
      <c r="AD498" s="247">
        <v>0</v>
      </c>
      <c r="AE498" s="248">
        <v>0</v>
      </c>
      <c r="AF498" s="234">
        <f>-SUMIF('[1]Alt Fac'!$A$18:$A$139,'REPORT 4 - PROPERTY TAX'!A498,'[1]Alt Fac'!$U$18:$U$139)</f>
        <v>0</v>
      </c>
      <c r="AG498" s="247">
        <f t="shared" si="25"/>
        <v>0</v>
      </c>
      <c r="AH498" s="234">
        <f t="shared" si="26"/>
        <v>0</v>
      </c>
      <c r="AI498" s="234">
        <f t="shared" si="24"/>
        <v>0</v>
      </c>
    </row>
    <row r="499" spans="1:35" hidden="1" x14ac:dyDescent="0.25">
      <c r="A499" s="170">
        <v>4183</v>
      </c>
      <c r="B499" s="170">
        <v>7</v>
      </c>
      <c r="C499" s="171" t="s">
        <v>670</v>
      </c>
      <c r="D499" s="177">
        <v>7</v>
      </c>
      <c r="E499" s="272">
        <v>0</v>
      </c>
      <c r="F499" s="273">
        <v>0</v>
      </c>
      <c r="G499" s="234">
        <v>0</v>
      </c>
      <c r="H499" s="234">
        <v>0</v>
      </c>
      <c r="I499" s="174">
        <v>0</v>
      </c>
      <c r="J499" s="234">
        <v>0</v>
      </c>
      <c r="K499" s="234">
        <v>0</v>
      </c>
      <c r="L499" s="175">
        <v>0</v>
      </c>
      <c r="M499" s="235">
        <v>0</v>
      </c>
      <c r="N499" s="235">
        <v>0</v>
      </c>
      <c r="O499" s="235">
        <v>0</v>
      </c>
      <c r="P499" s="237" t="e">
        <v>#DIV/0!</v>
      </c>
      <c r="Q499" s="238">
        <v>0</v>
      </c>
      <c r="R499" s="239">
        <v>0</v>
      </c>
      <c r="S499" s="240">
        <v>0</v>
      </c>
      <c r="T499" s="239">
        <v>0</v>
      </c>
      <c r="U499" s="241">
        <v>0</v>
      </c>
      <c r="V499" s="242">
        <v>0</v>
      </c>
      <c r="W499" s="246">
        <v>0</v>
      </c>
      <c r="X499" s="246">
        <v>0</v>
      </c>
      <c r="Y499" s="246">
        <v>0</v>
      </c>
      <c r="Z499" s="246">
        <v>0</v>
      </c>
      <c r="AA499" s="246">
        <v>0</v>
      </c>
      <c r="AB499" s="246">
        <v>0</v>
      </c>
      <c r="AC499" s="247">
        <v>0</v>
      </c>
      <c r="AD499" s="247">
        <v>0</v>
      </c>
      <c r="AE499" s="248">
        <v>0</v>
      </c>
      <c r="AF499" s="234">
        <f>-SUMIF('[1]Alt Fac'!$A$18:$A$139,'REPORT 4 - PROPERTY TAX'!A499,'[1]Alt Fac'!$U$18:$U$139)</f>
        <v>0</v>
      </c>
      <c r="AG499" s="247">
        <f t="shared" si="25"/>
        <v>0</v>
      </c>
      <c r="AH499" s="234">
        <f t="shared" si="26"/>
        <v>0</v>
      </c>
      <c r="AI499" s="234">
        <f t="shared" si="24"/>
        <v>0</v>
      </c>
    </row>
    <row r="500" spans="1:35" hidden="1" x14ac:dyDescent="0.25">
      <c r="A500" s="170">
        <v>4184</v>
      </c>
      <c r="B500" s="170">
        <v>7</v>
      </c>
      <c r="C500" s="171" t="s">
        <v>400</v>
      </c>
      <c r="D500" s="177">
        <v>7</v>
      </c>
      <c r="E500" s="272">
        <v>0</v>
      </c>
      <c r="F500" s="273">
        <v>0</v>
      </c>
      <c r="G500" s="234">
        <v>0</v>
      </c>
      <c r="H500" s="234">
        <v>0</v>
      </c>
      <c r="I500" s="174">
        <v>0</v>
      </c>
      <c r="J500" s="234">
        <v>0</v>
      </c>
      <c r="K500" s="234">
        <v>0</v>
      </c>
      <c r="L500" s="175">
        <v>0</v>
      </c>
      <c r="M500" s="235">
        <v>0</v>
      </c>
      <c r="N500" s="235">
        <v>0</v>
      </c>
      <c r="O500" s="235">
        <v>0</v>
      </c>
      <c r="P500" s="237" t="e">
        <v>#DIV/0!</v>
      </c>
      <c r="Q500" s="238">
        <v>0</v>
      </c>
      <c r="R500" s="239">
        <v>0</v>
      </c>
      <c r="S500" s="240">
        <v>0</v>
      </c>
      <c r="T500" s="239">
        <v>0</v>
      </c>
      <c r="U500" s="241">
        <v>0</v>
      </c>
      <c r="V500" s="242">
        <v>0</v>
      </c>
      <c r="W500" s="246">
        <v>0</v>
      </c>
      <c r="X500" s="246">
        <v>0</v>
      </c>
      <c r="Y500" s="246">
        <v>0</v>
      </c>
      <c r="Z500" s="246">
        <v>0</v>
      </c>
      <c r="AA500" s="246">
        <v>0</v>
      </c>
      <c r="AB500" s="246">
        <v>0</v>
      </c>
      <c r="AC500" s="247">
        <v>0</v>
      </c>
      <c r="AD500" s="247">
        <v>0</v>
      </c>
      <c r="AE500" s="248">
        <v>0</v>
      </c>
      <c r="AF500" s="234">
        <f>-SUMIF('[1]Alt Fac'!$A$18:$A$139,'REPORT 4 - PROPERTY TAX'!A500,'[1]Alt Fac'!$U$18:$U$139)</f>
        <v>0</v>
      </c>
      <c r="AG500" s="247">
        <f t="shared" si="25"/>
        <v>0</v>
      </c>
      <c r="AH500" s="234">
        <f t="shared" si="26"/>
        <v>0</v>
      </c>
      <c r="AI500" s="234">
        <f t="shared" si="24"/>
        <v>0</v>
      </c>
    </row>
    <row r="501" spans="1:35" hidden="1" x14ac:dyDescent="0.25">
      <c r="A501" s="170">
        <v>4185</v>
      </c>
      <c r="B501" s="170">
        <v>7</v>
      </c>
      <c r="C501" s="171" t="s">
        <v>578</v>
      </c>
      <c r="D501" s="177">
        <v>7</v>
      </c>
      <c r="E501" s="272">
        <v>0</v>
      </c>
      <c r="F501" s="273">
        <v>0</v>
      </c>
      <c r="G501" s="234">
        <v>0</v>
      </c>
      <c r="H501" s="234">
        <v>0</v>
      </c>
      <c r="I501" s="174">
        <v>0</v>
      </c>
      <c r="J501" s="234">
        <v>0</v>
      </c>
      <c r="K501" s="234">
        <v>0</v>
      </c>
      <c r="L501" s="175">
        <v>0</v>
      </c>
      <c r="M501" s="235">
        <v>0</v>
      </c>
      <c r="N501" s="235">
        <v>0</v>
      </c>
      <c r="O501" s="235">
        <v>0</v>
      </c>
      <c r="P501" s="237" t="e">
        <v>#DIV/0!</v>
      </c>
      <c r="Q501" s="238">
        <v>0</v>
      </c>
      <c r="R501" s="239">
        <v>0</v>
      </c>
      <c r="S501" s="240">
        <v>0</v>
      </c>
      <c r="T501" s="239">
        <v>0</v>
      </c>
      <c r="U501" s="241">
        <v>0</v>
      </c>
      <c r="V501" s="242">
        <v>0</v>
      </c>
      <c r="W501" s="246">
        <v>0</v>
      </c>
      <c r="X501" s="246">
        <v>0</v>
      </c>
      <c r="Y501" s="246">
        <v>0</v>
      </c>
      <c r="Z501" s="246">
        <v>0</v>
      </c>
      <c r="AA501" s="246">
        <v>0</v>
      </c>
      <c r="AB501" s="246">
        <v>0</v>
      </c>
      <c r="AC501" s="247">
        <v>0</v>
      </c>
      <c r="AD501" s="247">
        <v>0</v>
      </c>
      <c r="AE501" s="248">
        <v>0</v>
      </c>
      <c r="AF501" s="234">
        <f>-SUMIF('[1]Alt Fac'!$A$18:$A$139,'REPORT 4 - PROPERTY TAX'!A501,'[1]Alt Fac'!$U$18:$U$139)</f>
        <v>0</v>
      </c>
      <c r="AG501" s="247">
        <f t="shared" si="25"/>
        <v>0</v>
      </c>
      <c r="AH501" s="234">
        <f t="shared" si="26"/>
        <v>0</v>
      </c>
      <c r="AI501" s="234">
        <f t="shared" si="24"/>
        <v>0</v>
      </c>
    </row>
    <row r="502" spans="1:35" hidden="1" x14ac:dyDescent="0.25">
      <c r="A502" s="170">
        <v>4186</v>
      </c>
      <c r="B502" s="170">
        <v>7</v>
      </c>
      <c r="C502" s="171" t="s">
        <v>725</v>
      </c>
      <c r="D502" s="177">
        <v>7</v>
      </c>
      <c r="E502" s="272">
        <v>0</v>
      </c>
      <c r="F502" s="273">
        <v>0</v>
      </c>
      <c r="G502" s="234">
        <v>0</v>
      </c>
      <c r="H502" s="234">
        <v>0</v>
      </c>
      <c r="I502" s="174">
        <v>0</v>
      </c>
      <c r="J502" s="234">
        <v>0</v>
      </c>
      <c r="K502" s="234">
        <v>0</v>
      </c>
      <c r="L502" s="175">
        <v>0</v>
      </c>
      <c r="M502" s="235">
        <v>0</v>
      </c>
      <c r="N502" s="235">
        <v>0</v>
      </c>
      <c r="O502" s="235">
        <v>0</v>
      </c>
      <c r="P502" s="237" t="e">
        <v>#DIV/0!</v>
      </c>
      <c r="Q502" s="238">
        <v>0</v>
      </c>
      <c r="R502" s="239">
        <v>0</v>
      </c>
      <c r="S502" s="240">
        <v>0</v>
      </c>
      <c r="T502" s="239">
        <v>0</v>
      </c>
      <c r="U502" s="241">
        <v>0</v>
      </c>
      <c r="V502" s="242">
        <v>0</v>
      </c>
      <c r="W502" s="246">
        <v>0</v>
      </c>
      <c r="X502" s="246">
        <v>0</v>
      </c>
      <c r="Y502" s="246">
        <v>0</v>
      </c>
      <c r="Z502" s="246">
        <v>0</v>
      </c>
      <c r="AA502" s="246">
        <v>0</v>
      </c>
      <c r="AB502" s="246">
        <v>0</v>
      </c>
      <c r="AC502" s="247">
        <v>0</v>
      </c>
      <c r="AD502" s="247">
        <v>0</v>
      </c>
      <c r="AE502" s="248">
        <v>0</v>
      </c>
      <c r="AF502" s="234">
        <f>-SUMIF('[1]Alt Fac'!$A$18:$A$139,'REPORT 4 - PROPERTY TAX'!A502,'[1]Alt Fac'!$U$18:$U$139)</f>
        <v>0</v>
      </c>
      <c r="AG502" s="247">
        <f t="shared" si="25"/>
        <v>0</v>
      </c>
      <c r="AH502" s="234">
        <f t="shared" si="26"/>
        <v>0</v>
      </c>
      <c r="AI502" s="234">
        <f t="shared" si="24"/>
        <v>0</v>
      </c>
    </row>
    <row r="503" spans="1:35" hidden="1" x14ac:dyDescent="0.25">
      <c r="A503" s="170">
        <v>4187</v>
      </c>
      <c r="B503" s="170">
        <v>7</v>
      </c>
      <c r="C503" s="171" t="s">
        <v>421</v>
      </c>
      <c r="D503" s="177">
        <v>7</v>
      </c>
      <c r="E503" s="272">
        <v>0</v>
      </c>
      <c r="F503" s="273">
        <v>0</v>
      </c>
      <c r="G503" s="234">
        <v>0</v>
      </c>
      <c r="H503" s="234">
        <v>0</v>
      </c>
      <c r="I503" s="174">
        <v>0</v>
      </c>
      <c r="J503" s="234">
        <v>0</v>
      </c>
      <c r="K503" s="234">
        <v>0</v>
      </c>
      <c r="L503" s="175">
        <v>0</v>
      </c>
      <c r="M503" s="235">
        <v>0</v>
      </c>
      <c r="N503" s="235">
        <v>0</v>
      </c>
      <c r="O503" s="235">
        <v>0</v>
      </c>
      <c r="P503" s="237" t="e">
        <v>#DIV/0!</v>
      </c>
      <c r="Q503" s="238">
        <v>0</v>
      </c>
      <c r="R503" s="239">
        <v>0</v>
      </c>
      <c r="S503" s="240">
        <v>0</v>
      </c>
      <c r="T503" s="239">
        <v>0</v>
      </c>
      <c r="U503" s="241">
        <v>0</v>
      </c>
      <c r="V503" s="242">
        <v>0</v>
      </c>
      <c r="W503" s="246">
        <v>0</v>
      </c>
      <c r="X503" s="246">
        <v>0</v>
      </c>
      <c r="Y503" s="246">
        <v>0</v>
      </c>
      <c r="Z503" s="246">
        <v>0</v>
      </c>
      <c r="AA503" s="246">
        <v>0</v>
      </c>
      <c r="AB503" s="246">
        <v>0</v>
      </c>
      <c r="AC503" s="247">
        <v>0</v>
      </c>
      <c r="AD503" s="247">
        <v>0</v>
      </c>
      <c r="AE503" s="248">
        <v>0</v>
      </c>
      <c r="AF503" s="234">
        <f>-SUMIF('[1]Alt Fac'!$A$18:$A$139,'REPORT 4 - PROPERTY TAX'!A503,'[1]Alt Fac'!$U$18:$U$139)</f>
        <v>0</v>
      </c>
      <c r="AG503" s="247">
        <f t="shared" si="25"/>
        <v>0</v>
      </c>
      <c r="AH503" s="234">
        <f t="shared" si="26"/>
        <v>0</v>
      </c>
      <c r="AI503" s="234">
        <f t="shared" si="24"/>
        <v>0</v>
      </c>
    </row>
    <row r="504" spans="1:35" hidden="1" x14ac:dyDescent="0.25">
      <c r="A504" s="170">
        <v>4188</v>
      </c>
      <c r="B504" s="170">
        <v>7</v>
      </c>
      <c r="C504" s="171" t="s">
        <v>326</v>
      </c>
      <c r="D504" s="177">
        <v>7</v>
      </c>
      <c r="E504" s="272">
        <v>0</v>
      </c>
      <c r="F504" s="273">
        <v>0</v>
      </c>
      <c r="G504" s="234">
        <v>0</v>
      </c>
      <c r="H504" s="234">
        <v>0</v>
      </c>
      <c r="I504" s="174">
        <v>0</v>
      </c>
      <c r="J504" s="234">
        <v>0</v>
      </c>
      <c r="K504" s="234">
        <v>0</v>
      </c>
      <c r="L504" s="175">
        <v>0</v>
      </c>
      <c r="M504" s="235">
        <v>0</v>
      </c>
      <c r="N504" s="235">
        <v>0</v>
      </c>
      <c r="O504" s="235">
        <v>0</v>
      </c>
      <c r="P504" s="237" t="e">
        <v>#DIV/0!</v>
      </c>
      <c r="Q504" s="238">
        <v>0</v>
      </c>
      <c r="R504" s="239">
        <v>0</v>
      </c>
      <c r="S504" s="240">
        <v>0</v>
      </c>
      <c r="T504" s="239">
        <v>0</v>
      </c>
      <c r="U504" s="241">
        <v>0</v>
      </c>
      <c r="V504" s="242">
        <v>0</v>
      </c>
      <c r="W504" s="246">
        <v>0</v>
      </c>
      <c r="X504" s="246">
        <v>0</v>
      </c>
      <c r="Y504" s="246">
        <v>0</v>
      </c>
      <c r="Z504" s="246">
        <v>0</v>
      </c>
      <c r="AA504" s="246">
        <v>0</v>
      </c>
      <c r="AB504" s="246">
        <v>0</v>
      </c>
      <c r="AC504" s="247">
        <v>0</v>
      </c>
      <c r="AD504" s="247">
        <v>0</v>
      </c>
      <c r="AE504" s="248">
        <v>0</v>
      </c>
      <c r="AF504" s="234">
        <f>-SUMIF('[1]Alt Fac'!$A$18:$A$139,'REPORT 4 - PROPERTY TAX'!A504,'[1]Alt Fac'!$U$18:$U$139)</f>
        <v>0</v>
      </c>
      <c r="AG504" s="247">
        <f t="shared" si="25"/>
        <v>0</v>
      </c>
      <c r="AH504" s="234">
        <f t="shared" si="26"/>
        <v>0</v>
      </c>
      <c r="AI504" s="234">
        <f t="shared" si="24"/>
        <v>0</v>
      </c>
    </row>
    <row r="505" spans="1:35" hidden="1" x14ac:dyDescent="0.25">
      <c r="A505" s="170">
        <v>4189</v>
      </c>
      <c r="B505" s="170">
        <v>7</v>
      </c>
      <c r="C505" s="171" t="s">
        <v>564</v>
      </c>
      <c r="D505" s="177">
        <v>7</v>
      </c>
      <c r="E505" s="272">
        <v>0</v>
      </c>
      <c r="F505" s="273">
        <v>0</v>
      </c>
      <c r="G505" s="234">
        <v>0</v>
      </c>
      <c r="H505" s="234">
        <v>0</v>
      </c>
      <c r="I505" s="174">
        <v>0</v>
      </c>
      <c r="J505" s="234">
        <v>0</v>
      </c>
      <c r="K505" s="234">
        <v>0</v>
      </c>
      <c r="L505" s="175">
        <v>0</v>
      </c>
      <c r="M505" s="235">
        <v>0</v>
      </c>
      <c r="N505" s="235">
        <v>0</v>
      </c>
      <c r="O505" s="235">
        <v>0</v>
      </c>
      <c r="P505" s="237" t="e">
        <v>#DIV/0!</v>
      </c>
      <c r="Q505" s="238">
        <v>0</v>
      </c>
      <c r="R505" s="239">
        <v>0</v>
      </c>
      <c r="S505" s="240">
        <v>0</v>
      </c>
      <c r="T505" s="239">
        <v>0</v>
      </c>
      <c r="U505" s="241">
        <v>0</v>
      </c>
      <c r="V505" s="242">
        <v>0</v>
      </c>
      <c r="W505" s="246">
        <v>0</v>
      </c>
      <c r="X505" s="246">
        <v>0</v>
      </c>
      <c r="Y505" s="246">
        <v>0</v>
      </c>
      <c r="Z505" s="246">
        <v>0</v>
      </c>
      <c r="AA505" s="246">
        <v>0</v>
      </c>
      <c r="AB505" s="246">
        <v>0</v>
      </c>
      <c r="AC505" s="247">
        <v>0</v>
      </c>
      <c r="AD505" s="247">
        <v>0</v>
      </c>
      <c r="AE505" s="248">
        <v>0</v>
      </c>
      <c r="AF505" s="234">
        <f>-SUMIF('[1]Alt Fac'!$A$18:$A$139,'REPORT 4 - PROPERTY TAX'!A505,'[1]Alt Fac'!$U$18:$U$139)</f>
        <v>0</v>
      </c>
      <c r="AG505" s="247">
        <f t="shared" si="25"/>
        <v>0</v>
      </c>
      <c r="AH505" s="234">
        <f t="shared" si="26"/>
        <v>0</v>
      </c>
      <c r="AI505" s="234">
        <f t="shared" si="24"/>
        <v>0</v>
      </c>
    </row>
    <row r="506" spans="1:35" hidden="1" x14ac:dyDescent="0.25">
      <c r="A506" s="170">
        <v>4190</v>
      </c>
      <c r="B506" s="170">
        <v>7</v>
      </c>
      <c r="C506" s="171" t="s">
        <v>654</v>
      </c>
      <c r="D506" s="177">
        <v>7</v>
      </c>
      <c r="E506" s="272">
        <v>0</v>
      </c>
      <c r="F506" s="273">
        <v>0</v>
      </c>
      <c r="G506" s="234">
        <v>0</v>
      </c>
      <c r="H506" s="234">
        <v>0</v>
      </c>
      <c r="I506" s="174">
        <v>0</v>
      </c>
      <c r="J506" s="234">
        <v>0</v>
      </c>
      <c r="K506" s="234">
        <v>0</v>
      </c>
      <c r="L506" s="175">
        <v>0</v>
      </c>
      <c r="M506" s="235">
        <v>0</v>
      </c>
      <c r="N506" s="235">
        <v>0</v>
      </c>
      <c r="O506" s="235">
        <v>0</v>
      </c>
      <c r="P506" s="237" t="e">
        <v>#DIV/0!</v>
      </c>
      <c r="Q506" s="238">
        <v>0</v>
      </c>
      <c r="R506" s="239">
        <v>0</v>
      </c>
      <c r="S506" s="240">
        <v>0</v>
      </c>
      <c r="T506" s="239">
        <v>0</v>
      </c>
      <c r="U506" s="241">
        <v>0</v>
      </c>
      <c r="V506" s="242">
        <v>0</v>
      </c>
      <c r="W506" s="246">
        <v>0</v>
      </c>
      <c r="X506" s="246">
        <v>0</v>
      </c>
      <c r="Y506" s="246">
        <v>0</v>
      </c>
      <c r="Z506" s="246">
        <v>0</v>
      </c>
      <c r="AA506" s="246">
        <v>0</v>
      </c>
      <c r="AB506" s="246">
        <v>0</v>
      </c>
      <c r="AC506" s="247">
        <v>0</v>
      </c>
      <c r="AD506" s="247">
        <v>0</v>
      </c>
      <c r="AE506" s="248">
        <v>0</v>
      </c>
      <c r="AF506" s="234">
        <f>-SUMIF('[1]Alt Fac'!$A$18:$A$139,'REPORT 4 - PROPERTY TAX'!A506,'[1]Alt Fac'!$U$18:$U$139)</f>
        <v>0</v>
      </c>
      <c r="AG506" s="247">
        <f t="shared" si="25"/>
        <v>0</v>
      </c>
      <c r="AH506" s="234">
        <f t="shared" si="26"/>
        <v>0</v>
      </c>
      <c r="AI506" s="234">
        <f t="shared" si="24"/>
        <v>0</v>
      </c>
    </row>
    <row r="507" spans="1:35" hidden="1" x14ac:dyDescent="0.25">
      <c r="A507" s="170">
        <v>4191</v>
      </c>
      <c r="B507" s="170">
        <v>7</v>
      </c>
      <c r="C507" s="171" t="s">
        <v>709</v>
      </c>
      <c r="D507" s="177">
        <v>7</v>
      </c>
      <c r="E507" s="272">
        <v>0</v>
      </c>
      <c r="F507" s="273">
        <v>0</v>
      </c>
      <c r="G507" s="234">
        <v>0</v>
      </c>
      <c r="H507" s="234">
        <v>0</v>
      </c>
      <c r="I507" s="174">
        <v>0</v>
      </c>
      <c r="J507" s="234">
        <v>0</v>
      </c>
      <c r="K507" s="234">
        <v>0</v>
      </c>
      <c r="L507" s="175">
        <v>0</v>
      </c>
      <c r="M507" s="235">
        <v>0</v>
      </c>
      <c r="N507" s="235">
        <v>0</v>
      </c>
      <c r="O507" s="235">
        <v>0</v>
      </c>
      <c r="P507" s="237" t="e">
        <v>#DIV/0!</v>
      </c>
      <c r="Q507" s="238">
        <v>0</v>
      </c>
      <c r="R507" s="239">
        <v>0</v>
      </c>
      <c r="S507" s="240">
        <v>0</v>
      </c>
      <c r="T507" s="239">
        <v>0</v>
      </c>
      <c r="U507" s="241">
        <v>0</v>
      </c>
      <c r="V507" s="242">
        <v>0</v>
      </c>
      <c r="W507" s="246">
        <v>0</v>
      </c>
      <c r="X507" s="246">
        <v>0</v>
      </c>
      <c r="Y507" s="246">
        <v>0</v>
      </c>
      <c r="Z507" s="246">
        <v>0</v>
      </c>
      <c r="AA507" s="246">
        <v>0</v>
      </c>
      <c r="AB507" s="246">
        <v>0</v>
      </c>
      <c r="AC507" s="247">
        <v>0</v>
      </c>
      <c r="AD507" s="247">
        <v>0</v>
      </c>
      <c r="AE507" s="248">
        <v>0</v>
      </c>
      <c r="AF507" s="234">
        <f>-SUMIF('[1]Alt Fac'!$A$18:$A$139,'REPORT 4 - PROPERTY TAX'!A507,'[1]Alt Fac'!$U$18:$U$139)</f>
        <v>0</v>
      </c>
      <c r="AG507" s="247">
        <f t="shared" si="25"/>
        <v>0</v>
      </c>
      <c r="AH507" s="234">
        <f t="shared" si="26"/>
        <v>0</v>
      </c>
      <c r="AI507" s="234">
        <f t="shared" si="24"/>
        <v>0</v>
      </c>
    </row>
    <row r="508" spans="1:35" hidden="1" x14ac:dyDescent="0.25">
      <c r="A508" s="170">
        <v>4192</v>
      </c>
      <c r="B508" s="170">
        <v>7</v>
      </c>
      <c r="C508" s="171" t="s">
        <v>257</v>
      </c>
      <c r="D508" s="177">
        <v>7</v>
      </c>
      <c r="E508" s="272">
        <v>0</v>
      </c>
      <c r="F508" s="273">
        <v>0</v>
      </c>
      <c r="G508" s="234">
        <v>0</v>
      </c>
      <c r="H508" s="234">
        <v>0</v>
      </c>
      <c r="I508" s="174">
        <v>0</v>
      </c>
      <c r="J508" s="234">
        <v>0</v>
      </c>
      <c r="K508" s="234">
        <v>0</v>
      </c>
      <c r="L508" s="175">
        <v>0</v>
      </c>
      <c r="M508" s="235">
        <v>0</v>
      </c>
      <c r="N508" s="235">
        <v>0</v>
      </c>
      <c r="O508" s="235">
        <v>0</v>
      </c>
      <c r="P508" s="237" t="e">
        <v>#DIV/0!</v>
      </c>
      <c r="Q508" s="238">
        <v>0</v>
      </c>
      <c r="R508" s="239">
        <v>0</v>
      </c>
      <c r="S508" s="240">
        <v>0</v>
      </c>
      <c r="T508" s="239">
        <v>0</v>
      </c>
      <c r="U508" s="241">
        <v>0</v>
      </c>
      <c r="V508" s="242">
        <v>0</v>
      </c>
      <c r="W508" s="246">
        <v>0</v>
      </c>
      <c r="X508" s="246">
        <v>0</v>
      </c>
      <c r="Y508" s="246">
        <v>0</v>
      </c>
      <c r="Z508" s="246">
        <v>0</v>
      </c>
      <c r="AA508" s="246">
        <v>0</v>
      </c>
      <c r="AB508" s="246">
        <v>0</v>
      </c>
      <c r="AC508" s="247">
        <v>0</v>
      </c>
      <c r="AD508" s="247">
        <v>0</v>
      </c>
      <c r="AE508" s="248">
        <v>0</v>
      </c>
      <c r="AF508" s="234">
        <f>-SUMIF('[1]Alt Fac'!$A$18:$A$139,'REPORT 4 - PROPERTY TAX'!A508,'[1]Alt Fac'!$U$18:$U$139)</f>
        <v>0</v>
      </c>
      <c r="AG508" s="247">
        <f t="shared" si="25"/>
        <v>0</v>
      </c>
      <c r="AH508" s="234">
        <f t="shared" si="26"/>
        <v>0</v>
      </c>
      <c r="AI508" s="234">
        <f t="shared" si="24"/>
        <v>0</v>
      </c>
    </row>
    <row r="509" spans="1:35" hidden="1" x14ac:dyDescent="0.25">
      <c r="A509" s="170">
        <v>4193</v>
      </c>
      <c r="B509" s="170">
        <v>7</v>
      </c>
      <c r="C509" s="171" t="s">
        <v>717</v>
      </c>
      <c r="D509" s="177">
        <v>7</v>
      </c>
      <c r="E509" s="272">
        <v>0</v>
      </c>
      <c r="F509" s="273">
        <v>0</v>
      </c>
      <c r="G509" s="234">
        <v>0</v>
      </c>
      <c r="H509" s="234">
        <v>0</v>
      </c>
      <c r="I509" s="174">
        <v>0</v>
      </c>
      <c r="J509" s="234">
        <v>0</v>
      </c>
      <c r="K509" s="234">
        <v>0</v>
      </c>
      <c r="L509" s="175">
        <v>0</v>
      </c>
      <c r="M509" s="235">
        <v>0</v>
      </c>
      <c r="N509" s="235">
        <v>0</v>
      </c>
      <c r="O509" s="235">
        <v>0</v>
      </c>
      <c r="P509" s="237" t="e">
        <v>#DIV/0!</v>
      </c>
      <c r="Q509" s="238">
        <v>0</v>
      </c>
      <c r="R509" s="239">
        <v>0</v>
      </c>
      <c r="S509" s="240">
        <v>0</v>
      </c>
      <c r="T509" s="239">
        <v>0</v>
      </c>
      <c r="U509" s="241">
        <v>0</v>
      </c>
      <c r="V509" s="242">
        <v>0</v>
      </c>
      <c r="W509" s="246">
        <v>0</v>
      </c>
      <c r="X509" s="246">
        <v>0</v>
      </c>
      <c r="Y509" s="246">
        <v>0</v>
      </c>
      <c r="Z509" s="246">
        <v>0</v>
      </c>
      <c r="AA509" s="246">
        <v>0</v>
      </c>
      <c r="AB509" s="246">
        <v>0</v>
      </c>
      <c r="AC509" s="247">
        <v>0</v>
      </c>
      <c r="AD509" s="247">
        <v>0</v>
      </c>
      <c r="AE509" s="248">
        <v>0</v>
      </c>
      <c r="AF509" s="234">
        <f>-SUMIF('[1]Alt Fac'!$A$18:$A$139,'REPORT 4 - PROPERTY TAX'!A509,'[1]Alt Fac'!$U$18:$U$139)</f>
        <v>0</v>
      </c>
      <c r="AG509" s="247">
        <f t="shared" si="25"/>
        <v>0</v>
      </c>
      <c r="AH509" s="234">
        <f t="shared" si="26"/>
        <v>0</v>
      </c>
      <c r="AI509" s="234">
        <f t="shared" si="24"/>
        <v>0</v>
      </c>
    </row>
    <row r="510" spans="1:35" hidden="1" x14ac:dyDescent="0.25">
      <c r="A510" s="170">
        <v>4194</v>
      </c>
      <c r="B510" s="170">
        <v>7</v>
      </c>
      <c r="C510" s="171" t="s">
        <v>341</v>
      </c>
      <c r="D510" s="177">
        <v>7</v>
      </c>
      <c r="E510" s="272">
        <v>0</v>
      </c>
      <c r="F510" s="273">
        <v>0</v>
      </c>
      <c r="G510" s="234">
        <v>0</v>
      </c>
      <c r="H510" s="234">
        <v>0</v>
      </c>
      <c r="I510" s="174">
        <v>0</v>
      </c>
      <c r="J510" s="234">
        <v>0</v>
      </c>
      <c r="K510" s="234">
        <v>0</v>
      </c>
      <c r="L510" s="175">
        <v>0</v>
      </c>
      <c r="M510" s="235">
        <v>0</v>
      </c>
      <c r="N510" s="235">
        <v>0</v>
      </c>
      <c r="O510" s="235">
        <v>0</v>
      </c>
      <c r="P510" s="237" t="e">
        <v>#DIV/0!</v>
      </c>
      <c r="Q510" s="238">
        <v>0</v>
      </c>
      <c r="R510" s="239">
        <v>0</v>
      </c>
      <c r="S510" s="240">
        <v>0</v>
      </c>
      <c r="T510" s="239">
        <v>0</v>
      </c>
      <c r="U510" s="241">
        <v>0</v>
      </c>
      <c r="V510" s="242">
        <v>0</v>
      </c>
      <c r="W510" s="246">
        <v>0</v>
      </c>
      <c r="X510" s="246">
        <v>0</v>
      </c>
      <c r="Y510" s="246">
        <v>0</v>
      </c>
      <c r="Z510" s="246">
        <v>0</v>
      </c>
      <c r="AA510" s="246">
        <v>0</v>
      </c>
      <c r="AB510" s="246">
        <v>0</v>
      </c>
      <c r="AC510" s="247">
        <v>0</v>
      </c>
      <c r="AD510" s="247">
        <v>0</v>
      </c>
      <c r="AE510" s="248">
        <v>0</v>
      </c>
      <c r="AF510" s="234">
        <f>-SUMIF('[1]Alt Fac'!$A$18:$A$139,'REPORT 4 - PROPERTY TAX'!A510,'[1]Alt Fac'!$U$18:$U$139)</f>
        <v>0</v>
      </c>
      <c r="AG510" s="247">
        <f t="shared" si="25"/>
        <v>0</v>
      </c>
      <c r="AH510" s="234">
        <f t="shared" si="26"/>
        <v>0</v>
      </c>
      <c r="AI510" s="234">
        <f t="shared" si="24"/>
        <v>0</v>
      </c>
    </row>
    <row r="511" spans="1:35" hidden="1" x14ac:dyDescent="0.25">
      <c r="A511" s="170">
        <v>4195</v>
      </c>
      <c r="B511" s="170">
        <v>7</v>
      </c>
      <c r="C511" s="171" t="s">
        <v>724</v>
      </c>
      <c r="D511" s="177">
        <v>7</v>
      </c>
      <c r="E511" s="272">
        <v>0</v>
      </c>
      <c r="F511" s="273">
        <v>0</v>
      </c>
      <c r="G511" s="234">
        <v>0</v>
      </c>
      <c r="H511" s="234">
        <v>0</v>
      </c>
      <c r="I511" s="174">
        <v>0</v>
      </c>
      <c r="J511" s="234">
        <v>0</v>
      </c>
      <c r="K511" s="234">
        <v>0</v>
      </c>
      <c r="L511" s="175">
        <v>0</v>
      </c>
      <c r="M511" s="235">
        <v>0</v>
      </c>
      <c r="N511" s="235">
        <v>0</v>
      </c>
      <c r="O511" s="235">
        <v>0</v>
      </c>
      <c r="P511" s="237" t="e">
        <v>#DIV/0!</v>
      </c>
      <c r="Q511" s="238">
        <v>0</v>
      </c>
      <c r="R511" s="239">
        <v>0</v>
      </c>
      <c r="S511" s="240">
        <v>0</v>
      </c>
      <c r="T511" s="239">
        <v>0</v>
      </c>
      <c r="U511" s="241">
        <v>0</v>
      </c>
      <c r="V511" s="242">
        <v>0</v>
      </c>
      <c r="W511" s="246">
        <v>0</v>
      </c>
      <c r="X511" s="246">
        <v>0</v>
      </c>
      <c r="Y511" s="246">
        <v>0</v>
      </c>
      <c r="Z511" s="246">
        <v>0</v>
      </c>
      <c r="AA511" s="246">
        <v>0</v>
      </c>
      <c r="AB511" s="246">
        <v>0</v>
      </c>
      <c r="AC511" s="247">
        <v>0</v>
      </c>
      <c r="AD511" s="247">
        <v>0</v>
      </c>
      <c r="AE511" s="248">
        <v>0</v>
      </c>
      <c r="AF511" s="234">
        <f>-SUMIF('[1]Alt Fac'!$A$18:$A$139,'REPORT 4 - PROPERTY TAX'!A511,'[1]Alt Fac'!$U$18:$U$139)</f>
        <v>0</v>
      </c>
      <c r="AG511" s="247">
        <f t="shared" si="25"/>
        <v>0</v>
      </c>
      <c r="AH511" s="234">
        <f t="shared" si="26"/>
        <v>0</v>
      </c>
      <c r="AI511" s="234">
        <f t="shared" si="24"/>
        <v>0</v>
      </c>
    </row>
    <row r="512" spans="1:35" hidden="1" x14ac:dyDescent="0.25">
      <c r="A512" s="170">
        <v>4198</v>
      </c>
      <c r="B512" s="170">
        <v>7</v>
      </c>
      <c r="C512" s="171" t="s">
        <v>413</v>
      </c>
      <c r="D512" s="177">
        <v>7</v>
      </c>
      <c r="E512" s="272">
        <v>0</v>
      </c>
      <c r="F512" s="273">
        <v>0</v>
      </c>
      <c r="G512" s="234">
        <v>0</v>
      </c>
      <c r="H512" s="234">
        <v>0</v>
      </c>
      <c r="I512" s="174">
        <v>0</v>
      </c>
      <c r="J512" s="234">
        <v>0</v>
      </c>
      <c r="K512" s="234">
        <v>0</v>
      </c>
      <c r="L512" s="175">
        <v>0</v>
      </c>
      <c r="M512" s="235">
        <v>0</v>
      </c>
      <c r="N512" s="235">
        <v>0</v>
      </c>
      <c r="O512" s="235">
        <v>0</v>
      </c>
      <c r="P512" s="237" t="e">
        <v>#DIV/0!</v>
      </c>
      <c r="Q512" s="238">
        <v>0</v>
      </c>
      <c r="R512" s="239">
        <v>0</v>
      </c>
      <c r="S512" s="240">
        <v>0</v>
      </c>
      <c r="T512" s="239">
        <v>0</v>
      </c>
      <c r="U512" s="241">
        <v>0</v>
      </c>
      <c r="V512" s="242">
        <v>0</v>
      </c>
      <c r="W512" s="246">
        <v>0</v>
      </c>
      <c r="X512" s="246">
        <v>0</v>
      </c>
      <c r="Y512" s="246">
        <v>0</v>
      </c>
      <c r="Z512" s="246">
        <v>0</v>
      </c>
      <c r="AA512" s="246">
        <v>0</v>
      </c>
      <c r="AB512" s="246">
        <v>0</v>
      </c>
      <c r="AC512" s="247">
        <v>0</v>
      </c>
      <c r="AD512" s="247">
        <v>0</v>
      </c>
      <c r="AE512" s="248">
        <v>0</v>
      </c>
      <c r="AF512" s="234">
        <f>-SUMIF('[1]Alt Fac'!$A$18:$A$139,'REPORT 4 - PROPERTY TAX'!A512,'[1]Alt Fac'!$U$18:$U$139)</f>
        <v>0</v>
      </c>
      <c r="AG512" s="247">
        <f t="shared" si="25"/>
        <v>0</v>
      </c>
      <c r="AH512" s="234">
        <f t="shared" si="26"/>
        <v>0</v>
      </c>
      <c r="AI512" s="234">
        <f t="shared" si="24"/>
        <v>0</v>
      </c>
    </row>
    <row r="513" spans="1:35" hidden="1" x14ac:dyDescent="0.25">
      <c r="A513" s="170">
        <v>4199</v>
      </c>
      <c r="B513" s="170">
        <v>7</v>
      </c>
      <c r="C513" s="171" t="s">
        <v>330</v>
      </c>
      <c r="D513" s="177">
        <v>7</v>
      </c>
      <c r="E513" s="272">
        <v>0</v>
      </c>
      <c r="F513" s="273">
        <v>0</v>
      </c>
      <c r="G513" s="234">
        <v>0</v>
      </c>
      <c r="H513" s="234">
        <v>0</v>
      </c>
      <c r="I513" s="174">
        <v>0</v>
      </c>
      <c r="J513" s="234">
        <v>0</v>
      </c>
      <c r="K513" s="234">
        <v>0</v>
      </c>
      <c r="L513" s="175">
        <v>0</v>
      </c>
      <c r="M513" s="235">
        <v>0</v>
      </c>
      <c r="N513" s="235">
        <v>0</v>
      </c>
      <c r="O513" s="235">
        <v>0</v>
      </c>
      <c r="P513" s="237" t="e">
        <v>#DIV/0!</v>
      </c>
      <c r="Q513" s="238">
        <v>0</v>
      </c>
      <c r="R513" s="239">
        <v>0</v>
      </c>
      <c r="S513" s="240">
        <v>0</v>
      </c>
      <c r="T513" s="239">
        <v>0</v>
      </c>
      <c r="U513" s="241">
        <v>0</v>
      </c>
      <c r="V513" s="242">
        <v>0</v>
      </c>
      <c r="W513" s="246">
        <v>0</v>
      </c>
      <c r="X513" s="246">
        <v>0</v>
      </c>
      <c r="Y513" s="246">
        <v>0</v>
      </c>
      <c r="Z513" s="246">
        <v>0</v>
      </c>
      <c r="AA513" s="246">
        <v>0</v>
      </c>
      <c r="AB513" s="246">
        <v>0</v>
      </c>
      <c r="AC513" s="247">
        <v>0</v>
      </c>
      <c r="AD513" s="247">
        <v>0</v>
      </c>
      <c r="AE513" s="248">
        <v>0</v>
      </c>
      <c r="AF513" s="234">
        <f>-SUMIF('[1]Alt Fac'!$A$18:$A$139,'REPORT 4 - PROPERTY TAX'!A513,'[1]Alt Fac'!$U$18:$U$139)</f>
        <v>0</v>
      </c>
      <c r="AG513" s="247">
        <f t="shared" si="25"/>
        <v>0</v>
      </c>
      <c r="AH513" s="234">
        <f t="shared" si="26"/>
        <v>0</v>
      </c>
      <c r="AI513" s="234">
        <f t="shared" si="24"/>
        <v>0</v>
      </c>
    </row>
    <row r="514" spans="1:35" hidden="1" x14ac:dyDescent="0.25">
      <c r="A514" s="170">
        <v>4200</v>
      </c>
      <c r="B514" s="170">
        <v>7</v>
      </c>
      <c r="C514" s="171" t="s">
        <v>726</v>
      </c>
      <c r="D514" s="177">
        <v>7</v>
      </c>
      <c r="E514" s="272">
        <v>0</v>
      </c>
      <c r="F514" s="273">
        <v>0</v>
      </c>
      <c r="G514" s="234">
        <v>0</v>
      </c>
      <c r="H514" s="234">
        <v>0</v>
      </c>
      <c r="I514" s="174">
        <v>0</v>
      </c>
      <c r="J514" s="234">
        <v>0</v>
      </c>
      <c r="K514" s="234">
        <v>0</v>
      </c>
      <c r="L514" s="175">
        <v>0</v>
      </c>
      <c r="M514" s="235">
        <v>0</v>
      </c>
      <c r="N514" s="235">
        <v>0</v>
      </c>
      <c r="O514" s="235">
        <v>0</v>
      </c>
      <c r="P514" s="237" t="e">
        <v>#DIV/0!</v>
      </c>
      <c r="Q514" s="238">
        <v>0</v>
      </c>
      <c r="R514" s="239">
        <v>0</v>
      </c>
      <c r="S514" s="240">
        <v>0</v>
      </c>
      <c r="T514" s="239">
        <v>0</v>
      </c>
      <c r="U514" s="241">
        <v>0</v>
      </c>
      <c r="V514" s="242">
        <v>0</v>
      </c>
      <c r="W514" s="246">
        <v>0</v>
      </c>
      <c r="X514" s="246">
        <v>0</v>
      </c>
      <c r="Y514" s="246">
        <v>0</v>
      </c>
      <c r="Z514" s="246">
        <v>0</v>
      </c>
      <c r="AA514" s="246">
        <v>0</v>
      </c>
      <c r="AB514" s="246">
        <v>0</v>
      </c>
      <c r="AC514" s="247">
        <v>0</v>
      </c>
      <c r="AD514" s="247">
        <v>0</v>
      </c>
      <c r="AE514" s="248">
        <v>0</v>
      </c>
      <c r="AF514" s="234">
        <f>-SUMIF('[1]Alt Fac'!$A$18:$A$139,'REPORT 4 - PROPERTY TAX'!A514,'[1]Alt Fac'!$U$18:$U$139)</f>
        <v>0</v>
      </c>
      <c r="AG514" s="247">
        <f t="shared" si="25"/>
        <v>0</v>
      </c>
      <c r="AH514" s="234">
        <f t="shared" si="26"/>
        <v>0</v>
      </c>
      <c r="AI514" s="234">
        <f t="shared" si="24"/>
        <v>0</v>
      </c>
    </row>
    <row r="515" spans="1:35" hidden="1" x14ac:dyDescent="0.25">
      <c r="A515" s="170">
        <v>4201</v>
      </c>
      <c r="B515" s="170">
        <v>7</v>
      </c>
      <c r="C515" s="171" t="s">
        <v>296</v>
      </c>
      <c r="D515" s="177">
        <v>7</v>
      </c>
      <c r="E515" s="272">
        <v>0</v>
      </c>
      <c r="F515" s="273">
        <v>0</v>
      </c>
      <c r="G515" s="234">
        <v>0</v>
      </c>
      <c r="H515" s="234">
        <v>0</v>
      </c>
      <c r="I515" s="174">
        <v>0</v>
      </c>
      <c r="J515" s="234">
        <v>0</v>
      </c>
      <c r="K515" s="234">
        <v>0</v>
      </c>
      <c r="L515" s="175">
        <v>0</v>
      </c>
      <c r="M515" s="235">
        <v>0</v>
      </c>
      <c r="N515" s="235">
        <v>0</v>
      </c>
      <c r="O515" s="235">
        <v>0</v>
      </c>
      <c r="P515" s="237" t="e">
        <v>#DIV/0!</v>
      </c>
      <c r="Q515" s="238">
        <v>0</v>
      </c>
      <c r="R515" s="239">
        <v>0</v>
      </c>
      <c r="S515" s="240">
        <v>0</v>
      </c>
      <c r="T515" s="239">
        <v>0</v>
      </c>
      <c r="U515" s="241">
        <v>0</v>
      </c>
      <c r="V515" s="242">
        <v>0</v>
      </c>
      <c r="W515" s="246">
        <v>0</v>
      </c>
      <c r="X515" s="246">
        <v>0</v>
      </c>
      <c r="Y515" s="246">
        <v>0</v>
      </c>
      <c r="Z515" s="246">
        <v>0</v>
      </c>
      <c r="AA515" s="246">
        <v>0</v>
      </c>
      <c r="AB515" s="246">
        <v>0</v>
      </c>
      <c r="AC515" s="247">
        <v>0</v>
      </c>
      <c r="AD515" s="247">
        <v>0</v>
      </c>
      <c r="AE515" s="248">
        <v>0</v>
      </c>
      <c r="AF515" s="234">
        <f>-SUMIF('[1]Alt Fac'!$A$18:$A$139,'REPORT 4 - PROPERTY TAX'!A515,'[1]Alt Fac'!$U$18:$U$139)</f>
        <v>0</v>
      </c>
      <c r="AG515" s="247">
        <f t="shared" si="25"/>
        <v>0</v>
      </c>
      <c r="AH515" s="234">
        <f t="shared" si="26"/>
        <v>0</v>
      </c>
      <c r="AI515" s="234">
        <f t="shared" si="24"/>
        <v>0</v>
      </c>
    </row>
    <row r="516" spans="1:35" hidden="1" x14ac:dyDescent="0.25">
      <c r="A516" s="170">
        <v>4202</v>
      </c>
      <c r="B516" s="170">
        <v>7</v>
      </c>
      <c r="C516" s="171" t="s">
        <v>527</v>
      </c>
      <c r="D516" s="177">
        <v>7</v>
      </c>
      <c r="E516" s="272">
        <v>0</v>
      </c>
      <c r="F516" s="273">
        <v>0</v>
      </c>
      <c r="G516" s="234">
        <v>0</v>
      </c>
      <c r="H516" s="234">
        <v>0</v>
      </c>
      <c r="I516" s="174">
        <v>0</v>
      </c>
      <c r="J516" s="234">
        <v>0</v>
      </c>
      <c r="K516" s="234">
        <v>0</v>
      </c>
      <c r="L516" s="175">
        <v>0</v>
      </c>
      <c r="M516" s="235">
        <v>0</v>
      </c>
      <c r="N516" s="235">
        <v>0</v>
      </c>
      <c r="O516" s="235">
        <v>0</v>
      </c>
      <c r="P516" s="237" t="e">
        <v>#DIV/0!</v>
      </c>
      <c r="Q516" s="238">
        <v>0</v>
      </c>
      <c r="R516" s="239">
        <v>0</v>
      </c>
      <c r="S516" s="240">
        <v>0</v>
      </c>
      <c r="T516" s="239">
        <v>0</v>
      </c>
      <c r="U516" s="241">
        <v>0</v>
      </c>
      <c r="V516" s="242">
        <v>0</v>
      </c>
      <c r="W516" s="246">
        <v>0</v>
      </c>
      <c r="X516" s="246">
        <v>0</v>
      </c>
      <c r="Y516" s="246">
        <v>0</v>
      </c>
      <c r="Z516" s="246">
        <v>0</v>
      </c>
      <c r="AA516" s="246">
        <v>0</v>
      </c>
      <c r="AB516" s="246">
        <v>0</v>
      </c>
      <c r="AC516" s="247">
        <v>0</v>
      </c>
      <c r="AD516" s="247">
        <v>0</v>
      </c>
      <c r="AE516" s="248">
        <v>0</v>
      </c>
      <c r="AF516" s="234">
        <f>-SUMIF('[1]Alt Fac'!$A$18:$A$139,'REPORT 4 - PROPERTY TAX'!A516,'[1]Alt Fac'!$U$18:$U$139)</f>
        <v>0</v>
      </c>
      <c r="AG516" s="247">
        <f t="shared" si="25"/>
        <v>0</v>
      </c>
      <c r="AH516" s="234">
        <f t="shared" si="26"/>
        <v>0</v>
      </c>
      <c r="AI516" s="234">
        <f t="shared" si="24"/>
        <v>0</v>
      </c>
    </row>
    <row r="517" spans="1:35" hidden="1" x14ac:dyDescent="0.25">
      <c r="A517" s="170">
        <v>4203</v>
      </c>
      <c r="B517" s="170">
        <v>7</v>
      </c>
      <c r="C517" s="171" t="s">
        <v>719</v>
      </c>
      <c r="D517" s="177">
        <v>7</v>
      </c>
      <c r="E517" s="272">
        <v>0</v>
      </c>
      <c r="F517" s="273">
        <v>0</v>
      </c>
      <c r="G517" s="234">
        <v>0</v>
      </c>
      <c r="H517" s="234">
        <v>0</v>
      </c>
      <c r="I517" s="174">
        <v>0</v>
      </c>
      <c r="J517" s="234">
        <v>0</v>
      </c>
      <c r="K517" s="234">
        <v>0</v>
      </c>
      <c r="L517" s="175">
        <v>0</v>
      </c>
      <c r="M517" s="235">
        <v>0</v>
      </c>
      <c r="N517" s="235">
        <v>0</v>
      </c>
      <c r="O517" s="235">
        <v>0</v>
      </c>
      <c r="P517" s="237" t="e">
        <v>#DIV/0!</v>
      </c>
      <c r="Q517" s="238">
        <v>0</v>
      </c>
      <c r="R517" s="239">
        <v>0</v>
      </c>
      <c r="S517" s="240">
        <v>0</v>
      </c>
      <c r="T517" s="239">
        <v>0</v>
      </c>
      <c r="U517" s="241">
        <v>0</v>
      </c>
      <c r="V517" s="242">
        <v>0</v>
      </c>
      <c r="W517" s="246">
        <v>0</v>
      </c>
      <c r="X517" s="246">
        <v>0</v>
      </c>
      <c r="Y517" s="246">
        <v>0</v>
      </c>
      <c r="Z517" s="246">
        <v>0</v>
      </c>
      <c r="AA517" s="246">
        <v>0</v>
      </c>
      <c r="AB517" s="246">
        <v>0</v>
      </c>
      <c r="AC517" s="247">
        <v>0</v>
      </c>
      <c r="AD517" s="247">
        <v>0</v>
      </c>
      <c r="AE517" s="248">
        <v>0</v>
      </c>
      <c r="AF517" s="234">
        <f>-SUMIF('[1]Alt Fac'!$A$18:$A$139,'REPORT 4 - PROPERTY TAX'!A517,'[1]Alt Fac'!$U$18:$U$139)</f>
        <v>0</v>
      </c>
      <c r="AG517" s="247">
        <f t="shared" si="25"/>
        <v>0</v>
      </c>
      <c r="AH517" s="234">
        <f t="shared" si="26"/>
        <v>0</v>
      </c>
      <c r="AI517" s="234">
        <f t="shared" si="24"/>
        <v>0</v>
      </c>
    </row>
    <row r="518" spans="1:35" hidden="1" x14ac:dyDescent="0.25">
      <c r="A518" s="170">
        <v>4204</v>
      </c>
      <c r="B518" s="170">
        <v>7</v>
      </c>
      <c r="C518" s="171" t="s">
        <v>720</v>
      </c>
      <c r="D518" s="177">
        <v>7</v>
      </c>
      <c r="E518" s="272">
        <v>0</v>
      </c>
      <c r="F518" s="273">
        <v>0</v>
      </c>
      <c r="G518" s="234">
        <v>0</v>
      </c>
      <c r="H518" s="234">
        <v>0</v>
      </c>
      <c r="I518" s="174">
        <v>0</v>
      </c>
      <c r="J518" s="234">
        <v>0</v>
      </c>
      <c r="K518" s="234">
        <v>0</v>
      </c>
      <c r="L518" s="175">
        <v>0</v>
      </c>
      <c r="M518" s="235">
        <v>0</v>
      </c>
      <c r="N518" s="235">
        <v>0</v>
      </c>
      <c r="O518" s="235">
        <v>0</v>
      </c>
      <c r="P518" s="237" t="e">
        <v>#DIV/0!</v>
      </c>
      <c r="Q518" s="238">
        <v>0</v>
      </c>
      <c r="R518" s="239">
        <v>0</v>
      </c>
      <c r="S518" s="240">
        <v>0</v>
      </c>
      <c r="T518" s="239">
        <v>0</v>
      </c>
      <c r="U518" s="241">
        <v>0</v>
      </c>
      <c r="V518" s="242">
        <v>0</v>
      </c>
      <c r="W518" s="246">
        <v>0</v>
      </c>
      <c r="X518" s="246">
        <v>0</v>
      </c>
      <c r="Y518" s="246">
        <v>0</v>
      </c>
      <c r="Z518" s="246">
        <v>0</v>
      </c>
      <c r="AA518" s="246">
        <v>0</v>
      </c>
      <c r="AB518" s="246">
        <v>0</v>
      </c>
      <c r="AC518" s="247">
        <v>0</v>
      </c>
      <c r="AD518" s="247">
        <v>0</v>
      </c>
      <c r="AE518" s="248">
        <v>0</v>
      </c>
      <c r="AF518" s="234">
        <f>-SUMIF('[1]Alt Fac'!$A$18:$A$139,'REPORT 4 - PROPERTY TAX'!A518,'[1]Alt Fac'!$U$18:$U$139)</f>
        <v>0</v>
      </c>
      <c r="AG518" s="247">
        <f t="shared" si="25"/>
        <v>0</v>
      </c>
      <c r="AH518" s="234">
        <f t="shared" si="26"/>
        <v>0</v>
      </c>
      <c r="AI518" s="234">
        <f t="shared" si="24"/>
        <v>0</v>
      </c>
    </row>
    <row r="519" spans="1:35" hidden="1" x14ac:dyDescent="0.25">
      <c r="A519" s="170">
        <v>4205</v>
      </c>
      <c r="B519" s="170">
        <v>7</v>
      </c>
      <c r="C519" s="171" t="s">
        <v>459</v>
      </c>
      <c r="D519" s="177">
        <v>7</v>
      </c>
      <c r="E519" s="272">
        <v>0</v>
      </c>
      <c r="F519" s="273">
        <v>0</v>
      </c>
      <c r="G519" s="234">
        <v>0</v>
      </c>
      <c r="H519" s="234">
        <v>0</v>
      </c>
      <c r="I519" s="174">
        <v>0</v>
      </c>
      <c r="J519" s="234">
        <v>0</v>
      </c>
      <c r="K519" s="234">
        <v>0</v>
      </c>
      <c r="L519" s="175">
        <v>0</v>
      </c>
      <c r="M519" s="235">
        <v>0</v>
      </c>
      <c r="N519" s="235">
        <v>0</v>
      </c>
      <c r="O519" s="235">
        <v>0</v>
      </c>
      <c r="P519" s="237" t="e">
        <v>#DIV/0!</v>
      </c>
      <c r="Q519" s="238">
        <v>0</v>
      </c>
      <c r="R519" s="239">
        <v>0</v>
      </c>
      <c r="S519" s="240">
        <v>0</v>
      </c>
      <c r="T519" s="239">
        <v>0</v>
      </c>
      <c r="U519" s="241">
        <v>0</v>
      </c>
      <c r="V519" s="242">
        <v>0</v>
      </c>
      <c r="W519" s="246">
        <v>0</v>
      </c>
      <c r="X519" s="246">
        <v>0</v>
      </c>
      <c r="Y519" s="246">
        <v>0</v>
      </c>
      <c r="Z519" s="246">
        <v>0</v>
      </c>
      <c r="AA519" s="246">
        <v>0</v>
      </c>
      <c r="AB519" s="246">
        <v>0</v>
      </c>
      <c r="AC519" s="247">
        <v>0</v>
      </c>
      <c r="AD519" s="247">
        <v>0</v>
      </c>
      <c r="AE519" s="248">
        <v>0</v>
      </c>
      <c r="AF519" s="234">
        <f>-SUMIF('[1]Alt Fac'!$A$18:$A$139,'REPORT 4 - PROPERTY TAX'!A519,'[1]Alt Fac'!$U$18:$U$139)</f>
        <v>0</v>
      </c>
      <c r="AG519" s="247">
        <f t="shared" si="25"/>
        <v>0</v>
      </c>
      <c r="AH519" s="234">
        <f t="shared" si="26"/>
        <v>0</v>
      </c>
      <c r="AI519" s="234">
        <f t="shared" si="24"/>
        <v>0</v>
      </c>
    </row>
    <row r="520" spans="1:35" hidden="1" x14ac:dyDescent="0.25">
      <c r="A520" s="170">
        <v>4208</v>
      </c>
      <c r="B520" s="170">
        <v>7</v>
      </c>
      <c r="C520" s="171" t="s">
        <v>465</v>
      </c>
      <c r="D520" s="177">
        <v>7</v>
      </c>
      <c r="E520" s="272">
        <v>0</v>
      </c>
      <c r="F520" s="273">
        <v>0</v>
      </c>
      <c r="G520" s="234">
        <v>0</v>
      </c>
      <c r="H520" s="234">
        <v>0</v>
      </c>
      <c r="I520" s="174">
        <v>0</v>
      </c>
      <c r="J520" s="234">
        <v>0</v>
      </c>
      <c r="K520" s="234">
        <v>0</v>
      </c>
      <c r="L520" s="175">
        <v>0</v>
      </c>
      <c r="M520" s="235">
        <v>0</v>
      </c>
      <c r="N520" s="235">
        <v>0</v>
      </c>
      <c r="O520" s="235">
        <v>0</v>
      </c>
      <c r="P520" s="237" t="e">
        <v>#DIV/0!</v>
      </c>
      <c r="Q520" s="238">
        <v>0</v>
      </c>
      <c r="R520" s="239">
        <v>0</v>
      </c>
      <c r="S520" s="240">
        <v>0</v>
      </c>
      <c r="T520" s="239">
        <v>0</v>
      </c>
      <c r="U520" s="241">
        <v>0</v>
      </c>
      <c r="V520" s="242">
        <v>0</v>
      </c>
      <c r="W520" s="246">
        <v>0</v>
      </c>
      <c r="X520" s="246">
        <v>0</v>
      </c>
      <c r="Y520" s="246">
        <v>0</v>
      </c>
      <c r="Z520" s="246">
        <v>0</v>
      </c>
      <c r="AA520" s="246">
        <v>0</v>
      </c>
      <c r="AB520" s="246">
        <v>0</v>
      </c>
      <c r="AC520" s="247">
        <v>0</v>
      </c>
      <c r="AD520" s="247">
        <v>0</v>
      </c>
      <c r="AE520" s="247">
        <v>0</v>
      </c>
      <c r="AF520" s="234">
        <f>-SUMIF('[1]Alt Fac'!$A$18:$A$139,'REPORT 4 - PROPERTY TAX'!A520,'[1]Alt Fac'!$U$18:$U$139)</f>
        <v>0</v>
      </c>
      <c r="AG520" s="247">
        <f t="shared" si="25"/>
        <v>0</v>
      </c>
      <c r="AH520" s="234">
        <f t="shared" si="26"/>
        <v>0</v>
      </c>
      <c r="AI520" s="234">
        <f t="shared" si="24"/>
        <v>0</v>
      </c>
    </row>
    <row r="521" spans="1:35" hidden="1" x14ac:dyDescent="0.25">
      <c r="A521" s="170">
        <v>4209</v>
      </c>
      <c r="B521" s="170">
        <v>7</v>
      </c>
      <c r="C521" s="171" t="s">
        <v>304</v>
      </c>
      <c r="D521" s="177">
        <v>7</v>
      </c>
      <c r="E521" s="272">
        <v>0</v>
      </c>
      <c r="F521" s="273">
        <v>0</v>
      </c>
      <c r="G521" s="234">
        <v>0</v>
      </c>
      <c r="H521" s="234">
        <v>0</v>
      </c>
      <c r="I521" s="174">
        <v>0</v>
      </c>
      <c r="J521" s="234">
        <v>0</v>
      </c>
      <c r="K521" s="234">
        <v>0</v>
      </c>
      <c r="L521" s="175">
        <v>0</v>
      </c>
      <c r="M521" s="235">
        <v>0</v>
      </c>
      <c r="N521" s="235">
        <v>0</v>
      </c>
      <c r="O521" s="235">
        <v>0</v>
      </c>
      <c r="P521" s="237" t="e">
        <v>#DIV/0!</v>
      </c>
      <c r="Q521" s="238">
        <v>0</v>
      </c>
      <c r="R521" s="239">
        <v>0</v>
      </c>
      <c r="S521" s="240">
        <v>0</v>
      </c>
      <c r="T521" s="239">
        <v>0</v>
      </c>
      <c r="U521" s="241">
        <v>0</v>
      </c>
      <c r="V521" s="242">
        <v>0</v>
      </c>
      <c r="W521" s="246">
        <v>0</v>
      </c>
      <c r="X521" s="246">
        <v>0</v>
      </c>
      <c r="Y521" s="246">
        <v>0</v>
      </c>
      <c r="Z521" s="246">
        <v>0</v>
      </c>
      <c r="AA521" s="246">
        <v>0</v>
      </c>
      <c r="AB521" s="246">
        <v>0</v>
      </c>
      <c r="AC521" s="247">
        <v>0</v>
      </c>
      <c r="AD521" s="247">
        <v>0</v>
      </c>
      <c r="AE521" s="247">
        <v>0</v>
      </c>
      <c r="AF521" s="234">
        <f>-SUMIF('[1]Alt Fac'!$A$18:$A$139,'REPORT 4 - PROPERTY TAX'!A521,'[1]Alt Fac'!$U$18:$U$139)</f>
        <v>0</v>
      </c>
      <c r="AG521" s="247">
        <f t="shared" si="25"/>
        <v>0</v>
      </c>
      <c r="AH521" s="234">
        <f t="shared" si="26"/>
        <v>0</v>
      </c>
      <c r="AI521" s="234">
        <f t="shared" si="24"/>
        <v>0</v>
      </c>
    </row>
    <row r="522" spans="1:35" hidden="1" x14ac:dyDescent="0.25">
      <c r="A522" s="170">
        <v>6666</v>
      </c>
      <c r="B522" s="170">
        <v>8</v>
      </c>
      <c r="C522" s="171" t="s">
        <v>727</v>
      </c>
      <c r="D522" s="177">
        <v>8</v>
      </c>
      <c r="E522" s="272">
        <v>0</v>
      </c>
      <c r="F522" s="273">
        <v>0</v>
      </c>
      <c r="G522" s="234">
        <v>0</v>
      </c>
      <c r="H522" s="234">
        <v>659887.43999999831</v>
      </c>
      <c r="I522" s="174">
        <v>659887.43999999831</v>
      </c>
      <c r="J522" s="234">
        <v>0</v>
      </c>
      <c r="K522" s="234">
        <v>-63144.780000000494</v>
      </c>
      <c r="L522" s="175">
        <v>-63144.780000000494</v>
      </c>
      <c r="M522" s="235">
        <v>0</v>
      </c>
      <c r="N522" s="235">
        <v>-723032.21999999881</v>
      </c>
      <c r="O522" s="235">
        <v>-723032.21999999881</v>
      </c>
      <c r="P522" s="237">
        <v>-1.0956902286244463</v>
      </c>
      <c r="Q522" s="238">
        <v>0</v>
      </c>
      <c r="R522" s="239">
        <v>0</v>
      </c>
      <c r="S522" s="240">
        <v>0</v>
      </c>
      <c r="T522" s="239">
        <v>0</v>
      </c>
      <c r="U522" s="241">
        <v>0</v>
      </c>
      <c r="V522" s="242">
        <v>0</v>
      </c>
      <c r="W522" s="246">
        <v>0</v>
      </c>
      <c r="X522" s="246">
        <v>0</v>
      </c>
      <c r="Y522" s="246">
        <v>0</v>
      </c>
      <c r="Z522" s="246">
        <v>0</v>
      </c>
      <c r="AA522" s="246">
        <v>0</v>
      </c>
      <c r="AB522" s="246">
        <v>0</v>
      </c>
      <c r="AC522" s="247">
        <v>0</v>
      </c>
      <c r="AD522" s="247">
        <v>0</v>
      </c>
      <c r="AE522" s="247">
        <v>0</v>
      </c>
      <c r="AF522" s="234">
        <f>-SUMIF('[1]Alt Fac'!$A$18:$A$139,'REPORT 4 - PROPERTY TAX'!A522,'[1]Alt Fac'!$U$18:$U$139)</f>
        <v>0</v>
      </c>
      <c r="AG522" s="247">
        <f t="shared" si="25"/>
        <v>0</v>
      </c>
      <c r="AH522" s="234">
        <f t="shared" si="26"/>
        <v>0</v>
      </c>
      <c r="AI522" s="234">
        <f t="shared" si="24"/>
        <v>0</v>
      </c>
    </row>
    <row r="523" spans="1:35" hidden="1" x14ac:dyDescent="0.25">
      <c r="A523" s="170">
        <v>7777</v>
      </c>
      <c r="B523" s="170">
        <v>9</v>
      </c>
      <c r="C523" s="171" t="s">
        <v>728</v>
      </c>
      <c r="D523" s="177">
        <v>7</v>
      </c>
      <c r="E523" s="272">
        <v>0</v>
      </c>
      <c r="F523" s="273">
        <v>0</v>
      </c>
      <c r="G523" s="234">
        <v>0</v>
      </c>
      <c r="H523" s="234">
        <v>0</v>
      </c>
      <c r="I523" s="174">
        <v>0</v>
      </c>
      <c r="J523" s="234">
        <v>0</v>
      </c>
      <c r="K523" s="234">
        <v>0</v>
      </c>
      <c r="L523" s="175">
        <v>0</v>
      </c>
      <c r="M523" s="235">
        <v>0</v>
      </c>
      <c r="N523" s="235">
        <v>0</v>
      </c>
      <c r="O523" s="235">
        <v>0</v>
      </c>
      <c r="P523" s="237" t="e">
        <v>#DIV/0!</v>
      </c>
      <c r="Q523" s="238">
        <v>0</v>
      </c>
      <c r="R523" s="239">
        <v>0</v>
      </c>
      <c r="S523" s="240">
        <v>0</v>
      </c>
      <c r="T523" s="239">
        <v>0</v>
      </c>
      <c r="U523" s="241">
        <v>0</v>
      </c>
      <c r="V523" s="242">
        <v>0</v>
      </c>
      <c r="W523" s="246">
        <v>0</v>
      </c>
      <c r="X523" s="246">
        <v>0</v>
      </c>
      <c r="Y523" s="246">
        <v>0</v>
      </c>
      <c r="Z523" s="246">
        <v>0</v>
      </c>
      <c r="AA523" s="246">
        <v>0</v>
      </c>
      <c r="AB523" s="246">
        <v>0</v>
      </c>
      <c r="AC523" s="247">
        <v>0</v>
      </c>
      <c r="AD523" s="247">
        <v>0</v>
      </c>
      <c r="AE523" s="247">
        <v>0</v>
      </c>
      <c r="AF523" s="234">
        <f>-SUMIF('[1]Alt Fac'!$A$18:$A$139,'REPORT 4 - PROPERTY TAX'!A523,'[1]Alt Fac'!$U$18:$U$139)</f>
        <v>0</v>
      </c>
      <c r="AG523" s="247">
        <f t="shared" si="25"/>
        <v>0</v>
      </c>
      <c r="AH523" s="234">
        <f t="shared" si="26"/>
        <v>0</v>
      </c>
      <c r="AI523" s="234">
        <f t="shared" si="24"/>
        <v>0</v>
      </c>
    </row>
    <row r="524" spans="1:35" hidden="1" x14ac:dyDescent="0.25">
      <c r="A524" s="170">
        <v>8888</v>
      </c>
      <c r="B524" s="170">
        <v>8</v>
      </c>
      <c r="C524" s="171" t="s">
        <v>729</v>
      </c>
      <c r="D524" s="177">
        <v>8</v>
      </c>
      <c r="E524" s="272">
        <v>0</v>
      </c>
      <c r="F524" s="273">
        <v>0</v>
      </c>
      <c r="G524" s="234">
        <v>0</v>
      </c>
      <c r="H524" s="234">
        <v>0</v>
      </c>
      <c r="I524" s="174">
        <v>0</v>
      </c>
      <c r="J524" s="234">
        <v>0</v>
      </c>
      <c r="K524" s="234">
        <v>0</v>
      </c>
      <c r="L524" s="175">
        <v>0</v>
      </c>
      <c r="M524" s="235">
        <v>0</v>
      </c>
      <c r="N524" s="235">
        <v>0</v>
      </c>
      <c r="O524" s="235">
        <v>0</v>
      </c>
      <c r="P524" s="237" t="e">
        <v>#DIV/0!</v>
      </c>
      <c r="Q524" s="238">
        <v>0</v>
      </c>
      <c r="R524" s="239">
        <v>0</v>
      </c>
      <c r="S524" s="240">
        <v>0</v>
      </c>
      <c r="T524" s="239">
        <v>0</v>
      </c>
      <c r="U524" s="241">
        <v>0</v>
      </c>
      <c r="V524" s="242">
        <v>0</v>
      </c>
      <c r="W524" s="246">
        <v>0</v>
      </c>
      <c r="X524" s="246">
        <v>0</v>
      </c>
      <c r="Y524" s="246">
        <v>0</v>
      </c>
      <c r="Z524" s="246">
        <v>0</v>
      </c>
      <c r="AA524" s="246">
        <v>0</v>
      </c>
      <c r="AB524" s="246">
        <v>0</v>
      </c>
      <c r="AC524" s="247">
        <v>0</v>
      </c>
      <c r="AD524" s="247">
        <v>0</v>
      </c>
      <c r="AE524" s="247">
        <v>0</v>
      </c>
      <c r="AF524" s="234">
        <f>-SUMIF('[1]Alt Fac'!$A$18:$A$139,'REPORT 4 - PROPERTY TAX'!A524,'[1]Alt Fac'!$U$18:$U$139)</f>
        <v>0</v>
      </c>
      <c r="AG524" s="247">
        <f t="shared" si="25"/>
        <v>0</v>
      </c>
      <c r="AH524" s="234">
        <f t="shared" si="26"/>
        <v>0</v>
      </c>
      <c r="AI524" s="234">
        <f t="shared" si="24"/>
        <v>0</v>
      </c>
    </row>
    <row r="525" spans="1:35" hidden="1" x14ac:dyDescent="0.25">
      <c r="A525" s="170">
        <v>9999</v>
      </c>
      <c r="B525" s="170">
        <v>0</v>
      </c>
      <c r="C525" s="171" t="s">
        <v>764</v>
      </c>
      <c r="D525" s="177">
        <v>0</v>
      </c>
      <c r="E525" s="272">
        <v>0</v>
      </c>
      <c r="F525" s="273">
        <v>0</v>
      </c>
      <c r="G525" s="234">
        <v>861493300.92318451</v>
      </c>
      <c r="H525" s="234">
        <v>1112304470.6065619</v>
      </c>
      <c r="I525" s="174">
        <v>1973797771.5297446</v>
      </c>
      <c r="J525" s="235">
        <v>861493300.92318511</v>
      </c>
      <c r="K525" s="235">
        <v>1112304470.7446809</v>
      </c>
      <c r="L525" s="175">
        <v>1973797771.6678665</v>
      </c>
      <c r="M525" s="272"/>
      <c r="N525" s="272"/>
      <c r="O525" s="272"/>
      <c r="P525" s="237">
        <v>0</v>
      </c>
      <c r="Q525" s="238" t="e">
        <v>#DIV/0!</v>
      </c>
      <c r="R525" s="239" t="e">
        <v>#DIV/0!</v>
      </c>
      <c r="S525" s="240" t="e">
        <v>#DIV/0!</v>
      </c>
      <c r="T525" s="239" t="e">
        <v>#DIV/0!</v>
      </c>
      <c r="U525" s="241" t="e">
        <v>#DIV/0!</v>
      </c>
      <c r="V525" s="242" t="e">
        <v>#DIV/0!</v>
      </c>
      <c r="W525" s="246" t="e">
        <v>#DIV/0!</v>
      </c>
      <c r="X525" s="246" t="e">
        <v>#DIV/0!</v>
      </c>
      <c r="Y525" s="246" t="e">
        <v>#DIV/0!</v>
      </c>
      <c r="Z525" s="246" t="e">
        <v>#DIV/0!</v>
      </c>
      <c r="AA525" s="246" t="e">
        <v>#DIV/0!</v>
      </c>
      <c r="AB525" s="246" t="e">
        <v>#DIV/0!</v>
      </c>
      <c r="AC525" s="247" t="e">
        <v>#DIV/0!</v>
      </c>
      <c r="AD525" s="247" t="e">
        <v>#DIV/0!</v>
      </c>
      <c r="AE525" s="247" t="e">
        <v>#DIV/0!</v>
      </c>
      <c r="AF525" s="234">
        <f>-SUMIF('[1]Alt Fac'!$A$18:$A$139,'REPORT 4 - PROPERTY TAX'!A525,'[1]Alt Fac'!$U$18:$U$139)</f>
        <v>0</v>
      </c>
      <c r="AG525" s="247" t="e">
        <f t="shared" si="25"/>
        <v>#DIV/0!</v>
      </c>
      <c r="AH525" s="234" t="e">
        <f t="shared" si="26"/>
        <v>#DIV/0!</v>
      </c>
      <c r="AI525" s="234" t="e">
        <f t="shared" si="24"/>
        <v>#DIV/0!</v>
      </c>
    </row>
    <row r="526" spans="1:35" hidden="1" x14ac:dyDescent="0.25">
      <c r="A526" s="170"/>
      <c r="B526" s="170"/>
      <c r="C526" s="171"/>
      <c r="D526" s="170"/>
      <c r="E526" s="172"/>
      <c r="F526" s="173"/>
      <c r="G526" s="172"/>
      <c r="H526" s="172"/>
      <c r="I526" s="173"/>
      <c r="J526" s="170"/>
      <c r="K526" s="170"/>
      <c r="L526" s="171"/>
      <c r="M526" s="170"/>
      <c r="N526" s="170"/>
      <c r="O526" s="170"/>
      <c r="P526" s="171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  <c r="AE526" s="172"/>
      <c r="AF526" s="170"/>
      <c r="AG526" s="170"/>
      <c r="AH526" s="170"/>
      <c r="AI526" s="170"/>
    </row>
    <row r="527" spans="1:35" x14ac:dyDescent="0.25">
      <c r="A527" s="170"/>
      <c r="B527" s="170"/>
      <c r="C527" s="171"/>
      <c r="D527" s="170"/>
      <c r="E527" s="172"/>
      <c r="F527" s="173"/>
      <c r="G527" s="172"/>
      <c r="H527" s="172"/>
      <c r="I527" s="173"/>
      <c r="J527" s="170"/>
      <c r="K527" s="170"/>
      <c r="L527" s="171"/>
      <c r="M527" s="170"/>
      <c r="N527" s="170"/>
      <c r="O527" s="170"/>
      <c r="P527" s="171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  <c r="AE527" s="172"/>
      <c r="AF527" s="170"/>
      <c r="AG527" s="170"/>
      <c r="AH527" s="170"/>
      <c r="AI527" s="170"/>
    </row>
  </sheetData>
  <mergeCells count="13">
    <mergeCell ref="W22:AE22"/>
    <mergeCell ref="Q23:R23"/>
    <mergeCell ref="S23:T23"/>
    <mergeCell ref="U23:V23"/>
    <mergeCell ref="W23:Y23"/>
    <mergeCell ref="Z23:AB23"/>
    <mergeCell ref="AC23:AE23"/>
    <mergeCell ref="A18:B18"/>
    <mergeCell ref="E22:F22"/>
    <mergeCell ref="G22:I22"/>
    <mergeCell ref="J22:L22"/>
    <mergeCell ref="M22:P22"/>
    <mergeCell ref="Q22:V22"/>
  </mergeCells>
  <printOptions gridLines="1"/>
  <pageMargins left="0.25" right="0.25" top="0.5" bottom="0.5" header="0.3" footer="0.3"/>
  <pageSetup scale="78" fitToHeight="0" orientation="landscape" r:id="rId1"/>
  <headerFooter>
    <oddHeader xml:space="preserve">&amp;LMDE / School Finance Division&amp;C&amp;"-,Bold"&amp;12REPORT # 4:  PROPERTY TAX LEVIES; CURRENT LAW VS WORKING GROUP RECOMMENDATION&amp;R12/10/2012
</oddHeader>
    <oddFooter>&amp;R&amp;P of &amp;N</oddFooter>
  </headerFooter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27"/>
  <sheetViews>
    <sheetView zoomScale="75" zoomScaleNormal="75" workbookViewId="0">
      <selection activeCell="T37" sqref="T37"/>
    </sheetView>
  </sheetViews>
  <sheetFormatPr defaultRowHeight="15" x14ac:dyDescent="0.25"/>
  <cols>
    <col min="1" max="1" width="6.7109375" style="172" customWidth="1"/>
    <col min="2" max="2" width="3.7109375" style="172" hidden="1" customWidth="1"/>
    <col min="3" max="3" width="19.140625" style="172" customWidth="1"/>
    <col min="4" max="4" width="6.7109375" style="172" hidden="1" customWidth="1"/>
    <col min="5" max="5" width="9.140625" style="172" customWidth="1"/>
    <col min="6" max="12" width="14.7109375" style="172" hidden="1" customWidth="1"/>
    <col min="13" max="13" width="13.85546875" style="172" hidden="1" customWidth="1"/>
    <col min="14" max="14" width="16.85546875" style="172" hidden="1" customWidth="1"/>
    <col min="15" max="15" width="9.140625" style="19" hidden="1" customWidth="1"/>
    <col min="16" max="16" width="8.85546875" style="172" customWidth="1"/>
    <col min="17" max="17" width="9.42578125" style="172" customWidth="1"/>
    <col min="18" max="18" width="9.7109375" style="172" customWidth="1"/>
    <col min="19" max="19" width="10" style="172" customWidth="1"/>
    <col min="20" max="20" width="10.7109375" style="172" customWidth="1"/>
    <col min="21" max="21" width="8.7109375" style="172" customWidth="1"/>
    <col min="22" max="22" width="11.42578125" style="172" customWidth="1"/>
    <col min="23" max="23" width="10.42578125" style="172" customWidth="1"/>
    <col min="24" max="24" width="11.140625" style="172" customWidth="1"/>
    <col min="25" max="25" width="10.28515625" style="172" customWidth="1"/>
    <col min="26" max="26" width="10.85546875" style="172" customWidth="1"/>
    <col min="27" max="16384" width="9.140625" style="172"/>
  </cols>
  <sheetData>
    <row r="1" spans="1:26" x14ac:dyDescent="0.25">
      <c r="A1" s="172" t="s">
        <v>765</v>
      </c>
      <c r="R1" s="172" t="s">
        <v>766</v>
      </c>
      <c r="Y1" s="172" t="s">
        <v>767</v>
      </c>
      <c r="Z1" s="280">
        <v>41253</v>
      </c>
    </row>
    <row r="2" spans="1:26" s="179" customFormat="1" ht="12.75" hidden="1" customHeight="1" x14ac:dyDescent="0.2">
      <c r="A2" s="172" t="s">
        <v>730</v>
      </c>
      <c r="B2" s="172"/>
      <c r="C2" s="172"/>
      <c r="D2" s="172"/>
      <c r="E2" s="172"/>
      <c r="F2" s="172"/>
      <c r="G2" s="172"/>
      <c r="H2" s="172"/>
    </row>
    <row r="3" spans="1:26" s="179" customFormat="1" ht="12.75" hidden="1" customHeight="1" x14ac:dyDescent="0.2">
      <c r="A3" s="172" t="s">
        <v>730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</row>
    <row r="4" spans="1:26" s="179" customFormat="1" ht="12.75" hidden="1" customHeight="1" x14ac:dyDescent="0.2">
      <c r="A4" s="172" t="s">
        <v>730</v>
      </c>
      <c r="B4" s="172"/>
      <c r="C4" s="172"/>
      <c r="D4" s="172"/>
      <c r="E4" s="172"/>
      <c r="F4" s="172"/>
      <c r="G4" s="172"/>
      <c r="H4" s="172"/>
    </row>
    <row r="5" spans="1:26" ht="12.75" hidden="1" customHeight="1" x14ac:dyDescent="0.2">
      <c r="A5" s="172" t="s">
        <v>730</v>
      </c>
      <c r="I5" s="179"/>
      <c r="J5" s="179"/>
      <c r="K5" s="179"/>
      <c r="L5" s="179"/>
      <c r="O5" s="172"/>
    </row>
    <row r="6" spans="1:26" ht="12.75" hidden="1" customHeight="1" x14ac:dyDescent="0.2">
      <c r="A6" s="172" t="s">
        <v>730</v>
      </c>
      <c r="I6" s="179"/>
      <c r="J6" s="179"/>
      <c r="K6" s="179"/>
      <c r="L6" s="179"/>
      <c r="O6" s="172"/>
    </row>
    <row r="7" spans="1:26" ht="12.75" hidden="1" customHeight="1" x14ac:dyDescent="0.2">
      <c r="A7" s="172" t="s">
        <v>730</v>
      </c>
      <c r="I7" s="179"/>
      <c r="J7" s="179"/>
      <c r="K7" s="179"/>
      <c r="L7" s="179"/>
      <c r="O7" s="172"/>
    </row>
    <row r="8" spans="1:26" ht="12.75" hidden="1" customHeight="1" x14ac:dyDescent="0.2">
      <c r="A8" s="172" t="s">
        <v>730</v>
      </c>
      <c r="O8" s="172"/>
    </row>
    <row r="9" spans="1:26" ht="12.75" hidden="1" customHeight="1" x14ac:dyDescent="0.2">
      <c r="A9" s="172" t="s">
        <v>730</v>
      </c>
      <c r="F9" s="281"/>
      <c r="G9" s="281"/>
      <c r="H9" s="281"/>
      <c r="I9" s="281"/>
      <c r="J9" s="281"/>
      <c r="K9" s="281"/>
      <c r="L9" s="281"/>
      <c r="O9" s="172"/>
    </row>
    <row r="10" spans="1:26" ht="12.75" hidden="1" customHeight="1" x14ac:dyDescent="0.2">
      <c r="O10" s="172"/>
    </row>
    <row r="11" spans="1:26" ht="12.75" hidden="1" customHeight="1" x14ac:dyDescent="0.2">
      <c r="A11" s="172" t="s">
        <v>197</v>
      </c>
      <c r="F11" s="172">
        <v>1</v>
      </c>
      <c r="G11" s="172">
        <v>1</v>
      </c>
      <c r="I11" s="172">
        <v>1</v>
      </c>
      <c r="J11" s="172">
        <v>1</v>
      </c>
      <c r="O11" s="172"/>
    </row>
    <row r="12" spans="1:26" ht="12.75" hidden="1" customHeight="1" x14ac:dyDescent="0.2">
      <c r="A12" s="172" t="s">
        <v>198</v>
      </c>
      <c r="H12" s="172">
        <v>1</v>
      </c>
      <c r="K12" s="172">
        <v>1</v>
      </c>
      <c r="L12" s="172">
        <v>1</v>
      </c>
      <c r="O12" s="172"/>
    </row>
    <row r="13" spans="1:26" ht="12.75" hidden="1" customHeight="1" x14ac:dyDescent="0.2">
      <c r="A13" s="172" t="s">
        <v>199</v>
      </c>
      <c r="O13" s="172"/>
    </row>
    <row r="14" spans="1:26" ht="12.75" hidden="1" customHeight="1" x14ac:dyDescent="0.2">
      <c r="A14" s="172" t="s">
        <v>200</v>
      </c>
      <c r="O14" s="172"/>
    </row>
    <row r="15" spans="1:26" ht="12.75" hidden="1" customHeight="1" x14ac:dyDescent="0.2">
      <c r="G15" s="179"/>
      <c r="H15" s="179"/>
      <c r="I15" s="179"/>
      <c r="J15" s="179"/>
      <c r="K15" s="179"/>
      <c r="L15" s="179"/>
      <c r="O15" s="172"/>
    </row>
    <row r="16" spans="1:26" ht="12.75" hidden="1" customHeight="1" x14ac:dyDescent="0.2">
      <c r="A16" s="179"/>
      <c r="B16" s="179"/>
      <c r="C16" s="179"/>
      <c r="D16" s="179"/>
      <c r="E16" s="179"/>
      <c r="F16" s="179" t="s">
        <v>768</v>
      </c>
      <c r="G16" s="179" t="s">
        <v>769</v>
      </c>
      <c r="H16" s="179" t="s">
        <v>770</v>
      </c>
      <c r="I16" s="179" t="s">
        <v>771</v>
      </c>
      <c r="J16" s="179" t="s">
        <v>772</v>
      </c>
      <c r="K16" s="179" t="s">
        <v>771</v>
      </c>
      <c r="L16" s="179" t="s">
        <v>773</v>
      </c>
      <c r="O16" s="172"/>
    </row>
    <row r="17" spans="1:26" ht="12.75" x14ac:dyDescent="0.2">
      <c r="O17" s="172"/>
    </row>
    <row r="18" spans="1:26" ht="15.75" x14ac:dyDescent="0.25">
      <c r="C18" s="282">
        <f>[1]Summary!I179</f>
        <v>230</v>
      </c>
      <c r="O18" s="172"/>
      <c r="P18" s="283" t="s">
        <v>774</v>
      </c>
      <c r="Q18" s="283"/>
      <c r="R18" s="283"/>
      <c r="S18" s="283"/>
      <c r="T18" s="283"/>
      <c r="U18" s="283"/>
      <c r="V18" s="283"/>
      <c r="W18" s="283"/>
      <c r="X18" s="283"/>
      <c r="Y18" s="283"/>
    </row>
    <row r="19" spans="1:26" ht="15.75" x14ac:dyDescent="0.25">
      <c r="O19" s="172"/>
      <c r="P19" s="283" t="s">
        <v>775</v>
      </c>
      <c r="Q19" s="283"/>
      <c r="R19" s="283"/>
      <c r="S19" s="283"/>
      <c r="T19" s="283"/>
      <c r="U19" s="283"/>
      <c r="V19" s="283"/>
      <c r="W19" s="283"/>
      <c r="X19" s="283"/>
      <c r="Y19" s="283"/>
    </row>
    <row r="20" spans="1:26" ht="13.5" thickBot="1" x14ac:dyDescent="0.25">
      <c r="O20" s="172"/>
    </row>
    <row r="21" spans="1:26" ht="12.75" x14ac:dyDescent="0.2">
      <c r="A21" s="179"/>
      <c r="B21" s="179"/>
      <c r="C21" s="179"/>
      <c r="D21" s="179"/>
      <c r="E21" s="284"/>
      <c r="F21" s="285" t="s">
        <v>2</v>
      </c>
      <c r="G21" s="285" t="s">
        <v>2</v>
      </c>
      <c r="H21" s="285" t="s">
        <v>3</v>
      </c>
      <c r="I21" s="285" t="s">
        <v>2</v>
      </c>
      <c r="J21" s="285" t="s">
        <v>2</v>
      </c>
      <c r="K21" s="285" t="s">
        <v>3</v>
      </c>
      <c r="L21" s="285" t="s">
        <v>3</v>
      </c>
      <c r="M21" s="285" t="s">
        <v>2</v>
      </c>
      <c r="N21" s="285" t="s">
        <v>3</v>
      </c>
      <c r="O21" s="286"/>
      <c r="P21" s="287" t="s">
        <v>2</v>
      </c>
      <c r="Q21" s="287"/>
      <c r="R21" s="287"/>
      <c r="S21" s="287"/>
      <c r="T21" s="288"/>
      <c r="U21" s="287" t="s">
        <v>776</v>
      </c>
      <c r="V21" s="287"/>
      <c r="W21" s="287"/>
      <c r="X21" s="287"/>
      <c r="Y21" s="287"/>
      <c r="Z21" s="289"/>
    </row>
    <row r="22" spans="1:26" ht="12.75" hidden="1" x14ac:dyDescent="0.2">
      <c r="A22" s="179"/>
      <c r="B22" s="179"/>
      <c r="C22" s="179"/>
      <c r="D22" s="179"/>
      <c r="E22" s="290"/>
      <c r="F22" s="191"/>
      <c r="G22" s="191"/>
      <c r="H22" s="191"/>
      <c r="I22" s="233"/>
      <c r="J22" s="233"/>
      <c r="K22" s="191"/>
      <c r="L22" s="191"/>
      <c r="M22" s="233"/>
      <c r="N22" s="233"/>
      <c r="O22" s="233"/>
      <c r="P22" s="191"/>
      <c r="Q22" s="191"/>
      <c r="R22" s="233"/>
      <c r="S22" s="233"/>
      <c r="T22" s="233"/>
      <c r="U22" s="191"/>
      <c r="V22" s="191"/>
      <c r="W22" s="191"/>
      <c r="X22" s="233"/>
      <c r="Y22" s="233"/>
      <c r="Z22" s="291"/>
    </row>
    <row r="23" spans="1:26" ht="12.75" x14ac:dyDescent="0.2">
      <c r="A23" s="179"/>
      <c r="B23" s="179"/>
      <c r="C23" s="179"/>
      <c r="D23" s="179"/>
      <c r="E23" s="290"/>
      <c r="F23" s="292"/>
      <c r="G23" s="292"/>
      <c r="H23" s="292"/>
      <c r="I23" s="191"/>
      <c r="J23" s="191"/>
      <c r="K23" s="292"/>
      <c r="L23" s="292"/>
      <c r="M23" s="233"/>
      <c r="N23" s="233"/>
      <c r="O23" s="233"/>
      <c r="P23" s="292"/>
      <c r="Q23" s="292"/>
      <c r="R23" s="191"/>
      <c r="S23" s="191"/>
      <c r="T23" s="173"/>
      <c r="U23" s="292"/>
      <c r="V23" s="292"/>
      <c r="W23" s="292"/>
      <c r="X23" s="233"/>
      <c r="Y23" s="233"/>
      <c r="Z23" s="291"/>
    </row>
    <row r="24" spans="1:26" ht="12.75" x14ac:dyDescent="0.2">
      <c r="A24" s="179"/>
      <c r="B24" s="179"/>
      <c r="C24" s="179"/>
      <c r="D24" s="179"/>
      <c r="E24" s="290"/>
      <c r="F24" s="292" t="s">
        <v>777</v>
      </c>
      <c r="G24" s="292"/>
      <c r="H24" s="292"/>
      <c r="I24" s="191" t="s">
        <v>204</v>
      </c>
      <c r="J24" s="191" t="s">
        <v>204</v>
      </c>
      <c r="K24" s="191" t="s">
        <v>204</v>
      </c>
      <c r="L24" s="191" t="s">
        <v>204</v>
      </c>
      <c r="M24" s="191" t="s">
        <v>196</v>
      </c>
      <c r="N24" s="191" t="s">
        <v>196</v>
      </c>
      <c r="O24" s="233"/>
      <c r="P24" s="292" t="s">
        <v>778</v>
      </c>
      <c r="Q24" s="292"/>
      <c r="R24" s="191" t="s">
        <v>204</v>
      </c>
      <c r="S24" s="191" t="s">
        <v>204</v>
      </c>
      <c r="T24" s="180" t="s">
        <v>779</v>
      </c>
      <c r="U24" s="292"/>
      <c r="V24" s="191" t="s">
        <v>204</v>
      </c>
      <c r="W24" s="191" t="s">
        <v>204</v>
      </c>
      <c r="X24" s="191" t="s">
        <v>779</v>
      </c>
      <c r="Y24" s="191"/>
      <c r="Z24" s="293"/>
    </row>
    <row r="25" spans="1:26" ht="12.75" x14ac:dyDescent="0.2">
      <c r="A25" s="179"/>
      <c r="B25" s="179"/>
      <c r="C25" s="179"/>
      <c r="D25" s="179"/>
      <c r="E25" s="290"/>
      <c r="F25" s="191" t="s">
        <v>210</v>
      </c>
      <c r="G25" s="294" t="s">
        <v>211</v>
      </c>
      <c r="H25" s="294" t="s">
        <v>211</v>
      </c>
      <c r="I25" s="191" t="s">
        <v>212</v>
      </c>
      <c r="J25" s="191" t="s">
        <v>201</v>
      </c>
      <c r="K25" s="191" t="s">
        <v>212</v>
      </c>
      <c r="L25" s="191" t="s">
        <v>201</v>
      </c>
      <c r="M25" s="191" t="s">
        <v>779</v>
      </c>
      <c r="N25" s="191" t="s">
        <v>779</v>
      </c>
      <c r="O25" s="233"/>
      <c r="P25" s="191" t="s">
        <v>210</v>
      </c>
      <c r="Q25" s="294" t="s">
        <v>211</v>
      </c>
      <c r="R25" s="191" t="s">
        <v>212</v>
      </c>
      <c r="S25" s="191" t="s">
        <v>201</v>
      </c>
      <c r="T25" s="180" t="s">
        <v>780</v>
      </c>
      <c r="U25" s="294" t="s">
        <v>211</v>
      </c>
      <c r="V25" s="191" t="s">
        <v>212</v>
      </c>
      <c r="W25" s="191" t="s">
        <v>201</v>
      </c>
      <c r="X25" s="191" t="s">
        <v>780</v>
      </c>
      <c r="Y25" s="295" t="s">
        <v>222</v>
      </c>
      <c r="Z25" s="293" t="s">
        <v>222</v>
      </c>
    </row>
    <row r="26" spans="1:26" ht="12.75" x14ac:dyDescent="0.2">
      <c r="A26" s="191"/>
      <c r="B26" s="191"/>
      <c r="C26" s="191"/>
      <c r="D26" s="191"/>
      <c r="E26" s="290"/>
      <c r="F26" s="296" t="s">
        <v>218</v>
      </c>
      <c r="G26" s="191" t="s">
        <v>219</v>
      </c>
      <c r="H26" s="191" t="s">
        <v>219</v>
      </c>
      <c r="I26" s="191" t="s">
        <v>220</v>
      </c>
      <c r="J26" s="191" t="s">
        <v>221</v>
      </c>
      <c r="K26" s="191" t="s">
        <v>220</v>
      </c>
      <c r="L26" s="191" t="s">
        <v>221</v>
      </c>
      <c r="M26" s="191" t="s">
        <v>780</v>
      </c>
      <c r="N26" s="191" t="s">
        <v>780</v>
      </c>
      <c r="O26" s="233"/>
      <c r="P26" s="296" t="s">
        <v>218</v>
      </c>
      <c r="Q26" s="191" t="s">
        <v>219</v>
      </c>
      <c r="R26" s="191" t="s">
        <v>220</v>
      </c>
      <c r="S26" s="191" t="s">
        <v>221</v>
      </c>
      <c r="T26" s="180" t="s">
        <v>781</v>
      </c>
      <c r="U26" s="191" t="s">
        <v>219</v>
      </c>
      <c r="V26" s="191" t="s">
        <v>220</v>
      </c>
      <c r="W26" s="191" t="s">
        <v>221</v>
      </c>
      <c r="X26" s="191" t="s">
        <v>781</v>
      </c>
      <c r="Y26" s="295" t="s">
        <v>4</v>
      </c>
      <c r="Z26" s="293" t="s">
        <v>4</v>
      </c>
    </row>
    <row r="27" spans="1:26" ht="13.5" thickBot="1" x14ac:dyDescent="0.25">
      <c r="A27" s="191"/>
      <c r="B27" s="191"/>
      <c r="C27" s="191"/>
      <c r="D27" s="191" t="s">
        <v>229</v>
      </c>
      <c r="E27" s="297" t="s">
        <v>5</v>
      </c>
      <c r="F27" s="298" t="s">
        <v>213</v>
      </c>
      <c r="G27" s="298" t="s">
        <v>213</v>
      </c>
      <c r="H27" s="298" t="s">
        <v>213</v>
      </c>
      <c r="I27" s="298" t="s">
        <v>213</v>
      </c>
      <c r="J27" s="298" t="s">
        <v>213</v>
      </c>
      <c r="K27" s="298" t="s">
        <v>213</v>
      </c>
      <c r="L27" s="298" t="s">
        <v>213</v>
      </c>
      <c r="M27" s="298" t="s">
        <v>781</v>
      </c>
      <c r="N27" s="298" t="s">
        <v>781</v>
      </c>
      <c r="O27" s="250"/>
      <c r="P27" s="298" t="s">
        <v>213</v>
      </c>
      <c r="Q27" s="298" t="s">
        <v>213</v>
      </c>
      <c r="R27" s="298" t="s">
        <v>213</v>
      </c>
      <c r="S27" s="298" t="s">
        <v>213</v>
      </c>
      <c r="T27" s="299" t="s">
        <v>6</v>
      </c>
      <c r="U27" s="298" t="s">
        <v>213</v>
      </c>
      <c r="V27" s="298" t="s">
        <v>213</v>
      </c>
      <c r="W27" s="298" t="s">
        <v>213</v>
      </c>
      <c r="X27" s="298" t="s">
        <v>6</v>
      </c>
      <c r="Y27" s="300" t="s">
        <v>6</v>
      </c>
      <c r="Z27" s="301"/>
    </row>
    <row r="28" spans="1:26" ht="12.75" x14ac:dyDescent="0.2">
      <c r="A28" s="191"/>
      <c r="B28" s="191"/>
      <c r="C28" s="180"/>
      <c r="D28" s="191"/>
      <c r="E28" s="180"/>
      <c r="F28" s="179"/>
      <c r="G28" s="179"/>
      <c r="H28" s="179"/>
      <c r="I28" s="179"/>
      <c r="J28" s="179"/>
      <c r="K28" s="179"/>
      <c r="L28" s="179"/>
      <c r="O28" s="172"/>
      <c r="T28" s="173"/>
    </row>
    <row r="29" spans="1:26" ht="12.75" x14ac:dyDescent="0.2">
      <c r="A29" s="233"/>
      <c r="B29" s="233"/>
      <c r="C29" s="173" t="s">
        <v>242</v>
      </c>
      <c r="D29" s="233"/>
      <c r="E29" s="248">
        <v>830024.42999999993</v>
      </c>
      <c r="F29" s="247">
        <v>56294162.224000052</v>
      </c>
      <c r="G29" s="247">
        <v>26096486.46411429</v>
      </c>
      <c r="H29" s="247">
        <v>93437342.826171428</v>
      </c>
      <c r="I29" s="247">
        <v>62373415.034000002</v>
      </c>
      <c r="J29" s="247">
        <v>131348154</v>
      </c>
      <c r="K29" s="247">
        <v>85711116.633999988</v>
      </c>
      <c r="L29" s="247">
        <v>131348154</v>
      </c>
      <c r="M29" s="247">
        <v>276112217.72211409</v>
      </c>
      <c r="N29" s="247">
        <v>310496613.46017176</v>
      </c>
      <c r="O29" s="172"/>
      <c r="P29" s="247">
        <v>67.822295572673752</v>
      </c>
      <c r="Q29" s="247">
        <v>31.440624541755106</v>
      </c>
      <c r="R29" s="247">
        <v>75.146480970445666</v>
      </c>
      <c r="S29" s="247">
        <v>158.24613017715637</v>
      </c>
      <c r="T29" s="248">
        <v>332.65553126203059</v>
      </c>
      <c r="U29" s="247">
        <v>112.57179843028408</v>
      </c>
      <c r="V29" s="247">
        <v>103.26336615658408</v>
      </c>
      <c r="W29" s="247">
        <v>158.24613017715637</v>
      </c>
      <c r="X29" s="247">
        <v>374.08129476402496</v>
      </c>
      <c r="Y29" s="247">
        <v>41.425763501994361</v>
      </c>
      <c r="Z29" s="247">
        <v>34384395.738057673</v>
      </c>
    </row>
    <row r="30" spans="1:26" ht="12.75" x14ac:dyDescent="0.2">
      <c r="A30" s="233"/>
      <c r="B30" s="233"/>
      <c r="C30" s="173"/>
      <c r="D30" s="233"/>
      <c r="E30" s="248"/>
      <c r="F30" s="247"/>
      <c r="G30" s="247"/>
      <c r="H30" s="247"/>
      <c r="I30" s="247"/>
      <c r="J30" s="247"/>
      <c r="K30" s="247"/>
      <c r="L30" s="247"/>
      <c r="M30" s="247"/>
      <c r="N30" s="247"/>
      <c r="O30" s="172"/>
      <c r="P30" s="247"/>
      <c r="Q30" s="247"/>
      <c r="R30" s="247"/>
      <c r="S30" s="247"/>
      <c r="T30" s="248"/>
      <c r="U30" s="247"/>
      <c r="V30" s="247"/>
      <c r="W30" s="247"/>
      <c r="X30" s="247"/>
      <c r="Y30" s="247"/>
      <c r="Z30" s="247"/>
    </row>
    <row r="31" spans="1:26" ht="12.75" x14ac:dyDescent="0.2">
      <c r="A31" s="233" t="s">
        <v>11</v>
      </c>
      <c r="B31" s="233"/>
      <c r="C31" s="173"/>
      <c r="D31" s="233">
        <v>1</v>
      </c>
      <c r="E31" s="248">
        <v>72789.149999999994</v>
      </c>
      <c r="F31" s="247">
        <v>6659096.1680000005</v>
      </c>
      <c r="G31" s="247">
        <v>0</v>
      </c>
      <c r="H31" s="247">
        <v>0</v>
      </c>
      <c r="I31" s="247">
        <v>12599178.6</v>
      </c>
      <c r="J31" s="247">
        <v>35204134</v>
      </c>
      <c r="K31" s="247">
        <v>19258274.767999999</v>
      </c>
      <c r="L31" s="247">
        <v>35204134</v>
      </c>
      <c r="M31" s="247">
        <v>54462408.768000007</v>
      </c>
      <c r="N31" s="247">
        <v>54462408.768000007</v>
      </c>
      <c r="O31" s="172"/>
      <c r="P31" s="247">
        <v>91.484735953091928</v>
      </c>
      <c r="Q31" s="247">
        <v>0</v>
      </c>
      <c r="R31" s="247">
        <v>173.09143739142442</v>
      </c>
      <c r="S31" s="247">
        <v>483.64535098981099</v>
      </c>
      <c r="T31" s="248">
        <v>748.22152433432746</v>
      </c>
      <c r="U31" s="247">
        <v>0</v>
      </c>
      <c r="V31" s="247">
        <v>264.57617334451635</v>
      </c>
      <c r="W31" s="247">
        <v>483.64535098981099</v>
      </c>
      <c r="X31" s="247">
        <v>748.22152433432746</v>
      </c>
      <c r="Y31" s="247">
        <v>0</v>
      </c>
      <c r="Z31" s="247">
        <v>0</v>
      </c>
    </row>
    <row r="32" spans="1:26" ht="12.75" x14ac:dyDescent="0.2">
      <c r="A32" s="233" t="s">
        <v>12</v>
      </c>
      <c r="B32" s="233"/>
      <c r="C32" s="173"/>
      <c r="D32" s="233">
        <v>2</v>
      </c>
      <c r="E32" s="248">
        <v>86993.020000000019</v>
      </c>
      <c r="F32" s="247">
        <v>7030757.4560000002</v>
      </c>
      <c r="G32" s="247">
        <v>1614622.4811428569</v>
      </c>
      <c r="H32" s="247">
        <v>5665646.7902857149</v>
      </c>
      <c r="I32" s="247">
        <v>11897284.6</v>
      </c>
      <c r="J32" s="247">
        <v>25093699</v>
      </c>
      <c r="K32" s="247">
        <v>16224635.855999999</v>
      </c>
      <c r="L32" s="247">
        <v>25093699</v>
      </c>
      <c r="M32" s="247">
        <v>45636363.537142865</v>
      </c>
      <c r="N32" s="247">
        <v>46983981.64628572</v>
      </c>
      <c r="O32" s="172"/>
      <c r="P32" s="247">
        <v>80.81978825427602</v>
      </c>
      <c r="Q32" s="247">
        <v>18.560368189802546</v>
      </c>
      <c r="R32" s="247">
        <v>136.76137005014883</v>
      </c>
      <c r="S32" s="247">
        <v>288.45646466808478</v>
      </c>
      <c r="T32" s="248">
        <v>524.59799116231227</v>
      </c>
      <c r="U32" s="247">
        <v>65.127602079864729</v>
      </c>
      <c r="V32" s="247">
        <v>186.50503058751144</v>
      </c>
      <c r="W32" s="247">
        <v>288.45646466808478</v>
      </c>
      <c r="X32" s="247">
        <v>540.08909733546102</v>
      </c>
      <c r="Y32" s="247">
        <v>15.491106173148772</v>
      </c>
      <c r="Z32" s="247">
        <v>1347618.1091428548</v>
      </c>
    </row>
    <row r="33" spans="1:26" ht="12.75" x14ac:dyDescent="0.2">
      <c r="A33" s="233" t="s">
        <v>13</v>
      </c>
      <c r="B33" s="233"/>
      <c r="C33" s="173"/>
      <c r="D33" s="233">
        <v>3</v>
      </c>
      <c r="E33" s="248">
        <v>262815.99999999994</v>
      </c>
      <c r="F33" s="247">
        <v>15132714.865999999</v>
      </c>
      <c r="G33" s="247">
        <v>4642745.580000001</v>
      </c>
      <c r="H33" s="247">
        <v>16428196.008514285</v>
      </c>
      <c r="I33" s="247">
        <v>24355736.909999996</v>
      </c>
      <c r="J33" s="247">
        <v>36917072</v>
      </c>
      <c r="K33" s="247">
        <v>34282647.100000001</v>
      </c>
      <c r="L33" s="247">
        <v>36917072</v>
      </c>
      <c r="M33" s="247">
        <v>81048269.356000021</v>
      </c>
      <c r="N33" s="247">
        <v>87627915.108514279</v>
      </c>
      <c r="O33" s="172"/>
      <c r="P33" s="247">
        <v>57.579123287775488</v>
      </c>
      <c r="Q33" s="247">
        <v>17.665384070985031</v>
      </c>
      <c r="R33" s="247">
        <v>92.672199980214302</v>
      </c>
      <c r="S33" s="247">
        <v>140.46736880555221</v>
      </c>
      <c r="T33" s="248">
        <v>308.38407614452711</v>
      </c>
      <c r="U33" s="247">
        <v>62.508355688064228</v>
      </c>
      <c r="V33" s="247">
        <v>130.44353121575554</v>
      </c>
      <c r="W33" s="247">
        <v>140.46736880555221</v>
      </c>
      <c r="X33" s="247">
        <v>333.41925570937195</v>
      </c>
      <c r="Y33" s="247">
        <v>25.035179564844832</v>
      </c>
      <c r="Z33" s="247">
        <v>6579645.752514258</v>
      </c>
    </row>
    <row r="34" spans="1:26" ht="12.75" x14ac:dyDescent="0.2">
      <c r="A34" s="233" t="s">
        <v>14</v>
      </c>
      <c r="B34" s="233"/>
      <c r="C34" s="173"/>
      <c r="D34" s="233">
        <v>4</v>
      </c>
      <c r="E34" s="248">
        <v>184386.40000000002</v>
      </c>
      <c r="F34" s="247">
        <v>11565000.871999998</v>
      </c>
      <c r="G34" s="247">
        <v>8381392.5632571429</v>
      </c>
      <c r="H34" s="247">
        <v>29564346.947742857</v>
      </c>
      <c r="I34" s="247">
        <v>12847466.473999999</v>
      </c>
      <c r="J34" s="247">
        <v>17933266</v>
      </c>
      <c r="K34" s="247">
        <v>15271810.460000001</v>
      </c>
      <c r="L34" s="247">
        <v>17933266</v>
      </c>
      <c r="M34" s="247">
        <v>50727125.909257136</v>
      </c>
      <c r="N34" s="247">
        <v>62769423.407742865</v>
      </c>
      <c r="O34" s="172"/>
      <c r="P34" s="247">
        <v>62.721550352954424</v>
      </c>
      <c r="Q34" s="247">
        <v>45.455589800859187</v>
      </c>
      <c r="R34" s="247">
        <v>69.676865940221177</v>
      </c>
      <c r="S34" s="247">
        <v>97.259157942234339</v>
      </c>
      <c r="T34" s="248">
        <v>275.1131640362691</v>
      </c>
      <c r="U34" s="247">
        <v>160.33908654728793</v>
      </c>
      <c r="V34" s="247">
        <v>82.82503731294716</v>
      </c>
      <c r="W34" s="247">
        <v>97.259157942234339</v>
      </c>
      <c r="X34" s="247">
        <v>340.42328180246949</v>
      </c>
      <c r="Y34" s="247">
        <v>65.310117766200364</v>
      </c>
      <c r="Z34" s="247">
        <v>12042297.498485729</v>
      </c>
    </row>
    <row r="35" spans="1:26" ht="12.75" x14ac:dyDescent="0.2">
      <c r="A35" s="233" t="s">
        <v>15</v>
      </c>
      <c r="B35" s="233"/>
      <c r="C35" s="173"/>
      <c r="D35" s="233">
        <v>5</v>
      </c>
      <c r="E35" s="248">
        <v>93852.000000000029</v>
      </c>
      <c r="F35" s="247">
        <v>6835493.5220000008</v>
      </c>
      <c r="G35" s="247">
        <v>5975096.4262285698</v>
      </c>
      <c r="H35" s="247">
        <v>21045769.249399997</v>
      </c>
      <c r="I35" s="247">
        <v>218079.47399999999</v>
      </c>
      <c r="J35" s="247">
        <v>9375826</v>
      </c>
      <c r="K35" s="247">
        <v>218079.47399999999</v>
      </c>
      <c r="L35" s="247">
        <v>9375826</v>
      </c>
      <c r="M35" s="247">
        <v>22404495.422228575</v>
      </c>
      <c r="N35" s="247">
        <v>30639674.723399993</v>
      </c>
      <c r="O35" s="172"/>
      <c r="P35" s="247">
        <v>72.832688935771202</v>
      </c>
      <c r="Q35" s="247">
        <v>63.665094257219536</v>
      </c>
      <c r="R35" s="247">
        <v>2.3236529216212753</v>
      </c>
      <c r="S35" s="247">
        <v>99.900119336828169</v>
      </c>
      <c r="T35" s="248">
        <v>238.72155545144022</v>
      </c>
      <c r="U35" s="247">
        <v>224.24422760729649</v>
      </c>
      <c r="V35" s="247">
        <v>2.3236529216212753</v>
      </c>
      <c r="W35" s="247">
        <v>99.900119336828169</v>
      </c>
      <c r="X35" s="247">
        <v>326.46799986574587</v>
      </c>
      <c r="Y35" s="247">
        <v>87.746444414305671</v>
      </c>
      <c r="Z35" s="247">
        <v>8235179.3011714183</v>
      </c>
    </row>
    <row r="36" spans="1:26" ht="12.75" x14ac:dyDescent="0.2">
      <c r="A36" s="233" t="s">
        <v>16</v>
      </c>
      <c r="B36" s="233"/>
      <c r="C36" s="173"/>
      <c r="D36" s="233">
        <v>6</v>
      </c>
      <c r="E36" s="248">
        <v>87410.860000000044</v>
      </c>
      <c r="F36" s="247">
        <v>9071099.339999998</v>
      </c>
      <c r="G36" s="247">
        <v>5482629.4134857152</v>
      </c>
      <c r="H36" s="247">
        <v>20733383.830228578</v>
      </c>
      <c r="I36" s="247">
        <v>455668.97599999997</v>
      </c>
      <c r="J36" s="247">
        <v>6824157</v>
      </c>
      <c r="K36" s="247">
        <v>455668.97599999997</v>
      </c>
      <c r="L36" s="247">
        <v>6824157</v>
      </c>
      <c r="M36" s="247">
        <v>21833554.72948572</v>
      </c>
      <c r="N36" s="247">
        <v>28013209.806228586</v>
      </c>
      <c r="O36" s="172"/>
      <c r="P36" s="247">
        <v>103.77542721808244</v>
      </c>
      <c r="Q36" s="247">
        <v>62.722519987627535</v>
      </c>
      <c r="R36" s="247">
        <v>5.2129561017932984</v>
      </c>
      <c r="S36" s="247">
        <v>78.069898866113391</v>
      </c>
      <c r="T36" s="248">
        <v>249.78080217361676</v>
      </c>
      <c r="U36" s="247">
        <v>237.19459836258983</v>
      </c>
      <c r="V36" s="247">
        <v>5.2129561017932984</v>
      </c>
      <c r="W36" s="247">
        <v>78.069898866113391</v>
      </c>
      <c r="X36" s="247">
        <v>320.47745333049659</v>
      </c>
      <c r="Y36" s="247">
        <v>70.696651156879838</v>
      </c>
      <c r="Z36" s="247">
        <v>6179655.0767428651</v>
      </c>
    </row>
    <row r="37" spans="1:26" ht="12.75" x14ac:dyDescent="0.2">
      <c r="A37" s="233" t="s">
        <v>17</v>
      </c>
      <c r="B37" s="233"/>
      <c r="C37" s="173"/>
      <c r="D37" s="233">
        <v>7</v>
      </c>
      <c r="E37" s="248">
        <v>41777</v>
      </c>
      <c r="F37" s="247">
        <v>0</v>
      </c>
      <c r="G37" s="247">
        <v>0</v>
      </c>
      <c r="H37" s="247">
        <v>0</v>
      </c>
      <c r="I37" s="247">
        <v>0</v>
      </c>
      <c r="J37" s="247">
        <v>0</v>
      </c>
      <c r="K37" s="247">
        <v>0</v>
      </c>
      <c r="L37" s="247">
        <v>0</v>
      </c>
      <c r="M37" s="247">
        <v>0</v>
      </c>
      <c r="N37" s="247">
        <v>0</v>
      </c>
      <c r="O37" s="172"/>
      <c r="P37" s="247">
        <v>0</v>
      </c>
      <c r="Q37" s="247">
        <v>0</v>
      </c>
      <c r="R37" s="247">
        <v>0</v>
      </c>
      <c r="S37" s="247">
        <v>0</v>
      </c>
      <c r="T37" s="248">
        <v>0</v>
      </c>
      <c r="U37" s="247">
        <v>0</v>
      </c>
      <c r="V37" s="247">
        <v>0</v>
      </c>
      <c r="W37" s="247">
        <v>0</v>
      </c>
      <c r="X37" s="247">
        <v>0</v>
      </c>
      <c r="Y37" s="247">
        <v>0</v>
      </c>
      <c r="Z37" s="247">
        <v>0</v>
      </c>
    </row>
    <row r="38" spans="1:26" ht="12.75" hidden="1" x14ac:dyDescent="0.2">
      <c r="A38" s="233" t="s">
        <v>243</v>
      </c>
      <c r="B38" s="233"/>
      <c r="C38" s="173"/>
      <c r="D38" s="233">
        <v>8</v>
      </c>
      <c r="E38" s="248">
        <v>0</v>
      </c>
      <c r="F38" s="247">
        <v>0</v>
      </c>
      <c r="G38" s="247">
        <v>0</v>
      </c>
      <c r="H38" s="247" t="e">
        <v>#REF!</v>
      </c>
      <c r="I38" s="247" t="e">
        <v>#REF!</v>
      </c>
      <c r="J38" s="247" t="e">
        <v>#REF!</v>
      </c>
      <c r="K38" s="247" t="e">
        <v>#REF!</v>
      </c>
      <c r="L38" s="247" t="e">
        <v>#REF!</v>
      </c>
      <c r="M38" s="247" t="e">
        <v>#REF!</v>
      </c>
      <c r="N38" s="247" t="e">
        <v>#REF!</v>
      </c>
      <c r="O38" s="172"/>
      <c r="P38" s="247" t="e">
        <v>#DIV/0!</v>
      </c>
      <c r="Q38" s="247" t="e">
        <v>#DIV/0!</v>
      </c>
      <c r="R38" s="247" t="e">
        <v>#REF!</v>
      </c>
      <c r="S38" s="247" t="e">
        <v>#REF!</v>
      </c>
      <c r="T38" s="248"/>
      <c r="U38" s="247" t="e">
        <v>#REF!</v>
      </c>
      <c r="V38" s="247" t="e">
        <v>#REF!</v>
      </c>
      <c r="W38" s="247" t="e">
        <v>#REF!</v>
      </c>
      <c r="X38" s="247"/>
      <c r="Y38" s="247"/>
      <c r="Z38" s="247" t="e">
        <v>#REF!</v>
      </c>
    </row>
    <row r="39" spans="1:26" ht="12.75" x14ac:dyDescent="0.2">
      <c r="A39" s="233"/>
      <c r="B39" s="233"/>
      <c r="C39" s="173"/>
      <c r="D39" s="233"/>
      <c r="E39" s="248"/>
      <c r="F39" s="247"/>
      <c r="G39" s="247"/>
      <c r="H39" s="247"/>
      <c r="I39" s="247"/>
      <c r="J39" s="247"/>
      <c r="K39" s="247"/>
      <c r="L39" s="247"/>
      <c r="M39" s="247"/>
      <c r="N39" s="247"/>
      <c r="O39" s="172"/>
      <c r="P39" s="247"/>
      <c r="Q39" s="247"/>
      <c r="R39" s="247"/>
      <c r="S39" s="247"/>
      <c r="T39" s="248"/>
      <c r="U39" s="247"/>
      <c r="V39" s="247"/>
      <c r="W39" s="247"/>
      <c r="X39" s="247"/>
      <c r="Y39" s="247"/>
      <c r="Z39" s="247"/>
    </row>
    <row r="40" spans="1:26" ht="12.75" x14ac:dyDescent="0.2">
      <c r="A40" s="269">
        <v>1</v>
      </c>
      <c r="B40" s="269">
        <v>1</v>
      </c>
      <c r="C40" s="270" t="s">
        <v>244</v>
      </c>
      <c r="D40" s="271">
        <v>5</v>
      </c>
      <c r="E40" s="248">
        <v>1226.43</v>
      </c>
      <c r="F40" s="247">
        <v>57793.237999999998</v>
      </c>
      <c r="G40" s="247">
        <v>85849.799999999988</v>
      </c>
      <c r="H40" s="247">
        <v>299568.10000000003</v>
      </c>
      <c r="I40" s="247">
        <v>0</v>
      </c>
      <c r="J40" s="247">
        <v>0</v>
      </c>
      <c r="K40" s="247">
        <v>0</v>
      </c>
      <c r="L40" s="247">
        <v>0</v>
      </c>
      <c r="M40" s="247">
        <v>143643.038</v>
      </c>
      <c r="N40" s="247">
        <v>299568.10000000003</v>
      </c>
      <c r="O40" s="172"/>
      <c r="P40" s="247">
        <v>47.123144411014074</v>
      </c>
      <c r="Q40" s="247">
        <v>69.999755387588351</v>
      </c>
      <c r="R40" s="247">
        <v>0</v>
      </c>
      <c r="S40" s="247">
        <v>0</v>
      </c>
      <c r="T40" s="248">
        <v>117.12289979860245</v>
      </c>
      <c r="U40" s="247">
        <v>244.26025129848423</v>
      </c>
      <c r="V40" s="247">
        <v>0</v>
      </c>
      <c r="W40" s="247">
        <v>0</v>
      </c>
      <c r="X40" s="247">
        <v>244.26025129848423</v>
      </c>
      <c r="Y40" s="247">
        <v>127.13735149988179</v>
      </c>
      <c r="Z40" s="247">
        <v>155925.06200000003</v>
      </c>
    </row>
    <row r="41" spans="1:26" ht="12.75" x14ac:dyDescent="0.2">
      <c r="A41" s="269">
        <v>1.2</v>
      </c>
      <c r="B41" s="269">
        <v>3</v>
      </c>
      <c r="C41" s="270" t="s">
        <v>246</v>
      </c>
      <c r="D41" s="271">
        <v>1</v>
      </c>
      <c r="E41" s="248">
        <v>34128.01</v>
      </c>
      <c r="F41" s="247">
        <v>2544235.284</v>
      </c>
      <c r="G41" s="247">
        <v>0</v>
      </c>
      <c r="H41" s="247">
        <v>0</v>
      </c>
      <c r="I41" s="247">
        <v>12599178.6</v>
      </c>
      <c r="J41" s="247">
        <v>26770896</v>
      </c>
      <c r="K41" s="247">
        <v>15143413.884</v>
      </c>
      <c r="L41" s="247">
        <v>26770896</v>
      </c>
      <c r="M41" s="247">
        <v>41914309.884000003</v>
      </c>
      <c r="N41" s="247">
        <v>41914309.884000003</v>
      </c>
      <c r="O41" s="172"/>
      <c r="P41" s="247">
        <v>74.549769646691971</v>
      </c>
      <c r="Q41" s="247">
        <v>0</v>
      </c>
      <c r="R41" s="247">
        <v>369.17413584911628</v>
      </c>
      <c r="S41" s="247">
        <v>784.42593048935464</v>
      </c>
      <c r="T41" s="248">
        <v>1228.149835985163</v>
      </c>
      <c r="U41" s="247">
        <v>0</v>
      </c>
      <c r="V41" s="247">
        <v>443.72390549580825</v>
      </c>
      <c r="W41" s="247">
        <v>784.42593048935464</v>
      </c>
      <c r="X41" s="247">
        <v>1228.149835985163</v>
      </c>
      <c r="Y41" s="247">
        <v>0</v>
      </c>
      <c r="Z41" s="247">
        <v>0</v>
      </c>
    </row>
    <row r="42" spans="1:26" ht="12.75" x14ac:dyDescent="0.2">
      <c r="A42" s="269">
        <v>2</v>
      </c>
      <c r="B42" s="269">
        <v>1</v>
      </c>
      <c r="C42" s="270" t="s">
        <v>248</v>
      </c>
      <c r="D42" s="271">
        <v>6</v>
      </c>
      <c r="E42" s="248">
        <v>276.11</v>
      </c>
      <c r="F42" s="247">
        <v>10171.827999999998</v>
      </c>
      <c r="G42" s="247">
        <v>14614.690285714285</v>
      </c>
      <c r="H42" s="247">
        <v>51336.851657142855</v>
      </c>
      <c r="I42" s="247">
        <v>0</v>
      </c>
      <c r="J42" s="247">
        <v>0</v>
      </c>
      <c r="K42" s="247">
        <v>0</v>
      </c>
      <c r="L42" s="247">
        <v>0</v>
      </c>
      <c r="M42" s="247">
        <v>24786.518285714283</v>
      </c>
      <c r="N42" s="247">
        <v>51336.851657142855</v>
      </c>
      <c r="O42" s="172"/>
      <c r="P42" s="247">
        <v>36.83976675962478</v>
      </c>
      <c r="Q42" s="247">
        <v>52.930680836312646</v>
      </c>
      <c r="R42" s="247">
        <v>0</v>
      </c>
      <c r="S42" s="247">
        <v>0</v>
      </c>
      <c r="T42" s="248">
        <v>89.770447595937426</v>
      </c>
      <c r="U42" s="247">
        <v>185.9289835831475</v>
      </c>
      <c r="V42" s="247">
        <v>0</v>
      </c>
      <c r="W42" s="247">
        <v>0</v>
      </c>
      <c r="X42" s="247">
        <v>185.9289835831475</v>
      </c>
      <c r="Y42" s="247">
        <v>96.158535987210072</v>
      </c>
      <c r="Z42" s="247">
        <v>26550.333371428573</v>
      </c>
    </row>
    <row r="43" spans="1:26" ht="12.75" x14ac:dyDescent="0.2">
      <c r="A43" s="269">
        <v>4</v>
      </c>
      <c r="B43" s="269">
        <v>1</v>
      </c>
      <c r="C43" s="270" t="s">
        <v>250</v>
      </c>
      <c r="D43" s="271">
        <v>6</v>
      </c>
      <c r="E43" s="248">
        <v>399.46000000000004</v>
      </c>
      <c r="F43" s="247">
        <v>126666.548</v>
      </c>
      <c r="G43" s="247">
        <v>27105</v>
      </c>
      <c r="H43" s="247">
        <v>153771.54800000001</v>
      </c>
      <c r="I43" s="247">
        <v>0</v>
      </c>
      <c r="J43" s="247">
        <v>0</v>
      </c>
      <c r="K43" s="247">
        <v>0</v>
      </c>
      <c r="L43" s="247">
        <v>0</v>
      </c>
      <c r="M43" s="247">
        <v>153771.54800000001</v>
      </c>
      <c r="N43" s="247">
        <v>153771.54800000001</v>
      </c>
      <c r="O43" s="172"/>
      <c r="P43" s="247">
        <v>317.09444750413053</v>
      </c>
      <c r="Q43" s="247">
        <v>67.854103039102782</v>
      </c>
      <c r="R43" s="247">
        <v>0</v>
      </c>
      <c r="S43" s="247">
        <v>0</v>
      </c>
      <c r="T43" s="248">
        <v>384.94855054323335</v>
      </c>
      <c r="U43" s="247">
        <v>384.94855054323335</v>
      </c>
      <c r="V43" s="247">
        <v>0</v>
      </c>
      <c r="W43" s="247">
        <v>0</v>
      </c>
      <c r="X43" s="247">
        <v>384.94855054323335</v>
      </c>
      <c r="Y43" s="247">
        <v>0</v>
      </c>
      <c r="Z43" s="247">
        <v>0</v>
      </c>
    </row>
    <row r="44" spans="1:26" ht="12.75" x14ac:dyDescent="0.2">
      <c r="A44" s="269">
        <v>6</v>
      </c>
      <c r="B44" s="269">
        <v>3</v>
      </c>
      <c r="C44" s="270" t="s">
        <v>252</v>
      </c>
      <c r="D44" s="271">
        <v>2</v>
      </c>
      <c r="E44" s="248">
        <v>3308.17</v>
      </c>
      <c r="F44" s="247">
        <v>396672.984</v>
      </c>
      <c r="G44" s="247">
        <v>227724.59999999998</v>
      </c>
      <c r="H44" s="247">
        <v>798484.1</v>
      </c>
      <c r="I44" s="247">
        <v>0</v>
      </c>
      <c r="J44" s="247">
        <v>0</v>
      </c>
      <c r="K44" s="247">
        <v>0</v>
      </c>
      <c r="L44" s="247">
        <v>0</v>
      </c>
      <c r="M44" s="247">
        <v>624397.58400000003</v>
      </c>
      <c r="N44" s="247">
        <v>798484.1</v>
      </c>
      <c r="O44" s="172"/>
      <c r="P44" s="247">
        <v>119.90707369935645</v>
      </c>
      <c r="Q44" s="247">
        <v>68.837030745094708</v>
      </c>
      <c r="R44" s="247">
        <v>0</v>
      </c>
      <c r="S44" s="247">
        <v>0</v>
      </c>
      <c r="T44" s="248">
        <v>188.74410444445115</v>
      </c>
      <c r="U44" s="247">
        <v>241.36731183705794</v>
      </c>
      <c r="V44" s="247">
        <v>0</v>
      </c>
      <c r="W44" s="247">
        <v>0</v>
      </c>
      <c r="X44" s="247">
        <v>241.36731183705794</v>
      </c>
      <c r="Y44" s="247">
        <v>52.623207392606773</v>
      </c>
      <c r="Z44" s="247">
        <v>174086.51599999995</v>
      </c>
    </row>
    <row r="45" spans="1:26" ht="12.75" x14ac:dyDescent="0.2">
      <c r="A45" s="269">
        <v>11</v>
      </c>
      <c r="B45" s="269">
        <v>1</v>
      </c>
      <c r="C45" s="270" t="s">
        <v>254</v>
      </c>
      <c r="D45" s="271">
        <v>3</v>
      </c>
      <c r="E45" s="248">
        <v>37509.620000000003</v>
      </c>
      <c r="F45" s="247">
        <v>2467020.1</v>
      </c>
      <c r="G45" s="247">
        <v>0</v>
      </c>
      <c r="H45" s="247">
        <v>0</v>
      </c>
      <c r="I45" s="247">
        <v>1872901.48</v>
      </c>
      <c r="J45" s="247">
        <v>3506957</v>
      </c>
      <c r="K45" s="247">
        <v>4339921.58</v>
      </c>
      <c r="L45" s="247">
        <v>3506957</v>
      </c>
      <c r="M45" s="247">
        <v>7846878.5800000001</v>
      </c>
      <c r="N45" s="247">
        <v>7846878.5800000001</v>
      </c>
      <c r="O45" s="172"/>
      <c r="P45" s="247">
        <v>65.770330384578671</v>
      </c>
      <c r="Q45" s="247">
        <v>0</v>
      </c>
      <c r="R45" s="247">
        <v>49.931230441684022</v>
      </c>
      <c r="S45" s="247">
        <v>93.494868782994857</v>
      </c>
      <c r="T45" s="248">
        <v>209.19642960925756</v>
      </c>
      <c r="U45" s="247">
        <v>0</v>
      </c>
      <c r="V45" s="247">
        <v>115.70156082626269</v>
      </c>
      <c r="W45" s="247">
        <v>93.494868782994857</v>
      </c>
      <c r="X45" s="247">
        <v>209.19642960925756</v>
      </c>
      <c r="Y45" s="247">
        <v>0</v>
      </c>
      <c r="Z45" s="247">
        <v>0</v>
      </c>
    </row>
    <row r="46" spans="1:26" ht="12.75" x14ac:dyDescent="0.2">
      <c r="A46" s="269">
        <v>12</v>
      </c>
      <c r="B46" s="269">
        <v>1</v>
      </c>
      <c r="C46" s="270" t="s">
        <v>256</v>
      </c>
      <c r="D46" s="271">
        <v>3</v>
      </c>
      <c r="E46" s="248">
        <v>6410.17</v>
      </c>
      <c r="F46" s="247">
        <v>132880.75</v>
      </c>
      <c r="G46" s="247">
        <v>418151.23302857147</v>
      </c>
      <c r="H46" s="247">
        <v>1465413.7909714286</v>
      </c>
      <c r="I46" s="247">
        <v>0</v>
      </c>
      <c r="J46" s="247">
        <v>418978</v>
      </c>
      <c r="K46" s="247">
        <v>0</v>
      </c>
      <c r="L46" s="247">
        <v>418978</v>
      </c>
      <c r="M46" s="247">
        <v>970009.98302857147</v>
      </c>
      <c r="N46" s="247">
        <v>1884391.7909714286</v>
      </c>
      <c r="O46" s="172"/>
      <c r="P46" s="247">
        <v>20.729676436038357</v>
      </c>
      <c r="Q46" s="247">
        <v>65.232471686175472</v>
      </c>
      <c r="R46" s="247">
        <v>0</v>
      </c>
      <c r="S46" s="247">
        <v>65.3614490723335</v>
      </c>
      <c r="T46" s="248">
        <v>151.32359719454732</v>
      </c>
      <c r="U46" s="247">
        <v>228.607633022436</v>
      </c>
      <c r="V46" s="247">
        <v>0</v>
      </c>
      <c r="W46" s="247">
        <v>65.3614490723335</v>
      </c>
      <c r="X46" s="247">
        <v>293.96908209476948</v>
      </c>
      <c r="Y46" s="247">
        <v>142.64548490022216</v>
      </c>
      <c r="Z46" s="247">
        <v>914381.80794285715</v>
      </c>
    </row>
    <row r="47" spans="1:26" ht="12.75" x14ac:dyDescent="0.2">
      <c r="A47" s="269">
        <v>13</v>
      </c>
      <c r="B47" s="269">
        <v>1</v>
      </c>
      <c r="C47" s="270" t="s">
        <v>258</v>
      </c>
      <c r="D47" s="271">
        <v>2</v>
      </c>
      <c r="E47" s="248">
        <v>3035.96</v>
      </c>
      <c r="F47" s="247">
        <v>513965.68800000008</v>
      </c>
      <c r="G47" s="247">
        <v>208106.4</v>
      </c>
      <c r="H47" s="247">
        <v>730151.10000000009</v>
      </c>
      <c r="I47" s="247">
        <v>240000</v>
      </c>
      <c r="J47" s="247">
        <v>0</v>
      </c>
      <c r="K47" s="247">
        <v>240000</v>
      </c>
      <c r="L47" s="247">
        <v>0</v>
      </c>
      <c r="M47" s="247">
        <v>962072.08800000011</v>
      </c>
      <c r="N47" s="247">
        <v>970151.10000000009</v>
      </c>
      <c r="O47" s="172"/>
      <c r="P47" s="247">
        <v>169.29264153677917</v>
      </c>
      <c r="Q47" s="247">
        <v>68.547148183770531</v>
      </c>
      <c r="R47" s="247">
        <v>79.052424933134816</v>
      </c>
      <c r="S47" s="247">
        <v>0</v>
      </c>
      <c r="T47" s="248">
        <v>316.8922146536845</v>
      </c>
      <c r="U47" s="247">
        <v>240.50089592748262</v>
      </c>
      <c r="V47" s="247">
        <v>79.052424933134816</v>
      </c>
      <c r="W47" s="247">
        <v>0</v>
      </c>
      <c r="X47" s="247">
        <v>319.55332086061742</v>
      </c>
      <c r="Y47" s="247">
        <v>2.6611062069328937</v>
      </c>
      <c r="Z47" s="247">
        <v>8079.0119999999879</v>
      </c>
    </row>
    <row r="48" spans="1:26" ht="12.75" x14ac:dyDescent="0.2">
      <c r="A48" s="269">
        <v>14</v>
      </c>
      <c r="B48" s="269">
        <v>1</v>
      </c>
      <c r="C48" s="270" t="s">
        <v>260</v>
      </c>
      <c r="D48" s="271">
        <v>3</v>
      </c>
      <c r="E48" s="248">
        <v>2997.43</v>
      </c>
      <c r="F48" s="247">
        <v>400693.80800000002</v>
      </c>
      <c r="G48" s="247">
        <v>207858.6</v>
      </c>
      <c r="H48" s="247">
        <v>730240.8</v>
      </c>
      <c r="I48" s="247">
        <v>10125</v>
      </c>
      <c r="J48" s="247">
        <v>1503259</v>
      </c>
      <c r="K48" s="247">
        <v>10125</v>
      </c>
      <c r="L48" s="247">
        <v>1503259</v>
      </c>
      <c r="M48" s="247">
        <v>2121936.4079999998</v>
      </c>
      <c r="N48" s="247">
        <v>2243624.7999999998</v>
      </c>
      <c r="O48" s="172"/>
      <c r="P48" s="247">
        <v>133.67912111375412</v>
      </c>
      <c r="Q48" s="247">
        <v>69.345606069199292</v>
      </c>
      <c r="R48" s="247">
        <v>3.3778937289611437</v>
      </c>
      <c r="S48" s="247">
        <v>501.51596534364444</v>
      </c>
      <c r="T48" s="248">
        <v>707.91858625555892</v>
      </c>
      <c r="U48" s="247">
        <v>243.62230310632779</v>
      </c>
      <c r="V48" s="247">
        <v>3.3778937289611437</v>
      </c>
      <c r="W48" s="247">
        <v>501.51596534364444</v>
      </c>
      <c r="X48" s="247">
        <v>748.51616217893331</v>
      </c>
      <c r="Y48" s="247">
        <v>40.597575923374357</v>
      </c>
      <c r="Z48" s="247">
        <v>121688.39199999999</v>
      </c>
    </row>
    <row r="49" spans="1:26" ht="12.75" x14ac:dyDescent="0.2">
      <c r="A49" s="269">
        <v>15</v>
      </c>
      <c r="B49" s="269">
        <v>1</v>
      </c>
      <c r="C49" s="270" t="s">
        <v>262</v>
      </c>
      <c r="D49" s="271">
        <v>3</v>
      </c>
      <c r="E49" s="248">
        <v>4908.5599999999995</v>
      </c>
      <c r="F49" s="247">
        <v>184234.364</v>
      </c>
      <c r="G49" s="247">
        <v>310540.05102857144</v>
      </c>
      <c r="H49" s="247">
        <v>1085795.9074285715</v>
      </c>
      <c r="I49" s="247">
        <v>0</v>
      </c>
      <c r="J49" s="247">
        <v>973143</v>
      </c>
      <c r="K49" s="247">
        <v>0</v>
      </c>
      <c r="L49" s="247">
        <v>973143</v>
      </c>
      <c r="M49" s="247">
        <v>1467917.4150285714</v>
      </c>
      <c r="N49" s="247">
        <v>2058938.9074285715</v>
      </c>
      <c r="O49" s="172"/>
      <c r="P49" s="247">
        <v>37.533281451179171</v>
      </c>
      <c r="Q49" s="247">
        <v>63.26500053550766</v>
      </c>
      <c r="R49" s="247">
        <v>0</v>
      </c>
      <c r="S49" s="247">
        <v>198.25427416594687</v>
      </c>
      <c r="T49" s="248">
        <v>299.05255615263366</v>
      </c>
      <c r="U49" s="247">
        <v>221.20457067420418</v>
      </c>
      <c r="V49" s="247">
        <v>0</v>
      </c>
      <c r="W49" s="247">
        <v>198.25427416594687</v>
      </c>
      <c r="X49" s="247">
        <v>419.45884484015102</v>
      </c>
      <c r="Y49" s="247">
        <v>120.40628868751735</v>
      </c>
      <c r="Z49" s="247">
        <v>591021.4924000001</v>
      </c>
    </row>
    <row r="50" spans="1:26" ht="12.75" x14ac:dyDescent="0.2">
      <c r="A50" s="269">
        <v>16</v>
      </c>
      <c r="B50" s="269">
        <v>1</v>
      </c>
      <c r="C50" s="270" t="s">
        <v>264</v>
      </c>
      <c r="D50" s="271">
        <v>3</v>
      </c>
      <c r="E50" s="248">
        <v>5097.1000000000004</v>
      </c>
      <c r="F50" s="247">
        <v>497324.712</v>
      </c>
      <c r="G50" s="247">
        <v>315278.16960000002</v>
      </c>
      <c r="H50" s="247">
        <v>1107192.0530285714</v>
      </c>
      <c r="I50" s="247">
        <v>286390.39799999999</v>
      </c>
      <c r="J50" s="247">
        <v>694280</v>
      </c>
      <c r="K50" s="247">
        <v>286390.39799999999</v>
      </c>
      <c r="L50" s="247">
        <v>694280</v>
      </c>
      <c r="M50" s="247">
        <v>1793273.2796</v>
      </c>
      <c r="N50" s="247">
        <v>2087862.4510285715</v>
      </c>
      <c r="O50" s="172"/>
      <c r="P50" s="247">
        <v>97.570130466343599</v>
      </c>
      <c r="Q50" s="247">
        <v>61.854421062957371</v>
      </c>
      <c r="R50" s="247">
        <v>56.186929430460452</v>
      </c>
      <c r="S50" s="247">
        <v>136.21078652567144</v>
      </c>
      <c r="T50" s="248">
        <v>351.82226748543286</v>
      </c>
      <c r="U50" s="247">
        <v>217.21999823989549</v>
      </c>
      <c r="V50" s="247">
        <v>56.186929430460452</v>
      </c>
      <c r="W50" s="247">
        <v>136.21078652567144</v>
      </c>
      <c r="X50" s="247">
        <v>409.61771419602741</v>
      </c>
      <c r="Y50" s="247">
        <v>57.79544671059454</v>
      </c>
      <c r="Z50" s="247">
        <v>294589.17142857146</v>
      </c>
    </row>
    <row r="51" spans="1:26" ht="12.75" x14ac:dyDescent="0.2">
      <c r="A51" s="269">
        <v>22</v>
      </c>
      <c r="B51" s="269">
        <v>1</v>
      </c>
      <c r="C51" s="270" t="s">
        <v>266</v>
      </c>
      <c r="D51" s="271">
        <v>4</v>
      </c>
      <c r="E51" s="248">
        <v>2862.5</v>
      </c>
      <c r="F51" s="247">
        <v>151396.38400000002</v>
      </c>
      <c r="G51" s="247">
        <v>198254.4</v>
      </c>
      <c r="H51" s="247">
        <v>696893.1</v>
      </c>
      <c r="I51" s="247">
        <v>0</v>
      </c>
      <c r="J51" s="247">
        <v>0</v>
      </c>
      <c r="K51" s="247">
        <v>0</v>
      </c>
      <c r="L51" s="247">
        <v>0</v>
      </c>
      <c r="M51" s="247">
        <v>349650.78399999999</v>
      </c>
      <c r="N51" s="247">
        <v>696893.1</v>
      </c>
      <c r="O51" s="172"/>
      <c r="P51" s="247">
        <v>52.889566462882101</v>
      </c>
      <c r="Q51" s="247">
        <v>69.259179039301301</v>
      </c>
      <c r="R51" s="247">
        <v>0</v>
      </c>
      <c r="S51" s="247">
        <v>0</v>
      </c>
      <c r="T51" s="248">
        <v>122.1487455021834</v>
      </c>
      <c r="U51" s="247">
        <v>243.45610480349345</v>
      </c>
      <c r="V51" s="247">
        <v>0</v>
      </c>
      <c r="W51" s="247">
        <v>0</v>
      </c>
      <c r="X51" s="247">
        <v>243.45610480349345</v>
      </c>
      <c r="Y51" s="247">
        <v>121.30735930131004</v>
      </c>
      <c r="Z51" s="247">
        <v>347242.31599999999</v>
      </c>
    </row>
    <row r="52" spans="1:26" ht="12.75" x14ac:dyDescent="0.2">
      <c r="A52" s="269">
        <v>23</v>
      </c>
      <c r="B52" s="269">
        <v>1</v>
      </c>
      <c r="C52" s="270" t="s">
        <v>268</v>
      </c>
      <c r="D52" s="271">
        <v>6</v>
      </c>
      <c r="E52" s="248">
        <v>914.6400000000001</v>
      </c>
      <c r="F52" s="247">
        <v>45897.24</v>
      </c>
      <c r="G52" s="247">
        <v>57265.656685714275</v>
      </c>
      <c r="H52" s="247">
        <v>201466.95177142858</v>
      </c>
      <c r="I52" s="247">
        <v>0</v>
      </c>
      <c r="J52" s="247">
        <v>190605</v>
      </c>
      <c r="K52" s="247">
        <v>0</v>
      </c>
      <c r="L52" s="247">
        <v>190605</v>
      </c>
      <c r="M52" s="247">
        <v>293767.89668571425</v>
      </c>
      <c r="N52" s="247">
        <v>392071.95177142858</v>
      </c>
      <c r="O52" s="172"/>
      <c r="P52" s="247">
        <v>50.180661243768036</v>
      </c>
      <c r="Q52" s="247">
        <v>62.610050605390391</v>
      </c>
      <c r="R52" s="247">
        <v>0</v>
      </c>
      <c r="S52" s="247">
        <v>208.39346628181576</v>
      </c>
      <c r="T52" s="248">
        <v>321.18417813097415</v>
      </c>
      <c r="U52" s="247">
        <v>220.26912421436691</v>
      </c>
      <c r="V52" s="247">
        <v>0</v>
      </c>
      <c r="W52" s="247">
        <v>208.39346628181576</v>
      </c>
      <c r="X52" s="247">
        <v>428.6625904961827</v>
      </c>
      <c r="Y52" s="247">
        <v>107.47841236520851</v>
      </c>
      <c r="Z52" s="247">
        <v>98304.055085714324</v>
      </c>
    </row>
    <row r="53" spans="1:26" ht="12.75" x14ac:dyDescent="0.2">
      <c r="A53" s="269">
        <v>25</v>
      </c>
      <c r="B53" s="269">
        <v>1</v>
      </c>
      <c r="C53" s="270" t="s">
        <v>270</v>
      </c>
      <c r="D53" s="271">
        <v>6</v>
      </c>
      <c r="E53" s="248">
        <v>64.12</v>
      </c>
      <c r="F53" s="247">
        <v>7472.6679999999997</v>
      </c>
      <c r="G53" s="247">
        <v>1259.6571428571428</v>
      </c>
      <c r="H53" s="247">
        <v>8732.3251428571421</v>
      </c>
      <c r="I53" s="247">
        <v>0</v>
      </c>
      <c r="J53" s="247">
        <v>0</v>
      </c>
      <c r="K53" s="247">
        <v>0</v>
      </c>
      <c r="L53" s="247">
        <v>0</v>
      </c>
      <c r="M53" s="247">
        <v>8732.3251428571421</v>
      </c>
      <c r="N53" s="247">
        <v>8732.3251428571421</v>
      </c>
      <c r="O53" s="172"/>
      <c r="P53" s="247">
        <v>116.54192139737989</v>
      </c>
      <c r="Q53" s="247">
        <v>19.645307904821316</v>
      </c>
      <c r="R53" s="247">
        <v>0</v>
      </c>
      <c r="S53" s="247">
        <v>0</v>
      </c>
      <c r="T53" s="248">
        <v>136.18722930220122</v>
      </c>
      <c r="U53" s="247">
        <v>136.18722930220122</v>
      </c>
      <c r="V53" s="247">
        <v>0</v>
      </c>
      <c r="W53" s="247">
        <v>0</v>
      </c>
      <c r="X53" s="247">
        <v>136.18722930220122</v>
      </c>
      <c r="Y53" s="247">
        <v>0</v>
      </c>
      <c r="Z53" s="247">
        <v>0</v>
      </c>
    </row>
    <row r="54" spans="1:26" ht="12.75" x14ac:dyDescent="0.2">
      <c r="A54" s="269">
        <v>31</v>
      </c>
      <c r="B54" s="269">
        <v>1</v>
      </c>
      <c r="C54" s="270" t="s">
        <v>272</v>
      </c>
      <c r="D54" s="271">
        <v>4</v>
      </c>
      <c r="E54" s="248">
        <v>5095.26</v>
      </c>
      <c r="F54" s="247">
        <v>305815.73199999996</v>
      </c>
      <c r="G54" s="247">
        <v>251536.79639999996</v>
      </c>
      <c r="H54" s="247">
        <v>883773.13239999989</v>
      </c>
      <c r="I54" s="247">
        <v>0</v>
      </c>
      <c r="J54" s="247">
        <v>0</v>
      </c>
      <c r="K54" s="247">
        <v>0</v>
      </c>
      <c r="L54" s="247">
        <v>0</v>
      </c>
      <c r="M54" s="247">
        <v>557352.52839999995</v>
      </c>
      <c r="N54" s="247">
        <v>883773.13239999989</v>
      </c>
      <c r="O54" s="172"/>
      <c r="P54" s="247">
        <v>60.019651990281154</v>
      </c>
      <c r="Q54" s="247">
        <v>49.366822576276768</v>
      </c>
      <c r="R54" s="247">
        <v>0</v>
      </c>
      <c r="S54" s="247">
        <v>0</v>
      </c>
      <c r="T54" s="248">
        <v>109.38647456655792</v>
      </c>
      <c r="U54" s="247">
        <v>173.45005601284328</v>
      </c>
      <c r="V54" s="247">
        <v>0</v>
      </c>
      <c r="W54" s="247">
        <v>0</v>
      </c>
      <c r="X54" s="247">
        <v>173.45005601284328</v>
      </c>
      <c r="Y54" s="247">
        <v>64.063581446285355</v>
      </c>
      <c r="Z54" s="247">
        <v>326420.60399999993</v>
      </c>
    </row>
    <row r="55" spans="1:26" ht="12.75" x14ac:dyDescent="0.2">
      <c r="A55" s="269">
        <v>32</v>
      </c>
      <c r="B55" s="269">
        <v>1</v>
      </c>
      <c r="C55" s="270" t="s">
        <v>274</v>
      </c>
      <c r="D55" s="271">
        <v>6</v>
      </c>
      <c r="E55" s="248">
        <v>611.96</v>
      </c>
      <c r="F55" s="247">
        <v>26989</v>
      </c>
      <c r="G55" s="247">
        <v>42030.687085714293</v>
      </c>
      <c r="H55" s="247">
        <v>147316.24594285715</v>
      </c>
      <c r="I55" s="247">
        <v>0</v>
      </c>
      <c r="J55" s="247">
        <v>0</v>
      </c>
      <c r="K55" s="247">
        <v>0</v>
      </c>
      <c r="L55" s="247">
        <v>0</v>
      </c>
      <c r="M55" s="247">
        <v>69019.687085714293</v>
      </c>
      <c r="N55" s="247">
        <v>147316.24594285715</v>
      </c>
      <c r="O55" s="172"/>
      <c r="P55" s="247">
        <v>44.102555722596243</v>
      </c>
      <c r="Q55" s="247">
        <v>68.682082302298014</v>
      </c>
      <c r="R55" s="247">
        <v>0</v>
      </c>
      <c r="S55" s="247">
        <v>0</v>
      </c>
      <c r="T55" s="248">
        <v>112.78463802489425</v>
      </c>
      <c r="U55" s="247">
        <v>240.72855406048947</v>
      </c>
      <c r="V55" s="247">
        <v>0</v>
      </c>
      <c r="W55" s="247">
        <v>0</v>
      </c>
      <c r="X55" s="247">
        <v>240.72855406048947</v>
      </c>
      <c r="Y55" s="247">
        <v>127.94391603559521</v>
      </c>
      <c r="Z55" s="247">
        <v>78296.558857142853</v>
      </c>
    </row>
    <row r="56" spans="1:26" ht="12.75" x14ac:dyDescent="0.2">
      <c r="A56" s="269">
        <v>36</v>
      </c>
      <c r="B56" s="269">
        <v>1</v>
      </c>
      <c r="C56" s="270" t="s">
        <v>276</v>
      </c>
      <c r="D56" s="271">
        <v>6</v>
      </c>
      <c r="E56" s="248">
        <v>259.77999999999997</v>
      </c>
      <c r="F56" s="247">
        <v>0</v>
      </c>
      <c r="G56" s="247">
        <v>11216.649599999999</v>
      </c>
      <c r="H56" s="247">
        <v>39399.110399999998</v>
      </c>
      <c r="I56" s="247">
        <v>0</v>
      </c>
      <c r="J56" s="247">
        <v>0</v>
      </c>
      <c r="K56" s="247">
        <v>0</v>
      </c>
      <c r="L56" s="247">
        <v>0</v>
      </c>
      <c r="M56" s="247">
        <v>11216.649599999999</v>
      </c>
      <c r="N56" s="247">
        <v>39399.110399999998</v>
      </c>
      <c r="O56" s="172"/>
      <c r="P56" s="247">
        <v>0</v>
      </c>
      <c r="Q56" s="247">
        <v>43.177494803295097</v>
      </c>
      <c r="R56" s="247">
        <v>0</v>
      </c>
      <c r="S56" s="247">
        <v>0</v>
      </c>
      <c r="T56" s="248">
        <v>43.177494803295097</v>
      </c>
      <c r="U56" s="247">
        <v>151.66337054430673</v>
      </c>
      <c r="V56" s="247">
        <v>0</v>
      </c>
      <c r="W56" s="247">
        <v>0</v>
      </c>
      <c r="X56" s="247">
        <v>151.66337054430673</v>
      </c>
      <c r="Y56" s="247">
        <v>108.48587574101164</v>
      </c>
      <c r="Z56" s="247">
        <v>28182.460800000001</v>
      </c>
    </row>
    <row r="57" spans="1:26" ht="12.75" x14ac:dyDescent="0.2">
      <c r="A57" s="269">
        <v>38</v>
      </c>
      <c r="B57" s="269">
        <v>1</v>
      </c>
      <c r="C57" s="270" t="s">
        <v>278</v>
      </c>
      <c r="D57" s="271">
        <v>5</v>
      </c>
      <c r="E57" s="248">
        <v>1375.5900000000001</v>
      </c>
      <c r="F57" s="247">
        <v>61047.097999999998</v>
      </c>
      <c r="G57" s="247">
        <v>51989.84074285713</v>
      </c>
      <c r="H57" s="247">
        <v>182127.16191428571</v>
      </c>
      <c r="I57" s="247">
        <v>0</v>
      </c>
      <c r="J57" s="247">
        <v>0</v>
      </c>
      <c r="K57" s="247">
        <v>0</v>
      </c>
      <c r="L57" s="247">
        <v>0</v>
      </c>
      <c r="M57" s="247">
        <v>113036.93874285714</v>
      </c>
      <c r="N57" s="247">
        <v>182127.16191428571</v>
      </c>
      <c r="O57" s="172"/>
      <c r="P57" s="247">
        <v>44.37884689478696</v>
      </c>
      <c r="Q57" s="247">
        <v>37.794575958575685</v>
      </c>
      <c r="R57" s="247">
        <v>0</v>
      </c>
      <c r="S57" s="247">
        <v>0</v>
      </c>
      <c r="T57" s="248">
        <v>82.173422853362652</v>
      </c>
      <c r="U57" s="247">
        <v>132.39930641709063</v>
      </c>
      <c r="V57" s="247">
        <v>0</v>
      </c>
      <c r="W57" s="247">
        <v>0</v>
      </c>
      <c r="X57" s="247">
        <v>132.39930641709063</v>
      </c>
      <c r="Y57" s="247">
        <v>50.225883563727976</v>
      </c>
      <c r="Z57" s="247">
        <v>69090.223171428574</v>
      </c>
    </row>
    <row r="58" spans="1:26" ht="12.75" x14ac:dyDescent="0.2">
      <c r="A58" s="269">
        <v>47</v>
      </c>
      <c r="B58" s="269">
        <v>1</v>
      </c>
      <c r="C58" s="270" t="s">
        <v>280</v>
      </c>
      <c r="D58" s="271">
        <v>4</v>
      </c>
      <c r="E58" s="248">
        <v>3875.49</v>
      </c>
      <c r="F58" s="247">
        <v>153147.40600000002</v>
      </c>
      <c r="G58" s="247">
        <v>199617.5122285714</v>
      </c>
      <c r="H58" s="247">
        <v>702304.66879999998</v>
      </c>
      <c r="I58" s="247">
        <v>0</v>
      </c>
      <c r="J58" s="247">
        <v>0</v>
      </c>
      <c r="K58" s="247">
        <v>0</v>
      </c>
      <c r="L58" s="247">
        <v>0</v>
      </c>
      <c r="M58" s="247">
        <v>352764.91822857142</v>
      </c>
      <c r="N58" s="247">
        <v>702304.66879999998</v>
      </c>
      <c r="O58" s="172"/>
      <c r="P58" s="247">
        <v>39.516914248262808</v>
      </c>
      <c r="Q58" s="247">
        <v>51.507683474495202</v>
      </c>
      <c r="R58" s="247">
        <v>0</v>
      </c>
      <c r="S58" s="247">
        <v>0</v>
      </c>
      <c r="T58" s="248">
        <v>91.024597722758003</v>
      </c>
      <c r="U58" s="247">
        <v>181.21699934717932</v>
      </c>
      <c r="V58" s="247">
        <v>0</v>
      </c>
      <c r="W58" s="247">
        <v>0</v>
      </c>
      <c r="X58" s="247">
        <v>181.21699934717932</v>
      </c>
      <c r="Y58" s="247">
        <v>90.192401624421322</v>
      </c>
      <c r="Z58" s="247">
        <v>349539.75057142857</v>
      </c>
    </row>
    <row r="59" spans="1:26" ht="12.75" x14ac:dyDescent="0.2">
      <c r="A59" s="269">
        <v>51</v>
      </c>
      <c r="B59" s="269">
        <v>1</v>
      </c>
      <c r="C59" s="270" t="s">
        <v>282</v>
      </c>
      <c r="D59" s="271">
        <v>5</v>
      </c>
      <c r="E59" s="248">
        <v>1766.12</v>
      </c>
      <c r="F59" s="247">
        <v>73146.027999999991</v>
      </c>
      <c r="G59" s="247">
        <v>69690.532799999986</v>
      </c>
      <c r="H59" s="247">
        <v>244187.06239999997</v>
      </c>
      <c r="I59" s="247">
        <v>0</v>
      </c>
      <c r="J59" s="247">
        <v>0</v>
      </c>
      <c r="K59" s="247">
        <v>0</v>
      </c>
      <c r="L59" s="247">
        <v>0</v>
      </c>
      <c r="M59" s="247">
        <v>142836.56079999998</v>
      </c>
      <c r="N59" s="247">
        <v>244187.06239999997</v>
      </c>
      <c r="O59" s="172"/>
      <c r="P59" s="247">
        <v>41.416227662899459</v>
      </c>
      <c r="Q59" s="247">
        <v>39.459681561841769</v>
      </c>
      <c r="R59" s="247">
        <v>0</v>
      </c>
      <c r="S59" s="247">
        <v>0</v>
      </c>
      <c r="T59" s="248">
        <v>80.875909224741235</v>
      </c>
      <c r="U59" s="247">
        <v>138.26187484429144</v>
      </c>
      <c r="V59" s="247">
        <v>0</v>
      </c>
      <c r="W59" s="247">
        <v>0</v>
      </c>
      <c r="X59" s="247">
        <v>138.26187484429144</v>
      </c>
      <c r="Y59" s="247">
        <v>57.385965619550198</v>
      </c>
      <c r="Z59" s="247">
        <v>101350.50159999999</v>
      </c>
    </row>
    <row r="60" spans="1:26" ht="12.75" x14ac:dyDescent="0.2">
      <c r="A60" s="269">
        <v>75</v>
      </c>
      <c r="B60" s="269">
        <v>1</v>
      </c>
      <c r="C60" s="270" t="s">
        <v>284</v>
      </c>
      <c r="D60" s="271">
        <v>6</v>
      </c>
      <c r="E60" s="248">
        <v>622.03</v>
      </c>
      <c r="F60" s="247">
        <v>46813.383999999998</v>
      </c>
      <c r="G60" s="247">
        <v>37001.183142857146</v>
      </c>
      <c r="H60" s="247">
        <v>130002.2987142857</v>
      </c>
      <c r="I60" s="247">
        <v>0</v>
      </c>
      <c r="J60" s="247">
        <v>0</v>
      </c>
      <c r="K60" s="247">
        <v>0</v>
      </c>
      <c r="L60" s="247">
        <v>0</v>
      </c>
      <c r="M60" s="247">
        <v>83814.567142857151</v>
      </c>
      <c r="N60" s="247">
        <v>130002.2987142857</v>
      </c>
      <c r="O60" s="172"/>
      <c r="P60" s="247">
        <v>75.259045383663164</v>
      </c>
      <c r="Q60" s="247">
        <v>59.484563675155776</v>
      </c>
      <c r="R60" s="247">
        <v>0</v>
      </c>
      <c r="S60" s="247">
        <v>0</v>
      </c>
      <c r="T60" s="248">
        <v>134.74360905881895</v>
      </c>
      <c r="U60" s="247">
        <v>208.99683088321416</v>
      </c>
      <c r="V60" s="247">
        <v>0</v>
      </c>
      <c r="W60" s="247">
        <v>0</v>
      </c>
      <c r="X60" s="247">
        <v>208.99683088321416</v>
      </c>
      <c r="Y60" s="247">
        <v>74.253221824395212</v>
      </c>
      <c r="Z60" s="247">
        <v>46187.731571428551</v>
      </c>
    </row>
    <row r="61" spans="1:26" ht="12.75" x14ac:dyDescent="0.2">
      <c r="A61" s="269">
        <v>77</v>
      </c>
      <c r="B61" s="269">
        <v>1</v>
      </c>
      <c r="C61" s="270" t="s">
        <v>286</v>
      </c>
      <c r="D61" s="271">
        <v>4</v>
      </c>
      <c r="E61" s="248">
        <v>7933.4800000000005</v>
      </c>
      <c r="F61" s="247">
        <v>580805.85399999993</v>
      </c>
      <c r="G61" s="247">
        <v>541456.20000000007</v>
      </c>
      <c r="H61" s="247">
        <v>1902801.4999999998</v>
      </c>
      <c r="I61" s="247">
        <v>0</v>
      </c>
      <c r="J61" s="247">
        <v>0</v>
      </c>
      <c r="K61" s="247">
        <v>0</v>
      </c>
      <c r="L61" s="247">
        <v>0</v>
      </c>
      <c r="M61" s="247">
        <v>1122262.054</v>
      </c>
      <c r="N61" s="247">
        <v>1902801.4999999998</v>
      </c>
      <c r="O61" s="172"/>
      <c r="P61" s="247">
        <v>73.209468480414628</v>
      </c>
      <c r="Q61" s="247">
        <v>68.249519756777616</v>
      </c>
      <c r="R61" s="247">
        <v>0</v>
      </c>
      <c r="S61" s="247">
        <v>0</v>
      </c>
      <c r="T61" s="248">
        <v>141.45898823719224</v>
      </c>
      <c r="U61" s="247">
        <v>239.84449447153074</v>
      </c>
      <c r="V61" s="247">
        <v>0</v>
      </c>
      <c r="W61" s="247">
        <v>0</v>
      </c>
      <c r="X61" s="247">
        <v>239.84449447153074</v>
      </c>
      <c r="Y61" s="247">
        <v>98.385506234338493</v>
      </c>
      <c r="Z61" s="247">
        <v>780539.44599999976</v>
      </c>
    </row>
    <row r="62" spans="1:26" ht="12.75" x14ac:dyDescent="0.2">
      <c r="A62" s="269">
        <v>81</v>
      </c>
      <c r="B62" s="269">
        <v>1</v>
      </c>
      <c r="C62" s="270" t="s">
        <v>288</v>
      </c>
      <c r="D62" s="271">
        <v>6</v>
      </c>
      <c r="E62" s="248">
        <v>167.57</v>
      </c>
      <c r="F62" s="247">
        <v>15940.93</v>
      </c>
      <c r="G62" s="247">
        <v>11584.199999999999</v>
      </c>
      <c r="H62" s="247">
        <v>40332.800000000003</v>
      </c>
      <c r="I62" s="247">
        <v>0</v>
      </c>
      <c r="J62" s="247">
        <v>0</v>
      </c>
      <c r="K62" s="247">
        <v>0</v>
      </c>
      <c r="L62" s="247">
        <v>0</v>
      </c>
      <c r="M62" s="247">
        <v>27525.129999999997</v>
      </c>
      <c r="N62" s="247">
        <v>40332.800000000003</v>
      </c>
      <c r="O62" s="172"/>
      <c r="P62" s="247">
        <v>95.129975532613244</v>
      </c>
      <c r="Q62" s="247">
        <v>69.130512621590967</v>
      </c>
      <c r="R62" s="247">
        <v>0</v>
      </c>
      <c r="S62" s="247">
        <v>0</v>
      </c>
      <c r="T62" s="248">
        <v>164.26048815420421</v>
      </c>
      <c r="U62" s="247">
        <v>240.69224801575464</v>
      </c>
      <c r="V62" s="247">
        <v>0</v>
      </c>
      <c r="W62" s="247">
        <v>0</v>
      </c>
      <c r="X62" s="247">
        <v>240.69224801575464</v>
      </c>
      <c r="Y62" s="247">
        <v>76.431759861550432</v>
      </c>
      <c r="Z62" s="247">
        <v>12807.670000000006</v>
      </c>
    </row>
    <row r="63" spans="1:26" ht="12.75" x14ac:dyDescent="0.2">
      <c r="A63" s="269">
        <v>84</v>
      </c>
      <c r="B63" s="269">
        <v>1</v>
      </c>
      <c r="C63" s="270" t="s">
        <v>289</v>
      </c>
      <c r="D63" s="271">
        <v>6</v>
      </c>
      <c r="E63" s="248">
        <v>523.91999999999996</v>
      </c>
      <c r="F63" s="247">
        <v>77183.08</v>
      </c>
      <c r="G63" s="247">
        <v>37834.800000000003</v>
      </c>
      <c r="H63" s="247">
        <v>129777.5</v>
      </c>
      <c r="I63" s="247">
        <v>0</v>
      </c>
      <c r="J63" s="247">
        <v>339259</v>
      </c>
      <c r="K63" s="247">
        <v>0</v>
      </c>
      <c r="L63" s="247">
        <v>339259</v>
      </c>
      <c r="M63" s="247">
        <v>454276.88</v>
      </c>
      <c r="N63" s="247">
        <v>469036.5</v>
      </c>
      <c r="O63" s="172"/>
      <c r="P63" s="247">
        <v>147.3184455642083</v>
      </c>
      <c r="Q63" s="247">
        <v>72.214841960604687</v>
      </c>
      <c r="R63" s="247">
        <v>0</v>
      </c>
      <c r="S63" s="247">
        <v>647.53970071766685</v>
      </c>
      <c r="T63" s="248">
        <v>867.07298824247982</v>
      </c>
      <c r="U63" s="247">
        <v>247.70480225988703</v>
      </c>
      <c r="V63" s="247">
        <v>0</v>
      </c>
      <c r="W63" s="247">
        <v>647.53970071766685</v>
      </c>
      <c r="X63" s="247">
        <v>895.24450297755391</v>
      </c>
      <c r="Y63" s="247">
        <v>28.171514735074052</v>
      </c>
      <c r="Z63" s="247">
        <v>14759.619999999995</v>
      </c>
    </row>
    <row r="64" spans="1:26" ht="12.75" x14ac:dyDescent="0.2">
      <c r="A64" s="269">
        <v>85</v>
      </c>
      <c r="B64" s="269">
        <v>1</v>
      </c>
      <c r="C64" s="270" t="s">
        <v>291</v>
      </c>
      <c r="D64" s="271">
        <v>6</v>
      </c>
      <c r="E64" s="248">
        <v>605.19000000000005</v>
      </c>
      <c r="F64" s="247">
        <v>18450.862000000001</v>
      </c>
      <c r="G64" s="247">
        <v>40917.305828571429</v>
      </c>
      <c r="H64" s="247">
        <v>143641.89342857143</v>
      </c>
      <c r="I64" s="247">
        <v>0</v>
      </c>
      <c r="J64" s="247">
        <v>0</v>
      </c>
      <c r="K64" s="247">
        <v>0</v>
      </c>
      <c r="L64" s="247">
        <v>0</v>
      </c>
      <c r="M64" s="247">
        <v>59368.16782857143</v>
      </c>
      <c r="N64" s="247">
        <v>143641.89342857143</v>
      </c>
      <c r="O64" s="172"/>
      <c r="P64" s="247">
        <v>30.487717906773078</v>
      </c>
      <c r="Q64" s="247">
        <v>67.610677355163546</v>
      </c>
      <c r="R64" s="247">
        <v>0</v>
      </c>
      <c r="S64" s="247">
        <v>0</v>
      </c>
      <c r="T64" s="248">
        <v>98.098395261936616</v>
      </c>
      <c r="U64" s="247">
        <v>237.35007754353413</v>
      </c>
      <c r="V64" s="247">
        <v>0</v>
      </c>
      <c r="W64" s="247">
        <v>0</v>
      </c>
      <c r="X64" s="247">
        <v>237.35007754353413</v>
      </c>
      <c r="Y64" s="247">
        <v>139.25168228159751</v>
      </c>
      <c r="Z64" s="247">
        <v>84273.725600000005</v>
      </c>
    </row>
    <row r="65" spans="1:26" ht="12.75" x14ac:dyDescent="0.2">
      <c r="A65" s="269">
        <v>88</v>
      </c>
      <c r="B65" s="269">
        <v>1</v>
      </c>
      <c r="C65" s="270" t="s">
        <v>293</v>
      </c>
      <c r="D65" s="271">
        <v>4</v>
      </c>
      <c r="E65" s="248">
        <v>1974.0200000000002</v>
      </c>
      <c r="F65" s="247">
        <v>266032.13199999998</v>
      </c>
      <c r="G65" s="247">
        <v>137509.79999999999</v>
      </c>
      <c r="H65" s="247">
        <v>483489.9</v>
      </c>
      <c r="I65" s="247">
        <v>0</v>
      </c>
      <c r="J65" s="247">
        <v>818011</v>
      </c>
      <c r="K65" s="247">
        <v>0</v>
      </c>
      <c r="L65" s="247">
        <v>818011</v>
      </c>
      <c r="M65" s="247">
        <v>1221552.932</v>
      </c>
      <c r="N65" s="247">
        <v>1301500.8999999999</v>
      </c>
      <c r="O65" s="172"/>
      <c r="P65" s="247">
        <v>134.76668524128425</v>
      </c>
      <c r="Q65" s="247">
        <v>69.659780549335863</v>
      </c>
      <c r="R65" s="247">
        <v>0</v>
      </c>
      <c r="S65" s="247">
        <v>414.38840538596361</v>
      </c>
      <c r="T65" s="248">
        <v>618.81487117658378</v>
      </c>
      <c r="U65" s="247">
        <v>244.92654583033604</v>
      </c>
      <c r="V65" s="247">
        <v>0</v>
      </c>
      <c r="W65" s="247">
        <v>414.38840538596361</v>
      </c>
      <c r="X65" s="247">
        <v>659.31495121629962</v>
      </c>
      <c r="Y65" s="247">
        <v>40.50008003971584</v>
      </c>
      <c r="Z65" s="247">
        <v>79947.967999999877</v>
      </c>
    </row>
    <row r="66" spans="1:26" ht="12.75" x14ac:dyDescent="0.2">
      <c r="A66" s="269">
        <v>91</v>
      </c>
      <c r="B66" s="269">
        <v>1</v>
      </c>
      <c r="C66" s="270" t="s">
        <v>295</v>
      </c>
      <c r="D66" s="271">
        <v>6</v>
      </c>
      <c r="E66" s="248">
        <v>796.46</v>
      </c>
      <c r="F66" s="247">
        <v>34925.797999999995</v>
      </c>
      <c r="G66" s="247">
        <v>48100.554514285708</v>
      </c>
      <c r="H66" s="247">
        <v>169225.17325714286</v>
      </c>
      <c r="I66" s="247">
        <v>0</v>
      </c>
      <c r="J66" s="247">
        <v>0</v>
      </c>
      <c r="K66" s="247">
        <v>0</v>
      </c>
      <c r="L66" s="247">
        <v>0</v>
      </c>
      <c r="M66" s="247">
        <v>83026.352514285711</v>
      </c>
      <c r="N66" s="247">
        <v>169225.17325714286</v>
      </c>
      <c r="O66" s="172"/>
      <c r="P66" s="247">
        <v>43.851289455842092</v>
      </c>
      <c r="Q66" s="247">
        <v>60.392931866365799</v>
      </c>
      <c r="R66" s="247">
        <v>0</v>
      </c>
      <c r="S66" s="247">
        <v>0</v>
      </c>
      <c r="T66" s="248">
        <v>104.24422132220791</v>
      </c>
      <c r="U66" s="247">
        <v>212.47165363878017</v>
      </c>
      <c r="V66" s="247">
        <v>0</v>
      </c>
      <c r="W66" s="247">
        <v>0</v>
      </c>
      <c r="X66" s="247">
        <v>212.47165363878017</v>
      </c>
      <c r="Y66" s="247">
        <v>108.22743231657226</v>
      </c>
      <c r="Z66" s="247">
        <v>86198.820742857148</v>
      </c>
    </row>
    <row r="67" spans="1:26" ht="12.75" x14ac:dyDescent="0.2">
      <c r="A67" s="269">
        <v>93</v>
      </c>
      <c r="B67" s="269">
        <v>1</v>
      </c>
      <c r="C67" s="270" t="s">
        <v>297</v>
      </c>
      <c r="D67" s="271">
        <v>6</v>
      </c>
      <c r="E67" s="248">
        <v>455.61</v>
      </c>
      <c r="F67" s="247">
        <v>40218.112000000001</v>
      </c>
      <c r="G67" s="247">
        <v>31353.599999999999</v>
      </c>
      <c r="H67" s="247">
        <v>109753.7</v>
      </c>
      <c r="I67" s="247">
        <v>0</v>
      </c>
      <c r="J67" s="247">
        <v>0</v>
      </c>
      <c r="K67" s="247">
        <v>0</v>
      </c>
      <c r="L67" s="247">
        <v>0</v>
      </c>
      <c r="M67" s="247">
        <v>71571.712</v>
      </c>
      <c r="N67" s="247">
        <v>109753.7</v>
      </c>
      <c r="O67" s="172"/>
      <c r="P67" s="247">
        <v>88.273110774565964</v>
      </c>
      <c r="Q67" s="247">
        <v>68.81675116876275</v>
      </c>
      <c r="R67" s="247">
        <v>0</v>
      </c>
      <c r="S67" s="247">
        <v>0</v>
      </c>
      <c r="T67" s="248">
        <v>157.08986194332871</v>
      </c>
      <c r="U67" s="247">
        <v>240.89396633085312</v>
      </c>
      <c r="V67" s="247">
        <v>0</v>
      </c>
      <c r="W67" s="247">
        <v>0</v>
      </c>
      <c r="X67" s="247">
        <v>240.89396633085312</v>
      </c>
      <c r="Y67" s="247">
        <v>83.804104387524404</v>
      </c>
      <c r="Z67" s="247">
        <v>38181.987999999998</v>
      </c>
    </row>
    <row r="68" spans="1:26" ht="12.75" x14ac:dyDescent="0.2">
      <c r="A68" s="269">
        <v>94</v>
      </c>
      <c r="B68" s="269">
        <v>1</v>
      </c>
      <c r="C68" s="270" t="s">
        <v>299</v>
      </c>
      <c r="D68" s="271">
        <v>4</v>
      </c>
      <c r="E68" s="248">
        <v>2646.26</v>
      </c>
      <c r="F68" s="247">
        <v>232717.82</v>
      </c>
      <c r="G68" s="247">
        <v>181737.60000000001</v>
      </c>
      <c r="H68" s="247">
        <v>638176.39999999991</v>
      </c>
      <c r="I68" s="247">
        <v>0</v>
      </c>
      <c r="J68" s="247">
        <v>791123</v>
      </c>
      <c r="K68" s="247">
        <v>0</v>
      </c>
      <c r="L68" s="247">
        <v>791123</v>
      </c>
      <c r="M68" s="247">
        <v>1205578.42</v>
      </c>
      <c r="N68" s="247">
        <v>1429299.4</v>
      </c>
      <c r="O68" s="172"/>
      <c r="P68" s="247">
        <v>87.942159878469994</v>
      </c>
      <c r="Q68" s="247">
        <v>68.677151904952652</v>
      </c>
      <c r="R68" s="247">
        <v>0</v>
      </c>
      <c r="S68" s="247">
        <v>298.9589080438052</v>
      </c>
      <c r="T68" s="248">
        <v>455.57821982722777</v>
      </c>
      <c r="U68" s="247">
        <v>241.16163944585938</v>
      </c>
      <c r="V68" s="247">
        <v>0</v>
      </c>
      <c r="W68" s="247">
        <v>298.9589080438052</v>
      </c>
      <c r="X68" s="247">
        <v>540.12054748966455</v>
      </c>
      <c r="Y68" s="247">
        <v>84.54232766243679</v>
      </c>
      <c r="Z68" s="247">
        <v>223720.97999999998</v>
      </c>
    </row>
    <row r="69" spans="1:26" ht="12.75" x14ac:dyDescent="0.2">
      <c r="A69" s="269">
        <v>95</v>
      </c>
      <c r="B69" s="269">
        <v>1</v>
      </c>
      <c r="C69" s="270" t="s">
        <v>301</v>
      </c>
      <c r="D69" s="271">
        <v>6</v>
      </c>
      <c r="E69" s="248">
        <v>323.02</v>
      </c>
      <c r="F69" s="247">
        <v>14314.284000000003</v>
      </c>
      <c r="G69" s="247">
        <v>15405.618857142857</v>
      </c>
      <c r="H69" s="247">
        <v>53974.418714285719</v>
      </c>
      <c r="I69" s="247">
        <v>0</v>
      </c>
      <c r="J69" s="247">
        <v>0</v>
      </c>
      <c r="K69" s="247">
        <v>0</v>
      </c>
      <c r="L69" s="247">
        <v>0</v>
      </c>
      <c r="M69" s="247">
        <v>29719.902857142861</v>
      </c>
      <c r="N69" s="247">
        <v>53974.418714285719</v>
      </c>
      <c r="O69" s="172"/>
      <c r="P69" s="247">
        <v>44.313924834375591</v>
      </c>
      <c r="Q69" s="247">
        <v>47.69246132481846</v>
      </c>
      <c r="R69" s="247">
        <v>0</v>
      </c>
      <c r="S69" s="247">
        <v>0</v>
      </c>
      <c r="T69" s="248">
        <v>92.006386159194051</v>
      </c>
      <c r="U69" s="247">
        <v>167.09311718867477</v>
      </c>
      <c r="V69" s="247">
        <v>0</v>
      </c>
      <c r="W69" s="247">
        <v>0</v>
      </c>
      <c r="X69" s="247">
        <v>167.09311718867477</v>
      </c>
      <c r="Y69" s="247">
        <v>75.086731029480717</v>
      </c>
      <c r="Z69" s="247">
        <v>24254.515857142858</v>
      </c>
    </row>
    <row r="70" spans="1:26" ht="12.75" x14ac:dyDescent="0.2">
      <c r="A70" s="269">
        <v>97</v>
      </c>
      <c r="B70" s="269">
        <v>1</v>
      </c>
      <c r="C70" s="270" t="s">
        <v>303</v>
      </c>
      <c r="D70" s="271">
        <v>6</v>
      </c>
      <c r="E70" s="248">
        <v>645.76</v>
      </c>
      <c r="F70" s="247">
        <v>45902.51</v>
      </c>
      <c r="G70" s="247">
        <v>45500.4</v>
      </c>
      <c r="H70" s="247">
        <v>158918.5</v>
      </c>
      <c r="I70" s="247">
        <v>0</v>
      </c>
      <c r="J70" s="247">
        <v>0</v>
      </c>
      <c r="K70" s="247">
        <v>0</v>
      </c>
      <c r="L70" s="247">
        <v>0</v>
      </c>
      <c r="M70" s="247">
        <v>91402.91</v>
      </c>
      <c r="N70" s="247">
        <v>158918.5</v>
      </c>
      <c r="O70" s="172"/>
      <c r="P70" s="247">
        <v>71.082925545094156</v>
      </c>
      <c r="Q70" s="247">
        <v>70.460232903865219</v>
      </c>
      <c r="R70" s="247">
        <v>0</v>
      </c>
      <c r="S70" s="247">
        <v>0</v>
      </c>
      <c r="T70" s="248">
        <v>141.54315844895936</v>
      </c>
      <c r="U70" s="247">
        <v>246.09529856293361</v>
      </c>
      <c r="V70" s="247">
        <v>0</v>
      </c>
      <c r="W70" s="247">
        <v>0</v>
      </c>
      <c r="X70" s="247">
        <v>246.09529856293361</v>
      </c>
      <c r="Y70" s="247">
        <v>104.55214011397423</v>
      </c>
      <c r="Z70" s="247">
        <v>67515.59</v>
      </c>
    </row>
    <row r="71" spans="1:26" ht="12.75" x14ac:dyDescent="0.2">
      <c r="A71" s="269">
        <v>99</v>
      </c>
      <c r="B71" s="269">
        <v>1</v>
      </c>
      <c r="C71" s="270" t="s">
        <v>305</v>
      </c>
      <c r="D71" s="271">
        <v>5</v>
      </c>
      <c r="E71" s="248">
        <v>1238.6299999999999</v>
      </c>
      <c r="F71" s="247">
        <v>64230.164000000004</v>
      </c>
      <c r="G71" s="247">
        <v>82001.794628571428</v>
      </c>
      <c r="H71" s="247">
        <v>288330.95451428572</v>
      </c>
      <c r="I71" s="247">
        <v>0</v>
      </c>
      <c r="J71" s="247">
        <v>0</v>
      </c>
      <c r="K71" s="247">
        <v>0</v>
      </c>
      <c r="L71" s="247">
        <v>0</v>
      </c>
      <c r="M71" s="247">
        <v>146231.95862857142</v>
      </c>
      <c r="N71" s="247">
        <v>288330.95451428572</v>
      </c>
      <c r="O71" s="172"/>
      <c r="P71" s="247">
        <v>51.855811662885614</v>
      </c>
      <c r="Q71" s="247">
        <v>66.203623865538077</v>
      </c>
      <c r="R71" s="247">
        <v>0</v>
      </c>
      <c r="S71" s="247">
        <v>0</v>
      </c>
      <c r="T71" s="248">
        <v>118.05943552842369</v>
      </c>
      <c r="U71" s="247">
        <v>232.78215004826765</v>
      </c>
      <c r="V71" s="247">
        <v>0</v>
      </c>
      <c r="W71" s="247">
        <v>0</v>
      </c>
      <c r="X71" s="247">
        <v>232.78215004826765</v>
      </c>
      <c r="Y71" s="247">
        <v>114.72271451984396</v>
      </c>
      <c r="Z71" s="247">
        <v>142098.99588571431</v>
      </c>
    </row>
    <row r="72" spans="1:26" ht="12.75" x14ac:dyDescent="0.2">
      <c r="A72" s="269">
        <v>100</v>
      </c>
      <c r="B72" s="269">
        <v>1</v>
      </c>
      <c r="C72" s="270" t="s">
        <v>307</v>
      </c>
      <c r="D72" s="271">
        <v>6</v>
      </c>
      <c r="E72" s="248">
        <v>323.81</v>
      </c>
      <c r="F72" s="247">
        <v>33500.462</v>
      </c>
      <c r="G72" s="247">
        <v>20136.224571428571</v>
      </c>
      <c r="H72" s="247">
        <v>70384.118971428572</v>
      </c>
      <c r="I72" s="247">
        <v>0</v>
      </c>
      <c r="J72" s="247">
        <v>0</v>
      </c>
      <c r="K72" s="247">
        <v>0</v>
      </c>
      <c r="L72" s="247">
        <v>0</v>
      </c>
      <c r="M72" s="247">
        <v>53636.686571428567</v>
      </c>
      <c r="N72" s="247">
        <v>70384.118971428572</v>
      </c>
      <c r="O72" s="172"/>
      <c r="P72" s="247">
        <v>103.45715697476915</v>
      </c>
      <c r="Q72" s="247">
        <v>62.185307962782403</v>
      </c>
      <c r="R72" s="247">
        <v>0</v>
      </c>
      <c r="S72" s="247">
        <v>0</v>
      </c>
      <c r="T72" s="248">
        <v>165.64246493755155</v>
      </c>
      <c r="U72" s="247">
        <v>217.36240070235192</v>
      </c>
      <c r="V72" s="247">
        <v>0</v>
      </c>
      <c r="W72" s="247">
        <v>0</v>
      </c>
      <c r="X72" s="247">
        <v>217.36240070235192</v>
      </c>
      <c r="Y72" s="247">
        <v>51.719935764800361</v>
      </c>
      <c r="Z72" s="247">
        <v>16747.432400000005</v>
      </c>
    </row>
    <row r="73" spans="1:26" ht="12.75" x14ac:dyDescent="0.2">
      <c r="A73" s="269">
        <v>108</v>
      </c>
      <c r="B73" s="269">
        <v>1</v>
      </c>
      <c r="C73" s="270" t="s">
        <v>309</v>
      </c>
      <c r="D73" s="271">
        <v>3</v>
      </c>
      <c r="E73" s="248">
        <v>1015.12</v>
      </c>
      <c r="F73" s="247">
        <v>43684.885999999999</v>
      </c>
      <c r="G73" s="247">
        <v>70413</v>
      </c>
      <c r="H73" s="247">
        <v>247374.19999999998</v>
      </c>
      <c r="I73" s="247">
        <v>0</v>
      </c>
      <c r="J73" s="247">
        <v>0</v>
      </c>
      <c r="K73" s="247">
        <v>0</v>
      </c>
      <c r="L73" s="247">
        <v>0</v>
      </c>
      <c r="M73" s="247">
        <v>114097.886</v>
      </c>
      <c r="N73" s="247">
        <v>247374.19999999998</v>
      </c>
      <c r="O73" s="172"/>
      <c r="P73" s="247">
        <v>43.03420876349594</v>
      </c>
      <c r="Q73" s="247">
        <v>69.364213097958867</v>
      </c>
      <c r="R73" s="247">
        <v>0</v>
      </c>
      <c r="S73" s="247">
        <v>0</v>
      </c>
      <c r="T73" s="248">
        <v>112.39842186145481</v>
      </c>
      <c r="U73" s="247">
        <v>243.68961305067378</v>
      </c>
      <c r="V73" s="247">
        <v>0</v>
      </c>
      <c r="W73" s="247">
        <v>0</v>
      </c>
      <c r="X73" s="247">
        <v>243.68961305067378</v>
      </c>
      <c r="Y73" s="247">
        <v>131.29119118921901</v>
      </c>
      <c r="Z73" s="247">
        <v>133276.31399999998</v>
      </c>
    </row>
    <row r="74" spans="1:26" ht="12.75" x14ac:dyDescent="0.2">
      <c r="A74" s="269">
        <v>110</v>
      </c>
      <c r="B74" s="269">
        <v>1</v>
      </c>
      <c r="C74" s="270" t="s">
        <v>311</v>
      </c>
      <c r="D74" s="271">
        <v>3</v>
      </c>
      <c r="E74" s="248">
        <v>3642.46</v>
      </c>
      <c r="F74" s="247">
        <v>452026.55</v>
      </c>
      <c r="G74" s="247">
        <v>142886.052</v>
      </c>
      <c r="H74" s="247">
        <v>594912.60199999996</v>
      </c>
      <c r="I74" s="247">
        <v>0</v>
      </c>
      <c r="J74" s="247">
        <v>0</v>
      </c>
      <c r="K74" s="247">
        <v>0</v>
      </c>
      <c r="L74" s="247">
        <v>0</v>
      </c>
      <c r="M74" s="247">
        <v>594912.60199999996</v>
      </c>
      <c r="N74" s="247">
        <v>594912.60199999996</v>
      </c>
      <c r="O74" s="172"/>
      <c r="P74" s="247">
        <v>124.0992488592874</v>
      </c>
      <c r="Q74" s="247">
        <v>39.227898727782872</v>
      </c>
      <c r="R74" s="247">
        <v>0</v>
      </c>
      <c r="S74" s="247">
        <v>0</v>
      </c>
      <c r="T74" s="248">
        <v>163.32714758707027</v>
      </c>
      <c r="U74" s="247">
        <v>163.32714758707027</v>
      </c>
      <c r="V74" s="247">
        <v>0</v>
      </c>
      <c r="W74" s="247">
        <v>0</v>
      </c>
      <c r="X74" s="247">
        <v>163.32714758707027</v>
      </c>
      <c r="Y74" s="247">
        <v>0</v>
      </c>
      <c r="Z74" s="247">
        <v>0</v>
      </c>
    </row>
    <row r="75" spans="1:26" ht="12.75" x14ac:dyDescent="0.2">
      <c r="A75" s="269">
        <v>111</v>
      </c>
      <c r="B75" s="269">
        <v>1</v>
      </c>
      <c r="C75" s="270" t="s">
        <v>313</v>
      </c>
      <c r="D75" s="271">
        <v>3</v>
      </c>
      <c r="E75" s="248">
        <v>1608.71</v>
      </c>
      <c r="F75" s="247">
        <v>174658.54400000002</v>
      </c>
      <c r="G75" s="247">
        <v>90807.051257142855</v>
      </c>
      <c r="H75" s="247">
        <v>318936.78705714282</v>
      </c>
      <c r="I75" s="247">
        <v>0</v>
      </c>
      <c r="J75" s="247">
        <v>0</v>
      </c>
      <c r="K75" s="247">
        <v>0</v>
      </c>
      <c r="L75" s="247">
        <v>0</v>
      </c>
      <c r="M75" s="247">
        <v>265465.59525714291</v>
      </c>
      <c r="N75" s="247">
        <v>318936.78705714282</v>
      </c>
      <c r="O75" s="172"/>
      <c r="P75" s="247">
        <v>108.57055901933849</v>
      </c>
      <c r="Q75" s="247">
        <v>56.447123009829525</v>
      </c>
      <c r="R75" s="247">
        <v>0</v>
      </c>
      <c r="S75" s="247">
        <v>0</v>
      </c>
      <c r="T75" s="248">
        <v>165.01768202916804</v>
      </c>
      <c r="U75" s="247">
        <v>198.25623453396997</v>
      </c>
      <c r="V75" s="247">
        <v>0</v>
      </c>
      <c r="W75" s="247">
        <v>0</v>
      </c>
      <c r="X75" s="247">
        <v>198.25623453396997</v>
      </c>
      <c r="Y75" s="247">
        <v>33.23855250480193</v>
      </c>
      <c r="Z75" s="247">
        <v>53471.191799999913</v>
      </c>
    </row>
    <row r="76" spans="1:26" ht="12.75" x14ac:dyDescent="0.2">
      <c r="A76" s="269">
        <v>112</v>
      </c>
      <c r="B76" s="269">
        <v>1</v>
      </c>
      <c r="C76" s="270" t="s">
        <v>315</v>
      </c>
      <c r="D76" s="271">
        <v>3</v>
      </c>
      <c r="E76" s="248">
        <v>8986.91</v>
      </c>
      <c r="F76" s="247">
        <v>283607.43199999997</v>
      </c>
      <c r="G76" s="247">
        <v>0</v>
      </c>
      <c r="H76" s="247">
        <v>0</v>
      </c>
      <c r="I76" s="247">
        <v>465480</v>
      </c>
      <c r="J76" s="247">
        <v>1217048</v>
      </c>
      <c r="K76" s="247">
        <v>749087.43200000003</v>
      </c>
      <c r="L76" s="247">
        <v>1217048</v>
      </c>
      <c r="M76" s="247">
        <v>1966135.432</v>
      </c>
      <c r="N76" s="247">
        <v>1966135.432</v>
      </c>
      <c r="O76" s="172"/>
      <c r="P76" s="247">
        <v>31.557836008149629</v>
      </c>
      <c r="Q76" s="247">
        <v>0</v>
      </c>
      <c r="R76" s="247">
        <v>51.795333434962629</v>
      </c>
      <c r="S76" s="247">
        <v>135.42452300067544</v>
      </c>
      <c r="T76" s="248">
        <v>218.77769244378769</v>
      </c>
      <c r="U76" s="247">
        <v>0</v>
      </c>
      <c r="V76" s="247">
        <v>83.353169443112265</v>
      </c>
      <c r="W76" s="247">
        <v>135.42452300067544</v>
      </c>
      <c r="X76" s="247">
        <v>218.77769244378769</v>
      </c>
      <c r="Y76" s="247">
        <v>0</v>
      </c>
      <c r="Z76" s="247">
        <v>0</v>
      </c>
    </row>
    <row r="77" spans="1:26" ht="12.75" x14ac:dyDescent="0.2">
      <c r="A77" s="269">
        <v>113</v>
      </c>
      <c r="B77" s="269">
        <v>1</v>
      </c>
      <c r="C77" s="270" t="s">
        <v>317</v>
      </c>
      <c r="D77" s="271">
        <v>6</v>
      </c>
      <c r="E77" s="248">
        <v>771.52</v>
      </c>
      <c r="F77" s="247">
        <v>49999.191999999995</v>
      </c>
      <c r="G77" s="247">
        <v>53572.2</v>
      </c>
      <c r="H77" s="247">
        <v>187806.5</v>
      </c>
      <c r="I77" s="247">
        <v>0</v>
      </c>
      <c r="J77" s="247">
        <v>241756</v>
      </c>
      <c r="K77" s="247">
        <v>0</v>
      </c>
      <c r="L77" s="247">
        <v>241756</v>
      </c>
      <c r="M77" s="247">
        <v>345327.39199999999</v>
      </c>
      <c r="N77" s="247">
        <v>429562.5</v>
      </c>
      <c r="O77" s="172"/>
      <c r="P77" s="247">
        <v>64.806086686022397</v>
      </c>
      <c r="Q77" s="247">
        <v>69.437214848610537</v>
      </c>
      <c r="R77" s="247">
        <v>0</v>
      </c>
      <c r="S77" s="247">
        <v>313.35026959767731</v>
      </c>
      <c r="T77" s="248">
        <v>447.59357113231027</v>
      </c>
      <c r="U77" s="247">
        <v>243.42402011613439</v>
      </c>
      <c r="V77" s="247">
        <v>0</v>
      </c>
      <c r="W77" s="247">
        <v>313.35026959767731</v>
      </c>
      <c r="X77" s="247">
        <v>556.77428971381175</v>
      </c>
      <c r="Y77" s="247">
        <v>109.18071858150147</v>
      </c>
      <c r="Z77" s="247">
        <v>84235.108000000007</v>
      </c>
    </row>
    <row r="78" spans="1:26" ht="12.75" x14ac:dyDescent="0.2">
      <c r="A78" s="269">
        <v>115</v>
      </c>
      <c r="B78" s="269">
        <v>1</v>
      </c>
      <c r="C78" s="270" t="s">
        <v>319</v>
      </c>
      <c r="D78" s="271">
        <v>5</v>
      </c>
      <c r="E78" s="248">
        <v>1098.4100000000001</v>
      </c>
      <c r="F78" s="247">
        <v>3990.9679999999998</v>
      </c>
      <c r="G78" s="247">
        <v>55153.61280000001</v>
      </c>
      <c r="H78" s="247">
        <v>193746.89005714288</v>
      </c>
      <c r="I78" s="247">
        <v>0</v>
      </c>
      <c r="J78" s="247">
        <v>0</v>
      </c>
      <c r="K78" s="247">
        <v>0</v>
      </c>
      <c r="L78" s="247">
        <v>0</v>
      </c>
      <c r="M78" s="247">
        <v>59144.580800000011</v>
      </c>
      <c r="N78" s="247">
        <v>193746.89005714288</v>
      </c>
      <c r="O78" s="172"/>
      <c r="P78" s="247">
        <v>3.6334046485374309</v>
      </c>
      <c r="Q78" s="247">
        <v>50.21222749246639</v>
      </c>
      <c r="R78" s="247">
        <v>0</v>
      </c>
      <c r="S78" s="247">
        <v>0</v>
      </c>
      <c r="T78" s="248">
        <v>53.845632141003819</v>
      </c>
      <c r="U78" s="247">
        <v>176.38849797174359</v>
      </c>
      <c r="V78" s="247">
        <v>0</v>
      </c>
      <c r="W78" s="247">
        <v>0</v>
      </c>
      <c r="X78" s="247">
        <v>176.38849797174359</v>
      </c>
      <c r="Y78" s="247">
        <v>122.54286583073977</v>
      </c>
      <c r="Z78" s="247">
        <v>134602.30925714289</v>
      </c>
    </row>
    <row r="79" spans="1:26" ht="12.75" x14ac:dyDescent="0.2">
      <c r="A79" s="269">
        <v>116</v>
      </c>
      <c r="B79" s="269">
        <v>1</v>
      </c>
      <c r="C79" s="270" t="s">
        <v>320</v>
      </c>
      <c r="D79" s="271">
        <v>6</v>
      </c>
      <c r="E79" s="248">
        <v>882.06</v>
      </c>
      <c r="F79" s="247">
        <v>78762.83</v>
      </c>
      <c r="G79" s="247">
        <v>49333.21525714286</v>
      </c>
      <c r="H79" s="247">
        <v>172889.77179999999</v>
      </c>
      <c r="I79" s="247">
        <v>0</v>
      </c>
      <c r="J79" s="247">
        <v>0</v>
      </c>
      <c r="K79" s="247">
        <v>0</v>
      </c>
      <c r="L79" s="247">
        <v>0</v>
      </c>
      <c r="M79" s="247">
        <v>128096.04525714286</v>
      </c>
      <c r="N79" s="247">
        <v>172889.77179999999</v>
      </c>
      <c r="O79" s="172"/>
      <c r="P79" s="247">
        <v>89.294186336530402</v>
      </c>
      <c r="Q79" s="247">
        <v>55.929545900667598</v>
      </c>
      <c r="R79" s="247">
        <v>0</v>
      </c>
      <c r="S79" s="247">
        <v>0</v>
      </c>
      <c r="T79" s="248">
        <v>145.22373223719799</v>
      </c>
      <c r="U79" s="247">
        <v>196.00681563612451</v>
      </c>
      <c r="V79" s="247">
        <v>0</v>
      </c>
      <c r="W79" s="247">
        <v>0</v>
      </c>
      <c r="X79" s="247">
        <v>196.00681563612451</v>
      </c>
      <c r="Y79" s="247">
        <v>50.783083398926522</v>
      </c>
      <c r="Z79" s="247">
        <v>44793.726542857126</v>
      </c>
    </row>
    <row r="80" spans="1:26" ht="12.75" x14ac:dyDescent="0.2">
      <c r="A80" s="269">
        <v>118</v>
      </c>
      <c r="B80" s="269">
        <v>1</v>
      </c>
      <c r="C80" s="270" t="s">
        <v>322</v>
      </c>
      <c r="D80" s="271">
        <v>6</v>
      </c>
      <c r="E80" s="248">
        <v>360.24</v>
      </c>
      <c r="F80" s="247">
        <v>48931.832000000002</v>
      </c>
      <c r="G80" s="247">
        <v>25206.600000000002</v>
      </c>
      <c r="H80" s="247">
        <v>87613.900000000009</v>
      </c>
      <c r="I80" s="247">
        <v>0</v>
      </c>
      <c r="J80" s="247">
        <v>0</v>
      </c>
      <c r="K80" s="247">
        <v>0</v>
      </c>
      <c r="L80" s="247">
        <v>0</v>
      </c>
      <c r="M80" s="247">
        <v>74138.432000000001</v>
      </c>
      <c r="N80" s="247">
        <v>87613.900000000009</v>
      </c>
      <c r="O80" s="172"/>
      <c r="P80" s="247">
        <v>135.8312014212747</v>
      </c>
      <c r="Q80" s="247">
        <v>69.971685542971358</v>
      </c>
      <c r="R80" s="247">
        <v>0</v>
      </c>
      <c r="S80" s="247">
        <v>0</v>
      </c>
      <c r="T80" s="248">
        <v>205.80288696424606</v>
      </c>
      <c r="U80" s="247">
        <v>243.20980457472797</v>
      </c>
      <c r="V80" s="247">
        <v>0</v>
      </c>
      <c r="W80" s="247">
        <v>0</v>
      </c>
      <c r="X80" s="247">
        <v>243.20980457472797</v>
      </c>
      <c r="Y80" s="247">
        <v>37.406917610481919</v>
      </c>
      <c r="Z80" s="247">
        <v>13475.468000000008</v>
      </c>
    </row>
    <row r="81" spans="1:26" ht="12.75" x14ac:dyDescent="0.2">
      <c r="A81" s="269">
        <v>129</v>
      </c>
      <c r="B81" s="269">
        <v>1</v>
      </c>
      <c r="C81" s="270" t="s">
        <v>324</v>
      </c>
      <c r="D81" s="271">
        <v>5</v>
      </c>
      <c r="E81" s="248">
        <v>1423.7600000000002</v>
      </c>
      <c r="F81" s="247">
        <v>88711.312000000005</v>
      </c>
      <c r="G81" s="247">
        <v>99301.8</v>
      </c>
      <c r="H81" s="247">
        <v>348652.4</v>
      </c>
      <c r="I81" s="247">
        <v>0</v>
      </c>
      <c r="J81" s="247">
        <v>328569</v>
      </c>
      <c r="K81" s="247">
        <v>0</v>
      </c>
      <c r="L81" s="247">
        <v>328569</v>
      </c>
      <c r="M81" s="247">
        <v>516582.11200000002</v>
      </c>
      <c r="N81" s="247">
        <v>677221.4</v>
      </c>
      <c r="O81" s="172"/>
      <c r="P81" s="247">
        <v>62.307770972635829</v>
      </c>
      <c r="Q81" s="247">
        <v>69.746165084002911</v>
      </c>
      <c r="R81" s="247">
        <v>0</v>
      </c>
      <c r="S81" s="247">
        <v>230.77555205933581</v>
      </c>
      <c r="T81" s="248">
        <v>362.82948811597458</v>
      </c>
      <c r="U81" s="247">
        <v>244.88144069225149</v>
      </c>
      <c r="V81" s="247">
        <v>0</v>
      </c>
      <c r="W81" s="247">
        <v>230.77555205933581</v>
      </c>
      <c r="X81" s="247">
        <v>475.65699275158727</v>
      </c>
      <c r="Y81" s="247">
        <v>112.82750463561273</v>
      </c>
      <c r="Z81" s="247">
        <v>160639.288</v>
      </c>
    </row>
    <row r="82" spans="1:26" ht="12.75" x14ac:dyDescent="0.2">
      <c r="A82" s="269">
        <v>138</v>
      </c>
      <c r="B82" s="269">
        <v>1</v>
      </c>
      <c r="C82" s="270" t="s">
        <v>325</v>
      </c>
      <c r="D82" s="271">
        <v>4</v>
      </c>
      <c r="E82" s="248">
        <v>3103.42</v>
      </c>
      <c r="F82" s="247">
        <v>145836.304</v>
      </c>
      <c r="G82" s="247">
        <v>146203.91742857144</v>
      </c>
      <c r="H82" s="247">
        <v>510588.69385714288</v>
      </c>
      <c r="I82" s="247">
        <v>0</v>
      </c>
      <c r="J82" s="247">
        <v>0</v>
      </c>
      <c r="K82" s="247">
        <v>0</v>
      </c>
      <c r="L82" s="247">
        <v>0</v>
      </c>
      <c r="M82" s="247">
        <v>292040.22142857144</v>
      </c>
      <c r="N82" s="247">
        <v>510588.69385714288</v>
      </c>
      <c r="O82" s="172"/>
      <c r="P82" s="247">
        <v>46.992126106037858</v>
      </c>
      <c r="Q82" s="247">
        <v>47.110580401161116</v>
      </c>
      <c r="R82" s="247">
        <v>0</v>
      </c>
      <c r="S82" s="247">
        <v>0</v>
      </c>
      <c r="T82" s="248">
        <v>94.102706507198974</v>
      </c>
      <c r="U82" s="247">
        <v>164.5245225773962</v>
      </c>
      <c r="V82" s="247">
        <v>0</v>
      </c>
      <c r="W82" s="247">
        <v>0</v>
      </c>
      <c r="X82" s="247">
        <v>164.5245225773962</v>
      </c>
      <c r="Y82" s="247">
        <v>70.42181607019721</v>
      </c>
      <c r="Z82" s="247">
        <v>218548.47242857143</v>
      </c>
    </row>
    <row r="83" spans="1:26" ht="12.75" x14ac:dyDescent="0.2">
      <c r="A83" s="269">
        <v>139</v>
      </c>
      <c r="B83" s="269">
        <v>1</v>
      </c>
      <c r="C83" s="270" t="s">
        <v>327</v>
      </c>
      <c r="D83" s="271">
        <v>6</v>
      </c>
      <c r="E83" s="248">
        <v>911.26</v>
      </c>
      <c r="F83" s="247">
        <v>145259.658</v>
      </c>
      <c r="G83" s="247">
        <v>42963.855942857146</v>
      </c>
      <c r="H83" s="247">
        <v>188223.51394285716</v>
      </c>
      <c r="I83" s="247">
        <v>0</v>
      </c>
      <c r="J83" s="247">
        <v>0</v>
      </c>
      <c r="K83" s="247">
        <v>0</v>
      </c>
      <c r="L83" s="247">
        <v>0</v>
      </c>
      <c r="M83" s="247">
        <v>188223.51394285716</v>
      </c>
      <c r="N83" s="247">
        <v>188223.51394285716</v>
      </c>
      <c r="O83" s="172"/>
      <c r="P83" s="247">
        <v>159.40528279525054</v>
      </c>
      <c r="Q83" s="247">
        <v>47.147747012770388</v>
      </c>
      <c r="R83" s="247">
        <v>0</v>
      </c>
      <c r="S83" s="247">
        <v>0</v>
      </c>
      <c r="T83" s="248">
        <v>206.55302980802094</v>
      </c>
      <c r="U83" s="247">
        <v>206.55302980802094</v>
      </c>
      <c r="V83" s="247">
        <v>0</v>
      </c>
      <c r="W83" s="247">
        <v>0</v>
      </c>
      <c r="X83" s="247">
        <v>206.55302980802094</v>
      </c>
      <c r="Y83" s="247">
        <v>0</v>
      </c>
      <c r="Z83" s="247">
        <v>0</v>
      </c>
    </row>
    <row r="84" spans="1:26" ht="12.75" x14ac:dyDescent="0.2">
      <c r="A84" s="269">
        <v>146</v>
      </c>
      <c r="B84" s="269">
        <v>1</v>
      </c>
      <c r="C84" s="270" t="s">
        <v>329</v>
      </c>
      <c r="D84" s="271">
        <v>6</v>
      </c>
      <c r="E84" s="248">
        <v>873.91000000000008</v>
      </c>
      <c r="F84" s="247">
        <v>55598.322</v>
      </c>
      <c r="G84" s="247">
        <v>60424.200000000004</v>
      </c>
      <c r="H84" s="247">
        <v>212398.1</v>
      </c>
      <c r="I84" s="247">
        <v>0</v>
      </c>
      <c r="J84" s="247">
        <v>0</v>
      </c>
      <c r="K84" s="247">
        <v>0</v>
      </c>
      <c r="L84" s="247">
        <v>0</v>
      </c>
      <c r="M84" s="247">
        <v>116022.522</v>
      </c>
      <c r="N84" s="247">
        <v>212398.1</v>
      </c>
      <c r="O84" s="172"/>
      <c r="P84" s="247">
        <v>63.620192010618936</v>
      </c>
      <c r="Q84" s="247">
        <v>69.142360197274314</v>
      </c>
      <c r="R84" s="247">
        <v>0</v>
      </c>
      <c r="S84" s="247">
        <v>0</v>
      </c>
      <c r="T84" s="248">
        <v>132.76255220789324</v>
      </c>
      <c r="U84" s="247">
        <v>243.04344841001932</v>
      </c>
      <c r="V84" s="247">
        <v>0</v>
      </c>
      <c r="W84" s="247">
        <v>0</v>
      </c>
      <c r="X84" s="247">
        <v>243.04344841001932</v>
      </c>
      <c r="Y84" s="247">
        <v>110.28089620212607</v>
      </c>
      <c r="Z84" s="247">
        <v>96375.578000000009</v>
      </c>
    </row>
    <row r="85" spans="1:26" ht="12.75" x14ac:dyDescent="0.2">
      <c r="A85" s="269">
        <v>150</v>
      </c>
      <c r="B85" s="269">
        <v>1</v>
      </c>
      <c r="C85" s="270" t="s">
        <v>331</v>
      </c>
      <c r="D85" s="271">
        <v>6</v>
      </c>
      <c r="E85" s="248">
        <v>922.47</v>
      </c>
      <c r="F85" s="247">
        <v>24703.171999999999</v>
      </c>
      <c r="G85" s="247">
        <v>60618.265199999994</v>
      </c>
      <c r="H85" s="247">
        <v>213663.59219999996</v>
      </c>
      <c r="I85" s="247">
        <v>0</v>
      </c>
      <c r="J85" s="247">
        <v>0</v>
      </c>
      <c r="K85" s="247">
        <v>0</v>
      </c>
      <c r="L85" s="247">
        <v>0</v>
      </c>
      <c r="M85" s="247">
        <v>85321.437199999986</v>
      </c>
      <c r="N85" s="247">
        <v>213663.59219999996</v>
      </c>
      <c r="O85" s="172"/>
      <c r="P85" s="247">
        <v>26.779377107114591</v>
      </c>
      <c r="Q85" s="247">
        <v>65.712993593287578</v>
      </c>
      <c r="R85" s="247">
        <v>0</v>
      </c>
      <c r="S85" s="247">
        <v>0</v>
      </c>
      <c r="T85" s="248">
        <v>92.492370700402162</v>
      </c>
      <c r="U85" s="247">
        <v>231.6211824774789</v>
      </c>
      <c r="V85" s="247">
        <v>0</v>
      </c>
      <c r="W85" s="247">
        <v>0</v>
      </c>
      <c r="X85" s="247">
        <v>231.6211824774789</v>
      </c>
      <c r="Y85" s="247">
        <v>139.12881177707672</v>
      </c>
      <c r="Z85" s="247">
        <v>128342.15499999997</v>
      </c>
    </row>
    <row r="86" spans="1:26" ht="12.75" x14ac:dyDescent="0.2">
      <c r="A86" s="269">
        <v>152</v>
      </c>
      <c r="B86" s="269">
        <v>1</v>
      </c>
      <c r="C86" s="270" t="s">
        <v>333</v>
      </c>
      <c r="D86" s="271">
        <v>4</v>
      </c>
      <c r="E86" s="248">
        <v>5587.8</v>
      </c>
      <c r="F86" s="247">
        <v>100005.07800000001</v>
      </c>
      <c r="G86" s="247">
        <v>330391.24114285712</v>
      </c>
      <c r="H86" s="247">
        <v>1161102.8557142857</v>
      </c>
      <c r="I86" s="247">
        <v>0</v>
      </c>
      <c r="J86" s="247">
        <v>0</v>
      </c>
      <c r="K86" s="247">
        <v>0</v>
      </c>
      <c r="L86" s="247">
        <v>0</v>
      </c>
      <c r="M86" s="247">
        <v>430396.3191428571</v>
      </c>
      <c r="N86" s="247">
        <v>1161102.8557142857</v>
      </c>
      <c r="O86" s="172"/>
      <c r="P86" s="247">
        <v>17.897039622033716</v>
      </c>
      <c r="Q86" s="247">
        <v>59.127248853369323</v>
      </c>
      <c r="R86" s="247">
        <v>0</v>
      </c>
      <c r="S86" s="247">
        <v>0</v>
      </c>
      <c r="T86" s="248">
        <v>77.02428847540304</v>
      </c>
      <c r="U86" s="247">
        <v>207.7924864372894</v>
      </c>
      <c r="V86" s="247">
        <v>0</v>
      </c>
      <c r="W86" s="247">
        <v>0</v>
      </c>
      <c r="X86" s="247">
        <v>207.7924864372894</v>
      </c>
      <c r="Y86" s="247">
        <v>130.76819796188636</v>
      </c>
      <c r="Z86" s="247">
        <v>730706.53657142865</v>
      </c>
    </row>
    <row r="87" spans="1:26" ht="12.75" x14ac:dyDescent="0.2">
      <c r="A87" s="269">
        <v>162</v>
      </c>
      <c r="B87" s="269">
        <v>1</v>
      </c>
      <c r="C87" s="270" t="s">
        <v>335</v>
      </c>
      <c r="D87" s="271">
        <v>6</v>
      </c>
      <c r="E87" s="248">
        <v>982.47</v>
      </c>
      <c r="F87" s="247">
        <v>40113.576000000001</v>
      </c>
      <c r="G87" s="247">
        <v>57660.8652</v>
      </c>
      <c r="H87" s="247">
        <v>201588.12694285717</v>
      </c>
      <c r="I87" s="247">
        <v>0</v>
      </c>
      <c r="J87" s="247">
        <v>0</v>
      </c>
      <c r="K87" s="247">
        <v>0</v>
      </c>
      <c r="L87" s="247">
        <v>0</v>
      </c>
      <c r="M87" s="247">
        <v>97774.441200000001</v>
      </c>
      <c r="N87" s="247">
        <v>201588.12694285717</v>
      </c>
      <c r="O87" s="172"/>
      <c r="P87" s="247">
        <v>40.829313872179306</v>
      </c>
      <c r="Q87" s="247">
        <v>58.689695563223303</v>
      </c>
      <c r="R87" s="247">
        <v>0</v>
      </c>
      <c r="S87" s="247">
        <v>0</v>
      </c>
      <c r="T87" s="248">
        <v>99.519009435402609</v>
      </c>
      <c r="U87" s="247">
        <v>205.18502034958539</v>
      </c>
      <c r="V87" s="247">
        <v>0</v>
      </c>
      <c r="W87" s="247">
        <v>0</v>
      </c>
      <c r="X87" s="247">
        <v>205.18502034958539</v>
      </c>
      <c r="Y87" s="247">
        <v>105.66601091418279</v>
      </c>
      <c r="Z87" s="247">
        <v>103813.68574285717</v>
      </c>
    </row>
    <row r="88" spans="1:26" ht="12.75" x14ac:dyDescent="0.2">
      <c r="A88" s="269">
        <v>166</v>
      </c>
      <c r="B88" s="269">
        <v>1</v>
      </c>
      <c r="C88" s="270" t="s">
        <v>337</v>
      </c>
      <c r="D88" s="271">
        <v>6</v>
      </c>
      <c r="E88" s="248">
        <v>460.97</v>
      </c>
      <c r="F88" s="247">
        <v>43896.072</v>
      </c>
      <c r="G88" s="247">
        <v>30930.556114285711</v>
      </c>
      <c r="H88" s="247">
        <v>109045.76262857142</v>
      </c>
      <c r="I88" s="247">
        <v>0</v>
      </c>
      <c r="J88" s="247">
        <v>174500</v>
      </c>
      <c r="K88" s="247">
        <v>0</v>
      </c>
      <c r="L88" s="247">
        <v>174500</v>
      </c>
      <c r="M88" s="247">
        <v>249326.6281142857</v>
      </c>
      <c r="N88" s="247">
        <v>283545.76262857142</v>
      </c>
      <c r="O88" s="172"/>
      <c r="P88" s="247">
        <v>95.225442002733359</v>
      </c>
      <c r="Q88" s="247">
        <v>67.098848329144431</v>
      </c>
      <c r="R88" s="247">
        <v>0</v>
      </c>
      <c r="S88" s="247">
        <v>378.54958023298695</v>
      </c>
      <c r="T88" s="248">
        <v>540.87387056486477</v>
      </c>
      <c r="U88" s="247">
        <v>236.55717862023866</v>
      </c>
      <c r="V88" s="247">
        <v>0</v>
      </c>
      <c r="W88" s="247">
        <v>378.54958023298695</v>
      </c>
      <c r="X88" s="247">
        <v>615.10675885322564</v>
      </c>
      <c r="Y88" s="247">
        <v>74.232888288360883</v>
      </c>
      <c r="Z88" s="247">
        <v>34219.134514285717</v>
      </c>
    </row>
    <row r="89" spans="1:26" ht="12.75" x14ac:dyDescent="0.2">
      <c r="A89" s="269">
        <v>173</v>
      </c>
      <c r="B89" s="269">
        <v>1</v>
      </c>
      <c r="C89" s="270" t="s">
        <v>338</v>
      </c>
      <c r="D89" s="271">
        <v>6</v>
      </c>
      <c r="E89" s="248">
        <v>460.65</v>
      </c>
      <c r="F89" s="247">
        <v>39573.593999999997</v>
      </c>
      <c r="G89" s="247">
        <v>32306.400000000001</v>
      </c>
      <c r="H89" s="247">
        <v>113281.9</v>
      </c>
      <c r="I89" s="247">
        <v>0</v>
      </c>
      <c r="J89" s="247">
        <v>0</v>
      </c>
      <c r="K89" s="247">
        <v>0</v>
      </c>
      <c r="L89" s="247">
        <v>0</v>
      </c>
      <c r="M89" s="247">
        <v>71879.994000000006</v>
      </c>
      <c r="N89" s="247">
        <v>113281.9</v>
      </c>
      <c r="O89" s="172"/>
      <c r="P89" s="247">
        <v>85.908160208401171</v>
      </c>
      <c r="Q89" s="247">
        <v>70.132204493650278</v>
      </c>
      <c r="R89" s="247">
        <v>0</v>
      </c>
      <c r="S89" s="247">
        <v>0</v>
      </c>
      <c r="T89" s="248">
        <v>156.04036470205148</v>
      </c>
      <c r="U89" s="247">
        <v>245.9175078693151</v>
      </c>
      <c r="V89" s="247">
        <v>0</v>
      </c>
      <c r="W89" s="247">
        <v>0</v>
      </c>
      <c r="X89" s="247">
        <v>245.9175078693151</v>
      </c>
      <c r="Y89" s="247">
        <v>89.877143167263625</v>
      </c>
      <c r="Z89" s="247">
        <v>41401.905999999988</v>
      </c>
    </row>
    <row r="90" spans="1:26" ht="12.75" x14ac:dyDescent="0.2">
      <c r="A90" s="269">
        <v>177</v>
      </c>
      <c r="B90" s="269">
        <v>1</v>
      </c>
      <c r="C90" s="270" t="s">
        <v>340</v>
      </c>
      <c r="D90" s="271">
        <v>6</v>
      </c>
      <c r="E90" s="248">
        <v>949.81999999999994</v>
      </c>
      <c r="F90" s="247">
        <v>116020.49799999999</v>
      </c>
      <c r="G90" s="247">
        <v>65093.400000000009</v>
      </c>
      <c r="H90" s="247">
        <v>227566.59999999998</v>
      </c>
      <c r="I90" s="247">
        <v>0</v>
      </c>
      <c r="J90" s="247">
        <v>0</v>
      </c>
      <c r="K90" s="247">
        <v>0</v>
      </c>
      <c r="L90" s="247">
        <v>0</v>
      </c>
      <c r="M90" s="247">
        <v>181113.89799999999</v>
      </c>
      <c r="N90" s="247">
        <v>227566.59999999998</v>
      </c>
      <c r="O90" s="172"/>
      <c r="P90" s="247">
        <v>122.14998420753406</v>
      </c>
      <c r="Q90" s="247">
        <v>68.53235349855764</v>
      </c>
      <c r="R90" s="247">
        <v>0</v>
      </c>
      <c r="S90" s="247">
        <v>0</v>
      </c>
      <c r="T90" s="248">
        <v>190.68233770609169</v>
      </c>
      <c r="U90" s="247">
        <v>239.58918531932366</v>
      </c>
      <c r="V90" s="247">
        <v>0</v>
      </c>
      <c r="W90" s="247">
        <v>0</v>
      </c>
      <c r="X90" s="247">
        <v>239.58918531932366</v>
      </c>
      <c r="Y90" s="247">
        <v>48.906847613231974</v>
      </c>
      <c r="Z90" s="247">
        <v>46452.70199999999</v>
      </c>
    </row>
    <row r="91" spans="1:26" ht="12.75" x14ac:dyDescent="0.2">
      <c r="A91" s="269">
        <v>181</v>
      </c>
      <c r="B91" s="269">
        <v>1</v>
      </c>
      <c r="C91" s="270" t="s">
        <v>342</v>
      </c>
      <c r="D91" s="271">
        <v>4</v>
      </c>
      <c r="E91" s="248">
        <v>6476.18</v>
      </c>
      <c r="F91" s="247">
        <v>422902.24800000002</v>
      </c>
      <c r="G91" s="247">
        <v>448687.8</v>
      </c>
      <c r="H91" s="247">
        <v>1577231.9</v>
      </c>
      <c r="I91" s="247">
        <v>0</v>
      </c>
      <c r="J91" s="247">
        <v>528103</v>
      </c>
      <c r="K91" s="247">
        <v>0</v>
      </c>
      <c r="L91" s="247">
        <v>528103</v>
      </c>
      <c r="M91" s="247">
        <v>1399693.048</v>
      </c>
      <c r="N91" s="247">
        <v>2105334.9</v>
      </c>
      <c r="O91" s="172"/>
      <c r="P91" s="247">
        <v>65.301188046039485</v>
      </c>
      <c r="Q91" s="247">
        <v>69.282787075096735</v>
      </c>
      <c r="R91" s="247">
        <v>0</v>
      </c>
      <c r="S91" s="247">
        <v>81.545448088224845</v>
      </c>
      <c r="T91" s="248">
        <v>216.12942320936105</v>
      </c>
      <c r="U91" s="247">
        <v>243.54355499692718</v>
      </c>
      <c r="V91" s="247">
        <v>0</v>
      </c>
      <c r="W91" s="247">
        <v>81.545448088224845</v>
      </c>
      <c r="X91" s="247">
        <v>325.089003085152</v>
      </c>
      <c r="Y91" s="247">
        <v>108.95957987579096</v>
      </c>
      <c r="Z91" s="247">
        <v>705641.85199999996</v>
      </c>
    </row>
    <row r="92" spans="1:26" ht="12.75" x14ac:dyDescent="0.2">
      <c r="A92" s="269">
        <v>182</v>
      </c>
      <c r="B92" s="269">
        <v>1</v>
      </c>
      <c r="C92" s="270" t="s">
        <v>344</v>
      </c>
      <c r="D92" s="271">
        <v>5</v>
      </c>
      <c r="E92" s="248">
        <v>1177.8499999999999</v>
      </c>
      <c r="F92" s="247">
        <v>81341.676000000007</v>
      </c>
      <c r="G92" s="247">
        <v>66988.246285714282</v>
      </c>
      <c r="H92" s="247">
        <v>235321.60988571431</v>
      </c>
      <c r="I92" s="247">
        <v>0</v>
      </c>
      <c r="J92" s="247">
        <v>0</v>
      </c>
      <c r="K92" s="247">
        <v>0</v>
      </c>
      <c r="L92" s="247">
        <v>0</v>
      </c>
      <c r="M92" s="247">
        <v>148329.9222857143</v>
      </c>
      <c r="N92" s="247">
        <v>235321.60988571431</v>
      </c>
      <c r="O92" s="172"/>
      <c r="P92" s="247">
        <v>69.059452392070312</v>
      </c>
      <c r="Q92" s="247">
        <v>56.873325368862155</v>
      </c>
      <c r="R92" s="247">
        <v>0</v>
      </c>
      <c r="S92" s="247">
        <v>0</v>
      </c>
      <c r="T92" s="248">
        <v>125.93277776093247</v>
      </c>
      <c r="U92" s="247">
        <v>199.78911566474028</v>
      </c>
      <c r="V92" s="247">
        <v>0</v>
      </c>
      <c r="W92" s="247">
        <v>0</v>
      </c>
      <c r="X92" s="247">
        <v>199.78911566474028</v>
      </c>
      <c r="Y92" s="247">
        <v>73.856337903807798</v>
      </c>
      <c r="Z92" s="247">
        <v>86991.687600000005</v>
      </c>
    </row>
    <row r="93" spans="1:26" ht="12.75" x14ac:dyDescent="0.2">
      <c r="A93" s="269">
        <v>186</v>
      </c>
      <c r="B93" s="269">
        <v>1</v>
      </c>
      <c r="C93" s="270" t="s">
        <v>346</v>
      </c>
      <c r="D93" s="271">
        <v>5</v>
      </c>
      <c r="E93" s="248">
        <v>1651.1999999999998</v>
      </c>
      <c r="F93" s="247">
        <v>173687.682</v>
      </c>
      <c r="G93" s="247">
        <v>87463.653599999991</v>
      </c>
      <c r="H93" s="247">
        <v>307374.29211428569</v>
      </c>
      <c r="I93" s="247">
        <v>173038.47399999999</v>
      </c>
      <c r="J93" s="247">
        <v>0</v>
      </c>
      <c r="K93" s="247">
        <v>173038.47399999999</v>
      </c>
      <c r="L93" s="247">
        <v>0</v>
      </c>
      <c r="M93" s="247">
        <v>434189.80959999998</v>
      </c>
      <c r="N93" s="247">
        <v>480412.76611428568</v>
      </c>
      <c r="O93" s="172"/>
      <c r="P93" s="247">
        <v>105.18876090116281</v>
      </c>
      <c r="Q93" s="247">
        <v>52.969751453488371</v>
      </c>
      <c r="R93" s="247">
        <v>104.79558745155039</v>
      </c>
      <c r="S93" s="247">
        <v>0</v>
      </c>
      <c r="T93" s="248">
        <v>262.95409980620155</v>
      </c>
      <c r="U93" s="247">
        <v>186.15206644518273</v>
      </c>
      <c r="V93" s="247">
        <v>104.79558745155039</v>
      </c>
      <c r="W93" s="247">
        <v>0</v>
      </c>
      <c r="X93" s="247">
        <v>290.94765389673313</v>
      </c>
      <c r="Y93" s="247">
        <v>27.993554090531557</v>
      </c>
      <c r="Z93" s="247">
        <v>46222.956514285703</v>
      </c>
    </row>
    <row r="94" spans="1:26" ht="12.75" x14ac:dyDescent="0.2">
      <c r="A94" s="269">
        <v>191</v>
      </c>
      <c r="B94" s="269">
        <v>1</v>
      </c>
      <c r="C94" s="270" t="s">
        <v>348</v>
      </c>
      <c r="D94" s="271">
        <v>3</v>
      </c>
      <c r="E94" s="248">
        <v>9349.66</v>
      </c>
      <c r="F94" s="247">
        <v>470076.18200000003</v>
      </c>
      <c r="G94" s="247">
        <v>0</v>
      </c>
      <c r="H94" s="247">
        <v>0</v>
      </c>
      <c r="I94" s="247">
        <v>330047.8</v>
      </c>
      <c r="J94" s="247">
        <v>3400999</v>
      </c>
      <c r="K94" s="247">
        <v>800123.98200000008</v>
      </c>
      <c r="L94" s="247">
        <v>3400999</v>
      </c>
      <c r="M94" s="247">
        <v>4201122.9819999998</v>
      </c>
      <c r="N94" s="247">
        <v>4201122.9819999998</v>
      </c>
      <c r="O94" s="172"/>
      <c r="P94" s="247">
        <v>50.277355754112989</v>
      </c>
      <c r="Q94" s="247">
        <v>0</v>
      </c>
      <c r="R94" s="247">
        <v>35.30051360156412</v>
      </c>
      <c r="S94" s="247">
        <v>363.75643606291567</v>
      </c>
      <c r="T94" s="248">
        <v>449.33430541859275</v>
      </c>
      <c r="U94" s="247">
        <v>0</v>
      </c>
      <c r="V94" s="247">
        <v>85.577869355677109</v>
      </c>
      <c r="W94" s="247">
        <v>363.75643606291567</v>
      </c>
      <c r="X94" s="247">
        <v>449.33430541859275</v>
      </c>
      <c r="Y94" s="247">
        <v>0</v>
      </c>
      <c r="Z94" s="247">
        <v>0</v>
      </c>
    </row>
    <row r="95" spans="1:26" ht="12.75" x14ac:dyDescent="0.2">
      <c r="A95" s="269">
        <v>192</v>
      </c>
      <c r="B95" s="269">
        <v>1</v>
      </c>
      <c r="C95" s="270" t="s">
        <v>349</v>
      </c>
      <c r="D95" s="271">
        <v>3</v>
      </c>
      <c r="E95" s="248">
        <v>6555.1900000000005</v>
      </c>
      <c r="F95" s="247">
        <v>247167.1</v>
      </c>
      <c r="G95" s="247">
        <v>251211.69085714285</v>
      </c>
      <c r="H95" s="247">
        <v>879298.28328571445</v>
      </c>
      <c r="I95" s="247">
        <v>0</v>
      </c>
      <c r="J95" s="247">
        <v>0</v>
      </c>
      <c r="K95" s="247">
        <v>0</v>
      </c>
      <c r="L95" s="247">
        <v>0</v>
      </c>
      <c r="M95" s="247">
        <v>498378.79085714289</v>
      </c>
      <c r="N95" s="247">
        <v>879298.28328571445</v>
      </c>
      <c r="O95" s="172"/>
      <c r="P95" s="247">
        <v>37.705558496397508</v>
      </c>
      <c r="Q95" s="247">
        <v>38.322564389002125</v>
      </c>
      <c r="R95" s="247">
        <v>0</v>
      </c>
      <c r="S95" s="247">
        <v>0</v>
      </c>
      <c r="T95" s="248">
        <v>76.02812288539964</v>
      </c>
      <c r="U95" s="247">
        <v>134.13772648629779</v>
      </c>
      <c r="V95" s="247">
        <v>0</v>
      </c>
      <c r="W95" s="247">
        <v>0</v>
      </c>
      <c r="X95" s="247">
        <v>134.13772648629779</v>
      </c>
      <c r="Y95" s="247">
        <v>58.109603600898147</v>
      </c>
      <c r="Z95" s="247">
        <v>380919.49242857157</v>
      </c>
    </row>
    <row r="96" spans="1:26" ht="12.75" x14ac:dyDescent="0.2">
      <c r="A96" s="269">
        <v>194</v>
      </c>
      <c r="B96" s="269">
        <v>1</v>
      </c>
      <c r="C96" s="270" t="s">
        <v>351</v>
      </c>
      <c r="D96" s="271">
        <v>3</v>
      </c>
      <c r="E96" s="248">
        <v>10747.029999999999</v>
      </c>
      <c r="F96" s="247">
        <v>335451.424</v>
      </c>
      <c r="G96" s="247">
        <v>0</v>
      </c>
      <c r="H96" s="247">
        <v>0</v>
      </c>
      <c r="I96" s="247">
        <v>361542</v>
      </c>
      <c r="J96" s="247">
        <v>688958</v>
      </c>
      <c r="K96" s="247">
        <v>696993.424</v>
      </c>
      <c r="L96" s="247">
        <v>688958</v>
      </c>
      <c r="M96" s="247">
        <v>1385951.4240000001</v>
      </c>
      <c r="N96" s="247">
        <v>1385951.4240000001</v>
      </c>
      <c r="O96" s="172"/>
      <c r="P96" s="247">
        <v>31.213407239023251</v>
      </c>
      <c r="Q96" s="247">
        <v>0</v>
      </c>
      <c r="R96" s="247">
        <v>33.641108287592019</v>
      </c>
      <c r="S96" s="247">
        <v>64.106827653779703</v>
      </c>
      <c r="T96" s="248">
        <v>128.96134318039498</v>
      </c>
      <c r="U96" s="247">
        <v>0</v>
      </c>
      <c r="V96" s="247">
        <v>64.854515526615273</v>
      </c>
      <c r="W96" s="247">
        <v>64.106827653779703</v>
      </c>
      <c r="X96" s="247">
        <v>128.96134318039498</v>
      </c>
      <c r="Y96" s="247">
        <v>0</v>
      </c>
      <c r="Z96" s="247">
        <v>0</v>
      </c>
    </row>
    <row r="97" spans="1:26" ht="12.75" x14ac:dyDescent="0.2">
      <c r="A97" s="269">
        <v>195</v>
      </c>
      <c r="B97" s="269">
        <v>1</v>
      </c>
      <c r="C97" s="270" t="s">
        <v>353</v>
      </c>
      <c r="D97" s="271">
        <v>3</v>
      </c>
      <c r="E97" s="248">
        <v>585.88000000000011</v>
      </c>
      <c r="F97" s="247">
        <v>28111.531999999999</v>
      </c>
      <c r="G97" s="247">
        <v>30927.006857142853</v>
      </c>
      <c r="H97" s="247">
        <v>108597.75942857144</v>
      </c>
      <c r="I97" s="247">
        <v>0</v>
      </c>
      <c r="J97" s="247">
        <v>0</v>
      </c>
      <c r="K97" s="247">
        <v>0</v>
      </c>
      <c r="L97" s="247">
        <v>0</v>
      </c>
      <c r="M97" s="247">
        <v>59038.538857142848</v>
      </c>
      <c r="N97" s="247">
        <v>108597.75942857144</v>
      </c>
      <c r="O97" s="172"/>
      <c r="P97" s="247">
        <v>47.981723219771958</v>
      </c>
      <c r="Q97" s="247">
        <v>52.787271893805638</v>
      </c>
      <c r="R97" s="247">
        <v>0</v>
      </c>
      <c r="S97" s="247">
        <v>0</v>
      </c>
      <c r="T97" s="248">
        <v>100.76899511357759</v>
      </c>
      <c r="U97" s="247">
        <v>185.35836592573807</v>
      </c>
      <c r="V97" s="247">
        <v>0</v>
      </c>
      <c r="W97" s="247">
        <v>0</v>
      </c>
      <c r="X97" s="247">
        <v>185.35836592573807</v>
      </c>
      <c r="Y97" s="247">
        <v>84.589370812160482</v>
      </c>
      <c r="Z97" s="247">
        <v>49559.220571428596</v>
      </c>
    </row>
    <row r="98" spans="1:26" ht="12.75" x14ac:dyDescent="0.2">
      <c r="A98" s="269">
        <v>196</v>
      </c>
      <c r="B98" s="269">
        <v>1</v>
      </c>
      <c r="C98" s="270" t="s">
        <v>355</v>
      </c>
      <c r="D98" s="271">
        <v>3</v>
      </c>
      <c r="E98" s="248">
        <v>27304.16</v>
      </c>
      <c r="F98" s="247">
        <v>800873.83200000005</v>
      </c>
      <c r="G98" s="247">
        <v>0</v>
      </c>
      <c r="H98" s="247">
        <v>0</v>
      </c>
      <c r="I98" s="247">
        <v>6506310.4000000004</v>
      </c>
      <c r="J98" s="247">
        <v>468274</v>
      </c>
      <c r="K98" s="247">
        <v>7307184.2320000008</v>
      </c>
      <c r="L98" s="247">
        <v>468274</v>
      </c>
      <c r="M98" s="247">
        <v>7775458.2320000008</v>
      </c>
      <c r="N98" s="247">
        <v>7775458.2320000008</v>
      </c>
      <c r="O98" s="172"/>
      <c r="P98" s="247">
        <v>29.331568229896106</v>
      </c>
      <c r="Q98" s="247">
        <v>0</v>
      </c>
      <c r="R98" s="247">
        <v>238.29007740944971</v>
      </c>
      <c r="S98" s="247">
        <v>17.150280396833303</v>
      </c>
      <c r="T98" s="248">
        <v>284.77192603617914</v>
      </c>
      <c r="U98" s="247">
        <v>0</v>
      </c>
      <c r="V98" s="247">
        <v>267.62164563934584</v>
      </c>
      <c r="W98" s="247">
        <v>17.150280396833303</v>
      </c>
      <c r="X98" s="247">
        <v>284.77192603617914</v>
      </c>
      <c r="Y98" s="247">
        <v>0</v>
      </c>
      <c r="Z98" s="247">
        <v>0</v>
      </c>
    </row>
    <row r="99" spans="1:26" ht="12.75" x14ac:dyDescent="0.2">
      <c r="A99" s="269">
        <v>197</v>
      </c>
      <c r="B99" s="269">
        <v>1</v>
      </c>
      <c r="C99" s="270" t="s">
        <v>357</v>
      </c>
      <c r="D99" s="271">
        <v>2</v>
      </c>
      <c r="E99" s="248">
        <v>4687.7100000000009</v>
      </c>
      <c r="F99" s="247">
        <v>667458.76</v>
      </c>
      <c r="G99" s="247">
        <v>323653.8</v>
      </c>
      <c r="H99" s="247">
        <v>1137359.2</v>
      </c>
      <c r="I99" s="247">
        <v>0</v>
      </c>
      <c r="J99" s="247">
        <v>0</v>
      </c>
      <c r="K99" s="247">
        <v>0</v>
      </c>
      <c r="L99" s="247">
        <v>0</v>
      </c>
      <c r="M99" s="247">
        <v>991112.56</v>
      </c>
      <c r="N99" s="247">
        <v>1137359.2</v>
      </c>
      <c r="O99" s="172"/>
      <c r="P99" s="247">
        <v>142.38482329324978</v>
      </c>
      <c r="Q99" s="247">
        <v>69.043050871320943</v>
      </c>
      <c r="R99" s="247">
        <v>0</v>
      </c>
      <c r="S99" s="247">
        <v>0</v>
      </c>
      <c r="T99" s="248">
        <v>211.42787416457074</v>
      </c>
      <c r="U99" s="247">
        <v>242.62575969929875</v>
      </c>
      <c r="V99" s="247">
        <v>0</v>
      </c>
      <c r="W99" s="247">
        <v>0</v>
      </c>
      <c r="X99" s="247">
        <v>242.62575969929875</v>
      </c>
      <c r="Y99" s="247">
        <v>31.197885534728016</v>
      </c>
      <c r="Z99" s="247">
        <v>146246.6399999999</v>
      </c>
    </row>
    <row r="100" spans="1:26" ht="12.75" x14ac:dyDescent="0.2">
      <c r="A100" s="269">
        <v>199</v>
      </c>
      <c r="B100" s="269">
        <v>1</v>
      </c>
      <c r="C100" s="270" t="s">
        <v>359</v>
      </c>
      <c r="D100" s="271">
        <v>3</v>
      </c>
      <c r="E100" s="248">
        <v>3811.75</v>
      </c>
      <c r="F100" s="247">
        <v>688344.45600000001</v>
      </c>
      <c r="G100" s="247">
        <v>259207.73485714279</v>
      </c>
      <c r="H100" s="247">
        <v>947552.19085714279</v>
      </c>
      <c r="I100" s="247">
        <v>0</v>
      </c>
      <c r="J100" s="247">
        <v>589720</v>
      </c>
      <c r="K100" s="247">
        <v>0</v>
      </c>
      <c r="L100" s="247">
        <v>589720</v>
      </c>
      <c r="M100" s="247">
        <v>1537272.1908571427</v>
      </c>
      <c r="N100" s="247">
        <v>1537272.1908571427</v>
      </c>
      <c r="O100" s="172"/>
      <c r="P100" s="247">
        <v>180.58489040466978</v>
      </c>
      <c r="Q100" s="247">
        <v>68.002291560869097</v>
      </c>
      <c r="R100" s="247">
        <v>0</v>
      </c>
      <c r="S100" s="247">
        <v>154.71109070636845</v>
      </c>
      <c r="T100" s="248">
        <v>403.29827267190728</v>
      </c>
      <c r="U100" s="247">
        <v>248.58718196553886</v>
      </c>
      <c r="V100" s="247">
        <v>0</v>
      </c>
      <c r="W100" s="247">
        <v>154.71109070636845</v>
      </c>
      <c r="X100" s="247">
        <v>403.29827267190728</v>
      </c>
      <c r="Y100" s="247">
        <v>0</v>
      </c>
      <c r="Z100" s="247">
        <v>0</v>
      </c>
    </row>
    <row r="101" spans="1:26" ht="12.75" x14ac:dyDescent="0.2">
      <c r="A101" s="269">
        <v>200</v>
      </c>
      <c r="B101" s="269">
        <v>1</v>
      </c>
      <c r="C101" s="270" t="s">
        <v>361</v>
      </c>
      <c r="D101" s="271">
        <v>3</v>
      </c>
      <c r="E101" s="248">
        <v>4595.7</v>
      </c>
      <c r="F101" s="247">
        <v>307557.14199999999</v>
      </c>
      <c r="G101" s="247">
        <v>275389.96405714285</v>
      </c>
      <c r="H101" s="247">
        <v>967779.20968571445</v>
      </c>
      <c r="I101" s="247">
        <v>0</v>
      </c>
      <c r="J101" s="247">
        <v>398025</v>
      </c>
      <c r="K101" s="247">
        <v>0</v>
      </c>
      <c r="L101" s="247">
        <v>398025</v>
      </c>
      <c r="M101" s="247">
        <v>980972.10605714284</v>
      </c>
      <c r="N101" s="247">
        <v>1365804.2096857144</v>
      </c>
      <c r="O101" s="172"/>
      <c r="P101" s="247">
        <v>66.922806536545039</v>
      </c>
      <c r="Q101" s="247">
        <v>59.923398841774457</v>
      </c>
      <c r="R101" s="247">
        <v>0</v>
      </c>
      <c r="S101" s="247">
        <v>86.608133690188652</v>
      </c>
      <c r="T101" s="248">
        <v>213.45433906850815</v>
      </c>
      <c r="U101" s="247">
        <v>210.58363463361718</v>
      </c>
      <c r="V101" s="247">
        <v>0</v>
      </c>
      <c r="W101" s="247">
        <v>86.608133690188652</v>
      </c>
      <c r="X101" s="247">
        <v>297.19176832380583</v>
      </c>
      <c r="Y101" s="247">
        <v>83.737429255297698</v>
      </c>
      <c r="Z101" s="247">
        <v>384832.10362857161</v>
      </c>
    </row>
    <row r="102" spans="1:26" ht="12.75" x14ac:dyDescent="0.2">
      <c r="A102" s="269">
        <v>203</v>
      </c>
      <c r="B102" s="269">
        <v>1</v>
      </c>
      <c r="C102" s="270" t="s">
        <v>363</v>
      </c>
      <c r="D102" s="271">
        <v>6</v>
      </c>
      <c r="E102" s="248">
        <v>775.19</v>
      </c>
      <c r="F102" s="247">
        <v>87522.108000000007</v>
      </c>
      <c r="G102" s="247">
        <v>53553</v>
      </c>
      <c r="H102" s="247">
        <v>187691.5</v>
      </c>
      <c r="I102" s="247">
        <v>0</v>
      </c>
      <c r="J102" s="247">
        <v>0</v>
      </c>
      <c r="K102" s="247">
        <v>0</v>
      </c>
      <c r="L102" s="247">
        <v>0</v>
      </c>
      <c r="M102" s="247">
        <v>141075.10800000001</v>
      </c>
      <c r="N102" s="247">
        <v>187691.5</v>
      </c>
      <c r="O102" s="172"/>
      <c r="P102" s="247">
        <v>112.9040725499555</v>
      </c>
      <c r="Q102" s="247">
        <v>69.083708510171689</v>
      </c>
      <c r="R102" s="247">
        <v>0</v>
      </c>
      <c r="S102" s="247">
        <v>0</v>
      </c>
      <c r="T102" s="248">
        <v>181.98778106012719</v>
      </c>
      <c r="U102" s="247">
        <v>242.12322140378487</v>
      </c>
      <c r="V102" s="247">
        <v>0</v>
      </c>
      <c r="W102" s="247">
        <v>0</v>
      </c>
      <c r="X102" s="247">
        <v>242.12322140378487</v>
      </c>
      <c r="Y102" s="247">
        <v>60.13544034365767</v>
      </c>
      <c r="Z102" s="247">
        <v>46616.391999999993</v>
      </c>
    </row>
    <row r="103" spans="1:26" ht="12.75" x14ac:dyDescent="0.2">
      <c r="A103" s="269">
        <v>204</v>
      </c>
      <c r="B103" s="269">
        <v>1</v>
      </c>
      <c r="C103" s="270" t="s">
        <v>336</v>
      </c>
      <c r="D103" s="271">
        <v>4</v>
      </c>
      <c r="E103" s="248">
        <v>2156.2799999999997</v>
      </c>
      <c r="F103" s="247">
        <v>136276.22</v>
      </c>
      <c r="G103" s="247">
        <v>98289.398400000005</v>
      </c>
      <c r="H103" s="247">
        <v>345587.62240000005</v>
      </c>
      <c r="I103" s="247">
        <v>0</v>
      </c>
      <c r="J103" s="247">
        <v>96143</v>
      </c>
      <c r="K103" s="247">
        <v>0</v>
      </c>
      <c r="L103" s="247">
        <v>96143</v>
      </c>
      <c r="M103" s="247">
        <v>330708.61840000004</v>
      </c>
      <c r="N103" s="247">
        <v>441730.62240000005</v>
      </c>
      <c r="O103" s="172"/>
      <c r="P103" s="247">
        <v>63.199686497115408</v>
      </c>
      <c r="Q103" s="247">
        <v>45.582854916801168</v>
      </c>
      <c r="R103" s="247">
        <v>0</v>
      </c>
      <c r="S103" s="247">
        <v>44.58743762405625</v>
      </c>
      <c r="T103" s="248">
        <v>153.36997903797283</v>
      </c>
      <c r="U103" s="247">
        <v>160.27029068581078</v>
      </c>
      <c r="V103" s="247">
        <v>0</v>
      </c>
      <c r="W103" s="247">
        <v>44.58743762405625</v>
      </c>
      <c r="X103" s="247">
        <v>204.85772830986704</v>
      </c>
      <c r="Y103" s="247">
        <v>51.487749271894202</v>
      </c>
      <c r="Z103" s="247">
        <v>111022.00400000002</v>
      </c>
    </row>
    <row r="104" spans="1:26" ht="12.75" x14ac:dyDescent="0.2">
      <c r="A104" s="269">
        <v>206</v>
      </c>
      <c r="B104" s="269">
        <v>1</v>
      </c>
      <c r="C104" s="270" t="s">
        <v>366</v>
      </c>
      <c r="D104" s="271">
        <v>4</v>
      </c>
      <c r="E104" s="248">
        <v>3968.7799999999997</v>
      </c>
      <c r="F104" s="247">
        <v>122313.39599999999</v>
      </c>
      <c r="G104" s="247">
        <v>250924.73262857142</v>
      </c>
      <c r="H104" s="247">
        <v>882211.9962285714</v>
      </c>
      <c r="I104" s="247">
        <v>0</v>
      </c>
      <c r="J104" s="247">
        <v>84336</v>
      </c>
      <c r="K104" s="247">
        <v>0</v>
      </c>
      <c r="L104" s="247">
        <v>84336</v>
      </c>
      <c r="M104" s="247">
        <v>457574.1286285714</v>
      </c>
      <c r="N104" s="247">
        <v>966547.9962285714</v>
      </c>
      <c r="O104" s="172"/>
      <c r="P104" s="247">
        <v>30.81889043988329</v>
      </c>
      <c r="Q104" s="247">
        <v>63.224651562588868</v>
      </c>
      <c r="R104" s="247">
        <v>0</v>
      </c>
      <c r="S104" s="247">
        <v>21.249855119205399</v>
      </c>
      <c r="T104" s="248">
        <v>115.29339712167756</v>
      </c>
      <c r="U104" s="247">
        <v>222.28795655807866</v>
      </c>
      <c r="V104" s="247">
        <v>0</v>
      </c>
      <c r="W104" s="247">
        <v>21.249855119205399</v>
      </c>
      <c r="X104" s="247">
        <v>243.53781167728405</v>
      </c>
      <c r="Y104" s="247">
        <v>128.24441455560651</v>
      </c>
      <c r="Z104" s="247">
        <v>508973.8676</v>
      </c>
    </row>
    <row r="105" spans="1:26" ht="12.75" x14ac:dyDescent="0.2">
      <c r="A105" s="269">
        <v>207</v>
      </c>
      <c r="B105" s="269">
        <v>1</v>
      </c>
      <c r="C105" s="270" t="s">
        <v>362</v>
      </c>
      <c r="D105" s="271">
        <v>6</v>
      </c>
      <c r="E105" s="248">
        <v>274.36</v>
      </c>
      <c r="F105" s="247">
        <v>29877.599999999999</v>
      </c>
      <c r="G105" s="247">
        <v>18922.8</v>
      </c>
      <c r="H105" s="247">
        <v>65786.899999999994</v>
      </c>
      <c r="I105" s="247">
        <v>0</v>
      </c>
      <c r="J105" s="247">
        <v>0</v>
      </c>
      <c r="K105" s="247">
        <v>0</v>
      </c>
      <c r="L105" s="247">
        <v>0</v>
      </c>
      <c r="M105" s="247">
        <v>48800.399999999994</v>
      </c>
      <c r="N105" s="247">
        <v>65786.899999999994</v>
      </c>
      <c r="O105" s="172"/>
      <c r="P105" s="247">
        <v>108.89925645137774</v>
      </c>
      <c r="Q105" s="247">
        <v>68.970695436652562</v>
      </c>
      <c r="R105" s="247">
        <v>0</v>
      </c>
      <c r="S105" s="247">
        <v>0</v>
      </c>
      <c r="T105" s="248">
        <v>177.8699518880303</v>
      </c>
      <c r="U105" s="247">
        <v>239.78313165184426</v>
      </c>
      <c r="V105" s="247">
        <v>0</v>
      </c>
      <c r="W105" s="247">
        <v>0</v>
      </c>
      <c r="X105" s="247">
        <v>239.78313165184426</v>
      </c>
      <c r="Y105" s="247">
        <v>61.913179763813964</v>
      </c>
      <c r="Z105" s="247">
        <v>16986.5</v>
      </c>
    </row>
    <row r="106" spans="1:26" ht="12.75" x14ac:dyDescent="0.2">
      <c r="A106" s="269">
        <v>208</v>
      </c>
      <c r="B106" s="269">
        <v>1</v>
      </c>
      <c r="C106" s="270" t="s">
        <v>369</v>
      </c>
      <c r="D106" s="271">
        <v>6</v>
      </c>
      <c r="E106" s="248">
        <v>173.57</v>
      </c>
      <c r="F106" s="247">
        <v>27089.647999999997</v>
      </c>
      <c r="G106" s="247">
        <v>12068.4</v>
      </c>
      <c r="H106" s="247">
        <v>42425.8</v>
      </c>
      <c r="I106" s="247">
        <v>0</v>
      </c>
      <c r="J106" s="247">
        <v>0</v>
      </c>
      <c r="K106" s="247">
        <v>0</v>
      </c>
      <c r="L106" s="247">
        <v>0</v>
      </c>
      <c r="M106" s="247">
        <v>39158.047999999995</v>
      </c>
      <c r="N106" s="247">
        <v>42425.8</v>
      </c>
      <c r="O106" s="172"/>
      <c r="P106" s="247">
        <v>156.07333064469665</v>
      </c>
      <c r="Q106" s="247">
        <v>69.530448810278273</v>
      </c>
      <c r="R106" s="247">
        <v>0</v>
      </c>
      <c r="S106" s="247">
        <v>0</v>
      </c>
      <c r="T106" s="248">
        <v>225.60377945497493</v>
      </c>
      <c r="U106" s="247">
        <v>244.43048913982832</v>
      </c>
      <c r="V106" s="247">
        <v>0</v>
      </c>
      <c r="W106" s="247">
        <v>0</v>
      </c>
      <c r="X106" s="247">
        <v>244.43048913982832</v>
      </c>
      <c r="Y106" s="247">
        <v>18.826709684853419</v>
      </c>
      <c r="Z106" s="247">
        <v>3267.7520000000077</v>
      </c>
    </row>
    <row r="107" spans="1:26" ht="12.75" x14ac:dyDescent="0.2">
      <c r="A107" s="269">
        <v>213</v>
      </c>
      <c r="B107" s="269">
        <v>1</v>
      </c>
      <c r="C107" s="270" t="s">
        <v>370</v>
      </c>
      <c r="D107" s="271">
        <v>6</v>
      </c>
      <c r="E107" s="248">
        <v>856.28</v>
      </c>
      <c r="F107" s="247">
        <v>33393.660000000003</v>
      </c>
      <c r="G107" s="247">
        <v>49057.24011428572</v>
      </c>
      <c r="H107" s="247">
        <v>172119.43148571427</v>
      </c>
      <c r="I107" s="247">
        <v>0</v>
      </c>
      <c r="J107" s="247">
        <v>0</v>
      </c>
      <c r="K107" s="247">
        <v>0</v>
      </c>
      <c r="L107" s="247">
        <v>0</v>
      </c>
      <c r="M107" s="247">
        <v>82450.900114285731</v>
      </c>
      <c r="N107" s="247">
        <v>172119.43148571427</v>
      </c>
      <c r="O107" s="172"/>
      <c r="P107" s="247">
        <v>38.998528518708838</v>
      </c>
      <c r="Q107" s="247">
        <v>57.291119860659741</v>
      </c>
      <c r="R107" s="247">
        <v>0</v>
      </c>
      <c r="S107" s="247">
        <v>0</v>
      </c>
      <c r="T107" s="248">
        <v>96.289648379368586</v>
      </c>
      <c r="U107" s="247">
        <v>201.00835180748621</v>
      </c>
      <c r="V107" s="247">
        <v>0</v>
      </c>
      <c r="W107" s="247">
        <v>0</v>
      </c>
      <c r="X107" s="247">
        <v>201.00835180748621</v>
      </c>
      <c r="Y107" s="247">
        <v>104.71870342811761</v>
      </c>
      <c r="Z107" s="247">
        <v>89668.531371428544</v>
      </c>
    </row>
    <row r="108" spans="1:26" ht="12.75" x14ac:dyDescent="0.2">
      <c r="A108" s="269">
        <v>227</v>
      </c>
      <c r="B108" s="269">
        <v>1</v>
      </c>
      <c r="C108" s="270" t="s">
        <v>275</v>
      </c>
      <c r="D108" s="271">
        <v>6</v>
      </c>
      <c r="E108" s="248">
        <v>902.67000000000007</v>
      </c>
      <c r="F108" s="247">
        <v>99086.78</v>
      </c>
      <c r="G108" s="247">
        <v>46681.781314285712</v>
      </c>
      <c r="H108" s="247">
        <v>163760.57631428569</v>
      </c>
      <c r="I108" s="247">
        <v>0</v>
      </c>
      <c r="J108" s="247">
        <v>148472</v>
      </c>
      <c r="K108" s="247">
        <v>0</v>
      </c>
      <c r="L108" s="247">
        <v>148472</v>
      </c>
      <c r="M108" s="247">
        <v>294240.56131428573</v>
      </c>
      <c r="N108" s="247">
        <v>312232.57631428569</v>
      </c>
      <c r="O108" s="172"/>
      <c r="P108" s="247">
        <v>109.77076894103048</v>
      </c>
      <c r="Q108" s="247">
        <v>51.715224073344309</v>
      </c>
      <c r="R108" s="247">
        <v>0</v>
      </c>
      <c r="S108" s="247">
        <v>164.48092880011521</v>
      </c>
      <c r="T108" s="248">
        <v>325.96692181449004</v>
      </c>
      <c r="U108" s="247">
        <v>181.41798920345826</v>
      </c>
      <c r="V108" s="247">
        <v>0</v>
      </c>
      <c r="W108" s="247">
        <v>164.48092880011521</v>
      </c>
      <c r="X108" s="247">
        <v>345.89891800357344</v>
      </c>
      <c r="Y108" s="247">
        <v>19.931996189083446</v>
      </c>
      <c r="Z108" s="247">
        <v>17992.014999999956</v>
      </c>
    </row>
    <row r="109" spans="1:26" ht="12.75" x14ac:dyDescent="0.2">
      <c r="A109" s="269">
        <v>229</v>
      </c>
      <c r="B109" s="269">
        <v>1</v>
      </c>
      <c r="C109" s="270" t="s">
        <v>373</v>
      </c>
      <c r="D109" s="271">
        <v>6</v>
      </c>
      <c r="E109" s="248">
        <v>333.90999999999997</v>
      </c>
      <c r="F109" s="247">
        <v>17320.256000000001</v>
      </c>
      <c r="G109" s="247">
        <v>23093.399999999998</v>
      </c>
      <c r="H109" s="247">
        <v>81254.399999999994</v>
      </c>
      <c r="I109" s="247">
        <v>0</v>
      </c>
      <c r="J109" s="247">
        <v>0</v>
      </c>
      <c r="K109" s="247">
        <v>0</v>
      </c>
      <c r="L109" s="247">
        <v>0</v>
      </c>
      <c r="M109" s="247">
        <v>40413.656000000003</v>
      </c>
      <c r="N109" s="247">
        <v>81254.399999999994</v>
      </c>
      <c r="O109" s="172"/>
      <c r="P109" s="247">
        <v>51.871031116169036</v>
      </c>
      <c r="Q109" s="247">
        <v>69.16055224461681</v>
      </c>
      <c r="R109" s="247">
        <v>0</v>
      </c>
      <c r="S109" s="247">
        <v>0</v>
      </c>
      <c r="T109" s="248">
        <v>121.03158336078586</v>
      </c>
      <c r="U109" s="247">
        <v>243.34221796292414</v>
      </c>
      <c r="V109" s="247">
        <v>0</v>
      </c>
      <c r="W109" s="247">
        <v>0</v>
      </c>
      <c r="X109" s="247">
        <v>243.34221796292414</v>
      </c>
      <c r="Y109" s="247">
        <v>122.31063460213829</v>
      </c>
      <c r="Z109" s="247">
        <v>40840.743999999992</v>
      </c>
    </row>
    <row r="110" spans="1:26" ht="12.75" x14ac:dyDescent="0.2">
      <c r="A110" s="269">
        <v>238</v>
      </c>
      <c r="B110" s="269">
        <v>1</v>
      </c>
      <c r="C110" s="270" t="s">
        <v>281</v>
      </c>
      <c r="D110" s="271">
        <v>6</v>
      </c>
      <c r="E110" s="248">
        <v>255.39000000000001</v>
      </c>
      <c r="F110" s="247">
        <v>63015.507999999994</v>
      </c>
      <c r="G110" s="247">
        <v>17554.2</v>
      </c>
      <c r="H110" s="247">
        <v>80569.707999999999</v>
      </c>
      <c r="I110" s="247">
        <v>0</v>
      </c>
      <c r="J110" s="247">
        <v>0</v>
      </c>
      <c r="K110" s="247">
        <v>0</v>
      </c>
      <c r="L110" s="247">
        <v>0</v>
      </c>
      <c r="M110" s="247">
        <v>80569.707999999999</v>
      </c>
      <c r="N110" s="247">
        <v>80569.707999999999</v>
      </c>
      <c r="O110" s="172"/>
      <c r="P110" s="247">
        <v>246.74226868710596</v>
      </c>
      <c r="Q110" s="247">
        <v>68.734876071890056</v>
      </c>
      <c r="R110" s="247">
        <v>0</v>
      </c>
      <c r="S110" s="247">
        <v>0</v>
      </c>
      <c r="T110" s="248">
        <v>315.47714475899602</v>
      </c>
      <c r="U110" s="247">
        <v>315.47714475899602</v>
      </c>
      <c r="V110" s="247">
        <v>0</v>
      </c>
      <c r="W110" s="247">
        <v>0</v>
      </c>
      <c r="X110" s="247">
        <v>315.47714475899602</v>
      </c>
      <c r="Y110" s="247">
        <v>0</v>
      </c>
      <c r="Z110" s="247">
        <v>0</v>
      </c>
    </row>
    <row r="111" spans="1:26" ht="12.75" x14ac:dyDescent="0.2">
      <c r="A111" s="269">
        <v>239</v>
      </c>
      <c r="B111" s="269">
        <v>1</v>
      </c>
      <c r="C111" s="270" t="s">
        <v>376</v>
      </c>
      <c r="D111" s="271">
        <v>6</v>
      </c>
      <c r="E111" s="248">
        <v>674.14</v>
      </c>
      <c r="F111" s="247">
        <v>85206.741999999998</v>
      </c>
      <c r="G111" s="247">
        <v>46803.6</v>
      </c>
      <c r="H111" s="247">
        <v>164397.1</v>
      </c>
      <c r="I111" s="247">
        <v>0</v>
      </c>
      <c r="J111" s="247">
        <v>0</v>
      </c>
      <c r="K111" s="247">
        <v>0</v>
      </c>
      <c r="L111" s="247">
        <v>0</v>
      </c>
      <c r="M111" s="247">
        <v>132010.342</v>
      </c>
      <c r="N111" s="247">
        <v>164397.1</v>
      </c>
      <c r="O111" s="172"/>
      <c r="P111" s="247">
        <v>126.39324472661465</v>
      </c>
      <c r="Q111" s="247">
        <v>69.427121962797045</v>
      </c>
      <c r="R111" s="247">
        <v>0</v>
      </c>
      <c r="S111" s="247">
        <v>0</v>
      </c>
      <c r="T111" s="248">
        <v>195.82036668941171</v>
      </c>
      <c r="U111" s="247">
        <v>243.86195745690807</v>
      </c>
      <c r="V111" s="247">
        <v>0</v>
      </c>
      <c r="W111" s="247">
        <v>0</v>
      </c>
      <c r="X111" s="247">
        <v>243.86195745690807</v>
      </c>
      <c r="Y111" s="247">
        <v>48.041590767496366</v>
      </c>
      <c r="Z111" s="247">
        <v>32386.758000000002</v>
      </c>
    </row>
    <row r="112" spans="1:26" ht="12.75" x14ac:dyDescent="0.2">
      <c r="A112" s="269">
        <v>241</v>
      </c>
      <c r="B112" s="269">
        <v>1</v>
      </c>
      <c r="C112" s="270" t="s">
        <v>378</v>
      </c>
      <c r="D112" s="271">
        <v>4</v>
      </c>
      <c r="E112" s="248">
        <v>3233.6800000000003</v>
      </c>
      <c r="F112" s="247">
        <v>242892.016</v>
      </c>
      <c r="G112" s="247">
        <v>223718.39999999999</v>
      </c>
      <c r="H112" s="247">
        <v>785958.3</v>
      </c>
      <c r="I112" s="247">
        <v>0</v>
      </c>
      <c r="J112" s="247">
        <v>210321</v>
      </c>
      <c r="K112" s="247">
        <v>0</v>
      </c>
      <c r="L112" s="247">
        <v>210321</v>
      </c>
      <c r="M112" s="247">
        <v>676931.41599999997</v>
      </c>
      <c r="N112" s="247">
        <v>996279.3</v>
      </c>
      <c r="O112" s="172"/>
      <c r="P112" s="247">
        <v>75.11318868904776</v>
      </c>
      <c r="Q112" s="247">
        <v>69.183840083125105</v>
      </c>
      <c r="R112" s="247">
        <v>0</v>
      </c>
      <c r="S112" s="247">
        <v>65.040758516612641</v>
      </c>
      <c r="T112" s="248">
        <v>209.33778728878551</v>
      </c>
      <c r="U112" s="247">
        <v>243.05382721852502</v>
      </c>
      <c r="V112" s="247">
        <v>0</v>
      </c>
      <c r="W112" s="247">
        <v>65.040758516612641</v>
      </c>
      <c r="X112" s="247">
        <v>308.09458573513768</v>
      </c>
      <c r="Y112" s="247">
        <v>98.756798446352164</v>
      </c>
      <c r="Z112" s="247">
        <v>319347.88400000008</v>
      </c>
    </row>
    <row r="113" spans="1:26" ht="12.75" x14ac:dyDescent="0.2">
      <c r="A113" s="269">
        <v>242</v>
      </c>
      <c r="B113" s="269">
        <v>1</v>
      </c>
      <c r="C113" s="270" t="s">
        <v>316</v>
      </c>
      <c r="D113" s="271">
        <v>6</v>
      </c>
      <c r="E113" s="248">
        <v>509.46999999999997</v>
      </c>
      <c r="F113" s="247">
        <v>38645.877999999997</v>
      </c>
      <c r="G113" s="247">
        <v>31933.198114285715</v>
      </c>
      <c r="H113" s="247">
        <v>112443.81614285716</v>
      </c>
      <c r="I113" s="247">
        <v>0</v>
      </c>
      <c r="J113" s="247">
        <v>0</v>
      </c>
      <c r="K113" s="247">
        <v>0</v>
      </c>
      <c r="L113" s="247">
        <v>0</v>
      </c>
      <c r="M113" s="247">
        <v>70579.076114285708</v>
      </c>
      <c r="N113" s="247">
        <v>112443.81614285716</v>
      </c>
      <c r="O113" s="172"/>
      <c r="P113" s="247">
        <v>75.855061141971063</v>
      </c>
      <c r="Q113" s="247">
        <v>62.67925121064188</v>
      </c>
      <c r="R113" s="247">
        <v>0</v>
      </c>
      <c r="S113" s="247">
        <v>0</v>
      </c>
      <c r="T113" s="248">
        <v>138.53431235261294</v>
      </c>
      <c r="U113" s="247">
        <v>220.7074334953131</v>
      </c>
      <c r="V113" s="247">
        <v>0</v>
      </c>
      <c r="W113" s="247">
        <v>0</v>
      </c>
      <c r="X113" s="247">
        <v>220.7074334953131</v>
      </c>
      <c r="Y113" s="247">
        <v>82.173121142700168</v>
      </c>
      <c r="Z113" s="247">
        <v>41864.740028571454</v>
      </c>
    </row>
    <row r="114" spans="1:26" ht="12.75" x14ac:dyDescent="0.2">
      <c r="A114" s="269">
        <v>252</v>
      </c>
      <c r="B114" s="269">
        <v>1</v>
      </c>
      <c r="C114" s="270" t="s">
        <v>379</v>
      </c>
      <c r="D114" s="271">
        <v>5</v>
      </c>
      <c r="E114" s="248">
        <v>1210.8499999999999</v>
      </c>
      <c r="F114" s="247">
        <v>74361.42</v>
      </c>
      <c r="G114" s="247">
        <v>77259.111428571428</v>
      </c>
      <c r="H114" s="247">
        <v>271769.42074285715</v>
      </c>
      <c r="I114" s="247">
        <v>0</v>
      </c>
      <c r="J114" s="247">
        <v>0</v>
      </c>
      <c r="K114" s="247">
        <v>0</v>
      </c>
      <c r="L114" s="247">
        <v>0</v>
      </c>
      <c r="M114" s="247">
        <v>151620.53142857144</v>
      </c>
      <c r="N114" s="247">
        <v>271769.42074285715</v>
      </c>
      <c r="O114" s="172"/>
      <c r="P114" s="247">
        <v>61.41257794111575</v>
      </c>
      <c r="Q114" s="247">
        <v>63.805683138763214</v>
      </c>
      <c r="R114" s="247">
        <v>0</v>
      </c>
      <c r="S114" s="247">
        <v>0</v>
      </c>
      <c r="T114" s="248">
        <v>125.21826107987897</v>
      </c>
      <c r="U114" s="247">
        <v>224.44515897333045</v>
      </c>
      <c r="V114" s="247">
        <v>0</v>
      </c>
      <c r="W114" s="247">
        <v>0</v>
      </c>
      <c r="X114" s="247">
        <v>224.44515897333045</v>
      </c>
      <c r="Y114" s="247">
        <v>99.226897893451479</v>
      </c>
      <c r="Z114" s="247">
        <v>120148.88931428571</v>
      </c>
    </row>
    <row r="115" spans="1:26" ht="12.75" x14ac:dyDescent="0.2">
      <c r="A115" s="269">
        <v>253</v>
      </c>
      <c r="B115" s="269">
        <v>1</v>
      </c>
      <c r="C115" s="270" t="s">
        <v>381</v>
      </c>
      <c r="D115" s="271">
        <v>6</v>
      </c>
      <c r="E115" s="248">
        <v>655.68000000000006</v>
      </c>
      <c r="F115" s="247">
        <v>16379.328</v>
      </c>
      <c r="G115" s="247">
        <v>45049.200000000004</v>
      </c>
      <c r="H115" s="247">
        <v>158157.19999999998</v>
      </c>
      <c r="I115" s="247">
        <v>0</v>
      </c>
      <c r="J115" s="247">
        <v>0</v>
      </c>
      <c r="K115" s="247">
        <v>0</v>
      </c>
      <c r="L115" s="247">
        <v>0</v>
      </c>
      <c r="M115" s="247">
        <v>61428.528000000006</v>
      </c>
      <c r="N115" s="247">
        <v>158157.19999999998</v>
      </c>
      <c r="O115" s="172"/>
      <c r="P115" s="247">
        <v>24.980673499267933</v>
      </c>
      <c r="Q115" s="247">
        <v>68.706076134699856</v>
      </c>
      <c r="R115" s="247">
        <v>0</v>
      </c>
      <c r="S115" s="247">
        <v>0</v>
      </c>
      <c r="T115" s="248">
        <v>93.686749633967793</v>
      </c>
      <c r="U115" s="247">
        <v>241.21095656417759</v>
      </c>
      <c r="V115" s="247">
        <v>0</v>
      </c>
      <c r="W115" s="247">
        <v>0</v>
      </c>
      <c r="X115" s="247">
        <v>241.21095656417759</v>
      </c>
      <c r="Y115" s="247">
        <v>147.5242069302098</v>
      </c>
      <c r="Z115" s="247">
        <v>96728.671999999977</v>
      </c>
    </row>
    <row r="116" spans="1:26" ht="12.75" x14ac:dyDescent="0.2">
      <c r="A116" s="269">
        <v>255</v>
      </c>
      <c r="B116" s="269">
        <v>1</v>
      </c>
      <c r="C116" s="270" t="s">
        <v>332</v>
      </c>
      <c r="D116" s="271">
        <v>5</v>
      </c>
      <c r="E116" s="248">
        <v>1206.69</v>
      </c>
      <c r="F116" s="247">
        <v>102330.298</v>
      </c>
      <c r="G116" s="247">
        <v>83473.2</v>
      </c>
      <c r="H116" s="247">
        <v>293038.39999999997</v>
      </c>
      <c r="I116" s="247">
        <v>0</v>
      </c>
      <c r="J116" s="247">
        <v>0</v>
      </c>
      <c r="K116" s="247">
        <v>0</v>
      </c>
      <c r="L116" s="247">
        <v>0</v>
      </c>
      <c r="M116" s="247">
        <v>185803.49799999999</v>
      </c>
      <c r="N116" s="247">
        <v>293038.39999999997</v>
      </c>
      <c r="O116" s="172"/>
      <c r="P116" s="247">
        <v>84.802474537785173</v>
      </c>
      <c r="Q116" s="247">
        <v>69.175347438032958</v>
      </c>
      <c r="R116" s="247">
        <v>0</v>
      </c>
      <c r="S116" s="247">
        <v>0</v>
      </c>
      <c r="T116" s="248">
        <v>153.97782197581813</v>
      </c>
      <c r="U116" s="247">
        <v>242.84480686837543</v>
      </c>
      <c r="V116" s="247">
        <v>0</v>
      </c>
      <c r="W116" s="247">
        <v>0</v>
      </c>
      <c r="X116" s="247">
        <v>242.84480686837543</v>
      </c>
      <c r="Y116" s="247">
        <v>88.866984892557298</v>
      </c>
      <c r="Z116" s="247">
        <v>107234.90199999997</v>
      </c>
    </row>
    <row r="117" spans="1:26" ht="12.75" x14ac:dyDescent="0.2">
      <c r="A117" s="269">
        <v>256</v>
      </c>
      <c r="B117" s="269">
        <v>1</v>
      </c>
      <c r="C117" s="270" t="s">
        <v>384</v>
      </c>
      <c r="D117" s="271">
        <v>4</v>
      </c>
      <c r="E117" s="248">
        <v>2849.96</v>
      </c>
      <c r="F117" s="247">
        <v>264541.93799999997</v>
      </c>
      <c r="G117" s="247">
        <v>172337.76360000001</v>
      </c>
      <c r="H117" s="247">
        <v>605325.47897142847</v>
      </c>
      <c r="I117" s="247">
        <v>0</v>
      </c>
      <c r="J117" s="247">
        <v>0</v>
      </c>
      <c r="K117" s="247">
        <v>0</v>
      </c>
      <c r="L117" s="247">
        <v>0</v>
      </c>
      <c r="M117" s="247">
        <v>436879.70159999997</v>
      </c>
      <c r="N117" s="247">
        <v>605325.47897142847</v>
      </c>
      <c r="O117" s="172"/>
      <c r="P117" s="247">
        <v>92.823035411023298</v>
      </c>
      <c r="Q117" s="247">
        <v>60.470239441957084</v>
      </c>
      <c r="R117" s="247">
        <v>0</v>
      </c>
      <c r="S117" s="247">
        <v>0</v>
      </c>
      <c r="T117" s="248">
        <v>153.29327485298037</v>
      </c>
      <c r="U117" s="247">
        <v>212.39788592521595</v>
      </c>
      <c r="V117" s="247">
        <v>0</v>
      </c>
      <c r="W117" s="247">
        <v>0</v>
      </c>
      <c r="X117" s="247">
        <v>212.39788592521595</v>
      </c>
      <c r="Y117" s="247">
        <v>59.104611072235578</v>
      </c>
      <c r="Z117" s="247">
        <v>168445.7773714285</v>
      </c>
    </row>
    <row r="118" spans="1:26" ht="12.75" x14ac:dyDescent="0.2">
      <c r="A118" s="269">
        <v>261</v>
      </c>
      <c r="B118" s="269">
        <v>1</v>
      </c>
      <c r="C118" s="270" t="s">
        <v>386</v>
      </c>
      <c r="D118" s="271">
        <v>6</v>
      </c>
      <c r="E118" s="248">
        <v>251.51999999999998</v>
      </c>
      <c r="F118" s="247">
        <v>10875.732</v>
      </c>
      <c r="G118" s="247">
        <v>11563.699199999999</v>
      </c>
      <c r="H118" s="247">
        <v>40807.2624</v>
      </c>
      <c r="I118" s="247">
        <v>0</v>
      </c>
      <c r="J118" s="247">
        <v>0</v>
      </c>
      <c r="K118" s="247">
        <v>0</v>
      </c>
      <c r="L118" s="247">
        <v>0</v>
      </c>
      <c r="M118" s="247">
        <v>22439.431199999999</v>
      </c>
      <c r="N118" s="247">
        <v>40807.2624</v>
      </c>
      <c r="O118" s="172"/>
      <c r="P118" s="247">
        <v>43.240028625954203</v>
      </c>
      <c r="Q118" s="247">
        <v>45.975267175572519</v>
      </c>
      <c r="R118" s="247">
        <v>0</v>
      </c>
      <c r="S118" s="247">
        <v>0</v>
      </c>
      <c r="T118" s="248">
        <v>89.215295801526722</v>
      </c>
      <c r="U118" s="247">
        <v>162.24261450381681</v>
      </c>
      <c r="V118" s="247">
        <v>0</v>
      </c>
      <c r="W118" s="247">
        <v>0</v>
      </c>
      <c r="X118" s="247">
        <v>162.24261450381681</v>
      </c>
      <c r="Y118" s="247">
        <v>73.027318702290088</v>
      </c>
      <c r="Z118" s="247">
        <v>18367.831200000001</v>
      </c>
    </row>
    <row r="119" spans="1:26" ht="12.75" x14ac:dyDescent="0.2">
      <c r="A119" s="269">
        <v>264</v>
      </c>
      <c r="B119" s="269">
        <v>1</v>
      </c>
      <c r="C119" s="270" t="s">
        <v>388</v>
      </c>
      <c r="D119" s="271">
        <v>6</v>
      </c>
      <c r="E119" s="248">
        <v>95.34</v>
      </c>
      <c r="F119" s="247">
        <v>14094.885999999999</v>
      </c>
      <c r="G119" s="247">
        <v>6474.5999999999995</v>
      </c>
      <c r="H119" s="247">
        <v>22703.3</v>
      </c>
      <c r="I119" s="247">
        <v>0</v>
      </c>
      <c r="J119" s="247">
        <v>0</v>
      </c>
      <c r="K119" s="247">
        <v>0</v>
      </c>
      <c r="L119" s="247">
        <v>0</v>
      </c>
      <c r="M119" s="247">
        <v>20569.485999999997</v>
      </c>
      <c r="N119" s="247">
        <v>22703.3</v>
      </c>
      <c r="O119" s="172"/>
      <c r="P119" s="247">
        <v>147.83811621564922</v>
      </c>
      <c r="Q119" s="247">
        <v>67.910635619886719</v>
      </c>
      <c r="R119" s="247">
        <v>0</v>
      </c>
      <c r="S119" s="247">
        <v>0</v>
      </c>
      <c r="T119" s="248">
        <v>215.74875183553593</v>
      </c>
      <c r="U119" s="247">
        <v>238.12985105936647</v>
      </c>
      <c r="V119" s="247">
        <v>0</v>
      </c>
      <c r="W119" s="247">
        <v>0</v>
      </c>
      <c r="X119" s="247">
        <v>238.12985105936647</v>
      </c>
      <c r="Y119" s="247">
        <v>22.381099223830521</v>
      </c>
      <c r="Z119" s="247">
        <v>2133.8140000000021</v>
      </c>
    </row>
    <row r="120" spans="1:26" ht="12.75" x14ac:dyDescent="0.2">
      <c r="A120" s="269">
        <v>270</v>
      </c>
      <c r="B120" s="269">
        <v>1</v>
      </c>
      <c r="C120" s="270" t="s">
        <v>390</v>
      </c>
      <c r="D120" s="271">
        <v>2</v>
      </c>
      <c r="E120" s="248">
        <v>7076.84</v>
      </c>
      <c r="F120" s="247">
        <v>521693.91799999995</v>
      </c>
      <c r="G120" s="247">
        <v>0</v>
      </c>
      <c r="H120" s="247">
        <v>0</v>
      </c>
      <c r="I120" s="247">
        <v>1051217.3999999999</v>
      </c>
      <c r="J120" s="247">
        <v>4723092</v>
      </c>
      <c r="K120" s="247">
        <v>1572911.318</v>
      </c>
      <c r="L120" s="247">
        <v>4723092</v>
      </c>
      <c r="M120" s="247">
        <v>6296003.318</v>
      </c>
      <c r="N120" s="247">
        <v>6296003.318</v>
      </c>
      <c r="O120" s="172"/>
      <c r="P120" s="247">
        <v>73.71848423872801</v>
      </c>
      <c r="Q120" s="247">
        <v>0</v>
      </c>
      <c r="R120" s="247">
        <v>148.54333289999491</v>
      </c>
      <c r="S120" s="247">
        <v>667.40126949316357</v>
      </c>
      <c r="T120" s="248">
        <v>889.66308663188647</v>
      </c>
      <c r="U120" s="247">
        <v>0</v>
      </c>
      <c r="V120" s="247">
        <v>222.26181713872293</v>
      </c>
      <c r="W120" s="247">
        <v>667.40126949316357</v>
      </c>
      <c r="X120" s="247">
        <v>889.66308663188647</v>
      </c>
      <c r="Y120" s="247">
        <v>0</v>
      </c>
      <c r="Z120" s="247">
        <v>0</v>
      </c>
    </row>
    <row r="121" spans="1:26" ht="12.75" x14ac:dyDescent="0.2">
      <c r="A121" s="269">
        <v>271</v>
      </c>
      <c r="B121" s="269">
        <v>1</v>
      </c>
      <c r="C121" s="270" t="s">
        <v>392</v>
      </c>
      <c r="D121" s="271">
        <v>3</v>
      </c>
      <c r="E121" s="248">
        <v>10078.790000000001</v>
      </c>
      <c r="F121" s="247">
        <v>476842.70799999998</v>
      </c>
      <c r="G121" s="247">
        <v>0</v>
      </c>
      <c r="H121" s="247">
        <v>0</v>
      </c>
      <c r="I121" s="247">
        <v>3561579.6639999999</v>
      </c>
      <c r="J121" s="247">
        <v>1706618</v>
      </c>
      <c r="K121" s="247">
        <v>4038422.372</v>
      </c>
      <c r="L121" s="247">
        <v>1706618</v>
      </c>
      <c r="M121" s="247">
        <v>5745040.3719999995</v>
      </c>
      <c r="N121" s="247">
        <v>5745040.3719999995</v>
      </c>
      <c r="O121" s="172"/>
      <c r="P121" s="247">
        <v>47.311503464205522</v>
      </c>
      <c r="Q121" s="247">
        <v>0</v>
      </c>
      <c r="R121" s="247">
        <v>353.37373474395235</v>
      </c>
      <c r="S121" s="247">
        <v>169.32766730927025</v>
      </c>
      <c r="T121" s="248">
        <v>570.01290551742807</v>
      </c>
      <c r="U121" s="247">
        <v>0</v>
      </c>
      <c r="V121" s="247">
        <v>400.6852382081579</v>
      </c>
      <c r="W121" s="247">
        <v>169.32766730927025</v>
      </c>
      <c r="X121" s="247">
        <v>570.01290551742807</v>
      </c>
      <c r="Y121" s="247">
        <v>0</v>
      </c>
      <c r="Z121" s="247">
        <v>0</v>
      </c>
    </row>
    <row r="122" spans="1:26" ht="12.75" x14ac:dyDescent="0.2">
      <c r="A122" s="269">
        <v>272</v>
      </c>
      <c r="B122" s="269">
        <v>1</v>
      </c>
      <c r="C122" s="270" t="s">
        <v>394</v>
      </c>
      <c r="D122" s="271">
        <v>3</v>
      </c>
      <c r="E122" s="248">
        <v>9263.83</v>
      </c>
      <c r="F122" s="247">
        <v>734513.21799999999</v>
      </c>
      <c r="G122" s="247">
        <v>0</v>
      </c>
      <c r="H122" s="247">
        <v>0</v>
      </c>
      <c r="I122" s="247">
        <v>199999.79800000001</v>
      </c>
      <c r="J122" s="247">
        <v>1031514</v>
      </c>
      <c r="K122" s="247">
        <v>934513.01600000006</v>
      </c>
      <c r="L122" s="247">
        <v>1031514</v>
      </c>
      <c r="M122" s="247">
        <v>1966027.0160000001</v>
      </c>
      <c r="N122" s="247">
        <v>1966027.0160000001</v>
      </c>
      <c r="O122" s="172"/>
      <c r="P122" s="247">
        <v>79.28828767367277</v>
      </c>
      <c r="Q122" s="247">
        <v>0</v>
      </c>
      <c r="R122" s="247">
        <v>21.589320831664658</v>
      </c>
      <c r="S122" s="247">
        <v>111.34854590380004</v>
      </c>
      <c r="T122" s="248">
        <v>212.22615440913748</v>
      </c>
      <c r="U122" s="247">
        <v>0</v>
      </c>
      <c r="V122" s="247">
        <v>100.87760850533743</v>
      </c>
      <c r="W122" s="247">
        <v>111.34854590380004</v>
      </c>
      <c r="X122" s="247">
        <v>212.22615440913748</v>
      </c>
      <c r="Y122" s="247">
        <v>0</v>
      </c>
      <c r="Z122" s="247">
        <v>0</v>
      </c>
    </row>
    <row r="123" spans="1:26" ht="12.75" x14ac:dyDescent="0.2">
      <c r="A123" s="269">
        <v>273</v>
      </c>
      <c r="B123" s="269">
        <v>1</v>
      </c>
      <c r="C123" s="270" t="s">
        <v>396</v>
      </c>
      <c r="D123" s="271">
        <v>2</v>
      </c>
      <c r="E123" s="248">
        <v>8429.0600000000013</v>
      </c>
      <c r="F123" s="247">
        <v>834443.66</v>
      </c>
      <c r="G123" s="247">
        <v>0</v>
      </c>
      <c r="H123" s="247">
        <v>0</v>
      </c>
      <c r="I123" s="247">
        <v>1571707.8</v>
      </c>
      <c r="J123" s="247">
        <v>559876</v>
      </c>
      <c r="K123" s="247">
        <v>2406151.46</v>
      </c>
      <c r="L123" s="247">
        <v>559876</v>
      </c>
      <c r="M123" s="247">
        <v>2966027.46</v>
      </c>
      <c r="N123" s="247">
        <v>2966027.46</v>
      </c>
      <c r="O123" s="172"/>
      <c r="P123" s="247">
        <v>98.996051754288132</v>
      </c>
      <c r="Q123" s="247">
        <v>0</v>
      </c>
      <c r="R123" s="247">
        <v>186.4629982465423</v>
      </c>
      <c r="S123" s="247">
        <v>66.42211587057156</v>
      </c>
      <c r="T123" s="248">
        <v>351.88116587140195</v>
      </c>
      <c r="U123" s="247">
        <v>0</v>
      </c>
      <c r="V123" s="247">
        <v>285.45905000083042</v>
      </c>
      <c r="W123" s="247">
        <v>66.42211587057156</v>
      </c>
      <c r="X123" s="247">
        <v>351.88116587140195</v>
      </c>
      <c r="Y123" s="247">
        <v>0</v>
      </c>
      <c r="Z123" s="247">
        <v>0</v>
      </c>
    </row>
    <row r="124" spans="1:26" ht="12.75" x14ac:dyDescent="0.2">
      <c r="A124" s="269">
        <v>276</v>
      </c>
      <c r="B124" s="269">
        <v>1</v>
      </c>
      <c r="C124" s="270" t="s">
        <v>397</v>
      </c>
      <c r="D124" s="271">
        <v>3</v>
      </c>
      <c r="E124" s="248">
        <v>9534.64</v>
      </c>
      <c r="F124" s="247">
        <v>488794.94199999998</v>
      </c>
      <c r="G124" s="247">
        <v>0</v>
      </c>
      <c r="H124" s="247">
        <v>0</v>
      </c>
      <c r="I124" s="247">
        <v>0</v>
      </c>
      <c r="J124" s="247">
        <v>3595320</v>
      </c>
      <c r="K124" s="247">
        <v>488794.94199999998</v>
      </c>
      <c r="L124" s="247">
        <v>3595320</v>
      </c>
      <c r="M124" s="247">
        <v>4084114.9419999998</v>
      </c>
      <c r="N124" s="247">
        <v>4084114.9419999998</v>
      </c>
      <c r="O124" s="172"/>
      <c r="P124" s="247">
        <v>51.265170158495756</v>
      </c>
      <c r="Q124" s="247">
        <v>0</v>
      </c>
      <c r="R124" s="247">
        <v>0</v>
      </c>
      <c r="S124" s="247">
        <v>377.07978486864738</v>
      </c>
      <c r="T124" s="248">
        <v>428.34495502714316</v>
      </c>
      <c r="U124" s="247">
        <v>0</v>
      </c>
      <c r="V124" s="247">
        <v>51.265170158495756</v>
      </c>
      <c r="W124" s="247">
        <v>377.07978486864738</v>
      </c>
      <c r="X124" s="247">
        <v>428.34495502714316</v>
      </c>
      <c r="Y124" s="247">
        <v>0</v>
      </c>
      <c r="Z124" s="247">
        <v>0</v>
      </c>
    </row>
    <row r="125" spans="1:26" ht="12.75" x14ac:dyDescent="0.2">
      <c r="A125" s="269">
        <v>277</v>
      </c>
      <c r="B125" s="269">
        <v>1</v>
      </c>
      <c r="C125" s="270" t="s">
        <v>399</v>
      </c>
      <c r="D125" s="271">
        <v>3</v>
      </c>
      <c r="E125" s="248">
        <v>2228.08</v>
      </c>
      <c r="F125" s="247">
        <v>118158.3</v>
      </c>
      <c r="G125" s="247">
        <v>154543.19999999998</v>
      </c>
      <c r="H125" s="247">
        <v>541958.20000000007</v>
      </c>
      <c r="I125" s="247">
        <v>0</v>
      </c>
      <c r="J125" s="247">
        <v>0</v>
      </c>
      <c r="K125" s="247">
        <v>0</v>
      </c>
      <c r="L125" s="247">
        <v>0</v>
      </c>
      <c r="M125" s="247">
        <v>272701.5</v>
      </c>
      <c r="N125" s="247">
        <v>541958.20000000007</v>
      </c>
      <c r="O125" s="172"/>
      <c r="P125" s="247">
        <v>53.031444113317299</v>
      </c>
      <c r="Q125" s="247">
        <v>69.361602814979705</v>
      </c>
      <c r="R125" s="247">
        <v>0</v>
      </c>
      <c r="S125" s="247">
        <v>0</v>
      </c>
      <c r="T125" s="248">
        <v>122.39304692829701</v>
      </c>
      <c r="U125" s="247">
        <v>243.24000933539196</v>
      </c>
      <c r="V125" s="247">
        <v>0</v>
      </c>
      <c r="W125" s="247">
        <v>0</v>
      </c>
      <c r="X125" s="247">
        <v>243.24000933539196</v>
      </c>
      <c r="Y125" s="247">
        <v>120.84696240709494</v>
      </c>
      <c r="Z125" s="247">
        <v>269256.70000000007</v>
      </c>
    </row>
    <row r="126" spans="1:26" ht="12.75" x14ac:dyDescent="0.2">
      <c r="A126" s="269">
        <v>278</v>
      </c>
      <c r="B126" s="269">
        <v>1</v>
      </c>
      <c r="C126" s="270" t="s">
        <v>401</v>
      </c>
      <c r="D126" s="271">
        <v>3</v>
      </c>
      <c r="E126" s="248">
        <v>2716.12</v>
      </c>
      <c r="F126" s="247">
        <v>392227.75199999998</v>
      </c>
      <c r="G126" s="247">
        <v>190069.2</v>
      </c>
      <c r="H126" s="247">
        <v>669191.9</v>
      </c>
      <c r="I126" s="247">
        <v>0</v>
      </c>
      <c r="J126" s="247">
        <v>0</v>
      </c>
      <c r="K126" s="247">
        <v>0</v>
      </c>
      <c r="L126" s="247">
        <v>0</v>
      </c>
      <c r="M126" s="247">
        <v>582296.95200000005</v>
      </c>
      <c r="N126" s="247">
        <v>669191.9</v>
      </c>
      <c r="O126" s="172"/>
      <c r="P126" s="247">
        <v>144.40737228104797</v>
      </c>
      <c r="Q126" s="247">
        <v>69.978204203054361</v>
      </c>
      <c r="R126" s="247">
        <v>0</v>
      </c>
      <c r="S126" s="247">
        <v>0</v>
      </c>
      <c r="T126" s="248">
        <v>214.38557648410236</v>
      </c>
      <c r="U126" s="247">
        <v>246.37788462954509</v>
      </c>
      <c r="V126" s="247">
        <v>0</v>
      </c>
      <c r="W126" s="247">
        <v>0</v>
      </c>
      <c r="X126" s="247">
        <v>246.37788462954509</v>
      </c>
      <c r="Y126" s="247">
        <v>31.992308145442756</v>
      </c>
      <c r="Z126" s="247">
        <v>86894.947999999975</v>
      </c>
    </row>
    <row r="127" spans="1:26" ht="12.75" x14ac:dyDescent="0.2">
      <c r="A127" s="269">
        <v>279</v>
      </c>
      <c r="B127" s="269">
        <v>1</v>
      </c>
      <c r="C127" s="270" t="s">
        <v>403</v>
      </c>
      <c r="D127" s="271">
        <v>3</v>
      </c>
      <c r="E127" s="248">
        <v>20420.77</v>
      </c>
      <c r="F127" s="247">
        <v>1046590.058</v>
      </c>
      <c r="G127" s="247">
        <v>0</v>
      </c>
      <c r="H127" s="247">
        <v>0</v>
      </c>
      <c r="I127" s="247">
        <v>2554807.4</v>
      </c>
      <c r="J127" s="247">
        <v>1444677</v>
      </c>
      <c r="K127" s="247">
        <v>3601397.4579999996</v>
      </c>
      <c r="L127" s="247">
        <v>1444677</v>
      </c>
      <c r="M127" s="247">
        <v>5046074.4579999996</v>
      </c>
      <c r="N127" s="247">
        <v>5046074.4579999996</v>
      </c>
      <c r="O127" s="172"/>
      <c r="P127" s="247">
        <v>51.251253405233982</v>
      </c>
      <c r="Q127" s="247">
        <v>0</v>
      </c>
      <c r="R127" s="247">
        <v>125.10827946252761</v>
      </c>
      <c r="S127" s="247">
        <v>70.745471399952109</v>
      </c>
      <c r="T127" s="248">
        <v>247.1050042677137</v>
      </c>
      <c r="U127" s="247">
        <v>0</v>
      </c>
      <c r="V127" s="247">
        <v>176.35953286776157</v>
      </c>
      <c r="W127" s="247">
        <v>70.745471399952109</v>
      </c>
      <c r="X127" s="247">
        <v>247.1050042677137</v>
      </c>
      <c r="Y127" s="247">
        <v>0</v>
      </c>
      <c r="Z127" s="247">
        <v>0</v>
      </c>
    </row>
    <row r="128" spans="1:26" ht="12.75" x14ac:dyDescent="0.2">
      <c r="A128" s="269">
        <v>280</v>
      </c>
      <c r="B128" s="269">
        <v>1</v>
      </c>
      <c r="C128" s="270" t="s">
        <v>405</v>
      </c>
      <c r="D128" s="271">
        <v>2</v>
      </c>
      <c r="E128" s="248">
        <v>4373.8500000000004</v>
      </c>
      <c r="F128" s="247">
        <v>523814.85399999999</v>
      </c>
      <c r="G128" s="247">
        <v>299305.2</v>
      </c>
      <c r="H128" s="247">
        <v>1050092.5999999999</v>
      </c>
      <c r="I128" s="247">
        <v>0</v>
      </c>
      <c r="J128" s="247">
        <v>1274849</v>
      </c>
      <c r="K128" s="247">
        <v>0</v>
      </c>
      <c r="L128" s="247">
        <v>1274849</v>
      </c>
      <c r="M128" s="247">
        <v>2097969.054</v>
      </c>
      <c r="N128" s="247">
        <v>2324941.5999999996</v>
      </c>
      <c r="O128" s="172"/>
      <c r="P128" s="247">
        <v>119.76058941207403</v>
      </c>
      <c r="Q128" s="247">
        <v>68.430604616070511</v>
      </c>
      <c r="R128" s="247">
        <v>0</v>
      </c>
      <c r="S128" s="247">
        <v>291.47067229100219</v>
      </c>
      <c r="T128" s="248">
        <v>479.66186631914672</v>
      </c>
      <c r="U128" s="247">
        <v>240.08427358048397</v>
      </c>
      <c r="V128" s="247">
        <v>0</v>
      </c>
      <c r="W128" s="247">
        <v>291.47067229100219</v>
      </c>
      <c r="X128" s="247">
        <v>531.5549458714861</v>
      </c>
      <c r="Y128" s="247">
        <v>51.89307955233938</v>
      </c>
      <c r="Z128" s="247">
        <v>226972.54599999962</v>
      </c>
    </row>
    <row r="129" spans="1:26" ht="12.75" x14ac:dyDescent="0.2">
      <c r="A129" s="269">
        <v>281</v>
      </c>
      <c r="B129" s="269">
        <v>1</v>
      </c>
      <c r="C129" s="270" t="s">
        <v>407</v>
      </c>
      <c r="D129" s="271">
        <v>2</v>
      </c>
      <c r="E129" s="248">
        <v>12342.789999999999</v>
      </c>
      <c r="F129" s="247">
        <v>754703.45</v>
      </c>
      <c r="G129" s="247">
        <v>0</v>
      </c>
      <c r="H129" s="247">
        <v>0</v>
      </c>
      <c r="I129" s="247">
        <v>5362170.5999999996</v>
      </c>
      <c r="J129" s="247">
        <v>9036497</v>
      </c>
      <c r="K129" s="247">
        <v>6116874.0499999998</v>
      </c>
      <c r="L129" s="247">
        <v>9036497</v>
      </c>
      <c r="M129" s="247">
        <v>15153371.050000001</v>
      </c>
      <c r="N129" s="247">
        <v>15153371.050000001</v>
      </c>
      <c r="O129" s="172"/>
      <c r="P129" s="247">
        <v>61.145288058858654</v>
      </c>
      <c r="Q129" s="247">
        <v>0</v>
      </c>
      <c r="R129" s="247">
        <v>434.43748131500251</v>
      </c>
      <c r="S129" s="247">
        <v>732.12758217550493</v>
      </c>
      <c r="T129" s="248">
        <v>1227.7103515493661</v>
      </c>
      <c r="U129" s="247">
        <v>0</v>
      </c>
      <c r="V129" s="247">
        <v>495.5827693738612</v>
      </c>
      <c r="W129" s="247">
        <v>732.12758217550493</v>
      </c>
      <c r="X129" s="247">
        <v>1227.7103515493661</v>
      </c>
      <c r="Y129" s="247">
        <v>0</v>
      </c>
      <c r="Z129" s="247">
        <v>0</v>
      </c>
    </row>
    <row r="130" spans="1:26" ht="12.75" x14ac:dyDescent="0.2">
      <c r="A130" s="269">
        <v>282</v>
      </c>
      <c r="B130" s="269">
        <v>1</v>
      </c>
      <c r="C130" s="270" t="s">
        <v>409</v>
      </c>
      <c r="D130" s="271">
        <v>2</v>
      </c>
      <c r="E130" s="248">
        <v>1718.04</v>
      </c>
      <c r="F130" s="247">
        <v>129140.122</v>
      </c>
      <c r="G130" s="247">
        <v>122348.40000000001</v>
      </c>
      <c r="H130" s="247">
        <v>428069.10000000003</v>
      </c>
      <c r="I130" s="247">
        <v>0</v>
      </c>
      <c r="J130" s="247">
        <v>678921</v>
      </c>
      <c r="K130" s="247">
        <v>0</v>
      </c>
      <c r="L130" s="247">
        <v>678921</v>
      </c>
      <c r="M130" s="247">
        <v>930409.522</v>
      </c>
      <c r="N130" s="247">
        <v>1106990.1000000001</v>
      </c>
      <c r="O130" s="172"/>
      <c r="P130" s="247">
        <v>75.16712183651137</v>
      </c>
      <c r="Q130" s="247">
        <v>71.213941468184686</v>
      </c>
      <c r="R130" s="247">
        <v>0</v>
      </c>
      <c r="S130" s="247">
        <v>395.17182370608367</v>
      </c>
      <c r="T130" s="248">
        <v>541.55288701077973</v>
      </c>
      <c r="U130" s="247">
        <v>249.16131172731721</v>
      </c>
      <c r="V130" s="247">
        <v>0</v>
      </c>
      <c r="W130" s="247">
        <v>395.17182370608367</v>
      </c>
      <c r="X130" s="247">
        <v>644.33313543340091</v>
      </c>
      <c r="Y130" s="247">
        <v>102.78024842262118</v>
      </c>
      <c r="Z130" s="247">
        <v>176580.5780000001</v>
      </c>
    </row>
    <row r="131" spans="1:26" ht="12.75" x14ac:dyDescent="0.2">
      <c r="A131" s="269">
        <v>283</v>
      </c>
      <c r="B131" s="269">
        <v>1</v>
      </c>
      <c r="C131" s="270" t="s">
        <v>410</v>
      </c>
      <c r="D131" s="271">
        <v>2</v>
      </c>
      <c r="E131" s="248">
        <v>4510.8599999999997</v>
      </c>
      <c r="F131" s="247">
        <v>419684.27</v>
      </c>
      <c r="G131" s="247">
        <v>310469.39999999997</v>
      </c>
      <c r="H131" s="247">
        <v>1089075.2999999998</v>
      </c>
      <c r="I131" s="247">
        <v>0</v>
      </c>
      <c r="J131" s="247">
        <v>0</v>
      </c>
      <c r="K131" s="247">
        <v>0</v>
      </c>
      <c r="L131" s="247">
        <v>0</v>
      </c>
      <c r="M131" s="247">
        <v>730153.66999999993</v>
      </c>
      <c r="N131" s="247">
        <v>1089075.2999999998</v>
      </c>
      <c r="O131" s="172"/>
      <c r="P131" s="247">
        <v>93.038637865063436</v>
      </c>
      <c r="Q131" s="247">
        <v>68.827097271917097</v>
      </c>
      <c r="R131" s="247">
        <v>0</v>
      </c>
      <c r="S131" s="247">
        <v>0</v>
      </c>
      <c r="T131" s="248">
        <v>161.86573513698053</v>
      </c>
      <c r="U131" s="247">
        <v>241.43407243851502</v>
      </c>
      <c r="V131" s="247">
        <v>0</v>
      </c>
      <c r="W131" s="247">
        <v>0</v>
      </c>
      <c r="X131" s="247">
        <v>241.43407243851502</v>
      </c>
      <c r="Y131" s="247">
        <v>79.568337301534498</v>
      </c>
      <c r="Z131" s="247">
        <v>358921.62999999989</v>
      </c>
    </row>
    <row r="132" spans="1:26" ht="12.75" x14ac:dyDescent="0.2">
      <c r="A132" s="269">
        <v>284</v>
      </c>
      <c r="B132" s="269">
        <v>1</v>
      </c>
      <c r="C132" s="270" t="s">
        <v>412</v>
      </c>
      <c r="D132" s="271">
        <v>3</v>
      </c>
      <c r="E132" s="248">
        <v>10830.83</v>
      </c>
      <c r="F132" s="247">
        <v>744207.32</v>
      </c>
      <c r="G132" s="247">
        <v>0</v>
      </c>
      <c r="H132" s="247">
        <v>0</v>
      </c>
      <c r="I132" s="247">
        <v>1990705.37</v>
      </c>
      <c r="J132" s="247">
        <v>500025</v>
      </c>
      <c r="K132" s="247">
        <v>2734912.69</v>
      </c>
      <c r="L132" s="247">
        <v>500025</v>
      </c>
      <c r="M132" s="247">
        <v>3234937.69</v>
      </c>
      <c r="N132" s="247">
        <v>3234937.69</v>
      </c>
      <c r="O132" s="172"/>
      <c r="P132" s="247">
        <v>68.711938050915762</v>
      </c>
      <c r="Q132" s="247">
        <v>0</v>
      </c>
      <c r="R132" s="247">
        <v>183.79989068243154</v>
      </c>
      <c r="S132" s="247">
        <v>46.166821933314438</v>
      </c>
      <c r="T132" s="248">
        <v>298.67865066666172</v>
      </c>
      <c r="U132" s="247">
        <v>0</v>
      </c>
      <c r="V132" s="247">
        <v>252.5118287333473</v>
      </c>
      <c r="W132" s="247">
        <v>46.166821933314438</v>
      </c>
      <c r="X132" s="247">
        <v>298.67865066666172</v>
      </c>
      <c r="Y132" s="247">
        <v>0</v>
      </c>
      <c r="Z132" s="247">
        <v>0</v>
      </c>
    </row>
    <row r="133" spans="1:26" ht="12.75" x14ac:dyDescent="0.2">
      <c r="A133" s="269">
        <v>286</v>
      </c>
      <c r="B133" s="269">
        <v>1</v>
      </c>
      <c r="C133" s="270" t="s">
        <v>414</v>
      </c>
      <c r="D133" s="271">
        <v>2</v>
      </c>
      <c r="E133" s="248">
        <v>2195.5500000000002</v>
      </c>
      <c r="F133" s="247">
        <v>52669.521999999997</v>
      </c>
      <c r="G133" s="247">
        <v>123014.68114285715</v>
      </c>
      <c r="H133" s="247">
        <v>432415.39028571435</v>
      </c>
      <c r="I133" s="247">
        <v>0</v>
      </c>
      <c r="J133" s="247">
        <v>127087</v>
      </c>
      <c r="K133" s="247">
        <v>0</v>
      </c>
      <c r="L133" s="247">
        <v>127087</v>
      </c>
      <c r="M133" s="247">
        <v>302771.20314285718</v>
      </c>
      <c r="N133" s="247">
        <v>559502.3902857143</v>
      </c>
      <c r="O133" s="172"/>
      <c r="P133" s="247">
        <v>23.989215458541135</v>
      </c>
      <c r="Q133" s="247">
        <v>56.029095735855314</v>
      </c>
      <c r="R133" s="247">
        <v>0</v>
      </c>
      <c r="S133" s="247">
        <v>57.883901528090909</v>
      </c>
      <c r="T133" s="248">
        <v>137.90221272248738</v>
      </c>
      <c r="U133" s="247">
        <v>196.9508279409325</v>
      </c>
      <c r="V133" s="247">
        <v>0</v>
      </c>
      <c r="W133" s="247">
        <v>57.883901528090909</v>
      </c>
      <c r="X133" s="247">
        <v>254.83472946902336</v>
      </c>
      <c r="Y133" s="247">
        <v>116.932516746536</v>
      </c>
      <c r="Z133" s="247">
        <v>256731.18714285712</v>
      </c>
    </row>
    <row r="134" spans="1:26" ht="12.75" x14ac:dyDescent="0.2">
      <c r="A134" s="269">
        <v>294</v>
      </c>
      <c r="B134" s="269">
        <v>1</v>
      </c>
      <c r="C134" s="270" t="s">
        <v>294</v>
      </c>
      <c r="D134" s="271">
        <v>5</v>
      </c>
      <c r="E134" s="248">
        <v>2349.71</v>
      </c>
      <c r="F134" s="247">
        <v>48253.932000000001</v>
      </c>
      <c r="G134" s="247">
        <v>165619.79999999999</v>
      </c>
      <c r="H134" s="247">
        <v>582882.1</v>
      </c>
      <c r="I134" s="247">
        <v>0</v>
      </c>
      <c r="J134" s="247">
        <v>144669</v>
      </c>
      <c r="K134" s="247">
        <v>0</v>
      </c>
      <c r="L134" s="247">
        <v>144669</v>
      </c>
      <c r="M134" s="247">
        <v>358542.73199999996</v>
      </c>
      <c r="N134" s="247">
        <v>727551.1</v>
      </c>
      <c r="O134" s="172"/>
      <c r="P134" s="247">
        <v>20.536122329989659</v>
      </c>
      <c r="Q134" s="247">
        <v>70.485208813002444</v>
      </c>
      <c r="R134" s="247">
        <v>0</v>
      </c>
      <c r="S134" s="247">
        <v>61.568874456847865</v>
      </c>
      <c r="T134" s="248">
        <v>152.59020559983995</v>
      </c>
      <c r="U134" s="247">
        <v>248.06554851449752</v>
      </c>
      <c r="V134" s="247">
        <v>0</v>
      </c>
      <c r="W134" s="247">
        <v>61.568874456847865</v>
      </c>
      <c r="X134" s="247">
        <v>309.63442297134537</v>
      </c>
      <c r="Y134" s="247">
        <v>157.04421737150543</v>
      </c>
      <c r="Z134" s="247">
        <v>369008.36800000002</v>
      </c>
    </row>
    <row r="135" spans="1:26" ht="12.75" x14ac:dyDescent="0.2">
      <c r="A135" s="269">
        <v>297</v>
      </c>
      <c r="B135" s="269">
        <v>1</v>
      </c>
      <c r="C135" s="270" t="s">
        <v>377</v>
      </c>
      <c r="D135" s="271">
        <v>6</v>
      </c>
      <c r="E135" s="248">
        <v>343.06</v>
      </c>
      <c r="F135" s="247">
        <v>39583.148000000001</v>
      </c>
      <c r="G135" s="247">
        <v>23260.799999999999</v>
      </c>
      <c r="H135" s="247">
        <v>81824.800000000003</v>
      </c>
      <c r="I135" s="247">
        <v>0</v>
      </c>
      <c r="J135" s="247">
        <v>0</v>
      </c>
      <c r="K135" s="247">
        <v>0</v>
      </c>
      <c r="L135" s="247">
        <v>0</v>
      </c>
      <c r="M135" s="247">
        <v>62843.948000000004</v>
      </c>
      <c r="N135" s="247">
        <v>81824.800000000003</v>
      </c>
      <c r="O135" s="172"/>
      <c r="P135" s="247">
        <v>115.3825803066519</v>
      </c>
      <c r="Q135" s="247">
        <v>67.803882702734214</v>
      </c>
      <c r="R135" s="247">
        <v>0</v>
      </c>
      <c r="S135" s="247">
        <v>0</v>
      </c>
      <c r="T135" s="248">
        <v>183.18646300938613</v>
      </c>
      <c r="U135" s="247">
        <v>238.51454556054335</v>
      </c>
      <c r="V135" s="247">
        <v>0</v>
      </c>
      <c r="W135" s="247">
        <v>0</v>
      </c>
      <c r="X135" s="247">
        <v>238.51454556054335</v>
      </c>
      <c r="Y135" s="247">
        <v>55.32808255115723</v>
      </c>
      <c r="Z135" s="247">
        <v>18980.851999999999</v>
      </c>
    </row>
    <row r="136" spans="1:26" ht="12.75" x14ac:dyDescent="0.2">
      <c r="A136" s="269">
        <v>299</v>
      </c>
      <c r="B136" s="269">
        <v>1</v>
      </c>
      <c r="C136" s="270" t="s">
        <v>418</v>
      </c>
      <c r="D136" s="271">
        <v>6</v>
      </c>
      <c r="E136" s="248">
        <v>684.04</v>
      </c>
      <c r="F136" s="247">
        <v>52732.23</v>
      </c>
      <c r="G136" s="247">
        <v>33688.209599999995</v>
      </c>
      <c r="H136" s="247">
        <v>117208.9752</v>
      </c>
      <c r="I136" s="247">
        <v>0</v>
      </c>
      <c r="J136" s="247">
        <v>0</v>
      </c>
      <c r="K136" s="247">
        <v>0</v>
      </c>
      <c r="L136" s="247">
        <v>0</v>
      </c>
      <c r="M136" s="247">
        <v>86420.439599999998</v>
      </c>
      <c r="N136" s="247">
        <v>117208.9752</v>
      </c>
      <c r="O136" s="172"/>
      <c r="P136" s="247">
        <v>77.089395356996675</v>
      </c>
      <c r="Q136" s="247">
        <v>49.248888369101216</v>
      </c>
      <c r="R136" s="247">
        <v>0</v>
      </c>
      <c r="S136" s="247">
        <v>0</v>
      </c>
      <c r="T136" s="248">
        <v>126.3382837260979</v>
      </c>
      <c r="U136" s="247">
        <v>171.34813051868312</v>
      </c>
      <c r="V136" s="247">
        <v>0</v>
      </c>
      <c r="W136" s="247">
        <v>0</v>
      </c>
      <c r="X136" s="247">
        <v>171.34813051868312</v>
      </c>
      <c r="Y136" s="247">
        <v>45.009846792585236</v>
      </c>
      <c r="Z136" s="247">
        <v>30788.535600000003</v>
      </c>
    </row>
    <row r="137" spans="1:26" ht="12.75" x14ac:dyDescent="0.2">
      <c r="A137" s="269">
        <v>300</v>
      </c>
      <c r="B137" s="269">
        <v>1</v>
      </c>
      <c r="C137" s="270" t="s">
        <v>420</v>
      </c>
      <c r="D137" s="271">
        <v>5</v>
      </c>
      <c r="E137" s="248">
        <v>1230.3</v>
      </c>
      <c r="F137" s="247">
        <v>56093.288</v>
      </c>
      <c r="G137" s="247">
        <v>87176.400000000009</v>
      </c>
      <c r="H137" s="247">
        <v>304945.5</v>
      </c>
      <c r="I137" s="247">
        <v>0</v>
      </c>
      <c r="J137" s="247">
        <v>0</v>
      </c>
      <c r="K137" s="247">
        <v>0</v>
      </c>
      <c r="L137" s="247">
        <v>0</v>
      </c>
      <c r="M137" s="247">
        <v>143269.68800000002</v>
      </c>
      <c r="N137" s="247">
        <v>304945.5</v>
      </c>
      <c r="O137" s="172"/>
      <c r="P137" s="247">
        <v>45.593178899455417</v>
      </c>
      <c r="Q137" s="247">
        <v>70.857839551328951</v>
      </c>
      <c r="R137" s="247">
        <v>0</v>
      </c>
      <c r="S137" s="247">
        <v>0</v>
      </c>
      <c r="T137" s="248">
        <v>116.45101845078439</v>
      </c>
      <c r="U137" s="247">
        <v>247.86271641063155</v>
      </c>
      <c r="V137" s="247">
        <v>0</v>
      </c>
      <c r="W137" s="247">
        <v>0</v>
      </c>
      <c r="X137" s="247">
        <v>247.86271641063155</v>
      </c>
      <c r="Y137" s="247">
        <v>131.41169795984717</v>
      </c>
      <c r="Z137" s="247">
        <v>161675.81199999998</v>
      </c>
    </row>
    <row r="138" spans="1:26" ht="12.75" x14ac:dyDescent="0.2">
      <c r="A138" s="269">
        <v>306</v>
      </c>
      <c r="B138" s="269">
        <v>1</v>
      </c>
      <c r="C138" s="270" t="s">
        <v>422</v>
      </c>
      <c r="D138" s="271">
        <v>6</v>
      </c>
      <c r="E138" s="248">
        <v>273.95</v>
      </c>
      <c r="F138" s="247">
        <v>20221.946</v>
      </c>
      <c r="G138" s="247">
        <v>13689.728228571426</v>
      </c>
      <c r="H138" s="247">
        <v>47538.878742857138</v>
      </c>
      <c r="I138" s="247">
        <v>0</v>
      </c>
      <c r="J138" s="247">
        <v>0</v>
      </c>
      <c r="K138" s="247">
        <v>0</v>
      </c>
      <c r="L138" s="247">
        <v>0</v>
      </c>
      <c r="M138" s="247">
        <v>33911.674228571428</v>
      </c>
      <c r="N138" s="247">
        <v>47538.878742857138</v>
      </c>
      <c r="O138" s="172"/>
      <c r="P138" s="247">
        <v>73.816192735900714</v>
      </c>
      <c r="Q138" s="247">
        <v>49.97163069381795</v>
      </c>
      <c r="R138" s="247">
        <v>0</v>
      </c>
      <c r="S138" s="247">
        <v>0</v>
      </c>
      <c r="T138" s="248">
        <v>123.78782342971867</v>
      </c>
      <c r="U138" s="247">
        <v>173.53122373738688</v>
      </c>
      <c r="V138" s="247">
        <v>0</v>
      </c>
      <c r="W138" s="247">
        <v>0</v>
      </c>
      <c r="X138" s="247">
        <v>173.53122373738688</v>
      </c>
      <c r="Y138" s="247">
        <v>49.743400307668225</v>
      </c>
      <c r="Z138" s="247">
        <v>13627.20451428571</v>
      </c>
    </row>
    <row r="139" spans="1:26" ht="12.75" x14ac:dyDescent="0.2">
      <c r="A139" s="269">
        <v>308</v>
      </c>
      <c r="B139" s="269">
        <v>1</v>
      </c>
      <c r="C139" s="270" t="s">
        <v>364</v>
      </c>
      <c r="D139" s="271">
        <v>6</v>
      </c>
      <c r="E139" s="248">
        <v>530.67000000000007</v>
      </c>
      <c r="F139" s="247">
        <v>30407.392</v>
      </c>
      <c r="G139" s="247">
        <v>27961.178914285712</v>
      </c>
      <c r="H139" s="247">
        <v>98310.06642857143</v>
      </c>
      <c r="I139" s="247">
        <v>0</v>
      </c>
      <c r="J139" s="247">
        <v>0</v>
      </c>
      <c r="K139" s="247">
        <v>0</v>
      </c>
      <c r="L139" s="247">
        <v>0</v>
      </c>
      <c r="M139" s="247">
        <v>58368.570914285709</v>
      </c>
      <c r="N139" s="247">
        <v>98310.06642857143</v>
      </c>
      <c r="O139" s="172"/>
      <c r="P139" s="247">
        <v>57.300001884410264</v>
      </c>
      <c r="Q139" s="247">
        <v>52.690332813774489</v>
      </c>
      <c r="R139" s="247">
        <v>0</v>
      </c>
      <c r="S139" s="247">
        <v>0</v>
      </c>
      <c r="T139" s="248">
        <v>109.99033469818475</v>
      </c>
      <c r="U139" s="247">
        <v>185.25649919643359</v>
      </c>
      <c r="V139" s="247">
        <v>0</v>
      </c>
      <c r="W139" s="247">
        <v>0</v>
      </c>
      <c r="X139" s="247">
        <v>185.25649919643359</v>
      </c>
      <c r="Y139" s="247">
        <v>75.266164498248841</v>
      </c>
      <c r="Z139" s="247">
        <v>39941.495514285722</v>
      </c>
    </row>
    <row r="140" spans="1:26" ht="12.75" x14ac:dyDescent="0.2">
      <c r="A140" s="269">
        <v>309</v>
      </c>
      <c r="B140" s="269">
        <v>1</v>
      </c>
      <c r="C140" s="270" t="s">
        <v>425</v>
      </c>
      <c r="D140" s="271">
        <v>5</v>
      </c>
      <c r="E140" s="248">
        <v>1514.6599999999999</v>
      </c>
      <c r="F140" s="247">
        <v>86148.696000000011</v>
      </c>
      <c r="G140" s="247">
        <v>82621.327199999985</v>
      </c>
      <c r="H140" s="247">
        <v>290219.61199999996</v>
      </c>
      <c r="I140" s="247">
        <v>0</v>
      </c>
      <c r="J140" s="247">
        <v>433883</v>
      </c>
      <c r="K140" s="247">
        <v>0</v>
      </c>
      <c r="L140" s="247">
        <v>433883</v>
      </c>
      <c r="M140" s="247">
        <v>602653.02319999994</v>
      </c>
      <c r="N140" s="247">
        <v>724102.61199999996</v>
      </c>
      <c r="O140" s="172"/>
      <c r="P140" s="247">
        <v>56.876590125836834</v>
      </c>
      <c r="Q140" s="247">
        <v>54.547771248993172</v>
      </c>
      <c r="R140" s="247">
        <v>0</v>
      </c>
      <c r="S140" s="247">
        <v>286.45570623110137</v>
      </c>
      <c r="T140" s="248">
        <v>397.88006760593134</v>
      </c>
      <c r="U140" s="247">
        <v>191.60710126364992</v>
      </c>
      <c r="V140" s="247">
        <v>0</v>
      </c>
      <c r="W140" s="247">
        <v>286.45570623110137</v>
      </c>
      <c r="X140" s="247">
        <v>478.06280749475133</v>
      </c>
      <c r="Y140" s="247">
        <v>80.182739888819953</v>
      </c>
      <c r="Z140" s="247">
        <v>121449.58880000003</v>
      </c>
    </row>
    <row r="141" spans="1:26" ht="12.75" x14ac:dyDescent="0.2">
      <c r="A141" s="269">
        <v>314</v>
      </c>
      <c r="B141" s="269">
        <v>1</v>
      </c>
      <c r="C141" s="270" t="s">
        <v>427</v>
      </c>
      <c r="D141" s="271">
        <v>6</v>
      </c>
      <c r="E141" s="248">
        <v>886.17000000000007</v>
      </c>
      <c r="F141" s="247">
        <v>44169.998</v>
      </c>
      <c r="G141" s="247">
        <v>54211.136914285707</v>
      </c>
      <c r="H141" s="247">
        <v>190438.6752</v>
      </c>
      <c r="I141" s="247">
        <v>0</v>
      </c>
      <c r="J141" s="247">
        <v>109174</v>
      </c>
      <c r="K141" s="247">
        <v>0</v>
      </c>
      <c r="L141" s="247">
        <v>109174</v>
      </c>
      <c r="M141" s="247">
        <v>207555.13491428571</v>
      </c>
      <c r="N141" s="247">
        <v>299612.6752</v>
      </c>
      <c r="O141" s="172"/>
      <c r="P141" s="247">
        <v>49.843707189365468</v>
      </c>
      <c r="Q141" s="247">
        <v>61.174646980021556</v>
      </c>
      <c r="R141" s="247">
        <v>0</v>
      </c>
      <c r="S141" s="247">
        <v>123.1975805996592</v>
      </c>
      <c r="T141" s="248">
        <v>234.21593476904621</v>
      </c>
      <c r="U141" s="247">
        <v>214.90083753681571</v>
      </c>
      <c r="V141" s="247">
        <v>0</v>
      </c>
      <c r="W141" s="247">
        <v>123.1975805996592</v>
      </c>
      <c r="X141" s="247">
        <v>338.09841813647489</v>
      </c>
      <c r="Y141" s="247">
        <v>103.88248336742869</v>
      </c>
      <c r="Z141" s="247">
        <v>92057.540285714291</v>
      </c>
    </row>
    <row r="142" spans="1:26" ht="12.75" x14ac:dyDescent="0.2">
      <c r="A142" s="269">
        <v>316</v>
      </c>
      <c r="B142" s="269">
        <v>1</v>
      </c>
      <c r="C142" s="270" t="s">
        <v>429</v>
      </c>
      <c r="D142" s="271">
        <v>5</v>
      </c>
      <c r="E142" s="248">
        <v>1076.6199999999999</v>
      </c>
      <c r="F142" s="247">
        <v>162520.538</v>
      </c>
      <c r="G142" s="247">
        <v>74223</v>
      </c>
      <c r="H142" s="247">
        <v>260957.99999999997</v>
      </c>
      <c r="I142" s="247">
        <v>0</v>
      </c>
      <c r="J142" s="247">
        <v>708602</v>
      </c>
      <c r="K142" s="247">
        <v>0</v>
      </c>
      <c r="L142" s="247">
        <v>708602</v>
      </c>
      <c r="M142" s="247">
        <v>945345.53799999994</v>
      </c>
      <c r="N142" s="247">
        <v>969560</v>
      </c>
      <c r="O142" s="172"/>
      <c r="P142" s="247">
        <v>150.95441102710336</v>
      </c>
      <c r="Q142" s="247">
        <v>68.940759042187594</v>
      </c>
      <c r="R142" s="247">
        <v>0</v>
      </c>
      <c r="S142" s="247">
        <v>658.17280005944542</v>
      </c>
      <c r="T142" s="248">
        <v>878.06797012873631</v>
      </c>
      <c r="U142" s="247">
        <v>242.38635730341252</v>
      </c>
      <c r="V142" s="247">
        <v>0</v>
      </c>
      <c r="W142" s="247">
        <v>658.17280005944542</v>
      </c>
      <c r="X142" s="247">
        <v>900.55915736285795</v>
      </c>
      <c r="Y142" s="247">
        <v>22.491187234121657</v>
      </c>
      <c r="Z142" s="247">
        <v>24214.462000000058</v>
      </c>
    </row>
    <row r="143" spans="1:26" ht="12.75" x14ac:dyDescent="0.2">
      <c r="A143" s="269">
        <v>317</v>
      </c>
      <c r="B143" s="269">
        <v>1</v>
      </c>
      <c r="C143" s="270" t="s">
        <v>431</v>
      </c>
      <c r="D143" s="271">
        <v>6</v>
      </c>
      <c r="E143" s="248">
        <v>876.56999999999994</v>
      </c>
      <c r="F143" s="247">
        <v>69203.851999999999</v>
      </c>
      <c r="G143" s="247">
        <v>57782.177828571432</v>
      </c>
      <c r="H143" s="247">
        <v>202831.73760000002</v>
      </c>
      <c r="I143" s="247">
        <v>0</v>
      </c>
      <c r="J143" s="247">
        <v>344430</v>
      </c>
      <c r="K143" s="247">
        <v>0</v>
      </c>
      <c r="L143" s="247">
        <v>344430</v>
      </c>
      <c r="M143" s="247">
        <v>471416.02982857142</v>
      </c>
      <c r="N143" s="247">
        <v>547261.73759999999</v>
      </c>
      <c r="O143" s="172"/>
      <c r="P143" s="247">
        <v>78.948460476630501</v>
      </c>
      <c r="Q143" s="247">
        <v>65.918498041880781</v>
      </c>
      <c r="R143" s="247">
        <v>0</v>
      </c>
      <c r="S143" s="247">
        <v>392.92925835928679</v>
      </c>
      <c r="T143" s="248">
        <v>537.79621687779809</v>
      </c>
      <c r="U143" s="247">
        <v>231.39251582874161</v>
      </c>
      <c r="V143" s="247">
        <v>0</v>
      </c>
      <c r="W143" s="247">
        <v>392.92925835928679</v>
      </c>
      <c r="X143" s="247">
        <v>624.32177418802837</v>
      </c>
      <c r="Y143" s="247">
        <v>86.525557310230298</v>
      </c>
      <c r="Z143" s="247">
        <v>75845.70777142857</v>
      </c>
    </row>
    <row r="144" spans="1:26" ht="12.75" x14ac:dyDescent="0.2">
      <c r="A144" s="269">
        <v>318</v>
      </c>
      <c r="B144" s="269">
        <v>1</v>
      </c>
      <c r="C144" s="270" t="s">
        <v>433</v>
      </c>
      <c r="D144" s="271">
        <v>4</v>
      </c>
      <c r="E144" s="248">
        <v>3887.68</v>
      </c>
      <c r="F144" s="247">
        <v>157184.94199999998</v>
      </c>
      <c r="G144" s="247">
        <v>267961.8</v>
      </c>
      <c r="H144" s="247">
        <v>941010.5</v>
      </c>
      <c r="I144" s="247">
        <v>0</v>
      </c>
      <c r="J144" s="247">
        <v>491715</v>
      </c>
      <c r="K144" s="247">
        <v>0</v>
      </c>
      <c r="L144" s="247">
        <v>491715</v>
      </c>
      <c r="M144" s="247">
        <v>916861.74199999997</v>
      </c>
      <c r="N144" s="247">
        <v>1432725.5</v>
      </c>
      <c r="O144" s="172"/>
      <c r="P144" s="247">
        <v>40.431553522923693</v>
      </c>
      <c r="Q144" s="247">
        <v>68.925888962054486</v>
      </c>
      <c r="R144" s="247">
        <v>0</v>
      </c>
      <c r="S144" s="247">
        <v>126.48031731006668</v>
      </c>
      <c r="T144" s="248">
        <v>235.83775979504486</v>
      </c>
      <c r="U144" s="247">
        <v>242.04937134743602</v>
      </c>
      <c r="V144" s="247">
        <v>0</v>
      </c>
      <c r="W144" s="247">
        <v>126.48031731006668</v>
      </c>
      <c r="X144" s="247">
        <v>368.52968865750267</v>
      </c>
      <c r="Y144" s="247">
        <v>132.69192886245784</v>
      </c>
      <c r="Z144" s="247">
        <v>515863.75800000003</v>
      </c>
    </row>
    <row r="145" spans="1:26" ht="12.75" x14ac:dyDescent="0.2">
      <c r="A145" s="269">
        <v>319</v>
      </c>
      <c r="B145" s="269">
        <v>1</v>
      </c>
      <c r="C145" s="270" t="s">
        <v>435</v>
      </c>
      <c r="D145" s="271">
        <v>6</v>
      </c>
      <c r="E145" s="248">
        <v>570.79999999999995</v>
      </c>
      <c r="F145" s="247">
        <v>137200.67800000001</v>
      </c>
      <c r="G145" s="247">
        <v>39371.4</v>
      </c>
      <c r="H145" s="247">
        <v>176572.07800000001</v>
      </c>
      <c r="I145" s="247">
        <v>0</v>
      </c>
      <c r="J145" s="247">
        <v>0</v>
      </c>
      <c r="K145" s="247">
        <v>0</v>
      </c>
      <c r="L145" s="247">
        <v>0</v>
      </c>
      <c r="M145" s="247">
        <v>176572.07800000001</v>
      </c>
      <c r="N145" s="247">
        <v>176572.07800000001</v>
      </c>
      <c r="O145" s="172"/>
      <c r="P145" s="247">
        <v>240.36558864751231</v>
      </c>
      <c r="Q145" s="247">
        <v>68.975823405746326</v>
      </c>
      <c r="R145" s="247">
        <v>0</v>
      </c>
      <c r="S145" s="247">
        <v>0</v>
      </c>
      <c r="T145" s="248">
        <v>309.34141205325864</v>
      </c>
      <c r="U145" s="247">
        <v>309.34141205325864</v>
      </c>
      <c r="V145" s="247">
        <v>0</v>
      </c>
      <c r="W145" s="247">
        <v>0</v>
      </c>
      <c r="X145" s="247">
        <v>309.34141205325864</v>
      </c>
      <c r="Y145" s="247">
        <v>0</v>
      </c>
      <c r="Z145" s="247">
        <v>0</v>
      </c>
    </row>
    <row r="146" spans="1:26" ht="12.75" x14ac:dyDescent="0.2">
      <c r="A146" s="269">
        <v>323</v>
      </c>
      <c r="B146" s="269">
        <v>2</v>
      </c>
      <c r="C146" s="270" t="s">
        <v>437</v>
      </c>
      <c r="D146" s="271">
        <v>6</v>
      </c>
      <c r="E146" s="248">
        <v>29.17</v>
      </c>
      <c r="F146" s="247">
        <v>0</v>
      </c>
      <c r="G146" s="247">
        <v>0</v>
      </c>
      <c r="H146" s="247">
        <v>0</v>
      </c>
      <c r="I146" s="247">
        <v>0</v>
      </c>
      <c r="J146" s="247">
        <v>0</v>
      </c>
      <c r="K146" s="247">
        <v>0</v>
      </c>
      <c r="L146" s="247">
        <v>0</v>
      </c>
      <c r="M146" s="247">
        <v>0</v>
      </c>
      <c r="N146" s="247">
        <v>0</v>
      </c>
      <c r="O146" s="172"/>
      <c r="P146" s="247">
        <v>0</v>
      </c>
      <c r="Q146" s="247">
        <v>0</v>
      </c>
      <c r="R146" s="247">
        <v>0</v>
      </c>
      <c r="S146" s="247">
        <v>0</v>
      </c>
      <c r="T146" s="248">
        <v>0</v>
      </c>
      <c r="U146" s="247">
        <v>0</v>
      </c>
      <c r="V146" s="247">
        <v>0</v>
      </c>
      <c r="W146" s="247">
        <v>0</v>
      </c>
      <c r="X146" s="247">
        <v>0</v>
      </c>
      <c r="Y146" s="247">
        <v>0</v>
      </c>
      <c r="Z146" s="247">
        <v>0</v>
      </c>
    </row>
    <row r="147" spans="1:26" ht="12.75" x14ac:dyDescent="0.2">
      <c r="A147" s="269">
        <v>330</v>
      </c>
      <c r="B147" s="269">
        <v>1</v>
      </c>
      <c r="C147" s="270" t="s">
        <v>438</v>
      </c>
      <c r="D147" s="271">
        <v>6</v>
      </c>
      <c r="E147" s="248">
        <v>324.74</v>
      </c>
      <c r="F147" s="247">
        <v>46287.691999999995</v>
      </c>
      <c r="G147" s="247">
        <v>23361.600000000002</v>
      </c>
      <c r="H147" s="247">
        <v>81164.7</v>
      </c>
      <c r="I147" s="247">
        <v>0</v>
      </c>
      <c r="J147" s="247">
        <v>0</v>
      </c>
      <c r="K147" s="247">
        <v>0</v>
      </c>
      <c r="L147" s="247">
        <v>0</v>
      </c>
      <c r="M147" s="247">
        <v>69649.292000000001</v>
      </c>
      <c r="N147" s="247">
        <v>81164.7</v>
      </c>
      <c r="O147" s="172"/>
      <c r="P147" s="247">
        <v>142.53769785058813</v>
      </c>
      <c r="Q147" s="247">
        <v>71.939397671983741</v>
      </c>
      <c r="R147" s="247">
        <v>0</v>
      </c>
      <c r="S147" s="247">
        <v>0</v>
      </c>
      <c r="T147" s="248">
        <v>214.47709552257191</v>
      </c>
      <c r="U147" s="247">
        <v>249.93748845230027</v>
      </c>
      <c r="V147" s="247">
        <v>0</v>
      </c>
      <c r="W147" s="247">
        <v>0</v>
      </c>
      <c r="X147" s="247">
        <v>249.93748845230027</v>
      </c>
      <c r="Y147" s="247">
        <v>35.460392929728386</v>
      </c>
      <c r="Z147" s="247">
        <v>11515.407999999996</v>
      </c>
    </row>
    <row r="148" spans="1:26" ht="12.75" x14ac:dyDescent="0.2">
      <c r="A148" s="269">
        <v>332</v>
      </c>
      <c r="B148" s="269">
        <v>1</v>
      </c>
      <c r="C148" s="270" t="s">
        <v>440</v>
      </c>
      <c r="D148" s="271">
        <v>5</v>
      </c>
      <c r="E148" s="248">
        <v>1742.15</v>
      </c>
      <c r="F148" s="247">
        <v>115628.98799999998</v>
      </c>
      <c r="G148" s="247">
        <v>120018.59999999999</v>
      </c>
      <c r="H148" s="247">
        <v>420338.8</v>
      </c>
      <c r="I148" s="247">
        <v>0</v>
      </c>
      <c r="J148" s="247">
        <v>0</v>
      </c>
      <c r="K148" s="247">
        <v>0</v>
      </c>
      <c r="L148" s="247">
        <v>0</v>
      </c>
      <c r="M148" s="247">
        <v>235647.58799999999</v>
      </c>
      <c r="N148" s="247">
        <v>420338.8</v>
      </c>
      <c r="O148" s="172"/>
      <c r="P148" s="247">
        <v>66.371430703441135</v>
      </c>
      <c r="Q148" s="247">
        <v>68.891082857388852</v>
      </c>
      <c r="R148" s="247">
        <v>0</v>
      </c>
      <c r="S148" s="247">
        <v>0</v>
      </c>
      <c r="T148" s="248">
        <v>135.26251356083</v>
      </c>
      <c r="U148" s="247">
        <v>241.27589472777888</v>
      </c>
      <c r="V148" s="247">
        <v>0</v>
      </c>
      <c r="W148" s="247">
        <v>0</v>
      </c>
      <c r="X148" s="247">
        <v>241.27589472777888</v>
      </c>
      <c r="Y148" s="247">
        <v>106.01338116694888</v>
      </c>
      <c r="Z148" s="247">
        <v>184691.212</v>
      </c>
    </row>
    <row r="149" spans="1:26" ht="12.75" x14ac:dyDescent="0.2">
      <c r="A149" s="269">
        <v>333</v>
      </c>
      <c r="B149" s="269">
        <v>1</v>
      </c>
      <c r="C149" s="270" t="s">
        <v>442</v>
      </c>
      <c r="D149" s="271">
        <v>6</v>
      </c>
      <c r="E149" s="248">
        <v>542.14</v>
      </c>
      <c r="F149" s="247">
        <v>39749.82</v>
      </c>
      <c r="G149" s="247">
        <v>23011.339885714286</v>
      </c>
      <c r="H149" s="247">
        <v>80055.653142857147</v>
      </c>
      <c r="I149" s="247">
        <v>0</v>
      </c>
      <c r="J149" s="247">
        <v>0</v>
      </c>
      <c r="K149" s="247">
        <v>0</v>
      </c>
      <c r="L149" s="247">
        <v>0</v>
      </c>
      <c r="M149" s="247">
        <v>62761.159885714282</v>
      </c>
      <c r="N149" s="247">
        <v>80055.653142857147</v>
      </c>
      <c r="O149" s="172"/>
      <c r="P149" s="247">
        <v>73.320212491238422</v>
      </c>
      <c r="Q149" s="247">
        <v>42.445382900568646</v>
      </c>
      <c r="R149" s="247">
        <v>0</v>
      </c>
      <c r="S149" s="247">
        <v>0</v>
      </c>
      <c r="T149" s="248">
        <v>115.76559539180707</v>
      </c>
      <c r="U149" s="247">
        <v>147.66601457715194</v>
      </c>
      <c r="V149" s="247">
        <v>0</v>
      </c>
      <c r="W149" s="247">
        <v>0</v>
      </c>
      <c r="X149" s="247">
        <v>147.66601457715194</v>
      </c>
      <c r="Y149" s="247">
        <v>31.900419185344866</v>
      </c>
      <c r="Z149" s="247">
        <v>17294.493257142865</v>
      </c>
    </row>
    <row r="150" spans="1:26" ht="12.75" x14ac:dyDescent="0.2">
      <c r="A150" s="269">
        <v>345</v>
      </c>
      <c r="B150" s="269">
        <v>1</v>
      </c>
      <c r="C150" s="270" t="s">
        <v>382</v>
      </c>
      <c r="D150" s="271">
        <v>5</v>
      </c>
      <c r="E150" s="248">
        <v>1518.6799999999998</v>
      </c>
      <c r="F150" s="247">
        <v>97916.206000000006</v>
      </c>
      <c r="G150" s="247">
        <v>84372.735085714288</v>
      </c>
      <c r="H150" s="247">
        <v>296821.84217142861</v>
      </c>
      <c r="I150" s="247">
        <v>0</v>
      </c>
      <c r="J150" s="247">
        <v>105998</v>
      </c>
      <c r="K150" s="247">
        <v>0</v>
      </c>
      <c r="L150" s="247">
        <v>105998</v>
      </c>
      <c r="M150" s="247">
        <v>288286.94108571426</v>
      </c>
      <c r="N150" s="247">
        <v>402819.84217142861</v>
      </c>
      <c r="O150" s="172"/>
      <c r="P150" s="247">
        <v>64.47454763347119</v>
      </c>
      <c r="Q150" s="247">
        <v>55.556624888531026</v>
      </c>
      <c r="R150" s="247">
        <v>0</v>
      </c>
      <c r="S150" s="247">
        <v>69.796138752074171</v>
      </c>
      <c r="T150" s="248">
        <v>189.82731127407638</v>
      </c>
      <c r="U150" s="247">
        <v>195.44725825811142</v>
      </c>
      <c r="V150" s="247">
        <v>0</v>
      </c>
      <c r="W150" s="247">
        <v>69.796138752074171</v>
      </c>
      <c r="X150" s="247">
        <v>265.24339701018562</v>
      </c>
      <c r="Y150" s="247">
        <v>75.416085736109224</v>
      </c>
      <c r="Z150" s="247">
        <v>114532.90108571434</v>
      </c>
    </row>
    <row r="151" spans="1:26" ht="12.75" x14ac:dyDescent="0.2">
      <c r="A151" s="269">
        <v>347</v>
      </c>
      <c r="B151" s="269">
        <v>1</v>
      </c>
      <c r="C151" s="270" t="s">
        <v>445</v>
      </c>
      <c r="D151" s="271">
        <v>4</v>
      </c>
      <c r="E151" s="248">
        <v>4078.8100000000004</v>
      </c>
      <c r="F151" s="247">
        <v>238568.77800000002</v>
      </c>
      <c r="G151" s="247">
        <v>280391.39999999997</v>
      </c>
      <c r="H151" s="247">
        <v>984434.49999999988</v>
      </c>
      <c r="I151" s="247">
        <v>0</v>
      </c>
      <c r="J151" s="247">
        <v>0</v>
      </c>
      <c r="K151" s="247">
        <v>0</v>
      </c>
      <c r="L151" s="247">
        <v>0</v>
      </c>
      <c r="M151" s="247">
        <v>518960.17799999996</v>
      </c>
      <c r="N151" s="247">
        <v>984434.49999999988</v>
      </c>
      <c r="O151" s="172"/>
      <c r="P151" s="247">
        <v>58.489799230657958</v>
      </c>
      <c r="Q151" s="247">
        <v>68.743432520759711</v>
      </c>
      <c r="R151" s="247">
        <v>0</v>
      </c>
      <c r="S151" s="247">
        <v>0</v>
      </c>
      <c r="T151" s="248">
        <v>127.23323175141768</v>
      </c>
      <c r="U151" s="247">
        <v>241.3533604163959</v>
      </c>
      <c r="V151" s="247">
        <v>0</v>
      </c>
      <c r="W151" s="247">
        <v>0</v>
      </c>
      <c r="X151" s="247">
        <v>241.3533604163959</v>
      </c>
      <c r="Y151" s="247">
        <v>114.12012866497824</v>
      </c>
      <c r="Z151" s="247">
        <v>465474.32199999993</v>
      </c>
    </row>
    <row r="152" spans="1:26" ht="12.75" x14ac:dyDescent="0.2">
      <c r="A152" s="269">
        <v>356</v>
      </c>
      <c r="B152" s="269">
        <v>1</v>
      </c>
      <c r="C152" s="270" t="s">
        <v>447</v>
      </c>
      <c r="D152" s="271">
        <v>6</v>
      </c>
      <c r="E152" s="248">
        <v>153.19999999999999</v>
      </c>
      <c r="F152" s="247">
        <v>18168.781999999999</v>
      </c>
      <c r="G152" s="247">
        <v>10911.6</v>
      </c>
      <c r="H152" s="247">
        <v>37745.300000000003</v>
      </c>
      <c r="I152" s="247">
        <v>0</v>
      </c>
      <c r="J152" s="247">
        <v>0</v>
      </c>
      <c r="K152" s="247">
        <v>0</v>
      </c>
      <c r="L152" s="247">
        <v>0</v>
      </c>
      <c r="M152" s="247">
        <v>29080.381999999998</v>
      </c>
      <c r="N152" s="247">
        <v>37745.300000000003</v>
      </c>
      <c r="O152" s="172"/>
      <c r="P152" s="247">
        <v>118.59518276762402</v>
      </c>
      <c r="Q152" s="247">
        <v>71.224543080939952</v>
      </c>
      <c r="R152" s="247">
        <v>0</v>
      </c>
      <c r="S152" s="247">
        <v>0</v>
      </c>
      <c r="T152" s="248">
        <v>189.81972584856396</v>
      </c>
      <c r="U152" s="247">
        <v>246.37924281984337</v>
      </c>
      <c r="V152" s="247">
        <v>0</v>
      </c>
      <c r="W152" s="247">
        <v>0</v>
      </c>
      <c r="X152" s="247">
        <v>246.37924281984337</v>
      </c>
      <c r="Y152" s="247">
        <v>56.559516971279407</v>
      </c>
      <c r="Z152" s="247">
        <v>8664.9180000000051</v>
      </c>
    </row>
    <row r="153" spans="1:26" ht="12.75" x14ac:dyDescent="0.2">
      <c r="A153" s="269">
        <v>361</v>
      </c>
      <c r="B153" s="269">
        <v>1</v>
      </c>
      <c r="C153" s="270" t="s">
        <v>449</v>
      </c>
      <c r="D153" s="271">
        <v>5</v>
      </c>
      <c r="E153" s="248">
        <v>1179.6299999999999</v>
      </c>
      <c r="F153" s="247">
        <v>161712.78400000001</v>
      </c>
      <c r="G153" s="247">
        <v>82371.599999999991</v>
      </c>
      <c r="H153" s="247">
        <v>289202</v>
      </c>
      <c r="I153" s="247">
        <v>0</v>
      </c>
      <c r="J153" s="247">
        <v>176519</v>
      </c>
      <c r="K153" s="247">
        <v>0</v>
      </c>
      <c r="L153" s="247">
        <v>176519</v>
      </c>
      <c r="M153" s="247">
        <v>420603.38400000002</v>
      </c>
      <c r="N153" s="247">
        <v>465721</v>
      </c>
      <c r="O153" s="172"/>
      <c r="P153" s="247">
        <v>137.08771733509661</v>
      </c>
      <c r="Q153" s="247">
        <v>69.828336003662159</v>
      </c>
      <c r="R153" s="247">
        <v>0</v>
      </c>
      <c r="S153" s="247">
        <v>149.63929367683087</v>
      </c>
      <c r="T153" s="248">
        <v>356.55534701558969</v>
      </c>
      <c r="U153" s="247">
        <v>245.16331392046661</v>
      </c>
      <c r="V153" s="247">
        <v>0</v>
      </c>
      <c r="W153" s="247">
        <v>149.63929367683087</v>
      </c>
      <c r="X153" s="247">
        <v>394.80260759729748</v>
      </c>
      <c r="Y153" s="247">
        <v>38.247260581707813</v>
      </c>
      <c r="Z153" s="247">
        <v>45117.61599999998</v>
      </c>
    </row>
    <row r="154" spans="1:26" ht="12.75" x14ac:dyDescent="0.2">
      <c r="A154" s="269">
        <v>362</v>
      </c>
      <c r="B154" s="269">
        <v>1</v>
      </c>
      <c r="C154" s="270" t="s">
        <v>451</v>
      </c>
      <c r="D154" s="271">
        <v>6</v>
      </c>
      <c r="E154" s="248">
        <v>320.59000000000003</v>
      </c>
      <c r="F154" s="247">
        <v>13395.71</v>
      </c>
      <c r="G154" s="247">
        <v>10138.422857142856</v>
      </c>
      <c r="H154" s="247">
        <v>35693.897142857146</v>
      </c>
      <c r="I154" s="247">
        <v>0</v>
      </c>
      <c r="J154" s="247">
        <v>0</v>
      </c>
      <c r="K154" s="247">
        <v>0</v>
      </c>
      <c r="L154" s="247">
        <v>0</v>
      </c>
      <c r="M154" s="247">
        <v>23534.132857142853</v>
      </c>
      <c r="N154" s="247">
        <v>35693.897142857146</v>
      </c>
      <c r="O154" s="172"/>
      <c r="P154" s="247">
        <v>41.784553479522124</v>
      </c>
      <c r="Q154" s="247">
        <v>31.624264191468402</v>
      </c>
      <c r="R154" s="247">
        <v>0</v>
      </c>
      <c r="S154" s="247">
        <v>0</v>
      </c>
      <c r="T154" s="248">
        <v>73.408817670990516</v>
      </c>
      <c r="U154" s="247">
        <v>111.33814885946893</v>
      </c>
      <c r="V154" s="247">
        <v>0</v>
      </c>
      <c r="W154" s="247">
        <v>0</v>
      </c>
      <c r="X154" s="247">
        <v>111.33814885946893</v>
      </c>
      <c r="Y154" s="247">
        <v>37.929331188478407</v>
      </c>
      <c r="Z154" s="247">
        <v>12159.764285714293</v>
      </c>
    </row>
    <row r="155" spans="1:26" ht="12.75" x14ac:dyDescent="0.2">
      <c r="A155" s="269">
        <v>363</v>
      </c>
      <c r="B155" s="269">
        <v>1</v>
      </c>
      <c r="C155" s="270" t="s">
        <v>453</v>
      </c>
      <c r="D155" s="271">
        <v>6</v>
      </c>
      <c r="E155" s="248">
        <v>346.91</v>
      </c>
      <c r="F155" s="247">
        <v>0</v>
      </c>
      <c r="G155" s="247">
        <v>22915.507542857144</v>
      </c>
      <c r="H155" s="247">
        <v>79332.889314285712</v>
      </c>
      <c r="I155" s="247">
        <v>0</v>
      </c>
      <c r="J155" s="247">
        <v>0</v>
      </c>
      <c r="K155" s="247">
        <v>0</v>
      </c>
      <c r="L155" s="247">
        <v>0</v>
      </c>
      <c r="M155" s="247">
        <v>22915.507542857144</v>
      </c>
      <c r="N155" s="247">
        <v>79332.889314285712</v>
      </c>
      <c r="O155" s="172"/>
      <c r="P155" s="247">
        <v>0</v>
      </c>
      <c r="Q155" s="247">
        <v>66.056059331979881</v>
      </c>
      <c r="R155" s="247">
        <v>0</v>
      </c>
      <c r="S155" s="247">
        <v>0</v>
      </c>
      <c r="T155" s="248">
        <v>66.056059331979881</v>
      </c>
      <c r="U155" s="247">
        <v>228.68435419643626</v>
      </c>
      <c r="V155" s="247">
        <v>0</v>
      </c>
      <c r="W155" s="247">
        <v>0</v>
      </c>
      <c r="X155" s="247">
        <v>228.68435419643626</v>
      </c>
      <c r="Y155" s="247">
        <v>162.62829486445639</v>
      </c>
      <c r="Z155" s="247">
        <v>56417.381771428569</v>
      </c>
    </row>
    <row r="156" spans="1:26" ht="12.75" x14ac:dyDescent="0.2">
      <c r="A156" s="269">
        <v>378</v>
      </c>
      <c r="B156" s="269">
        <v>1</v>
      </c>
      <c r="C156" s="270" t="s">
        <v>350</v>
      </c>
      <c r="D156" s="271">
        <v>6</v>
      </c>
      <c r="E156" s="248">
        <v>510.19</v>
      </c>
      <c r="F156" s="247">
        <v>100583.224</v>
      </c>
      <c r="G156" s="247">
        <v>35460</v>
      </c>
      <c r="H156" s="247">
        <v>136043.22399999999</v>
      </c>
      <c r="I156" s="247">
        <v>219234.4</v>
      </c>
      <c r="J156" s="247">
        <v>0</v>
      </c>
      <c r="K156" s="247">
        <v>219234.4</v>
      </c>
      <c r="L156" s="247">
        <v>0</v>
      </c>
      <c r="M156" s="247">
        <v>355277.62399999995</v>
      </c>
      <c r="N156" s="247">
        <v>355277.62399999995</v>
      </c>
      <c r="O156" s="172"/>
      <c r="P156" s="247">
        <v>197.14856034026539</v>
      </c>
      <c r="Q156" s="247">
        <v>69.503518297105003</v>
      </c>
      <c r="R156" s="247">
        <v>429.71128403143928</v>
      </c>
      <c r="S156" s="247">
        <v>0</v>
      </c>
      <c r="T156" s="248">
        <v>696.3633626688096</v>
      </c>
      <c r="U156" s="247">
        <v>266.65207863737038</v>
      </c>
      <c r="V156" s="247">
        <v>429.71128403143928</v>
      </c>
      <c r="W156" s="247">
        <v>0</v>
      </c>
      <c r="X156" s="247">
        <v>696.3633626688096</v>
      </c>
      <c r="Y156" s="247">
        <v>0</v>
      </c>
      <c r="Z156" s="247">
        <v>0</v>
      </c>
    </row>
    <row r="157" spans="1:26" ht="12.75" x14ac:dyDescent="0.2">
      <c r="A157" s="269">
        <v>381</v>
      </c>
      <c r="B157" s="269">
        <v>1</v>
      </c>
      <c r="C157" s="270" t="s">
        <v>456</v>
      </c>
      <c r="D157" s="271">
        <v>5</v>
      </c>
      <c r="E157" s="248">
        <v>1374.37</v>
      </c>
      <c r="F157" s="247">
        <v>288168.02800000005</v>
      </c>
      <c r="G157" s="247">
        <v>86511.900342857145</v>
      </c>
      <c r="H157" s="247">
        <v>374679.92834285717</v>
      </c>
      <c r="I157" s="247">
        <v>0</v>
      </c>
      <c r="J157" s="247">
        <v>55881</v>
      </c>
      <c r="K157" s="247">
        <v>0</v>
      </c>
      <c r="L157" s="247">
        <v>55881</v>
      </c>
      <c r="M157" s="247">
        <v>430560.92834285717</v>
      </c>
      <c r="N157" s="247">
        <v>430560.92834285717</v>
      </c>
      <c r="O157" s="172"/>
      <c r="P157" s="247">
        <v>209.6728159083799</v>
      </c>
      <c r="Q157" s="247">
        <v>62.946586685431981</v>
      </c>
      <c r="R157" s="247">
        <v>0</v>
      </c>
      <c r="S157" s="247">
        <v>40.659356650683591</v>
      </c>
      <c r="T157" s="248">
        <v>313.27875924449546</v>
      </c>
      <c r="U157" s="247">
        <v>272.61940259381186</v>
      </c>
      <c r="V157" s="247">
        <v>0</v>
      </c>
      <c r="W157" s="247">
        <v>40.659356650683591</v>
      </c>
      <c r="X157" s="247">
        <v>313.27875924449546</v>
      </c>
      <c r="Y157" s="247">
        <v>0</v>
      </c>
      <c r="Z157" s="247">
        <v>0</v>
      </c>
    </row>
    <row r="158" spans="1:26" ht="12.75" x14ac:dyDescent="0.2">
      <c r="A158" s="269">
        <v>390</v>
      </c>
      <c r="B158" s="269">
        <v>1</v>
      </c>
      <c r="C158" s="270" t="s">
        <v>458</v>
      </c>
      <c r="D158" s="271">
        <v>6</v>
      </c>
      <c r="E158" s="248">
        <v>489.80000000000007</v>
      </c>
      <c r="F158" s="247">
        <v>98426.91</v>
      </c>
      <c r="G158" s="247">
        <v>18322.627714285714</v>
      </c>
      <c r="H158" s="247">
        <v>116749.53771428572</v>
      </c>
      <c r="I158" s="247">
        <v>0</v>
      </c>
      <c r="J158" s="247">
        <v>0</v>
      </c>
      <c r="K158" s="247">
        <v>0</v>
      </c>
      <c r="L158" s="247">
        <v>0</v>
      </c>
      <c r="M158" s="247">
        <v>116749.53771428572</v>
      </c>
      <c r="N158" s="247">
        <v>116749.53771428572</v>
      </c>
      <c r="O158" s="172"/>
      <c r="P158" s="247">
        <v>200.95326663944465</v>
      </c>
      <c r="Q158" s="247">
        <v>37.408386513445713</v>
      </c>
      <c r="R158" s="247">
        <v>0</v>
      </c>
      <c r="S158" s="247">
        <v>0</v>
      </c>
      <c r="T158" s="248">
        <v>238.36165315289037</v>
      </c>
      <c r="U158" s="247">
        <v>238.36165315289037</v>
      </c>
      <c r="V158" s="247">
        <v>0</v>
      </c>
      <c r="W158" s="247">
        <v>0</v>
      </c>
      <c r="X158" s="247">
        <v>238.36165315289037</v>
      </c>
      <c r="Y158" s="247">
        <v>0</v>
      </c>
      <c r="Z158" s="247">
        <v>0</v>
      </c>
    </row>
    <row r="159" spans="1:26" ht="12.75" x14ac:dyDescent="0.2">
      <c r="A159" s="269">
        <v>391</v>
      </c>
      <c r="B159" s="269">
        <v>1</v>
      </c>
      <c r="C159" s="270" t="s">
        <v>269</v>
      </c>
      <c r="D159" s="271">
        <v>6</v>
      </c>
      <c r="E159" s="248">
        <v>447.89</v>
      </c>
      <c r="F159" s="247">
        <v>119022.742</v>
      </c>
      <c r="G159" s="247">
        <v>30721.8</v>
      </c>
      <c r="H159" s="247">
        <v>149744.54199999999</v>
      </c>
      <c r="I159" s="247">
        <v>0</v>
      </c>
      <c r="J159" s="247">
        <v>0</v>
      </c>
      <c r="K159" s="247">
        <v>0</v>
      </c>
      <c r="L159" s="247">
        <v>0</v>
      </c>
      <c r="M159" s="247">
        <v>149744.54199999999</v>
      </c>
      <c r="N159" s="247">
        <v>149744.54199999999</v>
      </c>
      <c r="O159" s="172"/>
      <c r="P159" s="247">
        <v>265.74101230212779</v>
      </c>
      <c r="Q159" s="247">
        <v>68.592288285069998</v>
      </c>
      <c r="R159" s="247">
        <v>0</v>
      </c>
      <c r="S159" s="247">
        <v>0</v>
      </c>
      <c r="T159" s="248">
        <v>334.33330058719775</v>
      </c>
      <c r="U159" s="247">
        <v>334.33330058719775</v>
      </c>
      <c r="V159" s="247">
        <v>0</v>
      </c>
      <c r="W159" s="247">
        <v>0</v>
      </c>
      <c r="X159" s="247">
        <v>334.33330058719775</v>
      </c>
      <c r="Y159" s="247">
        <v>0</v>
      </c>
      <c r="Z159" s="247">
        <v>0</v>
      </c>
    </row>
    <row r="160" spans="1:26" ht="12.75" x14ac:dyDescent="0.2">
      <c r="A160" s="269">
        <v>402</v>
      </c>
      <c r="B160" s="269">
        <v>1</v>
      </c>
      <c r="C160" s="270" t="s">
        <v>461</v>
      </c>
      <c r="D160" s="271">
        <v>6</v>
      </c>
      <c r="E160" s="248">
        <v>101.92</v>
      </c>
      <c r="F160" s="247">
        <v>0</v>
      </c>
      <c r="G160" s="247">
        <v>6788.4</v>
      </c>
      <c r="H160" s="247">
        <v>23805</v>
      </c>
      <c r="I160" s="247">
        <v>0</v>
      </c>
      <c r="J160" s="247">
        <v>0</v>
      </c>
      <c r="K160" s="247">
        <v>0</v>
      </c>
      <c r="L160" s="247">
        <v>0</v>
      </c>
      <c r="M160" s="247">
        <v>6788.4</v>
      </c>
      <c r="N160" s="247">
        <v>23805</v>
      </c>
      <c r="O160" s="172"/>
      <c r="P160" s="247">
        <v>0</v>
      </c>
      <c r="Q160" s="247">
        <v>66.605180533751962</v>
      </c>
      <c r="R160" s="247">
        <v>0</v>
      </c>
      <c r="S160" s="247">
        <v>0</v>
      </c>
      <c r="T160" s="248">
        <v>66.605180533751962</v>
      </c>
      <c r="U160" s="247">
        <v>233.56554160125589</v>
      </c>
      <c r="V160" s="247">
        <v>0</v>
      </c>
      <c r="W160" s="247">
        <v>0</v>
      </c>
      <c r="X160" s="247">
        <v>233.56554160125589</v>
      </c>
      <c r="Y160" s="247">
        <v>166.9603610675039</v>
      </c>
      <c r="Z160" s="247">
        <v>17016.599999999999</v>
      </c>
    </row>
    <row r="161" spans="1:26" ht="12.75" x14ac:dyDescent="0.2">
      <c r="A161" s="269">
        <v>403</v>
      </c>
      <c r="B161" s="269">
        <v>1</v>
      </c>
      <c r="C161" s="270" t="s">
        <v>448</v>
      </c>
      <c r="D161" s="271">
        <v>6</v>
      </c>
      <c r="E161" s="248">
        <v>190.76999999999998</v>
      </c>
      <c r="F161" s="247">
        <v>0</v>
      </c>
      <c r="G161" s="247">
        <v>13574.400000000001</v>
      </c>
      <c r="H161" s="247">
        <v>46821.1</v>
      </c>
      <c r="I161" s="247">
        <v>0</v>
      </c>
      <c r="J161" s="247">
        <v>0</v>
      </c>
      <c r="K161" s="247">
        <v>0</v>
      </c>
      <c r="L161" s="247">
        <v>0</v>
      </c>
      <c r="M161" s="247">
        <v>13574.400000000001</v>
      </c>
      <c r="N161" s="247">
        <v>46821.1</v>
      </c>
      <c r="O161" s="172"/>
      <c r="P161" s="247">
        <v>0</v>
      </c>
      <c r="Q161" s="247">
        <v>71.155842113539876</v>
      </c>
      <c r="R161" s="247">
        <v>0</v>
      </c>
      <c r="S161" s="247">
        <v>0</v>
      </c>
      <c r="T161" s="248">
        <v>71.155842113539876</v>
      </c>
      <c r="U161" s="247">
        <v>245.43219583792003</v>
      </c>
      <c r="V161" s="247">
        <v>0</v>
      </c>
      <c r="W161" s="247">
        <v>0</v>
      </c>
      <c r="X161" s="247">
        <v>245.43219583792003</v>
      </c>
      <c r="Y161" s="247">
        <v>174.27635372438016</v>
      </c>
      <c r="Z161" s="247">
        <v>33246.699999999997</v>
      </c>
    </row>
    <row r="162" spans="1:26" ht="12.75" x14ac:dyDescent="0.2">
      <c r="A162" s="269">
        <v>404</v>
      </c>
      <c r="B162" s="269">
        <v>1</v>
      </c>
      <c r="C162" s="270" t="s">
        <v>263</v>
      </c>
      <c r="D162" s="271">
        <v>6</v>
      </c>
      <c r="E162" s="248">
        <v>166.14</v>
      </c>
      <c r="F162" s="247">
        <v>42590.085999999996</v>
      </c>
      <c r="G162" s="247">
        <v>11202.6</v>
      </c>
      <c r="H162" s="247">
        <v>53792.685999999994</v>
      </c>
      <c r="I162" s="247">
        <v>0</v>
      </c>
      <c r="J162" s="247">
        <v>0</v>
      </c>
      <c r="K162" s="247">
        <v>0</v>
      </c>
      <c r="L162" s="247">
        <v>0</v>
      </c>
      <c r="M162" s="247">
        <v>53792.685999999994</v>
      </c>
      <c r="N162" s="247">
        <v>53792.685999999994</v>
      </c>
      <c r="O162" s="172"/>
      <c r="P162" s="247">
        <v>256.35058384495005</v>
      </c>
      <c r="Q162" s="247">
        <v>67.428674611773218</v>
      </c>
      <c r="R162" s="247">
        <v>0</v>
      </c>
      <c r="S162" s="247">
        <v>0</v>
      </c>
      <c r="T162" s="248">
        <v>323.77925845672326</v>
      </c>
      <c r="U162" s="247">
        <v>323.77925845672326</v>
      </c>
      <c r="V162" s="247">
        <v>0</v>
      </c>
      <c r="W162" s="247">
        <v>0</v>
      </c>
      <c r="X162" s="247">
        <v>323.77925845672326</v>
      </c>
      <c r="Y162" s="247">
        <v>0</v>
      </c>
      <c r="Z162" s="247">
        <v>0</v>
      </c>
    </row>
    <row r="163" spans="1:26" ht="12.75" x14ac:dyDescent="0.2">
      <c r="A163" s="269">
        <v>413</v>
      </c>
      <c r="B163" s="269">
        <v>1</v>
      </c>
      <c r="C163" s="270" t="s">
        <v>464</v>
      </c>
      <c r="D163" s="271">
        <v>4</v>
      </c>
      <c r="E163" s="248">
        <v>2220.13</v>
      </c>
      <c r="F163" s="247">
        <v>102635.93400000001</v>
      </c>
      <c r="G163" s="247">
        <v>123799.37159999998</v>
      </c>
      <c r="H163" s="247">
        <v>434561.44931428571</v>
      </c>
      <c r="I163" s="247">
        <v>0</v>
      </c>
      <c r="J163" s="247">
        <v>0</v>
      </c>
      <c r="K163" s="247">
        <v>0</v>
      </c>
      <c r="L163" s="247">
        <v>0</v>
      </c>
      <c r="M163" s="247">
        <v>226435.30559999999</v>
      </c>
      <c r="N163" s="247">
        <v>434561.44931428571</v>
      </c>
      <c r="O163" s="172"/>
      <c r="P163" s="247">
        <v>46.229695558368206</v>
      </c>
      <c r="Q163" s="247">
        <v>55.762217347632784</v>
      </c>
      <c r="R163" s="247">
        <v>0</v>
      </c>
      <c r="S163" s="247">
        <v>0</v>
      </c>
      <c r="T163" s="248">
        <v>101.99191290600099</v>
      </c>
      <c r="U163" s="247">
        <v>195.73693851904423</v>
      </c>
      <c r="V163" s="247">
        <v>0</v>
      </c>
      <c r="W163" s="247">
        <v>0</v>
      </c>
      <c r="X163" s="247">
        <v>195.73693851904423</v>
      </c>
      <c r="Y163" s="247">
        <v>93.745025613043254</v>
      </c>
      <c r="Z163" s="247">
        <v>208126.14371428572</v>
      </c>
    </row>
    <row r="164" spans="1:26" ht="12.75" x14ac:dyDescent="0.2">
      <c r="A164" s="269">
        <v>414</v>
      </c>
      <c r="B164" s="269">
        <v>1</v>
      </c>
      <c r="C164" s="270" t="s">
        <v>298</v>
      </c>
      <c r="D164" s="271">
        <v>6</v>
      </c>
      <c r="E164" s="248">
        <v>436.59</v>
      </c>
      <c r="F164" s="247">
        <v>77137.721999999994</v>
      </c>
      <c r="G164" s="247">
        <v>30793.200000000001</v>
      </c>
      <c r="H164" s="247">
        <v>108042.5</v>
      </c>
      <c r="I164" s="247">
        <v>0</v>
      </c>
      <c r="J164" s="247">
        <v>295985</v>
      </c>
      <c r="K164" s="247">
        <v>0</v>
      </c>
      <c r="L164" s="247">
        <v>295985</v>
      </c>
      <c r="M164" s="247">
        <v>403915.92200000002</v>
      </c>
      <c r="N164" s="247">
        <v>404027.5</v>
      </c>
      <c r="O164" s="172"/>
      <c r="P164" s="247">
        <v>176.68229231086374</v>
      </c>
      <c r="Q164" s="247">
        <v>70.531161959733396</v>
      </c>
      <c r="R164" s="247">
        <v>0</v>
      </c>
      <c r="S164" s="247">
        <v>677.94727318536843</v>
      </c>
      <c r="T164" s="248">
        <v>925.16072745596568</v>
      </c>
      <c r="U164" s="247">
        <v>247.46902127854511</v>
      </c>
      <c r="V164" s="247">
        <v>0</v>
      </c>
      <c r="W164" s="247">
        <v>677.94727318536843</v>
      </c>
      <c r="X164" s="247">
        <v>925.41629446391357</v>
      </c>
      <c r="Y164" s="247">
        <v>0.25556700794791343</v>
      </c>
      <c r="Z164" s="247">
        <v>111.57799999997951</v>
      </c>
    </row>
    <row r="165" spans="1:26" ht="12.75" x14ac:dyDescent="0.2">
      <c r="A165" s="269">
        <v>415</v>
      </c>
      <c r="B165" s="269">
        <v>1</v>
      </c>
      <c r="C165" s="270" t="s">
        <v>423</v>
      </c>
      <c r="D165" s="271">
        <v>6</v>
      </c>
      <c r="E165" s="248">
        <v>159.94</v>
      </c>
      <c r="F165" s="247">
        <v>55498.104000000007</v>
      </c>
      <c r="G165" s="247">
        <v>11049</v>
      </c>
      <c r="H165" s="247">
        <v>66547.104000000007</v>
      </c>
      <c r="I165" s="247">
        <v>0</v>
      </c>
      <c r="J165" s="247">
        <v>0</v>
      </c>
      <c r="K165" s="247">
        <v>0</v>
      </c>
      <c r="L165" s="247">
        <v>0</v>
      </c>
      <c r="M165" s="247">
        <v>66547.104000000007</v>
      </c>
      <c r="N165" s="247">
        <v>66547.104000000007</v>
      </c>
      <c r="O165" s="172"/>
      <c r="P165" s="247">
        <v>346.993272477179</v>
      </c>
      <c r="Q165" s="247">
        <v>69.082155808428155</v>
      </c>
      <c r="R165" s="247">
        <v>0</v>
      </c>
      <c r="S165" s="247">
        <v>0</v>
      </c>
      <c r="T165" s="248">
        <v>416.07542828560713</v>
      </c>
      <c r="U165" s="247">
        <v>416.07542828560713</v>
      </c>
      <c r="V165" s="247">
        <v>0</v>
      </c>
      <c r="W165" s="247">
        <v>0</v>
      </c>
      <c r="X165" s="247">
        <v>416.07542828560713</v>
      </c>
      <c r="Y165" s="247">
        <v>0</v>
      </c>
      <c r="Z165" s="247">
        <v>0</v>
      </c>
    </row>
    <row r="166" spans="1:26" ht="12.75" x14ac:dyDescent="0.2">
      <c r="A166" s="269">
        <v>423</v>
      </c>
      <c r="B166" s="269">
        <v>1</v>
      </c>
      <c r="C166" s="270" t="s">
        <v>468</v>
      </c>
      <c r="D166" s="271">
        <v>4</v>
      </c>
      <c r="E166" s="248">
        <v>2908.59</v>
      </c>
      <c r="F166" s="247">
        <v>105677.11</v>
      </c>
      <c r="G166" s="247">
        <v>201810</v>
      </c>
      <c r="H166" s="247">
        <v>709444.2</v>
      </c>
      <c r="I166" s="247">
        <v>0</v>
      </c>
      <c r="J166" s="247">
        <v>0</v>
      </c>
      <c r="K166" s="247">
        <v>0</v>
      </c>
      <c r="L166" s="247">
        <v>0</v>
      </c>
      <c r="M166" s="247">
        <v>307487.11</v>
      </c>
      <c r="N166" s="247">
        <v>709444.2</v>
      </c>
      <c r="O166" s="172"/>
      <c r="P166" s="247">
        <v>36.33276261006192</v>
      </c>
      <c r="Q166" s="247">
        <v>69.384134580673106</v>
      </c>
      <c r="R166" s="247">
        <v>0</v>
      </c>
      <c r="S166" s="247">
        <v>0</v>
      </c>
      <c r="T166" s="248">
        <v>105.71689719073503</v>
      </c>
      <c r="U166" s="247">
        <v>243.91344259589695</v>
      </c>
      <c r="V166" s="247">
        <v>0</v>
      </c>
      <c r="W166" s="247">
        <v>0</v>
      </c>
      <c r="X166" s="247">
        <v>243.91344259589695</v>
      </c>
      <c r="Y166" s="247">
        <v>138.19654540516194</v>
      </c>
      <c r="Z166" s="247">
        <v>401957.08999999997</v>
      </c>
    </row>
    <row r="167" spans="1:26" ht="12.75" x14ac:dyDescent="0.2">
      <c r="A167" s="269">
        <v>424</v>
      </c>
      <c r="B167" s="269">
        <v>1</v>
      </c>
      <c r="C167" s="270" t="s">
        <v>463</v>
      </c>
      <c r="D167" s="271">
        <v>6</v>
      </c>
      <c r="E167" s="248">
        <v>405.18</v>
      </c>
      <c r="F167" s="247">
        <v>28841.738000000001</v>
      </c>
      <c r="G167" s="247">
        <v>27978.6</v>
      </c>
      <c r="H167" s="247">
        <v>98267.5</v>
      </c>
      <c r="I167" s="247">
        <v>0</v>
      </c>
      <c r="J167" s="247">
        <v>0</v>
      </c>
      <c r="K167" s="247">
        <v>0</v>
      </c>
      <c r="L167" s="247">
        <v>0</v>
      </c>
      <c r="M167" s="247">
        <v>56820.338000000003</v>
      </c>
      <c r="N167" s="247">
        <v>98267.5</v>
      </c>
      <c r="O167" s="172"/>
      <c r="P167" s="247">
        <v>71.182531220692042</v>
      </c>
      <c r="Q167" s="247">
        <v>69.052273063823478</v>
      </c>
      <c r="R167" s="247">
        <v>0</v>
      </c>
      <c r="S167" s="247">
        <v>0</v>
      </c>
      <c r="T167" s="248">
        <v>140.23480428451552</v>
      </c>
      <c r="U167" s="247">
        <v>242.52801224147291</v>
      </c>
      <c r="V167" s="247">
        <v>0</v>
      </c>
      <c r="W167" s="247">
        <v>0</v>
      </c>
      <c r="X167" s="247">
        <v>242.52801224147291</v>
      </c>
      <c r="Y167" s="247">
        <v>102.29320795695739</v>
      </c>
      <c r="Z167" s="247">
        <v>41447.161999999997</v>
      </c>
    </row>
    <row r="168" spans="1:26" ht="12.75" x14ac:dyDescent="0.2">
      <c r="A168" s="269">
        <v>432</v>
      </c>
      <c r="B168" s="269">
        <v>1</v>
      </c>
      <c r="C168" s="270" t="s">
        <v>471</v>
      </c>
      <c r="D168" s="271">
        <v>6</v>
      </c>
      <c r="E168" s="248">
        <v>614.42999999999995</v>
      </c>
      <c r="F168" s="247">
        <v>16358.507999999998</v>
      </c>
      <c r="G168" s="247">
        <v>42732</v>
      </c>
      <c r="H168" s="247">
        <v>150045.1</v>
      </c>
      <c r="I168" s="247">
        <v>0</v>
      </c>
      <c r="J168" s="247">
        <v>316505</v>
      </c>
      <c r="K168" s="247">
        <v>0</v>
      </c>
      <c r="L168" s="247">
        <v>316505</v>
      </c>
      <c r="M168" s="247">
        <v>375595.50800000003</v>
      </c>
      <c r="N168" s="247">
        <v>466550.1</v>
      </c>
      <c r="O168" s="172"/>
      <c r="P168" s="247">
        <v>26.623875787315072</v>
      </c>
      <c r="Q168" s="247">
        <v>69.547385381573164</v>
      </c>
      <c r="R168" s="247">
        <v>0</v>
      </c>
      <c r="S168" s="247">
        <v>515.11970444151495</v>
      </c>
      <c r="T168" s="248">
        <v>611.29096561040319</v>
      </c>
      <c r="U168" s="247">
        <v>244.20210601695885</v>
      </c>
      <c r="V168" s="247">
        <v>0</v>
      </c>
      <c r="W168" s="247">
        <v>515.11970444151495</v>
      </c>
      <c r="X168" s="247">
        <v>759.32181045847369</v>
      </c>
      <c r="Y168" s="247">
        <v>148.0308448480705</v>
      </c>
      <c r="Z168" s="247">
        <v>90954.591999999946</v>
      </c>
    </row>
    <row r="169" spans="1:26" ht="12.75" x14ac:dyDescent="0.2">
      <c r="A169" s="269">
        <v>435</v>
      </c>
      <c r="B169" s="269">
        <v>1</v>
      </c>
      <c r="C169" s="270" t="s">
        <v>473</v>
      </c>
      <c r="D169" s="271">
        <v>6</v>
      </c>
      <c r="E169" s="248">
        <v>623.66000000000008</v>
      </c>
      <c r="F169" s="247">
        <v>50397.737999999998</v>
      </c>
      <c r="G169" s="247">
        <v>32597.539885714283</v>
      </c>
      <c r="H169" s="247">
        <v>113923.23594285712</v>
      </c>
      <c r="I169" s="247">
        <v>0</v>
      </c>
      <c r="J169" s="247">
        <v>0</v>
      </c>
      <c r="K169" s="247">
        <v>0</v>
      </c>
      <c r="L169" s="247">
        <v>0</v>
      </c>
      <c r="M169" s="247">
        <v>82995.277885714284</v>
      </c>
      <c r="N169" s="247">
        <v>113923.23594285712</v>
      </c>
      <c r="O169" s="172"/>
      <c r="P169" s="247">
        <v>80.809636661001178</v>
      </c>
      <c r="Q169" s="247">
        <v>52.268126680746363</v>
      </c>
      <c r="R169" s="247">
        <v>0</v>
      </c>
      <c r="S169" s="247">
        <v>0</v>
      </c>
      <c r="T169" s="248">
        <v>133.07776334174756</v>
      </c>
      <c r="U169" s="247">
        <v>182.66881945748821</v>
      </c>
      <c r="V169" s="247">
        <v>0</v>
      </c>
      <c r="W169" s="247">
        <v>0</v>
      </c>
      <c r="X169" s="247">
        <v>182.66881945748821</v>
      </c>
      <c r="Y169" s="247">
        <v>49.591056115740685</v>
      </c>
      <c r="Z169" s="247">
        <v>30927.958057142838</v>
      </c>
    </row>
    <row r="170" spans="1:26" ht="12.75" x14ac:dyDescent="0.2">
      <c r="A170" s="269">
        <v>441</v>
      </c>
      <c r="B170" s="269">
        <v>1</v>
      </c>
      <c r="C170" s="270" t="s">
        <v>475</v>
      </c>
      <c r="D170" s="271">
        <v>6</v>
      </c>
      <c r="E170" s="248">
        <v>409.53999999999996</v>
      </c>
      <c r="F170" s="247">
        <v>34528.322</v>
      </c>
      <c r="G170" s="247">
        <v>26678.221714285715</v>
      </c>
      <c r="H170" s="247">
        <v>93935.262714285709</v>
      </c>
      <c r="I170" s="247">
        <v>0</v>
      </c>
      <c r="J170" s="247">
        <v>0</v>
      </c>
      <c r="K170" s="247">
        <v>0</v>
      </c>
      <c r="L170" s="247">
        <v>0</v>
      </c>
      <c r="M170" s="247">
        <v>61206.543714285712</v>
      </c>
      <c r="N170" s="247">
        <v>93935.262714285709</v>
      </c>
      <c r="O170" s="172"/>
      <c r="P170" s="247">
        <v>84.310011232114093</v>
      </c>
      <c r="Q170" s="247">
        <v>65.141919505507929</v>
      </c>
      <c r="R170" s="247">
        <v>0</v>
      </c>
      <c r="S170" s="247">
        <v>0</v>
      </c>
      <c r="T170" s="248">
        <v>149.45193073762201</v>
      </c>
      <c r="U170" s="247">
        <v>229.3677362755426</v>
      </c>
      <c r="V170" s="247">
        <v>0</v>
      </c>
      <c r="W170" s="247">
        <v>0</v>
      </c>
      <c r="X170" s="247">
        <v>229.3677362755426</v>
      </c>
      <c r="Y170" s="247">
        <v>79.91580553792059</v>
      </c>
      <c r="Z170" s="247">
        <v>32728.718999999997</v>
      </c>
    </row>
    <row r="171" spans="1:26" ht="12.75" x14ac:dyDescent="0.2">
      <c r="A171" s="269">
        <v>447</v>
      </c>
      <c r="B171" s="269">
        <v>1</v>
      </c>
      <c r="C171" s="270" t="s">
        <v>477</v>
      </c>
      <c r="D171" s="271">
        <v>6</v>
      </c>
      <c r="E171" s="248">
        <v>165.26</v>
      </c>
      <c r="F171" s="247">
        <v>6268</v>
      </c>
      <c r="G171" s="247">
        <v>11544.6</v>
      </c>
      <c r="H171" s="247">
        <v>40222.400000000001</v>
      </c>
      <c r="I171" s="247">
        <v>0</v>
      </c>
      <c r="J171" s="247">
        <v>0</v>
      </c>
      <c r="K171" s="247">
        <v>0</v>
      </c>
      <c r="L171" s="247">
        <v>0</v>
      </c>
      <c r="M171" s="247">
        <v>17812.599999999999</v>
      </c>
      <c r="N171" s="247">
        <v>40222.400000000001</v>
      </c>
      <c r="O171" s="172"/>
      <c r="P171" s="247">
        <v>37.928113276049864</v>
      </c>
      <c r="Q171" s="247">
        <v>69.857194723466066</v>
      </c>
      <c r="R171" s="247">
        <v>0</v>
      </c>
      <c r="S171" s="247">
        <v>0</v>
      </c>
      <c r="T171" s="248">
        <v>107.78530799951591</v>
      </c>
      <c r="U171" s="247">
        <v>243.38859978216146</v>
      </c>
      <c r="V171" s="247">
        <v>0</v>
      </c>
      <c r="W171" s="247">
        <v>0</v>
      </c>
      <c r="X171" s="247">
        <v>243.38859978216146</v>
      </c>
      <c r="Y171" s="247">
        <v>135.60329178264556</v>
      </c>
      <c r="Z171" s="247">
        <v>22409.800000000003</v>
      </c>
    </row>
    <row r="172" spans="1:26" ht="12.75" x14ac:dyDescent="0.2">
      <c r="A172" s="269">
        <v>458</v>
      </c>
      <c r="B172" s="269">
        <v>1</v>
      </c>
      <c r="C172" s="270" t="s">
        <v>479</v>
      </c>
      <c r="D172" s="271">
        <v>6</v>
      </c>
      <c r="E172" s="248">
        <v>270.64999999999998</v>
      </c>
      <c r="F172" s="247">
        <v>69576.562000000005</v>
      </c>
      <c r="G172" s="247">
        <v>18969</v>
      </c>
      <c r="H172" s="247">
        <v>88545.562000000005</v>
      </c>
      <c r="I172" s="247">
        <v>0</v>
      </c>
      <c r="J172" s="247">
        <v>0</v>
      </c>
      <c r="K172" s="247">
        <v>0</v>
      </c>
      <c r="L172" s="247">
        <v>0</v>
      </c>
      <c r="M172" s="247">
        <v>88545.562000000005</v>
      </c>
      <c r="N172" s="247">
        <v>88545.562000000005</v>
      </c>
      <c r="O172" s="172"/>
      <c r="P172" s="247">
        <v>257.07209310918165</v>
      </c>
      <c r="Q172" s="247">
        <v>70.086828006650663</v>
      </c>
      <c r="R172" s="247">
        <v>0</v>
      </c>
      <c r="S172" s="247">
        <v>0</v>
      </c>
      <c r="T172" s="248">
        <v>327.1589211158323</v>
      </c>
      <c r="U172" s="247">
        <v>327.1589211158323</v>
      </c>
      <c r="V172" s="247">
        <v>0</v>
      </c>
      <c r="W172" s="247">
        <v>0</v>
      </c>
      <c r="X172" s="247">
        <v>327.1589211158323</v>
      </c>
      <c r="Y172" s="247">
        <v>0</v>
      </c>
      <c r="Z172" s="247">
        <v>0</v>
      </c>
    </row>
    <row r="173" spans="1:26" ht="12.75" x14ac:dyDescent="0.2">
      <c r="A173" s="269">
        <v>463</v>
      </c>
      <c r="B173" s="269">
        <v>1</v>
      </c>
      <c r="C173" s="270" t="s">
        <v>469</v>
      </c>
      <c r="D173" s="271">
        <v>6</v>
      </c>
      <c r="E173" s="248">
        <v>969.47</v>
      </c>
      <c r="F173" s="247">
        <v>49156.09</v>
      </c>
      <c r="G173" s="247">
        <v>66466.8</v>
      </c>
      <c r="H173" s="247">
        <v>232898</v>
      </c>
      <c r="I173" s="247">
        <v>0</v>
      </c>
      <c r="J173" s="247">
        <v>106334</v>
      </c>
      <c r="K173" s="247">
        <v>0</v>
      </c>
      <c r="L173" s="247">
        <v>106334</v>
      </c>
      <c r="M173" s="247">
        <v>221956.89</v>
      </c>
      <c r="N173" s="247">
        <v>339232</v>
      </c>
      <c r="O173" s="172"/>
      <c r="P173" s="247">
        <v>50.704085737567944</v>
      </c>
      <c r="Q173" s="247">
        <v>68.559934809741407</v>
      </c>
      <c r="R173" s="247">
        <v>0</v>
      </c>
      <c r="S173" s="247">
        <v>109.68261008592323</v>
      </c>
      <c r="T173" s="248">
        <v>228.94663063323259</v>
      </c>
      <c r="U173" s="247">
        <v>240.232291870816</v>
      </c>
      <c r="V173" s="247">
        <v>0</v>
      </c>
      <c r="W173" s="247">
        <v>109.68261008592323</v>
      </c>
      <c r="X173" s="247">
        <v>349.91490195673924</v>
      </c>
      <c r="Y173" s="247">
        <v>120.96827132350664</v>
      </c>
      <c r="Z173" s="247">
        <v>117275.10999999999</v>
      </c>
    </row>
    <row r="174" spans="1:26" ht="12.75" x14ac:dyDescent="0.2">
      <c r="A174" s="269">
        <v>465</v>
      </c>
      <c r="B174" s="269">
        <v>1</v>
      </c>
      <c r="C174" s="270" t="s">
        <v>358</v>
      </c>
      <c r="D174" s="271">
        <v>5</v>
      </c>
      <c r="E174" s="248">
        <v>1727.96</v>
      </c>
      <c r="F174" s="247">
        <v>272997.45400000003</v>
      </c>
      <c r="G174" s="247">
        <v>118695</v>
      </c>
      <c r="H174" s="247">
        <v>416785.3</v>
      </c>
      <c r="I174" s="247">
        <v>0</v>
      </c>
      <c r="J174" s="247">
        <v>0</v>
      </c>
      <c r="K174" s="247">
        <v>0</v>
      </c>
      <c r="L174" s="247">
        <v>0</v>
      </c>
      <c r="M174" s="247">
        <v>391692.45400000003</v>
      </c>
      <c r="N174" s="247">
        <v>416785.3</v>
      </c>
      <c r="O174" s="172"/>
      <c r="P174" s="247">
        <v>157.98829486793676</v>
      </c>
      <c r="Q174" s="247">
        <v>68.690826176531857</v>
      </c>
      <c r="R174" s="247">
        <v>0</v>
      </c>
      <c r="S174" s="247">
        <v>0</v>
      </c>
      <c r="T174" s="248">
        <v>226.67912104446864</v>
      </c>
      <c r="U174" s="247">
        <v>241.2007801106507</v>
      </c>
      <c r="V174" s="247">
        <v>0</v>
      </c>
      <c r="W174" s="247">
        <v>0</v>
      </c>
      <c r="X174" s="247">
        <v>241.2007801106507</v>
      </c>
      <c r="Y174" s="247">
        <v>14.521659066182066</v>
      </c>
      <c r="Z174" s="247">
        <v>25092.845999999961</v>
      </c>
    </row>
    <row r="175" spans="1:26" ht="12.75" x14ac:dyDescent="0.2">
      <c r="A175" s="269">
        <v>466</v>
      </c>
      <c r="B175" s="269">
        <v>1</v>
      </c>
      <c r="C175" s="270" t="s">
        <v>460</v>
      </c>
      <c r="D175" s="271">
        <v>4</v>
      </c>
      <c r="E175" s="248">
        <v>2252.15</v>
      </c>
      <c r="F175" s="247">
        <v>133902.766</v>
      </c>
      <c r="G175" s="247">
        <v>155626.80000000002</v>
      </c>
      <c r="H175" s="247">
        <v>546565.1</v>
      </c>
      <c r="I175" s="247">
        <v>0</v>
      </c>
      <c r="J175" s="247">
        <v>0</v>
      </c>
      <c r="K175" s="247">
        <v>0</v>
      </c>
      <c r="L175" s="247">
        <v>0</v>
      </c>
      <c r="M175" s="247">
        <v>289529.56599999999</v>
      </c>
      <c r="N175" s="247">
        <v>546565.1</v>
      </c>
      <c r="O175" s="172"/>
      <c r="P175" s="247">
        <v>59.455527384943274</v>
      </c>
      <c r="Q175" s="247">
        <v>69.101436405212809</v>
      </c>
      <c r="R175" s="247">
        <v>0</v>
      </c>
      <c r="S175" s="247">
        <v>0</v>
      </c>
      <c r="T175" s="248">
        <v>128.55696379015606</v>
      </c>
      <c r="U175" s="247">
        <v>242.68592234087424</v>
      </c>
      <c r="V175" s="247">
        <v>0</v>
      </c>
      <c r="W175" s="247">
        <v>0</v>
      </c>
      <c r="X175" s="247">
        <v>242.68592234087424</v>
      </c>
      <c r="Y175" s="247">
        <v>114.1289585507182</v>
      </c>
      <c r="Z175" s="247">
        <v>257035.53399999999</v>
      </c>
    </row>
    <row r="176" spans="1:26" ht="12.75" x14ac:dyDescent="0.2">
      <c r="A176" s="269">
        <v>473</v>
      </c>
      <c r="B176" s="269">
        <v>1</v>
      </c>
      <c r="C176" s="270" t="s">
        <v>483</v>
      </c>
      <c r="D176" s="271">
        <v>6</v>
      </c>
      <c r="E176" s="248">
        <v>498.32</v>
      </c>
      <c r="F176" s="247">
        <v>28420.273999999998</v>
      </c>
      <c r="G176" s="247">
        <v>27312.828000000001</v>
      </c>
      <c r="H176" s="247">
        <v>95775.887000000002</v>
      </c>
      <c r="I176" s="247">
        <v>0</v>
      </c>
      <c r="J176" s="247">
        <v>0</v>
      </c>
      <c r="K176" s="247">
        <v>0</v>
      </c>
      <c r="L176" s="247">
        <v>0</v>
      </c>
      <c r="M176" s="247">
        <v>55733.101999999999</v>
      </c>
      <c r="N176" s="247">
        <v>95775.887000000002</v>
      </c>
      <c r="O176" s="172"/>
      <c r="P176" s="247">
        <v>57.032176111735424</v>
      </c>
      <c r="Q176" s="247">
        <v>54.809816985069837</v>
      </c>
      <c r="R176" s="247">
        <v>0</v>
      </c>
      <c r="S176" s="247">
        <v>0</v>
      </c>
      <c r="T176" s="248">
        <v>111.84199309680527</v>
      </c>
      <c r="U176" s="247">
        <v>192.19755779418847</v>
      </c>
      <c r="V176" s="247">
        <v>0</v>
      </c>
      <c r="W176" s="247">
        <v>0</v>
      </c>
      <c r="X176" s="247">
        <v>192.19755779418847</v>
      </c>
      <c r="Y176" s="247">
        <v>80.355564697383215</v>
      </c>
      <c r="Z176" s="247">
        <v>40042.785000000003</v>
      </c>
    </row>
    <row r="177" spans="1:26" ht="12.75" x14ac:dyDescent="0.2">
      <c r="A177" s="269">
        <v>477</v>
      </c>
      <c r="B177" s="269">
        <v>1</v>
      </c>
      <c r="C177" s="270" t="s">
        <v>485</v>
      </c>
      <c r="D177" s="271">
        <v>4</v>
      </c>
      <c r="E177" s="248">
        <v>3368.39</v>
      </c>
      <c r="F177" s="247">
        <v>257990.07</v>
      </c>
      <c r="G177" s="247">
        <v>209491.50342857145</v>
      </c>
      <c r="H177" s="247">
        <v>737216.43714285723</v>
      </c>
      <c r="I177" s="247">
        <v>0</v>
      </c>
      <c r="J177" s="247">
        <v>503411</v>
      </c>
      <c r="K177" s="247">
        <v>0</v>
      </c>
      <c r="L177" s="247">
        <v>503411</v>
      </c>
      <c r="M177" s="247">
        <v>970892.57342857146</v>
      </c>
      <c r="N177" s="247">
        <v>1240627.4371428574</v>
      </c>
      <c r="O177" s="172"/>
      <c r="P177" s="247">
        <v>76.591508109215383</v>
      </c>
      <c r="Q177" s="247">
        <v>62.193363425426227</v>
      </c>
      <c r="R177" s="247">
        <v>0</v>
      </c>
      <c r="S177" s="247">
        <v>149.45151838118508</v>
      </c>
      <c r="T177" s="248">
        <v>288.23638991582669</v>
      </c>
      <c r="U177" s="247">
        <v>218.86314742142605</v>
      </c>
      <c r="V177" s="247">
        <v>0</v>
      </c>
      <c r="W177" s="247">
        <v>149.45151838118508</v>
      </c>
      <c r="X177" s="247">
        <v>368.31466580261116</v>
      </c>
      <c r="Y177" s="247">
        <v>80.078275886784454</v>
      </c>
      <c r="Z177" s="247">
        <v>269734.86371428589</v>
      </c>
    </row>
    <row r="178" spans="1:26" ht="12.75" x14ac:dyDescent="0.2">
      <c r="A178" s="269">
        <v>480</v>
      </c>
      <c r="B178" s="269">
        <v>1</v>
      </c>
      <c r="C178" s="270" t="s">
        <v>486</v>
      </c>
      <c r="D178" s="271">
        <v>6</v>
      </c>
      <c r="E178" s="248">
        <v>665</v>
      </c>
      <c r="F178" s="247">
        <v>35949.955999999998</v>
      </c>
      <c r="G178" s="247">
        <v>38752.477200000001</v>
      </c>
      <c r="H178" s="247">
        <v>136240.15500000003</v>
      </c>
      <c r="I178" s="247">
        <v>236434.57599999997</v>
      </c>
      <c r="J178" s="247">
        <v>0</v>
      </c>
      <c r="K178" s="247">
        <v>236434.57599999997</v>
      </c>
      <c r="L178" s="247">
        <v>0</v>
      </c>
      <c r="M178" s="247">
        <v>311137.00919999997</v>
      </c>
      <c r="N178" s="247">
        <v>372674.73100000003</v>
      </c>
      <c r="O178" s="172"/>
      <c r="P178" s="247">
        <v>54.060084210526313</v>
      </c>
      <c r="Q178" s="247">
        <v>58.274401804511278</v>
      </c>
      <c r="R178" s="247">
        <v>355.54071578947367</v>
      </c>
      <c r="S178" s="247">
        <v>0</v>
      </c>
      <c r="T178" s="248">
        <v>467.87520180451122</v>
      </c>
      <c r="U178" s="247">
        <v>204.87241353383462</v>
      </c>
      <c r="V178" s="247">
        <v>355.54071578947367</v>
      </c>
      <c r="W178" s="247">
        <v>0</v>
      </c>
      <c r="X178" s="247">
        <v>560.41312932330834</v>
      </c>
      <c r="Y178" s="247">
        <v>92.537927518797076</v>
      </c>
      <c r="Z178" s="247">
        <v>61537.721800000058</v>
      </c>
    </row>
    <row r="179" spans="1:26" ht="12.75" x14ac:dyDescent="0.2">
      <c r="A179" s="269">
        <v>482</v>
      </c>
      <c r="B179" s="269">
        <v>1</v>
      </c>
      <c r="C179" s="270" t="s">
        <v>487</v>
      </c>
      <c r="D179" s="271">
        <v>4</v>
      </c>
      <c r="E179" s="248">
        <v>2240.6</v>
      </c>
      <c r="F179" s="247">
        <v>205026.57199999999</v>
      </c>
      <c r="G179" s="247">
        <v>159309</v>
      </c>
      <c r="H179" s="247">
        <v>548950.19999999995</v>
      </c>
      <c r="I179" s="247">
        <v>64568.800000000003</v>
      </c>
      <c r="J179" s="247">
        <v>559418</v>
      </c>
      <c r="K179" s="247">
        <v>64568.800000000003</v>
      </c>
      <c r="L179" s="247">
        <v>559418</v>
      </c>
      <c r="M179" s="247">
        <v>988322.37199999997</v>
      </c>
      <c r="N179" s="247">
        <v>1172937</v>
      </c>
      <c r="O179" s="172"/>
      <c r="P179" s="247">
        <v>91.50520931893243</v>
      </c>
      <c r="Q179" s="247">
        <v>71.101044363117026</v>
      </c>
      <c r="R179" s="247">
        <v>28.817638132643044</v>
      </c>
      <c r="S179" s="247">
        <v>249.67330179416228</v>
      </c>
      <c r="T179" s="248">
        <v>441.09719360885475</v>
      </c>
      <c r="U179" s="247">
        <v>245.00142818887798</v>
      </c>
      <c r="V179" s="247">
        <v>28.817638132643044</v>
      </c>
      <c r="W179" s="247">
        <v>249.67330179416228</v>
      </c>
      <c r="X179" s="247">
        <v>523.49236811568335</v>
      </c>
      <c r="Y179" s="247">
        <v>82.395174506828539</v>
      </c>
      <c r="Z179" s="247">
        <v>184614.62800000003</v>
      </c>
    </row>
    <row r="180" spans="1:26" ht="12.75" x14ac:dyDescent="0.2">
      <c r="A180" s="269">
        <v>484</v>
      </c>
      <c r="B180" s="269">
        <v>1</v>
      </c>
      <c r="C180" s="270" t="s">
        <v>488</v>
      </c>
      <c r="D180" s="271">
        <v>5</v>
      </c>
      <c r="E180" s="248">
        <v>1087.54</v>
      </c>
      <c r="F180" s="247">
        <v>32184.95</v>
      </c>
      <c r="G180" s="247">
        <v>71835.803999999989</v>
      </c>
      <c r="H180" s="247">
        <v>252287.88977142857</v>
      </c>
      <c r="I180" s="247">
        <v>0</v>
      </c>
      <c r="J180" s="247">
        <v>0</v>
      </c>
      <c r="K180" s="247">
        <v>0</v>
      </c>
      <c r="L180" s="247">
        <v>0</v>
      </c>
      <c r="M180" s="247">
        <v>104020.75399999999</v>
      </c>
      <c r="N180" s="247">
        <v>252287.88977142857</v>
      </c>
      <c r="O180" s="172"/>
      <c r="P180" s="247">
        <v>29.594267797046548</v>
      </c>
      <c r="Q180" s="247">
        <v>66.053482170770721</v>
      </c>
      <c r="R180" s="247">
        <v>0</v>
      </c>
      <c r="S180" s="247">
        <v>0</v>
      </c>
      <c r="T180" s="248">
        <v>95.647749967817262</v>
      </c>
      <c r="U180" s="247">
        <v>231.98033154773947</v>
      </c>
      <c r="V180" s="247">
        <v>0</v>
      </c>
      <c r="W180" s="247">
        <v>0</v>
      </c>
      <c r="X180" s="247">
        <v>231.98033154773947</v>
      </c>
      <c r="Y180" s="247">
        <v>136.33258157992219</v>
      </c>
      <c r="Z180" s="247">
        <v>148267.13577142858</v>
      </c>
    </row>
    <row r="181" spans="1:26" ht="12.75" x14ac:dyDescent="0.2">
      <c r="A181" s="269">
        <v>485</v>
      </c>
      <c r="B181" s="269">
        <v>1</v>
      </c>
      <c r="C181" s="270" t="s">
        <v>490</v>
      </c>
      <c r="D181" s="271">
        <v>6</v>
      </c>
      <c r="E181" s="248">
        <v>850.49</v>
      </c>
      <c r="F181" s="247">
        <v>52347.262000000002</v>
      </c>
      <c r="G181" s="247">
        <v>54334.166400000002</v>
      </c>
      <c r="H181" s="247">
        <v>190552.54491428571</v>
      </c>
      <c r="I181" s="247">
        <v>0</v>
      </c>
      <c r="J181" s="247">
        <v>0</v>
      </c>
      <c r="K181" s="247">
        <v>0</v>
      </c>
      <c r="L181" s="247">
        <v>0</v>
      </c>
      <c r="M181" s="247">
        <v>106681.4284</v>
      </c>
      <c r="N181" s="247">
        <v>190552.54491428571</v>
      </c>
      <c r="O181" s="172"/>
      <c r="P181" s="247">
        <v>61.549532622370634</v>
      </c>
      <c r="Q181" s="247">
        <v>63.885720467024896</v>
      </c>
      <c r="R181" s="247">
        <v>0</v>
      </c>
      <c r="S181" s="247">
        <v>0</v>
      </c>
      <c r="T181" s="248">
        <v>125.43525308939553</v>
      </c>
      <c r="U181" s="247">
        <v>224.05030619323651</v>
      </c>
      <c r="V181" s="247">
        <v>0</v>
      </c>
      <c r="W181" s="247">
        <v>0</v>
      </c>
      <c r="X181" s="247">
        <v>224.05030619323651</v>
      </c>
      <c r="Y181" s="247">
        <v>98.615053103840964</v>
      </c>
      <c r="Z181" s="247">
        <v>83871.116514285706</v>
      </c>
    </row>
    <row r="182" spans="1:26" ht="12.75" x14ac:dyDescent="0.2">
      <c r="A182" s="269">
        <v>486</v>
      </c>
      <c r="B182" s="269">
        <v>1</v>
      </c>
      <c r="C182" s="270" t="s">
        <v>492</v>
      </c>
      <c r="D182" s="271">
        <v>6</v>
      </c>
      <c r="E182" s="248">
        <v>291.75</v>
      </c>
      <c r="F182" s="247">
        <v>14432.268</v>
      </c>
      <c r="G182" s="247">
        <v>20234.167200000004</v>
      </c>
      <c r="H182" s="247">
        <v>68846.277199999997</v>
      </c>
      <c r="I182" s="247">
        <v>0</v>
      </c>
      <c r="J182" s="247">
        <v>0</v>
      </c>
      <c r="K182" s="247">
        <v>0</v>
      </c>
      <c r="L182" s="247">
        <v>0</v>
      </c>
      <c r="M182" s="247">
        <v>34666.435200000007</v>
      </c>
      <c r="N182" s="247">
        <v>68846.277199999997</v>
      </c>
      <c r="O182" s="172"/>
      <c r="P182" s="247">
        <v>49.467928020565552</v>
      </c>
      <c r="Q182" s="247">
        <v>69.354471979434464</v>
      </c>
      <c r="R182" s="247">
        <v>0</v>
      </c>
      <c r="S182" s="247">
        <v>0</v>
      </c>
      <c r="T182" s="248">
        <v>118.82240000000003</v>
      </c>
      <c r="U182" s="247">
        <v>235.97695698371894</v>
      </c>
      <c r="V182" s="247">
        <v>0</v>
      </c>
      <c r="W182" s="247">
        <v>0</v>
      </c>
      <c r="X182" s="247">
        <v>235.97695698371894</v>
      </c>
      <c r="Y182" s="247">
        <v>117.1545569837189</v>
      </c>
      <c r="Z182" s="247">
        <v>34179.84199999999</v>
      </c>
    </row>
    <row r="183" spans="1:26" ht="12.75" x14ac:dyDescent="0.2">
      <c r="A183" s="269">
        <v>487</v>
      </c>
      <c r="B183" s="269">
        <v>1</v>
      </c>
      <c r="C183" s="270" t="s">
        <v>482</v>
      </c>
      <c r="D183" s="271">
        <v>6</v>
      </c>
      <c r="E183" s="248">
        <v>360.31</v>
      </c>
      <c r="F183" s="247">
        <v>18440.756000000001</v>
      </c>
      <c r="G183" s="247">
        <v>19108.782857142858</v>
      </c>
      <c r="H183" s="247">
        <v>65306.344571428577</v>
      </c>
      <c r="I183" s="247">
        <v>0</v>
      </c>
      <c r="J183" s="247">
        <v>0</v>
      </c>
      <c r="K183" s="247">
        <v>0</v>
      </c>
      <c r="L183" s="247">
        <v>0</v>
      </c>
      <c r="M183" s="247">
        <v>37549.538857142863</v>
      </c>
      <c r="N183" s="247">
        <v>65306.344571428577</v>
      </c>
      <c r="O183" s="172"/>
      <c r="P183" s="247">
        <v>51.180250339985015</v>
      </c>
      <c r="Q183" s="247">
        <v>53.034283969756203</v>
      </c>
      <c r="R183" s="247">
        <v>0</v>
      </c>
      <c r="S183" s="247">
        <v>0</v>
      </c>
      <c r="T183" s="248">
        <v>104.21453430974123</v>
      </c>
      <c r="U183" s="247">
        <v>181.25043593413611</v>
      </c>
      <c r="V183" s="247">
        <v>0</v>
      </c>
      <c r="W183" s="247">
        <v>0</v>
      </c>
      <c r="X183" s="247">
        <v>181.25043593413611</v>
      </c>
      <c r="Y183" s="247">
        <v>77.035901624394867</v>
      </c>
      <c r="Z183" s="247">
        <v>27756.805714285714</v>
      </c>
    </row>
    <row r="184" spans="1:26" ht="12.75" x14ac:dyDescent="0.2">
      <c r="A184" s="269">
        <v>492</v>
      </c>
      <c r="B184" s="269">
        <v>1</v>
      </c>
      <c r="C184" s="270" t="s">
        <v>494</v>
      </c>
      <c r="D184" s="271">
        <v>4</v>
      </c>
      <c r="E184" s="248">
        <v>4546.1399999999994</v>
      </c>
      <c r="F184" s="247">
        <v>347528.228</v>
      </c>
      <c r="G184" s="247">
        <v>310345.2</v>
      </c>
      <c r="H184" s="247">
        <v>1089924</v>
      </c>
      <c r="I184" s="247">
        <v>0</v>
      </c>
      <c r="J184" s="247">
        <v>888354</v>
      </c>
      <c r="K184" s="247">
        <v>0</v>
      </c>
      <c r="L184" s="247">
        <v>888354</v>
      </c>
      <c r="M184" s="247">
        <v>1546227.4280000001</v>
      </c>
      <c r="N184" s="247">
        <v>1978278</v>
      </c>
      <c r="O184" s="172"/>
      <c r="P184" s="247">
        <v>76.444682301908884</v>
      </c>
      <c r="Q184" s="247">
        <v>68.265649540049367</v>
      </c>
      <c r="R184" s="247">
        <v>0</v>
      </c>
      <c r="S184" s="247">
        <v>195.40841241140839</v>
      </c>
      <c r="T184" s="248">
        <v>340.11874425336663</v>
      </c>
      <c r="U184" s="247">
        <v>239.74712613337911</v>
      </c>
      <c r="V184" s="247">
        <v>0</v>
      </c>
      <c r="W184" s="247">
        <v>195.40841241140839</v>
      </c>
      <c r="X184" s="247">
        <v>435.15553854478748</v>
      </c>
      <c r="Y184" s="247">
        <v>95.036794291420847</v>
      </c>
      <c r="Z184" s="247">
        <v>432050.57199999993</v>
      </c>
    </row>
    <row r="185" spans="1:26" ht="12.75" x14ac:dyDescent="0.2">
      <c r="A185" s="269">
        <v>495</v>
      </c>
      <c r="B185" s="269">
        <v>1</v>
      </c>
      <c r="C185" s="270" t="s">
        <v>395</v>
      </c>
      <c r="D185" s="271">
        <v>6</v>
      </c>
      <c r="E185" s="248">
        <v>392.39</v>
      </c>
      <c r="F185" s="247">
        <v>42020.036</v>
      </c>
      <c r="G185" s="247">
        <v>8349.1885714285709</v>
      </c>
      <c r="H185" s="247">
        <v>50369.224571428567</v>
      </c>
      <c r="I185" s="247">
        <v>0</v>
      </c>
      <c r="J185" s="247">
        <v>0</v>
      </c>
      <c r="K185" s="247">
        <v>0</v>
      </c>
      <c r="L185" s="247">
        <v>0</v>
      </c>
      <c r="M185" s="247">
        <v>50369.224571428567</v>
      </c>
      <c r="N185" s="247">
        <v>50369.224571428567</v>
      </c>
      <c r="O185" s="172"/>
      <c r="P185" s="247">
        <v>107.08742832386147</v>
      </c>
      <c r="Q185" s="247">
        <v>21.277781216209821</v>
      </c>
      <c r="R185" s="247">
        <v>0</v>
      </c>
      <c r="S185" s="247">
        <v>0</v>
      </c>
      <c r="T185" s="248">
        <v>128.36520954007128</v>
      </c>
      <c r="U185" s="247">
        <v>128.36520954007128</v>
      </c>
      <c r="V185" s="247">
        <v>0</v>
      </c>
      <c r="W185" s="247">
        <v>0</v>
      </c>
      <c r="X185" s="247">
        <v>128.36520954007128</v>
      </c>
      <c r="Y185" s="247">
        <v>0</v>
      </c>
      <c r="Z185" s="247">
        <v>0</v>
      </c>
    </row>
    <row r="186" spans="1:26" ht="12.75" x14ac:dyDescent="0.2">
      <c r="A186" s="269">
        <v>497</v>
      </c>
      <c r="B186" s="269">
        <v>1</v>
      </c>
      <c r="C186" s="270" t="s">
        <v>426</v>
      </c>
      <c r="D186" s="271">
        <v>6</v>
      </c>
      <c r="E186" s="248">
        <v>230.04</v>
      </c>
      <c r="F186" s="247">
        <v>39612.959999999999</v>
      </c>
      <c r="G186" s="247">
        <v>3176.52</v>
      </c>
      <c r="H186" s="247">
        <v>42789.479999999996</v>
      </c>
      <c r="I186" s="247">
        <v>0</v>
      </c>
      <c r="J186" s="247">
        <v>0</v>
      </c>
      <c r="K186" s="247">
        <v>0</v>
      </c>
      <c r="L186" s="247">
        <v>0</v>
      </c>
      <c r="M186" s="247">
        <v>42789.479999999996</v>
      </c>
      <c r="N186" s="247">
        <v>42789.479999999996</v>
      </c>
      <c r="O186" s="172"/>
      <c r="P186" s="247">
        <v>172.20031298904539</v>
      </c>
      <c r="Q186" s="247">
        <v>13.808555033907147</v>
      </c>
      <c r="R186" s="247">
        <v>0</v>
      </c>
      <c r="S186" s="247">
        <v>0</v>
      </c>
      <c r="T186" s="248">
        <v>186.00886802295253</v>
      </c>
      <c r="U186" s="247">
        <v>186.00886802295253</v>
      </c>
      <c r="V186" s="247">
        <v>0</v>
      </c>
      <c r="W186" s="247">
        <v>0</v>
      </c>
      <c r="X186" s="247">
        <v>186.00886802295253</v>
      </c>
      <c r="Y186" s="247">
        <v>0</v>
      </c>
      <c r="Z186" s="247">
        <v>0</v>
      </c>
    </row>
    <row r="187" spans="1:26" ht="12.75" x14ac:dyDescent="0.2">
      <c r="A187" s="269">
        <v>499</v>
      </c>
      <c r="B187" s="269">
        <v>1</v>
      </c>
      <c r="C187" s="270" t="s">
        <v>496</v>
      </c>
      <c r="D187" s="271">
        <v>6</v>
      </c>
      <c r="E187" s="248">
        <v>291.14</v>
      </c>
      <c r="F187" s="247">
        <v>70949.423999999999</v>
      </c>
      <c r="G187" s="247">
        <v>20052</v>
      </c>
      <c r="H187" s="247">
        <v>91001.423999999999</v>
      </c>
      <c r="I187" s="247">
        <v>0</v>
      </c>
      <c r="J187" s="247">
        <v>0</v>
      </c>
      <c r="K187" s="247">
        <v>0</v>
      </c>
      <c r="L187" s="247">
        <v>0</v>
      </c>
      <c r="M187" s="247">
        <v>91001.423999999999</v>
      </c>
      <c r="N187" s="247">
        <v>91001.423999999999</v>
      </c>
      <c r="O187" s="172"/>
      <c r="P187" s="247">
        <v>243.69521192553412</v>
      </c>
      <c r="Q187" s="247">
        <v>68.874081198049055</v>
      </c>
      <c r="R187" s="247">
        <v>0</v>
      </c>
      <c r="S187" s="247">
        <v>0</v>
      </c>
      <c r="T187" s="248">
        <v>312.56929312358318</v>
      </c>
      <c r="U187" s="247">
        <v>312.56929312358318</v>
      </c>
      <c r="V187" s="247">
        <v>0</v>
      </c>
      <c r="W187" s="247">
        <v>0</v>
      </c>
      <c r="X187" s="247">
        <v>312.56929312358318</v>
      </c>
      <c r="Y187" s="247">
        <v>0</v>
      </c>
      <c r="Z187" s="247">
        <v>0</v>
      </c>
    </row>
    <row r="188" spans="1:26" ht="12.75" x14ac:dyDescent="0.2">
      <c r="A188" s="269">
        <v>500</v>
      </c>
      <c r="B188" s="269">
        <v>1</v>
      </c>
      <c r="C188" s="270" t="s">
        <v>497</v>
      </c>
      <c r="D188" s="271">
        <v>6</v>
      </c>
      <c r="E188" s="248">
        <v>484.37</v>
      </c>
      <c r="F188" s="247">
        <v>61225.248</v>
      </c>
      <c r="G188" s="247">
        <v>34529.4</v>
      </c>
      <c r="H188" s="247">
        <v>121366.39999999999</v>
      </c>
      <c r="I188" s="247">
        <v>0</v>
      </c>
      <c r="J188" s="247">
        <v>0</v>
      </c>
      <c r="K188" s="247">
        <v>0</v>
      </c>
      <c r="L188" s="247">
        <v>0</v>
      </c>
      <c r="M188" s="247">
        <v>95754.648000000001</v>
      </c>
      <c r="N188" s="247">
        <v>121366.39999999999</v>
      </c>
      <c r="O188" s="172"/>
      <c r="P188" s="247">
        <v>126.40181679294754</v>
      </c>
      <c r="Q188" s="247">
        <v>71.287239094080974</v>
      </c>
      <c r="R188" s="247">
        <v>0</v>
      </c>
      <c r="S188" s="247">
        <v>0</v>
      </c>
      <c r="T188" s="248">
        <v>197.6890558870285</v>
      </c>
      <c r="U188" s="247">
        <v>250.56547680492184</v>
      </c>
      <c r="V188" s="247">
        <v>0</v>
      </c>
      <c r="W188" s="247">
        <v>0</v>
      </c>
      <c r="X188" s="247">
        <v>250.56547680492184</v>
      </c>
      <c r="Y188" s="247">
        <v>52.876420917893334</v>
      </c>
      <c r="Z188" s="247">
        <v>25611.751999999993</v>
      </c>
    </row>
    <row r="189" spans="1:26" ht="12.75" x14ac:dyDescent="0.2">
      <c r="A189" s="269">
        <v>505</v>
      </c>
      <c r="B189" s="269">
        <v>1</v>
      </c>
      <c r="C189" s="270" t="s">
        <v>498</v>
      </c>
      <c r="D189" s="271">
        <v>6</v>
      </c>
      <c r="E189" s="248">
        <v>300.13</v>
      </c>
      <c r="F189" s="247">
        <v>22225.954000000005</v>
      </c>
      <c r="G189" s="247">
        <v>21791.4</v>
      </c>
      <c r="H189" s="247">
        <v>74848.900000000009</v>
      </c>
      <c r="I189" s="247">
        <v>0</v>
      </c>
      <c r="J189" s="247">
        <v>0</v>
      </c>
      <c r="K189" s="247">
        <v>0</v>
      </c>
      <c r="L189" s="247">
        <v>0</v>
      </c>
      <c r="M189" s="247">
        <v>44017.354000000007</v>
      </c>
      <c r="N189" s="247">
        <v>74848.900000000009</v>
      </c>
      <c r="O189" s="172"/>
      <c r="P189" s="247">
        <v>74.054423083330576</v>
      </c>
      <c r="Q189" s="247">
        <v>72.606537167227543</v>
      </c>
      <c r="R189" s="247">
        <v>0</v>
      </c>
      <c r="S189" s="247">
        <v>0</v>
      </c>
      <c r="T189" s="248">
        <v>146.66096025055811</v>
      </c>
      <c r="U189" s="247">
        <v>249.3882650851298</v>
      </c>
      <c r="V189" s="247">
        <v>0</v>
      </c>
      <c r="W189" s="247">
        <v>0</v>
      </c>
      <c r="X189" s="247">
        <v>249.3882650851298</v>
      </c>
      <c r="Y189" s="247">
        <v>102.7273048345717</v>
      </c>
      <c r="Z189" s="247">
        <v>30831.546000000002</v>
      </c>
    </row>
    <row r="190" spans="1:26" ht="12.75" x14ac:dyDescent="0.2">
      <c r="A190" s="269">
        <v>507</v>
      </c>
      <c r="B190" s="269">
        <v>1</v>
      </c>
      <c r="C190" s="270" t="s">
        <v>380</v>
      </c>
      <c r="D190" s="271">
        <v>6</v>
      </c>
      <c r="E190" s="248">
        <v>326.24</v>
      </c>
      <c r="F190" s="247">
        <v>15606.352000000003</v>
      </c>
      <c r="G190" s="247">
        <v>12662.816914285715</v>
      </c>
      <c r="H190" s="247">
        <v>43723.633485714287</v>
      </c>
      <c r="I190" s="247">
        <v>0</v>
      </c>
      <c r="J190" s="247">
        <v>0</v>
      </c>
      <c r="K190" s="247">
        <v>0</v>
      </c>
      <c r="L190" s="247">
        <v>0</v>
      </c>
      <c r="M190" s="247">
        <v>28269.168914285718</v>
      </c>
      <c r="N190" s="247">
        <v>43723.633485714287</v>
      </c>
      <c r="O190" s="172"/>
      <c r="P190" s="247">
        <v>47.837027954879851</v>
      </c>
      <c r="Q190" s="247">
        <v>38.814421635255378</v>
      </c>
      <c r="R190" s="247">
        <v>0</v>
      </c>
      <c r="S190" s="247">
        <v>0</v>
      </c>
      <c r="T190" s="248">
        <v>86.651449590135229</v>
      </c>
      <c r="U190" s="247">
        <v>134.02290793806489</v>
      </c>
      <c r="V190" s="247">
        <v>0</v>
      </c>
      <c r="W190" s="247">
        <v>0</v>
      </c>
      <c r="X190" s="247">
        <v>134.02290793806489</v>
      </c>
      <c r="Y190" s="247">
        <v>47.371458347929646</v>
      </c>
      <c r="Z190" s="247">
        <v>15454.464571428569</v>
      </c>
    </row>
    <row r="191" spans="1:26" ht="12.75" x14ac:dyDescent="0.2">
      <c r="A191" s="269">
        <v>508</v>
      </c>
      <c r="B191" s="269">
        <v>1</v>
      </c>
      <c r="C191" s="270" t="s">
        <v>501</v>
      </c>
      <c r="D191" s="271">
        <v>5</v>
      </c>
      <c r="E191" s="248">
        <v>1942.3000000000002</v>
      </c>
      <c r="F191" s="247">
        <v>110968.54</v>
      </c>
      <c r="G191" s="247">
        <v>134055.6</v>
      </c>
      <c r="H191" s="247">
        <v>470830.69999999995</v>
      </c>
      <c r="I191" s="247">
        <v>0</v>
      </c>
      <c r="J191" s="247">
        <v>146027</v>
      </c>
      <c r="K191" s="247">
        <v>0</v>
      </c>
      <c r="L191" s="247">
        <v>146027</v>
      </c>
      <c r="M191" s="247">
        <v>391051.14</v>
      </c>
      <c r="N191" s="247">
        <v>616857.69999999995</v>
      </c>
      <c r="O191" s="172"/>
      <c r="P191" s="247">
        <v>57.132543891262927</v>
      </c>
      <c r="Q191" s="247">
        <v>69.018998095041951</v>
      </c>
      <c r="R191" s="247">
        <v>0</v>
      </c>
      <c r="S191" s="247">
        <v>75.182515574319098</v>
      </c>
      <c r="T191" s="248">
        <v>201.33405756062399</v>
      </c>
      <c r="U191" s="247">
        <v>242.40884518354522</v>
      </c>
      <c r="V191" s="247">
        <v>0</v>
      </c>
      <c r="W191" s="247">
        <v>75.182515574319098</v>
      </c>
      <c r="X191" s="247">
        <v>317.59136075786432</v>
      </c>
      <c r="Y191" s="247">
        <v>116.25730319724035</v>
      </c>
      <c r="Z191" s="247">
        <v>225806.55999999994</v>
      </c>
    </row>
    <row r="192" spans="1:26" ht="12.75" x14ac:dyDescent="0.2">
      <c r="A192" s="269">
        <v>511</v>
      </c>
      <c r="B192" s="269">
        <v>1</v>
      </c>
      <c r="C192" s="270" t="s">
        <v>375</v>
      </c>
      <c r="D192" s="271">
        <v>6</v>
      </c>
      <c r="E192" s="248">
        <v>628.36</v>
      </c>
      <c r="F192" s="247">
        <v>25098.955999999998</v>
      </c>
      <c r="G192" s="247">
        <v>42982.765714285721</v>
      </c>
      <c r="H192" s="247">
        <v>151015.84457142861</v>
      </c>
      <c r="I192" s="247">
        <v>0</v>
      </c>
      <c r="J192" s="247">
        <v>0</v>
      </c>
      <c r="K192" s="247">
        <v>0</v>
      </c>
      <c r="L192" s="247">
        <v>0</v>
      </c>
      <c r="M192" s="247">
        <v>68081.721714285726</v>
      </c>
      <c r="N192" s="247">
        <v>151015.84457142861</v>
      </c>
      <c r="O192" s="172"/>
      <c r="P192" s="247">
        <v>39.943592844865996</v>
      </c>
      <c r="Q192" s="247">
        <v>68.404681574711503</v>
      </c>
      <c r="R192" s="247">
        <v>0</v>
      </c>
      <c r="S192" s="247">
        <v>0</v>
      </c>
      <c r="T192" s="248">
        <v>108.34827441957751</v>
      </c>
      <c r="U192" s="247">
        <v>240.33331938924917</v>
      </c>
      <c r="V192" s="247">
        <v>0</v>
      </c>
      <c r="W192" s="247">
        <v>0</v>
      </c>
      <c r="X192" s="247">
        <v>240.33331938924917</v>
      </c>
      <c r="Y192" s="247">
        <v>131.98504496967166</v>
      </c>
      <c r="Z192" s="247">
        <v>82934.12285714288</v>
      </c>
    </row>
    <row r="193" spans="1:26" ht="12.75" x14ac:dyDescent="0.2">
      <c r="A193" s="269">
        <v>513</v>
      </c>
      <c r="B193" s="269">
        <v>1</v>
      </c>
      <c r="C193" s="270" t="s">
        <v>504</v>
      </c>
      <c r="D193" s="271">
        <v>6</v>
      </c>
      <c r="E193" s="248">
        <v>191.21</v>
      </c>
      <c r="F193" s="247">
        <v>21816.092000000001</v>
      </c>
      <c r="G193" s="247">
        <v>12793.8</v>
      </c>
      <c r="H193" s="247">
        <v>44896</v>
      </c>
      <c r="I193" s="247">
        <v>0</v>
      </c>
      <c r="J193" s="247">
        <v>0</v>
      </c>
      <c r="K193" s="247">
        <v>0</v>
      </c>
      <c r="L193" s="247">
        <v>0</v>
      </c>
      <c r="M193" s="247">
        <v>34609.892</v>
      </c>
      <c r="N193" s="247">
        <v>44896</v>
      </c>
      <c r="O193" s="172"/>
      <c r="P193" s="247">
        <v>114.09493227341666</v>
      </c>
      <c r="Q193" s="247">
        <v>66.909680456043091</v>
      </c>
      <c r="R193" s="247">
        <v>0</v>
      </c>
      <c r="S193" s="247">
        <v>0</v>
      </c>
      <c r="T193" s="248">
        <v>181.00461272945975</v>
      </c>
      <c r="U193" s="247">
        <v>234.79943517598451</v>
      </c>
      <c r="V193" s="247">
        <v>0</v>
      </c>
      <c r="W193" s="247">
        <v>0</v>
      </c>
      <c r="X193" s="247">
        <v>234.79943517598451</v>
      </c>
      <c r="Y193" s="247">
        <v>53.794822446524762</v>
      </c>
      <c r="Z193" s="247">
        <v>10286.108</v>
      </c>
    </row>
    <row r="194" spans="1:26" ht="12.75" x14ac:dyDescent="0.2">
      <c r="A194" s="269">
        <v>514</v>
      </c>
      <c r="B194" s="269">
        <v>1</v>
      </c>
      <c r="C194" s="270" t="s">
        <v>506</v>
      </c>
      <c r="D194" s="271">
        <v>6</v>
      </c>
      <c r="E194" s="248">
        <v>154.56</v>
      </c>
      <c r="F194" s="247">
        <v>7000.0380000000005</v>
      </c>
      <c r="G194" s="247">
        <v>11265</v>
      </c>
      <c r="H194" s="247">
        <v>39024.1</v>
      </c>
      <c r="I194" s="247">
        <v>0</v>
      </c>
      <c r="J194" s="247">
        <v>0</v>
      </c>
      <c r="K194" s="247">
        <v>0</v>
      </c>
      <c r="L194" s="247">
        <v>0</v>
      </c>
      <c r="M194" s="247">
        <v>18265.038</v>
      </c>
      <c r="N194" s="247">
        <v>39024.1</v>
      </c>
      <c r="O194" s="172"/>
      <c r="P194" s="247">
        <v>45.290100931677024</v>
      </c>
      <c r="Q194" s="247">
        <v>72.884316770186331</v>
      </c>
      <c r="R194" s="247">
        <v>0</v>
      </c>
      <c r="S194" s="247">
        <v>0</v>
      </c>
      <c r="T194" s="248">
        <v>118.17441770186336</v>
      </c>
      <c r="U194" s="247">
        <v>252.48511904761904</v>
      </c>
      <c r="V194" s="247">
        <v>0</v>
      </c>
      <c r="W194" s="247">
        <v>0</v>
      </c>
      <c r="X194" s="247">
        <v>252.48511904761904</v>
      </c>
      <c r="Y194" s="247">
        <v>134.31070134575569</v>
      </c>
      <c r="Z194" s="247">
        <v>20759.061999999998</v>
      </c>
    </row>
    <row r="195" spans="1:26" ht="12.75" x14ac:dyDescent="0.2">
      <c r="A195" s="269">
        <v>516</v>
      </c>
      <c r="B195" s="269">
        <v>1</v>
      </c>
      <c r="C195" s="270" t="s">
        <v>508</v>
      </c>
      <c r="D195" s="271">
        <v>6</v>
      </c>
      <c r="E195" s="248">
        <v>93.1</v>
      </c>
      <c r="F195" s="247">
        <v>28038.991999999998</v>
      </c>
      <c r="G195" s="247">
        <v>6597</v>
      </c>
      <c r="H195" s="247">
        <v>34635.991999999998</v>
      </c>
      <c r="I195" s="247">
        <v>0</v>
      </c>
      <c r="J195" s="247">
        <v>0</v>
      </c>
      <c r="K195" s="247">
        <v>0</v>
      </c>
      <c r="L195" s="247">
        <v>0</v>
      </c>
      <c r="M195" s="247">
        <v>34635.991999999998</v>
      </c>
      <c r="N195" s="247">
        <v>34635.991999999998</v>
      </c>
      <c r="O195" s="172"/>
      <c r="P195" s="247">
        <v>301.17069817400642</v>
      </c>
      <c r="Q195" s="247">
        <v>70.859291084855002</v>
      </c>
      <c r="R195" s="247">
        <v>0</v>
      </c>
      <c r="S195" s="247">
        <v>0</v>
      </c>
      <c r="T195" s="248">
        <v>372.02998925886146</v>
      </c>
      <c r="U195" s="247">
        <v>372.02998925886146</v>
      </c>
      <c r="V195" s="247">
        <v>0</v>
      </c>
      <c r="W195" s="247">
        <v>0</v>
      </c>
      <c r="X195" s="247">
        <v>372.02998925886146</v>
      </c>
      <c r="Y195" s="247">
        <v>0</v>
      </c>
      <c r="Z195" s="247">
        <v>0</v>
      </c>
    </row>
    <row r="196" spans="1:26" ht="12.75" x14ac:dyDescent="0.2">
      <c r="A196" s="269">
        <v>518</v>
      </c>
      <c r="B196" s="269">
        <v>1</v>
      </c>
      <c r="C196" s="270" t="s">
        <v>510</v>
      </c>
      <c r="D196" s="271">
        <v>4</v>
      </c>
      <c r="E196" s="248">
        <v>2755.85</v>
      </c>
      <c r="F196" s="247">
        <v>119643.93199999999</v>
      </c>
      <c r="G196" s="247">
        <v>172476.05280000003</v>
      </c>
      <c r="H196" s="247">
        <v>605521.13800000004</v>
      </c>
      <c r="I196" s="247">
        <v>0</v>
      </c>
      <c r="J196" s="247">
        <v>624399</v>
      </c>
      <c r="K196" s="247">
        <v>0</v>
      </c>
      <c r="L196" s="247">
        <v>624399</v>
      </c>
      <c r="M196" s="247">
        <v>916518.98479999998</v>
      </c>
      <c r="N196" s="247">
        <v>1229920.138</v>
      </c>
      <c r="O196" s="172"/>
      <c r="P196" s="247">
        <v>43.414529818386342</v>
      </c>
      <c r="Q196" s="247">
        <v>62.585428379628802</v>
      </c>
      <c r="R196" s="247">
        <v>0</v>
      </c>
      <c r="S196" s="247">
        <v>226.57220095433351</v>
      </c>
      <c r="T196" s="248">
        <v>332.57215915234866</v>
      </c>
      <c r="U196" s="247">
        <v>219.72209590507467</v>
      </c>
      <c r="V196" s="247">
        <v>0</v>
      </c>
      <c r="W196" s="247">
        <v>226.57220095433351</v>
      </c>
      <c r="X196" s="247">
        <v>446.29429685940818</v>
      </c>
      <c r="Y196" s="247">
        <v>113.72213770705956</v>
      </c>
      <c r="Z196" s="247">
        <v>313401.15320000006</v>
      </c>
    </row>
    <row r="197" spans="1:26" ht="12.75" x14ac:dyDescent="0.2">
      <c r="A197" s="269">
        <v>531</v>
      </c>
      <c r="B197" s="269">
        <v>1</v>
      </c>
      <c r="C197" s="270" t="s">
        <v>343</v>
      </c>
      <c r="D197" s="271">
        <v>5</v>
      </c>
      <c r="E197" s="248">
        <v>1856.88</v>
      </c>
      <c r="F197" s="247">
        <v>64731.675999999999</v>
      </c>
      <c r="G197" s="247">
        <v>92161.634742857146</v>
      </c>
      <c r="H197" s="247">
        <v>323760.7433142857</v>
      </c>
      <c r="I197" s="247">
        <v>0</v>
      </c>
      <c r="J197" s="247">
        <v>0</v>
      </c>
      <c r="K197" s="247">
        <v>0</v>
      </c>
      <c r="L197" s="247">
        <v>0</v>
      </c>
      <c r="M197" s="247">
        <v>156893.31074285714</v>
      </c>
      <c r="N197" s="247">
        <v>323760.7433142857</v>
      </c>
      <c r="O197" s="172"/>
      <c r="P197" s="247">
        <v>34.860451940890094</v>
      </c>
      <c r="Q197" s="247">
        <v>49.632520541368933</v>
      </c>
      <c r="R197" s="247">
        <v>0</v>
      </c>
      <c r="S197" s="247">
        <v>0</v>
      </c>
      <c r="T197" s="248">
        <v>84.49297248225902</v>
      </c>
      <c r="U197" s="247">
        <v>174.35738621466422</v>
      </c>
      <c r="V197" s="247">
        <v>0</v>
      </c>
      <c r="W197" s="247">
        <v>0</v>
      </c>
      <c r="X197" s="247">
        <v>174.35738621466422</v>
      </c>
      <c r="Y197" s="247">
        <v>89.864413732405197</v>
      </c>
      <c r="Z197" s="247">
        <v>166867.43257142857</v>
      </c>
    </row>
    <row r="198" spans="1:26" ht="12.75" x14ac:dyDescent="0.2">
      <c r="A198" s="269">
        <v>533</v>
      </c>
      <c r="B198" s="269">
        <v>1</v>
      </c>
      <c r="C198" s="270" t="s">
        <v>277</v>
      </c>
      <c r="D198" s="271">
        <v>5</v>
      </c>
      <c r="E198" s="248">
        <v>1257.6599999999999</v>
      </c>
      <c r="F198" s="247">
        <v>66697.978000000003</v>
      </c>
      <c r="G198" s="247">
        <v>84487.63885714284</v>
      </c>
      <c r="H198" s="247">
        <v>297266.65428571426</v>
      </c>
      <c r="I198" s="247">
        <v>0</v>
      </c>
      <c r="J198" s="247">
        <v>124950</v>
      </c>
      <c r="K198" s="247">
        <v>0</v>
      </c>
      <c r="L198" s="247">
        <v>124950</v>
      </c>
      <c r="M198" s="247">
        <v>276135.61685714283</v>
      </c>
      <c r="N198" s="247">
        <v>422216.65428571426</v>
      </c>
      <c r="O198" s="172"/>
      <c r="P198" s="247">
        <v>53.033393763020221</v>
      </c>
      <c r="Q198" s="247">
        <v>67.178441595616349</v>
      </c>
      <c r="R198" s="247">
        <v>0</v>
      </c>
      <c r="S198" s="247">
        <v>99.351175993511774</v>
      </c>
      <c r="T198" s="248">
        <v>219.56301135214832</v>
      </c>
      <c r="U198" s="247">
        <v>236.36487944731826</v>
      </c>
      <c r="V198" s="247">
        <v>0</v>
      </c>
      <c r="W198" s="247">
        <v>99.351175993511774</v>
      </c>
      <c r="X198" s="247">
        <v>335.71605544083002</v>
      </c>
      <c r="Y198" s="247">
        <v>116.15304408868172</v>
      </c>
      <c r="Z198" s="247">
        <v>146081.03742857144</v>
      </c>
    </row>
    <row r="199" spans="1:26" ht="12.75" x14ac:dyDescent="0.2">
      <c r="A199" s="269">
        <v>534</v>
      </c>
      <c r="B199" s="269">
        <v>1</v>
      </c>
      <c r="C199" s="270" t="s">
        <v>374</v>
      </c>
      <c r="D199" s="271">
        <v>5</v>
      </c>
      <c r="E199" s="248">
        <v>1953.73</v>
      </c>
      <c r="F199" s="247">
        <v>210098.58199999999</v>
      </c>
      <c r="G199" s="247">
        <v>134257.19999999998</v>
      </c>
      <c r="H199" s="247">
        <v>471700.1</v>
      </c>
      <c r="I199" s="247">
        <v>0</v>
      </c>
      <c r="J199" s="247">
        <v>385999</v>
      </c>
      <c r="K199" s="247">
        <v>0</v>
      </c>
      <c r="L199" s="247">
        <v>385999</v>
      </c>
      <c r="M199" s="247">
        <v>730354.78200000001</v>
      </c>
      <c r="N199" s="247">
        <v>857699.1</v>
      </c>
      <c r="O199" s="172"/>
      <c r="P199" s="247">
        <v>107.53716327230477</v>
      </c>
      <c r="Q199" s="247">
        <v>68.718400188357649</v>
      </c>
      <c r="R199" s="247">
        <v>0</v>
      </c>
      <c r="S199" s="247">
        <v>197.57028862739477</v>
      </c>
      <c r="T199" s="248">
        <v>373.82585208805722</v>
      </c>
      <c r="U199" s="247">
        <v>241.43566408869188</v>
      </c>
      <c r="V199" s="247">
        <v>0</v>
      </c>
      <c r="W199" s="247">
        <v>197.57028862739477</v>
      </c>
      <c r="X199" s="247">
        <v>439.00595271608665</v>
      </c>
      <c r="Y199" s="247">
        <v>65.18010062802945</v>
      </c>
      <c r="Z199" s="247">
        <v>127344.31799999997</v>
      </c>
    </row>
    <row r="200" spans="1:26" ht="12.75" x14ac:dyDescent="0.2">
      <c r="A200" s="269">
        <v>535</v>
      </c>
      <c r="B200" s="269">
        <v>1</v>
      </c>
      <c r="C200" s="270" t="s">
        <v>513</v>
      </c>
      <c r="D200" s="271">
        <v>4</v>
      </c>
      <c r="E200" s="248">
        <v>16278.99</v>
      </c>
      <c r="F200" s="247">
        <v>936161.60199999996</v>
      </c>
      <c r="G200" s="247">
        <v>0</v>
      </c>
      <c r="H200" s="247">
        <v>0</v>
      </c>
      <c r="I200" s="247">
        <v>6334771.3140000002</v>
      </c>
      <c r="J200" s="247">
        <v>3226362</v>
      </c>
      <c r="K200" s="247">
        <v>7270932.9160000002</v>
      </c>
      <c r="L200" s="247">
        <v>3226362</v>
      </c>
      <c r="M200" s="247">
        <v>10497294.916000001</v>
      </c>
      <c r="N200" s="247">
        <v>10497294.916000001</v>
      </c>
      <c r="O200" s="172"/>
      <c r="P200" s="247">
        <v>57.50735162316581</v>
      </c>
      <c r="Q200" s="247">
        <v>0</v>
      </c>
      <c r="R200" s="247">
        <v>389.13785892122303</v>
      </c>
      <c r="S200" s="247">
        <v>198.19177971114917</v>
      </c>
      <c r="T200" s="248">
        <v>644.83699025553801</v>
      </c>
      <c r="U200" s="247">
        <v>0</v>
      </c>
      <c r="V200" s="247">
        <v>446.64521054438882</v>
      </c>
      <c r="W200" s="247">
        <v>198.19177971114917</v>
      </c>
      <c r="X200" s="247">
        <v>644.83699025553801</v>
      </c>
      <c r="Y200" s="247">
        <v>0</v>
      </c>
      <c r="Z200" s="247">
        <v>0</v>
      </c>
    </row>
    <row r="201" spans="1:26" ht="12.75" x14ac:dyDescent="0.2">
      <c r="A201" s="269">
        <v>542</v>
      </c>
      <c r="B201" s="269">
        <v>1</v>
      </c>
      <c r="C201" s="270" t="s">
        <v>515</v>
      </c>
      <c r="D201" s="271">
        <v>6</v>
      </c>
      <c r="E201" s="248">
        <v>447.8</v>
      </c>
      <c r="F201" s="247">
        <v>29800.59</v>
      </c>
      <c r="G201" s="247">
        <v>24475.835999999999</v>
      </c>
      <c r="H201" s="247">
        <v>85792.553</v>
      </c>
      <c r="I201" s="247">
        <v>0</v>
      </c>
      <c r="J201" s="247">
        <v>0</v>
      </c>
      <c r="K201" s="247">
        <v>0</v>
      </c>
      <c r="L201" s="247">
        <v>0</v>
      </c>
      <c r="M201" s="247">
        <v>54276.425999999999</v>
      </c>
      <c r="N201" s="247">
        <v>85792.553</v>
      </c>
      <c r="O201" s="172"/>
      <c r="P201" s="247">
        <v>66.54888343010272</v>
      </c>
      <c r="Q201" s="247">
        <v>54.657963376507368</v>
      </c>
      <c r="R201" s="247">
        <v>0</v>
      </c>
      <c r="S201" s="247">
        <v>0</v>
      </c>
      <c r="T201" s="248">
        <v>121.20684680661009</v>
      </c>
      <c r="U201" s="247">
        <v>191.58676418043768</v>
      </c>
      <c r="V201" s="247">
        <v>0</v>
      </c>
      <c r="W201" s="247">
        <v>0</v>
      </c>
      <c r="X201" s="247">
        <v>191.58676418043768</v>
      </c>
      <c r="Y201" s="247">
        <v>70.379917373827595</v>
      </c>
      <c r="Z201" s="247">
        <v>31516.127</v>
      </c>
    </row>
    <row r="202" spans="1:26" ht="12.75" x14ac:dyDescent="0.2">
      <c r="A202" s="269">
        <v>544</v>
      </c>
      <c r="B202" s="269">
        <v>1</v>
      </c>
      <c r="C202" s="270" t="s">
        <v>505</v>
      </c>
      <c r="D202" s="271">
        <v>4</v>
      </c>
      <c r="E202" s="248">
        <v>2602.8099999999995</v>
      </c>
      <c r="F202" s="247">
        <v>342156.37199999997</v>
      </c>
      <c r="G202" s="247">
        <v>183684.59999999998</v>
      </c>
      <c r="H202" s="247">
        <v>647502.9</v>
      </c>
      <c r="I202" s="247">
        <v>0</v>
      </c>
      <c r="J202" s="247">
        <v>0</v>
      </c>
      <c r="K202" s="247">
        <v>0</v>
      </c>
      <c r="L202" s="247">
        <v>0</v>
      </c>
      <c r="M202" s="247">
        <v>525840.97199999995</v>
      </c>
      <c r="N202" s="247">
        <v>647502.9</v>
      </c>
      <c r="O202" s="172"/>
      <c r="P202" s="247">
        <v>131.45653044209914</v>
      </c>
      <c r="Q202" s="247">
        <v>70.571651407517265</v>
      </c>
      <c r="R202" s="247">
        <v>0</v>
      </c>
      <c r="S202" s="247">
        <v>0</v>
      </c>
      <c r="T202" s="248">
        <v>202.0281818496164</v>
      </c>
      <c r="U202" s="247">
        <v>248.77071319074392</v>
      </c>
      <c r="V202" s="247">
        <v>0</v>
      </c>
      <c r="W202" s="247">
        <v>0</v>
      </c>
      <c r="X202" s="247">
        <v>248.77071319074392</v>
      </c>
      <c r="Y202" s="247">
        <v>46.74253134112751</v>
      </c>
      <c r="Z202" s="247">
        <v>121661.92800000007</v>
      </c>
    </row>
    <row r="203" spans="1:26" ht="12.75" x14ac:dyDescent="0.2">
      <c r="A203" s="269">
        <v>545</v>
      </c>
      <c r="B203" s="269">
        <v>1</v>
      </c>
      <c r="C203" s="270" t="s">
        <v>467</v>
      </c>
      <c r="D203" s="271">
        <v>6</v>
      </c>
      <c r="E203" s="248">
        <v>378.34000000000003</v>
      </c>
      <c r="F203" s="247">
        <v>21727.593999999997</v>
      </c>
      <c r="G203" s="247">
        <v>25336.609200000003</v>
      </c>
      <c r="H203" s="247">
        <v>89321.429199999999</v>
      </c>
      <c r="I203" s="247">
        <v>0</v>
      </c>
      <c r="J203" s="247">
        <v>0</v>
      </c>
      <c r="K203" s="247">
        <v>0</v>
      </c>
      <c r="L203" s="247">
        <v>0</v>
      </c>
      <c r="M203" s="247">
        <v>47064.203200000004</v>
      </c>
      <c r="N203" s="247">
        <v>89321.429199999999</v>
      </c>
      <c r="O203" s="172"/>
      <c r="P203" s="247">
        <v>57.428751916265782</v>
      </c>
      <c r="Q203" s="247">
        <v>66.967831051435212</v>
      </c>
      <c r="R203" s="247">
        <v>0</v>
      </c>
      <c r="S203" s="247">
        <v>0</v>
      </c>
      <c r="T203" s="248">
        <v>124.39658296770101</v>
      </c>
      <c r="U203" s="247">
        <v>236.08772321192575</v>
      </c>
      <c r="V203" s="247">
        <v>0</v>
      </c>
      <c r="W203" s="247">
        <v>0</v>
      </c>
      <c r="X203" s="247">
        <v>236.08772321192575</v>
      </c>
      <c r="Y203" s="247">
        <v>111.69114024422475</v>
      </c>
      <c r="Z203" s="247">
        <v>42257.225999999995</v>
      </c>
    </row>
    <row r="204" spans="1:26" ht="12.75" x14ac:dyDescent="0.2">
      <c r="A204" s="269">
        <v>547</v>
      </c>
      <c r="B204" s="269">
        <v>1</v>
      </c>
      <c r="C204" s="270" t="s">
        <v>519</v>
      </c>
      <c r="D204" s="271">
        <v>6</v>
      </c>
      <c r="E204" s="248">
        <v>525.78</v>
      </c>
      <c r="F204" s="247">
        <v>37198.588000000003</v>
      </c>
      <c r="G204" s="247">
        <v>36909.599999999999</v>
      </c>
      <c r="H204" s="247">
        <v>129851.1</v>
      </c>
      <c r="I204" s="247">
        <v>0</v>
      </c>
      <c r="J204" s="247">
        <v>0</v>
      </c>
      <c r="K204" s="247">
        <v>0</v>
      </c>
      <c r="L204" s="247">
        <v>0</v>
      </c>
      <c r="M204" s="247">
        <v>74108.187999999995</v>
      </c>
      <c r="N204" s="247">
        <v>129851.1</v>
      </c>
      <c r="O204" s="172"/>
      <c r="P204" s="247">
        <v>70.749340028148666</v>
      </c>
      <c r="Q204" s="247">
        <v>70.199703297957328</v>
      </c>
      <c r="R204" s="247">
        <v>0</v>
      </c>
      <c r="S204" s="247">
        <v>0</v>
      </c>
      <c r="T204" s="248">
        <v>140.94904332610596</v>
      </c>
      <c r="U204" s="247">
        <v>246.96850393700791</v>
      </c>
      <c r="V204" s="247">
        <v>0</v>
      </c>
      <c r="W204" s="247">
        <v>0</v>
      </c>
      <c r="X204" s="247">
        <v>246.96850393700791</v>
      </c>
      <c r="Y204" s="247">
        <v>106.01946061090193</v>
      </c>
      <c r="Z204" s="247">
        <v>55742.912000000011</v>
      </c>
    </row>
    <row r="205" spans="1:26" ht="12.75" x14ac:dyDescent="0.2">
      <c r="A205" s="269">
        <v>548</v>
      </c>
      <c r="B205" s="269">
        <v>1</v>
      </c>
      <c r="C205" s="270" t="s">
        <v>511</v>
      </c>
      <c r="D205" s="271">
        <v>6</v>
      </c>
      <c r="E205" s="248">
        <v>903.46</v>
      </c>
      <c r="F205" s="247">
        <v>85697.486000000004</v>
      </c>
      <c r="G205" s="247">
        <v>62714.400000000001</v>
      </c>
      <c r="H205" s="247">
        <v>220632.1</v>
      </c>
      <c r="I205" s="247">
        <v>0</v>
      </c>
      <c r="J205" s="247">
        <v>206215</v>
      </c>
      <c r="K205" s="247">
        <v>0</v>
      </c>
      <c r="L205" s="247">
        <v>206215</v>
      </c>
      <c r="M205" s="247">
        <v>354626.886</v>
      </c>
      <c r="N205" s="247">
        <v>426847.1</v>
      </c>
      <c r="O205" s="172"/>
      <c r="P205" s="247">
        <v>94.854765014499819</v>
      </c>
      <c r="Q205" s="247">
        <v>69.415801474332014</v>
      </c>
      <c r="R205" s="247">
        <v>0</v>
      </c>
      <c r="S205" s="247">
        <v>228.25028224824561</v>
      </c>
      <c r="T205" s="248">
        <v>392.52084873707742</v>
      </c>
      <c r="U205" s="247">
        <v>244.20793394284195</v>
      </c>
      <c r="V205" s="247">
        <v>0</v>
      </c>
      <c r="W205" s="247">
        <v>228.25028224824561</v>
      </c>
      <c r="X205" s="247">
        <v>472.45821619108756</v>
      </c>
      <c r="Y205" s="247">
        <v>79.937367454010115</v>
      </c>
      <c r="Z205" s="247">
        <v>72220.213999999978</v>
      </c>
    </row>
    <row r="206" spans="1:26" ht="12.75" x14ac:dyDescent="0.2">
      <c r="A206" s="269">
        <v>549</v>
      </c>
      <c r="B206" s="269">
        <v>1</v>
      </c>
      <c r="C206" s="270" t="s">
        <v>522</v>
      </c>
      <c r="D206" s="271">
        <v>5</v>
      </c>
      <c r="E206" s="248">
        <v>1336.32</v>
      </c>
      <c r="F206" s="247">
        <v>50749.596000000005</v>
      </c>
      <c r="G206" s="247">
        <v>95144.4</v>
      </c>
      <c r="H206" s="247">
        <v>332630.60000000003</v>
      </c>
      <c r="I206" s="247">
        <v>0</v>
      </c>
      <c r="J206" s="247">
        <v>218820</v>
      </c>
      <c r="K206" s="247">
        <v>0</v>
      </c>
      <c r="L206" s="247">
        <v>218820</v>
      </c>
      <c r="M206" s="247">
        <v>364713.99599999998</v>
      </c>
      <c r="N206" s="247">
        <v>551450.60000000009</v>
      </c>
      <c r="O206" s="172"/>
      <c r="P206" s="247">
        <v>37.977128232758623</v>
      </c>
      <c r="Q206" s="247">
        <v>71.198814655172413</v>
      </c>
      <c r="R206" s="247">
        <v>0</v>
      </c>
      <c r="S206" s="247">
        <v>163.74820402298852</v>
      </c>
      <c r="T206" s="248">
        <v>272.92414691091955</v>
      </c>
      <c r="U206" s="247">
        <v>248.91537954980848</v>
      </c>
      <c r="V206" s="247">
        <v>0</v>
      </c>
      <c r="W206" s="247">
        <v>163.74820402298852</v>
      </c>
      <c r="X206" s="247">
        <v>412.66358357279705</v>
      </c>
      <c r="Y206" s="247">
        <v>139.73943666187748</v>
      </c>
      <c r="Z206" s="247">
        <v>186736.60400000011</v>
      </c>
    </row>
    <row r="207" spans="1:26" ht="12.75" x14ac:dyDescent="0.2">
      <c r="A207" s="269">
        <v>550</v>
      </c>
      <c r="B207" s="269">
        <v>1</v>
      </c>
      <c r="C207" s="270" t="s">
        <v>365</v>
      </c>
      <c r="D207" s="271">
        <v>6</v>
      </c>
      <c r="E207" s="248">
        <v>581.93999999999994</v>
      </c>
      <c r="F207" s="247">
        <v>22591.272000000001</v>
      </c>
      <c r="G207" s="247">
        <v>36535.356</v>
      </c>
      <c r="H207" s="247">
        <v>128414.175</v>
      </c>
      <c r="I207" s="247">
        <v>0</v>
      </c>
      <c r="J207" s="247">
        <v>0</v>
      </c>
      <c r="K207" s="247">
        <v>0</v>
      </c>
      <c r="L207" s="247">
        <v>0</v>
      </c>
      <c r="M207" s="247">
        <v>59126.627999999997</v>
      </c>
      <c r="N207" s="247">
        <v>128414.175</v>
      </c>
      <c r="O207" s="172"/>
      <c r="P207" s="247">
        <v>38.8206206825446</v>
      </c>
      <c r="Q207" s="247">
        <v>62.781998144138576</v>
      </c>
      <c r="R207" s="247">
        <v>0</v>
      </c>
      <c r="S207" s="247">
        <v>0</v>
      </c>
      <c r="T207" s="248">
        <v>101.60261882668317</v>
      </c>
      <c r="U207" s="247">
        <v>220.66566140839265</v>
      </c>
      <c r="V207" s="247">
        <v>0</v>
      </c>
      <c r="W207" s="247">
        <v>0</v>
      </c>
      <c r="X207" s="247">
        <v>220.66566140839265</v>
      </c>
      <c r="Y207" s="247">
        <v>119.06304258170948</v>
      </c>
      <c r="Z207" s="247">
        <v>69287.547000000006</v>
      </c>
    </row>
    <row r="208" spans="1:26" ht="12.75" x14ac:dyDescent="0.2">
      <c r="A208" s="269">
        <v>553</v>
      </c>
      <c r="B208" s="269">
        <v>1</v>
      </c>
      <c r="C208" s="270" t="s">
        <v>524</v>
      </c>
      <c r="D208" s="271">
        <v>6</v>
      </c>
      <c r="E208" s="248">
        <v>701.63</v>
      </c>
      <c r="F208" s="247">
        <v>57472.4</v>
      </c>
      <c r="G208" s="247">
        <v>37041.270857142852</v>
      </c>
      <c r="H208" s="247">
        <v>129858.47314285714</v>
      </c>
      <c r="I208" s="247">
        <v>0</v>
      </c>
      <c r="J208" s="247">
        <v>0</v>
      </c>
      <c r="K208" s="247">
        <v>0</v>
      </c>
      <c r="L208" s="247">
        <v>0</v>
      </c>
      <c r="M208" s="247">
        <v>94513.670857142861</v>
      </c>
      <c r="N208" s="247">
        <v>129858.47314285714</v>
      </c>
      <c r="O208" s="172"/>
      <c r="P208" s="247">
        <v>81.912689024129534</v>
      </c>
      <c r="Q208" s="247">
        <v>52.79316856055592</v>
      </c>
      <c r="R208" s="247">
        <v>0</v>
      </c>
      <c r="S208" s="247">
        <v>0</v>
      </c>
      <c r="T208" s="248">
        <v>134.70585758468548</v>
      </c>
      <c r="U208" s="247">
        <v>185.08112985883889</v>
      </c>
      <c r="V208" s="247">
        <v>0</v>
      </c>
      <c r="W208" s="247">
        <v>0</v>
      </c>
      <c r="X208" s="247">
        <v>185.08112985883889</v>
      </c>
      <c r="Y208" s="247">
        <v>50.375272274153438</v>
      </c>
      <c r="Z208" s="247">
        <v>35344.802285714279</v>
      </c>
    </row>
    <row r="209" spans="1:26" ht="12.75" x14ac:dyDescent="0.2">
      <c r="A209" s="269">
        <v>561</v>
      </c>
      <c r="B209" s="269">
        <v>1</v>
      </c>
      <c r="C209" s="270" t="s">
        <v>526</v>
      </c>
      <c r="D209" s="271">
        <v>6</v>
      </c>
      <c r="E209" s="248">
        <v>180.62</v>
      </c>
      <c r="F209" s="247">
        <v>7704.93</v>
      </c>
      <c r="G209" s="247">
        <v>12210</v>
      </c>
      <c r="H209" s="247">
        <v>42476.4</v>
      </c>
      <c r="I209" s="247">
        <v>0</v>
      </c>
      <c r="J209" s="247">
        <v>0</v>
      </c>
      <c r="K209" s="247">
        <v>0</v>
      </c>
      <c r="L209" s="247">
        <v>0</v>
      </c>
      <c r="M209" s="247">
        <v>19914.93</v>
      </c>
      <c r="N209" s="247">
        <v>42476.4</v>
      </c>
      <c r="O209" s="172"/>
      <c r="P209" s="247">
        <v>42.658232753847855</v>
      </c>
      <c r="Q209" s="247">
        <v>67.60048721071864</v>
      </c>
      <c r="R209" s="247">
        <v>0</v>
      </c>
      <c r="S209" s="247">
        <v>0</v>
      </c>
      <c r="T209" s="248">
        <v>110.2587199645665</v>
      </c>
      <c r="U209" s="247">
        <v>235.16997010297862</v>
      </c>
      <c r="V209" s="247">
        <v>0</v>
      </c>
      <c r="W209" s="247">
        <v>0</v>
      </c>
      <c r="X209" s="247">
        <v>235.16997010297862</v>
      </c>
      <c r="Y209" s="247">
        <v>124.91125013841214</v>
      </c>
      <c r="Z209" s="247">
        <v>22561.47</v>
      </c>
    </row>
    <row r="210" spans="1:26" ht="12.75" x14ac:dyDescent="0.2">
      <c r="A210" s="269">
        <v>564</v>
      </c>
      <c r="B210" s="269">
        <v>1</v>
      </c>
      <c r="C210" s="270" t="s">
        <v>416</v>
      </c>
      <c r="D210" s="271">
        <v>5</v>
      </c>
      <c r="E210" s="248">
        <v>1971.05</v>
      </c>
      <c r="F210" s="247">
        <v>157146.22800000003</v>
      </c>
      <c r="G210" s="247">
        <v>137149.79999999999</v>
      </c>
      <c r="H210" s="247">
        <v>482229.5</v>
      </c>
      <c r="I210" s="247">
        <v>0</v>
      </c>
      <c r="J210" s="247">
        <v>0</v>
      </c>
      <c r="K210" s="247">
        <v>0</v>
      </c>
      <c r="L210" s="247">
        <v>0</v>
      </c>
      <c r="M210" s="247">
        <v>294296.02800000005</v>
      </c>
      <c r="N210" s="247">
        <v>482229.5</v>
      </c>
      <c r="O210" s="172"/>
      <c r="P210" s="247">
        <v>79.72716470916518</v>
      </c>
      <c r="Q210" s="247">
        <v>69.582100910682115</v>
      </c>
      <c r="R210" s="247">
        <v>0</v>
      </c>
      <c r="S210" s="247">
        <v>0</v>
      </c>
      <c r="T210" s="248">
        <v>149.30926561984731</v>
      </c>
      <c r="U210" s="247">
        <v>244.65614773851502</v>
      </c>
      <c r="V210" s="247">
        <v>0</v>
      </c>
      <c r="W210" s="247">
        <v>0</v>
      </c>
      <c r="X210" s="247">
        <v>244.65614773851502</v>
      </c>
      <c r="Y210" s="247">
        <v>95.346882118667693</v>
      </c>
      <c r="Z210" s="247">
        <v>187933.47199999995</v>
      </c>
    </row>
    <row r="211" spans="1:26" ht="12.75" x14ac:dyDescent="0.2">
      <c r="A211" s="269">
        <v>577</v>
      </c>
      <c r="B211" s="269">
        <v>1</v>
      </c>
      <c r="C211" s="270" t="s">
        <v>529</v>
      </c>
      <c r="D211" s="271">
        <v>6</v>
      </c>
      <c r="E211" s="248">
        <v>422.03</v>
      </c>
      <c r="F211" s="247">
        <v>29281.93</v>
      </c>
      <c r="G211" s="247">
        <v>23099.261142857144</v>
      </c>
      <c r="H211" s="247">
        <v>80805.76594285715</v>
      </c>
      <c r="I211" s="247">
        <v>0</v>
      </c>
      <c r="J211" s="247">
        <v>0</v>
      </c>
      <c r="K211" s="247">
        <v>0</v>
      </c>
      <c r="L211" s="247">
        <v>0</v>
      </c>
      <c r="M211" s="247">
        <v>52381.191142857147</v>
      </c>
      <c r="N211" s="247">
        <v>80805.76594285715</v>
      </c>
      <c r="O211" s="172"/>
      <c r="P211" s="247">
        <v>69.383527237400187</v>
      </c>
      <c r="Q211" s="247">
        <v>54.733694625635962</v>
      </c>
      <c r="R211" s="247">
        <v>0</v>
      </c>
      <c r="S211" s="247">
        <v>0</v>
      </c>
      <c r="T211" s="248">
        <v>124.11722186303616</v>
      </c>
      <c r="U211" s="247">
        <v>191.4692461267141</v>
      </c>
      <c r="V211" s="247">
        <v>0</v>
      </c>
      <c r="W211" s="247">
        <v>0</v>
      </c>
      <c r="X211" s="247">
        <v>191.4692461267141</v>
      </c>
      <c r="Y211" s="247">
        <v>67.352024263677947</v>
      </c>
      <c r="Z211" s="247">
        <v>28424.574800000002</v>
      </c>
    </row>
    <row r="212" spans="1:26" ht="12.75" x14ac:dyDescent="0.2">
      <c r="A212" s="269">
        <v>578</v>
      </c>
      <c r="B212" s="269">
        <v>1</v>
      </c>
      <c r="C212" s="270" t="s">
        <v>531</v>
      </c>
      <c r="D212" s="271">
        <v>5</v>
      </c>
      <c r="E212" s="248">
        <v>1598.08</v>
      </c>
      <c r="F212" s="247">
        <v>49303.923999999999</v>
      </c>
      <c r="G212" s="247">
        <v>110925</v>
      </c>
      <c r="H212" s="247">
        <v>388762.1</v>
      </c>
      <c r="I212" s="247">
        <v>0</v>
      </c>
      <c r="J212" s="247">
        <v>466389</v>
      </c>
      <c r="K212" s="247">
        <v>0</v>
      </c>
      <c r="L212" s="247">
        <v>466389</v>
      </c>
      <c r="M212" s="247">
        <v>626617.924</v>
      </c>
      <c r="N212" s="247">
        <v>855151.1</v>
      </c>
      <c r="O212" s="172"/>
      <c r="P212" s="247">
        <v>30.851974869843815</v>
      </c>
      <c r="Q212" s="247">
        <v>69.41141870244293</v>
      </c>
      <c r="R212" s="247">
        <v>0</v>
      </c>
      <c r="S212" s="247">
        <v>291.84333700440533</v>
      </c>
      <c r="T212" s="248">
        <v>392.10673057669203</v>
      </c>
      <c r="U212" s="247">
        <v>243.26823438125751</v>
      </c>
      <c r="V212" s="247">
        <v>0</v>
      </c>
      <c r="W212" s="247">
        <v>291.84333700440533</v>
      </c>
      <c r="X212" s="247">
        <v>535.11157138566284</v>
      </c>
      <c r="Y212" s="247">
        <v>143.00484080897076</v>
      </c>
      <c r="Z212" s="247">
        <v>228533.17599999998</v>
      </c>
    </row>
    <row r="213" spans="1:26" ht="12.75" x14ac:dyDescent="0.2">
      <c r="A213" s="269">
        <v>581</v>
      </c>
      <c r="B213" s="269">
        <v>1</v>
      </c>
      <c r="C213" s="270" t="s">
        <v>302</v>
      </c>
      <c r="D213" s="271">
        <v>6</v>
      </c>
      <c r="E213" s="248">
        <v>348.03999999999996</v>
      </c>
      <c r="F213" s="247">
        <v>21968.344000000001</v>
      </c>
      <c r="G213" s="247">
        <v>23805</v>
      </c>
      <c r="H213" s="247">
        <v>83441.700000000012</v>
      </c>
      <c r="I213" s="247">
        <v>0</v>
      </c>
      <c r="J213" s="247">
        <v>0</v>
      </c>
      <c r="K213" s="247">
        <v>0</v>
      </c>
      <c r="L213" s="247">
        <v>0</v>
      </c>
      <c r="M213" s="247">
        <v>45773.343999999997</v>
      </c>
      <c r="N213" s="247">
        <v>83441.700000000012</v>
      </c>
      <c r="O213" s="172"/>
      <c r="P213" s="247">
        <v>63.120170095391344</v>
      </c>
      <c r="Q213" s="247">
        <v>68.397310653947827</v>
      </c>
      <c r="R213" s="247">
        <v>0</v>
      </c>
      <c r="S213" s="247">
        <v>0</v>
      </c>
      <c r="T213" s="248">
        <v>131.51748074933917</v>
      </c>
      <c r="U213" s="247">
        <v>239.74744282266411</v>
      </c>
      <c r="V213" s="247">
        <v>0</v>
      </c>
      <c r="W213" s="247">
        <v>0</v>
      </c>
      <c r="X213" s="247">
        <v>239.74744282266411</v>
      </c>
      <c r="Y213" s="247">
        <v>108.22996207332496</v>
      </c>
      <c r="Z213" s="247">
        <v>37668.356000000014</v>
      </c>
    </row>
    <row r="214" spans="1:26" ht="12.75" x14ac:dyDescent="0.2">
      <c r="A214" s="269">
        <v>592</v>
      </c>
      <c r="B214" s="269">
        <v>1</v>
      </c>
      <c r="C214" s="270" t="s">
        <v>534</v>
      </c>
      <c r="D214" s="271">
        <v>6</v>
      </c>
      <c r="E214" s="248">
        <v>135.54000000000002</v>
      </c>
      <c r="F214" s="247">
        <v>20168.171999999999</v>
      </c>
      <c r="G214" s="247">
        <v>9791.4</v>
      </c>
      <c r="H214" s="247">
        <v>33304</v>
      </c>
      <c r="I214" s="247">
        <v>0</v>
      </c>
      <c r="J214" s="247">
        <v>0</v>
      </c>
      <c r="K214" s="247">
        <v>0</v>
      </c>
      <c r="L214" s="247">
        <v>0</v>
      </c>
      <c r="M214" s="247">
        <v>29959.572</v>
      </c>
      <c r="N214" s="247">
        <v>33304</v>
      </c>
      <c r="O214" s="172"/>
      <c r="P214" s="247">
        <v>148.79867197875163</v>
      </c>
      <c r="Q214" s="247">
        <v>72.239929172200078</v>
      </c>
      <c r="R214" s="247">
        <v>0</v>
      </c>
      <c r="S214" s="247">
        <v>0</v>
      </c>
      <c r="T214" s="248">
        <v>221.03860115095171</v>
      </c>
      <c r="U214" s="247">
        <v>245.7134425261915</v>
      </c>
      <c r="V214" s="247">
        <v>0</v>
      </c>
      <c r="W214" s="247">
        <v>0</v>
      </c>
      <c r="X214" s="247">
        <v>245.7134425261915</v>
      </c>
      <c r="Y214" s="247">
        <v>24.674841375239776</v>
      </c>
      <c r="Z214" s="247">
        <v>3344.4279999999999</v>
      </c>
    </row>
    <row r="215" spans="1:26" ht="12.75" x14ac:dyDescent="0.2">
      <c r="A215" s="269">
        <v>593</v>
      </c>
      <c r="B215" s="269">
        <v>1</v>
      </c>
      <c r="C215" s="270" t="s">
        <v>535</v>
      </c>
      <c r="D215" s="271">
        <v>5</v>
      </c>
      <c r="E215" s="248">
        <v>1240.08</v>
      </c>
      <c r="F215" s="247">
        <v>90189.184000000008</v>
      </c>
      <c r="G215" s="247">
        <v>79469.13325714285</v>
      </c>
      <c r="H215" s="247">
        <v>279313.39840000001</v>
      </c>
      <c r="I215" s="247">
        <v>0</v>
      </c>
      <c r="J215" s="247">
        <v>0</v>
      </c>
      <c r="K215" s="247">
        <v>0</v>
      </c>
      <c r="L215" s="247">
        <v>0</v>
      </c>
      <c r="M215" s="247">
        <v>169658.31725714286</v>
      </c>
      <c r="N215" s="247">
        <v>279313.39840000001</v>
      </c>
      <c r="O215" s="172"/>
      <c r="P215" s="247">
        <v>72.728520740597389</v>
      </c>
      <c r="Q215" s="247">
        <v>64.083876247615365</v>
      </c>
      <c r="R215" s="247">
        <v>0</v>
      </c>
      <c r="S215" s="247">
        <v>0</v>
      </c>
      <c r="T215" s="248">
        <v>136.81239698821275</v>
      </c>
      <c r="U215" s="247">
        <v>225.23820914779694</v>
      </c>
      <c r="V215" s="247">
        <v>0</v>
      </c>
      <c r="W215" s="247">
        <v>0</v>
      </c>
      <c r="X215" s="247">
        <v>225.23820914779694</v>
      </c>
      <c r="Y215" s="247">
        <v>88.425812159584183</v>
      </c>
      <c r="Z215" s="247">
        <v>109655.08114285715</v>
      </c>
    </row>
    <row r="216" spans="1:26" ht="12.75" x14ac:dyDescent="0.2">
      <c r="A216" s="269">
        <v>595</v>
      </c>
      <c r="B216" s="269">
        <v>1</v>
      </c>
      <c r="C216" s="270" t="s">
        <v>391</v>
      </c>
      <c r="D216" s="271">
        <v>5</v>
      </c>
      <c r="E216" s="248">
        <v>1709.6599999999999</v>
      </c>
      <c r="F216" s="247">
        <v>115586.40800000001</v>
      </c>
      <c r="G216" s="247">
        <v>84019.449599999993</v>
      </c>
      <c r="H216" s="247">
        <v>295141.14279999997</v>
      </c>
      <c r="I216" s="247">
        <v>0</v>
      </c>
      <c r="J216" s="247">
        <v>474338</v>
      </c>
      <c r="K216" s="247">
        <v>0</v>
      </c>
      <c r="L216" s="247">
        <v>474338</v>
      </c>
      <c r="M216" s="247">
        <v>673943.85759999999</v>
      </c>
      <c r="N216" s="247">
        <v>769479.14280000003</v>
      </c>
      <c r="O216" s="172"/>
      <c r="P216" s="247">
        <v>67.607833136413106</v>
      </c>
      <c r="Q216" s="247">
        <v>49.143952364797677</v>
      </c>
      <c r="R216" s="247">
        <v>0</v>
      </c>
      <c r="S216" s="247">
        <v>277.4458079384205</v>
      </c>
      <c r="T216" s="248">
        <v>394.19759343963131</v>
      </c>
      <c r="U216" s="247">
        <v>172.63148392077957</v>
      </c>
      <c r="V216" s="247">
        <v>0</v>
      </c>
      <c r="W216" s="247">
        <v>277.4458079384205</v>
      </c>
      <c r="X216" s="247">
        <v>450.07729185920016</v>
      </c>
      <c r="Y216" s="247">
        <v>55.879698419568832</v>
      </c>
      <c r="Z216" s="247">
        <v>95535.285200000042</v>
      </c>
    </row>
    <row r="217" spans="1:26" ht="12.75" x14ac:dyDescent="0.2">
      <c r="A217" s="269">
        <v>599</v>
      </c>
      <c r="B217" s="269">
        <v>1</v>
      </c>
      <c r="C217" s="270" t="s">
        <v>408</v>
      </c>
      <c r="D217" s="271">
        <v>6</v>
      </c>
      <c r="E217" s="248">
        <v>459.86</v>
      </c>
      <c r="F217" s="247">
        <v>52557.052000000003</v>
      </c>
      <c r="G217" s="247">
        <v>31821</v>
      </c>
      <c r="H217" s="247">
        <v>111692.6</v>
      </c>
      <c r="I217" s="247">
        <v>0</v>
      </c>
      <c r="J217" s="247">
        <v>0</v>
      </c>
      <c r="K217" s="247">
        <v>0</v>
      </c>
      <c r="L217" s="247">
        <v>0</v>
      </c>
      <c r="M217" s="247">
        <v>84378.051999999996</v>
      </c>
      <c r="N217" s="247">
        <v>111692.6</v>
      </c>
      <c r="O217" s="172"/>
      <c r="P217" s="247">
        <v>114.28924455268995</v>
      </c>
      <c r="Q217" s="247">
        <v>69.19714695776976</v>
      </c>
      <c r="R217" s="247">
        <v>0</v>
      </c>
      <c r="S217" s="247">
        <v>0</v>
      </c>
      <c r="T217" s="248">
        <v>183.4863915104597</v>
      </c>
      <c r="U217" s="247">
        <v>242.88392119340671</v>
      </c>
      <c r="V217" s="247">
        <v>0</v>
      </c>
      <c r="W217" s="247">
        <v>0</v>
      </c>
      <c r="X217" s="247">
        <v>242.88392119340671</v>
      </c>
      <c r="Y217" s="247">
        <v>59.397529682947003</v>
      </c>
      <c r="Z217" s="247">
        <v>27314.54800000001</v>
      </c>
    </row>
    <row r="218" spans="1:26" ht="12.75" x14ac:dyDescent="0.2">
      <c r="A218" s="269">
        <v>600</v>
      </c>
      <c r="B218" s="269">
        <v>1</v>
      </c>
      <c r="C218" s="270" t="s">
        <v>310</v>
      </c>
      <c r="D218" s="271">
        <v>6</v>
      </c>
      <c r="E218" s="248">
        <v>260.06</v>
      </c>
      <c r="F218" s="247">
        <v>35354.423999999999</v>
      </c>
      <c r="G218" s="247">
        <v>14487.745371428573</v>
      </c>
      <c r="H218" s="247">
        <v>50840.879657142861</v>
      </c>
      <c r="I218" s="247">
        <v>0</v>
      </c>
      <c r="J218" s="247">
        <v>0</v>
      </c>
      <c r="K218" s="247">
        <v>0</v>
      </c>
      <c r="L218" s="247">
        <v>0</v>
      </c>
      <c r="M218" s="247">
        <v>49842.169371428572</v>
      </c>
      <c r="N218" s="247">
        <v>50840.879657142861</v>
      </c>
      <c r="O218" s="172"/>
      <c r="P218" s="247">
        <v>135.94718141967238</v>
      </c>
      <c r="Q218" s="247">
        <v>55.709241603585994</v>
      </c>
      <c r="R218" s="247">
        <v>0</v>
      </c>
      <c r="S218" s="247">
        <v>0</v>
      </c>
      <c r="T218" s="248">
        <v>191.65642302325836</v>
      </c>
      <c r="U218" s="247">
        <v>195.4967302051175</v>
      </c>
      <c r="V218" s="247">
        <v>0</v>
      </c>
      <c r="W218" s="247">
        <v>0</v>
      </c>
      <c r="X218" s="247">
        <v>195.4967302051175</v>
      </c>
      <c r="Y218" s="247">
        <v>3.8403071818591443</v>
      </c>
      <c r="Z218" s="247">
        <v>998.71028571428906</v>
      </c>
    </row>
    <row r="219" spans="1:26" ht="12.75" x14ac:dyDescent="0.2">
      <c r="A219" s="269">
        <v>601</v>
      </c>
      <c r="B219" s="269">
        <v>1</v>
      </c>
      <c r="C219" s="270" t="s">
        <v>537</v>
      </c>
      <c r="D219" s="271">
        <v>6</v>
      </c>
      <c r="E219" s="248">
        <v>655.77</v>
      </c>
      <c r="F219" s="247">
        <v>43793.85</v>
      </c>
      <c r="G219" s="247">
        <v>45154.200000000004</v>
      </c>
      <c r="H219" s="247">
        <v>158693.1</v>
      </c>
      <c r="I219" s="247">
        <v>0</v>
      </c>
      <c r="J219" s="247">
        <v>0</v>
      </c>
      <c r="K219" s="247">
        <v>0</v>
      </c>
      <c r="L219" s="247">
        <v>0</v>
      </c>
      <c r="M219" s="247">
        <v>88948.05</v>
      </c>
      <c r="N219" s="247">
        <v>158693.1</v>
      </c>
      <c r="O219" s="172"/>
      <c r="P219" s="247">
        <v>66.782332220138159</v>
      </c>
      <c r="Q219" s="247">
        <v>68.856763804382638</v>
      </c>
      <c r="R219" s="247">
        <v>0</v>
      </c>
      <c r="S219" s="247">
        <v>0</v>
      </c>
      <c r="T219" s="248">
        <v>135.6390960245208</v>
      </c>
      <c r="U219" s="247">
        <v>241.99505924333229</v>
      </c>
      <c r="V219" s="247">
        <v>0</v>
      </c>
      <c r="W219" s="247">
        <v>0</v>
      </c>
      <c r="X219" s="247">
        <v>241.99505924333229</v>
      </c>
      <c r="Y219" s="247">
        <v>106.35596321881148</v>
      </c>
      <c r="Z219" s="247">
        <v>69745.05</v>
      </c>
    </row>
    <row r="220" spans="1:26" ht="12.75" x14ac:dyDescent="0.2">
      <c r="A220" s="269">
        <v>611</v>
      </c>
      <c r="B220" s="269">
        <v>1</v>
      </c>
      <c r="C220" s="270" t="s">
        <v>406</v>
      </c>
      <c r="D220" s="271">
        <v>6</v>
      </c>
      <c r="E220" s="248">
        <v>36.11</v>
      </c>
      <c r="F220" s="247">
        <v>11992.14</v>
      </c>
      <c r="G220" s="247">
        <v>2602.1999999999998</v>
      </c>
      <c r="H220" s="247">
        <v>14594.34</v>
      </c>
      <c r="I220" s="247">
        <v>0</v>
      </c>
      <c r="J220" s="247">
        <v>0</v>
      </c>
      <c r="K220" s="247">
        <v>0</v>
      </c>
      <c r="L220" s="247">
        <v>0</v>
      </c>
      <c r="M220" s="247">
        <v>14594.34</v>
      </c>
      <c r="N220" s="247">
        <v>14594.34</v>
      </c>
      <c r="O220" s="172"/>
      <c r="P220" s="247">
        <v>332.1002492384381</v>
      </c>
      <c r="Q220" s="247">
        <v>72.063140404320123</v>
      </c>
      <c r="R220" s="247">
        <v>0</v>
      </c>
      <c r="S220" s="247">
        <v>0</v>
      </c>
      <c r="T220" s="248">
        <v>404.16338964275826</v>
      </c>
      <c r="U220" s="247">
        <v>404.16338964275826</v>
      </c>
      <c r="V220" s="247">
        <v>0</v>
      </c>
      <c r="W220" s="247">
        <v>0</v>
      </c>
      <c r="X220" s="247">
        <v>404.16338964275826</v>
      </c>
      <c r="Y220" s="247">
        <v>0</v>
      </c>
      <c r="Z220" s="247">
        <v>0</v>
      </c>
    </row>
    <row r="221" spans="1:26" ht="12.75" x14ac:dyDescent="0.2">
      <c r="A221" s="269">
        <v>621</v>
      </c>
      <c r="B221" s="269">
        <v>1</v>
      </c>
      <c r="C221" s="270" t="s">
        <v>539</v>
      </c>
      <c r="D221" s="271">
        <v>3</v>
      </c>
      <c r="E221" s="248">
        <v>9987.5999999999985</v>
      </c>
      <c r="F221" s="247">
        <v>1246936.6639999999</v>
      </c>
      <c r="G221" s="247">
        <v>0</v>
      </c>
      <c r="H221" s="247">
        <v>0</v>
      </c>
      <c r="I221" s="247">
        <v>3009497.4</v>
      </c>
      <c r="J221" s="247">
        <v>4458279</v>
      </c>
      <c r="K221" s="247">
        <v>4256434.0639999993</v>
      </c>
      <c r="L221" s="247">
        <v>4458279</v>
      </c>
      <c r="M221" s="247">
        <v>8714713.0639999993</v>
      </c>
      <c r="N221" s="247">
        <v>8714713.0639999993</v>
      </c>
      <c r="O221" s="172"/>
      <c r="P221" s="247">
        <v>124.84847851335657</v>
      </c>
      <c r="Q221" s="247">
        <v>0</v>
      </c>
      <c r="R221" s="247">
        <v>301.32338099243066</v>
      </c>
      <c r="S221" s="247">
        <v>446.3814129520606</v>
      </c>
      <c r="T221" s="248">
        <v>872.55327245784781</v>
      </c>
      <c r="U221" s="247">
        <v>0</v>
      </c>
      <c r="V221" s="247">
        <v>426.17185950578715</v>
      </c>
      <c r="W221" s="247">
        <v>446.3814129520606</v>
      </c>
      <c r="X221" s="247">
        <v>872.55327245784781</v>
      </c>
      <c r="Y221" s="247">
        <v>0</v>
      </c>
      <c r="Z221" s="247">
        <v>0</v>
      </c>
    </row>
    <row r="222" spans="1:26" ht="12.75" x14ac:dyDescent="0.2">
      <c r="A222" s="269">
        <v>622</v>
      </c>
      <c r="B222" s="269">
        <v>1</v>
      </c>
      <c r="C222" s="270" t="s">
        <v>540</v>
      </c>
      <c r="D222" s="271">
        <v>2</v>
      </c>
      <c r="E222" s="248">
        <v>10722.169999999998</v>
      </c>
      <c r="F222" s="247">
        <v>993865.46599999978</v>
      </c>
      <c r="G222" s="247">
        <v>0</v>
      </c>
      <c r="H222" s="247">
        <v>0</v>
      </c>
      <c r="I222" s="247">
        <v>333908.8</v>
      </c>
      <c r="J222" s="247">
        <v>7580138</v>
      </c>
      <c r="K222" s="247">
        <v>1327774.2659999998</v>
      </c>
      <c r="L222" s="247">
        <v>7580138</v>
      </c>
      <c r="M222" s="247">
        <v>8907912.2659999989</v>
      </c>
      <c r="N222" s="247">
        <v>8907912.2659999989</v>
      </c>
      <c r="O222" s="172"/>
      <c r="P222" s="247">
        <v>92.692567456028016</v>
      </c>
      <c r="Q222" s="247">
        <v>0</v>
      </c>
      <c r="R222" s="247">
        <v>31.141905043475344</v>
      </c>
      <c r="S222" s="247">
        <v>706.95931886922153</v>
      </c>
      <c r="T222" s="248">
        <v>830.79379136872478</v>
      </c>
      <c r="U222" s="247">
        <v>0</v>
      </c>
      <c r="V222" s="247">
        <v>123.83447249950336</v>
      </c>
      <c r="W222" s="247">
        <v>706.95931886922153</v>
      </c>
      <c r="X222" s="247">
        <v>830.79379136872478</v>
      </c>
      <c r="Y222" s="247">
        <v>0</v>
      </c>
      <c r="Z222" s="247">
        <v>0</v>
      </c>
    </row>
    <row r="223" spans="1:26" ht="12.75" x14ac:dyDescent="0.2">
      <c r="A223" s="269">
        <v>623</v>
      </c>
      <c r="B223" s="269">
        <v>1</v>
      </c>
      <c r="C223" s="270" t="s">
        <v>542</v>
      </c>
      <c r="D223" s="271">
        <v>2</v>
      </c>
      <c r="E223" s="248">
        <v>7045.34</v>
      </c>
      <c r="F223" s="247">
        <v>342979.17</v>
      </c>
      <c r="G223" s="247">
        <v>0</v>
      </c>
      <c r="H223" s="247">
        <v>0</v>
      </c>
      <c r="I223" s="247">
        <v>2006832.6</v>
      </c>
      <c r="J223" s="247">
        <v>0</v>
      </c>
      <c r="K223" s="247">
        <v>2349811.77</v>
      </c>
      <c r="L223" s="247">
        <v>0</v>
      </c>
      <c r="M223" s="247">
        <v>2349811.77</v>
      </c>
      <c r="N223" s="247">
        <v>2349811.77</v>
      </c>
      <c r="O223" s="172"/>
      <c r="P223" s="247">
        <v>48.681705921928533</v>
      </c>
      <c r="Q223" s="247">
        <v>0</v>
      </c>
      <c r="R223" s="247">
        <v>284.84538716371389</v>
      </c>
      <c r="S223" s="247">
        <v>0</v>
      </c>
      <c r="T223" s="248">
        <v>333.52709308564243</v>
      </c>
      <c r="U223" s="247">
        <v>0</v>
      </c>
      <c r="V223" s="247">
        <v>333.52709308564243</v>
      </c>
      <c r="W223" s="247">
        <v>0</v>
      </c>
      <c r="X223" s="247">
        <v>333.52709308564243</v>
      </c>
      <c r="Y223" s="247">
        <v>0</v>
      </c>
      <c r="Z223" s="247">
        <v>0</v>
      </c>
    </row>
    <row r="224" spans="1:26" ht="12.75" x14ac:dyDescent="0.2">
      <c r="A224" s="269">
        <v>624</v>
      </c>
      <c r="B224" s="269">
        <v>1</v>
      </c>
      <c r="C224" s="270" t="s">
        <v>544</v>
      </c>
      <c r="D224" s="271">
        <v>3</v>
      </c>
      <c r="E224" s="248">
        <v>8067.91</v>
      </c>
      <c r="F224" s="247">
        <v>329587.59200000006</v>
      </c>
      <c r="G224" s="247">
        <v>0</v>
      </c>
      <c r="H224" s="247">
        <v>0</v>
      </c>
      <c r="I224" s="247">
        <v>0</v>
      </c>
      <c r="J224" s="247">
        <v>3639038</v>
      </c>
      <c r="K224" s="247">
        <v>329587.59200000006</v>
      </c>
      <c r="L224" s="247">
        <v>3639038</v>
      </c>
      <c r="M224" s="247">
        <v>3968625.5920000002</v>
      </c>
      <c r="N224" s="247">
        <v>3968625.5920000002</v>
      </c>
      <c r="O224" s="172"/>
      <c r="P224" s="247">
        <v>40.851669391453306</v>
      </c>
      <c r="Q224" s="247">
        <v>0</v>
      </c>
      <c r="R224" s="247">
        <v>0</v>
      </c>
      <c r="S224" s="247">
        <v>451.05089174271899</v>
      </c>
      <c r="T224" s="248">
        <v>491.90256113417234</v>
      </c>
      <c r="U224" s="247">
        <v>0</v>
      </c>
      <c r="V224" s="247">
        <v>40.851669391453306</v>
      </c>
      <c r="W224" s="247">
        <v>451.05089174271899</v>
      </c>
      <c r="X224" s="247">
        <v>491.90256113417234</v>
      </c>
      <c r="Y224" s="247">
        <v>0</v>
      </c>
      <c r="Z224" s="247">
        <v>0</v>
      </c>
    </row>
    <row r="225" spans="1:26" ht="12.75" x14ac:dyDescent="0.2">
      <c r="A225" s="269">
        <v>625</v>
      </c>
      <c r="B225" s="269">
        <v>1</v>
      </c>
      <c r="C225" s="270" t="s">
        <v>546</v>
      </c>
      <c r="D225" s="271">
        <v>1</v>
      </c>
      <c r="E225" s="248">
        <v>38661.14</v>
      </c>
      <c r="F225" s="247">
        <v>4114860.8840000005</v>
      </c>
      <c r="G225" s="247">
        <v>0</v>
      </c>
      <c r="H225" s="247">
        <v>0</v>
      </c>
      <c r="I225" s="247">
        <v>0</v>
      </c>
      <c r="J225" s="247">
        <v>8433238</v>
      </c>
      <c r="K225" s="247">
        <v>4114860.8840000005</v>
      </c>
      <c r="L225" s="247">
        <v>8433238</v>
      </c>
      <c r="M225" s="247">
        <v>12548098.884</v>
      </c>
      <c r="N225" s="247">
        <v>12548098.884</v>
      </c>
      <c r="O225" s="172"/>
      <c r="P225" s="247">
        <v>106.43402869134228</v>
      </c>
      <c r="Q225" s="247">
        <v>0</v>
      </c>
      <c r="R225" s="247">
        <v>0</v>
      </c>
      <c r="S225" s="247">
        <v>218.1321606139912</v>
      </c>
      <c r="T225" s="248">
        <v>324.56618930533347</v>
      </c>
      <c r="U225" s="247">
        <v>0</v>
      </c>
      <c r="V225" s="247">
        <v>106.43402869134228</v>
      </c>
      <c r="W225" s="247">
        <v>218.1321606139912</v>
      </c>
      <c r="X225" s="247">
        <v>324.56618930533347</v>
      </c>
      <c r="Y225" s="247">
        <v>0</v>
      </c>
      <c r="Z225" s="247">
        <v>0</v>
      </c>
    </row>
    <row r="226" spans="1:26" ht="12.75" x14ac:dyDescent="0.2">
      <c r="A226" s="269">
        <v>627</v>
      </c>
      <c r="B226" s="269">
        <v>1</v>
      </c>
      <c r="C226" s="270" t="s">
        <v>306</v>
      </c>
      <c r="D226" s="271">
        <v>6</v>
      </c>
      <c r="E226" s="248">
        <v>224.25</v>
      </c>
      <c r="F226" s="247">
        <v>46697.034000000007</v>
      </c>
      <c r="G226" s="247">
        <v>15508.800000000001</v>
      </c>
      <c r="H226" s="247">
        <v>62205.83400000001</v>
      </c>
      <c r="I226" s="247">
        <v>0</v>
      </c>
      <c r="J226" s="247">
        <v>156733</v>
      </c>
      <c r="K226" s="247">
        <v>0</v>
      </c>
      <c r="L226" s="247">
        <v>156733</v>
      </c>
      <c r="M226" s="247">
        <v>218938.834</v>
      </c>
      <c r="N226" s="247">
        <v>218938.834</v>
      </c>
      <c r="O226" s="172"/>
      <c r="P226" s="247">
        <v>208.23649498327762</v>
      </c>
      <c r="Q226" s="247">
        <v>69.158528428093646</v>
      </c>
      <c r="R226" s="247">
        <v>0</v>
      </c>
      <c r="S226" s="247">
        <v>698.92084726867336</v>
      </c>
      <c r="T226" s="248">
        <v>976.31587068004455</v>
      </c>
      <c r="U226" s="247">
        <v>277.39502341137126</v>
      </c>
      <c r="V226" s="247">
        <v>0</v>
      </c>
      <c r="W226" s="247">
        <v>698.92084726867336</v>
      </c>
      <c r="X226" s="247">
        <v>976.31587068004455</v>
      </c>
      <c r="Y226" s="247">
        <v>0</v>
      </c>
      <c r="Z226" s="247">
        <v>0</v>
      </c>
    </row>
    <row r="227" spans="1:26" ht="12.75" x14ac:dyDescent="0.2">
      <c r="A227" s="269">
        <v>628</v>
      </c>
      <c r="B227" s="269">
        <v>1</v>
      </c>
      <c r="C227" s="270" t="s">
        <v>549</v>
      </c>
      <c r="D227" s="271">
        <v>6</v>
      </c>
      <c r="E227" s="248">
        <v>158.33000000000001</v>
      </c>
      <c r="F227" s="247">
        <v>29010.685999999998</v>
      </c>
      <c r="G227" s="247">
        <v>10728.6</v>
      </c>
      <c r="H227" s="247">
        <v>39739.286</v>
      </c>
      <c r="I227" s="247">
        <v>0</v>
      </c>
      <c r="J227" s="247">
        <v>165960</v>
      </c>
      <c r="K227" s="247">
        <v>0</v>
      </c>
      <c r="L227" s="247">
        <v>165960</v>
      </c>
      <c r="M227" s="247">
        <v>205699.28599999999</v>
      </c>
      <c r="N227" s="247">
        <v>205699.28599999999</v>
      </c>
      <c r="O227" s="172"/>
      <c r="P227" s="247">
        <v>183.22924272089935</v>
      </c>
      <c r="Q227" s="247">
        <v>67.761005494852526</v>
      </c>
      <c r="R227" s="247">
        <v>0</v>
      </c>
      <c r="S227" s="247">
        <v>1048.1904882208046</v>
      </c>
      <c r="T227" s="248">
        <v>1299.1807364365563</v>
      </c>
      <c r="U227" s="247">
        <v>250.9902482157519</v>
      </c>
      <c r="V227" s="247">
        <v>0</v>
      </c>
      <c r="W227" s="247">
        <v>1048.1904882208046</v>
      </c>
      <c r="X227" s="247">
        <v>1299.1807364365563</v>
      </c>
      <c r="Y227" s="247">
        <v>0</v>
      </c>
      <c r="Z227" s="247">
        <v>0</v>
      </c>
    </row>
    <row r="228" spans="1:26" ht="12.75" x14ac:dyDescent="0.2">
      <c r="A228" s="269">
        <v>630</v>
      </c>
      <c r="B228" s="269">
        <v>1</v>
      </c>
      <c r="C228" s="270" t="s">
        <v>551</v>
      </c>
      <c r="D228" s="271">
        <v>6</v>
      </c>
      <c r="E228" s="248">
        <v>385.40999999999997</v>
      </c>
      <c r="F228" s="247">
        <v>9226.0439999999999</v>
      </c>
      <c r="G228" s="247">
        <v>26538.361714285718</v>
      </c>
      <c r="H228" s="247">
        <v>93311.571714285717</v>
      </c>
      <c r="I228" s="247">
        <v>0</v>
      </c>
      <c r="J228" s="247">
        <v>0</v>
      </c>
      <c r="K228" s="247">
        <v>0</v>
      </c>
      <c r="L228" s="247">
        <v>0</v>
      </c>
      <c r="M228" s="247">
        <v>35764.40571428572</v>
      </c>
      <c r="N228" s="247">
        <v>93311.571714285717</v>
      </c>
      <c r="O228" s="172"/>
      <c r="P228" s="247">
        <v>23.938257959056592</v>
      </c>
      <c r="Q228" s="247">
        <v>68.857480901600169</v>
      </c>
      <c r="R228" s="247">
        <v>0</v>
      </c>
      <c r="S228" s="247">
        <v>0</v>
      </c>
      <c r="T228" s="248">
        <v>92.795738860656769</v>
      </c>
      <c r="U228" s="247">
        <v>242.1098874297131</v>
      </c>
      <c r="V228" s="247">
        <v>0</v>
      </c>
      <c r="W228" s="247">
        <v>0</v>
      </c>
      <c r="X228" s="247">
        <v>242.1098874297131</v>
      </c>
      <c r="Y228" s="247">
        <v>149.31414856905633</v>
      </c>
      <c r="Z228" s="247">
        <v>57547.165999999997</v>
      </c>
    </row>
    <row r="229" spans="1:26" ht="12.75" x14ac:dyDescent="0.2">
      <c r="A229" s="269">
        <v>635</v>
      </c>
      <c r="B229" s="269">
        <v>1</v>
      </c>
      <c r="C229" s="270" t="s">
        <v>481</v>
      </c>
      <c r="D229" s="271">
        <v>6</v>
      </c>
      <c r="E229" s="248">
        <v>70</v>
      </c>
      <c r="F229" s="247">
        <v>29458.242000000006</v>
      </c>
      <c r="G229" s="247">
        <v>5301</v>
      </c>
      <c r="H229" s="247">
        <v>34759.242000000006</v>
      </c>
      <c r="I229" s="247">
        <v>0</v>
      </c>
      <c r="J229" s="247">
        <v>0</v>
      </c>
      <c r="K229" s="247">
        <v>0</v>
      </c>
      <c r="L229" s="247">
        <v>0</v>
      </c>
      <c r="M229" s="247">
        <v>34759.242000000006</v>
      </c>
      <c r="N229" s="247">
        <v>34759.242000000006</v>
      </c>
      <c r="O229" s="172"/>
      <c r="P229" s="247">
        <v>420.83202857142868</v>
      </c>
      <c r="Q229" s="247">
        <v>75.728571428571428</v>
      </c>
      <c r="R229" s="247">
        <v>0</v>
      </c>
      <c r="S229" s="247">
        <v>0</v>
      </c>
      <c r="T229" s="248">
        <v>496.56060000000008</v>
      </c>
      <c r="U229" s="247">
        <v>496.56060000000008</v>
      </c>
      <c r="V229" s="247">
        <v>0</v>
      </c>
      <c r="W229" s="247">
        <v>0</v>
      </c>
      <c r="X229" s="247">
        <v>496.56060000000008</v>
      </c>
      <c r="Y229" s="247">
        <v>0</v>
      </c>
      <c r="Z229" s="247">
        <v>0</v>
      </c>
    </row>
    <row r="230" spans="1:26" ht="12.75" x14ac:dyDescent="0.2">
      <c r="A230" s="269">
        <v>640</v>
      </c>
      <c r="B230" s="269">
        <v>1</v>
      </c>
      <c r="C230" s="270" t="s">
        <v>292</v>
      </c>
      <c r="D230" s="271">
        <v>6</v>
      </c>
      <c r="E230" s="248">
        <v>390.90999999999997</v>
      </c>
      <c r="F230" s="247">
        <v>65514.355999999992</v>
      </c>
      <c r="G230" s="247">
        <v>27647.786228571429</v>
      </c>
      <c r="H230" s="247">
        <v>95135.206228571435</v>
      </c>
      <c r="I230" s="247">
        <v>0</v>
      </c>
      <c r="J230" s="247">
        <v>0</v>
      </c>
      <c r="K230" s="247">
        <v>0</v>
      </c>
      <c r="L230" s="247">
        <v>0</v>
      </c>
      <c r="M230" s="247">
        <v>93162.142228571422</v>
      </c>
      <c r="N230" s="247">
        <v>95135.206228571435</v>
      </c>
      <c r="O230" s="172"/>
      <c r="P230" s="247">
        <v>167.59447443145481</v>
      </c>
      <c r="Q230" s="247">
        <v>70.726730522553609</v>
      </c>
      <c r="R230" s="247">
        <v>0</v>
      </c>
      <c r="S230" s="247">
        <v>0</v>
      </c>
      <c r="T230" s="248">
        <v>238.32120495400841</v>
      </c>
      <c r="U230" s="247">
        <v>243.36856623921477</v>
      </c>
      <c r="V230" s="247">
        <v>0</v>
      </c>
      <c r="W230" s="247">
        <v>0</v>
      </c>
      <c r="X230" s="247">
        <v>243.36856623921477</v>
      </c>
      <c r="Y230" s="247">
        <v>5.047361285206347</v>
      </c>
      <c r="Z230" s="247">
        <v>1973.064000000013</v>
      </c>
    </row>
    <row r="231" spans="1:26" ht="12.75" x14ac:dyDescent="0.2">
      <c r="A231" s="269">
        <v>656</v>
      </c>
      <c r="B231" s="269">
        <v>1</v>
      </c>
      <c r="C231" s="270" t="s">
        <v>234</v>
      </c>
      <c r="D231" s="271">
        <v>4</v>
      </c>
      <c r="E231" s="248">
        <v>3904.61</v>
      </c>
      <c r="F231" s="247">
        <v>253236.37199999997</v>
      </c>
      <c r="G231" s="247">
        <v>254888.49599999993</v>
      </c>
      <c r="H231" s="247">
        <v>894141.41279999993</v>
      </c>
      <c r="I231" s="247">
        <v>31926.6</v>
      </c>
      <c r="J231" s="247">
        <v>1098597</v>
      </c>
      <c r="K231" s="247">
        <v>31926.6</v>
      </c>
      <c r="L231" s="247">
        <v>1098597</v>
      </c>
      <c r="M231" s="247">
        <v>1638648.4679999999</v>
      </c>
      <c r="N231" s="247">
        <v>2024665.0127999999</v>
      </c>
      <c r="O231" s="172"/>
      <c r="P231" s="247">
        <v>64.855740265993262</v>
      </c>
      <c r="Q231" s="247">
        <v>65.278861653276493</v>
      </c>
      <c r="R231" s="247">
        <v>8.1766424815794654</v>
      </c>
      <c r="S231" s="247">
        <v>281.35895774481958</v>
      </c>
      <c r="T231" s="248">
        <v>419.67020214566878</v>
      </c>
      <c r="U231" s="247">
        <v>228.9963435016557</v>
      </c>
      <c r="V231" s="247">
        <v>8.1766424815794654</v>
      </c>
      <c r="W231" s="247">
        <v>281.35895774481958</v>
      </c>
      <c r="X231" s="247">
        <v>518.53194372805478</v>
      </c>
      <c r="Y231" s="247">
        <v>98.86174158238596</v>
      </c>
      <c r="Z231" s="247">
        <v>386016.54480000003</v>
      </c>
    </row>
    <row r="232" spans="1:26" ht="12.75" x14ac:dyDescent="0.2">
      <c r="A232" s="269">
        <v>659</v>
      </c>
      <c r="B232" s="269">
        <v>1</v>
      </c>
      <c r="C232" s="270" t="s">
        <v>499</v>
      </c>
      <c r="D232" s="271">
        <v>3</v>
      </c>
      <c r="E232" s="248">
        <v>3673.65</v>
      </c>
      <c r="F232" s="247">
        <v>323330.67599999998</v>
      </c>
      <c r="G232" s="247">
        <v>221508.48959999997</v>
      </c>
      <c r="H232" s="247">
        <v>774053.40799999994</v>
      </c>
      <c r="I232" s="247">
        <v>0</v>
      </c>
      <c r="J232" s="247">
        <v>936942</v>
      </c>
      <c r="K232" s="247">
        <v>0</v>
      </c>
      <c r="L232" s="247">
        <v>936942</v>
      </c>
      <c r="M232" s="247">
        <v>1481781.1655999999</v>
      </c>
      <c r="N232" s="247">
        <v>1710995.4079999998</v>
      </c>
      <c r="O232" s="172"/>
      <c r="P232" s="247">
        <v>88.013467804499598</v>
      </c>
      <c r="Q232" s="247">
        <v>60.296568698705634</v>
      </c>
      <c r="R232" s="247">
        <v>0</v>
      </c>
      <c r="S232" s="247">
        <v>255.04389367522762</v>
      </c>
      <c r="T232" s="248">
        <v>403.35393017843285</v>
      </c>
      <c r="U232" s="247">
        <v>210.70417922229933</v>
      </c>
      <c r="V232" s="247">
        <v>0</v>
      </c>
      <c r="W232" s="247">
        <v>255.04389367522762</v>
      </c>
      <c r="X232" s="247">
        <v>465.74807289752692</v>
      </c>
      <c r="Y232" s="247">
        <v>62.394142719094056</v>
      </c>
      <c r="Z232" s="247">
        <v>229214.24239999987</v>
      </c>
    </row>
    <row r="233" spans="1:26" ht="12.75" x14ac:dyDescent="0.2">
      <c r="A233" s="269">
        <v>671</v>
      </c>
      <c r="B233" s="269">
        <v>1</v>
      </c>
      <c r="C233" s="270" t="s">
        <v>271</v>
      </c>
      <c r="D233" s="271">
        <v>6</v>
      </c>
      <c r="E233" s="248">
        <v>343.26</v>
      </c>
      <c r="F233" s="247">
        <v>18391.11</v>
      </c>
      <c r="G233" s="247">
        <v>10124.310857142857</v>
      </c>
      <c r="H233" s="247">
        <v>35547.212999999996</v>
      </c>
      <c r="I233" s="247">
        <v>0</v>
      </c>
      <c r="J233" s="247">
        <v>0</v>
      </c>
      <c r="K233" s="247">
        <v>0</v>
      </c>
      <c r="L233" s="247">
        <v>0</v>
      </c>
      <c r="M233" s="247">
        <v>28515.420857142857</v>
      </c>
      <c r="N233" s="247">
        <v>35547.212999999996</v>
      </c>
      <c r="O233" s="172"/>
      <c r="P233" s="247">
        <v>53.577783604264994</v>
      </c>
      <c r="Q233" s="247">
        <v>29.494583863959846</v>
      </c>
      <c r="R233" s="247">
        <v>0</v>
      </c>
      <c r="S233" s="247">
        <v>0</v>
      </c>
      <c r="T233" s="248">
        <v>83.07236746822484</v>
      </c>
      <c r="U233" s="247">
        <v>103.55769096311833</v>
      </c>
      <c r="V233" s="247">
        <v>0</v>
      </c>
      <c r="W233" s="247">
        <v>0</v>
      </c>
      <c r="X233" s="247">
        <v>103.55769096311833</v>
      </c>
      <c r="Y233" s="247">
        <v>20.485323494893489</v>
      </c>
      <c r="Z233" s="247">
        <v>7031.792142857139</v>
      </c>
    </row>
    <row r="234" spans="1:26" ht="12.75" x14ac:dyDescent="0.2">
      <c r="A234" s="269">
        <v>676</v>
      </c>
      <c r="B234" s="269">
        <v>1</v>
      </c>
      <c r="C234" s="270" t="s">
        <v>452</v>
      </c>
      <c r="D234" s="271">
        <v>6</v>
      </c>
      <c r="E234" s="248">
        <v>220.62</v>
      </c>
      <c r="F234" s="247">
        <v>22973.514000000003</v>
      </c>
      <c r="G234" s="247">
        <v>15928.800000000001</v>
      </c>
      <c r="H234" s="247">
        <v>54468.6</v>
      </c>
      <c r="I234" s="247">
        <v>0</v>
      </c>
      <c r="J234" s="247">
        <v>0</v>
      </c>
      <c r="K234" s="247">
        <v>0</v>
      </c>
      <c r="L234" s="247">
        <v>0</v>
      </c>
      <c r="M234" s="247">
        <v>38902.314000000006</v>
      </c>
      <c r="N234" s="247">
        <v>54468.6</v>
      </c>
      <c r="O234" s="172"/>
      <c r="P234" s="247">
        <v>104.13160184933371</v>
      </c>
      <c r="Q234" s="247">
        <v>72.200163176502585</v>
      </c>
      <c r="R234" s="247">
        <v>0</v>
      </c>
      <c r="S234" s="247">
        <v>0</v>
      </c>
      <c r="T234" s="248">
        <v>176.33176502583629</v>
      </c>
      <c r="U234" s="247">
        <v>246.88876801740548</v>
      </c>
      <c r="V234" s="247">
        <v>0</v>
      </c>
      <c r="W234" s="247">
        <v>0</v>
      </c>
      <c r="X234" s="247">
        <v>246.88876801740548</v>
      </c>
      <c r="Y234" s="247">
        <v>70.557002991569178</v>
      </c>
      <c r="Z234" s="247">
        <v>15566.285999999993</v>
      </c>
    </row>
    <row r="235" spans="1:26" ht="12.75" x14ac:dyDescent="0.2">
      <c r="A235" s="269">
        <v>682</v>
      </c>
      <c r="B235" s="269">
        <v>1</v>
      </c>
      <c r="C235" s="270" t="s">
        <v>536</v>
      </c>
      <c r="D235" s="271">
        <v>5</v>
      </c>
      <c r="E235" s="248">
        <v>1242.8499999999999</v>
      </c>
      <c r="F235" s="247">
        <v>33050.639999999999</v>
      </c>
      <c r="G235" s="247">
        <v>72257.705485714294</v>
      </c>
      <c r="H235" s="247">
        <v>254172.8291428572</v>
      </c>
      <c r="I235" s="247">
        <v>0</v>
      </c>
      <c r="J235" s="247">
        <v>0</v>
      </c>
      <c r="K235" s="247">
        <v>0</v>
      </c>
      <c r="L235" s="247">
        <v>0</v>
      </c>
      <c r="M235" s="247">
        <v>105308.34548571429</v>
      </c>
      <c r="N235" s="247">
        <v>254172.8291428572</v>
      </c>
      <c r="O235" s="172"/>
      <c r="P235" s="247">
        <v>26.592621796676994</v>
      </c>
      <c r="Q235" s="247">
        <v>58.138717854700324</v>
      </c>
      <c r="R235" s="247">
        <v>0</v>
      </c>
      <c r="S235" s="247">
        <v>0</v>
      </c>
      <c r="T235" s="248">
        <v>84.731339651377326</v>
      </c>
      <c r="U235" s="247">
        <v>204.50804935660557</v>
      </c>
      <c r="V235" s="247">
        <v>0</v>
      </c>
      <c r="W235" s="247">
        <v>0</v>
      </c>
      <c r="X235" s="247">
        <v>204.50804935660557</v>
      </c>
      <c r="Y235" s="247">
        <v>119.77670970522824</v>
      </c>
      <c r="Z235" s="247">
        <v>148864.4836571429</v>
      </c>
    </row>
    <row r="236" spans="1:26" ht="12.75" x14ac:dyDescent="0.2">
      <c r="A236" s="269">
        <v>690</v>
      </c>
      <c r="B236" s="269">
        <v>1</v>
      </c>
      <c r="C236" s="270" t="s">
        <v>556</v>
      </c>
      <c r="D236" s="271">
        <v>5</v>
      </c>
      <c r="E236" s="248">
        <v>1034.31</v>
      </c>
      <c r="F236" s="247">
        <v>47977.245999999999</v>
      </c>
      <c r="G236" s="247">
        <v>70912.234971428566</v>
      </c>
      <c r="H236" s="247">
        <v>248374.98848571433</v>
      </c>
      <c r="I236" s="247">
        <v>0</v>
      </c>
      <c r="J236" s="247">
        <v>0</v>
      </c>
      <c r="K236" s="247">
        <v>0</v>
      </c>
      <c r="L236" s="247">
        <v>0</v>
      </c>
      <c r="M236" s="247">
        <v>118889.48097142857</v>
      </c>
      <c r="N236" s="247">
        <v>248374.98848571433</v>
      </c>
      <c r="O236" s="172"/>
      <c r="P236" s="247">
        <v>46.385750887064809</v>
      </c>
      <c r="Q236" s="247">
        <v>68.559943316248095</v>
      </c>
      <c r="R236" s="247">
        <v>0</v>
      </c>
      <c r="S236" s="247">
        <v>0</v>
      </c>
      <c r="T236" s="248">
        <v>114.94569420331291</v>
      </c>
      <c r="U236" s="247">
        <v>240.13592490231588</v>
      </c>
      <c r="V236" s="247">
        <v>0</v>
      </c>
      <c r="W236" s="247">
        <v>0</v>
      </c>
      <c r="X236" s="247">
        <v>240.13592490231588</v>
      </c>
      <c r="Y236" s="247">
        <v>125.19023069900298</v>
      </c>
      <c r="Z236" s="247">
        <v>129485.50751428577</v>
      </c>
    </row>
    <row r="237" spans="1:26" ht="12.75" x14ac:dyDescent="0.2">
      <c r="A237" s="269">
        <v>695</v>
      </c>
      <c r="B237" s="269">
        <v>1</v>
      </c>
      <c r="C237" s="270" t="s">
        <v>558</v>
      </c>
      <c r="D237" s="271">
        <v>6</v>
      </c>
      <c r="E237" s="248">
        <v>718.8</v>
      </c>
      <c r="F237" s="247">
        <v>292001.85599999997</v>
      </c>
      <c r="G237" s="247">
        <v>49167</v>
      </c>
      <c r="H237" s="247">
        <v>341168.85599999997</v>
      </c>
      <c r="I237" s="247">
        <v>0</v>
      </c>
      <c r="J237" s="247">
        <v>0</v>
      </c>
      <c r="K237" s="247">
        <v>0</v>
      </c>
      <c r="L237" s="247">
        <v>0</v>
      </c>
      <c r="M237" s="247">
        <v>341168.85599999997</v>
      </c>
      <c r="N237" s="247">
        <v>341168.85599999997</v>
      </c>
      <c r="O237" s="172"/>
      <c r="P237" s="247">
        <v>406.2351919866444</v>
      </c>
      <c r="Q237" s="247">
        <v>68.401502504173621</v>
      </c>
      <c r="R237" s="247">
        <v>0</v>
      </c>
      <c r="S237" s="247">
        <v>0</v>
      </c>
      <c r="T237" s="248">
        <v>474.636694490818</v>
      </c>
      <c r="U237" s="247">
        <v>474.636694490818</v>
      </c>
      <c r="V237" s="247">
        <v>0</v>
      </c>
      <c r="W237" s="247">
        <v>0</v>
      </c>
      <c r="X237" s="247">
        <v>474.636694490818</v>
      </c>
      <c r="Y237" s="247">
        <v>0</v>
      </c>
      <c r="Z237" s="247">
        <v>0</v>
      </c>
    </row>
    <row r="238" spans="1:26" ht="12.75" x14ac:dyDescent="0.2">
      <c r="A238" s="269">
        <v>696</v>
      </c>
      <c r="B238" s="269">
        <v>1</v>
      </c>
      <c r="C238" s="270" t="s">
        <v>559</v>
      </c>
      <c r="D238" s="271">
        <v>6</v>
      </c>
      <c r="E238" s="248">
        <v>525.29</v>
      </c>
      <c r="F238" s="247">
        <v>74822.877999999997</v>
      </c>
      <c r="G238" s="247">
        <v>36168.6</v>
      </c>
      <c r="H238" s="247">
        <v>125768.6</v>
      </c>
      <c r="I238" s="247">
        <v>0</v>
      </c>
      <c r="J238" s="247">
        <v>0</v>
      </c>
      <c r="K238" s="247">
        <v>0</v>
      </c>
      <c r="L238" s="247">
        <v>0</v>
      </c>
      <c r="M238" s="247">
        <v>110991.478</v>
      </c>
      <c r="N238" s="247">
        <v>125768.6</v>
      </c>
      <c r="O238" s="172"/>
      <c r="P238" s="247">
        <v>142.44108587637305</v>
      </c>
      <c r="Q238" s="247">
        <v>68.854537493574981</v>
      </c>
      <c r="R238" s="247">
        <v>0</v>
      </c>
      <c r="S238" s="247">
        <v>0</v>
      </c>
      <c r="T238" s="248">
        <v>211.29562336994806</v>
      </c>
      <c r="U238" s="247">
        <v>239.42698319023779</v>
      </c>
      <c r="V238" s="247">
        <v>0</v>
      </c>
      <c r="W238" s="247">
        <v>0</v>
      </c>
      <c r="X238" s="247">
        <v>239.42698319023779</v>
      </c>
      <c r="Y238" s="247">
        <v>28.131359820289752</v>
      </c>
      <c r="Z238" s="247">
        <v>14777.122000000003</v>
      </c>
    </row>
    <row r="239" spans="1:26" ht="12.75" x14ac:dyDescent="0.2">
      <c r="A239" s="269">
        <v>698</v>
      </c>
      <c r="B239" s="269">
        <v>1</v>
      </c>
      <c r="C239" s="270" t="s">
        <v>560</v>
      </c>
      <c r="D239" s="271">
        <v>6</v>
      </c>
      <c r="E239" s="248">
        <v>330.63</v>
      </c>
      <c r="F239" s="247">
        <v>30742.364000000001</v>
      </c>
      <c r="G239" s="247">
        <v>16685.46857142857</v>
      </c>
      <c r="H239" s="247">
        <v>58785.251828571418</v>
      </c>
      <c r="I239" s="247">
        <v>0</v>
      </c>
      <c r="J239" s="247">
        <v>0</v>
      </c>
      <c r="K239" s="247">
        <v>0</v>
      </c>
      <c r="L239" s="247">
        <v>0</v>
      </c>
      <c r="M239" s="247">
        <v>47427.832571428575</v>
      </c>
      <c r="N239" s="247">
        <v>58785.251828571418</v>
      </c>
      <c r="O239" s="172"/>
      <c r="P239" s="247">
        <v>92.981169282884196</v>
      </c>
      <c r="Q239" s="247">
        <v>50.465682398537851</v>
      </c>
      <c r="R239" s="247">
        <v>0</v>
      </c>
      <c r="S239" s="247">
        <v>0</v>
      </c>
      <c r="T239" s="248">
        <v>143.44685168142206</v>
      </c>
      <c r="U239" s="247">
        <v>177.79769479046493</v>
      </c>
      <c r="V239" s="247">
        <v>0</v>
      </c>
      <c r="W239" s="247">
        <v>0</v>
      </c>
      <c r="X239" s="247">
        <v>177.79769479046493</v>
      </c>
      <c r="Y239" s="247">
        <v>34.35084310904287</v>
      </c>
      <c r="Z239" s="247">
        <v>11357.419257142843</v>
      </c>
    </row>
    <row r="240" spans="1:26" ht="12.75" x14ac:dyDescent="0.2">
      <c r="A240" s="269">
        <v>700</v>
      </c>
      <c r="B240" s="269">
        <v>1</v>
      </c>
      <c r="C240" s="270" t="s">
        <v>561</v>
      </c>
      <c r="D240" s="271">
        <v>4</v>
      </c>
      <c r="E240" s="248">
        <v>2039.53</v>
      </c>
      <c r="F240" s="247">
        <v>89750.423999999999</v>
      </c>
      <c r="G240" s="247">
        <v>143056.80000000002</v>
      </c>
      <c r="H240" s="247">
        <v>500530.6</v>
      </c>
      <c r="I240" s="247">
        <v>0</v>
      </c>
      <c r="J240" s="247">
        <v>0</v>
      </c>
      <c r="K240" s="247">
        <v>0</v>
      </c>
      <c r="L240" s="247">
        <v>0</v>
      </c>
      <c r="M240" s="247">
        <v>232807.22400000002</v>
      </c>
      <c r="N240" s="247">
        <v>500530.6</v>
      </c>
      <c r="O240" s="172"/>
      <c r="P240" s="247">
        <v>44.005444391600022</v>
      </c>
      <c r="Q240" s="247">
        <v>70.142042529406297</v>
      </c>
      <c r="R240" s="247">
        <v>0</v>
      </c>
      <c r="S240" s="247">
        <v>0</v>
      </c>
      <c r="T240" s="248">
        <v>114.14748692100632</v>
      </c>
      <c r="U240" s="247">
        <v>245.41467887209308</v>
      </c>
      <c r="V240" s="247">
        <v>0</v>
      </c>
      <c r="W240" s="247">
        <v>0</v>
      </c>
      <c r="X240" s="247">
        <v>245.41467887209308</v>
      </c>
      <c r="Y240" s="247">
        <v>131.26719195108674</v>
      </c>
      <c r="Z240" s="247">
        <v>267723.37599999993</v>
      </c>
    </row>
    <row r="241" spans="1:26" ht="12.75" x14ac:dyDescent="0.2">
      <c r="A241" s="269">
        <v>701</v>
      </c>
      <c r="B241" s="269">
        <v>1</v>
      </c>
      <c r="C241" s="270" t="s">
        <v>563</v>
      </c>
      <c r="D241" s="271">
        <v>4</v>
      </c>
      <c r="E241" s="248">
        <v>2329.02</v>
      </c>
      <c r="F241" s="247">
        <v>345244.36</v>
      </c>
      <c r="G241" s="247">
        <v>161262</v>
      </c>
      <c r="H241" s="247">
        <v>565544.69999999995</v>
      </c>
      <c r="I241" s="247">
        <v>157789.20000000001</v>
      </c>
      <c r="J241" s="247">
        <v>636787</v>
      </c>
      <c r="K241" s="247">
        <v>157789.20000000001</v>
      </c>
      <c r="L241" s="247">
        <v>636787</v>
      </c>
      <c r="M241" s="247">
        <v>1301082.56</v>
      </c>
      <c r="N241" s="247">
        <v>1360120.9</v>
      </c>
      <c r="O241" s="172"/>
      <c r="P241" s="247">
        <v>148.2358932083022</v>
      </c>
      <c r="Q241" s="247">
        <v>69.240281320040182</v>
      </c>
      <c r="R241" s="247">
        <v>67.749182059406962</v>
      </c>
      <c r="S241" s="247">
        <v>273.41413985281361</v>
      </c>
      <c r="T241" s="248">
        <v>558.63949644056299</v>
      </c>
      <c r="U241" s="247">
        <v>242.82517968931137</v>
      </c>
      <c r="V241" s="247">
        <v>67.749182059406962</v>
      </c>
      <c r="W241" s="247">
        <v>273.41413985281361</v>
      </c>
      <c r="X241" s="247">
        <v>583.98850160153199</v>
      </c>
      <c r="Y241" s="247">
        <v>25.349005160968929</v>
      </c>
      <c r="Z241" s="247">
        <v>59038.339999999851</v>
      </c>
    </row>
    <row r="242" spans="1:26" ht="12.75" x14ac:dyDescent="0.2">
      <c r="A242" s="269">
        <v>704</v>
      </c>
      <c r="B242" s="269">
        <v>1</v>
      </c>
      <c r="C242" s="270" t="s">
        <v>565</v>
      </c>
      <c r="D242" s="271">
        <v>5</v>
      </c>
      <c r="E242" s="248">
        <v>1709.15</v>
      </c>
      <c r="F242" s="247">
        <v>133868.80800000002</v>
      </c>
      <c r="G242" s="247">
        <v>119079.6</v>
      </c>
      <c r="H242" s="247">
        <v>418347</v>
      </c>
      <c r="I242" s="247">
        <v>0</v>
      </c>
      <c r="J242" s="247">
        <v>0</v>
      </c>
      <c r="K242" s="247">
        <v>0</v>
      </c>
      <c r="L242" s="247">
        <v>0</v>
      </c>
      <c r="M242" s="247">
        <v>252948.40800000002</v>
      </c>
      <c r="N242" s="247">
        <v>418347</v>
      </c>
      <c r="O242" s="172"/>
      <c r="P242" s="247">
        <v>78.324786004739209</v>
      </c>
      <c r="Q242" s="247">
        <v>69.671825176257201</v>
      </c>
      <c r="R242" s="247">
        <v>0</v>
      </c>
      <c r="S242" s="247">
        <v>0</v>
      </c>
      <c r="T242" s="248">
        <v>147.99661118099641</v>
      </c>
      <c r="U242" s="247">
        <v>244.7690372407337</v>
      </c>
      <c r="V242" s="247">
        <v>0</v>
      </c>
      <c r="W242" s="247">
        <v>0</v>
      </c>
      <c r="X242" s="247">
        <v>244.7690372407337</v>
      </c>
      <c r="Y242" s="247">
        <v>96.772426059737271</v>
      </c>
      <c r="Z242" s="247">
        <v>165398.59199999998</v>
      </c>
    </row>
    <row r="243" spans="1:26" ht="12.75" x14ac:dyDescent="0.2">
      <c r="A243" s="269">
        <v>706</v>
      </c>
      <c r="B243" s="269">
        <v>1</v>
      </c>
      <c r="C243" s="270" t="s">
        <v>516</v>
      </c>
      <c r="D243" s="271">
        <v>5</v>
      </c>
      <c r="E243" s="248">
        <v>1710.08</v>
      </c>
      <c r="F243" s="247">
        <v>209002.58199999999</v>
      </c>
      <c r="G243" s="247">
        <v>117018.59999999999</v>
      </c>
      <c r="H243" s="247">
        <v>411049.10000000003</v>
      </c>
      <c r="I243" s="247">
        <v>0</v>
      </c>
      <c r="J243" s="247">
        <v>0</v>
      </c>
      <c r="K243" s="247">
        <v>0</v>
      </c>
      <c r="L243" s="247">
        <v>0</v>
      </c>
      <c r="M243" s="247">
        <v>326021.18199999997</v>
      </c>
      <c r="N243" s="247">
        <v>411049.10000000003</v>
      </c>
      <c r="O243" s="172"/>
      <c r="P243" s="247">
        <v>122.2180143619012</v>
      </c>
      <c r="Q243" s="247">
        <v>68.428728480538922</v>
      </c>
      <c r="R243" s="247">
        <v>0</v>
      </c>
      <c r="S243" s="247">
        <v>0</v>
      </c>
      <c r="T243" s="248">
        <v>190.64674284244012</v>
      </c>
      <c r="U243" s="247">
        <v>240.36834534056888</v>
      </c>
      <c r="V243" s="247">
        <v>0</v>
      </c>
      <c r="W243" s="247">
        <v>0</v>
      </c>
      <c r="X243" s="247">
        <v>240.36834534056888</v>
      </c>
      <c r="Y243" s="247">
        <v>49.721602498128782</v>
      </c>
      <c r="Z243" s="247">
        <v>85027.918000000063</v>
      </c>
    </row>
    <row r="244" spans="1:26" ht="12.75" x14ac:dyDescent="0.2">
      <c r="A244" s="269">
        <v>707</v>
      </c>
      <c r="B244" s="269">
        <v>1</v>
      </c>
      <c r="C244" s="270" t="s">
        <v>567</v>
      </c>
      <c r="D244" s="271">
        <v>6</v>
      </c>
      <c r="E244" s="248">
        <v>127.86000000000001</v>
      </c>
      <c r="F244" s="247">
        <v>8482.9760000000006</v>
      </c>
      <c r="G244" s="247">
        <v>4965.7213714285699</v>
      </c>
      <c r="H244" s="247">
        <v>17430.958742857139</v>
      </c>
      <c r="I244" s="247">
        <v>0</v>
      </c>
      <c r="J244" s="247">
        <v>0</v>
      </c>
      <c r="K244" s="247">
        <v>0</v>
      </c>
      <c r="L244" s="247">
        <v>0</v>
      </c>
      <c r="M244" s="247">
        <v>13448.69737142857</v>
      </c>
      <c r="N244" s="247">
        <v>17430.958742857139</v>
      </c>
      <c r="O244" s="172"/>
      <c r="P244" s="247">
        <v>66.34581573596121</v>
      </c>
      <c r="Q244" s="247">
        <v>38.837176375946889</v>
      </c>
      <c r="R244" s="247">
        <v>0</v>
      </c>
      <c r="S244" s="247">
        <v>0</v>
      </c>
      <c r="T244" s="248">
        <v>105.18299211190809</v>
      </c>
      <c r="U244" s="247">
        <v>136.32847444749834</v>
      </c>
      <c r="V244" s="247">
        <v>0</v>
      </c>
      <c r="W244" s="247">
        <v>0</v>
      </c>
      <c r="X244" s="247">
        <v>136.32847444749834</v>
      </c>
      <c r="Y244" s="247">
        <v>31.145482335590245</v>
      </c>
      <c r="Z244" s="247">
        <v>3982.261371428569</v>
      </c>
    </row>
    <row r="245" spans="1:26" ht="12.75" x14ac:dyDescent="0.2">
      <c r="A245" s="269">
        <v>709</v>
      </c>
      <c r="B245" s="269">
        <v>1</v>
      </c>
      <c r="C245" s="270" t="s">
        <v>569</v>
      </c>
      <c r="D245" s="271">
        <v>4</v>
      </c>
      <c r="E245" s="248">
        <v>8618.3900000000012</v>
      </c>
      <c r="F245" s="247">
        <v>0</v>
      </c>
      <c r="G245" s="247">
        <v>0</v>
      </c>
      <c r="H245" s="247">
        <v>0</v>
      </c>
      <c r="I245" s="247">
        <v>370081.36</v>
      </c>
      <c r="J245" s="247">
        <v>2255170</v>
      </c>
      <c r="K245" s="247">
        <v>370081.36</v>
      </c>
      <c r="L245" s="247">
        <v>2255170</v>
      </c>
      <c r="M245" s="247">
        <v>2625251.36</v>
      </c>
      <c r="N245" s="247">
        <v>2625251.36</v>
      </c>
      <c r="O245" s="172"/>
      <c r="P245" s="247">
        <v>0</v>
      </c>
      <c r="Q245" s="247">
        <v>0</v>
      </c>
      <c r="R245" s="247">
        <v>42.940892672529316</v>
      </c>
      <c r="S245" s="247">
        <v>261.66952296194529</v>
      </c>
      <c r="T245" s="248">
        <v>304.61041563447458</v>
      </c>
      <c r="U245" s="247">
        <v>0</v>
      </c>
      <c r="V245" s="247">
        <v>42.940892672529316</v>
      </c>
      <c r="W245" s="247">
        <v>261.66952296194529</v>
      </c>
      <c r="X245" s="247">
        <v>304.61041563447458</v>
      </c>
      <c r="Y245" s="247">
        <v>0</v>
      </c>
      <c r="Z245" s="247">
        <v>0</v>
      </c>
    </row>
    <row r="246" spans="1:26" ht="12.75" x14ac:dyDescent="0.2">
      <c r="A246" s="269">
        <v>712</v>
      </c>
      <c r="B246" s="269">
        <v>1</v>
      </c>
      <c r="C246" s="270" t="s">
        <v>571</v>
      </c>
      <c r="D246" s="271">
        <v>6</v>
      </c>
      <c r="E246" s="248">
        <v>488.57</v>
      </c>
      <c r="F246" s="247">
        <v>153561.69200000001</v>
      </c>
      <c r="G246" s="247">
        <v>34275</v>
      </c>
      <c r="H246" s="247">
        <v>187836.69200000001</v>
      </c>
      <c r="I246" s="247">
        <v>0</v>
      </c>
      <c r="J246" s="247">
        <v>0</v>
      </c>
      <c r="K246" s="247">
        <v>0</v>
      </c>
      <c r="L246" s="247">
        <v>0</v>
      </c>
      <c r="M246" s="247">
        <v>187836.69200000001</v>
      </c>
      <c r="N246" s="247">
        <v>187836.69200000001</v>
      </c>
      <c r="O246" s="172"/>
      <c r="P246" s="247">
        <v>314.30847575577707</v>
      </c>
      <c r="Q246" s="247">
        <v>70.15371389974824</v>
      </c>
      <c r="R246" s="247">
        <v>0</v>
      </c>
      <c r="S246" s="247">
        <v>0</v>
      </c>
      <c r="T246" s="248">
        <v>384.46218965552532</v>
      </c>
      <c r="U246" s="247">
        <v>384.46218965552532</v>
      </c>
      <c r="V246" s="247">
        <v>0</v>
      </c>
      <c r="W246" s="247">
        <v>0</v>
      </c>
      <c r="X246" s="247">
        <v>384.46218965552532</v>
      </c>
      <c r="Y246" s="247">
        <v>0</v>
      </c>
      <c r="Z246" s="247">
        <v>0</v>
      </c>
    </row>
    <row r="247" spans="1:26" ht="12.75" x14ac:dyDescent="0.2">
      <c r="A247" s="269">
        <v>716</v>
      </c>
      <c r="B247" s="269">
        <v>1</v>
      </c>
      <c r="C247" s="270" t="s">
        <v>573</v>
      </c>
      <c r="D247" s="271">
        <v>3</v>
      </c>
      <c r="E247" s="248">
        <v>1628.08</v>
      </c>
      <c r="F247" s="247">
        <v>95182.373999999982</v>
      </c>
      <c r="G247" s="247">
        <v>97609.088571428569</v>
      </c>
      <c r="H247" s="247">
        <v>342977.33005714288</v>
      </c>
      <c r="I247" s="247">
        <v>0</v>
      </c>
      <c r="J247" s="247">
        <v>328418</v>
      </c>
      <c r="K247" s="247">
        <v>0</v>
      </c>
      <c r="L247" s="247">
        <v>328418</v>
      </c>
      <c r="M247" s="247">
        <v>521209.46257142856</v>
      </c>
      <c r="N247" s="247">
        <v>671395.33005714288</v>
      </c>
      <c r="O247" s="172"/>
      <c r="P247" s="247">
        <v>58.462958822662266</v>
      </c>
      <c r="Q247" s="247">
        <v>59.953496493678799</v>
      </c>
      <c r="R247" s="247">
        <v>0</v>
      </c>
      <c r="S247" s="247">
        <v>201.72104564886249</v>
      </c>
      <c r="T247" s="248">
        <v>320.13750096520357</v>
      </c>
      <c r="U247" s="247">
        <v>210.6636836378697</v>
      </c>
      <c r="V247" s="247">
        <v>0</v>
      </c>
      <c r="W247" s="247">
        <v>201.72104564886249</v>
      </c>
      <c r="X247" s="247">
        <v>412.38472928673218</v>
      </c>
      <c r="Y247" s="247">
        <v>92.247228321528624</v>
      </c>
      <c r="Z247" s="247">
        <v>150185.86748571432</v>
      </c>
    </row>
    <row r="248" spans="1:26" ht="12.75" x14ac:dyDescent="0.2">
      <c r="A248" s="269">
        <v>717</v>
      </c>
      <c r="B248" s="269">
        <v>1</v>
      </c>
      <c r="C248" s="270" t="s">
        <v>575</v>
      </c>
      <c r="D248" s="271">
        <v>3</v>
      </c>
      <c r="E248" s="248">
        <v>1767.23</v>
      </c>
      <c r="F248" s="247">
        <v>68541.116000000009</v>
      </c>
      <c r="G248" s="247">
        <v>96564.481714285706</v>
      </c>
      <c r="H248" s="247">
        <v>339293.55805714283</v>
      </c>
      <c r="I248" s="247">
        <v>194000</v>
      </c>
      <c r="J248" s="247">
        <v>0</v>
      </c>
      <c r="K248" s="247">
        <v>194000</v>
      </c>
      <c r="L248" s="247">
        <v>0</v>
      </c>
      <c r="M248" s="247">
        <v>359105.59771428572</v>
      </c>
      <c r="N248" s="247">
        <v>533293.55805714289</v>
      </c>
      <c r="O248" s="172"/>
      <c r="P248" s="247">
        <v>38.784490983063897</v>
      </c>
      <c r="Q248" s="247">
        <v>54.641717102066913</v>
      </c>
      <c r="R248" s="247">
        <v>109.77631660847767</v>
      </c>
      <c r="S248" s="247">
        <v>0</v>
      </c>
      <c r="T248" s="248">
        <v>203.20252469360847</v>
      </c>
      <c r="U248" s="247">
        <v>191.99173738400933</v>
      </c>
      <c r="V248" s="247">
        <v>109.77631660847767</v>
      </c>
      <c r="W248" s="247">
        <v>0</v>
      </c>
      <c r="X248" s="247">
        <v>301.76805399248707</v>
      </c>
      <c r="Y248" s="247">
        <v>98.565529298878573</v>
      </c>
      <c r="Z248" s="247">
        <v>174187.96034285717</v>
      </c>
    </row>
    <row r="249" spans="1:26" ht="12.75" x14ac:dyDescent="0.2">
      <c r="A249" s="269">
        <v>719</v>
      </c>
      <c r="B249" s="269">
        <v>1</v>
      </c>
      <c r="C249" s="270" t="s">
        <v>576</v>
      </c>
      <c r="D249" s="271">
        <v>3</v>
      </c>
      <c r="E249" s="248">
        <v>7141.87</v>
      </c>
      <c r="F249" s="247">
        <v>286059.14199999999</v>
      </c>
      <c r="G249" s="247">
        <v>302846.06125714292</v>
      </c>
      <c r="H249" s="247">
        <v>1065553.3918857144</v>
      </c>
      <c r="I249" s="247">
        <v>0</v>
      </c>
      <c r="J249" s="247">
        <v>0</v>
      </c>
      <c r="K249" s="247">
        <v>0</v>
      </c>
      <c r="L249" s="247">
        <v>0</v>
      </c>
      <c r="M249" s="247">
        <v>588905.20325714292</v>
      </c>
      <c r="N249" s="247">
        <v>1065553.3918857144</v>
      </c>
      <c r="O249" s="172"/>
      <c r="P249" s="247">
        <v>40.05381531727685</v>
      </c>
      <c r="Q249" s="247">
        <v>42.404308851483286</v>
      </c>
      <c r="R249" s="247">
        <v>0</v>
      </c>
      <c r="S249" s="247">
        <v>0</v>
      </c>
      <c r="T249" s="248">
        <v>82.458124168760136</v>
      </c>
      <c r="U249" s="247">
        <v>149.19809404059643</v>
      </c>
      <c r="V249" s="247">
        <v>0</v>
      </c>
      <c r="W249" s="247">
        <v>0</v>
      </c>
      <c r="X249" s="247">
        <v>149.19809404059643</v>
      </c>
      <c r="Y249" s="247">
        <v>66.739969871836294</v>
      </c>
      <c r="Z249" s="247">
        <v>476648.18862857146</v>
      </c>
    </row>
    <row r="250" spans="1:26" ht="12.75" x14ac:dyDescent="0.2">
      <c r="A250" s="269">
        <v>720</v>
      </c>
      <c r="B250" s="269">
        <v>1</v>
      </c>
      <c r="C250" s="270" t="s">
        <v>574</v>
      </c>
      <c r="D250" s="271">
        <v>3</v>
      </c>
      <c r="E250" s="248">
        <v>7594.49</v>
      </c>
      <c r="F250" s="247">
        <v>0</v>
      </c>
      <c r="G250" s="247">
        <v>336254.64171428577</v>
      </c>
      <c r="H250" s="247">
        <v>1179598.7322000002</v>
      </c>
      <c r="I250" s="247">
        <v>0</v>
      </c>
      <c r="J250" s="247">
        <v>0</v>
      </c>
      <c r="K250" s="247">
        <v>0</v>
      </c>
      <c r="L250" s="247">
        <v>0</v>
      </c>
      <c r="M250" s="247">
        <v>336254.64171428577</v>
      </c>
      <c r="N250" s="247">
        <v>1179598.7322000002</v>
      </c>
      <c r="O250" s="172"/>
      <c r="P250" s="247">
        <v>0</v>
      </c>
      <c r="Q250" s="247">
        <v>44.27613200021144</v>
      </c>
      <c r="R250" s="247">
        <v>0</v>
      </c>
      <c r="S250" s="247">
        <v>0</v>
      </c>
      <c r="T250" s="248">
        <v>44.27613200021144</v>
      </c>
      <c r="U250" s="247">
        <v>155.32296865227292</v>
      </c>
      <c r="V250" s="247">
        <v>0</v>
      </c>
      <c r="W250" s="247">
        <v>0</v>
      </c>
      <c r="X250" s="247">
        <v>155.32296865227292</v>
      </c>
      <c r="Y250" s="247">
        <v>111.04683665206149</v>
      </c>
      <c r="Z250" s="247">
        <v>843344.09048571438</v>
      </c>
    </row>
    <row r="251" spans="1:26" ht="12.75" x14ac:dyDescent="0.2">
      <c r="A251" s="269">
        <v>721</v>
      </c>
      <c r="B251" s="269">
        <v>1</v>
      </c>
      <c r="C251" s="270" t="s">
        <v>457</v>
      </c>
      <c r="D251" s="271">
        <v>3</v>
      </c>
      <c r="E251" s="248">
        <v>3919.09</v>
      </c>
      <c r="F251" s="247">
        <v>159766.31599999999</v>
      </c>
      <c r="G251" s="247">
        <v>197858.16411428567</v>
      </c>
      <c r="H251" s="247">
        <v>695577.78651428572</v>
      </c>
      <c r="I251" s="247">
        <v>0</v>
      </c>
      <c r="J251" s="247">
        <v>0</v>
      </c>
      <c r="K251" s="247">
        <v>0</v>
      </c>
      <c r="L251" s="247">
        <v>0</v>
      </c>
      <c r="M251" s="247">
        <v>357624.48011428566</v>
      </c>
      <c r="N251" s="247">
        <v>695577.78651428572</v>
      </c>
      <c r="O251" s="172"/>
      <c r="P251" s="247">
        <v>40.76617684207303</v>
      </c>
      <c r="Q251" s="247">
        <v>50.485741361970675</v>
      </c>
      <c r="R251" s="247">
        <v>0</v>
      </c>
      <c r="S251" s="247">
        <v>0</v>
      </c>
      <c r="T251" s="248">
        <v>91.251918204043704</v>
      </c>
      <c r="U251" s="247">
        <v>177.48451464862652</v>
      </c>
      <c r="V251" s="247">
        <v>0</v>
      </c>
      <c r="W251" s="247">
        <v>0</v>
      </c>
      <c r="X251" s="247">
        <v>177.48451464862652</v>
      </c>
      <c r="Y251" s="247">
        <v>86.232596444582811</v>
      </c>
      <c r="Z251" s="247">
        <v>337953.30640000006</v>
      </c>
    </row>
    <row r="252" spans="1:26" ht="12.75" x14ac:dyDescent="0.2">
      <c r="A252" s="269">
        <v>726</v>
      </c>
      <c r="B252" s="269">
        <v>1</v>
      </c>
      <c r="C252" s="270" t="s">
        <v>339</v>
      </c>
      <c r="D252" s="271">
        <v>4</v>
      </c>
      <c r="E252" s="248">
        <v>2806.75</v>
      </c>
      <c r="F252" s="247">
        <v>237428.492</v>
      </c>
      <c r="G252" s="247">
        <v>136991.1042857143</v>
      </c>
      <c r="H252" s="247">
        <v>481936.8414285715</v>
      </c>
      <c r="I252" s="247">
        <v>0</v>
      </c>
      <c r="J252" s="247">
        <v>227818</v>
      </c>
      <c r="K252" s="247">
        <v>0</v>
      </c>
      <c r="L252" s="247">
        <v>227818</v>
      </c>
      <c r="M252" s="247">
        <v>602237.5962857143</v>
      </c>
      <c r="N252" s="247">
        <v>709754.8414285715</v>
      </c>
      <c r="O252" s="172"/>
      <c r="P252" s="247">
        <v>84.591962946468328</v>
      </c>
      <c r="Q252" s="247">
        <v>48.807732888826685</v>
      </c>
      <c r="R252" s="247">
        <v>0</v>
      </c>
      <c r="S252" s="247">
        <v>81.167898815355841</v>
      </c>
      <c r="T252" s="248">
        <v>214.56759465065085</v>
      </c>
      <c r="U252" s="247">
        <v>171.70636552189239</v>
      </c>
      <c r="V252" s="247">
        <v>0</v>
      </c>
      <c r="W252" s="247">
        <v>81.167898815355841</v>
      </c>
      <c r="X252" s="247">
        <v>252.87426433724823</v>
      </c>
      <c r="Y252" s="247">
        <v>38.306669686597381</v>
      </c>
      <c r="Z252" s="247">
        <v>107517.24514285719</v>
      </c>
    </row>
    <row r="253" spans="1:26" ht="12.75" x14ac:dyDescent="0.2">
      <c r="A253" s="269">
        <v>727</v>
      </c>
      <c r="B253" s="269">
        <v>1</v>
      </c>
      <c r="C253" s="270" t="s">
        <v>521</v>
      </c>
      <c r="D253" s="271">
        <v>4</v>
      </c>
      <c r="E253" s="248">
        <v>3358.95</v>
      </c>
      <c r="F253" s="247">
        <v>223139.63</v>
      </c>
      <c r="G253" s="247">
        <v>128533.42080000001</v>
      </c>
      <c r="H253" s="247">
        <v>451675.43520000001</v>
      </c>
      <c r="I253" s="247">
        <v>0</v>
      </c>
      <c r="J253" s="247">
        <v>0</v>
      </c>
      <c r="K253" s="247">
        <v>0</v>
      </c>
      <c r="L253" s="247">
        <v>0</v>
      </c>
      <c r="M253" s="247">
        <v>351673.05080000003</v>
      </c>
      <c r="N253" s="247">
        <v>451675.43520000001</v>
      </c>
      <c r="O253" s="172"/>
      <c r="P253" s="247">
        <v>66.431363967906648</v>
      </c>
      <c r="Q253" s="247">
        <v>38.265952395837992</v>
      </c>
      <c r="R253" s="247">
        <v>0</v>
      </c>
      <c r="S253" s="247">
        <v>0</v>
      </c>
      <c r="T253" s="248">
        <v>104.69731636374463</v>
      </c>
      <c r="U253" s="247">
        <v>134.46923449292191</v>
      </c>
      <c r="V253" s="247">
        <v>0</v>
      </c>
      <c r="W253" s="247">
        <v>0</v>
      </c>
      <c r="X253" s="247">
        <v>134.46923449292191</v>
      </c>
      <c r="Y253" s="247">
        <v>29.771918129177269</v>
      </c>
      <c r="Z253" s="247">
        <v>100002.38439999998</v>
      </c>
    </row>
    <row r="254" spans="1:26" ht="12.75" x14ac:dyDescent="0.2">
      <c r="A254" s="269">
        <v>728</v>
      </c>
      <c r="B254" s="269">
        <v>1</v>
      </c>
      <c r="C254" s="270" t="s">
        <v>308</v>
      </c>
      <c r="D254" s="271">
        <v>4</v>
      </c>
      <c r="E254" s="248">
        <v>12561.31</v>
      </c>
      <c r="F254" s="247">
        <v>552176.73800000013</v>
      </c>
      <c r="G254" s="247">
        <v>0</v>
      </c>
      <c r="H254" s="247">
        <v>0</v>
      </c>
      <c r="I254" s="247">
        <v>3523349</v>
      </c>
      <c r="J254" s="247">
        <v>1807904</v>
      </c>
      <c r="K254" s="247">
        <v>4075525.7379999999</v>
      </c>
      <c r="L254" s="247">
        <v>1807904</v>
      </c>
      <c r="M254" s="247">
        <v>5883429.7379999999</v>
      </c>
      <c r="N254" s="247">
        <v>5883429.7379999999</v>
      </c>
      <c r="O254" s="172"/>
      <c r="P254" s="247">
        <v>43.958531235993711</v>
      </c>
      <c r="Q254" s="247">
        <v>0</v>
      </c>
      <c r="R254" s="247">
        <v>280.49216204360852</v>
      </c>
      <c r="S254" s="247">
        <v>143.92638984309758</v>
      </c>
      <c r="T254" s="248">
        <v>468.37708312269979</v>
      </c>
      <c r="U254" s="247">
        <v>0</v>
      </c>
      <c r="V254" s="247">
        <v>324.45069327960221</v>
      </c>
      <c r="W254" s="247">
        <v>143.92638984309758</v>
      </c>
      <c r="X254" s="247">
        <v>468.37708312269979</v>
      </c>
      <c r="Y254" s="247">
        <v>0</v>
      </c>
      <c r="Z254" s="247">
        <v>0</v>
      </c>
    </row>
    <row r="255" spans="1:26" ht="12.75" x14ac:dyDescent="0.2">
      <c r="A255" s="269">
        <v>738</v>
      </c>
      <c r="B255" s="269">
        <v>1</v>
      </c>
      <c r="C255" s="270" t="s">
        <v>432</v>
      </c>
      <c r="D255" s="271">
        <v>5</v>
      </c>
      <c r="E255" s="248">
        <v>999.03</v>
      </c>
      <c r="F255" s="247">
        <v>32594.346000000001</v>
      </c>
      <c r="G255" s="247">
        <v>58452.346799999992</v>
      </c>
      <c r="H255" s="247">
        <v>205838.8542</v>
      </c>
      <c r="I255" s="247">
        <v>0</v>
      </c>
      <c r="J255" s="247">
        <v>102223</v>
      </c>
      <c r="K255" s="247">
        <v>0</v>
      </c>
      <c r="L255" s="247">
        <v>102223</v>
      </c>
      <c r="M255" s="247">
        <v>193269.69279999999</v>
      </c>
      <c r="N255" s="247">
        <v>308061.8542</v>
      </c>
      <c r="O255" s="172"/>
      <c r="P255" s="247">
        <v>32.625993213417019</v>
      </c>
      <c r="Q255" s="247">
        <v>58.509100627608774</v>
      </c>
      <c r="R255" s="247">
        <v>0</v>
      </c>
      <c r="S255" s="247">
        <v>102.32225258500746</v>
      </c>
      <c r="T255" s="248">
        <v>193.45734642603324</v>
      </c>
      <c r="U255" s="247">
        <v>206.03871175039788</v>
      </c>
      <c r="V255" s="247">
        <v>0</v>
      </c>
      <c r="W255" s="247">
        <v>102.32225258500746</v>
      </c>
      <c r="X255" s="247">
        <v>308.36096433540536</v>
      </c>
      <c r="Y255" s="247">
        <v>114.9036179093721</v>
      </c>
      <c r="Z255" s="247">
        <v>114792.16140000001</v>
      </c>
    </row>
    <row r="256" spans="1:26" ht="12.75" x14ac:dyDescent="0.2">
      <c r="A256" s="269">
        <v>739</v>
      </c>
      <c r="B256" s="269">
        <v>1</v>
      </c>
      <c r="C256" s="270" t="s">
        <v>550</v>
      </c>
      <c r="D256" s="271">
        <v>6</v>
      </c>
      <c r="E256" s="248">
        <v>669.53</v>
      </c>
      <c r="F256" s="247">
        <v>36919.841999999997</v>
      </c>
      <c r="G256" s="247">
        <v>42475.409828571428</v>
      </c>
      <c r="H256" s="247">
        <v>148395.49860000002</v>
      </c>
      <c r="I256" s="247">
        <v>0</v>
      </c>
      <c r="J256" s="247">
        <v>0</v>
      </c>
      <c r="K256" s="247">
        <v>0</v>
      </c>
      <c r="L256" s="247">
        <v>0</v>
      </c>
      <c r="M256" s="247">
        <v>79395.251828571432</v>
      </c>
      <c r="N256" s="247">
        <v>148395.49860000002</v>
      </c>
      <c r="O256" s="172"/>
      <c r="P256" s="247">
        <v>55.142924140815197</v>
      </c>
      <c r="Q256" s="247">
        <v>63.440637206057133</v>
      </c>
      <c r="R256" s="247">
        <v>0</v>
      </c>
      <c r="S256" s="247">
        <v>0</v>
      </c>
      <c r="T256" s="248">
        <v>118.58356134687233</v>
      </c>
      <c r="U256" s="247">
        <v>221.64129852284444</v>
      </c>
      <c r="V256" s="247">
        <v>0</v>
      </c>
      <c r="W256" s="247">
        <v>0</v>
      </c>
      <c r="X256" s="247">
        <v>221.64129852284444</v>
      </c>
      <c r="Y256" s="247">
        <v>103.05773717597209</v>
      </c>
      <c r="Z256" s="247">
        <v>69000.246771428589</v>
      </c>
    </row>
    <row r="257" spans="1:26" ht="12.75" x14ac:dyDescent="0.2">
      <c r="A257" s="269">
        <v>740</v>
      </c>
      <c r="B257" s="269">
        <v>1</v>
      </c>
      <c r="C257" s="270" t="s">
        <v>584</v>
      </c>
      <c r="D257" s="271">
        <v>5</v>
      </c>
      <c r="E257" s="248">
        <v>1357.6399999999999</v>
      </c>
      <c r="F257" s="247">
        <v>54483.811999999998</v>
      </c>
      <c r="G257" s="247">
        <v>83758.002342857144</v>
      </c>
      <c r="H257" s="247">
        <v>295107.50234285713</v>
      </c>
      <c r="I257" s="247">
        <v>0</v>
      </c>
      <c r="J257" s="247">
        <v>274631</v>
      </c>
      <c r="K257" s="247">
        <v>0</v>
      </c>
      <c r="L257" s="247">
        <v>274631</v>
      </c>
      <c r="M257" s="247">
        <v>412872.81434285711</v>
      </c>
      <c r="N257" s="247">
        <v>569738.50234285719</v>
      </c>
      <c r="O257" s="172"/>
      <c r="P257" s="247">
        <v>40.131266020447249</v>
      </c>
      <c r="Q257" s="247">
        <v>61.69382335733858</v>
      </c>
      <c r="R257" s="247">
        <v>0</v>
      </c>
      <c r="S257" s="247">
        <v>202.28558380719485</v>
      </c>
      <c r="T257" s="248">
        <v>304.11067318498067</v>
      </c>
      <c r="U257" s="247">
        <v>217.36800797181664</v>
      </c>
      <c r="V257" s="247">
        <v>0</v>
      </c>
      <c r="W257" s="247">
        <v>202.28558380719485</v>
      </c>
      <c r="X257" s="247">
        <v>419.65359177901155</v>
      </c>
      <c r="Y257" s="247">
        <v>115.54291859403089</v>
      </c>
      <c r="Z257" s="247">
        <v>156865.68800000008</v>
      </c>
    </row>
    <row r="258" spans="1:26" ht="12.75" x14ac:dyDescent="0.2">
      <c r="A258" s="269">
        <v>741</v>
      </c>
      <c r="B258" s="269">
        <v>1</v>
      </c>
      <c r="C258" s="270" t="s">
        <v>585</v>
      </c>
      <c r="D258" s="271">
        <v>5</v>
      </c>
      <c r="E258" s="248">
        <v>1004.6899999999999</v>
      </c>
      <c r="F258" s="247">
        <v>68377.952000000005</v>
      </c>
      <c r="G258" s="247">
        <v>69328.800000000003</v>
      </c>
      <c r="H258" s="247">
        <v>243937.99999999997</v>
      </c>
      <c r="I258" s="247">
        <v>0</v>
      </c>
      <c r="J258" s="247">
        <v>0</v>
      </c>
      <c r="K258" s="247">
        <v>0</v>
      </c>
      <c r="L258" s="247">
        <v>0</v>
      </c>
      <c r="M258" s="247">
        <v>137706.75200000001</v>
      </c>
      <c r="N258" s="247">
        <v>243937.99999999997</v>
      </c>
      <c r="O258" s="172"/>
      <c r="P258" s="247">
        <v>68.058756432332373</v>
      </c>
      <c r="Q258" s="247">
        <v>69.005165772526851</v>
      </c>
      <c r="R258" s="247">
        <v>0</v>
      </c>
      <c r="S258" s="247">
        <v>0</v>
      </c>
      <c r="T258" s="248">
        <v>137.06392220485924</v>
      </c>
      <c r="U258" s="247">
        <v>242.799271417054</v>
      </c>
      <c r="V258" s="247">
        <v>0</v>
      </c>
      <c r="W258" s="247">
        <v>0</v>
      </c>
      <c r="X258" s="247">
        <v>242.799271417054</v>
      </c>
      <c r="Y258" s="247">
        <v>105.73534921219478</v>
      </c>
      <c r="Z258" s="247">
        <v>106231.24799999996</v>
      </c>
    </row>
    <row r="259" spans="1:26" ht="12.75" x14ac:dyDescent="0.2">
      <c r="A259" s="269">
        <v>742</v>
      </c>
      <c r="B259" s="269">
        <v>1</v>
      </c>
      <c r="C259" s="270" t="s">
        <v>587</v>
      </c>
      <c r="D259" s="271">
        <v>4</v>
      </c>
      <c r="E259" s="248">
        <v>9444.7599999999984</v>
      </c>
      <c r="F259" s="247">
        <v>936005.64600000007</v>
      </c>
      <c r="G259" s="247">
        <v>0</v>
      </c>
      <c r="H259" s="247">
        <v>0</v>
      </c>
      <c r="I259" s="247">
        <v>2061080.2</v>
      </c>
      <c r="J259" s="247">
        <v>0</v>
      </c>
      <c r="K259" s="247">
        <v>2997085.8459999999</v>
      </c>
      <c r="L259" s="247">
        <v>0</v>
      </c>
      <c r="M259" s="247">
        <v>2997085.8459999999</v>
      </c>
      <c r="N259" s="247">
        <v>2997085.8459999999</v>
      </c>
      <c r="O259" s="172"/>
      <c r="P259" s="247">
        <v>99.10316895294325</v>
      </c>
      <c r="Q259" s="247">
        <v>0</v>
      </c>
      <c r="R259" s="247">
        <v>218.22472990314211</v>
      </c>
      <c r="S259" s="247">
        <v>0</v>
      </c>
      <c r="T259" s="248">
        <v>317.32789885608531</v>
      </c>
      <c r="U259" s="247">
        <v>0</v>
      </c>
      <c r="V259" s="247">
        <v>317.32789885608531</v>
      </c>
      <c r="W259" s="247">
        <v>0</v>
      </c>
      <c r="X259" s="247">
        <v>317.32789885608531</v>
      </c>
      <c r="Y259" s="247">
        <v>0</v>
      </c>
      <c r="Z259" s="247">
        <v>0</v>
      </c>
    </row>
    <row r="260" spans="1:26" ht="12.75" x14ac:dyDescent="0.2">
      <c r="A260" s="269">
        <v>743</v>
      </c>
      <c r="B260" s="269">
        <v>1</v>
      </c>
      <c r="C260" s="270" t="s">
        <v>466</v>
      </c>
      <c r="D260" s="271">
        <v>5</v>
      </c>
      <c r="E260" s="248">
        <v>940.93</v>
      </c>
      <c r="F260" s="247">
        <v>80644.78</v>
      </c>
      <c r="G260" s="247">
        <v>62674.837028571426</v>
      </c>
      <c r="H260" s="247">
        <v>219415.42102857147</v>
      </c>
      <c r="I260" s="247">
        <v>0</v>
      </c>
      <c r="J260" s="247">
        <v>0</v>
      </c>
      <c r="K260" s="247">
        <v>0</v>
      </c>
      <c r="L260" s="247">
        <v>0</v>
      </c>
      <c r="M260" s="247">
        <v>143319.61702857143</v>
      </c>
      <c r="N260" s="247">
        <v>219415.42102857147</v>
      </c>
      <c r="O260" s="172"/>
      <c r="P260" s="247">
        <v>85.707523407692392</v>
      </c>
      <c r="Q260" s="247">
        <v>66.609457694590915</v>
      </c>
      <c r="R260" s="247">
        <v>0</v>
      </c>
      <c r="S260" s="247">
        <v>0</v>
      </c>
      <c r="T260" s="248">
        <v>152.31698110228331</v>
      </c>
      <c r="U260" s="247">
        <v>233.18995146139613</v>
      </c>
      <c r="V260" s="247">
        <v>0</v>
      </c>
      <c r="W260" s="247">
        <v>0</v>
      </c>
      <c r="X260" s="247">
        <v>233.18995146139613</v>
      </c>
      <c r="Y260" s="247">
        <v>80.872970359112827</v>
      </c>
      <c r="Z260" s="247">
        <v>76095.804000000033</v>
      </c>
    </row>
    <row r="261" spans="1:26" ht="12.75" x14ac:dyDescent="0.2">
      <c r="A261" s="269">
        <v>745</v>
      </c>
      <c r="B261" s="269">
        <v>1</v>
      </c>
      <c r="C261" s="270" t="s">
        <v>328</v>
      </c>
      <c r="D261" s="271">
        <v>5</v>
      </c>
      <c r="E261" s="248">
        <v>1684.94</v>
      </c>
      <c r="F261" s="247">
        <v>39993.871999999996</v>
      </c>
      <c r="G261" s="247">
        <v>92177.333485714276</v>
      </c>
      <c r="H261" s="247">
        <v>324133.63245714287</v>
      </c>
      <c r="I261" s="247">
        <v>0</v>
      </c>
      <c r="J261" s="247">
        <v>319867</v>
      </c>
      <c r="K261" s="247">
        <v>0</v>
      </c>
      <c r="L261" s="247">
        <v>319867</v>
      </c>
      <c r="M261" s="247">
        <v>452038.20548571425</v>
      </c>
      <c r="N261" s="247">
        <v>644000.63245714293</v>
      </c>
      <c r="O261" s="172"/>
      <c r="P261" s="247">
        <v>23.736080809999166</v>
      </c>
      <c r="Q261" s="247">
        <v>54.706596962333542</v>
      </c>
      <c r="R261" s="247">
        <v>0</v>
      </c>
      <c r="S261" s="247">
        <v>189.83880731658101</v>
      </c>
      <c r="T261" s="248">
        <v>268.28148508891371</v>
      </c>
      <c r="U261" s="247">
        <v>192.37102357184401</v>
      </c>
      <c r="V261" s="247">
        <v>0</v>
      </c>
      <c r="W261" s="247">
        <v>189.83880731658101</v>
      </c>
      <c r="X261" s="247">
        <v>382.20983088842507</v>
      </c>
      <c r="Y261" s="247">
        <v>113.92834579951136</v>
      </c>
      <c r="Z261" s="247">
        <v>191962.42697142868</v>
      </c>
    </row>
    <row r="262" spans="1:26" ht="12.75" x14ac:dyDescent="0.2">
      <c r="A262" s="269">
        <v>748</v>
      </c>
      <c r="B262" s="269">
        <v>1</v>
      </c>
      <c r="C262" s="270" t="s">
        <v>441</v>
      </c>
      <c r="D262" s="271">
        <v>4</v>
      </c>
      <c r="E262" s="248">
        <v>3733.64</v>
      </c>
      <c r="F262" s="247">
        <v>129981.986</v>
      </c>
      <c r="G262" s="247">
        <v>183565.70400000003</v>
      </c>
      <c r="H262" s="247">
        <v>645327.39440000011</v>
      </c>
      <c r="I262" s="247">
        <v>0</v>
      </c>
      <c r="J262" s="247">
        <v>0</v>
      </c>
      <c r="K262" s="247">
        <v>0</v>
      </c>
      <c r="L262" s="247">
        <v>0</v>
      </c>
      <c r="M262" s="247">
        <v>313547.69000000006</v>
      </c>
      <c r="N262" s="247">
        <v>645327.39440000011</v>
      </c>
      <c r="O262" s="172"/>
      <c r="P262" s="247">
        <v>34.813743692482404</v>
      </c>
      <c r="Q262" s="247">
        <v>49.16534641797282</v>
      </c>
      <c r="R262" s="247">
        <v>0</v>
      </c>
      <c r="S262" s="247">
        <v>0</v>
      </c>
      <c r="T262" s="248">
        <v>83.979090110455232</v>
      </c>
      <c r="U262" s="247">
        <v>172.84135438874668</v>
      </c>
      <c r="V262" s="247">
        <v>0</v>
      </c>
      <c r="W262" s="247">
        <v>0</v>
      </c>
      <c r="X262" s="247">
        <v>172.84135438874668</v>
      </c>
      <c r="Y262" s="247">
        <v>88.862264278291448</v>
      </c>
      <c r="Z262" s="247">
        <v>331779.70440000005</v>
      </c>
    </row>
    <row r="263" spans="1:26" ht="12.75" x14ac:dyDescent="0.2">
      <c r="A263" s="269">
        <v>750</v>
      </c>
      <c r="B263" s="269">
        <v>1</v>
      </c>
      <c r="C263" s="270" t="s">
        <v>591</v>
      </c>
      <c r="D263" s="271">
        <v>4</v>
      </c>
      <c r="E263" s="248">
        <v>2025.11</v>
      </c>
      <c r="F263" s="247">
        <v>106517.204</v>
      </c>
      <c r="G263" s="247">
        <v>143231.4</v>
      </c>
      <c r="H263" s="247">
        <v>504187.6</v>
      </c>
      <c r="I263" s="247">
        <v>0</v>
      </c>
      <c r="J263" s="247">
        <v>271575</v>
      </c>
      <c r="K263" s="247">
        <v>0</v>
      </c>
      <c r="L263" s="247">
        <v>271575</v>
      </c>
      <c r="M263" s="247">
        <v>521323.60399999999</v>
      </c>
      <c r="N263" s="247">
        <v>775762.6</v>
      </c>
      <c r="O263" s="172"/>
      <c r="P263" s="247">
        <v>52.598231207193685</v>
      </c>
      <c r="Q263" s="247">
        <v>70.727713556300642</v>
      </c>
      <c r="R263" s="247">
        <v>0</v>
      </c>
      <c r="S263" s="247">
        <v>134.10382645880966</v>
      </c>
      <c r="T263" s="248">
        <v>257.429771222304</v>
      </c>
      <c r="U263" s="247">
        <v>248.96800667618055</v>
      </c>
      <c r="V263" s="247">
        <v>0</v>
      </c>
      <c r="W263" s="247">
        <v>134.10382645880966</v>
      </c>
      <c r="X263" s="247">
        <v>383.07183313499019</v>
      </c>
      <c r="Y263" s="247">
        <v>125.64206191268622</v>
      </c>
      <c r="Z263" s="247">
        <v>254438.99599999998</v>
      </c>
    </row>
    <row r="264" spans="1:26" ht="12.75" x14ac:dyDescent="0.2">
      <c r="A264" s="269">
        <v>756</v>
      </c>
      <c r="B264" s="269">
        <v>1</v>
      </c>
      <c r="C264" s="270" t="s">
        <v>553</v>
      </c>
      <c r="D264" s="271">
        <v>6</v>
      </c>
      <c r="E264" s="248">
        <v>697.68</v>
      </c>
      <c r="F264" s="247">
        <v>183066.266</v>
      </c>
      <c r="G264" s="247">
        <v>48372.600000000006</v>
      </c>
      <c r="H264" s="247">
        <v>231438.86600000001</v>
      </c>
      <c r="I264" s="247">
        <v>0</v>
      </c>
      <c r="J264" s="247">
        <v>0</v>
      </c>
      <c r="K264" s="247">
        <v>0</v>
      </c>
      <c r="L264" s="247">
        <v>0</v>
      </c>
      <c r="M264" s="247">
        <v>231438.86600000001</v>
      </c>
      <c r="N264" s="247">
        <v>231438.86600000001</v>
      </c>
      <c r="O264" s="172"/>
      <c r="P264" s="247">
        <v>262.3928821236097</v>
      </c>
      <c r="Q264" s="247">
        <v>69.333505331957355</v>
      </c>
      <c r="R264" s="247">
        <v>0</v>
      </c>
      <c r="S264" s="247">
        <v>0</v>
      </c>
      <c r="T264" s="248">
        <v>331.72638745556708</v>
      </c>
      <c r="U264" s="247">
        <v>331.72638745556708</v>
      </c>
      <c r="V264" s="247">
        <v>0</v>
      </c>
      <c r="W264" s="247">
        <v>0</v>
      </c>
      <c r="X264" s="247">
        <v>331.72638745556708</v>
      </c>
      <c r="Y264" s="247">
        <v>0</v>
      </c>
      <c r="Z264" s="247">
        <v>0</v>
      </c>
    </row>
    <row r="265" spans="1:26" ht="12.75" x14ac:dyDescent="0.2">
      <c r="A265" s="269">
        <v>761</v>
      </c>
      <c r="B265" s="269">
        <v>1</v>
      </c>
      <c r="C265" s="270" t="s">
        <v>594</v>
      </c>
      <c r="D265" s="271">
        <v>4</v>
      </c>
      <c r="E265" s="248">
        <v>4773.25</v>
      </c>
      <c r="F265" s="247">
        <v>391149.49400000001</v>
      </c>
      <c r="G265" s="247">
        <v>331563.60000000003</v>
      </c>
      <c r="H265" s="247">
        <v>1164119.7000000002</v>
      </c>
      <c r="I265" s="247">
        <v>0</v>
      </c>
      <c r="J265" s="247">
        <v>0</v>
      </c>
      <c r="K265" s="247">
        <v>0</v>
      </c>
      <c r="L265" s="247">
        <v>0</v>
      </c>
      <c r="M265" s="247">
        <v>722713.09400000004</v>
      </c>
      <c r="N265" s="247">
        <v>1164119.7000000002</v>
      </c>
      <c r="O265" s="172"/>
      <c r="P265" s="247">
        <v>81.946157020897715</v>
      </c>
      <c r="Q265" s="247">
        <v>69.462860734300534</v>
      </c>
      <c r="R265" s="247">
        <v>0</v>
      </c>
      <c r="S265" s="247">
        <v>0</v>
      </c>
      <c r="T265" s="248">
        <v>151.40901775519825</v>
      </c>
      <c r="U265" s="247">
        <v>243.88408317184312</v>
      </c>
      <c r="V265" s="247">
        <v>0</v>
      </c>
      <c r="W265" s="247">
        <v>0</v>
      </c>
      <c r="X265" s="247">
        <v>243.88408317184312</v>
      </c>
      <c r="Y265" s="247">
        <v>92.475065416644881</v>
      </c>
      <c r="Z265" s="247">
        <v>441406.60600000015</v>
      </c>
    </row>
    <row r="266" spans="1:26" ht="12.75" x14ac:dyDescent="0.2">
      <c r="A266" s="269">
        <v>763</v>
      </c>
      <c r="B266" s="269">
        <v>1</v>
      </c>
      <c r="C266" s="270" t="s">
        <v>596</v>
      </c>
      <c r="D266" s="271">
        <v>6</v>
      </c>
      <c r="E266" s="248">
        <v>842.66000000000008</v>
      </c>
      <c r="F266" s="247">
        <v>36850.718000000001</v>
      </c>
      <c r="G266" s="247">
        <v>16573.371428571427</v>
      </c>
      <c r="H266" s="247">
        <v>57968.542857142857</v>
      </c>
      <c r="I266" s="247">
        <v>0</v>
      </c>
      <c r="J266" s="247">
        <v>0</v>
      </c>
      <c r="K266" s="247">
        <v>0</v>
      </c>
      <c r="L266" s="247">
        <v>0</v>
      </c>
      <c r="M266" s="247">
        <v>53424.089428571431</v>
      </c>
      <c r="N266" s="247">
        <v>57968.542857142857</v>
      </c>
      <c r="O266" s="172"/>
      <c r="P266" s="247">
        <v>43.731419552369871</v>
      </c>
      <c r="Q266" s="247">
        <v>19.667922327595264</v>
      </c>
      <c r="R266" s="247">
        <v>0</v>
      </c>
      <c r="S266" s="247">
        <v>0</v>
      </c>
      <c r="T266" s="248">
        <v>63.399341879965142</v>
      </c>
      <c r="U266" s="247">
        <v>68.792327696986746</v>
      </c>
      <c r="V266" s="247">
        <v>0</v>
      </c>
      <c r="W266" s="247">
        <v>0</v>
      </c>
      <c r="X266" s="247">
        <v>68.792327696986746</v>
      </c>
      <c r="Y266" s="247">
        <v>5.3929858170216036</v>
      </c>
      <c r="Z266" s="247">
        <v>4544.4534285714253</v>
      </c>
    </row>
    <row r="267" spans="1:26" ht="12.75" x14ac:dyDescent="0.2">
      <c r="A267" s="269">
        <v>768</v>
      </c>
      <c r="B267" s="269">
        <v>1</v>
      </c>
      <c r="C267" s="270" t="s">
        <v>267</v>
      </c>
      <c r="D267" s="271">
        <v>6</v>
      </c>
      <c r="E267" s="248">
        <v>287.01</v>
      </c>
      <c r="F267" s="247">
        <v>41424.788</v>
      </c>
      <c r="G267" s="247">
        <v>19609.8</v>
      </c>
      <c r="H267" s="247">
        <v>68864.3</v>
      </c>
      <c r="I267" s="247">
        <v>0</v>
      </c>
      <c r="J267" s="247">
        <v>0</v>
      </c>
      <c r="K267" s="247">
        <v>0</v>
      </c>
      <c r="L267" s="247">
        <v>0</v>
      </c>
      <c r="M267" s="247">
        <v>61034.588000000003</v>
      </c>
      <c r="N267" s="247">
        <v>68864.3</v>
      </c>
      <c r="O267" s="172"/>
      <c r="P267" s="247">
        <v>144.33221142120485</v>
      </c>
      <c r="Q267" s="247">
        <v>68.324448625483427</v>
      </c>
      <c r="R267" s="247">
        <v>0</v>
      </c>
      <c r="S267" s="247">
        <v>0</v>
      </c>
      <c r="T267" s="248">
        <v>212.65666004668827</v>
      </c>
      <c r="U267" s="247">
        <v>239.93693599526151</v>
      </c>
      <c r="V267" s="247">
        <v>0</v>
      </c>
      <c r="W267" s="247">
        <v>0</v>
      </c>
      <c r="X267" s="247">
        <v>239.93693599526151</v>
      </c>
      <c r="Y267" s="247">
        <v>27.28027594857322</v>
      </c>
      <c r="Z267" s="247">
        <v>7829.7119999999995</v>
      </c>
    </row>
    <row r="268" spans="1:26" ht="12.75" x14ac:dyDescent="0.2">
      <c r="A268" s="269">
        <v>769</v>
      </c>
      <c r="B268" s="269">
        <v>1</v>
      </c>
      <c r="C268" s="270" t="s">
        <v>360</v>
      </c>
      <c r="D268" s="271">
        <v>6</v>
      </c>
      <c r="E268" s="248">
        <v>1006.13</v>
      </c>
      <c r="F268" s="247">
        <v>65518.724000000002</v>
      </c>
      <c r="G268" s="247">
        <v>51054.250800000002</v>
      </c>
      <c r="H268" s="247">
        <v>179307.09839999999</v>
      </c>
      <c r="I268" s="247">
        <v>0</v>
      </c>
      <c r="J268" s="247">
        <v>0</v>
      </c>
      <c r="K268" s="247">
        <v>0</v>
      </c>
      <c r="L268" s="247">
        <v>0</v>
      </c>
      <c r="M268" s="247">
        <v>116572.9748</v>
      </c>
      <c r="N268" s="247">
        <v>179307.09839999999</v>
      </c>
      <c r="O268" s="172"/>
      <c r="P268" s="247">
        <v>65.11954121236819</v>
      </c>
      <c r="Q268" s="247">
        <v>50.743195014560747</v>
      </c>
      <c r="R268" s="247">
        <v>0</v>
      </c>
      <c r="S268" s="247">
        <v>0</v>
      </c>
      <c r="T268" s="248">
        <v>115.86273622692892</v>
      </c>
      <c r="U268" s="247">
        <v>178.21464264061302</v>
      </c>
      <c r="V268" s="247">
        <v>0</v>
      </c>
      <c r="W268" s="247">
        <v>0</v>
      </c>
      <c r="X268" s="247">
        <v>178.21464264061302</v>
      </c>
      <c r="Y268" s="247">
        <v>62.351906413684105</v>
      </c>
      <c r="Z268" s="247">
        <v>62734.123599999992</v>
      </c>
    </row>
    <row r="269" spans="1:26" ht="12.75" x14ac:dyDescent="0.2">
      <c r="A269" s="269">
        <v>771</v>
      </c>
      <c r="B269" s="269">
        <v>1</v>
      </c>
      <c r="C269" s="270" t="s">
        <v>599</v>
      </c>
      <c r="D269" s="271">
        <v>6</v>
      </c>
      <c r="E269" s="248">
        <v>150.5</v>
      </c>
      <c r="F269" s="247">
        <v>24800.074000000001</v>
      </c>
      <c r="G269" s="247">
        <v>10566.6</v>
      </c>
      <c r="H269" s="247">
        <v>36979.4</v>
      </c>
      <c r="I269" s="247">
        <v>0</v>
      </c>
      <c r="J269" s="247">
        <v>0</v>
      </c>
      <c r="K269" s="247">
        <v>0</v>
      </c>
      <c r="L269" s="247">
        <v>0</v>
      </c>
      <c r="M269" s="247">
        <v>35366.673999999999</v>
      </c>
      <c r="N269" s="247">
        <v>36979.4</v>
      </c>
      <c r="O269" s="172"/>
      <c r="P269" s="247">
        <v>164.78454485049835</v>
      </c>
      <c r="Q269" s="247">
        <v>70.209966777408638</v>
      </c>
      <c r="R269" s="247">
        <v>0</v>
      </c>
      <c r="S269" s="247">
        <v>0</v>
      </c>
      <c r="T269" s="248">
        <v>234.99451162790697</v>
      </c>
      <c r="U269" s="247">
        <v>245.71029900332226</v>
      </c>
      <c r="V269" s="247">
        <v>0</v>
      </c>
      <c r="W269" s="247">
        <v>0</v>
      </c>
      <c r="X269" s="247">
        <v>245.71029900332226</v>
      </c>
      <c r="Y269" s="247">
        <v>10.715787375415298</v>
      </c>
      <c r="Z269" s="247">
        <v>1612.7260000000024</v>
      </c>
    </row>
    <row r="270" spans="1:26" ht="12.75" x14ac:dyDescent="0.2">
      <c r="A270" s="269">
        <v>775</v>
      </c>
      <c r="B270" s="269">
        <v>1</v>
      </c>
      <c r="C270" s="270" t="s">
        <v>314</v>
      </c>
      <c r="D270" s="271">
        <v>6</v>
      </c>
      <c r="E270" s="248">
        <v>578.87</v>
      </c>
      <c r="F270" s="247">
        <v>36785.686000000002</v>
      </c>
      <c r="G270" s="247">
        <v>39526.199999999997</v>
      </c>
      <c r="H270" s="247">
        <v>138662.39999999999</v>
      </c>
      <c r="I270" s="247">
        <v>0</v>
      </c>
      <c r="J270" s="247">
        <v>0</v>
      </c>
      <c r="K270" s="247">
        <v>0</v>
      </c>
      <c r="L270" s="247">
        <v>0</v>
      </c>
      <c r="M270" s="247">
        <v>76311.885999999999</v>
      </c>
      <c r="N270" s="247">
        <v>138662.39999999999</v>
      </c>
      <c r="O270" s="172"/>
      <c r="P270" s="247">
        <v>63.547404425864187</v>
      </c>
      <c r="Q270" s="247">
        <v>68.281652184428282</v>
      </c>
      <c r="R270" s="247">
        <v>0</v>
      </c>
      <c r="S270" s="247">
        <v>0</v>
      </c>
      <c r="T270" s="248">
        <v>131.82905661029247</v>
      </c>
      <c r="U270" s="247">
        <v>239.53979304507055</v>
      </c>
      <c r="V270" s="247">
        <v>0</v>
      </c>
      <c r="W270" s="247">
        <v>0</v>
      </c>
      <c r="X270" s="247">
        <v>239.53979304507055</v>
      </c>
      <c r="Y270" s="247">
        <v>107.7107364347781</v>
      </c>
      <c r="Z270" s="247">
        <v>62350.513999999996</v>
      </c>
    </row>
    <row r="271" spans="1:26" ht="12.75" x14ac:dyDescent="0.2">
      <c r="A271" s="269">
        <v>777</v>
      </c>
      <c r="B271" s="269">
        <v>1</v>
      </c>
      <c r="C271" s="270" t="s">
        <v>454</v>
      </c>
      <c r="D271" s="271">
        <v>6</v>
      </c>
      <c r="E271" s="248">
        <v>892.75</v>
      </c>
      <c r="F271" s="247">
        <v>40092.036</v>
      </c>
      <c r="G271" s="247">
        <v>62358</v>
      </c>
      <c r="H271" s="247">
        <v>219346.4</v>
      </c>
      <c r="I271" s="247">
        <v>0</v>
      </c>
      <c r="J271" s="247">
        <v>0</v>
      </c>
      <c r="K271" s="247">
        <v>0</v>
      </c>
      <c r="L271" s="247">
        <v>0</v>
      </c>
      <c r="M271" s="247">
        <v>102450.03599999999</v>
      </c>
      <c r="N271" s="247">
        <v>219346.4</v>
      </c>
      <c r="O271" s="172"/>
      <c r="P271" s="247">
        <v>44.908469336320358</v>
      </c>
      <c r="Q271" s="247">
        <v>69.849341921030529</v>
      </c>
      <c r="R271" s="247">
        <v>0</v>
      </c>
      <c r="S271" s="247">
        <v>0</v>
      </c>
      <c r="T271" s="248">
        <v>114.75781125735088</v>
      </c>
      <c r="U271" s="247">
        <v>245.69745169420329</v>
      </c>
      <c r="V271" s="247">
        <v>0</v>
      </c>
      <c r="W271" s="247">
        <v>0</v>
      </c>
      <c r="X271" s="247">
        <v>245.69745169420329</v>
      </c>
      <c r="Y271" s="247">
        <v>130.93964043685241</v>
      </c>
      <c r="Z271" s="247">
        <v>116896.364</v>
      </c>
    </row>
    <row r="272" spans="1:26" ht="12.75" x14ac:dyDescent="0.2">
      <c r="A272" s="269">
        <v>786</v>
      </c>
      <c r="B272" s="269">
        <v>1</v>
      </c>
      <c r="C272" s="270" t="s">
        <v>600</v>
      </c>
      <c r="D272" s="271">
        <v>6</v>
      </c>
      <c r="E272" s="248">
        <v>402.9</v>
      </c>
      <c r="F272" s="247">
        <v>12850.538</v>
      </c>
      <c r="G272" s="247">
        <v>28501.199999999997</v>
      </c>
      <c r="H272" s="247">
        <v>98837.900000000009</v>
      </c>
      <c r="I272" s="247">
        <v>0</v>
      </c>
      <c r="J272" s="247">
        <v>0</v>
      </c>
      <c r="K272" s="247">
        <v>0</v>
      </c>
      <c r="L272" s="247">
        <v>0</v>
      </c>
      <c r="M272" s="247">
        <v>41351.737999999998</v>
      </c>
      <c r="N272" s="247">
        <v>98837.900000000009</v>
      </c>
      <c r="O272" s="172"/>
      <c r="P272" s="247">
        <v>31.895105485232069</v>
      </c>
      <c r="Q272" s="247">
        <v>70.740134028294861</v>
      </c>
      <c r="R272" s="247">
        <v>0</v>
      </c>
      <c r="S272" s="247">
        <v>0</v>
      </c>
      <c r="T272" s="248">
        <v>102.63523951352693</v>
      </c>
      <c r="U272" s="247">
        <v>245.31620749565653</v>
      </c>
      <c r="V272" s="247">
        <v>0</v>
      </c>
      <c r="W272" s="247">
        <v>0</v>
      </c>
      <c r="X272" s="247">
        <v>245.31620749565653</v>
      </c>
      <c r="Y272" s="247">
        <v>142.6809679821296</v>
      </c>
      <c r="Z272" s="247">
        <v>57486.162000000011</v>
      </c>
    </row>
    <row r="273" spans="1:26" ht="12.75" x14ac:dyDescent="0.2">
      <c r="A273" s="269">
        <v>787</v>
      </c>
      <c r="B273" s="269">
        <v>1</v>
      </c>
      <c r="C273" s="270" t="s">
        <v>601</v>
      </c>
      <c r="D273" s="271">
        <v>6</v>
      </c>
      <c r="E273" s="248">
        <v>432.97</v>
      </c>
      <c r="F273" s="247">
        <v>15749.354000000001</v>
      </c>
      <c r="G273" s="247">
        <v>30912.000000000004</v>
      </c>
      <c r="H273" s="247">
        <v>107476.70000000001</v>
      </c>
      <c r="I273" s="247">
        <v>0</v>
      </c>
      <c r="J273" s="247">
        <v>0</v>
      </c>
      <c r="K273" s="247">
        <v>0</v>
      </c>
      <c r="L273" s="247">
        <v>0</v>
      </c>
      <c r="M273" s="247">
        <v>46661.354000000007</v>
      </c>
      <c r="N273" s="247">
        <v>107476.70000000001</v>
      </c>
      <c r="O273" s="172"/>
      <c r="P273" s="247">
        <v>36.375162251426197</v>
      </c>
      <c r="Q273" s="247">
        <v>71.395246783841841</v>
      </c>
      <c r="R273" s="247">
        <v>0</v>
      </c>
      <c r="S273" s="247">
        <v>0</v>
      </c>
      <c r="T273" s="248">
        <v>107.77040903526805</v>
      </c>
      <c r="U273" s="247">
        <v>248.23128623230247</v>
      </c>
      <c r="V273" s="247">
        <v>0</v>
      </c>
      <c r="W273" s="247">
        <v>0</v>
      </c>
      <c r="X273" s="247">
        <v>248.23128623230247</v>
      </c>
      <c r="Y273" s="247">
        <v>140.46087719703445</v>
      </c>
      <c r="Z273" s="247">
        <v>60815.346000000005</v>
      </c>
    </row>
    <row r="274" spans="1:26" ht="12.75" x14ac:dyDescent="0.2">
      <c r="A274" s="269">
        <v>801</v>
      </c>
      <c r="B274" s="269">
        <v>1</v>
      </c>
      <c r="C274" s="270" t="s">
        <v>602</v>
      </c>
      <c r="D274" s="271">
        <v>6</v>
      </c>
      <c r="E274" s="248">
        <v>116.42999999999999</v>
      </c>
      <c r="F274" s="247">
        <v>13598.958000000002</v>
      </c>
      <c r="G274" s="247">
        <v>7449.5999999999995</v>
      </c>
      <c r="H274" s="247">
        <v>26121.1</v>
      </c>
      <c r="I274" s="247">
        <v>0</v>
      </c>
      <c r="J274" s="247">
        <v>0</v>
      </c>
      <c r="K274" s="247">
        <v>0</v>
      </c>
      <c r="L274" s="247">
        <v>0</v>
      </c>
      <c r="M274" s="247">
        <v>21048.558000000001</v>
      </c>
      <c r="N274" s="247">
        <v>26121.1</v>
      </c>
      <c r="O274" s="172"/>
      <c r="P274" s="247">
        <v>116.79943313578977</v>
      </c>
      <c r="Q274" s="247">
        <v>63.983509404792578</v>
      </c>
      <c r="R274" s="247">
        <v>0</v>
      </c>
      <c r="S274" s="247">
        <v>0</v>
      </c>
      <c r="T274" s="248">
        <v>180.78294254058235</v>
      </c>
      <c r="U274" s="247">
        <v>224.3502533711243</v>
      </c>
      <c r="V274" s="247">
        <v>0</v>
      </c>
      <c r="W274" s="247">
        <v>0</v>
      </c>
      <c r="X274" s="247">
        <v>224.3502533711243</v>
      </c>
      <c r="Y274" s="247">
        <v>43.567310830541942</v>
      </c>
      <c r="Z274" s="247">
        <v>5072.5419999999976</v>
      </c>
    </row>
    <row r="275" spans="1:26" ht="12.75" x14ac:dyDescent="0.2">
      <c r="A275" s="269">
        <v>803</v>
      </c>
      <c r="B275" s="269">
        <v>1</v>
      </c>
      <c r="C275" s="270" t="s">
        <v>478</v>
      </c>
      <c r="D275" s="271">
        <v>6</v>
      </c>
      <c r="E275" s="248">
        <v>396.26</v>
      </c>
      <c r="F275" s="247">
        <v>45936.947999999997</v>
      </c>
      <c r="G275" s="247">
        <v>27732</v>
      </c>
      <c r="H275" s="247">
        <v>97324.5</v>
      </c>
      <c r="I275" s="247">
        <v>0</v>
      </c>
      <c r="J275" s="247">
        <v>0</v>
      </c>
      <c r="K275" s="247">
        <v>0</v>
      </c>
      <c r="L275" s="247">
        <v>0</v>
      </c>
      <c r="M275" s="247">
        <v>73668.948000000004</v>
      </c>
      <c r="N275" s="247">
        <v>97324.5</v>
      </c>
      <c r="O275" s="172"/>
      <c r="P275" s="247">
        <v>115.92628072477666</v>
      </c>
      <c r="Q275" s="247">
        <v>69.984353707161972</v>
      </c>
      <c r="R275" s="247">
        <v>0</v>
      </c>
      <c r="S275" s="247">
        <v>0</v>
      </c>
      <c r="T275" s="248">
        <v>185.91063443193863</v>
      </c>
      <c r="U275" s="247">
        <v>245.60768182506436</v>
      </c>
      <c r="V275" s="247">
        <v>0</v>
      </c>
      <c r="W275" s="247">
        <v>0</v>
      </c>
      <c r="X275" s="247">
        <v>245.60768182506436</v>
      </c>
      <c r="Y275" s="247">
        <v>59.697047393125715</v>
      </c>
      <c r="Z275" s="247">
        <v>23655.551999999996</v>
      </c>
    </row>
    <row r="276" spans="1:26" ht="12.75" x14ac:dyDescent="0.2">
      <c r="A276" s="269">
        <v>811</v>
      </c>
      <c r="B276" s="269">
        <v>1</v>
      </c>
      <c r="C276" s="270" t="s">
        <v>604</v>
      </c>
      <c r="D276" s="271">
        <v>6</v>
      </c>
      <c r="E276" s="248">
        <v>585.72</v>
      </c>
      <c r="F276" s="247">
        <v>40473.656000000003</v>
      </c>
      <c r="G276" s="247">
        <v>36849.111599999997</v>
      </c>
      <c r="H276" s="247">
        <v>129441.97140000001</v>
      </c>
      <c r="I276" s="247">
        <v>0</v>
      </c>
      <c r="J276" s="247">
        <v>0</v>
      </c>
      <c r="K276" s="247">
        <v>0</v>
      </c>
      <c r="L276" s="247">
        <v>0</v>
      </c>
      <c r="M276" s="247">
        <v>77322.767599999992</v>
      </c>
      <c r="N276" s="247">
        <v>129441.97140000001</v>
      </c>
      <c r="O276" s="172"/>
      <c r="P276" s="247">
        <v>69.1006897493683</v>
      </c>
      <c r="Q276" s="247">
        <v>62.912503585330867</v>
      </c>
      <c r="R276" s="247">
        <v>0</v>
      </c>
      <c r="S276" s="247">
        <v>0</v>
      </c>
      <c r="T276" s="248">
        <v>132.01319333469917</v>
      </c>
      <c r="U276" s="247">
        <v>220.99633169432494</v>
      </c>
      <c r="V276" s="247">
        <v>0</v>
      </c>
      <c r="W276" s="247">
        <v>0</v>
      </c>
      <c r="X276" s="247">
        <v>220.99633169432494</v>
      </c>
      <c r="Y276" s="247">
        <v>88.983138359625784</v>
      </c>
      <c r="Z276" s="247">
        <v>52119.203800000018</v>
      </c>
    </row>
    <row r="277" spans="1:26" ht="12.75" x14ac:dyDescent="0.2">
      <c r="A277" s="269">
        <v>813</v>
      </c>
      <c r="B277" s="269">
        <v>1</v>
      </c>
      <c r="C277" s="270" t="s">
        <v>455</v>
      </c>
      <c r="D277" s="271">
        <v>5</v>
      </c>
      <c r="E277" s="248">
        <v>1227.3899999999999</v>
      </c>
      <c r="F277" s="247">
        <v>60071.982000000004</v>
      </c>
      <c r="G277" s="247">
        <v>84972</v>
      </c>
      <c r="H277" s="247">
        <v>299048.3</v>
      </c>
      <c r="I277" s="247">
        <v>20041</v>
      </c>
      <c r="J277" s="247">
        <v>541634</v>
      </c>
      <c r="K277" s="247">
        <v>20041</v>
      </c>
      <c r="L277" s="247">
        <v>541634</v>
      </c>
      <c r="M277" s="247">
        <v>706718.98200000008</v>
      </c>
      <c r="N277" s="247">
        <v>860723.3</v>
      </c>
      <c r="O277" s="172"/>
      <c r="P277" s="247">
        <v>48.942864126316827</v>
      </c>
      <c r="Q277" s="247">
        <v>69.229829149659039</v>
      </c>
      <c r="R277" s="247">
        <v>16.328143458884302</v>
      </c>
      <c r="S277" s="247">
        <v>441.28923976894066</v>
      </c>
      <c r="T277" s="248">
        <v>575.79007650380083</v>
      </c>
      <c r="U277" s="247">
        <v>243.64570348462999</v>
      </c>
      <c r="V277" s="247">
        <v>16.328143458884302</v>
      </c>
      <c r="W277" s="247">
        <v>441.28923976894066</v>
      </c>
      <c r="X277" s="247">
        <v>701.26308671245499</v>
      </c>
      <c r="Y277" s="247">
        <v>125.47301020865413</v>
      </c>
      <c r="Z277" s="247">
        <v>154004.31799999997</v>
      </c>
    </row>
    <row r="278" spans="1:26" ht="12.75" x14ac:dyDescent="0.2">
      <c r="A278" s="269">
        <v>815</v>
      </c>
      <c r="B278" s="269">
        <v>2</v>
      </c>
      <c r="C278" s="270" t="s">
        <v>245</v>
      </c>
      <c r="D278" s="271">
        <v>6</v>
      </c>
      <c r="E278" s="248">
        <v>0</v>
      </c>
      <c r="F278" s="247">
        <v>0</v>
      </c>
      <c r="G278" s="247">
        <v>0</v>
      </c>
      <c r="H278" s="247">
        <v>0</v>
      </c>
      <c r="I278" s="247">
        <v>0</v>
      </c>
      <c r="J278" s="247">
        <v>0</v>
      </c>
      <c r="K278" s="247">
        <v>0</v>
      </c>
      <c r="L278" s="247">
        <v>0</v>
      </c>
      <c r="M278" s="247">
        <v>0</v>
      </c>
      <c r="N278" s="247">
        <v>0</v>
      </c>
      <c r="O278" s="172"/>
      <c r="P278" s="247"/>
      <c r="Q278" s="247"/>
      <c r="R278" s="247"/>
      <c r="S278" s="247"/>
      <c r="T278" s="248"/>
      <c r="U278" s="247"/>
      <c r="V278" s="247"/>
      <c r="W278" s="247"/>
      <c r="X278" s="247"/>
      <c r="Y278" s="247"/>
      <c r="Z278" s="247">
        <v>0</v>
      </c>
    </row>
    <row r="279" spans="1:26" ht="12.75" x14ac:dyDescent="0.2">
      <c r="A279" s="269">
        <v>818</v>
      </c>
      <c r="B279" s="269">
        <v>1</v>
      </c>
      <c r="C279" s="270" t="s">
        <v>605</v>
      </c>
      <c r="D279" s="271">
        <v>6</v>
      </c>
      <c r="E279" s="248">
        <v>483.8</v>
      </c>
      <c r="F279" s="247">
        <v>18387.914000000001</v>
      </c>
      <c r="G279" s="247">
        <v>33774</v>
      </c>
      <c r="H279" s="247">
        <v>118723.70000000001</v>
      </c>
      <c r="I279" s="247">
        <v>0</v>
      </c>
      <c r="J279" s="247">
        <v>0</v>
      </c>
      <c r="K279" s="247">
        <v>0</v>
      </c>
      <c r="L279" s="247">
        <v>0</v>
      </c>
      <c r="M279" s="247">
        <v>52161.914000000004</v>
      </c>
      <c r="N279" s="247">
        <v>118723.70000000001</v>
      </c>
      <c r="O279" s="172"/>
      <c r="P279" s="247">
        <v>38.007263331955357</v>
      </c>
      <c r="Q279" s="247">
        <v>69.809838776353857</v>
      </c>
      <c r="R279" s="247">
        <v>0</v>
      </c>
      <c r="S279" s="247">
        <v>0</v>
      </c>
      <c r="T279" s="248">
        <v>107.81710210830923</v>
      </c>
      <c r="U279" s="247">
        <v>245.39830508474577</v>
      </c>
      <c r="V279" s="247">
        <v>0</v>
      </c>
      <c r="W279" s="247">
        <v>0</v>
      </c>
      <c r="X279" s="247">
        <v>245.39830508474577</v>
      </c>
      <c r="Y279" s="247">
        <v>137.58120297643654</v>
      </c>
      <c r="Z279" s="247">
        <v>66561.786000000007</v>
      </c>
    </row>
    <row r="280" spans="1:26" ht="12.75" x14ac:dyDescent="0.2">
      <c r="A280" s="269">
        <v>820</v>
      </c>
      <c r="B280" s="269">
        <v>1</v>
      </c>
      <c r="C280" s="270" t="s">
        <v>595</v>
      </c>
      <c r="D280" s="271">
        <v>6</v>
      </c>
      <c r="E280" s="248">
        <v>503.2</v>
      </c>
      <c r="F280" s="247">
        <v>27338.438000000002</v>
      </c>
      <c r="G280" s="247">
        <v>35250</v>
      </c>
      <c r="H280" s="247">
        <v>122838.40000000001</v>
      </c>
      <c r="I280" s="247">
        <v>0</v>
      </c>
      <c r="J280" s="247">
        <v>0</v>
      </c>
      <c r="K280" s="247">
        <v>0</v>
      </c>
      <c r="L280" s="247">
        <v>0</v>
      </c>
      <c r="M280" s="247">
        <v>62588.438000000002</v>
      </c>
      <c r="N280" s="247">
        <v>122838.40000000001</v>
      </c>
      <c r="O280" s="172"/>
      <c r="P280" s="247">
        <v>54.329169316375207</v>
      </c>
      <c r="Q280" s="247">
        <v>70.051669316375197</v>
      </c>
      <c r="R280" s="247">
        <v>0</v>
      </c>
      <c r="S280" s="247">
        <v>0</v>
      </c>
      <c r="T280" s="248">
        <v>124.38083863275041</v>
      </c>
      <c r="U280" s="247">
        <v>244.11446740858509</v>
      </c>
      <c r="V280" s="247">
        <v>0</v>
      </c>
      <c r="W280" s="247">
        <v>0</v>
      </c>
      <c r="X280" s="247">
        <v>244.11446740858509</v>
      </c>
      <c r="Y280" s="247">
        <v>119.73362877583467</v>
      </c>
      <c r="Z280" s="247">
        <v>60249.962000000007</v>
      </c>
    </row>
    <row r="281" spans="1:26" ht="12.75" x14ac:dyDescent="0.2">
      <c r="A281" s="269">
        <v>821</v>
      </c>
      <c r="B281" s="269">
        <v>1</v>
      </c>
      <c r="C281" s="270" t="s">
        <v>608</v>
      </c>
      <c r="D281" s="271">
        <v>6</v>
      </c>
      <c r="E281" s="248">
        <v>898.46</v>
      </c>
      <c r="F281" s="247">
        <v>35756.660000000003</v>
      </c>
      <c r="G281" s="247">
        <v>49054.86771428572</v>
      </c>
      <c r="H281" s="247">
        <v>171822.54025714289</v>
      </c>
      <c r="I281" s="247">
        <v>0</v>
      </c>
      <c r="J281" s="247">
        <v>90222</v>
      </c>
      <c r="K281" s="247">
        <v>0</v>
      </c>
      <c r="L281" s="247">
        <v>90222</v>
      </c>
      <c r="M281" s="247">
        <v>175033.52771428571</v>
      </c>
      <c r="N281" s="247">
        <v>262044.54025714289</v>
      </c>
      <c r="O281" s="172"/>
      <c r="P281" s="247">
        <v>39.797720544042029</v>
      </c>
      <c r="Q281" s="247">
        <v>54.598833241642055</v>
      </c>
      <c r="R281" s="247">
        <v>0</v>
      </c>
      <c r="S281" s="247">
        <v>100.41849386728401</v>
      </c>
      <c r="T281" s="248">
        <v>194.81504765296808</v>
      </c>
      <c r="U281" s="247">
        <v>191.2411685073825</v>
      </c>
      <c r="V281" s="247">
        <v>0</v>
      </c>
      <c r="W281" s="247">
        <v>100.41849386728401</v>
      </c>
      <c r="X281" s="247">
        <v>291.65966237466654</v>
      </c>
      <c r="Y281" s="247">
        <v>96.844614721698434</v>
      </c>
      <c r="Z281" s="247">
        <v>87011.012542857177</v>
      </c>
    </row>
    <row r="282" spans="1:26" ht="12.75" x14ac:dyDescent="0.2">
      <c r="A282" s="269">
        <v>829</v>
      </c>
      <c r="B282" s="269">
        <v>1</v>
      </c>
      <c r="C282" s="270" t="s">
        <v>352</v>
      </c>
      <c r="D282" s="271">
        <v>5</v>
      </c>
      <c r="E282" s="248">
        <v>1839.45</v>
      </c>
      <c r="F282" s="247">
        <v>299169.36</v>
      </c>
      <c r="G282" s="247">
        <v>128521.80000000002</v>
      </c>
      <c r="H282" s="247">
        <v>452380.1</v>
      </c>
      <c r="I282" s="247">
        <v>0</v>
      </c>
      <c r="J282" s="247">
        <v>269184</v>
      </c>
      <c r="K282" s="247">
        <v>0</v>
      </c>
      <c r="L282" s="247">
        <v>269184</v>
      </c>
      <c r="M282" s="247">
        <v>696875.16</v>
      </c>
      <c r="N282" s="247">
        <v>721564.1</v>
      </c>
      <c r="O282" s="172"/>
      <c r="P282" s="247">
        <v>162.64065889260377</v>
      </c>
      <c r="Q282" s="247">
        <v>69.86968930930442</v>
      </c>
      <c r="R282" s="247">
        <v>0</v>
      </c>
      <c r="S282" s="247">
        <v>146.33939492783168</v>
      </c>
      <c r="T282" s="248">
        <v>378.84974312973986</v>
      </c>
      <c r="U282" s="247">
        <v>245.9322623610318</v>
      </c>
      <c r="V282" s="247">
        <v>0</v>
      </c>
      <c r="W282" s="247">
        <v>146.33939492783168</v>
      </c>
      <c r="X282" s="247">
        <v>392.27165728886348</v>
      </c>
      <c r="Y282" s="247">
        <v>13.42191415912362</v>
      </c>
      <c r="Z282" s="247">
        <v>24688.939999999944</v>
      </c>
    </row>
    <row r="283" spans="1:26" ht="12.75" x14ac:dyDescent="0.2">
      <c r="A283" s="269">
        <v>831</v>
      </c>
      <c r="B283" s="269">
        <v>1</v>
      </c>
      <c r="C283" s="270" t="s">
        <v>398</v>
      </c>
      <c r="D283" s="271">
        <v>3</v>
      </c>
      <c r="E283" s="248">
        <v>6908.09</v>
      </c>
      <c r="F283" s="247">
        <v>503357.19399999996</v>
      </c>
      <c r="G283" s="247">
        <v>459060.55251428572</v>
      </c>
      <c r="H283" s="247">
        <v>1613666.9951428571</v>
      </c>
      <c r="I283" s="247">
        <v>301800</v>
      </c>
      <c r="J283" s="247">
        <v>0</v>
      </c>
      <c r="K283" s="247">
        <v>301800</v>
      </c>
      <c r="L283" s="247">
        <v>0</v>
      </c>
      <c r="M283" s="247">
        <v>1264217.7465142857</v>
      </c>
      <c r="N283" s="247">
        <v>1915466.9951428571</v>
      </c>
      <c r="O283" s="172"/>
      <c r="P283" s="247">
        <v>72.864886531588326</v>
      </c>
      <c r="Q283" s="247">
        <v>66.452601589482143</v>
      </c>
      <c r="R283" s="247">
        <v>43.687907945611592</v>
      </c>
      <c r="S283" s="247">
        <v>0</v>
      </c>
      <c r="T283" s="248">
        <v>183.00539606668207</v>
      </c>
      <c r="U283" s="247">
        <v>233.59090503205039</v>
      </c>
      <c r="V283" s="247">
        <v>43.687907945611592</v>
      </c>
      <c r="W283" s="247">
        <v>0</v>
      </c>
      <c r="X283" s="247">
        <v>277.27881297766197</v>
      </c>
      <c r="Y283" s="247">
        <v>94.273416910979932</v>
      </c>
      <c r="Z283" s="247">
        <v>651249.2486285714</v>
      </c>
    </row>
    <row r="284" spans="1:26" ht="12.75" x14ac:dyDescent="0.2">
      <c r="A284" s="269">
        <v>832</v>
      </c>
      <c r="B284" s="269">
        <v>1</v>
      </c>
      <c r="C284" s="270" t="s">
        <v>612</v>
      </c>
      <c r="D284" s="271">
        <v>3</v>
      </c>
      <c r="E284" s="248">
        <v>3290.2799999999997</v>
      </c>
      <c r="F284" s="247">
        <v>102497.962</v>
      </c>
      <c r="G284" s="247">
        <v>213761.14697142856</v>
      </c>
      <c r="H284" s="247">
        <v>753231.12291428563</v>
      </c>
      <c r="I284" s="247">
        <v>0</v>
      </c>
      <c r="J284" s="247">
        <v>58572</v>
      </c>
      <c r="K284" s="247">
        <v>0</v>
      </c>
      <c r="L284" s="247">
        <v>58572</v>
      </c>
      <c r="M284" s="247">
        <v>374831.10897142859</v>
      </c>
      <c r="N284" s="247">
        <v>811803.12291428563</v>
      </c>
      <c r="O284" s="172"/>
      <c r="P284" s="247">
        <v>31.151744532380224</v>
      </c>
      <c r="Q284" s="247">
        <v>64.967463854574248</v>
      </c>
      <c r="R284" s="247">
        <v>0</v>
      </c>
      <c r="S284" s="247">
        <v>17.801524490316936</v>
      </c>
      <c r="T284" s="248">
        <v>113.92073287727142</v>
      </c>
      <c r="U284" s="247">
        <v>228.92614698879296</v>
      </c>
      <c r="V284" s="247">
        <v>0</v>
      </c>
      <c r="W284" s="247">
        <v>17.801524490316936</v>
      </c>
      <c r="X284" s="247">
        <v>246.72767147910989</v>
      </c>
      <c r="Y284" s="247">
        <v>132.80693860183848</v>
      </c>
      <c r="Z284" s="247">
        <v>436972.01394285704</v>
      </c>
    </row>
    <row r="285" spans="1:26" ht="12.75" x14ac:dyDescent="0.2">
      <c r="A285" s="269">
        <v>833</v>
      </c>
      <c r="B285" s="269">
        <v>1</v>
      </c>
      <c r="C285" s="270" t="s">
        <v>450</v>
      </c>
      <c r="D285" s="271">
        <v>2</v>
      </c>
      <c r="E285" s="248">
        <v>17546.68</v>
      </c>
      <c r="F285" s="247">
        <v>879665.59199999995</v>
      </c>
      <c r="G285" s="247">
        <v>0</v>
      </c>
      <c r="H285" s="247">
        <v>0</v>
      </c>
      <c r="I285" s="247">
        <v>1331447.3999999999</v>
      </c>
      <c r="J285" s="247">
        <v>1113239</v>
      </c>
      <c r="K285" s="247">
        <v>2211112.9919999996</v>
      </c>
      <c r="L285" s="247">
        <v>1113239</v>
      </c>
      <c r="M285" s="247">
        <v>3324351.9919999996</v>
      </c>
      <c r="N285" s="247">
        <v>3324351.9919999996</v>
      </c>
      <c r="O285" s="172"/>
      <c r="P285" s="247">
        <v>50.132879382310499</v>
      </c>
      <c r="Q285" s="247">
        <v>0</v>
      </c>
      <c r="R285" s="247">
        <v>75.880303282444302</v>
      </c>
      <c r="S285" s="247">
        <v>63.444423674450093</v>
      </c>
      <c r="T285" s="248">
        <v>189.45760633920489</v>
      </c>
      <c r="U285" s="247">
        <v>0</v>
      </c>
      <c r="V285" s="247">
        <v>126.01318266475479</v>
      </c>
      <c r="W285" s="247">
        <v>63.444423674450093</v>
      </c>
      <c r="X285" s="247">
        <v>189.45760633920489</v>
      </c>
      <c r="Y285" s="247">
        <v>0</v>
      </c>
      <c r="Z285" s="247">
        <v>0</v>
      </c>
    </row>
    <row r="286" spans="1:26" ht="12.75" x14ac:dyDescent="0.2">
      <c r="A286" s="269">
        <v>834</v>
      </c>
      <c r="B286" s="269">
        <v>1</v>
      </c>
      <c r="C286" s="270" t="s">
        <v>489</v>
      </c>
      <c r="D286" s="271">
        <v>3</v>
      </c>
      <c r="E286" s="248">
        <v>8639.2000000000007</v>
      </c>
      <c r="F286" s="247">
        <v>502408.71799999999</v>
      </c>
      <c r="G286" s="247">
        <v>0</v>
      </c>
      <c r="H286" s="247">
        <v>0</v>
      </c>
      <c r="I286" s="247">
        <v>2710550.2</v>
      </c>
      <c r="J286" s="247">
        <v>5358028</v>
      </c>
      <c r="K286" s="247">
        <v>3212958.9180000001</v>
      </c>
      <c r="L286" s="247">
        <v>5358028</v>
      </c>
      <c r="M286" s="247">
        <v>8570986.9179999996</v>
      </c>
      <c r="N286" s="247">
        <v>8570986.9179999996</v>
      </c>
      <c r="O286" s="172"/>
      <c r="P286" s="247">
        <v>58.154541855727373</v>
      </c>
      <c r="Q286" s="247">
        <v>0</v>
      </c>
      <c r="R286" s="247">
        <v>313.75013890175018</v>
      </c>
      <c r="S286" s="247">
        <v>620.19955551439944</v>
      </c>
      <c r="T286" s="248">
        <v>992.10423627187686</v>
      </c>
      <c r="U286" s="247">
        <v>0</v>
      </c>
      <c r="V286" s="247">
        <v>371.90468075747754</v>
      </c>
      <c r="W286" s="247">
        <v>620.19955551439944</v>
      </c>
      <c r="X286" s="247">
        <v>992.10423627187686</v>
      </c>
      <c r="Y286" s="247">
        <v>0</v>
      </c>
      <c r="Z286" s="247">
        <v>0</v>
      </c>
    </row>
    <row r="287" spans="1:26" ht="12.75" x14ac:dyDescent="0.2">
      <c r="A287" s="269">
        <v>836</v>
      </c>
      <c r="B287" s="269">
        <v>1</v>
      </c>
      <c r="C287" s="270" t="s">
        <v>615</v>
      </c>
      <c r="D287" s="271">
        <v>6</v>
      </c>
      <c r="E287" s="248">
        <v>213.39</v>
      </c>
      <c r="F287" s="247">
        <v>86099.39</v>
      </c>
      <c r="G287" s="247">
        <v>15046.2</v>
      </c>
      <c r="H287" s="247">
        <v>101145.59</v>
      </c>
      <c r="I287" s="247">
        <v>0</v>
      </c>
      <c r="J287" s="247">
        <v>0</v>
      </c>
      <c r="K287" s="247">
        <v>0</v>
      </c>
      <c r="L287" s="247">
        <v>0</v>
      </c>
      <c r="M287" s="247">
        <v>101145.59</v>
      </c>
      <c r="N287" s="247">
        <v>101145.59</v>
      </c>
      <c r="O287" s="172"/>
      <c r="P287" s="247">
        <v>403.48371526313326</v>
      </c>
      <c r="Q287" s="247">
        <v>70.510333192745691</v>
      </c>
      <c r="R287" s="247">
        <v>0</v>
      </c>
      <c r="S287" s="247">
        <v>0</v>
      </c>
      <c r="T287" s="248">
        <v>473.9940484558789</v>
      </c>
      <c r="U287" s="247">
        <v>473.9940484558789</v>
      </c>
      <c r="V287" s="247">
        <v>0</v>
      </c>
      <c r="W287" s="247">
        <v>0</v>
      </c>
      <c r="X287" s="247">
        <v>473.9940484558789</v>
      </c>
      <c r="Y287" s="247">
        <v>0</v>
      </c>
      <c r="Z287" s="247">
        <v>0</v>
      </c>
    </row>
    <row r="288" spans="1:26" ht="12.75" x14ac:dyDescent="0.2">
      <c r="A288" s="269">
        <v>837</v>
      </c>
      <c r="B288" s="269">
        <v>1</v>
      </c>
      <c r="C288" s="270" t="s">
        <v>617</v>
      </c>
      <c r="D288" s="271">
        <v>6</v>
      </c>
      <c r="E288" s="248">
        <v>530.16</v>
      </c>
      <c r="F288" s="247">
        <v>81221.84</v>
      </c>
      <c r="G288" s="247">
        <v>37164.6</v>
      </c>
      <c r="H288" s="247">
        <v>131003.40000000001</v>
      </c>
      <c r="I288" s="247">
        <v>0</v>
      </c>
      <c r="J288" s="247">
        <v>237117</v>
      </c>
      <c r="K288" s="247">
        <v>0</v>
      </c>
      <c r="L288" s="247">
        <v>237117</v>
      </c>
      <c r="M288" s="247">
        <v>355503.44</v>
      </c>
      <c r="N288" s="247">
        <v>368120.4</v>
      </c>
      <c r="O288" s="172"/>
      <c r="P288" s="247">
        <v>153.20250490417988</v>
      </c>
      <c r="Q288" s="247">
        <v>70.100724309642374</v>
      </c>
      <c r="R288" s="247">
        <v>0</v>
      </c>
      <c r="S288" s="247">
        <v>447.25554549569944</v>
      </c>
      <c r="T288" s="248">
        <v>670.55877470952169</v>
      </c>
      <c r="U288" s="247">
        <v>247.10162969669537</v>
      </c>
      <c r="V288" s="247">
        <v>0</v>
      </c>
      <c r="W288" s="247">
        <v>447.25554549569944</v>
      </c>
      <c r="X288" s="247">
        <v>694.35717519239483</v>
      </c>
      <c r="Y288" s="247">
        <v>23.798400482873134</v>
      </c>
      <c r="Z288" s="247">
        <v>12616.960000000021</v>
      </c>
    </row>
    <row r="289" spans="1:26" ht="12.75" x14ac:dyDescent="0.2">
      <c r="A289" s="269">
        <v>840</v>
      </c>
      <c r="B289" s="269">
        <v>1</v>
      </c>
      <c r="C289" s="270" t="s">
        <v>619</v>
      </c>
      <c r="D289" s="271">
        <v>5</v>
      </c>
      <c r="E289" s="248">
        <v>1042.47</v>
      </c>
      <c r="F289" s="247">
        <v>186219.568</v>
      </c>
      <c r="G289" s="247">
        <v>72948</v>
      </c>
      <c r="H289" s="247">
        <v>259167.568</v>
      </c>
      <c r="I289" s="247">
        <v>0</v>
      </c>
      <c r="J289" s="247">
        <v>269010</v>
      </c>
      <c r="K289" s="247">
        <v>0</v>
      </c>
      <c r="L289" s="247">
        <v>269010</v>
      </c>
      <c r="M289" s="247">
        <v>528177.56799999997</v>
      </c>
      <c r="N289" s="247">
        <v>528177.56799999997</v>
      </c>
      <c r="O289" s="172"/>
      <c r="P289" s="247">
        <v>178.63302349228275</v>
      </c>
      <c r="Q289" s="247">
        <v>69.976114420558858</v>
      </c>
      <c r="R289" s="247">
        <v>0</v>
      </c>
      <c r="S289" s="247">
        <v>258.05059138392471</v>
      </c>
      <c r="T289" s="248">
        <v>506.65972929676627</v>
      </c>
      <c r="U289" s="247">
        <v>248.60913791284162</v>
      </c>
      <c r="V289" s="247">
        <v>0</v>
      </c>
      <c r="W289" s="247">
        <v>258.05059138392471</v>
      </c>
      <c r="X289" s="247">
        <v>506.65972929676627</v>
      </c>
      <c r="Y289" s="247">
        <v>0</v>
      </c>
      <c r="Z289" s="247">
        <v>0</v>
      </c>
    </row>
    <row r="290" spans="1:26" ht="12.75" x14ac:dyDescent="0.2">
      <c r="A290" s="269">
        <v>846</v>
      </c>
      <c r="B290" s="269">
        <v>1</v>
      </c>
      <c r="C290" s="270" t="s">
        <v>538</v>
      </c>
      <c r="D290" s="271">
        <v>6</v>
      </c>
      <c r="E290" s="248">
        <v>701.17000000000007</v>
      </c>
      <c r="F290" s="247">
        <v>46362.813999999998</v>
      </c>
      <c r="G290" s="247">
        <v>49600.799999999996</v>
      </c>
      <c r="H290" s="247">
        <v>172957.7</v>
      </c>
      <c r="I290" s="247">
        <v>0</v>
      </c>
      <c r="J290" s="247">
        <v>0</v>
      </c>
      <c r="K290" s="247">
        <v>0</v>
      </c>
      <c r="L290" s="247">
        <v>0</v>
      </c>
      <c r="M290" s="247">
        <v>95963.614000000001</v>
      </c>
      <c r="N290" s="247">
        <v>172957.7</v>
      </c>
      <c r="O290" s="172"/>
      <c r="P290" s="247">
        <v>66.122073106379332</v>
      </c>
      <c r="Q290" s="247">
        <v>70.740048775617879</v>
      </c>
      <c r="R290" s="247">
        <v>0</v>
      </c>
      <c r="S290" s="247">
        <v>0</v>
      </c>
      <c r="T290" s="248">
        <v>136.86212188199721</v>
      </c>
      <c r="U290" s="247">
        <v>246.67013705663391</v>
      </c>
      <c r="V290" s="247">
        <v>0</v>
      </c>
      <c r="W290" s="247">
        <v>0</v>
      </c>
      <c r="X290" s="247">
        <v>246.67013705663391</v>
      </c>
      <c r="Y290" s="247">
        <v>109.80801517463668</v>
      </c>
      <c r="Z290" s="247">
        <v>76994.08600000001</v>
      </c>
    </row>
    <row r="291" spans="1:26" ht="12.75" x14ac:dyDescent="0.2">
      <c r="A291" s="269">
        <v>850</v>
      </c>
      <c r="B291" s="269">
        <v>1</v>
      </c>
      <c r="C291" s="270" t="s">
        <v>265</v>
      </c>
      <c r="D291" s="271">
        <v>6</v>
      </c>
      <c r="E291" s="248">
        <v>257.95999999999998</v>
      </c>
      <c r="F291" s="247">
        <v>32086.026000000002</v>
      </c>
      <c r="G291" s="247">
        <v>17497.8</v>
      </c>
      <c r="H291" s="247">
        <v>61198.399999999994</v>
      </c>
      <c r="I291" s="247">
        <v>0</v>
      </c>
      <c r="J291" s="247">
        <v>0</v>
      </c>
      <c r="K291" s="247">
        <v>0</v>
      </c>
      <c r="L291" s="247">
        <v>0</v>
      </c>
      <c r="M291" s="247">
        <v>49583.826000000001</v>
      </c>
      <c r="N291" s="247">
        <v>61198.399999999994</v>
      </c>
      <c r="O291" s="172"/>
      <c r="P291" s="247">
        <v>124.38372615909445</v>
      </c>
      <c r="Q291" s="247">
        <v>67.831446735928054</v>
      </c>
      <c r="R291" s="247">
        <v>0</v>
      </c>
      <c r="S291" s="247">
        <v>0</v>
      </c>
      <c r="T291" s="248">
        <v>192.2151728950225</v>
      </c>
      <c r="U291" s="247">
        <v>237.23988215227166</v>
      </c>
      <c r="V291" s="247">
        <v>0</v>
      </c>
      <c r="W291" s="247">
        <v>0</v>
      </c>
      <c r="X291" s="247">
        <v>237.23988215227166</v>
      </c>
      <c r="Y291" s="247">
        <v>45.024709257249164</v>
      </c>
      <c r="Z291" s="247">
        <v>11614.573999999993</v>
      </c>
    </row>
    <row r="292" spans="1:26" ht="12.75" x14ac:dyDescent="0.2">
      <c r="A292" s="269">
        <v>852</v>
      </c>
      <c r="B292" s="269">
        <v>1</v>
      </c>
      <c r="C292" s="270" t="s">
        <v>588</v>
      </c>
      <c r="D292" s="271">
        <v>6</v>
      </c>
      <c r="E292" s="248">
        <v>123.33</v>
      </c>
      <c r="F292" s="247">
        <v>22647.608</v>
      </c>
      <c r="G292" s="247">
        <v>8498.4</v>
      </c>
      <c r="H292" s="247">
        <v>31146.008000000002</v>
      </c>
      <c r="I292" s="247">
        <v>0</v>
      </c>
      <c r="J292" s="247">
        <v>261558</v>
      </c>
      <c r="K292" s="247">
        <v>0</v>
      </c>
      <c r="L292" s="247">
        <v>261558</v>
      </c>
      <c r="M292" s="247">
        <v>292704.00800000003</v>
      </c>
      <c r="N292" s="247">
        <v>292704.00800000003</v>
      </c>
      <c r="O292" s="172"/>
      <c r="P292" s="247">
        <v>183.6342171410038</v>
      </c>
      <c r="Q292" s="247">
        <v>68.907808319143754</v>
      </c>
      <c r="R292" s="247">
        <v>0</v>
      </c>
      <c r="S292" s="247">
        <v>2120.7978594016054</v>
      </c>
      <c r="T292" s="248">
        <v>2373.3398848617535</v>
      </c>
      <c r="U292" s="247">
        <v>252.54202546014758</v>
      </c>
      <c r="V292" s="247">
        <v>0</v>
      </c>
      <c r="W292" s="247">
        <v>2120.7978594016054</v>
      </c>
      <c r="X292" s="247">
        <v>2373.3398848617535</v>
      </c>
      <c r="Y292" s="247">
        <v>0</v>
      </c>
      <c r="Z292" s="247">
        <v>0</v>
      </c>
    </row>
    <row r="293" spans="1:26" ht="12.75" x14ac:dyDescent="0.2">
      <c r="A293" s="269">
        <v>857</v>
      </c>
      <c r="B293" s="269">
        <v>1</v>
      </c>
      <c r="C293" s="270" t="s">
        <v>404</v>
      </c>
      <c r="D293" s="271">
        <v>6</v>
      </c>
      <c r="E293" s="248">
        <v>776.71</v>
      </c>
      <c r="F293" s="247">
        <v>86869.017999999996</v>
      </c>
      <c r="G293" s="247">
        <v>54319.8</v>
      </c>
      <c r="H293" s="247">
        <v>190545.80000000002</v>
      </c>
      <c r="I293" s="247">
        <v>0</v>
      </c>
      <c r="J293" s="247">
        <v>80218</v>
      </c>
      <c r="K293" s="247">
        <v>0</v>
      </c>
      <c r="L293" s="247">
        <v>80218</v>
      </c>
      <c r="M293" s="247">
        <v>221406.818</v>
      </c>
      <c r="N293" s="247">
        <v>270763.80000000005</v>
      </c>
      <c r="O293" s="172"/>
      <c r="P293" s="247">
        <v>111.84228090278224</v>
      </c>
      <c r="Q293" s="247">
        <v>69.935754657465466</v>
      </c>
      <c r="R293" s="247">
        <v>0</v>
      </c>
      <c r="S293" s="247">
        <v>103.27921618107143</v>
      </c>
      <c r="T293" s="248">
        <v>285.05725174131913</v>
      </c>
      <c r="U293" s="247">
        <v>245.32425229493634</v>
      </c>
      <c r="V293" s="247">
        <v>0</v>
      </c>
      <c r="W293" s="247">
        <v>103.27921618107143</v>
      </c>
      <c r="X293" s="247">
        <v>348.60346847600783</v>
      </c>
      <c r="Y293" s="247">
        <v>63.546216734688677</v>
      </c>
      <c r="Z293" s="247">
        <v>49356.982000000047</v>
      </c>
    </row>
    <row r="294" spans="1:26" ht="12.75" x14ac:dyDescent="0.2">
      <c r="A294" s="269">
        <v>858</v>
      </c>
      <c r="B294" s="269">
        <v>1</v>
      </c>
      <c r="C294" s="270" t="s">
        <v>589</v>
      </c>
      <c r="D294" s="271">
        <v>6</v>
      </c>
      <c r="E294" s="248">
        <v>983.44999999999993</v>
      </c>
      <c r="F294" s="247">
        <v>12332.956</v>
      </c>
      <c r="G294" s="247">
        <v>67986.599999999991</v>
      </c>
      <c r="H294" s="247">
        <v>238919.4</v>
      </c>
      <c r="I294" s="247">
        <v>0</v>
      </c>
      <c r="J294" s="247">
        <v>0</v>
      </c>
      <c r="K294" s="247">
        <v>0</v>
      </c>
      <c r="L294" s="247">
        <v>0</v>
      </c>
      <c r="M294" s="247">
        <v>80319.555999999997</v>
      </c>
      <c r="N294" s="247">
        <v>238919.4</v>
      </c>
      <c r="O294" s="172"/>
      <c r="P294" s="247">
        <v>12.540501296456354</v>
      </c>
      <c r="Q294" s="247">
        <v>69.13071330520107</v>
      </c>
      <c r="R294" s="247">
        <v>0</v>
      </c>
      <c r="S294" s="247">
        <v>0</v>
      </c>
      <c r="T294" s="248">
        <v>81.671214601657439</v>
      </c>
      <c r="U294" s="247">
        <v>242.94005795922519</v>
      </c>
      <c r="V294" s="247">
        <v>0</v>
      </c>
      <c r="W294" s="247">
        <v>0</v>
      </c>
      <c r="X294" s="247">
        <v>242.94005795922519</v>
      </c>
      <c r="Y294" s="247">
        <v>161.26884335756773</v>
      </c>
      <c r="Z294" s="247">
        <v>158599.84399999998</v>
      </c>
    </row>
    <row r="295" spans="1:26" ht="12.75" x14ac:dyDescent="0.2">
      <c r="A295" s="269">
        <v>861</v>
      </c>
      <c r="B295" s="269">
        <v>1</v>
      </c>
      <c r="C295" s="270" t="s">
        <v>623</v>
      </c>
      <c r="D295" s="271">
        <v>4</v>
      </c>
      <c r="E295" s="248">
        <v>3441.45</v>
      </c>
      <c r="F295" s="247">
        <v>735166.22600000002</v>
      </c>
      <c r="G295" s="247">
        <v>241384.8</v>
      </c>
      <c r="H295" s="247">
        <v>976551.02600000007</v>
      </c>
      <c r="I295" s="247">
        <v>303900</v>
      </c>
      <c r="J295" s="247">
        <v>0</v>
      </c>
      <c r="K295" s="247">
        <v>303900</v>
      </c>
      <c r="L295" s="247">
        <v>0</v>
      </c>
      <c r="M295" s="247">
        <v>1280451.0260000001</v>
      </c>
      <c r="N295" s="247">
        <v>1280451.0260000001</v>
      </c>
      <c r="O295" s="172"/>
      <c r="P295" s="247">
        <v>213.62106844498686</v>
      </c>
      <c r="Q295" s="247">
        <v>70.140434991064808</v>
      </c>
      <c r="R295" s="247">
        <v>88.305801333740149</v>
      </c>
      <c r="S295" s="247">
        <v>0</v>
      </c>
      <c r="T295" s="248">
        <v>372.06730476979186</v>
      </c>
      <c r="U295" s="247">
        <v>283.76150343605173</v>
      </c>
      <c r="V295" s="247">
        <v>88.305801333740149</v>
      </c>
      <c r="W295" s="247">
        <v>0</v>
      </c>
      <c r="X295" s="247">
        <v>372.06730476979186</v>
      </c>
      <c r="Y295" s="247">
        <v>0</v>
      </c>
      <c r="Z295" s="247">
        <v>0</v>
      </c>
    </row>
    <row r="296" spans="1:26" ht="12.75" x14ac:dyDescent="0.2">
      <c r="A296" s="269">
        <v>876</v>
      </c>
      <c r="B296" s="269">
        <v>1</v>
      </c>
      <c r="C296" s="270" t="s">
        <v>387</v>
      </c>
      <c r="D296" s="271">
        <v>5</v>
      </c>
      <c r="E296" s="248">
        <v>1631.63</v>
      </c>
      <c r="F296" s="247">
        <v>85930.51400000001</v>
      </c>
      <c r="G296" s="247">
        <v>113620.8</v>
      </c>
      <c r="H296" s="247">
        <v>398104.7</v>
      </c>
      <c r="I296" s="247">
        <v>0</v>
      </c>
      <c r="J296" s="247">
        <v>0</v>
      </c>
      <c r="K296" s="247">
        <v>0</v>
      </c>
      <c r="L296" s="247">
        <v>0</v>
      </c>
      <c r="M296" s="247">
        <v>199551.31400000001</v>
      </c>
      <c r="N296" s="247">
        <v>398104.7</v>
      </c>
      <c r="O296" s="172"/>
      <c r="P296" s="247">
        <v>52.665441307159099</v>
      </c>
      <c r="Q296" s="247">
        <v>69.636375894044605</v>
      </c>
      <c r="R296" s="247">
        <v>0</v>
      </c>
      <c r="S296" s="247">
        <v>0</v>
      </c>
      <c r="T296" s="248">
        <v>122.3018172012037</v>
      </c>
      <c r="U296" s="247">
        <v>243.99202024968895</v>
      </c>
      <c r="V296" s="247">
        <v>0</v>
      </c>
      <c r="W296" s="247">
        <v>0</v>
      </c>
      <c r="X296" s="247">
        <v>243.99202024968895</v>
      </c>
      <c r="Y296" s="247">
        <v>121.69020304848524</v>
      </c>
      <c r="Z296" s="247">
        <v>198553.386</v>
      </c>
    </row>
    <row r="297" spans="1:26" ht="12.75" x14ac:dyDescent="0.2">
      <c r="A297" s="269">
        <v>877</v>
      </c>
      <c r="B297" s="269">
        <v>1</v>
      </c>
      <c r="C297" s="270" t="s">
        <v>625</v>
      </c>
      <c r="D297" s="271">
        <v>4</v>
      </c>
      <c r="E297" s="248">
        <v>5811.92</v>
      </c>
      <c r="F297" s="247">
        <v>230764.92400000003</v>
      </c>
      <c r="G297" s="247">
        <v>314058.76971428568</v>
      </c>
      <c r="H297" s="247">
        <v>1103867.6474857142</v>
      </c>
      <c r="I297" s="247">
        <v>0</v>
      </c>
      <c r="J297" s="247">
        <v>898249</v>
      </c>
      <c r="K297" s="247">
        <v>0</v>
      </c>
      <c r="L297" s="247">
        <v>898249</v>
      </c>
      <c r="M297" s="247">
        <v>1443072.6937142857</v>
      </c>
      <c r="N297" s="247">
        <v>2002116.6474857142</v>
      </c>
      <c r="O297" s="172"/>
      <c r="P297" s="247">
        <v>39.705454307698666</v>
      </c>
      <c r="Q297" s="247">
        <v>54.037008374906343</v>
      </c>
      <c r="R297" s="247">
        <v>0</v>
      </c>
      <c r="S297" s="247">
        <v>154.55288441685363</v>
      </c>
      <c r="T297" s="248">
        <v>248.29534709945864</v>
      </c>
      <c r="U297" s="247">
        <v>189.93166586699647</v>
      </c>
      <c r="V297" s="247">
        <v>0</v>
      </c>
      <c r="W297" s="247">
        <v>154.55288441685363</v>
      </c>
      <c r="X297" s="247">
        <v>344.48455028385013</v>
      </c>
      <c r="Y297" s="247">
        <v>96.189203184391459</v>
      </c>
      <c r="Z297" s="247">
        <v>559043.95377142844</v>
      </c>
    </row>
    <row r="298" spans="1:26" ht="12.75" x14ac:dyDescent="0.2">
      <c r="A298" s="269">
        <v>879</v>
      </c>
      <c r="B298" s="269">
        <v>1</v>
      </c>
      <c r="C298" s="270" t="s">
        <v>626</v>
      </c>
      <c r="D298" s="271">
        <v>4</v>
      </c>
      <c r="E298" s="248">
        <v>2327.54</v>
      </c>
      <c r="F298" s="247">
        <v>191491.60799999998</v>
      </c>
      <c r="G298" s="247">
        <v>141735.88080000001</v>
      </c>
      <c r="H298" s="247">
        <v>498690.41600000003</v>
      </c>
      <c r="I298" s="247">
        <v>0</v>
      </c>
      <c r="J298" s="247">
        <v>342005</v>
      </c>
      <c r="K298" s="247">
        <v>0</v>
      </c>
      <c r="L298" s="247">
        <v>342005</v>
      </c>
      <c r="M298" s="247">
        <v>675232.48879999993</v>
      </c>
      <c r="N298" s="247">
        <v>840695.41599999997</v>
      </c>
      <c r="O298" s="172"/>
      <c r="P298" s="247">
        <v>82.272101875800189</v>
      </c>
      <c r="Q298" s="247">
        <v>60.895142854687791</v>
      </c>
      <c r="R298" s="247">
        <v>0</v>
      </c>
      <c r="S298" s="247">
        <v>146.93839848079946</v>
      </c>
      <c r="T298" s="248">
        <v>290.10564321128743</v>
      </c>
      <c r="U298" s="247">
        <v>214.25643211287456</v>
      </c>
      <c r="V298" s="247">
        <v>0</v>
      </c>
      <c r="W298" s="247">
        <v>146.93839848079946</v>
      </c>
      <c r="X298" s="247">
        <v>361.194830593674</v>
      </c>
      <c r="Y298" s="247">
        <v>71.089187382386569</v>
      </c>
      <c r="Z298" s="247">
        <v>165462.92720000003</v>
      </c>
    </row>
    <row r="299" spans="1:26" ht="12.75" x14ac:dyDescent="0.2">
      <c r="A299" s="269">
        <v>881</v>
      </c>
      <c r="B299" s="269">
        <v>1</v>
      </c>
      <c r="C299" s="270" t="s">
        <v>472</v>
      </c>
      <c r="D299" s="271">
        <v>5</v>
      </c>
      <c r="E299" s="248">
        <v>923.05</v>
      </c>
      <c r="F299" s="247">
        <v>56748.383999999998</v>
      </c>
      <c r="G299" s="247">
        <v>50602.045371428561</v>
      </c>
      <c r="H299" s="247">
        <v>176606.54879999999</v>
      </c>
      <c r="I299" s="247">
        <v>0</v>
      </c>
      <c r="J299" s="247">
        <v>0</v>
      </c>
      <c r="K299" s="247">
        <v>0</v>
      </c>
      <c r="L299" s="247">
        <v>0</v>
      </c>
      <c r="M299" s="247">
        <v>107350.42937142856</v>
      </c>
      <c r="N299" s="247">
        <v>176606.54879999999</v>
      </c>
      <c r="O299" s="172"/>
      <c r="P299" s="247">
        <v>61.479209143600023</v>
      </c>
      <c r="Q299" s="247">
        <v>54.820481416422254</v>
      </c>
      <c r="R299" s="247">
        <v>0</v>
      </c>
      <c r="S299" s="247">
        <v>0</v>
      </c>
      <c r="T299" s="248">
        <v>116.29969056002228</v>
      </c>
      <c r="U299" s="247">
        <v>191.32934163913114</v>
      </c>
      <c r="V299" s="247">
        <v>0</v>
      </c>
      <c r="W299" s="247">
        <v>0</v>
      </c>
      <c r="X299" s="247">
        <v>191.32934163913114</v>
      </c>
      <c r="Y299" s="247">
        <v>75.029651079108859</v>
      </c>
      <c r="Z299" s="247">
        <v>69256.11942857143</v>
      </c>
    </row>
    <row r="300" spans="1:26" ht="12.75" x14ac:dyDescent="0.2">
      <c r="A300" s="269">
        <v>882</v>
      </c>
      <c r="B300" s="269">
        <v>1</v>
      </c>
      <c r="C300" s="270" t="s">
        <v>628</v>
      </c>
      <c r="D300" s="271">
        <v>4</v>
      </c>
      <c r="E300" s="248">
        <v>4000.8999999999996</v>
      </c>
      <c r="F300" s="247">
        <v>378414.42</v>
      </c>
      <c r="G300" s="247">
        <v>222714.45239999998</v>
      </c>
      <c r="H300" s="247">
        <v>781673.17328571423</v>
      </c>
      <c r="I300" s="247">
        <v>0</v>
      </c>
      <c r="J300" s="247">
        <v>815325</v>
      </c>
      <c r="K300" s="247">
        <v>0</v>
      </c>
      <c r="L300" s="247">
        <v>815325</v>
      </c>
      <c r="M300" s="247">
        <v>1416453.8724</v>
      </c>
      <c r="N300" s="247">
        <v>1596998.1732857144</v>
      </c>
      <c r="O300" s="172"/>
      <c r="P300" s="247">
        <v>94.582323977105162</v>
      </c>
      <c r="Q300" s="247">
        <v>55.666088230148219</v>
      </c>
      <c r="R300" s="247">
        <v>0</v>
      </c>
      <c r="S300" s="247">
        <v>203.78539828538581</v>
      </c>
      <c r="T300" s="248">
        <v>354.03381049263919</v>
      </c>
      <c r="U300" s="247">
        <v>195.37433409625692</v>
      </c>
      <c r="V300" s="247">
        <v>0</v>
      </c>
      <c r="W300" s="247">
        <v>203.78539828538581</v>
      </c>
      <c r="X300" s="247">
        <v>399.15973238164275</v>
      </c>
      <c r="Y300" s="247">
        <v>45.125921889003571</v>
      </c>
      <c r="Z300" s="247">
        <v>180544.30088571436</v>
      </c>
    </row>
    <row r="301" spans="1:26" ht="12.75" x14ac:dyDescent="0.2">
      <c r="A301" s="269">
        <v>883</v>
      </c>
      <c r="B301" s="269">
        <v>1</v>
      </c>
      <c r="C301" s="270" t="s">
        <v>430</v>
      </c>
      <c r="D301" s="271">
        <v>5</v>
      </c>
      <c r="E301" s="248">
        <v>1585.96</v>
      </c>
      <c r="F301" s="247">
        <v>92459.33</v>
      </c>
      <c r="G301" s="247">
        <v>72774.973028571432</v>
      </c>
      <c r="H301" s="247">
        <v>255530.73008571428</v>
      </c>
      <c r="I301" s="247">
        <v>0</v>
      </c>
      <c r="J301" s="247">
        <v>0</v>
      </c>
      <c r="K301" s="247">
        <v>0</v>
      </c>
      <c r="L301" s="247">
        <v>0</v>
      </c>
      <c r="M301" s="247">
        <v>165234.30302857142</v>
      </c>
      <c r="N301" s="247">
        <v>255530.73008571428</v>
      </c>
      <c r="O301" s="172"/>
      <c r="P301" s="247">
        <v>58.298651920603291</v>
      </c>
      <c r="Q301" s="247">
        <v>45.887016714527121</v>
      </c>
      <c r="R301" s="247">
        <v>0</v>
      </c>
      <c r="S301" s="247">
        <v>0</v>
      </c>
      <c r="T301" s="248">
        <v>104.1856686351304</v>
      </c>
      <c r="U301" s="247">
        <v>161.1205390335912</v>
      </c>
      <c r="V301" s="247">
        <v>0</v>
      </c>
      <c r="W301" s="247">
        <v>0</v>
      </c>
      <c r="X301" s="247">
        <v>161.1205390335912</v>
      </c>
      <c r="Y301" s="247">
        <v>56.934870398460781</v>
      </c>
      <c r="Z301" s="247">
        <v>90296.427057142864</v>
      </c>
    </row>
    <row r="302" spans="1:26" ht="12.75" x14ac:dyDescent="0.2">
      <c r="A302" s="269">
        <v>885</v>
      </c>
      <c r="B302" s="269">
        <v>1</v>
      </c>
      <c r="C302" s="270" t="s">
        <v>323</v>
      </c>
      <c r="D302" s="271">
        <v>4</v>
      </c>
      <c r="E302" s="248">
        <v>5642.0499999999993</v>
      </c>
      <c r="F302" s="247">
        <v>288097.24</v>
      </c>
      <c r="G302" s="247">
        <v>162070.47154285715</v>
      </c>
      <c r="H302" s="247">
        <v>569189.65325714287</v>
      </c>
      <c r="I302" s="247">
        <v>0</v>
      </c>
      <c r="J302" s="247">
        <v>0</v>
      </c>
      <c r="K302" s="247">
        <v>0</v>
      </c>
      <c r="L302" s="247">
        <v>0</v>
      </c>
      <c r="M302" s="247">
        <v>450167.71154285711</v>
      </c>
      <c r="N302" s="247">
        <v>569189.65325714287</v>
      </c>
      <c r="O302" s="172"/>
      <c r="P302" s="247">
        <v>51.062510966758538</v>
      </c>
      <c r="Q302" s="247">
        <v>28.725458218707239</v>
      </c>
      <c r="R302" s="247">
        <v>0</v>
      </c>
      <c r="S302" s="247">
        <v>0</v>
      </c>
      <c r="T302" s="248">
        <v>79.787969185465769</v>
      </c>
      <c r="U302" s="247">
        <v>100.88348264498595</v>
      </c>
      <c r="V302" s="247">
        <v>0</v>
      </c>
      <c r="W302" s="247">
        <v>0</v>
      </c>
      <c r="X302" s="247">
        <v>100.88348264498595</v>
      </c>
      <c r="Y302" s="247">
        <v>21.09551345952017</v>
      </c>
      <c r="Z302" s="247">
        <v>119021.94171428576</v>
      </c>
    </row>
    <row r="303" spans="1:26" ht="12.75" x14ac:dyDescent="0.2">
      <c r="A303" s="269">
        <v>891</v>
      </c>
      <c r="B303" s="269">
        <v>1</v>
      </c>
      <c r="C303" s="270" t="s">
        <v>439</v>
      </c>
      <c r="D303" s="271">
        <v>6</v>
      </c>
      <c r="E303" s="248">
        <v>505.65</v>
      </c>
      <c r="F303" s="247">
        <v>64331.83</v>
      </c>
      <c r="G303" s="247">
        <v>35445</v>
      </c>
      <c r="H303" s="247">
        <v>124041.29999999999</v>
      </c>
      <c r="I303" s="247">
        <v>0</v>
      </c>
      <c r="J303" s="247">
        <v>0</v>
      </c>
      <c r="K303" s="247">
        <v>0</v>
      </c>
      <c r="L303" s="247">
        <v>0</v>
      </c>
      <c r="M303" s="247">
        <v>99776.83</v>
      </c>
      <c r="N303" s="247">
        <v>124041.29999999999</v>
      </c>
      <c r="O303" s="172"/>
      <c r="P303" s="247">
        <v>127.22600613072284</v>
      </c>
      <c r="Q303" s="247">
        <v>70.097893800059339</v>
      </c>
      <c r="R303" s="247">
        <v>0</v>
      </c>
      <c r="S303" s="247">
        <v>0</v>
      </c>
      <c r="T303" s="248">
        <v>197.32389993078218</v>
      </c>
      <c r="U303" s="247">
        <v>245.31059032927914</v>
      </c>
      <c r="V303" s="247">
        <v>0</v>
      </c>
      <c r="W303" s="247">
        <v>0</v>
      </c>
      <c r="X303" s="247">
        <v>245.31059032927914</v>
      </c>
      <c r="Y303" s="247">
        <v>47.986690398496961</v>
      </c>
      <c r="Z303" s="247">
        <v>24264.469999999987</v>
      </c>
    </row>
    <row r="304" spans="1:26" ht="12.75" x14ac:dyDescent="0.2">
      <c r="A304" s="269">
        <v>911</v>
      </c>
      <c r="B304" s="269">
        <v>1</v>
      </c>
      <c r="C304" s="270" t="s">
        <v>629</v>
      </c>
      <c r="D304" s="271">
        <v>4</v>
      </c>
      <c r="E304" s="248">
        <v>5304.4699999999993</v>
      </c>
      <c r="F304" s="247">
        <v>195975.43</v>
      </c>
      <c r="G304" s="247">
        <v>341169.36514285713</v>
      </c>
      <c r="H304" s="247">
        <v>1198353.1365714285</v>
      </c>
      <c r="I304" s="247">
        <v>0</v>
      </c>
      <c r="J304" s="247">
        <v>758140</v>
      </c>
      <c r="K304" s="247">
        <v>0</v>
      </c>
      <c r="L304" s="247">
        <v>758140</v>
      </c>
      <c r="M304" s="247">
        <v>1295284.7951428571</v>
      </c>
      <c r="N304" s="247">
        <v>1956493.1365714285</v>
      </c>
      <c r="O304" s="172"/>
      <c r="P304" s="247">
        <v>36.945336668884927</v>
      </c>
      <c r="Q304" s="247">
        <v>64.317333332615163</v>
      </c>
      <c r="R304" s="247">
        <v>0</v>
      </c>
      <c r="S304" s="247">
        <v>142.92474083178905</v>
      </c>
      <c r="T304" s="248">
        <v>244.18741083328914</v>
      </c>
      <c r="U304" s="247">
        <v>225.91383051868115</v>
      </c>
      <c r="V304" s="247">
        <v>0</v>
      </c>
      <c r="W304" s="247">
        <v>142.92474083178905</v>
      </c>
      <c r="X304" s="247">
        <v>368.8385713504702</v>
      </c>
      <c r="Y304" s="247">
        <v>124.65116051718107</v>
      </c>
      <c r="Z304" s="247">
        <v>661208.34142857138</v>
      </c>
    </row>
    <row r="305" spans="1:26" ht="12.75" x14ac:dyDescent="0.2">
      <c r="A305" s="269">
        <v>912</v>
      </c>
      <c r="B305" s="269">
        <v>1</v>
      </c>
      <c r="C305" s="270" t="s">
        <v>630</v>
      </c>
      <c r="D305" s="271">
        <v>5</v>
      </c>
      <c r="E305" s="248">
        <v>1811.7800000000002</v>
      </c>
      <c r="F305" s="247">
        <v>213667.30600000001</v>
      </c>
      <c r="G305" s="247">
        <v>113382.95451428571</v>
      </c>
      <c r="H305" s="247">
        <v>396696.19577142852</v>
      </c>
      <c r="I305" s="247">
        <v>0</v>
      </c>
      <c r="J305" s="247">
        <v>425796</v>
      </c>
      <c r="K305" s="247">
        <v>0</v>
      </c>
      <c r="L305" s="247">
        <v>425796</v>
      </c>
      <c r="M305" s="247">
        <v>752846.26051428565</v>
      </c>
      <c r="N305" s="247">
        <v>822492.19577142852</v>
      </c>
      <c r="O305" s="172"/>
      <c r="P305" s="247">
        <v>117.93225777964211</v>
      </c>
      <c r="Q305" s="247">
        <v>62.580972587337151</v>
      </c>
      <c r="R305" s="247">
        <v>0</v>
      </c>
      <c r="S305" s="247">
        <v>235.01528883197736</v>
      </c>
      <c r="T305" s="248">
        <v>415.52851919895659</v>
      </c>
      <c r="U305" s="247">
        <v>218.9538441595715</v>
      </c>
      <c r="V305" s="247">
        <v>0</v>
      </c>
      <c r="W305" s="247">
        <v>235.01528883197736</v>
      </c>
      <c r="X305" s="247">
        <v>453.96913299154886</v>
      </c>
      <c r="Y305" s="247">
        <v>38.440613792592295</v>
      </c>
      <c r="Z305" s="247">
        <v>69645.935257142875</v>
      </c>
    </row>
    <row r="306" spans="1:26" ht="12.75" x14ac:dyDescent="0.2">
      <c r="A306" s="269">
        <v>914</v>
      </c>
      <c r="B306" s="269">
        <v>1</v>
      </c>
      <c r="C306" s="270" t="s">
        <v>631</v>
      </c>
      <c r="D306" s="271">
        <v>6</v>
      </c>
      <c r="E306" s="248">
        <v>292.14</v>
      </c>
      <c r="F306" s="247">
        <v>10964.645999999999</v>
      </c>
      <c r="G306" s="247">
        <v>20232.599999999999</v>
      </c>
      <c r="H306" s="247">
        <v>71201.099999999991</v>
      </c>
      <c r="I306" s="247">
        <v>0</v>
      </c>
      <c r="J306" s="247">
        <v>0</v>
      </c>
      <c r="K306" s="247">
        <v>0</v>
      </c>
      <c r="L306" s="247">
        <v>0</v>
      </c>
      <c r="M306" s="247">
        <v>31197.245999999999</v>
      </c>
      <c r="N306" s="247">
        <v>71201.099999999991</v>
      </c>
      <c r="O306" s="172"/>
      <c r="P306" s="247">
        <v>37.532162661737523</v>
      </c>
      <c r="Q306" s="247">
        <v>69.25652084616965</v>
      </c>
      <c r="R306" s="247">
        <v>0</v>
      </c>
      <c r="S306" s="247">
        <v>0</v>
      </c>
      <c r="T306" s="248">
        <v>106.78868350790717</v>
      </c>
      <c r="U306" s="247">
        <v>243.72253029369477</v>
      </c>
      <c r="V306" s="247">
        <v>0</v>
      </c>
      <c r="W306" s="247">
        <v>0</v>
      </c>
      <c r="X306" s="247">
        <v>243.72253029369477</v>
      </c>
      <c r="Y306" s="247">
        <v>136.93384678578761</v>
      </c>
      <c r="Z306" s="247">
        <v>40003.853999999992</v>
      </c>
    </row>
    <row r="307" spans="1:26" ht="12.75" x14ac:dyDescent="0.2">
      <c r="A307" s="269">
        <v>2071</v>
      </c>
      <c r="B307" s="269">
        <v>1</v>
      </c>
      <c r="C307" s="270" t="s">
        <v>417</v>
      </c>
      <c r="D307" s="271">
        <v>6</v>
      </c>
      <c r="E307" s="248">
        <v>812.91000000000008</v>
      </c>
      <c r="F307" s="247">
        <v>79049.263999999996</v>
      </c>
      <c r="G307" s="247">
        <v>26264.355771428571</v>
      </c>
      <c r="H307" s="247">
        <v>105313.61977142857</v>
      </c>
      <c r="I307" s="247">
        <v>0</v>
      </c>
      <c r="J307" s="247">
        <v>169683</v>
      </c>
      <c r="K307" s="247">
        <v>0</v>
      </c>
      <c r="L307" s="247">
        <v>169683</v>
      </c>
      <c r="M307" s="247">
        <v>274996.61977142858</v>
      </c>
      <c r="N307" s="247">
        <v>274996.61977142858</v>
      </c>
      <c r="O307" s="172"/>
      <c r="P307" s="247">
        <v>97.242331869456635</v>
      </c>
      <c r="Q307" s="247">
        <v>32.309057302073498</v>
      </c>
      <c r="R307" s="247">
        <v>0</v>
      </c>
      <c r="S307" s="247">
        <v>208.73528434882087</v>
      </c>
      <c r="T307" s="248">
        <v>338.28667352035103</v>
      </c>
      <c r="U307" s="247">
        <v>129.55138917153013</v>
      </c>
      <c r="V307" s="247">
        <v>0</v>
      </c>
      <c r="W307" s="247">
        <v>208.73528434882087</v>
      </c>
      <c r="X307" s="247">
        <v>338.28667352035103</v>
      </c>
      <c r="Y307" s="247">
        <v>0</v>
      </c>
      <c r="Z307" s="247">
        <v>0</v>
      </c>
    </row>
    <row r="308" spans="1:26" ht="12.75" x14ac:dyDescent="0.2">
      <c r="A308" s="269">
        <v>2125</v>
      </c>
      <c r="B308" s="269">
        <v>1</v>
      </c>
      <c r="C308" s="270" t="s">
        <v>532</v>
      </c>
      <c r="D308" s="271">
        <v>5</v>
      </c>
      <c r="E308" s="248">
        <v>1198.8399999999999</v>
      </c>
      <c r="F308" s="247">
        <v>73754.326000000001</v>
      </c>
      <c r="G308" s="247">
        <v>53294.371200000009</v>
      </c>
      <c r="H308" s="247">
        <v>187188.27840000001</v>
      </c>
      <c r="I308" s="247">
        <v>0</v>
      </c>
      <c r="J308" s="247">
        <v>152082</v>
      </c>
      <c r="K308" s="247">
        <v>0</v>
      </c>
      <c r="L308" s="247">
        <v>152082</v>
      </c>
      <c r="M308" s="247">
        <v>279130.6972</v>
      </c>
      <c r="N308" s="247">
        <v>339270.27840000001</v>
      </c>
      <c r="O308" s="172"/>
      <c r="P308" s="247">
        <v>61.521409028727774</v>
      </c>
      <c r="Q308" s="247">
        <v>44.45494911748024</v>
      </c>
      <c r="R308" s="247">
        <v>0</v>
      </c>
      <c r="S308" s="247">
        <v>126.8576290414067</v>
      </c>
      <c r="T308" s="248">
        <v>232.8339871876147</v>
      </c>
      <c r="U308" s="247">
        <v>156.14116846284745</v>
      </c>
      <c r="V308" s="247">
        <v>0</v>
      </c>
      <c r="W308" s="247">
        <v>126.8576290414067</v>
      </c>
      <c r="X308" s="247">
        <v>282.99879750425413</v>
      </c>
      <c r="Y308" s="247">
        <v>50.164810316639432</v>
      </c>
      <c r="Z308" s="247">
        <v>60139.581200000015</v>
      </c>
    </row>
    <row r="309" spans="1:26" ht="12.75" x14ac:dyDescent="0.2">
      <c r="A309" s="269">
        <v>2134</v>
      </c>
      <c r="B309" s="269">
        <v>1</v>
      </c>
      <c r="C309" s="270" t="s">
        <v>635</v>
      </c>
      <c r="D309" s="271">
        <v>6</v>
      </c>
      <c r="E309" s="248">
        <v>636.41</v>
      </c>
      <c r="F309" s="247">
        <v>176636.946</v>
      </c>
      <c r="G309" s="247">
        <v>44260.799999999996</v>
      </c>
      <c r="H309" s="247">
        <v>220897.74599999998</v>
      </c>
      <c r="I309" s="247">
        <v>0</v>
      </c>
      <c r="J309" s="247">
        <v>0</v>
      </c>
      <c r="K309" s="247">
        <v>0</v>
      </c>
      <c r="L309" s="247">
        <v>0</v>
      </c>
      <c r="M309" s="247">
        <v>220897.74599999998</v>
      </c>
      <c r="N309" s="247">
        <v>220897.74599999998</v>
      </c>
      <c r="O309" s="172"/>
      <c r="P309" s="247">
        <v>277.55212205967854</v>
      </c>
      <c r="Q309" s="247">
        <v>69.547618673496643</v>
      </c>
      <c r="R309" s="247">
        <v>0</v>
      </c>
      <c r="S309" s="247">
        <v>0</v>
      </c>
      <c r="T309" s="248">
        <v>347.09974073317517</v>
      </c>
      <c r="U309" s="247">
        <v>347.09974073317517</v>
      </c>
      <c r="V309" s="247">
        <v>0</v>
      </c>
      <c r="W309" s="247">
        <v>0</v>
      </c>
      <c r="X309" s="247">
        <v>347.09974073317517</v>
      </c>
      <c r="Y309" s="247">
        <v>0</v>
      </c>
      <c r="Z309" s="247">
        <v>0</v>
      </c>
    </row>
    <row r="310" spans="1:26" ht="12.75" x14ac:dyDescent="0.2">
      <c r="A310" s="269">
        <v>2135</v>
      </c>
      <c r="B310" s="269">
        <v>1</v>
      </c>
      <c r="C310" s="270" t="s">
        <v>583</v>
      </c>
      <c r="D310" s="271">
        <v>5</v>
      </c>
      <c r="E310" s="248">
        <v>1045.42</v>
      </c>
      <c r="F310" s="247">
        <v>105348.774</v>
      </c>
      <c r="G310" s="247">
        <v>72944.399999999994</v>
      </c>
      <c r="H310" s="247">
        <v>256732.9</v>
      </c>
      <c r="I310" s="247">
        <v>0</v>
      </c>
      <c r="J310" s="247">
        <v>0</v>
      </c>
      <c r="K310" s="247">
        <v>0</v>
      </c>
      <c r="L310" s="247">
        <v>0</v>
      </c>
      <c r="M310" s="247">
        <v>178293.174</v>
      </c>
      <c r="N310" s="247">
        <v>256732.9</v>
      </c>
      <c r="O310" s="172"/>
      <c r="P310" s="247">
        <v>100.77172236995656</v>
      </c>
      <c r="Q310" s="247">
        <v>69.775209963459645</v>
      </c>
      <c r="R310" s="247">
        <v>0</v>
      </c>
      <c r="S310" s="247">
        <v>0</v>
      </c>
      <c r="T310" s="248">
        <v>170.54693233341621</v>
      </c>
      <c r="U310" s="247">
        <v>245.57871477492299</v>
      </c>
      <c r="V310" s="247">
        <v>0</v>
      </c>
      <c r="W310" s="247">
        <v>0</v>
      </c>
      <c r="X310" s="247">
        <v>245.57871477492299</v>
      </c>
      <c r="Y310" s="247">
        <v>75.031782441506749</v>
      </c>
      <c r="Z310" s="247">
        <v>78439.725999999995</v>
      </c>
    </row>
    <row r="311" spans="1:26" ht="12.75" x14ac:dyDescent="0.2">
      <c r="A311" s="269">
        <v>2137</v>
      </c>
      <c r="B311" s="269">
        <v>1</v>
      </c>
      <c r="C311" s="270" t="s">
        <v>528</v>
      </c>
      <c r="D311" s="271">
        <v>6</v>
      </c>
      <c r="E311" s="248">
        <v>619.87</v>
      </c>
      <c r="F311" s="247">
        <v>215611.538</v>
      </c>
      <c r="G311" s="247">
        <v>42816.6</v>
      </c>
      <c r="H311" s="247">
        <v>258428.13800000001</v>
      </c>
      <c r="I311" s="247">
        <v>0</v>
      </c>
      <c r="J311" s="247">
        <v>262605</v>
      </c>
      <c r="K311" s="247">
        <v>0</v>
      </c>
      <c r="L311" s="247">
        <v>262605</v>
      </c>
      <c r="M311" s="247">
        <v>521033.13800000004</v>
      </c>
      <c r="N311" s="247">
        <v>521033.13800000004</v>
      </c>
      <c r="O311" s="172"/>
      <c r="P311" s="247">
        <v>347.8334779873199</v>
      </c>
      <c r="Q311" s="247">
        <v>69.07351541452239</v>
      </c>
      <c r="R311" s="247">
        <v>0</v>
      </c>
      <c r="S311" s="247">
        <v>423.64528046203236</v>
      </c>
      <c r="T311" s="248">
        <v>840.55227386387469</v>
      </c>
      <c r="U311" s="247">
        <v>416.90699340184233</v>
      </c>
      <c r="V311" s="247">
        <v>0</v>
      </c>
      <c r="W311" s="247">
        <v>423.64528046203236</v>
      </c>
      <c r="X311" s="247">
        <v>840.55227386387469</v>
      </c>
      <c r="Y311" s="247">
        <v>0</v>
      </c>
      <c r="Z311" s="247">
        <v>0</v>
      </c>
    </row>
    <row r="312" spans="1:26" ht="12.75" x14ac:dyDescent="0.2">
      <c r="A312" s="269">
        <v>2142</v>
      </c>
      <c r="B312" s="269">
        <v>1</v>
      </c>
      <c r="C312" s="270" t="s">
        <v>637</v>
      </c>
      <c r="D312" s="271">
        <v>5</v>
      </c>
      <c r="E312" s="248">
        <v>1885.4</v>
      </c>
      <c r="F312" s="247">
        <v>292150.78999999998</v>
      </c>
      <c r="G312" s="247">
        <v>130803.59999999999</v>
      </c>
      <c r="H312" s="247">
        <v>460354.2</v>
      </c>
      <c r="I312" s="247">
        <v>0</v>
      </c>
      <c r="J312" s="247">
        <v>0</v>
      </c>
      <c r="K312" s="247">
        <v>0</v>
      </c>
      <c r="L312" s="247">
        <v>0</v>
      </c>
      <c r="M312" s="247">
        <v>422954.38999999996</v>
      </c>
      <c r="N312" s="247">
        <v>460354.2</v>
      </c>
      <c r="O312" s="172"/>
      <c r="P312" s="247">
        <v>154.95427495491671</v>
      </c>
      <c r="Q312" s="247">
        <v>69.377108305929767</v>
      </c>
      <c r="R312" s="247">
        <v>0</v>
      </c>
      <c r="S312" s="247">
        <v>0</v>
      </c>
      <c r="T312" s="248">
        <v>224.33138326084648</v>
      </c>
      <c r="U312" s="247">
        <v>244.16792192638167</v>
      </c>
      <c r="V312" s="247">
        <v>0</v>
      </c>
      <c r="W312" s="247">
        <v>0</v>
      </c>
      <c r="X312" s="247">
        <v>244.16792192638167</v>
      </c>
      <c r="Y312" s="247">
        <v>19.836538665535194</v>
      </c>
      <c r="Z312" s="247">
        <v>37399.810000000056</v>
      </c>
    </row>
    <row r="313" spans="1:26" ht="12.75" x14ac:dyDescent="0.2">
      <c r="A313" s="269">
        <v>2143</v>
      </c>
      <c r="B313" s="269">
        <v>1</v>
      </c>
      <c r="C313" s="270" t="s">
        <v>525</v>
      </c>
      <c r="D313" s="271">
        <v>6</v>
      </c>
      <c r="E313" s="248">
        <v>850.22</v>
      </c>
      <c r="F313" s="247">
        <v>73111.45</v>
      </c>
      <c r="G313" s="247">
        <v>59287.199999999997</v>
      </c>
      <c r="H313" s="247">
        <v>206698.7</v>
      </c>
      <c r="I313" s="247">
        <v>0</v>
      </c>
      <c r="J313" s="247">
        <v>0</v>
      </c>
      <c r="K313" s="247">
        <v>0</v>
      </c>
      <c r="L313" s="247">
        <v>0</v>
      </c>
      <c r="M313" s="247">
        <v>132398.65</v>
      </c>
      <c r="N313" s="247">
        <v>206698.7</v>
      </c>
      <c r="O313" s="172"/>
      <c r="P313" s="247">
        <v>85.991214038719377</v>
      </c>
      <c r="Q313" s="247">
        <v>69.731598880289795</v>
      </c>
      <c r="R313" s="247">
        <v>0</v>
      </c>
      <c r="S313" s="247">
        <v>0</v>
      </c>
      <c r="T313" s="248">
        <v>155.72281291900919</v>
      </c>
      <c r="U313" s="247">
        <v>243.11201806591237</v>
      </c>
      <c r="V313" s="247">
        <v>0</v>
      </c>
      <c r="W313" s="247">
        <v>0</v>
      </c>
      <c r="X313" s="247">
        <v>243.11201806591237</v>
      </c>
      <c r="Y313" s="247">
        <v>87.389205146903166</v>
      </c>
      <c r="Z313" s="247">
        <v>74300.050000000017</v>
      </c>
    </row>
    <row r="314" spans="1:26" ht="12.75" x14ac:dyDescent="0.2">
      <c r="A314" s="269">
        <v>2144</v>
      </c>
      <c r="B314" s="269">
        <v>1</v>
      </c>
      <c r="C314" s="270" t="s">
        <v>638</v>
      </c>
      <c r="D314" s="271">
        <v>4</v>
      </c>
      <c r="E314" s="248">
        <v>3359.5</v>
      </c>
      <c r="F314" s="247">
        <v>209301.84399999998</v>
      </c>
      <c r="G314" s="247">
        <v>229605.00891428569</v>
      </c>
      <c r="H314" s="247">
        <v>807982.2384857143</v>
      </c>
      <c r="I314" s="247">
        <v>0</v>
      </c>
      <c r="J314" s="247">
        <v>0</v>
      </c>
      <c r="K314" s="247">
        <v>0</v>
      </c>
      <c r="L314" s="247">
        <v>0</v>
      </c>
      <c r="M314" s="247">
        <v>438906.85291428567</v>
      </c>
      <c r="N314" s="247">
        <v>807982.2384857143</v>
      </c>
      <c r="O314" s="172"/>
      <c r="P314" s="247">
        <v>62.301486530733733</v>
      </c>
      <c r="Q314" s="247">
        <v>68.344994467714145</v>
      </c>
      <c r="R314" s="247">
        <v>0</v>
      </c>
      <c r="S314" s="247">
        <v>0</v>
      </c>
      <c r="T314" s="248">
        <v>130.64648099844788</v>
      </c>
      <c r="U314" s="247">
        <v>240.50669399783132</v>
      </c>
      <c r="V314" s="247">
        <v>0</v>
      </c>
      <c r="W314" s="247">
        <v>0</v>
      </c>
      <c r="X314" s="247">
        <v>240.50669399783132</v>
      </c>
      <c r="Y314" s="247">
        <v>109.86021299938344</v>
      </c>
      <c r="Z314" s="247">
        <v>369075.38557142863</v>
      </c>
    </row>
    <row r="315" spans="1:26" ht="12.75" x14ac:dyDescent="0.2">
      <c r="A315" s="269">
        <v>2149</v>
      </c>
      <c r="B315" s="269">
        <v>1</v>
      </c>
      <c r="C315" s="270" t="s">
        <v>639</v>
      </c>
      <c r="D315" s="271">
        <v>5</v>
      </c>
      <c r="E315" s="248">
        <v>1035.01</v>
      </c>
      <c r="F315" s="247">
        <v>41972.275999999998</v>
      </c>
      <c r="G315" s="247">
        <v>61704.232114285711</v>
      </c>
      <c r="H315" s="247">
        <v>216427.78279999999</v>
      </c>
      <c r="I315" s="247">
        <v>0</v>
      </c>
      <c r="J315" s="247">
        <v>351827</v>
      </c>
      <c r="K315" s="247">
        <v>0</v>
      </c>
      <c r="L315" s="247">
        <v>351827</v>
      </c>
      <c r="M315" s="247">
        <v>455503.50811428571</v>
      </c>
      <c r="N315" s="247">
        <v>568254.78279999993</v>
      </c>
      <c r="O315" s="172"/>
      <c r="P315" s="247">
        <v>40.552531859595561</v>
      </c>
      <c r="Q315" s="247">
        <v>59.617039559314122</v>
      </c>
      <c r="R315" s="247">
        <v>0</v>
      </c>
      <c r="S315" s="247">
        <v>339.92618428807452</v>
      </c>
      <c r="T315" s="248">
        <v>440.09575570698422</v>
      </c>
      <c r="U315" s="247">
        <v>209.10694853189824</v>
      </c>
      <c r="V315" s="247">
        <v>0</v>
      </c>
      <c r="W315" s="247">
        <v>339.92618428807452</v>
      </c>
      <c r="X315" s="247">
        <v>549.03313281997271</v>
      </c>
      <c r="Y315" s="247">
        <v>108.9373771129885</v>
      </c>
      <c r="Z315" s="247">
        <v>112751.27468571422</v>
      </c>
    </row>
    <row r="316" spans="1:26" ht="12.75" x14ac:dyDescent="0.2">
      <c r="A316" s="269">
        <v>2154</v>
      </c>
      <c r="B316" s="269">
        <v>1</v>
      </c>
      <c r="C316" s="270" t="s">
        <v>597</v>
      </c>
      <c r="D316" s="271">
        <v>5</v>
      </c>
      <c r="E316" s="248">
        <v>1120.2600000000002</v>
      </c>
      <c r="F316" s="247">
        <v>117837.02</v>
      </c>
      <c r="G316" s="247">
        <v>77925.600000000006</v>
      </c>
      <c r="H316" s="247">
        <v>273815</v>
      </c>
      <c r="I316" s="247">
        <v>0</v>
      </c>
      <c r="J316" s="247">
        <v>0</v>
      </c>
      <c r="K316" s="247">
        <v>0</v>
      </c>
      <c r="L316" s="247">
        <v>0</v>
      </c>
      <c r="M316" s="247">
        <v>195762.62</v>
      </c>
      <c r="N316" s="247">
        <v>273815</v>
      </c>
      <c r="O316" s="172"/>
      <c r="P316" s="247">
        <v>105.1872065413386</v>
      </c>
      <c r="Q316" s="247">
        <v>69.560280649135009</v>
      </c>
      <c r="R316" s="247">
        <v>0</v>
      </c>
      <c r="S316" s="247">
        <v>0</v>
      </c>
      <c r="T316" s="248">
        <v>174.74748719047361</v>
      </c>
      <c r="U316" s="247">
        <v>244.42093799653648</v>
      </c>
      <c r="V316" s="247">
        <v>0</v>
      </c>
      <c r="W316" s="247">
        <v>0</v>
      </c>
      <c r="X316" s="247">
        <v>244.42093799653648</v>
      </c>
      <c r="Y316" s="247">
        <v>69.673450806062874</v>
      </c>
      <c r="Z316" s="247">
        <v>78052.38</v>
      </c>
    </row>
    <row r="317" spans="1:26" ht="12.75" x14ac:dyDescent="0.2">
      <c r="A317" s="269">
        <v>2155</v>
      </c>
      <c r="B317" s="269">
        <v>1</v>
      </c>
      <c r="C317" s="270" t="s">
        <v>640</v>
      </c>
      <c r="D317" s="271">
        <v>5</v>
      </c>
      <c r="E317" s="248">
        <v>1032.8400000000001</v>
      </c>
      <c r="F317" s="247">
        <v>41129.589999999997</v>
      </c>
      <c r="G317" s="247">
        <v>71427</v>
      </c>
      <c r="H317" s="247">
        <v>251477.40000000002</v>
      </c>
      <c r="I317" s="247">
        <v>0</v>
      </c>
      <c r="J317" s="247">
        <v>0</v>
      </c>
      <c r="K317" s="247">
        <v>0</v>
      </c>
      <c r="L317" s="247">
        <v>0</v>
      </c>
      <c r="M317" s="247">
        <v>112556.59</v>
      </c>
      <c r="N317" s="247">
        <v>251477.40000000002</v>
      </c>
      <c r="O317" s="172"/>
      <c r="P317" s="247">
        <v>39.821840749777301</v>
      </c>
      <c r="Q317" s="247">
        <v>69.155919600325305</v>
      </c>
      <c r="R317" s="247">
        <v>0</v>
      </c>
      <c r="S317" s="247">
        <v>0</v>
      </c>
      <c r="T317" s="248">
        <v>108.97776035010261</v>
      </c>
      <c r="U317" s="247">
        <v>243.48146857209247</v>
      </c>
      <c r="V317" s="247">
        <v>0</v>
      </c>
      <c r="W317" s="247">
        <v>0</v>
      </c>
      <c r="X317" s="247">
        <v>243.48146857209247</v>
      </c>
      <c r="Y317" s="247">
        <v>134.50370822198985</v>
      </c>
      <c r="Z317" s="247">
        <v>138920.81000000003</v>
      </c>
    </row>
    <row r="318" spans="1:26" ht="12.75" x14ac:dyDescent="0.2">
      <c r="A318" s="269">
        <v>2159</v>
      </c>
      <c r="B318" s="269">
        <v>1</v>
      </c>
      <c r="C318" s="270" t="s">
        <v>641</v>
      </c>
      <c r="D318" s="271">
        <v>6</v>
      </c>
      <c r="E318" s="248">
        <v>572.24</v>
      </c>
      <c r="F318" s="247">
        <v>12006.576000000001</v>
      </c>
      <c r="G318" s="247">
        <v>39536.400000000001</v>
      </c>
      <c r="H318" s="247">
        <v>138883.20000000001</v>
      </c>
      <c r="I318" s="247">
        <v>0</v>
      </c>
      <c r="J318" s="247">
        <v>0</v>
      </c>
      <c r="K318" s="247">
        <v>0</v>
      </c>
      <c r="L318" s="247">
        <v>0</v>
      </c>
      <c r="M318" s="247">
        <v>51542.976000000002</v>
      </c>
      <c r="N318" s="247">
        <v>138883.20000000001</v>
      </c>
      <c r="O318" s="172"/>
      <c r="P318" s="247">
        <v>20.981713966168044</v>
      </c>
      <c r="Q318" s="247">
        <v>69.090591360268419</v>
      </c>
      <c r="R318" s="247">
        <v>0</v>
      </c>
      <c r="S318" s="247">
        <v>0</v>
      </c>
      <c r="T318" s="248">
        <v>90.072305326436464</v>
      </c>
      <c r="U318" s="247">
        <v>242.70096463022509</v>
      </c>
      <c r="V318" s="247">
        <v>0</v>
      </c>
      <c r="W318" s="247">
        <v>0</v>
      </c>
      <c r="X318" s="247">
        <v>242.70096463022509</v>
      </c>
      <c r="Y318" s="247">
        <v>152.62865930378865</v>
      </c>
      <c r="Z318" s="247">
        <v>87340.224000000017</v>
      </c>
    </row>
    <row r="319" spans="1:26" ht="12.75" x14ac:dyDescent="0.2">
      <c r="A319" s="269">
        <v>2164</v>
      </c>
      <c r="B319" s="269">
        <v>1</v>
      </c>
      <c r="C319" s="270" t="s">
        <v>424</v>
      </c>
      <c r="D319" s="271">
        <v>5</v>
      </c>
      <c r="E319" s="248">
        <v>1472.82</v>
      </c>
      <c r="F319" s="247">
        <v>38923.585999999996</v>
      </c>
      <c r="G319" s="247">
        <v>96723.072171428576</v>
      </c>
      <c r="H319" s="247">
        <v>339202.38802857144</v>
      </c>
      <c r="I319" s="247">
        <v>0</v>
      </c>
      <c r="J319" s="247">
        <v>287048</v>
      </c>
      <c r="K319" s="247">
        <v>0</v>
      </c>
      <c r="L319" s="247">
        <v>287048</v>
      </c>
      <c r="M319" s="247">
        <v>422694.6581714286</v>
      </c>
      <c r="N319" s="247">
        <v>626250.38802857138</v>
      </c>
      <c r="O319" s="172"/>
      <c r="P319" s="247">
        <v>26.427931451229611</v>
      </c>
      <c r="Q319" s="247">
        <v>65.672025211111048</v>
      </c>
      <c r="R319" s="247">
        <v>0</v>
      </c>
      <c r="S319" s="247">
        <v>194.89686451840689</v>
      </c>
      <c r="T319" s="248">
        <v>286.99682118074753</v>
      </c>
      <c r="U319" s="247">
        <v>230.30810827431151</v>
      </c>
      <c r="V319" s="247">
        <v>0</v>
      </c>
      <c r="W319" s="247">
        <v>194.89686451840689</v>
      </c>
      <c r="X319" s="247">
        <v>425.20497279271831</v>
      </c>
      <c r="Y319" s="247">
        <v>138.20815161197078</v>
      </c>
      <c r="Z319" s="247">
        <v>203555.72985714278</v>
      </c>
    </row>
    <row r="320" spans="1:26" ht="12.75" x14ac:dyDescent="0.2">
      <c r="A320" s="269">
        <v>2165</v>
      </c>
      <c r="B320" s="269">
        <v>1</v>
      </c>
      <c r="C320" s="270" t="s">
        <v>644</v>
      </c>
      <c r="D320" s="271">
        <v>5</v>
      </c>
      <c r="E320" s="248">
        <v>1020.68</v>
      </c>
      <c r="F320" s="247">
        <v>49818.534</v>
      </c>
      <c r="G320" s="247">
        <v>69584.631085714282</v>
      </c>
      <c r="H320" s="247">
        <v>244523.31254285714</v>
      </c>
      <c r="I320" s="247">
        <v>0</v>
      </c>
      <c r="J320" s="247">
        <v>429041</v>
      </c>
      <c r="K320" s="247">
        <v>0</v>
      </c>
      <c r="L320" s="247">
        <v>429041</v>
      </c>
      <c r="M320" s="247">
        <v>548444.16508571431</v>
      </c>
      <c r="N320" s="247">
        <v>673564.31254285714</v>
      </c>
      <c r="O320" s="172"/>
      <c r="P320" s="247">
        <v>48.809160559626918</v>
      </c>
      <c r="Q320" s="247">
        <v>68.174776703486188</v>
      </c>
      <c r="R320" s="247">
        <v>0</v>
      </c>
      <c r="S320" s="247">
        <v>420.34819923972253</v>
      </c>
      <c r="T320" s="248">
        <v>537.33213650283574</v>
      </c>
      <c r="U320" s="247">
        <v>239.56902510371236</v>
      </c>
      <c r="V320" s="247">
        <v>0</v>
      </c>
      <c r="W320" s="247">
        <v>420.34819923972253</v>
      </c>
      <c r="X320" s="247">
        <v>659.9172243434349</v>
      </c>
      <c r="Y320" s="247">
        <v>122.58508784059924</v>
      </c>
      <c r="Z320" s="247">
        <v>125120.14745714283</v>
      </c>
    </row>
    <row r="321" spans="1:26" ht="12.75" x14ac:dyDescent="0.2">
      <c r="A321" s="269">
        <v>2167</v>
      </c>
      <c r="B321" s="269">
        <v>1</v>
      </c>
      <c r="C321" s="270" t="s">
        <v>287</v>
      </c>
      <c r="D321" s="271">
        <v>6</v>
      </c>
      <c r="E321" s="248">
        <v>591.71</v>
      </c>
      <c r="F321" s="247">
        <v>50642.938000000002</v>
      </c>
      <c r="G321" s="247">
        <v>12947.502857142857</v>
      </c>
      <c r="H321" s="247">
        <v>63590.440857142858</v>
      </c>
      <c r="I321" s="247">
        <v>0</v>
      </c>
      <c r="J321" s="247">
        <v>0</v>
      </c>
      <c r="K321" s="247">
        <v>0</v>
      </c>
      <c r="L321" s="247">
        <v>0</v>
      </c>
      <c r="M321" s="247">
        <v>63590.440857142858</v>
      </c>
      <c r="N321" s="247">
        <v>63590.440857142858</v>
      </c>
      <c r="O321" s="172"/>
      <c r="P321" s="247">
        <v>85.587429653039493</v>
      </c>
      <c r="Q321" s="247">
        <v>21.881500831729827</v>
      </c>
      <c r="R321" s="247">
        <v>0</v>
      </c>
      <c r="S321" s="247">
        <v>0</v>
      </c>
      <c r="T321" s="248">
        <v>107.46893048476932</v>
      </c>
      <c r="U321" s="247">
        <v>107.46893048476932</v>
      </c>
      <c r="V321" s="247">
        <v>0</v>
      </c>
      <c r="W321" s="247">
        <v>0</v>
      </c>
      <c r="X321" s="247">
        <v>107.46893048476932</v>
      </c>
      <c r="Y321" s="247">
        <v>0</v>
      </c>
      <c r="Z321" s="247">
        <v>0</v>
      </c>
    </row>
    <row r="322" spans="1:26" ht="12.75" x14ac:dyDescent="0.2">
      <c r="A322" s="269">
        <v>2168</v>
      </c>
      <c r="B322" s="269">
        <v>1</v>
      </c>
      <c r="C322" s="270" t="s">
        <v>543</v>
      </c>
      <c r="D322" s="271">
        <v>6</v>
      </c>
      <c r="E322" s="248">
        <v>937.95999999999992</v>
      </c>
      <c r="F322" s="247">
        <v>8292.9179999999997</v>
      </c>
      <c r="G322" s="247">
        <v>65119.199999999997</v>
      </c>
      <c r="H322" s="247">
        <v>228944.3</v>
      </c>
      <c r="I322" s="247">
        <v>0</v>
      </c>
      <c r="J322" s="247">
        <v>298750</v>
      </c>
      <c r="K322" s="247">
        <v>0</v>
      </c>
      <c r="L322" s="247">
        <v>298750</v>
      </c>
      <c r="M322" s="247">
        <v>372162.11800000002</v>
      </c>
      <c r="N322" s="247">
        <v>527694.30000000005</v>
      </c>
      <c r="O322" s="172"/>
      <c r="P322" s="247">
        <v>8.8414409996161893</v>
      </c>
      <c r="Q322" s="247">
        <v>69.426414772484975</v>
      </c>
      <c r="R322" s="247">
        <v>0</v>
      </c>
      <c r="S322" s="247">
        <v>318.51038423813384</v>
      </c>
      <c r="T322" s="248">
        <v>396.77824001023504</v>
      </c>
      <c r="U322" s="247">
        <v>244.08748773934923</v>
      </c>
      <c r="V322" s="247">
        <v>0</v>
      </c>
      <c r="W322" s="247">
        <v>318.51038423813384</v>
      </c>
      <c r="X322" s="247">
        <v>562.59787197748312</v>
      </c>
      <c r="Y322" s="247">
        <v>165.81963196724811</v>
      </c>
      <c r="Z322" s="247">
        <v>155532.18200000003</v>
      </c>
    </row>
    <row r="323" spans="1:26" ht="12.75" x14ac:dyDescent="0.2">
      <c r="A323" s="269">
        <v>2169</v>
      </c>
      <c r="B323" s="269">
        <v>1</v>
      </c>
      <c r="C323" s="270" t="s">
        <v>514</v>
      </c>
      <c r="D323" s="271">
        <v>6</v>
      </c>
      <c r="E323" s="248">
        <v>763.81000000000006</v>
      </c>
      <c r="F323" s="247">
        <v>32930.49</v>
      </c>
      <c r="G323" s="247">
        <v>52714.200000000004</v>
      </c>
      <c r="H323" s="247">
        <v>185150</v>
      </c>
      <c r="I323" s="247">
        <v>0</v>
      </c>
      <c r="J323" s="247">
        <v>667643</v>
      </c>
      <c r="K323" s="247">
        <v>0</v>
      </c>
      <c r="L323" s="247">
        <v>667643</v>
      </c>
      <c r="M323" s="247">
        <v>753287.69</v>
      </c>
      <c r="N323" s="247">
        <v>852793</v>
      </c>
      <c r="O323" s="172"/>
      <c r="P323" s="247">
        <v>43.113457535250909</v>
      </c>
      <c r="Q323" s="247">
        <v>69.014807347376973</v>
      </c>
      <c r="R323" s="247">
        <v>0</v>
      </c>
      <c r="S323" s="247">
        <v>874.09565206006721</v>
      </c>
      <c r="T323" s="248">
        <v>986.22391694269504</v>
      </c>
      <c r="U323" s="247">
        <v>242.40321545934196</v>
      </c>
      <c r="V323" s="247">
        <v>0</v>
      </c>
      <c r="W323" s="247">
        <v>874.09565206006721</v>
      </c>
      <c r="X323" s="247">
        <v>1116.4988675194093</v>
      </c>
      <c r="Y323" s="247">
        <v>130.27495057671416</v>
      </c>
      <c r="Z323" s="247">
        <v>99505.310000000056</v>
      </c>
    </row>
    <row r="324" spans="1:26" ht="12.75" x14ac:dyDescent="0.2">
      <c r="A324" s="269">
        <v>2170</v>
      </c>
      <c r="B324" s="269">
        <v>1</v>
      </c>
      <c r="C324" s="270" t="s">
        <v>647</v>
      </c>
      <c r="D324" s="271">
        <v>5</v>
      </c>
      <c r="E324" s="248">
        <v>1176.78</v>
      </c>
      <c r="F324" s="247">
        <v>30766.400000000001</v>
      </c>
      <c r="G324" s="247">
        <v>83303.400000000009</v>
      </c>
      <c r="H324" s="247">
        <v>288410.8</v>
      </c>
      <c r="I324" s="247">
        <v>0</v>
      </c>
      <c r="J324" s="247">
        <v>290862</v>
      </c>
      <c r="K324" s="247">
        <v>0</v>
      </c>
      <c r="L324" s="247">
        <v>290862</v>
      </c>
      <c r="M324" s="247">
        <v>404931.80000000005</v>
      </c>
      <c r="N324" s="247">
        <v>579272.80000000005</v>
      </c>
      <c r="O324" s="172"/>
      <c r="P324" s="247">
        <v>26.144563979673347</v>
      </c>
      <c r="Q324" s="247">
        <v>70.789272421353189</v>
      </c>
      <c r="R324" s="247">
        <v>0</v>
      </c>
      <c r="S324" s="247">
        <v>247.1676948962423</v>
      </c>
      <c r="T324" s="248">
        <v>344.10153129726888</v>
      </c>
      <c r="U324" s="247">
        <v>245.08472271792519</v>
      </c>
      <c r="V324" s="247">
        <v>0</v>
      </c>
      <c r="W324" s="247">
        <v>247.1676948962423</v>
      </c>
      <c r="X324" s="247">
        <v>492.25241761416754</v>
      </c>
      <c r="Y324" s="247">
        <v>148.15088631689866</v>
      </c>
      <c r="Z324" s="247">
        <v>174341</v>
      </c>
    </row>
    <row r="325" spans="1:26" ht="12.75" x14ac:dyDescent="0.2">
      <c r="A325" s="269">
        <v>2171</v>
      </c>
      <c r="B325" s="269">
        <v>1</v>
      </c>
      <c r="C325" s="270" t="s">
        <v>512</v>
      </c>
      <c r="D325" s="271">
        <v>6</v>
      </c>
      <c r="E325" s="248">
        <v>270.31</v>
      </c>
      <c r="F325" s="247">
        <v>36995.421999999999</v>
      </c>
      <c r="G325" s="247">
        <v>17180.373942857143</v>
      </c>
      <c r="H325" s="247">
        <v>59508.291657142858</v>
      </c>
      <c r="I325" s="247">
        <v>0</v>
      </c>
      <c r="J325" s="247">
        <v>0</v>
      </c>
      <c r="K325" s="247">
        <v>0</v>
      </c>
      <c r="L325" s="247">
        <v>0</v>
      </c>
      <c r="M325" s="247">
        <v>54175.795942857141</v>
      </c>
      <c r="N325" s="247">
        <v>59508.291657142858</v>
      </c>
      <c r="O325" s="172"/>
      <c r="P325" s="247">
        <v>136.86294254744553</v>
      </c>
      <c r="Q325" s="247">
        <v>63.558040556609605</v>
      </c>
      <c r="R325" s="247">
        <v>0</v>
      </c>
      <c r="S325" s="247">
        <v>0</v>
      </c>
      <c r="T325" s="248">
        <v>200.42098310405513</v>
      </c>
      <c r="U325" s="247">
        <v>220.14831732878125</v>
      </c>
      <c r="V325" s="247">
        <v>0</v>
      </c>
      <c r="W325" s="247">
        <v>0</v>
      </c>
      <c r="X325" s="247">
        <v>220.14831732878125</v>
      </c>
      <c r="Y325" s="247">
        <v>19.727334224726118</v>
      </c>
      <c r="Z325" s="247">
        <v>5332.4957142857165</v>
      </c>
    </row>
    <row r="326" spans="1:26" ht="12.75" x14ac:dyDescent="0.2">
      <c r="A326" s="269">
        <v>2172</v>
      </c>
      <c r="B326" s="269">
        <v>1</v>
      </c>
      <c r="C326" s="270" t="s">
        <v>462</v>
      </c>
      <c r="D326" s="271">
        <v>6</v>
      </c>
      <c r="E326" s="248">
        <v>833.03</v>
      </c>
      <c r="F326" s="247">
        <v>141694.46600000001</v>
      </c>
      <c r="G326" s="247">
        <v>57551.407542857152</v>
      </c>
      <c r="H326" s="247">
        <v>202439.61585714287</v>
      </c>
      <c r="I326" s="247">
        <v>0</v>
      </c>
      <c r="J326" s="247">
        <v>160301</v>
      </c>
      <c r="K326" s="247">
        <v>0</v>
      </c>
      <c r="L326" s="247">
        <v>160301</v>
      </c>
      <c r="M326" s="247">
        <v>359546.87354285718</v>
      </c>
      <c r="N326" s="247">
        <v>362740.61585714284</v>
      </c>
      <c r="O326" s="172"/>
      <c r="P326" s="247">
        <v>170.09527387969223</v>
      </c>
      <c r="Q326" s="247">
        <v>69.086836659972818</v>
      </c>
      <c r="R326" s="247">
        <v>0</v>
      </c>
      <c r="S326" s="247">
        <v>192.43124497317024</v>
      </c>
      <c r="T326" s="248">
        <v>431.61335551283531</v>
      </c>
      <c r="U326" s="247">
        <v>243.01599685142537</v>
      </c>
      <c r="V326" s="247">
        <v>0</v>
      </c>
      <c r="W326" s="247">
        <v>192.43124497317024</v>
      </c>
      <c r="X326" s="247">
        <v>435.44724182459555</v>
      </c>
      <c r="Y326" s="247">
        <v>3.8338863117602693</v>
      </c>
      <c r="Z326" s="247">
        <v>3193.7423142856569</v>
      </c>
    </row>
    <row r="327" spans="1:26" ht="12.75" x14ac:dyDescent="0.2">
      <c r="A327" s="269">
        <v>2174</v>
      </c>
      <c r="B327" s="269">
        <v>1</v>
      </c>
      <c r="C327" s="270" t="s">
        <v>642</v>
      </c>
      <c r="D327" s="271">
        <v>6</v>
      </c>
      <c r="E327" s="248">
        <v>910.89</v>
      </c>
      <c r="F327" s="247">
        <v>42095.248000000007</v>
      </c>
      <c r="G327" s="247">
        <v>63186.599999999991</v>
      </c>
      <c r="H327" s="247">
        <v>222044.3</v>
      </c>
      <c r="I327" s="247">
        <v>0</v>
      </c>
      <c r="J327" s="247">
        <v>0</v>
      </c>
      <c r="K327" s="247">
        <v>0</v>
      </c>
      <c r="L327" s="247">
        <v>0</v>
      </c>
      <c r="M327" s="247">
        <v>105281.848</v>
      </c>
      <c r="N327" s="247">
        <v>222044.3</v>
      </c>
      <c r="O327" s="172"/>
      <c r="P327" s="247">
        <v>46.213316646356866</v>
      </c>
      <c r="Q327" s="247">
        <v>69.367980766063951</v>
      </c>
      <c r="R327" s="247">
        <v>0</v>
      </c>
      <c r="S327" s="247">
        <v>0</v>
      </c>
      <c r="T327" s="248">
        <v>115.58129741242082</v>
      </c>
      <c r="U327" s="247">
        <v>243.7663164597262</v>
      </c>
      <c r="V327" s="247">
        <v>0</v>
      </c>
      <c r="W327" s="247">
        <v>0</v>
      </c>
      <c r="X327" s="247">
        <v>243.7663164597262</v>
      </c>
      <c r="Y327" s="247">
        <v>128.18501904730536</v>
      </c>
      <c r="Z327" s="247">
        <v>116762.45199999999</v>
      </c>
    </row>
    <row r="328" spans="1:26" ht="12.75" x14ac:dyDescent="0.2">
      <c r="A328" s="269">
        <v>2176</v>
      </c>
      <c r="B328" s="269">
        <v>1</v>
      </c>
      <c r="C328" s="270" t="s">
        <v>648</v>
      </c>
      <c r="D328" s="271">
        <v>6</v>
      </c>
      <c r="E328" s="248">
        <v>425.47</v>
      </c>
      <c r="F328" s="247">
        <v>49475.301999999996</v>
      </c>
      <c r="G328" s="247">
        <v>29401.199999999997</v>
      </c>
      <c r="H328" s="247">
        <v>103477</v>
      </c>
      <c r="I328" s="247">
        <v>0</v>
      </c>
      <c r="J328" s="247">
        <v>0</v>
      </c>
      <c r="K328" s="247">
        <v>0</v>
      </c>
      <c r="L328" s="247">
        <v>0</v>
      </c>
      <c r="M328" s="247">
        <v>78876.501999999993</v>
      </c>
      <c r="N328" s="247">
        <v>103477</v>
      </c>
      <c r="O328" s="172"/>
      <c r="P328" s="247">
        <v>116.28387900439512</v>
      </c>
      <c r="Q328" s="247">
        <v>69.102874468235115</v>
      </c>
      <c r="R328" s="247">
        <v>0</v>
      </c>
      <c r="S328" s="247">
        <v>0</v>
      </c>
      <c r="T328" s="248">
        <v>185.38675347263023</v>
      </c>
      <c r="U328" s="247">
        <v>243.20633652196392</v>
      </c>
      <c r="V328" s="247">
        <v>0</v>
      </c>
      <c r="W328" s="247">
        <v>0</v>
      </c>
      <c r="X328" s="247">
        <v>243.20633652196392</v>
      </c>
      <c r="Y328" s="247">
        <v>57.819583049333687</v>
      </c>
      <c r="Z328" s="247">
        <v>24600.498000000007</v>
      </c>
    </row>
    <row r="329" spans="1:26" ht="12.75" x14ac:dyDescent="0.2">
      <c r="A329" s="269">
        <v>2180</v>
      </c>
      <c r="B329" s="269">
        <v>1</v>
      </c>
      <c r="C329" s="270" t="s">
        <v>611</v>
      </c>
      <c r="D329" s="271">
        <v>6</v>
      </c>
      <c r="E329" s="248">
        <v>669.67000000000007</v>
      </c>
      <c r="F329" s="247">
        <v>48851.81</v>
      </c>
      <c r="G329" s="247">
        <v>46474.8</v>
      </c>
      <c r="H329" s="247">
        <v>162534.09999999998</v>
      </c>
      <c r="I329" s="247">
        <v>0</v>
      </c>
      <c r="J329" s="247">
        <v>0</v>
      </c>
      <c r="K329" s="247">
        <v>0</v>
      </c>
      <c r="L329" s="247">
        <v>0</v>
      </c>
      <c r="M329" s="247">
        <v>95326.61</v>
      </c>
      <c r="N329" s="247">
        <v>162534.09999999998</v>
      </c>
      <c r="O329" s="172"/>
      <c r="P329" s="247">
        <v>72.949079397315089</v>
      </c>
      <c r="Q329" s="247">
        <v>69.399555004703799</v>
      </c>
      <c r="R329" s="247">
        <v>0</v>
      </c>
      <c r="S329" s="247">
        <v>0</v>
      </c>
      <c r="T329" s="248">
        <v>142.34863440201889</v>
      </c>
      <c r="U329" s="247">
        <v>242.70775157913593</v>
      </c>
      <c r="V329" s="247">
        <v>0</v>
      </c>
      <c r="W329" s="247">
        <v>0</v>
      </c>
      <c r="X329" s="247">
        <v>242.70775157913593</v>
      </c>
      <c r="Y329" s="247">
        <v>100.35911717711704</v>
      </c>
      <c r="Z329" s="247">
        <v>67207.489999999976</v>
      </c>
    </row>
    <row r="330" spans="1:26" ht="12.75" x14ac:dyDescent="0.2">
      <c r="A330" s="269">
        <v>2184</v>
      </c>
      <c r="B330" s="269">
        <v>1</v>
      </c>
      <c r="C330" s="270" t="s">
        <v>389</v>
      </c>
      <c r="D330" s="271">
        <v>5</v>
      </c>
      <c r="E330" s="248">
        <v>1188.3899999999999</v>
      </c>
      <c r="F330" s="247">
        <v>48899.194000000003</v>
      </c>
      <c r="G330" s="247">
        <v>82073.400000000009</v>
      </c>
      <c r="H330" s="247">
        <v>287661</v>
      </c>
      <c r="I330" s="247">
        <v>0</v>
      </c>
      <c r="J330" s="247">
        <v>0</v>
      </c>
      <c r="K330" s="247">
        <v>0</v>
      </c>
      <c r="L330" s="247">
        <v>0</v>
      </c>
      <c r="M330" s="247">
        <v>130972.59400000001</v>
      </c>
      <c r="N330" s="247">
        <v>287661</v>
      </c>
      <c r="O330" s="172"/>
      <c r="P330" s="247">
        <v>41.147429715834036</v>
      </c>
      <c r="Q330" s="247">
        <v>69.062681442960653</v>
      </c>
      <c r="R330" s="247">
        <v>0</v>
      </c>
      <c r="S330" s="247">
        <v>0</v>
      </c>
      <c r="T330" s="248">
        <v>110.21011115879469</v>
      </c>
      <c r="U330" s="247">
        <v>242.05942493625832</v>
      </c>
      <c r="V330" s="247">
        <v>0</v>
      </c>
      <c r="W330" s="247">
        <v>0</v>
      </c>
      <c r="X330" s="247">
        <v>242.05942493625832</v>
      </c>
      <c r="Y330" s="247">
        <v>131.84931377746364</v>
      </c>
      <c r="Z330" s="247">
        <v>156688.40599999999</v>
      </c>
    </row>
    <row r="331" spans="1:26" ht="12.75" x14ac:dyDescent="0.2">
      <c r="A331" s="269">
        <v>2190</v>
      </c>
      <c r="B331" s="269">
        <v>1</v>
      </c>
      <c r="C331" s="270" t="s">
        <v>649</v>
      </c>
      <c r="D331" s="271">
        <v>6</v>
      </c>
      <c r="E331" s="248">
        <v>799.09</v>
      </c>
      <c r="F331" s="247">
        <v>74185.77</v>
      </c>
      <c r="G331" s="247">
        <v>56382</v>
      </c>
      <c r="H331" s="247">
        <v>196355.6</v>
      </c>
      <c r="I331" s="247">
        <v>0</v>
      </c>
      <c r="J331" s="247">
        <v>538330</v>
      </c>
      <c r="K331" s="247">
        <v>0</v>
      </c>
      <c r="L331" s="247">
        <v>538330</v>
      </c>
      <c r="M331" s="247">
        <v>668897.77</v>
      </c>
      <c r="N331" s="247">
        <v>734685.6</v>
      </c>
      <c r="O331" s="172"/>
      <c r="P331" s="247">
        <v>92.837815515148478</v>
      </c>
      <c r="Q331" s="247">
        <v>70.557759451375944</v>
      </c>
      <c r="R331" s="247">
        <v>0</v>
      </c>
      <c r="S331" s="247">
        <v>673.67880964597225</v>
      </c>
      <c r="T331" s="248">
        <v>837.07438461249671</v>
      </c>
      <c r="U331" s="247">
        <v>245.72401106258368</v>
      </c>
      <c r="V331" s="247">
        <v>0</v>
      </c>
      <c r="W331" s="247">
        <v>673.67880964597225</v>
      </c>
      <c r="X331" s="247">
        <v>919.40282070855596</v>
      </c>
      <c r="Y331" s="247">
        <v>82.328436096059207</v>
      </c>
      <c r="Z331" s="247">
        <v>65787.829999999958</v>
      </c>
    </row>
    <row r="332" spans="1:26" ht="12.75" x14ac:dyDescent="0.2">
      <c r="A332" s="269">
        <v>2198</v>
      </c>
      <c r="B332" s="269">
        <v>1</v>
      </c>
      <c r="C332" s="270" t="s">
        <v>383</v>
      </c>
      <c r="D332" s="271">
        <v>6</v>
      </c>
      <c r="E332" s="248">
        <v>561.27</v>
      </c>
      <c r="F332" s="247">
        <v>242125.04800000001</v>
      </c>
      <c r="G332" s="247">
        <v>38142.600000000006</v>
      </c>
      <c r="H332" s="247">
        <v>280267.64800000004</v>
      </c>
      <c r="I332" s="247">
        <v>0</v>
      </c>
      <c r="J332" s="247">
        <v>180065</v>
      </c>
      <c r="K332" s="247">
        <v>0</v>
      </c>
      <c r="L332" s="247">
        <v>180065</v>
      </c>
      <c r="M332" s="247">
        <v>460332.64800000004</v>
      </c>
      <c r="N332" s="247">
        <v>460332.64800000004</v>
      </c>
      <c r="O332" s="172"/>
      <c r="P332" s="247">
        <v>431.3878311685998</v>
      </c>
      <c r="Q332" s="247">
        <v>67.957667432786366</v>
      </c>
      <c r="R332" s="247">
        <v>0</v>
      </c>
      <c r="S332" s="247">
        <v>320.8170755607818</v>
      </c>
      <c r="T332" s="248">
        <v>820.16257416216808</v>
      </c>
      <c r="U332" s="247">
        <v>499.34549860138623</v>
      </c>
      <c r="V332" s="247">
        <v>0</v>
      </c>
      <c r="W332" s="247">
        <v>320.8170755607818</v>
      </c>
      <c r="X332" s="247">
        <v>820.16257416216808</v>
      </c>
      <c r="Y332" s="247">
        <v>0</v>
      </c>
      <c r="Z332" s="247">
        <v>0</v>
      </c>
    </row>
    <row r="333" spans="1:26" ht="12.75" x14ac:dyDescent="0.2">
      <c r="A333" s="269">
        <v>2215</v>
      </c>
      <c r="B333" s="269">
        <v>1</v>
      </c>
      <c r="C333" s="270" t="s">
        <v>566</v>
      </c>
      <c r="D333" s="271">
        <v>6</v>
      </c>
      <c r="E333" s="248">
        <v>312.15999999999997</v>
      </c>
      <c r="F333" s="247">
        <v>76098.381999999998</v>
      </c>
      <c r="G333" s="247">
        <v>21906.600000000002</v>
      </c>
      <c r="H333" s="247">
        <v>98004.982000000004</v>
      </c>
      <c r="I333" s="247">
        <v>0</v>
      </c>
      <c r="J333" s="247">
        <v>0</v>
      </c>
      <c r="K333" s="247">
        <v>0</v>
      </c>
      <c r="L333" s="247">
        <v>0</v>
      </c>
      <c r="M333" s="247">
        <v>98004.982000000004</v>
      </c>
      <c r="N333" s="247">
        <v>98004.982000000004</v>
      </c>
      <c r="O333" s="172"/>
      <c r="P333" s="247">
        <v>243.78005509994875</v>
      </c>
      <c r="Q333" s="247">
        <v>70.177473090722714</v>
      </c>
      <c r="R333" s="247">
        <v>0</v>
      </c>
      <c r="S333" s="247">
        <v>0</v>
      </c>
      <c r="T333" s="248">
        <v>313.9575281906715</v>
      </c>
      <c r="U333" s="247">
        <v>313.9575281906715</v>
      </c>
      <c r="V333" s="247">
        <v>0</v>
      </c>
      <c r="W333" s="247">
        <v>0</v>
      </c>
      <c r="X333" s="247">
        <v>313.9575281906715</v>
      </c>
      <c r="Y333" s="247">
        <v>0</v>
      </c>
      <c r="Z333" s="247">
        <v>0</v>
      </c>
    </row>
    <row r="334" spans="1:26" ht="12.75" x14ac:dyDescent="0.2">
      <c r="A334" s="269">
        <v>2310</v>
      </c>
      <c r="B334" s="269">
        <v>1</v>
      </c>
      <c r="C334" s="270" t="s">
        <v>603</v>
      </c>
      <c r="D334" s="271">
        <v>5</v>
      </c>
      <c r="E334" s="248">
        <v>1215.96</v>
      </c>
      <c r="F334" s="247">
        <v>133060.984</v>
      </c>
      <c r="G334" s="247">
        <v>84099.6</v>
      </c>
      <c r="H334" s="247">
        <v>295630.5</v>
      </c>
      <c r="I334" s="247">
        <v>0</v>
      </c>
      <c r="J334" s="247">
        <v>0</v>
      </c>
      <c r="K334" s="247">
        <v>0</v>
      </c>
      <c r="L334" s="247">
        <v>0</v>
      </c>
      <c r="M334" s="247">
        <v>217160.584</v>
      </c>
      <c r="N334" s="247">
        <v>295630.5</v>
      </c>
      <c r="O334" s="172"/>
      <c r="P334" s="247">
        <v>109.42875094575479</v>
      </c>
      <c r="Q334" s="247">
        <v>69.163130366130474</v>
      </c>
      <c r="R334" s="247">
        <v>0</v>
      </c>
      <c r="S334" s="247">
        <v>0</v>
      </c>
      <c r="T334" s="248">
        <v>178.59188131188526</v>
      </c>
      <c r="U334" s="247">
        <v>243.12518503898153</v>
      </c>
      <c r="V334" s="247">
        <v>0</v>
      </c>
      <c r="W334" s="247">
        <v>0</v>
      </c>
      <c r="X334" s="247">
        <v>243.12518503898153</v>
      </c>
      <c r="Y334" s="247">
        <v>64.533303727096282</v>
      </c>
      <c r="Z334" s="247">
        <v>78469.915999999997</v>
      </c>
    </row>
    <row r="335" spans="1:26" ht="12.75" x14ac:dyDescent="0.2">
      <c r="A335" s="269">
        <v>2311</v>
      </c>
      <c r="B335" s="269">
        <v>1</v>
      </c>
      <c r="C335" s="270" t="s">
        <v>500</v>
      </c>
      <c r="D335" s="271">
        <v>6</v>
      </c>
      <c r="E335" s="248">
        <v>480.52</v>
      </c>
      <c r="F335" s="247">
        <v>15022.655999999999</v>
      </c>
      <c r="G335" s="247">
        <v>9625.7142857142844</v>
      </c>
      <c r="H335" s="247">
        <v>33711.428571428565</v>
      </c>
      <c r="I335" s="247">
        <v>0</v>
      </c>
      <c r="J335" s="247">
        <v>0</v>
      </c>
      <c r="K335" s="247">
        <v>0</v>
      </c>
      <c r="L335" s="247">
        <v>0</v>
      </c>
      <c r="M335" s="247">
        <v>24648.370285714285</v>
      </c>
      <c r="N335" s="247">
        <v>33711.428571428565</v>
      </c>
      <c r="O335" s="172"/>
      <c r="P335" s="247">
        <v>31.263331390993091</v>
      </c>
      <c r="Q335" s="247">
        <v>20.031870235815958</v>
      </c>
      <c r="R335" s="247">
        <v>0</v>
      </c>
      <c r="S335" s="247">
        <v>0</v>
      </c>
      <c r="T335" s="248">
        <v>51.295201626809053</v>
      </c>
      <c r="U335" s="247">
        <v>70.156140371740122</v>
      </c>
      <c r="V335" s="247">
        <v>0</v>
      </c>
      <c r="W335" s="247">
        <v>0</v>
      </c>
      <c r="X335" s="247">
        <v>70.156140371740122</v>
      </c>
      <c r="Y335" s="247">
        <v>18.860938744931076</v>
      </c>
      <c r="Z335" s="247">
        <v>9063.0582857142799</v>
      </c>
    </row>
    <row r="336" spans="1:26" ht="12.75" x14ac:dyDescent="0.2">
      <c r="A336" s="269">
        <v>2342</v>
      </c>
      <c r="B336" s="269">
        <v>1</v>
      </c>
      <c r="C336" s="270" t="s">
        <v>572</v>
      </c>
      <c r="D336" s="271">
        <v>6</v>
      </c>
      <c r="E336" s="248">
        <v>717.31</v>
      </c>
      <c r="F336" s="247">
        <v>45114.031999999999</v>
      </c>
      <c r="G336" s="247">
        <v>49459.8</v>
      </c>
      <c r="H336" s="247">
        <v>173629.3</v>
      </c>
      <c r="I336" s="247">
        <v>0</v>
      </c>
      <c r="J336" s="247">
        <v>0</v>
      </c>
      <c r="K336" s="247">
        <v>0</v>
      </c>
      <c r="L336" s="247">
        <v>0</v>
      </c>
      <c r="M336" s="247">
        <v>94573.831999999995</v>
      </c>
      <c r="N336" s="247">
        <v>173629.3</v>
      </c>
      <c r="O336" s="172"/>
      <c r="P336" s="247">
        <v>62.893354337734038</v>
      </c>
      <c r="Q336" s="247">
        <v>68.951778171223054</v>
      </c>
      <c r="R336" s="247">
        <v>0</v>
      </c>
      <c r="S336" s="247">
        <v>0</v>
      </c>
      <c r="T336" s="248">
        <v>131.84513250895708</v>
      </c>
      <c r="U336" s="247">
        <v>242.05615424293541</v>
      </c>
      <c r="V336" s="247">
        <v>0</v>
      </c>
      <c r="W336" s="247">
        <v>0</v>
      </c>
      <c r="X336" s="247">
        <v>242.05615424293541</v>
      </c>
      <c r="Y336" s="247">
        <v>110.21102173397834</v>
      </c>
      <c r="Z336" s="247">
        <v>79055.467999999993</v>
      </c>
    </row>
    <row r="337" spans="1:26" ht="12.75" x14ac:dyDescent="0.2">
      <c r="A337" s="269">
        <v>2358</v>
      </c>
      <c r="B337" s="269">
        <v>1</v>
      </c>
      <c r="C337" s="270" t="s">
        <v>646</v>
      </c>
      <c r="D337" s="271">
        <v>6</v>
      </c>
      <c r="E337" s="248">
        <v>213.61</v>
      </c>
      <c r="F337" s="247">
        <v>37911.085999999996</v>
      </c>
      <c r="G337" s="247">
        <v>15066</v>
      </c>
      <c r="H337" s="247">
        <v>52977.085999999996</v>
      </c>
      <c r="I337" s="247">
        <v>0</v>
      </c>
      <c r="J337" s="247">
        <v>77625</v>
      </c>
      <c r="K337" s="247">
        <v>0</v>
      </c>
      <c r="L337" s="247">
        <v>77625</v>
      </c>
      <c r="M337" s="247">
        <v>130602.086</v>
      </c>
      <c r="N337" s="247">
        <v>130602.086</v>
      </c>
      <c r="O337" s="172"/>
      <c r="P337" s="247">
        <v>177.47804878048777</v>
      </c>
      <c r="Q337" s="247">
        <v>70.530405879874536</v>
      </c>
      <c r="R337" s="247">
        <v>0</v>
      </c>
      <c r="S337" s="247">
        <v>363.39590843125319</v>
      </c>
      <c r="T337" s="248">
        <v>611.40436309161555</v>
      </c>
      <c r="U337" s="247">
        <v>248.0084546603623</v>
      </c>
      <c r="V337" s="247">
        <v>0</v>
      </c>
      <c r="W337" s="247">
        <v>363.39590843125319</v>
      </c>
      <c r="X337" s="247">
        <v>611.40436309161555</v>
      </c>
      <c r="Y337" s="247">
        <v>0</v>
      </c>
      <c r="Z337" s="247">
        <v>0</v>
      </c>
    </row>
    <row r="338" spans="1:26" ht="12.75" x14ac:dyDescent="0.2">
      <c r="A338" s="269">
        <v>2364</v>
      </c>
      <c r="B338" s="269">
        <v>1</v>
      </c>
      <c r="C338" s="270" t="s">
        <v>577</v>
      </c>
      <c r="D338" s="271">
        <v>6</v>
      </c>
      <c r="E338" s="248">
        <v>667.81</v>
      </c>
      <c r="F338" s="247">
        <v>54551.702000000005</v>
      </c>
      <c r="G338" s="247">
        <v>43082.633314285718</v>
      </c>
      <c r="H338" s="247">
        <v>151367.14722857144</v>
      </c>
      <c r="I338" s="247">
        <v>0</v>
      </c>
      <c r="J338" s="247">
        <v>0</v>
      </c>
      <c r="K338" s="247">
        <v>0</v>
      </c>
      <c r="L338" s="247">
        <v>0</v>
      </c>
      <c r="M338" s="247">
        <v>97634.335314285723</v>
      </c>
      <c r="N338" s="247">
        <v>151367.14722857144</v>
      </c>
      <c r="O338" s="172"/>
      <c r="P338" s="247">
        <v>81.687459007801635</v>
      </c>
      <c r="Q338" s="247">
        <v>64.513309645386741</v>
      </c>
      <c r="R338" s="247">
        <v>0</v>
      </c>
      <c r="S338" s="247">
        <v>0</v>
      </c>
      <c r="T338" s="248">
        <v>146.20076865318839</v>
      </c>
      <c r="U338" s="247">
        <v>226.66199552053945</v>
      </c>
      <c r="V338" s="247">
        <v>0</v>
      </c>
      <c r="W338" s="247">
        <v>0</v>
      </c>
      <c r="X338" s="247">
        <v>226.66199552053945</v>
      </c>
      <c r="Y338" s="247">
        <v>80.461226867351073</v>
      </c>
      <c r="Z338" s="247">
        <v>53732.811914285718</v>
      </c>
    </row>
    <row r="339" spans="1:26" ht="12.75" x14ac:dyDescent="0.2">
      <c r="A339" s="269">
        <v>2365</v>
      </c>
      <c r="B339" s="269">
        <v>1</v>
      </c>
      <c r="C339" s="270" t="s">
        <v>436</v>
      </c>
      <c r="D339" s="271">
        <v>6</v>
      </c>
      <c r="E339" s="248">
        <v>805.76</v>
      </c>
      <c r="F339" s="247">
        <v>211826.84</v>
      </c>
      <c r="G339" s="247">
        <v>56878.8</v>
      </c>
      <c r="H339" s="247">
        <v>268705.64</v>
      </c>
      <c r="I339" s="247">
        <v>0</v>
      </c>
      <c r="J339" s="247">
        <v>0</v>
      </c>
      <c r="K339" s="247">
        <v>0</v>
      </c>
      <c r="L339" s="247">
        <v>0</v>
      </c>
      <c r="M339" s="247">
        <v>268705.64</v>
      </c>
      <c r="N339" s="247">
        <v>268705.64</v>
      </c>
      <c r="O339" s="172"/>
      <c r="P339" s="247">
        <v>262.89073669579028</v>
      </c>
      <c r="Q339" s="247">
        <v>70.590250198570303</v>
      </c>
      <c r="R339" s="247">
        <v>0</v>
      </c>
      <c r="S339" s="247">
        <v>0</v>
      </c>
      <c r="T339" s="248">
        <v>333.48098689436063</v>
      </c>
      <c r="U339" s="247">
        <v>333.48098689436063</v>
      </c>
      <c r="V339" s="247">
        <v>0</v>
      </c>
      <c r="W339" s="247">
        <v>0</v>
      </c>
      <c r="X339" s="247">
        <v>333.48098689436063</v>
      </c>
      <c r="Y339" s="247">
        <v>0</v>
      </c>
      <c r="Z339" s="247">
        <v>0</v>
      </c>
    </row>
    <row r="340" spans="1:26" ht="12.75" x14ac:dyDescent="0.2">
      <c r="A340" s="269">
        <v>2396</v>
      </c>
      <c r="B340" s="269">
        <v>1</v>
      </c>
      <c r="C340" s="270" t="s">
        <v>606</v>
      </c>
      <c r="D340" s="271">
        <v>6</v>
      </c>
      <c r="E340" s="248">
        <v>770.82</v>
      </c>
      <c r="F340" s="247">
        <v>69718.828000000009</v>
      </c>
      <c r="G340" s="247">
        <v>51437.607428571428</v>
      </c>
      <c r="H340" s="247">
        <v>179865.48385714288</v>
      </c>
      <c r="I340" s="247">
        <v>0</v>
      </c>
      <c r="J340" s="247">
        <v>0</v>
      </c>
      <c r="K340" s="247">
        <v>0</v>
      </c>
      <c r="L340" s="247">
        <v>0</v>
      </c>
      <c r="M340" s="247">
        <v>121156.43542857144</v>
      </c>
      <c r="N340" s="247">
        <v>179865.48385714288</v>
      </c>
      <c r="O340" s="172"/>
      <c r="P340" s="247">
        <v>90.447611634363412</v>
      </c>
      <c r="Q340" s="247">
        <v>66.731023362875149</v>
      </c>
      <c r="R340" s="247">
        <v>0</v>
      </c>
      <c r="S340" s="247">
        <v>0</v>
      </c>
      <c r="T340" s="248">
        <v>157.17863499723856</v>
      </c>
      <c r="U340" s="247">
        <v>233.34304228891682</v>
      </c>
      <c r="V340" s="247">
        <v>0</v>
      </c>
      <c r="W340" s="247">
        <v>0</v>
      </c>
      <c r="X340" s="247">
        <v>233.34304228891682</v>
      </c>
      <c r="Y340" s="247">
        <v>76.164407291678273</v>
      </c>
      <c r="Z340" s="247">
        <v>58709.048428571448</v>
      </c>
    </row>
    <row r="341" spans="1:26" ht="12.75" x14ac:dyDescent="0.2">
      <c r="A341" s="269">
        <v>2397</v>
      </c>
      <c r="B341" s="269">
        <v>1</v>
      </c>
      <c r="C341" s="270" t="s">
        <v>372</v>
      </c>
      <c r="D341" s="271">
        <v>5</v>
      </c>
      <c r="E341" s="248">
        <v>1091.47</v>
      </c>
      <c r="F341" s="247">
        <v>82123.474000000002</v>
      </c>
      <c r="G341" s="247">
        <v>76000.200000000012</v>
      </c>
      <c r="H341" s="247">
        <v>267326.7</v>
      </c>
      <c r="I341" s="247">
        <v>0</v>
      </c>
      <c r="J341" s="247">
        <v>0</v>
      </c>
      <c r="K341" s="247">
        <v>0</v>
      </c>
      <c r="L341" s="247">
        <v>0</v>
      </c>
      <c r="M341" s="247">
        <v>158123.674</v>
      </c>
      <c r="N341" s="247">
        <v>267326.7</v>
      </c>
      <c r="O341" s="172"/>
      <c r="P341" s="247">
        <v>75.241164667833289</v>
      </c>
      <c r="Q341" s="247">
        <v>69.631048036134757</v>
      </c>
      <c r="R341" s="247">
        <v>0</v>
      </c>
      <c r="S341" s="247">
        <v>0</v>
      </c>
      <c r="T341" s="248">
        <v>144.87221270396805</v>
      </c>
      <c r="U341" s="247">
        <v>244.9235434780617</v>
      </c>
      <c r="V341" s="247">
        <v>0</v>
      </c>
      <c r="W341" s="247">
        <v>0</v>
      </c>
      <c r="X341" s="247">
        <v>244.9235434780617</v>
      </c>
      <c r="Y341" s="247">
        <v>100.05133077409366</v>
      </c>
      <c r="Z341" s="247">
        <v>109203.02600000001</v>
      </c>
    </row>
    <row r="342" spans="1:26" ht="12.75" x14ac:dyDescent="0.2">
      <c r="A342" s="269">
        <v>2448</v>
      </c>
      <c r="B342" s="269">
        <v>1</v>
      </c>
      <c r="C342" s="270" t="s">
        <v>474</v>
      </c>
      <c r="D342" s="271">
        <v>6</v>
      </c>
      <c r="E342" s="248">
        <v>758.05</v>
      </c>
      <c r="F342" s="247">
        <v>51149.824000000001</v>
      </c>
      <c r="G342" s="247">
        <v>52518</v>
      </c>
      <c r="H342" s="247">
        <v>184630.2</v>
      </c>
      <c r="I342" s="247">
        <v>0</v>
      </c>
      <c r="J342" s="247">
        <v>147171</v>
      </c>
      <c r="K342" s="247">
        <v>0</v>
      </c>
      <c r="L342" s="247">
        <v>147171</v>
      </c>
      <c r="M342" s="247">
        <v>250838.82399999999</v>
      </c>
      <c r="N342" s="247">
        <v>331801.2</v>
      </c>
      <c r="O342" s="172"/>
      <c r="P342" s="247">
        <v>67.475527999472334</v>
      </c>
      <c r="Q342" s="247">
        <v>69.280390475562299</v>
      </c>
      <c r="R342" s="247">
        <v>0</v>
      </c>
      <c r="S342" s="247">
        <v>194.14418573972694</v>
      </c>
      <c r="T342" s="248">
        <v>330.9001042147616</v>
      </c>
      <c r="U342" s="247">
        <v>243.55939581821784</v>
      </c>
      <c r="V342" s="247">
        <v>0</v>
      </c>
      <c r="W342" s="247">
        <v>194.14418573972694</v>
      </c>
      <c r="X342" s="247">
        <v>437.70358155794474</v>
      </c>
      <c r="Y342" s="247">
        <v>106.8034773431832</v>
      </c>
      <c r="Z342" s="247">
        <v>80962.376000000018</v>
      </c>
    </row>
    <row r="343" spans="1:26" ht="12.75" x14ac:dyDescent="0.2">
      <c r="A343" s="269">
        <v>2527</v>
      </c>
      <c r="B343" s="269">
        <v>1</v>
      </c>
      <c r="C343" s="270" t="s">
        <v>533</v>
      </c>
      <c r="D343" s="271">
        <v>6</v>
      </c>
      <c r="E343" s="248">
        <v>292.52999999999997</v>
      </c>
      <c r="F343" s="247">
        <v>30624.59</v>
      </c>
      <c r="G343" s="247">
        <v>20096.400000000001</v>
      </c>
      <c r="H343" s="247">
        <v>70768.7</v>
      </c>
      <c r="I343" s="247">
        <v>0</v>
      </c>
      <c r="J343" s="247">
        <v>0</v>
      </c>
      <c r="K343" s="247">
        <v>0</v>
      </c>
      <c r="L343" s="247">
        <v>0</v>
      </c>
      <c r="M343" s="247">
        <v>50720.990000000005</v>
      </c>
      <c r="N343" s="247">
        <v>70768.7</v>
      </c>
      <c r="O343" s="172"/>
      <c r="P343" s="247">
        <v>104.68871568727995</v>
      </c>
      <c r="Q343" s="247">
        <v>68.698595015895819</v>
      </c>
      <c r="R343" s="247">
        <v>0</v>
      </c>
      <c r="S343" s="247">
        <v>0</v>
      </c>
      <c r="T343" s="248">
        <v>173.38731070317579</v>
      </c>
      <c r="U343" s="247">
        <v>241.91946125183742</v>
      </c>
      <c r="V343" s="247">
        <v>0</v>
      </c>
      <c r="W343" s="247">
        <v>0</v>
      </c>
      <c r="X343" s="247">
        <v>241.91946125183742</v>
      </c>
      <c r="Y343" s="247">
        <v>68.532150548661647</v>
      </c>
      <c r="Z343" s="247">
        <v>20047.709999999992</v>
      </c>
    </row>
    <row r="344" spans="1:26" ht="12.75" x14ac:dyDescent="0.2">
      <c r="A344" s="269">
        <v>2534</v>
      </c>
      <c r="B344" s="269">
        <v>1</v>
      </c>
      <c r="C344" s="270" t="s">
        <v>541</v>
      </c>
      <c r="D344" s="271">
        <v>6</v>
      </c>
      <c r="E344" s="248">
        <v>659.62</v>
      </c>
      <c r="F344" s="247">
        <v>54434.742000000006</v>
      </c>
      <c r="G344" s="247">
        <v>46398</v>
      </c>
      <c r="H344" s="247">
        <v>163139</v>
      </c>
      <c r="I344" s="247">
        <v>0</v>
      </c>
      <c r="J344" s="247">
        <v>0</v>
      </c>
      <c r="K344" s="247">
        <v>0</v>
      </c>
      <c r="L344" s="247">
        <v>0</v>
      </c>
      <c r="M344" s="247">
        <v>100832.742</v>
      </c>
      <c r="N344" s="247">
        <v>163139</v>
      </c>
      <c r="O344" s="172"/>
      <c r="P344" s="247">
        <v>82.524395864285509</v>
      </c>
      <c r="Q344" s="247">
        <v>70.340499075225125</v>
      </c>
      <c r="R344" s="247">
        <v>0</v>
      </c>
      <c r="S344" s="247">
        <v>0</v>
      </c>
      <c r="T344" s="248">
        <v>152.86489493951063</v>
      </c>
      <c r="U344" s="247">
        <v>247.32270094903126</v>
      </c>
      <c r="V344" s="247">
        <v>0</v>
      </c>
      <c r="W344" s="247">
        <v>0</v>
      </c>
      <c r="X344" s="247">
        <v>247.32270094903126</v>
      </c>
      <c r="Y344" s="247">
        <v>94.457806009520638</v>
      </c>
      <c r="Z344" s="247">
        <v>62306.258000000002</v>
      </c>
    </row>
    <row r="345" spans="1:26" ht="12.75" x14ac:dyDescent="0.2">
      <c r="A345" s="269">
        <v>2536</v>
      </c>
      <c r="B345" s="269">
        <v>1</v>
      </c>
      <c r="C345" s="270" t="s">
        <v>555</v>
      </c>
      <c r="D345" s="271">
        <v>6</v>
      </c>
      <c r="E345" s="248">
        <v>213.26999999999998</v>
      </c>
      <c r="F345" s="247">
        <v>61510.898000000001</v>
      </c>
      <c r="G345" s="247">
        <v>15220.199999999999</v>
      </c>
      <c r="H345" s="247">
        <v>76731.097999999998</v>
      </c>
      <c r="I345" s="247">
        <v>0</v>
      </c>
      <c r="J345" s="247">
        <v>208530</v>
      </c>
      <c r="K345" s="247">
        <v>0</v>
      </c>
      <c r="L345" s="247">
        <v>208530</v>
      </c>
      <c r="M345" s="247">
        <v>285261.098</v>
      </c>
      <c r="N345" s="247">
        <v>285261.098</v>
      </c>
      <c r="O345" s="172"/>
      <c r="P345" s="247">
        <v>288.41795845641678</v>
      </c>
      <c r="Q345" s="247">
        <v>71.365874243916167</v>
      </c>
      <c r="R345" s="247">
        <v>0</v>
      </c>
      <c r="S345" s="247">
        <v>977.77465184976802</v>
      </c>
      <c r="T345" s="248">
        <v>1337.558484550101</v>
      </c>
      <c r="U345" s="247">
        <v>359.78383270033294</v>
      </c>
      <c r="V345" s="247">
        <v>0</v>
      </c>
      <c r="W345" s="247">
        <v>977.77465184976802</v>
      </c>
      <c r="X345" s="247">
        <v>1337.558484550101</v>
      </c>
      <c r="Y345" s="247">
        <v>0</v>
      </c>
      <c r="Z345" s="247">
        <v>0</v>
      </c>
    </row>
    <row r="346" spans="1:26" ht="12.75" x14ac:dyDescent="0.2">
      <c r="A346" s="269">
        <v>2580</v>
      </c>
      <c r="B346" s="269">
        <v>1</v>
      </c>
      <c r="C346" s="270" t="s">
        <v>659</v>
      </c>
      <c r="D346" s="271">
        <v>6</v>
      </c>
      <c r="E346" s="248">
        <v>767.38999999999987</v>
      </c>
      <c r="F346" s="247">
        <v>94642.782000000007</v>
      </c>
      <c r="G346" s="247">
        <v>14541.283199999998</v>
      </c>
      <c r="H346" s="247">
        <v>109184.06520000001</v>
      </c>
      <c r="I346" s="247">
        <v>0</v>
      </c>
      <c r="J346" s="247">
        <v>0</v>
      </c>
      <c r="K346" s="247">
        <v>0</v>
      </c>
      <c r="L346" s="247">
        <v>0</v>
      </c>
      <c r="M346" s="247">
        <v>109184.06520000001</v>
      </c>
      <c r="N346" s="247">
        <v>109184.06520000001</v>
      </c>
      <c r="O346" s="172"/>
      <c r="P346" s="247">
        <v>123.3307470777571</v>
      </c>
      <c r="Q346" s="247">
        <v>18.949013148464275</v>
      </c>
      <c r="R346" s="247">
        <v>0</v>
      </c>
      <c r="S346" s="247">
        <v>0</v>
      </c>
      <c r="T346" s="248">
        <v>142.27976022622138</v>
      </c>
      <c r="U346" s="247">
        <v>142.27976022622138</v>
      </c>
      <c r="V346" s="247">
        <v>0</v>
      </c>
      <c r="W346" s="247">
        <v>0</v>
      </c>
      <c r="X346" s="247">
        <v>142.27976022622138</v>
      </c>
      <c r="Y346" s="247">
        <v>0</v>
      </c>
      <c r="Z346" s="247">
        <v>0</v>
      </c>
    </row>
    <row r="347" spans="1:26" ht="12.75" x14ac:dyDescent="0.2">
      <c r="A347" s="269">
        <v>2609</v>
      </c>
      <c r="B347" s="269">
        <v>1</v>
      </c>
      <c r="C347" s="270" t="s">
        <v>590</v>
      </c>
      <c r="D347" s="271">
        <v>6</v>
      </c>
      <c r="E347" s="248">
        <v>426.07000000000005</v>
      </c>
      <c r="F347" s="247">
        <v>17536.991999999998</v>
      </c>
      <c r="G347" s="247">
        <v>12352.229142857143</v>
      </c>
      <c r="H347" s="247">
        <v>43210.370742857143</v>
      </c>
      <c r="I347" s="247">
        <v>0</v>
      </c>
      <c r="J347" s="247">
        <v>0</v>
      </c>
      <c r="K347" s="247">
        <v>0</v>
      </c>
      <c r="L347" s="247">
        <v>0</v>
      </c>
      <c r="M347" s="247">
        <v>29889.221142857139</v>
      </c>
      <c r="N347" s="247">
        <v>43210.370742857143</v>
      </c>
      <c r="O347" s="172"/>
      <c r="P347" s="247">
        <v>41.159884526016846</v>
      </c>
      <c r="Q347" s="247">
        <v>28.991079265982446</v>
      </c>
      <c r="R347" s="247">
        <v>0</v>
      </c>
      <c r="S347" s="247">
        <v>0</v>
      </c>
      <c r="T347" s="248">
        <v>70.150963791999288</v>
      </c>
      <c r="U347" s="247">
        <v>101.41613054863552</v>
      </c>
      <c r="V347" s="247">
        <v>0</v>
      </c>
      <c r="W347" s="247">
        <v>0</v>
      </c>
      <c r="X347" s="247">
        <v>101.41613054863552</v>
      </c>
      <c r="Y347" s="247">
        <v>31.265166756636241</v>
      </c>
      <c r="Z347" s="247">
        <v>13321.149600000004</v>
      </c>
    </row>
    <row r="348" spans="1:26" ht="12.75" x14ac:dyDescent="0.2">
      <c r="A348" s="269">
        <v>2683</v>
      </c>
      <c r="B348" s="269">
        <v>1</v>
      </c>
      <c r="C348" s="270" t="s">
        <v>507</v>
      </c>
      <c r="D348" s="271">
        <v>6</v>
      </c>
      <c r="E348" s="248">
        <v>421.78</v>
      </c>
      <c r="F348" s="247">
        <v>31941.377999999997</v>
      </c>
      <c r="G348" s="247">
        <v>29483.399999999998</v>
      </c>
      <c r="H348" s="247">
        <v>103658.7</v>
      </c>
      <c r="I348" s="247">
        <v>0</v>
      </c>
      <c r="J348" s="247">
        <v>72340</v>
      </c>
      <c r="K348" s="247">
        <v>0</v>
      </c>
      <c r="L348" s="247">
        <v>72340</v>
      </c>
      <c r="M348" s="247">
        <v>133764.77799999999</v>
      </c>
      <c r="N348" s="247">
        <v>175998.7</v>
      </c>
      <c r="O348" s="172"/>
      <c r="P348" s="247">
        <v>75.729949262648773</v>
      </c>
      <c r="Q348" s="247">
        <v>69.902318744369097</v>
      </c>
      <c r="R348" s="247">
        <v>0</v>
      </c>
      <c r="S348" s="247">
        <v>171.51121437716347</v>
      </c>
      <c r="T348" s="248">
        <v>317.14348238418131</v>
      </c>
      <c r="U348" s="247">
        <v>245.76485371520698</v>
      </c>
      <c r="V348" s="247">
        <v>0</v>
      </c>
      <c r="W348" s="247">
        <v>171.51121437716347</v>
      </c>
      <c r="X348" s="247">
        <v>417.27606809237051</v>
      </c>
      <c r="Y348" s="247">
        <v>100.13258570818915</v>
      </c>
      <c r="Z348" s="247">
        <v>42233.92200000002</v>
      </c>
    </row>
    <row r="349" spans="1:26" ht="12.75" x14ac:dyDescent="0.2">
      <c r="A349" s="269">
        <v>2687</v>
      </c>
      <c r="B349" s="269">
        <v>1</v>
      </c>
      <c r="C349" s="270" t="s">
        <v>402</v>
      </c>
      <c r="D349" s="271">
        <v>5</v>
      </c>
      <c r="E349" s="248">
        <v>1094.0900000000001</v>
      </c>
      <c r="F349" s="247">
        <v>85728.155999999988</v>
      </c>
      <c r="G349" s="247">
        <v>74560.200000000012</v>
      </c>
      <c r="H349" s="247">
        <v>261194.90000000002</v>
      </c>
      <c r="I349" s="247">
        <v>0</v>
      </c>
      <c r="J349" s="247">
        <v>0</v>
      </c>
      <c r="K349" s="247">
        <v>0</v>
      </c>
      <c r="L349" s="247">
        <v>0</v>
      </c>
      <c r="M349" s="247">
        <v>160288.356</v>
      </c>
      <c r="N349" s="247">
        <v>261194.90000000002</v>
      </c>
      <c r="O349" s="172"/>
      <c r="P349" s="247">
        <v>78.35567092286739</v>
      </c>
      <c r="Q349" s="247">
        <v>68.148141377765995</v>
      </c>
      <c r="R349" s="247">
        <v>0</v>
      </c>
      <c r="S349" s="247">
        <v>0</v>
      </c>
      <c r="T349" s="248">
        <v>146.50381230063337</v>
      </c>
      <c r="U349" s="247">
        <v>238.73255399464395</v>
      </c>
      <c r="V349" s="247">
        <v>0</v>
      </c>
      <c r="W349" s="247">
        <v>0</v>
      </c>
      <c r="X349" s="247">
        <v>238.73255399464395</v>
      </c>
      <c r="Y349" s="247">
        <v>92.228741694010552</v>
      </c>
      <c r="Z349" s="247">
        <v>100906.54400000002</v>
      </c>
    </row>
    <row r="350" spans="1:26" ht="12.75" x14ac:dyDescent="0.2">
      <c r="A350" s="269">
        <v>2689</v>
      </c>
      <c r="B350" s="269">
        <v>1</v>
      </c>
      <c r="C350" s="270" t="s">
        <v>434</v>
      </c>
      <c r="D350" s="271">
        <v>5</v>
      </c>
      <c r="E350" s="248">
        <v>1080.99</v>
      </c>
      <c r="F350" s="247">
        <v>29073.204000000005</v>
      </c>
      <c r="G350" s="247">
        <v>41610.622457142861</v>
      </c>
      <c r="H350" s="247">
        <v>144176.0184857143</v>
      </c>
      <c r="I350" s="247">
        <v>0</v>
      </c>
      <c r="J350" s="247">
        <v>0</v>
      </c>
      <c r="K350" s="247">
        <v>0</v>
      </c>
      <c r="L350" s="247">
        <v>0</v>
      </c>
      <c r="M350" s="247">
        <v>70683.826457142859</v>
      </c>
      <c r="N350" s="247">
        <v>144176.0184857143</v>
      </c>
      <c r="O350" s="172"/>
      <c r="P350" s="247">
        <v>26.894979602031476</v>
      </c>
      <c r="Q350" s="247">
        <v>38.493068813904721</v>
      </c>
      <c r="R350" s="247">
        <v>0</v>
      </c>
      <c r="S350" s="247">
        <v>0</v>
      </c>
      <c r="T350" s="248">
        <v>65.388048415936183</v>
      </c>
      <c r="U350" s="247">
        <v>133.37405386332372</v>
      </c>
      <c r="V350" s="247">
        <v>0</v>
      </c>
      <c r="W350" s="247">
        <v>0</v>
      </c>
      <c r="X350" s="247">
        <v>133.37405386332372</v>
      </c>
      <c r="Y350" s="247">
        <v>67.986005447387527</v>
      </c>
      <c r="Z350" s="247">
        <v>73492.192028571444</v>
      </c>
    </row>
    <row r="351" spans="1:26" ht="12.75" x14ac:dyDescent="0.2">
      <c r="A351" s="269">
        <v>2711</v>
      </c>
      <c r="B351" s="269">
        <v>1</v>
      </c>
      <c r="C351" s="270" t="s">
        <v>662</v>
      </c>
      <c r="D351" s="271">
        <v>6</v>
      </c>
      <c r="E351" s="248">
        <v>916.38</v>
      </c>
      <c r="F351" s="247">
        <v>232351.74</v>
      </c>
      <c r="G351" s="247">
        <v>63013.8</v>
      </c>
      <c r="H351" s="247">
        <v>295365.53999999998</v>
      </c>
      <c r="I351" s="247">
        <v>0</v>
      </c>
      <c r="J351" s="247">
        <v>0</v>
      </c>
      <c r="K351" s="247">
        <v>0</v>
      </c>
      <c r="L351" s="247">
        <v>0</v>
      </c>
      <c r="M351" s="247">
        <v>295365.53999999998</v>
      </c>
      <c r="N351" s="247">
        <v>295365.53999999998</v>
      </c>
      <c r="O351" s="172"/>
      <c r="P351" s="247">
        <v>253.55391868002357</v>
      </c>
      <c r="Q351" s="247">
        <v>68.763831598245275</v>
      </c>
      <c r="R351" s="247">
        <v>0</v>
      </c>
      <c r="S351" s="247">
        <v>0</v>
      </c>
      <c r="T351" s="248">
        <v>322.31775027826882</v>
      </c>
      <c r="U351" s="247">
        <v>322.31775027826882</v>
      </c>
      <c r="V351" s="247">
        <v>0</v>
      </c>
      <c r="W351" s="247">
        <v>0</v>
      </c>
      <c r="X351" s="247">
        <v>322.31775027826882</v>
      </c>
      <c r="Y351" s="247">
        <v>0</v>
      </c>
      <c r="Z351" s="247">
        <v>0</v>
      </c>
    </row>
    <row r="352" spans="1:26" ht="12.75" x14ac:dyDescent="0.2">
      <c r="A352" s="269">
        <v>2752</v>
      </c>
      <c r="B352" s="269">
        <v>1</v>
      </c>
      <c r="C352" s="270" t="s">
        <v>393</v>
      </c>
      <c r="D352" s="271">
        <v>5</v>
      </c>
      <c r="E352" s="248">
        <v>1809.44</v>
      </c>
      <c r="F352" s="247">
        <v>247776.62</v>
      </c>
      <c r="G352" s="247">
        <v>125809.20000000001</v>
      </c>
      <c r="H352" s="247">
        <v>440739.8</v>
      </c>
      <c r="I352" s="247">
        <v>0</v>
      </c>
      <c r="J352" s="247">
        <v>727388</v>
      </c>
      <c r="K352" s="247">
        <v>0</v>
      </c>
      <c r="L352" s="247">
        <v>727388</v>
      </c>
      <c r="M352" s="247">
        <v>1100973.82</v>
      </c>
      <c r="N352" s="247">
        <v>1168127.8</v>
      </c>
      <c r="O352" s="172"/>
      <c r="P352" s="247">
        <v>136.93552701388273</v>
      </c>
      <c r="Q352" s="247">
        <v>69.529357149173222</v>
      </c>
      <c r="R352" s="247">
        <v>0</v>
      </c>
      <c r="S352" s="247">
        <v>401.99619771863115</v>
      </c>
      <c r="T352" s="248">
        <v>608.46108188168716</v>
      </c>
      <c r="U352" s="247">
        <v>243.57801308692191</v>
      </c>
      <c r="V352" s="247">
        <v>0</v>
      </c>
      <c r="W352" s="247">
        <v>401.99619771863115</v>
      </c>
      <c r="X352" s="247">
        <v>645.57421080555309</v>
      </c>
      <c r="Y352" s="247">
        <v>37.113128923865936</v>
      </c>
      <c r="Z352" s="247">
        <v>67153.979999999981</v>
      </c>
    </row>
    <row r="353" spans="1:26" ht="12.75" x14ac:dyDescent="0.2">
      <c r="A353" s="269">
        <v>2753</v>
      </c>
      <c r="B353" s="269">
        <v>1</v>
      </c>
      <c r="C353" s="270" t="s">
        <v>643</v>
      </c>
      <c r="D353" s="271">
        <v>5</v>
      </c>
      <c r="E353" s="248">
        <v>932.72</v>
      </c>
      <c r="F353" s="247">
        <v>50615.637999999999</v>
      </c>
      <c r="G353" s="247">
        <v>62681.660228571433</v>
      </c>
      <c r="H353" s="247">
        <v>218320.67622857142</v>
      </c>
      <c r="I353" s="247">
        <v>0</v>
      </c>
      <c r="J353" s="247">
        <v>0</v>
      </c>
      <c r="K353" s="247">
        <v>0</v>
      </c>
      <c r="L353" s="247">
        <v>0</v>
      </c>
      <c r="M353" s="247">
        <v>113297.29822857142</v>
      </c>
      <c r="N353" s="247">
        <v>218320.67622857142</v>
      </c>
      <c r="O353" s="172"/>
      <c r="P353" s="247">
        <v>54.266701689681788</v>
      </c>
      <c r="Q353" s="247">
        <v>67.203083699900759</v>
      </c>
      <c r="R353" s="247">
        <v>0</v>
      </c>
      <c r="S353" s="247">
        <v>0</v>
      </c>
      <c r="T353" s="248">
        <v>121.46978538958254</v>
      </c>
      <c r="U353" s="247">
        <v>234.06882690257677</v>
      </c>
      <c r="V353" s="247">
        <v>0</v>
      </c>
      <c r="W353" s="247">
        <v>0</v>
      </c>
      <c r="X353" s="247">
        <v>234.06882690257677</v>
      </c>
      <c r="Y353" s="247">
        <v>112.59904151299425</v>
      </c>
      <c r="Z353" s="247">
        <v>105023.378</v>
      </c>
    </row>
    <row r="354" spans="1:26" ht="12.75" x14ac:dyDescent="0.2">
      <c r="A354" s="269">
        <v>2754</v>
      </c>
      <c r="B354" s="269">
        <v>1</v>
      </c>
      <c r="C354" s="270" t="s">
        <v>484</v>
      </c>
      <c r="D354" s="271">
        <v>6</v>
      </c>
      <c r="E354" s="248">
        <v>530.1</v>
      </c>
      <c r="F354" s="247">
        <v>56150.696000000011</v>
      </c>
      <c r="G354" s="247">
        <v>36623.4</v>
      </c>
      <c r="H354" s="247">
        <v>128181.29999999999</v>
      </c>
      <c r="I354" s="247">
        <v>0</v>
      </c>
      <c r="J354" s="247">
        <v>0</v>
      </c>
      <c r="K354" s="247">
        <v>0</v>
      </c>
      <c r="L354" s="247">
        <v>0</v>
      </c>
      <c r="M354" s="247">
        <v>92774.09600000002</v>
      </c>
      <c r="N354" s="247">
        <v>128181.29999999999</v>
      </c>
      <c r="O354" s="172"/>
      <c r="P354" s="247">
        <v>105.92472363704962</v>
      </c>
      <c r="Q354" s="247">
        <v>69.087719298245617</v>
      </c>
      <c r="R354" s="247">
        <v>0</v>
      </c>
      <c r="S354" s="247">
        <v>0</v>
      </c>
      <c r="T354" s="248">
        <v>175.01244293529527</v>
      </c>
      <c r="U354" s="247">
        <v>241.80588568194676</v>
      </c>
      <c r="V354" s="247">
        <v>0</v>
      </c>
      <c r="W354" s="247">
        <v>0</v>
      </c>
      <c r="X354" s="247">
        <v>241.80588568194676</v>
      </c>
      <c r="Y354" s="247">
        <v>66.793442746651507</v>
      </c>
      <c r="Z354" s="247">
        <v>35407.203999999969</v>
      </c>
    </row>
    <row r="355" spans="1:26" ht="12.75" x14ac:dyDescent="0.2">
      <c r="A355" s="269">
        <v>2759</v>
      </c>
      <c r="B355" s="269">
        <v>1</v>
      </c>
      <c r="C355" s="270" t="s">
        <v>547</v>
      </c>
      <c r="D355" s="271">
        <v>6</v>
      </c>
      <c r="E355" s="248">
        <v>258.19</v>
      </c>
      <c r="F355" s="247">
        <v>26923.13</v>
      </c>
      <c r="G355" s="247">
        <v>17767.2</v>
      </c>
      <c r="H355" s="247">
        <v>61587.1</v>
      </c>
      <c r="I355" s="247">
        <v>0</v>
      </c>
      <c r="J355" s="247">
        <v>0</v>
      </c>
      <c r="K355" s="247">
        <v>0</v>
      </c>
      <c r="L355" s="247">
        <v>0</v>
      </c>
      <c r="M355" s="247">
        <v>44690.33</v>
      </c>
      <c r="N355" s="247">
        <v>61587.1</v>
      </c>
      <c r="O355" s="172"/>
      <c r="P355" s="247">
        <v>104.27642433866532</v>
      </c>
      <c r="Q355" s="247">
        <v>68.814438979046443</v>
      </c>
      <c r="R355" s="247">
        <v>0</v>
      </c>
      <c r="S355" s="247">
        <v>0</v>
      </c>
      <c r="T355" s="248">
        <v>173.09086331771178</v>
      </c>
      <c r="U355" s="247">
        <v>238.5340253301832</v>
      </c>
      <c r="V355" s="247">
        <v>0</v>
      </c>
      <c r="W355" s="247">
        <v>0</v>
      </c>
      <c r="X355" s="247">
        <v>238.5340253301832</v>
      </c>
      <c r="Y355" s="247">
        <v>65.443162012471419</v>
      </c>
      <c r="Z355" s="247">
        <v>16896.769999999997</v>
      </c>
    </row>
    <row r="356" spans="1:26" ht="12.75" x14ac:dyDescent="0.2">
      <c r="A356" s="269">
        <v>2805</v>
      </c>
      <c r="B356" s="269">
        <v>1</v>
      </c>
      <c r="C356" s="270" t="s">
        <v>285</v>
      </c>
      <c r="D356" s="271">
        <v>5</v>
      </c>
      <c r="E356" s="248">
        <v>1087.3600000000001</v>
      </c>
      <c r="F356" s="247">
        <v>121883.952</v>
      </c>
      <c r="G356" s="247">
        <v>74361.599999999991</v>
      </c>
      <c r="H356" s="247">
        <v>261093.7</v>
      </c>
      <c r="I356" s="247">
        <v>0</v>
      </c>
      <c r="J356" s="247">
        <v>501490</v>
      </c>
      <c r="K356" s="247">
        <v>0</v>
      </c>
      <c r="L356" s="247">
        <v>501490</v>
      </c>
      <c r="M356" s="247">
        <v>697735.55200000003</v>
      </c>
      <c r="N356" s="247">
        <v>762583.7</v>
      </c>
      <c r="O356" s="172"/>
      <c r="P356" s="247">
        <v>112.09162742789876</v>
      </c>
      <c r="Q356" s="247">
        <v>68.387286639199516</v>
      </c>
      <c r="R356" s="247">
        <v>0</v>
      </c>
      <c r="S356" s="247">
        <v>461.19960270747492</v>
      </c>
      <c r="T356" s="248">
        <v>641.67851677457327</v>
      </c>
      <c r="U356" s="247">
        <v>240.11707254267213</v>
      </c>
      <c r="V356" s="247">
        <v>0</v>
      </c>
      <c r="W356" s="247">
        <v>461.19960270747492</v>
      </c>
      <c r="X356" s="247">
        <v>701.316675250147</v>
      </c>
      <c r="Y356" s="247">
        <v>59.638158475573796</v>
      </c>
      <c r="Z356" s="247">
        <v>64848.147999999928</v>
      </c>
    </row>
    <row r="357" spans="1:26" ht="12.75" x14ac:dyDescent="0.2">
      <c r="A357" s="269">
        <v>2835</v>
      </c>
      <c r="B357" s="269">
        <v>1</v>
      </c>
      <c r="C357" s="270" t="s">
        <v>530</v>
      </c>
      <c r="D357" s="271">
        <v>6</v>
      </c>
      <c r="E357" s="248">
        <v>575.62</v>
      </c>
      <c r="F357" s="247">
        <v>32750.33</v>
      </c>
      <c r="G357" s="247">
        <v>40691.4</v>
      </c>
      <c r="H357" s="247">
        <v>142613.79999999999</v>
      </c>
      <c r="I357" s="247">
        <v>0</v>
      </c>
      <c r="J357" s="247">
        <v>0</v>
      </c>
      <c r="K357" s="247">
        <v>0</v>
      </c>
      <c r="L357" s="247">
        <v>0</v>
      </c>
      <c r="M357" s="247">
        <v>73441.73000000001</v>
      </c>
      <c r="N357" s="247">
        <v>142613.79999999999</v>
      </c>
      <c r="O357" s="172"/>
      <c r="P357" s="247">
        <v>56.895747194329594</v>
      </c>
      <c r="Q357" s="247">
        <v>70.691428372884886</v>
      </c>
      <c r="R357" s="247">
        <v>0</v>
      </c>
      <c r="S357" s="247">
        <v>0</v>
      </c>
      <c r="T357" s="248">
        <v>127.5871755672145</v>
      </c>
      <c r="U357" s="247">
        <v>247.75685347972617</v>
      </c>
      <c r="V357" s="247">
        <v>0</v>
      </c>
      <c r="W357" s="247">
        <v>0</v>
      </c>
      <c r="X357" s="247">
        <v>247.75685347972617</v>
      </c>
      <c r="Y357" s="247">
        <v>120.16967791251169</v>
      </c>
      <c r="Z357" s="247">
        <v>69172.069999999978</v>
      </c>
    </row>
    <row r="358" spans="1:26" ht="12.75" x14ac:dyDescent="0.2">
      <c r="A358" s="269">
        <v>2853</v>
      </c>
      <c r="B358" s="269">
        <v>1</v>
      </c>
      <c r="C358" s="270" t="s">
        <v>634</v>
      </c>
      <c r="D358" s="271">
        <v>6</v>
      </c>
      <c r="E358" s="248">
        <v>785.71</v>
      </c>
      <c r="F358" s="247">
        <v>33516.567999999999</v>
      </c>
      <c r="G358" s="247">
        <v>54109.8</v>
      </c>
      <c r="H358" s="247">
        <v>189315.30000000002</v>
      </c>
      <c r="I358" s="247">
        <v>0</v>
      </c>
      <c r="J358" s="247">
        <v>0</v>
      </c>
      <c r="K358" s="247">
        <v>0</v>
      </c>
      <c r="L358" s="247">
        <v>0</v>
      </c>
      <c r="M358" s="247">
        <v>87626.368000000002</v>
      </c>
      <c r="N358" s="247">
        <v>189315.30000000002</v>
      </c>
      <c r="O358" s="172"/>
      <c r="P358" s="247">
        <v>42.657682860088322</v>
      </c>
      <c r="Q358" s="247">
        <v>68.867393822148117</v>
      </c>
      <c r="R358" s="247">
        <v>0</v>
      </c>
      <c r="S358" s="247">
        <v>0</v>
      </c>
      <c r="T358" s="248">
        <v>111.52507668223645</v>
      </c>
      <c r="U358" s="247">
        <v>240.94805971668939</v>
      </c>
      <c r="V358" s="247">
        <v>0</v>
      </c>
      <c r="W358" s="247">
        <v>0</v>
      </c>
      <c r="X358" s="247">
        <v>240.94805971668939</v>
      </c>
      <c r="Y358" s="247">
        <v>129.42298303445293</v>
      </c>
      <c r="Z358" s="247">
        <v>101688.93200000002</v>
      </c>
    </row>
    <row r="359" spans="1:26" ht="12.75" x14ac:dyDescent="0.2">
      <c r="A359" s="269">
        <v>2854</v>
      </c>
      <c r="B359" s="269">
        <v>1</v>
      </c>
      <c r="C359" s="270" t="s">
        <v>356</v>
      </c>
      <c r="D359" s="271">
        <v>6</v>
      </c>
      <c r="E359" s="248">
        <v>520.77</v>
      </c>
      <c r="F359" s="247">
        <v>113539.728</v>
      </c>
      <c r="G359" s="247">
        <v>20158.459200000001</v>
      </c>
      <c r="H359" s="247">
        <v>133698.18720000001</v>
      </c>
      <c r="I359" s="247">
        <v>0</v>
      </c>
      <c r="J359" s="247">
        <v>0</v>
      </c>
      <c r="K359" s="247">
        <v>0</v>
      </c>
      <c r="L359" s="247">
        <v>0</v>
      </c>
      <c r="M359" s="247">
        <v>133698.18720000001</v>
      </c>
      <c r="N359" s="247">
        <v>133698.18720000001</v>
      </c>
      <c r="O359" s="172"/>
      <c r="P359" s="247">
        <v>218.02278933118268</v>
      </c>
      <c r="Q359" s="247">
        <v>38.708948672158535</v>
      </c>
      <c r="R359" s="247">
        <v>0</v>
      </c>
      <c r="S359" s="247">
        <v>0</v>
      </c>
      <c r="T359" s="248">
        <v>256.73173800334126</v>
      </c>
      <c r="U359" s="247">
        <v>256.73173800334126</v>
      </c>
      <c r="V359" s="247">
        <v>0</v>
      </c>
      <c r="W359" s="247">
        <v>0</v>
      </c>
      <c r="X359" s="247">
        <v>256.73173800334126</v>
      </c>
      <c r="Y359" s="247">
        <v>0</v>
      </c>
      <c r="Z359" s="247">
        <v>0</v>
      </c>
    </row>
    <row r="360" spans="1:26" ht="12.75" x14ac:dyDescent="0.2">
      <c r="A360" s="269">
        <v>2856</v>
      </c>
      <c r="B360" s="269">
        <v>1</v>
      </c>
      <c r="C360" s="270" t="s">
        <v>312</v>
      </c>
      <c r="D360" s="271">
        <v>6</v>
      </c>
      <c r="E360" s="248">
        <v>319.44</v>
      </c>
      <c r="F360" s="247">
        <v>115719.38799999999</v>
      </c>
      <c r="G360" s="247">
        <v>22780.799999999999</v>
      </c>
      <c r="H360" s="247">
        <v>138500.18799999999</v>
      </c>
      <c r="I360" s="247">
        <v>0</v>
      </c>
      <c r="J360" s="247">
        <v>85589</v>
      </c>
      <c r="K360" s="247">
        <v>0</v>
      </c>
      <c r="L360" s="247">
        <v>85589</v>
      </c>
      <c r="M360" s="247">
        <v>224089.18799999999</v>
      </c>
      <c r="N360" s="247">
        <v>224089.18799999999</v>
      </c>
      <c r="O360" s="172"/>
      <c r="P360" s="247">
        <v>362.25703731530177</v>
      </c>
      <c r="Q360" s="247">
        <v>71.314800901577755</v>
      </c>
      <c r="R360" s="247">
        <v>0</v>
      </c>
      <c r="S360" s="247">
        <v>267.93451039318808</v>
      </c>
      <c r="T360" s="248">
        <v>701.50634861006756</v>
      </c>
      <c r="U360" s="247">
        <v>433.57183821687954</v>
      </c>
      <c r="V360" s="247">
        <v>0</v>
      </c>
      <c r="W360" s="247">
        <v>267.93451039318808</v>
      </c>
      <c r="X360" s="247">
        <v>701.50634861006756</v>
      </c>
      <c r="Y360" s="247">
        <v>0</v>
      </c>
      <c r="Z360" s="247">
        <v>0</v>
      </c>
    </row>
    <row r="361" spans="1:26" ht="12.75" x14ac:dyDescent="0.2">
      <c r="A361" s="269">
        <v>2859</v>
      </c>
      <c r="B361" s="269">
        <v>1</v>
      </c>
      <c r="C361" s="270" t="s">
        <v>660</v>
      </c>
      <c r="D361" s="271">
        <v>5</v>
      </c>
      <c r="E361" s="248">
        <v>1692.19</v>
      </c>
      <c r="F361" s="247">
        <v>102047.67999999999</v>
      </c>
      <c r="G361" s="247">
        <v>117174.6</v>
      </c>
      <c r="H361" s="247">
        <v>411964.5</v>
      </c>
      <c r="I361" s="247">
        <v>0</v>
      </c>
      <c r="J361" s="247">
        <v>0</v>
      </c>
      <c r="K361" s="247">
        <v>0</v>
      </c>
      <c r="L361" s="247">
        <v>0</v>
      </c>
      <c r="M361" s="247">
        <v>219222.28</v>
      </c>
      <c r="N361" s="247">
        <v>411964.5</v>
      </c>
      <c r="O361" s="172"/>
      <c r="P361" s="247">
        <v>60.305095763478093</v>
      </c>
      <c r="Q361" s="247">
        <v>69.244351993570461</v>
      </c>
      <c r="R361" s="247">
        <v>0</v>
      </c>
      <c r="S361" s="247">
        <v>0</v>
      </c>
      <c r="T361" s="248">
        <v>129.54944775704854</v>
      </c>
      <c r="U361" s="247">
        <v>243.45049905743443</v>
      </c>
      <c r="V361" s="247">
        <v>0</v>
      </c>
      <c r="W361" s="247">
        <v>0</v>
      </c>
      <c r="X361" s="247">
        <v>243.45049905743443</v>
      </c>
      <c r="Y361" s="247">
        <v>113.90105130038589</v>
      </c>
      <c r="Z361" s="247">
        <v>192742.22</v>
      </c>
    </row>
    <row r="362" spans="1:26" ht="12.75" x14ac:dyDescent="0.2">
      <c r="A362" s="269">
        <v>2860</v>
      </c>
      <c r="B362" s="269">
        <v>1</v>
      </c>
      <c r="C362" s="270" t="s">
        <v>607</v>
      </c>
      <c r="D362" s="271">
        <v>5</v>
      </c>
      <c r="E362" s="248">
        <v>1253.25</v>
      </c>
      <c r="F362" s="247">
        <v>19953.572</v>
      </c>
      <c r="G362" s="247">
        <v>86312.4</v>
      </c>
      <c r="H362" s="247">
        <v>303038.8</v>
      </c>
      <c r="I362" s="247">
        <v>25000</v>
      </c>
      <c r="J362" s="247">
        <v>213852</v>
      </c>
      <c r="K362" s="247">
        <v>25000</v>
      </c>
      <c r="L362" s="247">
        <v>213852</v>
      </c>
      <c r="M362" s="247">
        <v>345117.97200000001</v>
      </c>
      <c r="N362" s="247">
        <v>541890.80000000005</v>
      </c>
      <c r="O362" s="172"/>
      <c r="P362" s="247">
        <v>15.921461799321763</v>
      </c>
      <c r="Q362" s="247">
        <v>68.870855774985031</v>
      </c>
      <c r="R362" s="247">
        <v>19.948134849391582</v>
      </c>
      <c r="S362" s="247">
        <v>170.63794135248355</v>
      </c>
      <c r="T362" s="248">
        <v>275.37839377618195</v>
      </c>
      <c r="U362" s="247">
        <v>241.80235387991223</v>
      </c>
      <c r="V362" s="247">
        <v>19.948134849391582</v>
      </c>
      <c r="W362" s="247">
        <v>170.63794135248355</v>
      </c>
      <c r="X362" s="247">
        <v>432.38843008178736</v>
      </c>
      <c r="Y362" s="247">
        <v>157.01003630560547</v>
      </c>
      <c r="Z362" s="247">
        <v>196772.82800000004</v>
      </c>
    </row>
    <row r="363" spans="1:26" ht="12.75" x14ac:dyDescent="0.2">
      <c r="A363" s="269">
        <v>2884</v>
      </c>
      <c r="B363" s="269">
        <v>1</v>
      </c>
      <c r="C363" s="270" t="s">
        <v>586</v>
      </c>
      <c r="D363" s="271">
        <v>6</v>
      </c>
      <c r="E363" s="248">
        <v>395.55</v>
      </c>
      <c r="F363" s="247">
        <v>60292.73</v>
      </c>
      <c r="G363" s="247">
        <v>28299</v>
      </c>
      <c r="H363" s="247">
        <v>97729.3</v>
      </c>
      <c r="I363" s="247">
        <v>0</v>
      </c>
      <c r="J363" s="247">
        <v>0</v>
      </c>
      <c r="K363" s="247">
        <v>0</v>
      </c>
      <c r="L363" s="247">
        <v>0</v>
      </c>
      <c r="M363" s="247">
        <v>88591.73000000001</v>
      </c>
      <c r="N363" s="247">
        <v>97729.3</v>
      </c>
      <c r="O363" s="172"/>
      <c r="P363" s="247">
        <v>152.42758184805967</v>
      </c>
      <c r="Q363" s="247">
        <v>71.543420553659459</v>
      </c>
      <c r="R363" s="247">
        <v>0</v>
      </c>
      <c r="S363" s="247">
        <v>0</v>
      </c>
      <c r="T363" s="248">
        <v>223.97100240171915</v>
      </c>
      <c r="U363" s="247">
        <v>247.0719251674883</v>
      </c>
      <c r="V363" s="247">
        <v>0</v>
      </c>
      <c r="W363" s="247">
        <v>0</v>
      </c>
      <c r="X363" s="247">
        <v>247.0719251674883</v>
      </c>
      <c r="Y363" s="247">
        <v>23.100922765769162</v>
      </c>
      <c r="Z363" s="247">
        <v>9137.5699999999924</v>
      </c>
    </row>
    <row r="364" spans="1:26" ht="12.75" x14ac:dyDescent="0.2">
      <c r="A364" s="269">
        <v>2886</v>
      </c>
      <c r="B364" s="269">
        <v>1</v>
      </c>
      <c r="C364" s="270" t="s">
        <v>616</v>
      </c>
      <c r="D364" s="271">
        <v>6</v>
      </c>
      <c r="E364" s="248">
        <v>369.08</v>
      </c>
      <c r="F364" s="247">
        <v>9262.7739999999994</v>
      </c>
      <c r="G364" s="247">
        <v>26168.399999999998</v>
      </c>
      <c r="H364" s="247">
        <v>91588.299999999988</v>
      </c>
      <c r="I364" s="247">
        <v>0</v>
      </c>
      <c r="J364" s="247">
        <v>0</v>
      </c>
      <c r="K364" s="247">
        <v>0</v>
      </c>
      <c r="L364" s="247">
        <v>0</v>
      </c>
      <c r="M364" s="247">
        <v>35431.173999999999</v>
      </c>
      <c r="N364" s="247">
        <v>91588.299999999988</v>
      </c>
      <c r="O364" s="172"/>
      <c r="P364" s="247">
        <v>25.096927495393953</v>
      </c>
      <c r="Q364" s="247">
        <v>70.901701528123979</v>
      </c>
      <c r="R364" s="247">
        <v>0</v>
      </c>
      <c r="S364" s="247">
        <v>0</v>
      </c>
      <c r="T364" s="248">
        <v>95.998629023517935</v>
      </c>
      <c r="U364" s="247">
        <v>248.15297496477726</v>
      </c>
      <c r="V364" s="247">
        <v>0</v>
      </c>
      <c r="W364" s="247">
        <v>0</v>
      </c>
      <c r="X364" s="247">
        <v>248.15297496477726</v>
      </c>
      <c r="Y364" s="247">
        <v>152.15434594125932</v>
      </c>
      <c r="Z364" s="247">
        <v>56157.125999999989</v>
      </c>
    </row>
    <row r="365" spans="1:26" ht="12.75" x14ac:dyDescent="0.2">
      <c r="A365" s="269">
        <v>2888</v>
      </c>
      <c r="B365" s="269">
        <v>1</v>
      </c>
      <c r="C365" s="270" t="s">
        <v>444</v>
      </c>
      <c r="D365" s="271">
        <v>6</v>
      </c>
      <c r="E365" s="248">
        <v>358.84000000000003</v>
      </c>
      <c r="F365" s="247">
        <v>42215.431999999993</v>
      </c>
      <c r="G365" s="247">
        <v>24822.6</v>
      </c>
      <c r="H365" s="247">
        <v>86397.2</v>
      </c>
      <c r="I365" s="247">
        <v>0</v>
      </c>
      <c r="J365" s="247">
        <v>0</v>
      </c>
      <c r="K365" s="247">
        <v>0</v>
      </c>
      <c r="L365" s="247">
        <v>0</v>
      </c>
      <c r="M365" s="247">
        <v>67038.031999999992</v>
      </c>
      <c r="N365" s="247">
        <v>86397.2</v>
      </c>
      <c r="O365" s="172"/>
      <c r="P365" s="247">
        <v>117.64416453015268</v>
      </c>
      <c r="Q365" s="247">
        <v>69.174562479099308</v>
      </c>
      <c r="R365" s="247">
        <v>0</v>
      </c>
      <c r="S365" s="247">
        <v>0</v>
      </c>
      <c r="T365" s="248">
        <v>186.818727009252</v>
      </c>
      <c r="U365" s="247">
        <v>240.76803031991972</v>
      </c>
      <c r="V365" s="247">
        <v>0</v>
      </c>
      <c r="W365" s="247">
        <v>0</v>
      </c>
      <c r="X365" s="247">
        <v>240.76803031991972</v>
      </c>
      <c r="Y365" s="247">
        <v>53.949303310667716</v>
      </c>
      <c r="Z365" s="247">
        <v>19359.168000000005</v>
      </c>
    </row>
    <row r="366" spans="1:26" ht="12.75" x14ac:dyDescent="0.2">
      <c r="A366" s="269">
        <v>2889</v>
      </c>
      <c r="B366" s="269">
        <v>1</v>
      </c>
      <c r="C366" s="270" t="s">
        <v>502</v>
      </c>
      <c r="D366" s="271">
        <v>6</v>
      </c>
      <c r="E366" s="248">
        <v>628.9</v>
      </c>
      <c r="F366" s="247">
        <v>44969.292000000001</v>
      </c>
      <c r="G366" s="247">
        <v>43733.4</v>
      </c>
      <c r="H366" s="247">
        <v>152078.30000000002</v>
      </c>
      <c r="I366" s="247">
        <v>0</v>
      </c>
      <c r="J366" s="247">
        <v>0</v>
      </c>
      <c r="K366" s="247">
        <v>0</v>
      </c>
      <c r="L366" s="247">
        <v>0</v>
      </c>
      <c r="M366" s="247">
        <v>88702.69200000001</v>
      </c>
      <c r="N366" s="247">
        <v>152078.30000000002</v>
      </c>
      <c r="O366" s="172"/>
      <c r="P366" s="247">
        <v>71.504678009222459</v>
      </c>
      <c r="Q366" s="247">
        <v>69.539513436158373</v>
      </c>
      <c r="R366" s="247">
        <v>0</v>
      </c>
      <c r="S366" s="247">
        <v>0</v>
      </c>
      <c r="T366" s="248">
        <v>141.04419144538085</v>
      </c>
      <c r="U366" s="247">
        <v>241.81634600095407</v>
      </c>
      <c r="V366" s="247">
        <v>0</v>
      </c>
      <c r="W366" s="247">
        <v>0</v>
      </c>
      <c r="X366" s="247">
        <v>241.81634600095407</v>
      </c>
      <c r="Y366" s="247">
        <v>100.77215455557324</v>
      </c>
      <c r="Z366" s="247">
        <v>63375.608000000007</v>
      </c>
    </row>
    <row r="367" spans="1:26" ht="12.75" x14ac:dyDescent="0.2">
      <c r="A367" s="269">
        <v>2890</v>
      </c>
      <c r="B367" s="269">
        <v>1</v>
      </c>
      <c r="C367" s="270" t="s">
        <v>581</v>
      </c>
      <c r="D367" s="271">
        <v>6</v>
      </c>
      <c r="E367" s="248">
        <v>511.5</v>
      </c>
      <c r="F367" s="247">
        <v>103710.56</v>
      </c>
      <c r="G367" s="247">
        <v>35167.800000000003</v>
      </c>
      <c r="H367" s="247">
        <v>138878.35999999999</v>
      </c>
      <c r="I367" s="247">
        <v>0</v>
      </c>
      <c r="J367" s="247">
        <v>490482</v>
      </c>
      <c r="K367" s="247">
        <v>0</v>
      </c>
      <c r="L367" s="247">
        <v>490482</v>
      </c>
      <c r="M367" s="247">
        <v>629360.36</v>
      </c>
      <c r="N367" s="247">
        <v>629360.36</v>
      </c>
      <c r="O367" s="172"/>
      <c r="P367" s="247">
        <v>202.75769305962854</v>
      </c>
      <c r="Q367" s="247">
        <v>68.7542521994135</v>
      </c>
      <c r="R367" s="247">
        <v>0</v>
      </c>
      <c r="S367" s="247">
        <v>958.90909090909088</v>
      </c>
      <c r="T367" s="248">
        <v>1230.421036168133</v>
      </c>
      <c r="U367" s="247">
        <v>271.51194525904202</v>
      </c>
      <c r="V367" s="247">
        <v>0</v>
      </c>
      <c r="W367" s="247">
        <v>958.90909090909088</v>
      </c>
      <c r="X367" s="247">
        <v>1230.421036168133</v>
      </c>
      <c r="Y367" s="247">
        <v>0</v>
      </c>
      <c r="Z367" s="247">
        <v>0</v>
      </c>
    </row>
    <row r="368" spans="1:26" ht="12.75" x14ac:dyDescent="0.2">
      <c r="A368" s="269">
        <v>2895</v>
      </c>
      <c r="B368" s="269">
        <v>1</v>
      </c>
      <c r="C368" s="270" t="s">
        <v>509</v>
      </c>
      <c r="D368" s="271">
        <v>5</v>
      </c>
      <c r="E368" s="248">
        <v>1189.24</v>
      </c>
      <c r="F368" s="247">
        <v>105540.93800000001</v>
      </c>
      <c r="G368" s="247">
        <v>82155.600000000006</v>
      </c>
      <c r="H368" s="247">
        <v>288836.3</v>
      </c>
      <c r="I368" s="247">
        <v>0</v>
      </c>
      <c r="J368" s="247">
        <v>0</v>
      </c>
      <c r="K368" s="247">
        <v>0</v>
      </c>
      <c r="L368" s="247">
        <v>0</v>
      </c>
      <c r="M368" s="247">
        <v>187696.538</v>
      </c>
      <c r="N368" s="247">
        <v>288836.3</v>
      </c>
      <c r="O368" s="172"/>
      <c r="P368" s="247">
        <v>88.746542329555012</v>
      </c>
      <c r="Q368" s="247">
        <v>69.08243920487034</v>
      </c>
      <c r="R368" s="247">
        <v>0</v>
      </c>
      <c r="S368" s="247">
        <v>0</v>
      </c>
      <c r="T368" s="248">
        <v>157.82898153442534</v>
      </c>
      <c r="U368" s="247">
        <v>242.87469308129562</v>
      </c>
      <c r="V368" s="247">
        <v>0</v>
      </c>
      <c r="W368" s="247">
        <v>0</v>
      </c>
      <c r="X368" s="247">
        <v>242.87469308129562</v>
      </c>
      <c r="Y368" s="247">
        <v>85.045711546870265</v>
      </c>
      <c r="Z368" s="247">
        <v>101139.76199999999</v>
      </c>
    </row>
    <row r="369" spans="1:26" ht="12.75" x14ac:dyDescent="0.2">
      <c r="A369" s="269">
        <v>2897</v>
      </c>
      <c r="B369" s="269">
        <v>1</v>
      </c>
      <c r="C369" s="270" t="s">
        <v>554</v>
      </c>
      <c r="D369" s="271">
        <v>5</v>
      </c>
      <c r="E369" s="248">
        <v>1138.8200000000002</v>
      </c>
      <c r="F369" s="247">
        <v>26974.925999999999</v>
      </c>
      <c r="G369" s="247">
        <v>56404.388571428564</v>
      </c>
      <c r="H369" s="247">
        <v>198302.41988571431</v>
      </c>
      <c r="I369" s="247">
        <v>0</v>
      </c>
      <c r="J369" s="247">
        <v>0</v>
      </c>
      <c r="K369" s="247">
        <v>0</v>
      </c>
      <c r="L369" s="247">
        <v>0</v>
      </c>
      <c r="M369" s="247">
        <v>83379.314571428564</v>
      </c>
      <c r="N369" s="247">
        <v>198302.41988571431</v>
      </c>
      <c r="O369" s="172"/>
      <c r="P369" s="247">
        <v>23.686733636571184</v>
      </c>
      <c r="Q369" s="247">
        <v>49.528800487722869</v>
      </c>
      <c r="R369" s="247">
        <v>0</v>
      </c>
      <c r="S369" s="247">
        <v>0</v>
      </c>
      <c r="T369" s="248">
        <v>73.215534124294052</v>
      </c>
      <c r="U369" s="247">
        <v>174.12973067360451</v>
      </c>
      <c r="V369" s="247">
        <v>0</v>
      </c>
      <c r="W369" s="247">
        <v>0</v>
      </c>
      <c r="X369" s="247">
        <v>174.12973067360451</v>
      </c>
      <c r="Y369" s="247">
        <v>100.91419654931045</v>
      </c>
      <c r="Z369" s="247">
        <v>114923.10531428574</v>
      </c>
    </row>
    <row r="370" spans="1:26" ht="12.75" x14ac:dyDescent="0.2">
      <c r="A370" s="269">
        <v>2898</v>
      </c>
      <c r="B370" s="269">
        <v>1</v>
      </c>
      <c r="C370" s="270" t="s">
        <v>669</v>
      </c>
      <c r="D370" s="271">
        <v>6</v>
      </c>
      <c r="E370" s="248">
        <v>430.77</v>
      </c>
      <c r="F370" s="247">
        <v>31159.858</v>
      </c>
      <c r="G370" s="247">
        <v>30852.600000000002</v>
      </c>
      <c r="H370" s="247">
        <v>107230.6</v>
      </c>
      <c r="I370" s="247">
        <v>0</v>
      </c>
      <c r="J370" s="247">
        <v>0</v>
      </c>
      <c r="K370" s="247">
        <v>0</v>
      </c>
      <c r="L370" s="247">
        <v>0</v>
      </c>
      <c r="M370" s="247">
        <v>62012.457999999999</v>
      </c>
      <c r="N370" s="247">
        <v>107230.6</v>
      </c>
      <c r="O370" s="172"/>
      <c r="P370" s="247">
        <v>72.335255472758092</v>
      </c>
      <c r="Q370" s="247">
        <v>71.621979246465642</v>
      </c>
      <c r="R370" s="247">
        <v>0</v>
      </c>
      <c r="S370" s="247">
        <v>0</v>
      </c>
      <c r="T370" s="248">
        <v>143.95723471922372</v>
      </c>
      <c r="U370" s="247">
        <v>248.92773405761778</v>
      </c>
      <c r="V370" s="247">
        <v>0</v>
      </c>
      <c r="W370" s="247">
        <v>0</v>
      </c>
      <c r="X370" s="247">
        <v>248.92773405761778</v>
      </c>
      <c r="Y370" s="247">
        <v>104.97049933839406</v>
      </c>
      <c r="Z370" s="247">
        <v>45218.142000000007</v>
      </c>
    </row>
    <row r="371" spans="1:26" ht="12.75" x14ac:dyDescent="0.2">
      <c r="A371" s="269">
        <v>2899</v>
      </c>
      <c r="B371" s="269">
        <v>1</v>
      </c>
      <c r="C371" s="270" t="s">
        <v>446</v>
      </c>
      <c r="D371" s="271">
        <v>5</v>
      </c>
      <c r="E371" s="248">
        <v>1472.64</v>
      </c>
      <c r="F371" s="247">
        <v>125756.54199999999</v>
      </c>
      <c r="G371" s="247">
        <v>102449.4</v>
      </c>
      <c r="H371" s="247">
        <v>358022.6</v>
      </c>
      <c r="I371" s="247">
        <v>0</v>
      </c>
      <c r="J371" s="247">
        <v>449247</v>
      </c>
      <c r="K371" s="247">
        <v>0</v>
      </c>
      <c r="L371" s="247">
        <v>449247</v>
      </c>
      <c r="M371" s="247">
        <v>677452.94200000004</v>
      </c>
      <c r="N371" s="247">
        <v>807269.6</v>
      </c>
      <c r="O371" s="172"/>
      <c r="P371" s="247">
        <v>85.39530503042154</v>
      </c>
      <c r="Q371" s="247">
        <v>69.568529986962176</v>
      </c>
      <c r="R371" s="247">
        <v>0</v>
      </c>
      <c r="S371" s="247">
        <v>305.06233702737939</v>
      </c>
      <c r="T371" s="248">
        <v>460.02617204476314</v>
      </c>
      <c r="U371" s="247">
        <v>243.11617231638414</v>
      </c>
      <c r="V371" s="247">
        <v>0</v>
      </c>
      <c r="W371" s="247">
        <v>305.06233702737939</v>
      </c>
      <c r="X371" s="247">
        <v>548.17850934376349</v>
      </c>
      <c r="Y371" s="247">
        <v>88.152337299000379</v>
      </c>
      <c r="Z371" s="247">
        <v>129816.65799999994</v>
      </c>
    </row>
    <row r="372" spans="1:26" ht="12.75" x14ac:dyDescent="0.2">
      <c r="A372" s="269">
        <v>2902</v>
      </c>
      <c r="B372" s="269">
        <v>1</v>
      </c>
      <c r="C372" s="270" t="s">
        <v>334</v>
      </c>
      <c r="D372" s="271">
        <v>6</v>
      </c>
      <c r="E372" s="248">
        <v>519.11</v>
      </c>
      <c r="F372" s="247">
        <v>77167.31</v>
      </c>
      <c r="G372" s="247">
        <v>35842.199999999997</v>
      </c>
      <c r="H372" s="247">
        <v>125536.29999999999</v>
      </c>
      <c r="I372" s="247">
        <v>0</v>
      </c>
      <c r="J372" s="247">
        <v>0</v>
      </c>
      <c r="K372" s="247">
        <v>0</v>
      </c>
      <c r="L372" s="247">
        <v>0</v>
      </c>
      <c r="M372" s="247">
        <v>113009.51</v>
      </c>
      <c r="N372" s="247">
        <v>125536.29999999999</v>
      </c>
      <c r="O372" s="172"/>
      <c r="P372" s="247">
        <v>148.65309857255687</v>
      </c>
      <c r="Q372" s="247">
        <v>69.045481689815247</v>
      </c>
      <c r="R372" s="247">
        <v>0</v>
      </c>
      <c r="S372" s="247">
        <v>0</v>
      </c>
      <c r="T372" s="248">
        <v>217.69858026237213</v>
      </c>
      <c r="U372" s="247">
        <v>241.82986264953476</v>
      </c>
      <c r="V372" s="247">
        <v>0</v>
      </c>
      <c r="W372" s="247">
        <v>0</v>
      </c>
      <c r="X372" s="247">
        <v>241.82986264953476</v>
      </c>
      <c r="Y372" s="247">
        <v>24.131282387162631</v>
      </c>
      <c r="Z372" s="247">
        <v>12526.789999999994</v>
      </c>
    </row>
    <row r="373" spans="1:26" ht="12.75" x14ac:dyDescent="0.2">
      <c r="A373" s="172">
        <v>2903</v>
      </c>
      <c r="B373" s="269">
        <v>1</v>
      </c>
      <c r="C373" s="173" t="s">
        <v>503</v>
      </c>
      <c r="D373" s="179">
        <v>6</v>
      </c>
      <c r="E373" s="248">
        <v>488.95</v>
      </c>
      <c r="F373" s="247">
        <v>75189.483999999997</v>
      </c>
      <c r="G373" s="247">
        <v>33895.799999999996</v>
      </c>
      <c r="H373" s="247">
        <v>118962.90000000001</v>
      </c>
      <c r="I373" s="247">
        <v>0</v>
      </c>
      <c r="J373" s="247">
        <v>0</v>
      </c>
      <c r="K373" s="247">
        <v>0</v>
      </c>
      <c r="L373" s="247">
        <v>0</v>
      </c>
      <c r="M373" s="247">
        <v>109085.28399999999</v>
      </c>
      <c r="N373" s="247">
        <v>118962.90000000001</v>
      </c>
      <c r="O373" s="172"/>
      <c r="P373" s="247">
        <v>153.7774496369772</v>
      </c>
      <c r="Q373" s="247">
        <v>69.323652725227518</v>
      </c>
      <c r="R373" s="247">
        <v>0</v>
      </c>
      <c r="S373" s="247">
        <v>0</v>
      </c>
      <c r="T373" s="248">
        <v>223.1011023622047</v>
      </c>
      <c r="U373" s="247">
        <v>243.30279169649251</v>
      </c>
      <c r="V373" s="247">
        <v>0</v>
      </c>
      <c r="W373" s="247">
        <v>0</v>
      </c>
      <c r="X373" s="247">
        <v>243.30279169649251</v>
      </c>
      <c r="Y373" s="247">
        <v>20.20168933428781</v>
      </c>
      <c r="Z373" s="247">
        <v>9877.6160000000236</v>
      </c>
    </row>
    <row r="374" spans="1:26" ht="12.75" x14ac:dyDescent="0.2">
      <c r="A374" s="172">
        <v>2904</v>
      </c>
      <c r="B374" s="269">
        <v>1</v>
      </c>
      <c r="C374" s="173" t="s">
        <v>656</v>
      </c>
      <c r="D374" s="179">
        <v>6</v>
      </c>
      <c r="E374" s="248">
        <v>767.47</v>
      </c>
      <c r="F374" s="247">
        <v>51227.01</v>
      </c>
      <c r="G374" s="247">
        <v>53181.599999999999</v>
      </c>
      <c r="H374" s="247">
        <v>187300.5</v>
      </c>
      <c r="I374" s="247">
        <v>0</v>
      </c>
      <c r="J374" s="247">
        <v>0</v>
      </c>
      <c r="K374" s="247">
        <v>0</v>
      </c>
      <c r="L374" s="247">
        <v>0</v>
      </c>
      <c r="M374" s="247">
        <v>104408.61</v>
      </c>
      <c r="N374" s="247">
        <v>187300.5</v>
      </c>
      <c r="O374" s="172"/>
      <c r="P374" s="247">
        <v>66.747898940675199</v>
      </c>
      <c r="Q374" s="247">
        <v>69.29469555813256</v>
      </c>
      <c r="R374" s="247">
        <v>0</v>
      </c>
      <c r="S374" s="247">
        <v>0</v>
      </c>
      <c r="T374" s="248">
        <v>136.04259449880777</v>
      </c>
      <c r="U374" s="247">
        <v>244.0492787991713</v>
      </c>
      <c r="V374" s="247">
        <v>0</v>
      </c>
      <c r="W374" s="247">
        <v>0</v>
      </c>
      <c r="X374" s="247">
        <v>244.0492787991713</v>
      </c>
      <c r="Y374" s="247">
        <v>108.00668430036353</v>
      </c>
      <c r="Z374" s="247">
        <v>82891.89</v>
      </c>
    </row>
    <row r="375" spans="1:26" ht="12.75" x14ac:dyDescent="0.2">
      <c r="A375" s="277">
        <v>2905</v>
      </c>
      <c r="B375" s="277">
        <v>1</v>
      </c>
      <c r="C375" s="278" t="s">
        <v>279</v>
      </c>
      <c r="D375" s="279">
        <v>5</v>
      </c>
      <c r="E375" s="248">
        <v>1829.13</v>
      </c>
      <c r="F375" s="247">
        <v>152360</v>
      </c>
      <c r="G375" s="247">
        <v>124923.59999999999</v>
      </c>
      <c r="H375" s="247">
        <v>438545.60000000003</v>
      </c>
      <c r="I375" s="247">
        <v>0</v>
      </c>
      <c r="J375" s="247">
        <v>0</v>
      </c>
      <c r="K375" s="247">
        <v>0</v>
      </c>
      <c r="L375" s="247">
        <v>0</v>
      </c>
      <c r="M375" s="247">
        <v>277283.59999999998</v>
      </c>
      <c r="N375" s="247">
        <v>438545.60000000003</v>
      </c>
      <c r="O375" s="172"/>
      <c r="P375" s="247">
        <v>83.296430543482415</v>
      </c>
      <c r="Q375" s="247">
        <v>68.2967312328812</v>
      </c>
      <c r="R375" s="247">
        <v>0</v>
      </c>
      <c r="S375" s="247">
        <v>0</v>
      </c>
      <c r="T375" s="248">
        <v>151.59316177636362</v>
      </c>
      <c r="U375" s="247">
        <v>239.7563869161842</v>
      </c>
      <c r="V375" s="247">
        <v>0</v>
      </c>
      <c r="W375" s="247">
        <v>0</v>
      </c>
      <c r="X375" s="247">
        <v>239.7563869161842</v>
      </c>
      <c r="Y375" s="247">
        <v>88.163225139820597</v>
      </c>
      <c r="Z375" s="247">
        <v>161262.00000000006</v>
      </c>
    </row>
    <row r="376" spans="1:26" ht="12.75" hidden="1" x14ac:dyDescent="0.2">
      <c r="A376" s="172">
        <v>4000</v>
      </c>
      <c r="B376" s="172">
        <v>7</v>
      </c>
      <c r="C376" s="173" t="s">
        <v>673</v>
      </c>
      <c r="D376" s="179">
        <v>7</v>
      </c>
      <c r="E376" s="248">
        <v>110</v>
      </c>
      <c r="F376" s="247">
        <v>0</v>
      </c>
      <c r="G376" s="247">
        <v>0</v>
      </c>
      <c r="H376" s="247">
        <v>0</v>
      </c>
      <c r="I376" s="247">
        <v>0</v>
      </c>
      <c r="J376" s="247">
        <v>0</v>
      </c>
      <c r="K376" s="247">
        <v>0</v>
      </c>
      <c r="L376" s="247">
        <v>0</v>
      </c>
      <c r="M376" s="247">
        <v>0</v>
      </c>
      <c r="N376" s="247">
        <v>0</v>
      </c>
      <c r="O376" s="172"/>
      <c r="P376" s="247">
        <v>0</v>
      </c>
      <c r="Q376" s="247">
        <v>0</v>
      </c>
      <c r="R376" s="247">
        <v>0</v>
      </c>
      <c r="S376" s="247">
        <v>0</v>
      </c>
      <c r="T376" s="248">
        <v>0</v>
      </c>
      <c r="U376" s="247">
        <v>0</v>
      </c>
      <c r="V376" s="247">
        <v>0</v>
      </c>
      <c r="W376" s="247">
        <v>0</v>
      </c>
      <c r="X376" s="247">
        <v>0</v>
      </c>
      <c r="Y376" s="247">
        <v>0</v>
      </c>
      <c r="Z376" s="247">
        <v>0</v>
      </c>
    </row>
    <row r="377" spans="1:26" ht="12.75" hidden="1" x14ac:dyDescent="0.2">
      <c r="A377" s="172">
        <v>4001</v>
      </c>
      <c r="B377" s="172">
        <v>7</v>
      </c>
      <c r="C377" s="173" t="s">
        <v>415</v>
      </c>
      <c r="D377" s="179">
        <v>7</v>
      </c>
      <c r="E377" s="248">
        <v>212</v>
      </c>
      <c r="F377" s="247">
        <v>0</v>
      </c>
      <c r="G377" s="247">
        <v>0</v>
      </c>
      <c r="H377" s="247">
        <v>0</v>
      </c>
      <c r="I377" s="247">
        <v>0</v>
      </c>
      <c r="J377" s="247">
        <v>0</v>
      </c>
      <c r="K377" s="247">
        <v>0</v>
      </c>
      <c r="L377" s="247">
        <v>0</v>
      </c>
      <c r="M377" s="247">
        <v>0</v>
      </c>
      <c r="N377" s="247">
        <v>0</v>
      </c>
      <c r="O377" s="172"/>
      <c r="P377" s="247">
        <v>0</v>
      </c>
      <c r="Q377" s="247">
        <v>0</v>
      </c>
      <c r="R377" s="247">
        <v>0</v>
      </c>
      <c r="S377" s="247">
        <v>0</v>
      </c>
      <c r="T377" s="248">
        <v>0</v>
      </c>
      <c r="U377" s="247">
        <v>0</v>
      </c>
      <c r="V377" s="247">
        <v>0</v>
      </c>
      <c r="W377" s="247">
        <v>0</v>
      </c>
      <c r="X377" s="247">
        <v>0</v>
      </c>
      <c r="Y377" s="247">
        <v>0</v>
      </c>
      <c r="Z377" s="247">
        <v>0</v>
      </c>
    </row>
    <row r="378" spans="1:26" ht="12.75" hidden="1" x14ac:dyDescent="0.2">
      <c r="A378" s="172">
        <v>4003</v>
      </c>
      <c r="B378" s="172">
        <v>7</v>
      </c>
      <c r="C378" s="173" t="s">
        <v>675</v>
      </c>
      <c r="D378" s="179">
        <v>7</v>
      </c>
      <c r="E378" s="248">
        <v>122</v>
      </c>
      <c r="F378" s="247">
        <v>0</v>
      </c>
      <c r="G378" s="247">
        <v>0</v>
      </c>
      <c r="H378" s="247">
        <v>0</v>
      </c>
      <c r="I378" s="247">
        <v>0</v>
      </c>
      <c r="J378" s="247">
        <v>0</v>
      </c>
      <c r="K378" s="247">
        <v>0</v>
      </c>
      <c r="L378" s="247">
        <v>0</v>
      </c>
      <c r="M378" s="247">
        <v>0</v>
      </c>
      <c r="N378" s="247">
        <v>0</v>
      </c>
      <c r="O378" s="172"/>
      <c r="P378" s="247">
        <v>0</v>
      </c>
      <c r="Q378" s="247">
        <v>0</v>
      </c>
      <c r="R378" s="247">
        <v>0</v>
      </c>
      <c r="S378" s="247">
        <v>0</v>
      </c>
      <c r="T378" s="248">
        <v>0</v>
      </c>
      <c r="U378" s="247">
        <v>0</v>
      </c>
      <c r="V378" s="247">
        <v>0</v>
      </c>
      <c r="W378" s="247">
        <v>0</v>
      </c>
      <c r="X378" s="247">
        <v>0</v>
      </c>
      <c r="Y378" s="247">
        <v>0</v>
      </c>
      <c r="Z378" s="247">
        <v>0</v>
      </c>
    </row>
    <row r="379" spans="1:26" ht="12.75" hidden="1" x14ac:dyDescent="0.2">
      <c r="A379" s="172">
        <v>4004</v>
      </c>
      <c r="B379" s="172">
        <v>7</v>
      </c>
      <c r="C379" s="173" t="s">
        <v>676</v>
      </c>
      <c r="D379" s="179">
        <v>7</v>
      </c>
      <c r="E379" s="248">
        <v>145</v>
      </c>
      <c r="F379" s="247">
        <v>0</v>
      </c>
      <c r="G379" s="247">
        <v>0</v>
      </c>
      <c r="H379" s="247">
        <v>0</v>
      </c>
      <c r="I379" s="247">
        <v>0</v>
      </c>
      <c r="J379" s="247">
        <v>0</v>
      </c>
      <c r="K379" s="247">
        <v>0</v>
      </c>
      <c r="L379" s="247">
        <v>0</v>
      </c>
      <c r="M379" s="247">
        <v>0</v>
      </c>
      <c r="N379" s="247">
        <v>0</v>
      </c>
      <c r="O379" s="172"/>
      <c r="P379" s="247">
        <v>0</v>
      </c>
      <c r="Q379" s="247">
        <v>0</v>
      </c>
      <c r="R379" s="247">
        <v>0</v>
      </c>
      <c r="S379" s="247">
        <v>0</v>
      </c>
      <c r="T379" s="248">
        <v>0</v>
      </c>
      <c r="U379" s="247">
        <v>0</v>
      </c>
      <c r="V379" s="247">
        <v>0</v>
      </c>
      <c r="W379" s="247">
        <v>0</v>
      </c>
      <c r="X379" s="247">
        <v>0</v>
      </c>
      <c r="Y379" s="247">
        <v>0</v>
      </c>
      <c r="Z379" s="247">
        <v>0</v>
      </c>
    </row>
    <row r="380" spans="1:26" ht="12.75" hidden="1" x14ac:dyDescent="0.2">
      <c r="A380" s="172">
        <v>4005</v>
      </c>
      <c r="B380" s="172">
        <v>7</v>
      </c>
      <c r="C380" s="173" t="s">
        <v>247</v>
      </c>
      <c r="D380" s="179">
        <v>7</v>
      </c>
      <c r="E380" s="248">
        <v>18</v>
      </c>
      <c r="F380" s="247">
        <v>0</v>
      </c>
      <c r="G380" s="247">
        <v>0</v>
      </c>
      <c r="H380" s="247">
        <v>0</v>
      </c>
      <c r="I380" s="247">
        <v>0</v>
      </c>
      <c r="J380" s="247">
        <v>0</v>
      </c>
      <c r="K380" s="247">
        <v>0</v>
      </c>
      <c r="L380" s="247">
        <v>0</v>
      </c>
      <c r="M380" s="247">
        <v>0</v>
      </c>
      <c r="N380" s="247">
        <v>0</v>
      </c>
      <c r="O380" s="172"/>
      <c r="P380" s="247">
        <v>0</v>
      </c>
      <c r="Q380" s="247">
        <v>0</v>
      </c>
      <c r="R380" s="247">
        <v>0</v>
      </c>
      <c r="S380" s="247">
        <v>0</v>
      </c>
      <c r="T380" s="248">
        <v>0</v>
      </c>
      <c r="U380" s="247">
        <v>0</v>
      </c>
      <c r="V380" s="247">
        <v>0</v>
      </c>
      <c r="W380" s="247">
        <v>0</v>
      </c>
      <c r="X380" s="247">
        <v>0</v>
      </c>
      <c r="Y380" s="247">
        <v>0</v>
      </c>
      <c r="Z380" s="247">
        <v>0</v>
      </c>
    </row>
    <row r="381" spans="1:26" ht="12.75" hidden="1" x14ac:dyDescent="0.2">
      <c r="A381" s="172">
        <v>4007</v>
      </c>
      <c r="B381" s="172">
        <v>7</v>
      </c>
      <c r="C381" s="173" t="s">
        <v>668</v>
      </c>
      <c r="D381" s="179">
        <v>7</v>
      </c>
      <c r="E381" s="248">
        <v>112</v>
      </c>
      <c r="F381" s="247">
        <v>0</v>
      </c>
      <c r="G381" s="247">
        <v>0</v>
      </c>
      <c r="H381" s="247">
        <v>0</v>
      </c>
      <c r="I381" s="247">
        <v>0</v>
      </c>
      <c r="J381" s="247">
        <v>0</v>
      </c>
      <c r="K381" s="247">
        <v>0</v>
      </c>
      <c r="L381" s="247">
        <v>0</v>
      </c>
      <c r="M381" s="247">
        <v>0</v>
      </c>
      <c r="N381" s="247">
        <v>0</v>
      </c>
      <c r="O381" s="172"/>
      <c r="P381" s="247">
        <v>0</v>
      </c>
      <c r="Q381" s="247">
        <v>0</v>
      </c>
      <c r="R381" s="247">
        <v>0</v>
      </c>
      <c r="S381" s="247">
        <v>0</v>
      </c>
      <c r="T381" s="248">
        <v>0</v>
      </c>
      <c r="U381" s="247">
        <v>0</v>
      </c>
      <c r="V381" s="247">
        <v>0</v>
      </c>
      <c r="W381" s="247">
        <v>0</v>
      </c>
      <c r="X381" s="247">
        <v>0</v>
      </c>
      <c r="Y381" s="247">
        <v>0</v>
      </c>
      <c r="Z381" s="247">
        <v>0</v>
      </c>
    </row>
    <row r="382" spans="1:26" ht="12.75" hidden="1" x14ac:dyDescent="0.2">
      <c r="A382" s="172">
        <v>4008</v>
      </c>
      <c r="B382" s="172">
        <v>7</v>
      </c>
      <c r="C382" s="173" t="s">
        <v>582</v>
      </c>
      <c r="D382" s="179">
        <v>7</v>
      </c>
      <c r="E382" s="248">
        <v>612</v>
      </c>
      <c r="F382" s="247">
        <v>0</v>
      </c>
      <c r="G382" s="247">
        <v>0</v>
      </c>
      <c r="H382" s="247">
        <v>0</v>
      </c>
      <c r="I382" s="247">
        <v>0</v>
      </c>
      <c r="J382" s="247">
        <v>0</v>
      </c>
      <c r="K382" s="247">
        <v>0</v>
      </c>
      <c r="L382" s="247">
        <v>0</v>
      </c>
      <c r="M382" s="247">
        <v>0</v>
      </c>
      <c r="N382" s="247">
        <v>0</v>
      </c>
      <c r="O382" s="172"/>
      <c r="P382" s="247">
        <v>0</v>
      </c>
      <c r="Q382" s="247">
        <v>0</v>
      </c>
      <c r="R382" s="247">
        <v>0</v>
      </c>
      <c r="S382" s="247">
        <v>0</v>
      </c>
      <c r="T382" s="248">
        <v>0</v>
      </c>
      <c r="U382" s="247">
        <v>0</v>
      </c>
      <c r="V382" s="247">
        <v>0</v>
      </c>
      <c r="W382" s="247">
        <v>0</v>
      </c>
      <c r="X382" s="247">
        <v>0</v>
      </c>
      <c r="Y382" s="247">
        <v>0</v>
      </c>
      <c r="Z382" s="247">
        <v>0</v>
      </c>
    </row>
    <row r="383" spans="1:26" ht="12.75" hidden="1" x14ac:dyDescent="0.2">
      <c r="A383" s="172">
        <v>4011</v>
      </c>
      <c r="B383" s="172">
        <v>7</v>
      </c>
      <c r="C383" s="173" t="s">
        <v>552</v>
      </c>
      <c r="D383" s="179">
        <v>7</v>
      </c>
      <c r="E383" s="248">
        <v>210</v>
      </c>
      <c r="F383" s="247">
        <v>0</v>
      </c>
      <c r="G383" s="247">
        <v>0</v>
      </c>
      <c r="H383" s="247">
        <v>0</v>
      </c>
      <c r="I383" s="247">
        <v>0</v>
      </c>
      <c r="J383" s="247">
        <v>0</v>
      </c>
      <c r="K383" s="247">
        <v>0</v>
      </c>
      <c r="L383" s="247">
        <v>0</v>
      </c>
      <c r="M383" s="247">
        <v>0</v>
      </c>
      <c r="N383" s="247">
        <v>0</v>
      </c>
      <c r="O383" s="172"/>
      <c r="P383" s="247">
        <v>0</v>
      </c>
      <c r="Q383" s="247">
        <v>0</v>
      </c>
      <c r="R383" s="247">
        <v>0</v>
      </c>
      <c r="S383" s="247">
        <v>0</v>
      </c>
      <c r="T383" s="248">
        <v>0</v>
      </c>
      <c r="U383" s="247">
        <v>0</v>
      </c>
      <c r="V383" s="247">
        <v>0</v>
      </c>
      <c r="W383" s="247">
        <v>0</v>
      </c>
      <c r="X383" s="247">
        <v>0</v>
      </c>
      <c r="Y383" s="247">
        <v>0</v>
      </c>
      <c r="Z383" s="247">
        <v>0</v>
      </c>
    </row>
    <row r="384" spans="1:26" ht="12.75" hidden="1" x14ac:dyDescent="0.2">
      <c r="A384" s="172">
        <v>4015</v>
      </c>
      <c r="B384" s="172">
        <v>7</v>
      </c>
      <c r="C384" s="173" t="s">
        <v>627</v>
      </c>
      <c r="D384" s="179">
        <v>7</v>
      </c>
      <c r="E384" s="248">
        <v>784</v>
      </c>
      <c r="F384" s="247">
        <v>0</v>
      </c>
      <c r="G384" s="247">
        <v>0</v>
      </c>
      <c r="H384" s="247">
        <v>0</v>
      </c>
      <c r="I384" s="247">
        <v>0</v>
      </c>
      <c r="J384" s="247">
        <v>0</v>
      </c>
      <c r="K384" s="247">
        <v>0</v>
      </c>
      <c r="L384" s="247">
        <v>0</v>
      </c>
      <c r="M384" s="247">
        <v>0</v>
      </c>
      <c r="N384" s="247">
        <v>0</v>
      </c>
      <c r="O384" s="172"/>
      <c r="P384" s="247">
        <v>0</v>
      </c>
      <c r="Q384" s="247">
        <v>0</v>
      </c>
      <c r="R384" s="247">
        <v>0</v>
      </c>
      <c r="S384" s="247">
        <v>0</v>
      </c>
      <c r="T384" s="248">
        <v>0</v>
      </c>
      <c r="U384" s="247">
        <v>0</v>
      </c>
      <c r="V384" s="247">
        <v>0</v>
      </c>
      <c r="W384" s="247">
        <v>0</v>
      </c>
      <c r="X384" s="247">
        <v>0</v>
      </c>
      <c r="Y384" s="247">
        <v>0</v>
      </c>
      <c r="Z384" s="247">
        <v>0</v>
      </c>
    </row>
    <row r="385" spans="1:26" ht="12.75" hidden="1" x14ac:dyDescent="0.2">
      <c r="A385" s="172">
        <v>4016</v>
      </c>
      <c r="B385" s="172">
        <v>7</v>
      </c>
      <c r="C385" s="173" t="s">
        <v>557</v>
      </c>
      <c r="D385" s="179">
        <v>7</v>
      </c>
      <c r="E385" s="248">
        <v>205</v>
      </c>
      <c r="F385" s="247">
        <v>0</v>
      </c>
      <c r="G385" s="247">
        <v>0</v>
      </c>
      <c r="H385" s="247">
        <v>0</v>
      </c>
      <c r="I385" s="247">
        <v>0</v>
      </c>
      <c r="J385" s="247">
        <v>0</v>
      </c>
      <c r="K385" s="247">
        <v>0</v>
      </c>
      <c r="L385" s="247">
        <v>0</v>
      </c>
      <c r="M385" s="247">
        <v>0</v>
      </c>
      <c r="N385" s="247">
        <v>0</v>
      </c>
      <c r="O385" s="172"/>
      <c r="P385" s="247">
        <v>0</v>
      </c>
      <c r="Q385" s="247">
        <v>0</v>
      </c>
      <c r="R385" s="247">
        <v>0</v>
      </c>
      <c r="S385" s="247">
        <v>0</v>
      </c>
      <c r="T385" s="248">
        <v>0</v>
      </c>
      <c r="U385" s="247">
        <v>0</v>
      </c>
      <c r="V385" s="247">
        <v>0</v>
      </c>
      <c r="W385" s="247">
        <v>0</v>
      </c>
      <c r="X385" s="247">
        <v>0</v>
      </c>
      <c r="Y385" s="247">
        <v>0</v>
      </c>
      <c r="Z385" s="247">
        <v>0</v>
      </c>
    </row>
    <row r="386" spans="1:26" ht="12.75" hidden="1" x14ac:dyDescent="0.2">
      <c r="A386" s="172">
        <v>4017</v>
      </c>
      <c r="B386" s="172">
        <v>7</v>
      </c>
      <c r="C386" s="173" t="s">
        <v>347</v>
      </c>
      <c r="D386" s="179">
        <v>7</v>
      </c>
      <c r="E386" s="248">
        <v>3124</v>
      </c>
      <c r="F386" s="247">
        <v>0</v>
      </c>
      <c r="G386" s="247">
        <v>0</v>
      </c>
      <c r="H386" s="247">
        <v>0</v>
      </c>
      <c r="I386" s="247">
        <v>0</v>
      </c>
      <c r="J386" s="247">
        <v>0</v>
      </c>
      <c r="K386" s="247">
        <v>0</v>
      </c>
      <c r="L386" s="247">
        <v>0</v>
      </c>
      <c r="M386" s="247">
        <v>0</v>
      </c>
      <c r="N386" s="247">
        <v>0</v>
      </c>
      <c r="O386" s="172"/>
      <c r="P386" s="247">
        <v>0</v>
      </c>
      <c r="Q386" s="247">
        <v>0</v>
      </c>
      <c r="R386" s="247">
        <v>0</v>
      </c>
      <c r="S386" s="247">
        <v>0</v>
      </c>
      <c r="T386" s="248">
        <v>0</v>
      </c>
      <c r="U386" s="247">
        <v>0</v>
      </c>
      <c r="V386" s="247">
        <v>0</v>
      </c>
      <c r="W386" s="247">
        <v>0</v>
      </c>
      <c r="X386" s="247">
        <v>0</v>
      </c>
      <c r="Y386" s="247">
        <v>0</v>
      </c>
      <c r="Z386" s="247">
        <v>0</v>
      </c>
    </row>
    <row r="387" spans="1:26" ht="12.75" hidden="1" x14ac:dyDescent="0.2">
      <c r="A387" s="172">
        <v>4018</v>
      </c>
      <c r="B387" s="172">
        <v>7</v>
      </c>
      <c r="C387" s="173" t="s">
        <v>580</v>
      </c>
      <c r="D387" s="179">
        <v>7</v>
      </c>
      <c r="E387" s="248">
        <v>410</v>
      </c>
      <c r="F387" s="247">
        <v>0</v>
      </c>
      <c r="G387" s="247">
        <v>0</v>
      </c>
      <c r="H387" s="247">
        <v>0</v>
      </c>
      <c r="I387" s="247">
        <v>0</v>
      </c>
      <c r="J387" s="247">
        <v>0</v>
      </c>
      <c r="K387" s="247">
        <v>0</v>
      </c>
      <c r="L387" s="247">
        <v>0</v>
      </c>
      <c r="M387" s="247">
        <v>0</v>
      </c>
      <c r="N387" s="247">
        <v>0</v>
      </c>
      <c r="O387" s="172"/>
      <c r="P387" s="247">
        <v>0</v>
      </c>
      <c r="Q387" s="247">
        <v>0</v>
      </c>
      <c r="R387" s="247">
        <v>0</v>
      </c>
      <c r="S387" s="247">
        <v>0</v>
      </c>
      <c r="T387" s="248">
        <v>0</v>
      </c>
      <c r="U387" s="247">
        <v>0</v>
      </c>
      <c r="V387" s="247">
        <v>0</v>
      </c>
      <c r="W387" s="247">
        <v>0</v>
      </c>
      <c r="X387" s="247">
        <v>0</v>
      </c>
      <c r="Y387" s="247">
        <v>0</v>
      </c>
      <c r="Z387" s="247">
        <v>0</v>
      </c>
    </row>
    <row r="388" spans="1:26" ht="12.75" hidden="1" x14ac:dyDescent="0.2">
      <c r="A388" s="172">
        <v>4020</v>
      </c>
      <c r="B388" s="172">
        <v>7</v>
      </c>
      <c r="C388" s="173" t="s">
        <v>592</v>
      </c>
      <c r="D388" s="179">
        <v>7</v>
      </c>
      <c r="E388" s="248">
        <v>1251</v>
      </c>
      <c r="F388" s="247">
        <v>0</v>
      </c>
      <c r="G388" s="247">
        <v>0</v>
      </c>
      <c r="H388" s="247">
        <v>0</v>
      </c>
      <c r="I388" s="247">
        <v>0</v>
      </c>
      <c r="J388" s="247">
        <v>0</v>
      </c>
      <c r="K388" s="247">
        <v>0</v>
      </c>
      <c r="L388" s="247">
        <v>0</v>
      </c>
      <c r="M388" s="247">
        <v>0</v>
      </c>
      <c r="N388" s="247">
        <v>0</v>
      </c>
      <c r="O388" s="172"/>
      <c r="P388" s="247">
        <v>0</v>
      </c>
      <c r="Q388" s="247">
        <v>0</v>
      </c>
      <c r="R388" s="247">
        <v>0</v>
      </c>
      <c r="S388" s="247">
        <v>0</v>
      </c>
      <c r="T388" s="248">
        <v>0</v>
      </c>
      <c r="U388" s="247">
        <v>0</v>
      </c>
      <c r="V388" s="247">
        <v>0</v>
      </c>
      <c r="W388" s="247">
        <v>0</v>
      </c>
      <c r="X388" s="247">
        <v>0</v>
      </c>
      <c r="Y388" s="247">
        <v>0</v>
      </c>
      <c r="Z388" s="247">
        <v>0</v>
      </c>
    </row>
    <row r="389" spans="1:26" ht="12.75" hidden="1" x14ac:dyDescent="0.2">
      <c r="A389" s="172">
        <v>4025</v>
      </c>
      <c r="B389" s="172">
        <v>7</v>
      </c>
      <c r="C389" s="173" t="s">
        <v>598</v>
      </c>
      <c r="D389" s="179">
        <v>7</v>
      </c>
      <c r="E389" s="248">
        <v>147</v>
      </c>
      <c r="F389" s="247">
        <v>0</v>
      </c>
      <c r="G389" s="247">
        <v>0</v>
      </c>
      <c r="H389" s="247">
        <v>0</v>
      </c>
      <c r="I389" s="247">
        <v>0</v>
      </c>
      <c r="J389" s="247">
        <v>0</v>
      </c>
      <c r="K389" s="247">
        <v>0</v>
      </c>
      <c r="L389" s="247">
        <v>0</v>
      </c>
      <c r="M389" s="247">
        <v>0</v>
      </c>
      <c r="N389" s="247">
        <v>0</v>
      </c>
      <c r="O389" s="172"/>
      <c r="P389" s="247">
        <v>0</v>
      </c>
      <c r="Q389" s="247">
        <v>0</v>
      </c>
      <c r="R389" s="247">
        <v>0</v>
      </c>
      <c r="S389" s="247">
        <v>0</v>
      </c>
      <c r="T389" s="248">
        <v>0</v>
      </c>
      <c r="U389" s="247">
        <v>0</v>
      </c>
      <c r="V389" s="247">
        <v>0</v>
      </c>
      <c r="W389" s="247">
        <v>0</v>
      </c>
      <c r="X389" s="247">
        <v>0</v>
      </c>
      <c r="Y389" s="247">
        <v>0</v>
      </c>
      <c r="Z389" s="247">
        <v>0</v>
      </c>
    </row>
    <row r="390" spans="1:26" ht="12.75" hidden="1" x14ac:dyDescent="0.2">
      <c r="A390" s="172">
        <v>4026</v>
      </c>
      <c r="B390" s="172">
        <v>7</v>
      </c>
      <c r="C390" s="173" t="s">
        <v>679</v>
      </c>
      <c r="D390" s="179">
        <v>7</v>
      </c>
      <c r="E390" s="248">
        <v>159</v>
      </c>
      <c r="F390" s="247">
        <v>0</v>
      </c>
      <c r="G390" s="247">
        <v>0</v>
      </c>
      <c r="H390" s="247">
        <v>0</v>
      </c>
      <c r="I390" s="247">
        <v>0</v>
      </c>
      <c r="J390" s="247">
        <v>0</v>
      </c>
      <c r="K390" s="247">
        <v>0</v>
      </c>
      <c r="L390" s="247">
        <v>0</v>
      </c>
      <c r="M390" s="247">
        <v>0</v>
      </c>
      <c r="N390" s="247">
        <v>0</v>
      </c>
      <c r="O390" s="172"/>
      <c r="P390" s="247">
        <v>0</v>
      </c>
      <c r="Q390" s="247">
        <v>0</v>
      </c>
      <c r="R390" s="247">
        <v>0</v>
      </c>
      <c r="S390" s="247">
        <v>0</v>
      </c>
      <c r="T390" s="248">
        <v>0</v>
      </c>
      <c r="U390" s="247">
        <v>0</v>
      </c>
      <c r="V390" s="247">
        <v>0</v>
      </c>
      <c r="W390" s="247">
        <v>0</v>
      </c>
      <c r="X390" s="247">
        <v>0</v>
      </c>
      <c r="Y390" s="247">
        <v>0</v>
      </c>
      <c r="Z390" s="247">
        <v>0</v>
      </c>
    </row>
    <row r="391" spans="1:26" ht="12.75" hidden="1" x14ac:dyDescent="0.2">
      <c r="A391" s="172">
        <v>4027</v>
      </c>
      <c r="B391" s="172">
        <v>7</v>
      </c>
      <c r="C391" s="173" t="s">
        <v>273</v>
      </c>
      <c r="D391" s="179">
        <v>7</v>
      </c>
      <c r="E391" s="248">
        <v>729</v>
      </c>
      <c r="F391" s="247">
        <v>0</v>
      </c>
      <c r="G391" s="247">
        <v>0</v>
      </c>
      <c r="H391" s="247">
        <v>0</v>
      </c>
      <c r="I391" s="247">
        <v>0</v>
      </c>
      <c r="J391" s="247">
        <v>0</v>
      </c>
      <c r="K391" s="247">
        <v>0</v>
      </c>
      <c r="L391" s="247">
        <v>0</v>
      </c>
      <c r="M391" s="247">
        <v>0</v>
      </c>
      <c r="N391" s="247">
        <v>0</v>
      </c>
      <c r="O391" s="172"/>
      <c r="P391" s="247">
        <v>0</v>
      </c>
      <c r="Q391" s="247">
        <v>0</v>
      </c>
      <c r="R391" s="247">
        <v>0</v>
      </c>
      <c r="S391" s="247">
        <v>0</v>
      </c>
      <c r="T391" s="248">
        <v>0</v>
      </c>
      <c r="U391" s="247">
        <v>0</v>
      </c>
      <c r="V391" s="247">
        <v>0</v>
      </c>
      <c r="W391" s="247">
        <v>0</v>
      </c>
      <c r="X391" s="247">
        <v>0</v>
      </c>
      <c r="Y391" s="247">
        <v>0</v>
      </c>
      <c r="Z391" s="247">
        <v>0</v>
      </c>
    </row>
    <row r="392" spans="1:26" ht="12.75" hidden="1" x14ac:dyDescent="0.2">
      <c r="A392" s="172">
        <v>4029</v>
      </c>
      <c r="B392" s="172">
        <v>7</v>
      </c>
      <c r="C392" s="173" t="s">
        <v>680</v>
      </c>
      <c r="D392" s="179">
        <v>7</v>
      </c>
      <c r="E392" s="248">
        <v>340</v>
      </c>
      <c r="F392" s="247">
        <v>0</v>
      </c>
      <c r="G392" s="247">
        <v>0</v>
      </c>
      <c r="H392" s="247">
        <v>0</v>
      </c>
      <c r="I392" s="247">
        <v>0</v>
      </c>
      <c r="J392" s="247">
        <v>0</v>
      </c>
      <c r="K392" s="247">
        <v>0</v>
      </c>
      <c r="L392" s="247">
        <v>0</v>
      </c>
      <c r="M392" s="247">
        <v>0</v>
      </c>
      <c r="N392" s="247">
        <v>0</v>
      </c>
      <c r="O392" s="172"/>
      <c r="P392" s="247">
        <v>0</v>
      </c>
      <c r="Q392" s="247">
        <v>0</v>
      </c>
      <c r="R392" s="247">
        <v>0</v>
      </c>
      <c r="S392" s="247">
        <v>0</v>
      </c>
      <c r="T392" s="248">
        <v>0</v>
      </c>
      <c r="U392" s="247">
        <v>0</v>
      </c>
      <c r="V392" s="247">
        <v>0</v>
      </c>
      <c r="W392" s="247">
        <v>0</v>
      </c>
      <c r="X392" s="247">
        <v>0</v>
      </c>
      <c r="Y392" s="247">
        <v>0</v>
      </c>
      <c r="Z392" s="247">
        <v>0</v>
      </c>
    </row>
    <row r="393" spans="1:26" ht="12.75" hidden="1" x14ac:dyDescent="0.2">
      <c r="A393" s="172">
        <v>4030</v>
      </c>
      <c r="B393" s="172">
        <v>7</v>
      </c>
      <c r="C393" s="173" t="s">
        <v>682</v>
      </c>
      <c r="D393" s="179">
        <v>7</v>
      </c>
      <c r="E393" s="248">
        <v>294</v>
      </c>
      <c r="F393" s="247">
        <v>0</v>
      </c>
      <c r="G393" s="247">
        <v>0</v>
      </c>
      <c r="H393" s="247">
        <v>0</v>
      </c>
      <c r="I393" s="247">
        <v>0</v>
      </c>
      <c r="J393" s="247">
        <v>0</v>
      </c>
      <c r="K393" s="247">
        <v>0</v>
      </c>
      <c r="L393" s="247">
        <v>0</v>
      </c>
      <c r="M393" s="247">
        <v>0</v>
      </c>
      <c r="N393" s="247">
        <v>0</v>
      </c>
      <c r="O393" s="172"/>
      <c r="P393" s="247">
        <v>0</v>
      </c>
      <c r="Q393" s="247">
        <v>0</v>
      </c>
      <c r="R393" s="247">
        <v>0</v>
      </c>
      <c r="S393" s="247">
        <v>0</v>
      </c>
      <c r="T393" s="248">
        <v>0</v>
      </c>
      <c r="U393" s="247">
        <v>0</v>
      </c>
      <c r="V393" s="247">
        <v>0</v>
      </c>
      <c r="W393" s="247">
        <v>0</v>
      </c>
      <c r="X393" s="247">
        <v>0</v>
      </c>
      <c r="Y393" s="247">
        <v>0</v>
      </c>
      <c r="Z393" s="247">
        <v>0</v>
      </c>
    </row>
    <row r="394" spans="1:26" ht="12.75" hidden="1" x14ac:dyDescent="0.2">
      <c r="A394" s="172">
        <v>4031</v>
      </c>
      <c r="B394" s="172">
        <v>7</v>
      </c>
      <c r="C394" s="173" t="s">
        <v>261</v>
      </c>
      <c r="D394" s="179">
        <v>7</v>
      </c>
      <c r="E394" s="248">
        <v>68</v>
      </c>
      <c r="F394" s="247">
        <v>0</v>
      </c>
      <c r="G394" s="247">
        <v>0</v>
      </c>
      <c r="H394" s="247">
        <v>0</v>
      </c>
      <c r="I394" s="247">
        <v>0</v>
      </c>
      <c r="J394" s="247">
        <v>0</v>
      </c>
      <c r="K394" s="247">
        <v>0</v>
      </c>
      <c r="L394" s="247">
        <v>0</v>
      </c>
      <c r="M394" s="247">
        <v>0</v>
      </c>
      <c r="N394" s="247">
        <v>0</v>
      </c>
      <c r="O394" s="172"/>
      <c r="P394" s="247">
        <v>0</v>
      </c>
      <c r="Q394" s="247">
        <v>0</v>
      </c>
      <c r="R394" s="247">
        <v>0</v>
      </c>
      <c r="S394" s="247">
        <v>0</v>
      </c>
      <c r="T394" s="248">
        <v>0</v>
      </c>
      <c r="U394" s="247">
        <v>0</v>
      </c>
      <c r="V394" s="247">
        <v>0</v>
      </c>
      <c r="W394" s="247">
        <v>0</v>
      </c>
      <c r="X394" s="247">
        <v>0</v>
      </c>
      <c r="Y394" s="247">
        <v>0</v>
      </c>
      <c r="Z394" s="247">
        <v>0</v>
      </c>
    </row>
    <row r="395" spans="1:26" ht="12.75" hidden="1" x14ac:dyDescent="0.2">
      <c r="A395" s="172">
        <v>4032</v>
      </c>
      <c r="B395" s="172">
        <v>7</v>
      </c>
      <c r="C395" s="173" t="s">
        <v>283</v>
      </c>
      <c r="D395" s="179">
        <v>7</v>
      </c>
      <c r="E395" s="248">
        <v>440</v>
      </c>
      <c r="F395" s="247">
        <v>0</v>
      </c>
      <c r="G395" s="247">
        <v>0</v>
      </c>
      <c r="H395" s="247">
        <v>0</v>
      </c>
      <c r="I395" s="247">
        <v>0</v>
      </c>
      <c r="J395" s="247">
        <v>0</v>
      </c>
      <c r="K395" s="247">
        <v>0</v>
      </c>
      <c r="L395" s="247">
        <v>0</v>
      </c>
      <c r="M395" s="247">
        <v>0</v>
      </c>
      <c r="N395" s="247">
        <v>0</v>
      </c>
      <c r="O395" s="172"/>
      <c r="P395" s="247">
        <v>0</v>
      </c>
      <c r="Q395" s="247">
        <v>0</v>
      </c>
      <c r="R395" s="247">
        <v>0</v>
      </c>
      <c r="S395" s="247">
        <v>0</v>
      </c>
      <c r="T395" s="248">
        <v>0</v>
      </c>
      <c r="U395" s="247">
        <v>0</v>
      </c>
      <c r="V395" s="247">
        <v>0</v>
      </c>
      <c r="W395" s="247">
        <v>0</v>
      </c>
      <c r="X395" s="247">
        <v>0</v>
      </c>
      <c r="Y395" s="247">
        <v>0</v>
      </c>
      <c r="Z395" s="247">
        <v>0</v>
      </c>
    </row>
    <row r="396" spans="1:26" ht="12.75" hidden="1" x14ac:dyDescent="0.2">
      <c r="A396" s="172">
        <v>4035</v>
      </c>
      <c r="B396" s="172">
        <v>7</v>
      </c>
      <c r="C396" s="173" t="s">
        <v>249</v>
      </c>
      <c r="D396" s="179">
        <v>7</v>
      </c>
      <c r="E396" s="248">
        <v>375</v>
      </c>
      <c r="F396" s="247">
        <v>0</v>
      </c>
      <c r="G396" s="247">
        <v>0</v>
      </c>
      <c r="H396" s="247">
        <v>0</v>
      </c>
      <c r="I396" s="247">
        <v>0</v>
      </c>
      <c r="J396" s="247">
        <v>0</v>
      </c>
      <c r="K396" s="247">
        <v>0</v>
      </c>
      <c r="L396" s="247">
        <v>0</v>
      </c>
      <c r="M396" s="247">
        <v>0</v>
      </c>
      <c r="N396" s="247">
        <v>0</v>
      </c>
      <c r="O396" s="172"/>
      <c r="P396" s="247">
        <v>0</v>
      </c>
      <c r="Q396" s="247">
        <v>0</v>
      </c>
      <c r="R396" s="247">
        <v>0</v>
      </c>
      <c r="S396" s="247">
        <v>0</v>
      </c>
      <c r="T396" s="248">
        <v>0</v>
      </c>
      <c r="U396" s="247">
        <v>0</v>
      </c>
      <c r="V396" s="247">
        <v>0</v>
      </c>
      <c r="W396" s="247">
        <v>0</v>
      </c>
      <c r="X396" s="247">
        <v>0</v>
      </c>
      <c r="Y396" s="247">
        <v>0</v>
      </c>
      <c r="Z396" s="247">
        <v>0</v>
      </c>
    </row>
    <row r="397" spans="1:26" ht="12.75" hidden="1" x14ac:dyDescent="0.2">
      <c r="A397" s="172">
        <v>4036</v>
      </c>
      <c r="B397" s="172">
        <v>7</v>
      </c>
      <c r="C397" s="173" t="s">
        <v>684</v>
      </c>
      <c r="D397" s="179">
        <v>7</v>
      </c>
      <c r="E397" s="248">
        <v>68</v>
      </c>
      <c r="F397" s="247">
        <v>0</v>
      </c>
      <c r="G397" s="247">
        <v>0</v>
      </c>
      <c r="H397" s="247">
        <v>0</v>
      </c>
      <c r="I397" s="247">
        <v>0</v>
      </c>
      <c r="J397" s="247">
        <v>0</v>
      </c>
      <c r="K397" s="247">
        <v>0</v>
      </c>
      <c r="L397" s="247">
        <v>0</v>
      </c>
      <c r="M397" s="247">
        <v>0</v>
      </c>
      <c r="N397" s="247">
        <v>0</v>
      </c>
      <c r="O397" s="172"/>
      <c r="P397" s="247">
        <v>0</v>
      </c>
      <c r="Q397" s="247">
        <v>0</v>
      </c>
      <c r="R397" s="247">
        <v>0</v>
      </c>
      <c r="S397" s="247">
        <v>0</v>
      </c>
      <c r="T397" s="248">
        <v>0</v>
      </c>
      <c r="U397" s="247">
        <v>0</v>
      </c>
      <c r="V397" s="247">
        <v>0</v>
      </c>
      <c r="W397" s="247">
        <v>0</v>
      </c>
      <c r="X397" s="247">
        <v>0</v>
      </c>
      <c r="Y397" s="247">
        <v>0</v>
      </c>
      <c r="Z397" s="247">
        <v>0</v>
      </c>
    </row>
    <row r="398" spans="1:26" ht="12.75" hidden="1" x14ac:dyDescent="0.2">
      <c r="A398" s="172">
        <v>4038</v>
      </c>
      <c r="B398" s="172">
        <v>7</v>
      </c>
      <c r="C398" s="173" t="s">
        <v>685</v>
      </c>
      <c r="D398" s="179">
        <v>7</v>
      </c>
      <c r="E398" s="248">
        <v>394</v>
      </c>
      <c r="F398" s="247">
        <v>0</v>
      </c>
      <c r="G398" s="247">
        <v>0</v>
      </c>
      <c r="H398" s="247">
        <v>0</v>
      </c>
      <c r="I398" s="247">
        <v>0</v>
      </c>
      <c r="J398" s="247">
        <v>0</v>
      </c>
      <c r="K398" s="247">
        <v>0</v>
      </c>
      <c r="L398" s="247">
        <v>0</v>
      </c>
      <c r="M398" s="247">
        <v>0</v>
      </c>
      <c r="N398" s="247">
        <v>0</v>
      </c>
      <c r="O398" s="172"/>
      <c r="P398" s="247">
        <v>0</v>
      </c>
      <c r="Q398" s="247">
        <v>0</v>
      </c>
      <c r="R398" s="247">
        <v>0</v>
      </c>
      <c r="S398" s="247">
        <v>0</v>
      </c>
      <c r="T398" s="248">
        <v>0</v>
      </c>
      <c r="U398" s="247">
        <v>0</v>
      </c>
      <c r="V398" s="247">
        <v>0</v>
      </c>
      <c r="W398" s="247">
        <v>0</v>
      </c>
      <c r="X398" s="247">
        <v>0</v>
      </c>
      <c r="Y398" s="247">
        <v>0</v>
      </c>
      <c r="Z398" s="247">
        <v>0</v>
      </c>
    </row>
    <row r="399" spans="1:26" ht="12.75" hidden="1" x14ac:dyDescent="0.2">
      <c r="A399" s="172">
        <v>4039</v>
      </c>
      <c r="B399" s="172">
        <v>7</v>
      </c>
      <c r="C399" s="173" t="s">
        <v>686</v>
      </c>
      <c r="D399" s="179">
        <v>7</v>
      </c>
      <c r="E399" s="248">
        <v>200</v>
      </c>
      <c r="F399" s="247">
        <v>0</v>
      </c>
      <c r="G399" s="247">
        <v>0</v>
      </c>
      <c r="H399" s="247">
        <v>0</v>
      </c>
      <c r="I399" s="247">
        <v>0</v>
      </c>
      <c r="J399" s="247">
        <v>0</v>
      </c>
      <c r="K399" s="247">
        <v>0</v>
      </c>
      <c r="L399" s="247">
        <v>0</v>
      </c>
      <c r="M399" s="247">
        <v>0</v>
      </c>
      <c r="N399" s="247">
        <v>0</v>
      </c>
      <c r="O399" s="172"/>
      <c r="P399" s="247">
        <v>0</v>
      </c>
      <c r="Q399" s="247">
        <v>0</v>
      </c>
      <c r="R399" s="247">
        <v>0</v>
      </c>
      <c r="S399" s="247">
        <v>0</v>
      </c>
      <c r="T399" s="248">
        <v>0</v>
      </c>
      <c r="U399" s="247">
        <v>0</v>
      </c>
      <c r="V399" s="247">
        <v>0</v>
      </c>
      <c r="W399" s="247">
        <v>0</v>
      </c>
      <c r="X399" s="247">
        <v>0</v>
      </c>
      <c r="Y399" s="247">
        <v>0</v>
      </c>
      <c r="Z399" s="247">
        <v>0</v>
      </c>
    </row>
    <row r="400" spans="1:26" ht="12.75" hidden="1" x14ac:dyDescent="0.2">
      <c r="A400" s="172">
        <v>4042</v>
      </c>
      <c r="B400" s="172">
        <v>7</v>
      </c>
      <c r="C400" s="173" t="s">
        <v>579</v>
      </c>
      <c r="D400" s="179">
        <v>7</v>
      </c>
      <c r="E400" s="248">
        <v>200</v>
      </c>
      <c r="F400" s="247">
        <v>0</v>
      </c>
      <c r="G400" s="247">
        <v>0</v>
      </c>
      <c r="H400" s="247">
        <v>0</v>
      </c>
      <c r="I400" s="247">
        <v>0</v>
      </c>
      <c r="J400" s="247">
        <v>0</v>
      </c>
      <c r="K400" s="247">
        <v>0</v>
      </c>
      <c r="L400" s="247">
        <v>0</v>
      </c>
      <c r="M400" s="247">
        <v>0</v>
      </c>
      <c r="N400" s="247">
        <v>0</v>
      </c>
      <c r="O400" s="172"/>
      <c r="P400" s="247">
        <v>0</v>
      </c>
      <c r="Q400" s="247">
        <v>0</v>
      </c>
      <c r="R400" s="247">
        <v>0</v>
      </c>
      <c r="S400" s="247">
        <v>0</v>
      </c>
      <c r="T400" s="248">
        <v>0</v>
      </c>
      <c r="U400" s="247">
        <v>0</v>
      </c>
      <c r="V400" s="247">
        <v>0</v>
      </c>
      <c r="W400" s="247">
        <v>0</v>
      </c>
      <c r="X400" s="247">
        <v>0</v>
      </c>
      <c r="Y400" s="247">
        <v>0</v>
      </c>
      <c r="Z400" s="247">
        <v>0</v>
      </c>
    </row>
    <row r="401" spans="1:26" ht="12.75" hidden="1" x14ac:dyDescent="0.2">
      <c r="A401" s="172">
        <v>4043</v>
      </c>
      <c r="B401" s="172">
        <v>7</v>
      </c>
      <c r="C401" s="173" t="s">
        <v>570</v>
      </c>
      <c r="D401" s="179">
        <v>7</v>
      </c>
      <c r="E401" s="248">
        <v>385</v>
      </c>
      <c r="F401" s="247">
        <v>0</v>
      </c>
      <c r="G401" s="247">
        <v>0</v>
      </c>
      <c r="H401" s="247">
        <v>0</v>
      </c>
      <c r="I401" s="247">
        <v>0</v>
      </c>
      <c r="J401" s="247">
        <v>0</v>
      </c>
      <c r="K401" s="247">
        <v>0</v>
      </c>
      <c r="L401" s="247">
        <v>0</v>
      </c>
      <c r="M401" s="247">
        <v>0</v>
      </c>
      <c r="N401" s="247">
        <v>0</v>
      </c>
      <c r="O401" s="172"/>
      <c r="P401" s="247">
        <v>0</v>
      </c>
      <c r="Q401" s="247">
        <v>0</v>
      </c>
      <c r="R401" s="247">
        <v>0</v>
      </c>
      <c r="S401" s="247">
        <v>0</v>
      </c>
      <c r="T401" s="248">
        <v>0</v>
      </c>
      <c r="U401" s="247">
        <v>0</v>
      </c>
      <c r="V401" s="247">
        <v>0</v>
      </c>
      <c r="W401" s="247">
        <v>0</v>
      </c>
      <c r="X401" s="247">
        <v>0</v>
      </c>
      <c r="Y401" s="247">
        <v>0</v>
      </c>
      <c r="Z401" s="247">
        <v>0</v>
      </c>
    </row>
    <row r="402" spans="1:26" ht="12.75" hidden="1" x14ac:dyDescent="0.2">
      <c r="A402" s="172">
        <v>4045</v>
      </c>
      <c r="B402" s="172">
        <v>7</v>
      </c>
      <c r="C402" s="173" t="s">
        <v>651</v>
      </c>
      <c r="D402" s="179">
        <v>7</v>
      </c>
      <c r="E402" s="248">
        <v>94</v>
      </c>
      <c r="F402" s="247">
        <v>0</v>
      </c>
      <c r="G402" s="247">
        <v>0</v>
      </c>
      <c r="H402" s="247">
        <v>0</v>
      </c>
      <c r="I402" s="247">
        <v>0</v>
      </c>
      <c r="J402" s="247">
        <v>0</v>
      </c>
      <c r="K402" s="247">
        <v>0</v>
      </c>
      <c r="L402" s="247">
        <v>0</v>
      </c>
      <c r="M402" s="247">
        <v>0</v>
      </c>
      <c r="N402" s="247">
        <v>0</v>
      </c>
      <c r="O402" s="172"/>
      <c r="P402" s="247">
        <v>0</v>
      </c>
      <c r="Q402" s="247">
        <v>0</v>
      </c>
      <c r="R402" s="247">
        <v>0</v>
      </c>
      <c r="S402" s="247">
        <v>0</v>
      </c>
      <c r="T402" s="248">
        <v>0</v>
      </c>
      <c r="U402" s="247">
        <v>0</v>
      </c>
      <c r="V402" s="247">
        <v>0</v>
      </c>
      <c r="W402" s="247">
        <v>0</v>
      </c>
      <c r="X402" s="247">
        <v>0</v>
      </c>
      <c r="Y402" s="247">
        <v>0</v>
      </c>
      <c r="Z402" s="247">
        <v>0</v>
      </c>
    </row>
    <row r="403" spans="1:26" ht="12.75" hidden="1" x14ac:dyDescent="0.2">
      <c r="A403" s="172">
        <v>4049</v>
      </c>
      <c r="B403" s="172">
        <v>7</v>
      </c>
      <c r="C403" s="173" t="s">
        <v>688</v>
      </c>
      <c r="D403" s="179">
        <v>7</v>
      </c>
      <c r="E403" s="248">
        <v>149</v>
      </c>
      <c r="F403" s="247">
        <v>0</v>
      </c>
      <c r="G403" s="247">
        <v>0</v>
      </c>
      <c r="H403" s="247">
        <v>0</v>
      </c>
      <c r="I403" s="247">
        <v>0</v>
      </c>
      <c r="J403" s="247">
        <v>0</v>
      </c>
      <c r="K403" s="247">
        <v>0</v>
      </c>
      <c r="L403" s="247">
        <v>0</v>
      </c>
      <c r="M403" s="247">
        <v>0</v>
      </c>
      <c r="N403" s="247">
        <v>0</v>
      </c>
      <c r="O403" s="172"/>
      <c r="P403" s="247">
        <v>0</v>
      </c>
      <c r="Q403" s="247">
        <v>0</v>
      </c>
      <c r="R403" s="247">
        <v>0</v>
      </c>
      <c r="S403" s="247">
        <v>0</v>
      </c>
      <c r="T403" s="248">
        <v>0</v>
      </c>
      <c r="U403" s="247">
        <v>0</v>
      </c>
      <c r="V403" s="247">
        <v>0</v>
      </c>
      <c r="W403" s="247">
        <v>0</v>
      </c>
      <c r="X403" s="247">
        <v>0</v>
      </c>
      <c r="Y403" s="247">
        <v>0</v>
      </c>
      <c r="Z403" s="247">
        <v>0</v>
      </c>
    </row>
    <row r="404" spans="1:26" ht="12.75" hidden="1" x14ac:dyDescent="0.2">
      <c r="A404" s="172">
        <v>4050</v>
      </c>
      <c r="B404" s="172">
        <v>7</v>
      </c>
      <c r="C404" s="173" t="s">
        <v>666</v>
      </c>
      <c r="D404" s="179">
        <v>7</v>
      </c>
      <c r="E404" s="248">
        <v>100</v>
      </c>
      <c r="F404" s="247">
        <v>0</v>
      </c>
      <c r="G404" s="247">
        <v>0</v>
      </c>
      <c r="H404" s="247">
        <v>0</v>
      </c>
      <c r="I404" s="247">
        <v>0</v>
      </c>
      <c r="J404" s="247">
        <v>0</v>
      </c>
      <c r="K404" s="247">
        <v>0</v>
      </c>
      <c r="L404" s="247">
        <v>0</v>
      </c>
      <c r="M404" s="247">
        <v>0</v>
      </c>
      <c r="N404" s="247">
        <v>0</v>
      </c>
      <c r="O404" s="172"/>
      <c r="P404" s="247">
        <v>0</v>
      </c>
      <c r="Q404" s="247">
        <v>0</v>
      </c>
      <c r="R404" s="247">
        <v>0</v>
      </c>
      <c r="S404" s="247">
        <v>0</v>
      </c>
      <c r="T404" s="248">
        <v>0</v>
      </c>
      <c r="U404" s="247">
        <v>0</v>
      </c>
      <c r="V404" s="247">
        <v>0</v>
      </c>
      <c r="W404" s="247">
        <v>0</v>
      </c>
      <c r="X404" s="247">
        <v>0</v>
      </c>
      <c r="Y404" s="247">
        <v>0</v>
      </c>
      <c r="Z404" s="247">
        <v>0</v>
      </c>
    </row>
    <row r="405" spans="1:26" ht="12.75" hidden="1" x14ac:dyDescent="0.2">
      <c r="A405" s="172">
        <v>4053</v>
      </c>
      <c r="B405" s="172">
        <v>7</v>
      </c>
      <c r="C405" s="173" t="s">
        <v>653</v>
      </c>
      <c r="D405" s="179">
        <v>7</v>
      </c>
      <c r="E405" s="248">
        <v>351</v>
      </c>
      <c r="F405" s="247">
        <v>0</v>
      </c>
      <c r="G405" s="247">
        <v>0</v>
      </c>
      <c r="H405" s="247">
        <v>0</v>
      </c>
      <c r="I405" s="247">
        <v>0</v>
      </c>
      <c r="J405" s="247">
        <v>0</v>
      </c>
      <c r="K405" s="247">
        <v>0</v>
      </c>
      <c r="L405" s="247">
        <v>0</v>
      </c>
      <c r="M405" s="247">
        <v>0</v>
      </c>
      <c r="N405" s="247">
        <v>0</v>
      </c>
      <c r="O405" s="172"/>
      <c r="P405" s="247">
        <v>0</v>
      </c>
      <c r="Q405" s="247">
        <v>0</v>
      </c>
      <c r="R405" s="247">
        <v>0</v>
      </c>
      <c r="S405" s="247">
        <v>0</v>
      </c>
      <c r="T405" s="248">
        <v>0</v>
      </c>
      <c r="U405" s="247">
        <v>0</v>
      </c>
      <c r="V405" s="247">
        <v>0</v>
      </c>
      <c r="W405" s="247">
        <v>0</v>
      </c>
      <c r="X405" s="247">
        <v>0</v>
      </c>
      <c r="Y405" s="247">
        <v>0</v>
      </c>
      <c r="Z405" s="247">
        <v>0</v>
      </c>
    </row>
    <row r="406" spans="1:26" ht="12.75" hidden="1" x14ac:dyDescent="0.2">
      <c r="A406" s="172">
        <v>4054</v>
      </c>
      <c r="B406" s="172">
        <v>7</v>
      </c>
      <c r="C406" s="173" t="s">
        <v>624</v>
      </c>
      <c r="D406" s="179">
        <v>7</v>
      </c>
      <c r="E406" s="248">
        <v>60</v>
      </c>
      <c r="F406" s="247">
        <v>0</v>
      </c>
      <c r="G406" s="247">
        <v>0</v>
      </c>
      <c r="H406" s="247">
        <v>0</v>
      </c>
      <c r="I406" s="247">
        <v>0</v>
      </c>
      <c r="J406" s="247">
        <v>0</v>
      </c>
      <c r="K406" s="247">
        <v>0</v>
      </c>
      <c r="L406" s="247">
        <v>0</v>
      </c>
      <c r="M406" s="247">
        <v>0</v>
      </c>
      <c r="N406" s="247">
        <v>0</v>
      </c>
      <c r="O406" s="172"/>
      <c r="P406" s="247">
        <v>0</v>
      </c>
      <c r="Q406" s="247">
        <v>0</v>
      </c>
      <c r="R406" s="247">
        <v>0</v>
      </c>
      <c r="S406" s="247">
        <v>0</v>
      </c>
      <c r="T406" s="248">
        <v>0</v>
      </c>
      <c r="U406" s="247">
        <v>0</v>
      </c>
      <c r="V406" s="247">
        <v>0</v>
      </c>
      <c r="W406" s="247">
        <v>0</v>
      </c>
      <c r="X406" s="247">
        <v>0</v>
      </c>
      <c r="Y406" s="247">
        <v>0</v>
      </c>
      <c r="Z406" s="247">
        <v>0</v>
      </c>
    </row>
    <row r="407" spans="1:26" ht="12.75" hidden="1" x14ac:dyDescent="0.2">
      <c r="A407" s="172">
        <v>4055</v>
      </c>
      <c r="B407" s="172">
        <v>7</v>
      </c>
      <c r="C407" s="173" t="s">
        <v>290</v>
      </c>
      <c r="D407" s="179">
        <v>7</v>
      </c>
      <c r="E407" s="248">
        <v>154</v>
      </c>
      <c r="F407" s="247">
        <v>0</v>
      </c>
      <c r="G407" s="247">
        <v>0</v>
      </c>
      <c r="H407" s="247">
        <v>0</v>
      </c>
      <c r="I407" s="247">
        <v>0</v>
      </c>
      <c r="J407" s="247">
        <v>0</v>
      </c>
      <c r="K407" s="247">
        <v>0</v>
      </c>
      <c r="L407" s="247">
        <v>0</v>
      </c>
      <c r="M407" s="247">
        <v>0</v>
      </c>
      <c r="N407" s="247">
        <v>0</v>
      </c>
      <c r="O407" s="172"/>
      <c r="P407" s="247">
        <v>0</v>
      </c>
      <c r="Q407" s="247">
        <v>0</v>
      </c>
      <c r="R407" s="247">
        <v>0</v>
      </c>
      <c r="S407" s="247">
        <v>0</v>
      </c>
      <c r="T407" s="248">
        <v>0</v>
      </c>
      <c r="U407" s="247">
        <v>0</v>
      </c>
      <c r="V407" s="247">
        <v>0</v>
      </c>
      <c r="W407" s="247">
        <v>0</v>
      </c>
      <c r="X407" s="247">
        <v>0</v>
      </c>
      <c r="Y407" s="247">
        <v>0</v>
      </c>
      <c r="Z407" s="247">
        <v>0</v>
      </c>
    </row>
    <row r="408" spans="1:26" ht="12.75" hidden="1" x14ac:dyDescent="0.2">
      <c r="A408" s="172">
        <v>4056</v>
      </c>
      <c r="B408" s="172">
        <v>7</v>
      </c>
      <c r="C408" s="173" t="s">
        <v>689</v>
      </c>
      <c r="D408" s="179">
        <v>7</v>
      </c>
      <c r="E408" s="248">
        <v>100</v>
      </c>
      <c r="F408" s="247">
        <v>0</v>
      </c>
      <c r="G408" s="247">
        <v>0</v>
      </c>
      <c r="H408" s="247">
        <v>0</v>
      </c>
      <c r="I408" s="247">
        <v>0</v>
      </c>
      <c r="J408" s="247">
        <v>0</v>
      </c>
      <c r="K408" s="247">
        <v>0</v>
      </c>
      <c r="L408" s="247">
        <v>0</v>
      </c>
      <c r="M408" s="247">
        <v>0</v>
      </c>
      <c r="N408" s="247">
        <v>0</v>
      </c>
      <c r="O408" s="172"/>
      <c r="P408" s="247">
        <v>0</v>
      </c>
      <c r="Q408" s="247">
        <v>0</v>
      </c>
      <c r="R408" s="247">
        <v>0</v>
      </c>
      <c r="S408" s="247">
        <v>0</v>
      </c>
      <c r="T408" s="248">
        <v>0</v>
      </c>
      <c r="U408" s="247">
        <v>0</v>
      </c>
      <c r="V408" s="247">
        <v>0</v>
      </c>
      <c r="W408" s="247">
        <v>0</v>
      </c>
      <c r="X408" s="247">
        <v>0</v>
      </c>
      <c r="Y408" s="247">
        <v>0</v>
      </c>
      <c r="Z408" s="247">
        <v>0</v>
      </c>
    </row>
    <row r="409" spans="1:26" ht="12.75" hidden="1" x14ac:dyDescent="0.2">
      <c r="A409" s="172">
        <v>4057</v>
      </c>
      <c r="B409" s="172">
        <v>7</v>
      </c>
      <c r="C409" s="173" t="s">
        <v>493</v>
      </c>
      <c r="D409" s="179">
        <v>7</v>
      </c>
      <c r="E409" s="248">
        <v>85</v>
      </c>
      <c r="F409" s="247">
        <v>0</v>
      </c>
      <c r="G409" s="247">
        <v>0</v>
      </c>
      <c r="H409" s="247">
        <v>0</v>
      </c>
      <c r="I409" s="247">
        <v>0</v>
      </c>
      <c r="J409" s="247">
        <v>0</v>
      </c>
      <c r="K409" s="247">
        <v>0</v>
      </c>
      <c r="L409" s="247">
        <v>0</v>
      </c>
      <c r="M409" s="247">
        <v>0</v>
      </c>
      <c r="N409" s="247">
        <v>0</v>
      </c>
      <c r="O409" s="172"/>
      <c r="P409" s="247">
        <v>0</v>
      </c>
      <c r="Q409" s="247">
        <v>0</v>
      </c>
      <c r="R409" s="247">
        <v>0</v>
      </c>
      <c r="S409" s="247">
        <v>0</v>
      </c>
      <c r="T409" s="248">
        <v>0</v>
      </c>
      <c r="U409" s="247">
        <v>0</v>
      </c>
      <c r="V409" s="247">
        <v>0</v>
      </c>
      <c r="W409" s="247">
        <v>0</v>
      </c>
      <c r="X409" s="247">
        <v>0</v>
      </c>
      <c r="Y409" s="247">
        <v>0</v>
      </c>
      <c r="Z409" s="247">
        <v>0</v>
      </c>
    </row>
    <row r="410" spans="1:26" ht="12.75" hidden="1" x14ac:dyDescent="0.2">
      <c r="A410" s="172">
        <v>4058</v>
      </c>
      <c r="B410" s="172">
        <v>7</v>
      </c>
      <c r="C410" s="173" t="s">
        <v>495</v>
      </c>
      <c r="D410" s="179">
        <v>7</v>
      </c>
      <c r="E410" s="248">
        <v>188</v>
      </c>
      <c r="F410" s="247">
        <v>0</v>
      </c>
      <c r="G410" s="247">
        <v>0</v>
      </c>
      <c r="H410" s="247">
        <v>0</v>
      </c>
      <c r="I410" s="247">
        <v>0</v>
      </c>
      <c r="J410" s="247">
        <v>0</v>
      </c>
      <c r="K410" s="247">
        <v>0</v>
      </c>
      <c r="L410" s="247">
        <v>0</v>
      </c>
      <c r="M410" s="247">
        <v>0</v>
      </c>
      <c r="N410" s="247">
        <v>0</v>
      </c>
      <c r="O410" s="172"/>
      <c r="P410" s="247">
        <v>0</v>
      </c>
      <c r="Q410" s="247">
        <v>0</v>
      </c>
      <c r="R410" s="247">
        <v>0</v>
      </c>
      <c r="S410" s="247">
        <v>0</v>
      </c>
      <c r="T410" s="248">
        <v>0</v>
      </c>
      <c r="U410" s="247">
        <v>0</v>
      </c>
      <c r="V410" s="247">
        <v>0</v>
      </c>
      <c r="W410" s="247">
        <v>0</v>
      </c>
      <c r="X410" s="247">
        <v>0</v>
      </c>
      <c r="Y410" s="247">
        <v>0</v>
      </c>
      <c r="Z410" s="247">
        <v>0</v>
      </c>
    </row>
    <row r="411" spans="1:26" ht="12.75" hidden="1" x14ac:dyDescent="0.2">
      <c r="A411" s="172">
        <v>4059</v>
      </c>
      <c r="B411" s="172">
        <v>7</v>
      </c>
      <c r="C411" s="173" t="s">
        <v>663</v>
      </c>
      <c r="D411" s="179">
        <v>7</v>
      </c>
      <c r="E411" s="248">
        <v>138</v>
      </c>
      <c r="F411" s="247">
        <v>0</v>
      </c>
      <c r="G411" s="247">
        <v>0</v>
      </c>
      <c r="H411" s="247">
        <v>0</v>
      </c>
      <c r="I411" s="247">
        <v>0</v>
      </c>
      <c r="J411" s="247">
        <v>0</v>
      </c>
      <c r="K411" s="247">
        <v>0</v>
      </c>
      <c r="L411" s="247">
        <v>0</v>
      </c>
      <c r="M411" s="247">
        <v>0</v>
      </c>
      <c r="N411" s="247">
        <v>0</v>
      </c>
      <c r="O411" s="172"/>
      <c r="P411" s="247">
        <v>0</v>
      </c>
      <c r="Q411" s="247">
        <v>0</v>
      </c>
      <c r="R411" s="247">
        <v>0</v>
      </c>
      <c r="S411" s="247">
        <v>0</v>
      </c>
      <c r="T411" s="248">
        <v>0</v>
      </c>
      <c r="U411" s="247">
        <v>0</v>
      </c>
      <c r="V411" s="247">
        <v>0</v>
      </c>
      <c r="W411" s="247">
        <v>0</v>
      </c>
      <c r="X411" s="247">
        <v>0</v>
      </c>
      <c r="Y411" s="247">
        <v>0</v>
      </c>
      <c r="Z411" s="247">
        <v>0</v>
      </c>
    </row>
    <row r="412" spans="1:26" ht="12.75" hidden="1" x14ac:dyDescent="0.2">
      <c r="A412" s="172">
        <v>4064</v>
      </c>
      <c r="B412" s="172">
        <v>7</v>
      </c>
      <c r="C412" s="173" t="s">
        <v>691</v>
      </c>
      <c r="D412" s="179">
        <v>7</v>
      </c>
      <c r="E412" s="248">
        <v>98</v>
      </c>
      <c r="F412" s="247">
        <v>0</v>
      </c>
      <c r="G412" s="247">
        <v>0</v>
      </c>
      <c r="H412" s="247">
        <v>0</v>
      </c>
      <c r="I412" s="247">
        <v>0</v>
      </c>
      <c r="J412" s="247">
        <v>0</v>
      </c>
      <c r="K412" s="247">
        <v>0</v>
      </c>
      <c r="L412" s="247">
        <v>0</v>
      </c>
      <c r="M412" s="247">
        <v>0</v>
      </c>
      <c r="N412" s="247">
        <v>0</v>
      </c>
      <c r="O412" s="172"/>
      <c r="P412" s="247">
        <v>0</v>
      </c>
      <c r="Q412" s="247">
        <v>0</v>
      </c>
      <c r="R412" s="247">
        <v>0</v>
      </c>
      <c r="S412" s="247">
        <v>0</v>
      </c>
      <c r="T412" s="248">
        <v>0</v>
      </c>
      <c r="U412" s="247">
        <v>0</v>
      </c>
      <c r="V412" s="247">
        <v>0</v>
      </c>
      <c r="W412" s="247">
        <v>0</v>
      </c>
      <c r="X412" s="247">
        <v>0</v>
      </c>
      <c r="Y412" s="247">
        <v>0</v>
      </c>
      <c r="Z412" s="247">
        <v>0</v>
      </c>
    </row>
    <row r="413" spans="1:26" ht="12.75" hidden="1" x14ac:dyDescent="0.2">
      <c r="A413" s="172">
        <v>4066</v>
      </c>
      <c r="B413" s="172">
        <v>7</v>
      </c>
      <c r="C413" s="173" t="s">
        <v>692</v>
      </c>
      <c r="D413" s="179">
        <v>7</v>
      </c>
      <c r="E413" s="248">
        <v>85</v>
      </c>
      <c r="F413" s="247">
        <v>0</v>
      </c>
      <c r="G413" s="247">
        <v>0</v>
      </c>
      <c r="H413" s="247">
        <v>0</v>
      </c>
      <c r="I413" s="247">
        <v>0</v>
      </c>
      <c r="J413" s="247">
        <v>0</v>
      </c>
      <c r="K413" s="247">
        <v>0</v>
      </c>
      <c r="L413" s="247">
        <v>0</v>
      </c>
      <c r="M413" s="247">
        <v>0</v>
      </c>
      <c r="N413" s="247">
        <v>0</v>
      </c>
      <c r="O413" s="172"/>
      <c r="P413" s="247">
        <v>0</v>
      </c>
      <c r="Q413" s="247">
        <v>0</v>
      </c>
      <c r="R413" s="247">
        <v>0</v>
      </c>
      <c r="S413" s="247">
        <v>0</v>
      </c>
      <c r="T413" s="248">
        <v>0</v>
      </c>
      <c r="U413" s="247">
        <v>0</v>
      </c>
      <c r="V413" s="247">
        <v>0</v>
      </c>
      <c r="W413" s="247">
        <v>0</v>
      </c>
      <c r="X413" s="247">
        <v>0</v>
      </c>
      <c r="Y413" s="247">
        <v>0</v>
      </c>
      <c r="Z413" s="247">
        <v>0</v>
      </c>
    </row>
    <row r="414" spans="1:26" ht="12.75" hidden="1" x14ac:dyDescent="0.2">
      <c r="A414" s="172">
        <v>4067</v>
      </c>
      <c r="B414" s="172">
        <v>7</v>
      </c>
      <c r="C414" s="173" t="s">
        <v>693</v>
      </c>
      <c r="D414" s="179">
        <v>7</v>
      </c>
      <c r="E414" s="248">
        <v>307</v>
      </c>
      <c r="F414" s="247">
        <v>0</v>
      </c>
      <c r="G414" s="247">
        <v>0</v>
      </c>
      <c r="H414" s="247">
        <v>0</v>
      </c>
      <c r="I414" s="247">
        <v>0</v>
      </c>
      <c r="J414" s="247">
        <v>0</v>
      </c>
      <c r="K414" s="247">
        <v>0</v>
      </c>
      <c r="L414" s="247">
        <v>0</v>
      </c>
      <c r="M414" s="247">
        <v>0</v>
      </c>
      <c r="N414" s="247">
        <v>0</v>
      </c>
      <c r="O414" s="172"/>
      <c r="P414" s="247">
        <v>0</v>
      </c>
      <c r="Q414" s="247">
        <v>0</v>
      </c>
      <c r="R414" s="247">
        <v>0</v>
      </c>
      <c r="S414" s="247">
        <v>0</v>
      </c>
      <c r="T414" s="248">
        <v>0</v>
      </c>
      <c r="U414" s="247">
        <v>0</v>
      </c>
      <c r="V414" s="247">
        <v>0</v>
      </c>
      <c r="W414" s="247">
        <v>0</v>
      </c>
      <c r="X414" s="247">
        <v>0</v>
      </c>
      <c r="Y414" s="247">
        <v>0</v>
      </c>
      <c r="Z414" s="247">
        <v>0</v>
      </c>
    </row>
    <row r="415" spans="1:26" ht="12.75" hidden="1" x14ac:dyDescent="0.2">
      <c r="A415" s="172">
        <v>4068</v>
      </c>
      <c r="B415" s="172">
        <v>7</v>
      </c>
      <c r="C415" s="173" t="s">
        <v>694</v>
      </c>
      <c r="D415" s="179">
        <v>7</v>
      </c>
      <c r="E415" s="248">
        <v>465</v>
      </c>
      <c r="F415" s="247">
        <v>0</v>
      </c>
      <c r="G415" s="247">
        <v>0</v>
      </c>
      <c r="H415" s="247">
        <v>0</v>
      </c>
      <c r="I415" s="247">
        <v>0</v>
      </c>
      <c r="J415" s="247">
        <v>0</v>
      </c>
      <c r="K415" s="247">
        <v>0</v>
      </c>
      <c r="L415" s="247">
        <v>0</v>
      </c>
      <c r="M415" s="247">
        <v>0</v>
      </c>
      <c r="N415" s="247">
        <v>0</v>
      </c>
      <c r="O415" s="172"/>
      <c r="P415" s="247">
        <v>0</v>
      </c>
      <c r="Q415" s="247">
        <v>0</v>
      </c>
      <c r="R415" s="247">
        <v>0</v>
      </c>
      <c r="S415" s="247">
        <v>0</v>
      </c>
      <c r="T415" s="248">
        <v>0</v>
      </c>
      <c r="U415" s="247">
        <v>0</v>
      </c>
      <c r="V415" s="247">
        <v>0</v>
      </c>
      <c r="W415" s="247">
        <v>0</v>
      </c>
      <c r="X415" s="247">
        <v>0</v>
      </c>
      <c r="Y415" s="247">
        <v>0</v>
      </c>
      <c r="Z415" s="247">
        <v>0</v>
      </c>
    </row>
    <row r="416" spans="1:26" ht="12.75" hidden="1" x14ac:dyDescent="0.2">
      <c r="A416" s="172">
        <v>4070</v>
      </c>
      <c r="B416" s="172">
        <v>7</v>
      </c>
      <c r="C416" s="173" t="s">
        <v>419</v>
      </c>
      <c r="D416" s="179">
        <v>7</v>
      </c>
      <c r="E416" s="248">
        <v>475</v>
      </c>
      <c r="F416" s="247">
        <v>0</v>
      </c>
      <c r="G416" s="247">
        <v>0</v>
      </c>
      <c r="H416" s="247">
        <v>0</v>
      </c>
      <c r="I416" s="247">
        <v>0</v>
      </c>
      <c r="J416" s="247">
        <v>0</v>
      </c>
      <c r="K416" s="247">
        <v>0</v>
      </c>
      <c r="L416" s="247">
        <v>0</v>
      </c>
      <c r="M416" s="247">
        <v>0</v>
      </c>
      <c r="N416" s="247">
        <v>0</v>
      </c>
      <c r="O416" s="172"/>
      <c r="P416" s="247">
        <v>0</v>
      </c>
      <c r="Q416" s="247">
        <v>0</v>
      </c>
      <c r="R416" s="247">
        <v>0</v>
      </c>
      <c r="S416" s="247">
        <v>0</v>
      </c>
      <c r="T416" s="248">
        <v>0</v>
      </c>
      <c r="U416" s="247">
        <v>0</v>
      </c>
      <c r="V416" s="247">
        <v>0</v>
      </c>
      <c r="W416" s="247">
        <v>0</v>
      </c>
      <c r="X416" s="247">
        <v>0</v>
      </c>
      <c r="Y416" s="247">
        <v>0</v>
      </c>
      <c r="Z416" s="247">
        <v>0</v>
      </c>
    </row>
    <row r="417" spans="1:26" ht="12.75" hidden="1" x14ac:dyDescent="0.2">
      <c r="A417" s="172">
        <v>4073</v>
      </c>
      <c r="B417" s="172">
        <v>7</v>
      </c>
      <c r="C417" s="173" t="s">
        <v>695</v>
      </c>
      <c r="D417" s="179">
        <v>7</v>
      </c>
      <c r="E417" s="248">
        <v>370</v>
      </c>
      <c r="F417" s="247">
        <v>0</v>
      </c>
      <c r="G417" s="247">
        <v>0</v>
      </c>
      <c r="H417" s="247">
        <v>0</v>
      </c>
      <c r="I417" s="247">
        <v>0</v>
      </c>
      <c r="J417" s="247">
        <v>0</v>
      </c>
      <c r="K417" s="247">
        <v>0</v>
      </c>
      <c r="L417" s="247">
        <v>0</v>
      </c>
      <c r="M417" s="247">
        <v>0</v>
      </c>
      <c r="N417" s="247">
        <v>0</v>
      </c>
      <c r="O417" s="172"/>
      <c r="P417" s="247">
        <v>0</v>
      </c>
      <c r="Q417" s="247">
        <v>0</v>
      </c>
      <c r="R417" s="247">
        <v>0</v>
      </c>
      <c r="S417" s="247">
        <v>0</v>
      </c>
      <c r="T417" s="248">
        <v>0</v>
      </c>
      <c r="U417" s="247">
        <v>0</v>
      </c>
      <c r="V417" s="247">
        <v>0</v>
      </c>
      <c r="W417" s="247">
        <v>0</v>
      </c>
      <c r="X417" s="247">
        <v>0</v>
      </c>
      <c r="Y417" s="247">
        <v>0</v>
      </c>
      <c r="Z417" s="247">
        <v>0</v>
      </c>
    </row>
    <row r="418" spans="1:26" ht="12.75" hidden="1" x14ac:dyDescent="0.2">
      <c r="A418" s="172">
        <v>4074</v>
      </c>
      <c r="B418" s="172">
        <v>7</v>
      </c>
      <c r="C418" s="173" t="s">
        <v>491</v>
      </c>
      <c r="D418" s="179">
        <v>7</v>
      </c>
      <c r="E418" s="248">
        <v>300</v>
      </c>
      <c r="F418" s="247">
        <v>0</v>
      </c>
      <c r="G418" s="247">
        <v>0</v>
      </c>
      <c r="H418" s="247">
        <v>0</v>
      </c>
      <c r="I418" s="247">
        <v>0</v>
      </c>
      <c r="J418" s="247">
        <v>0</v>
      </c>
      <c r="K418" s="247">
        <v>0</v>
      </c>
      <c r="L418" s="247">
        <v>0</v>
      </c>
      <c r="M418" s="247">
        <v>0</v>
      </c>
      <c r="N418" s="247">
        <v>0</v>
      </c>
      <c r="O418" s="172"/>
      <c r="P418" s="247">
        <v>0</v>
      </c>
      <c r="Q418" s="247">
        <v>0</v>
      </c>
      <c r="R418" s="247">
        <v>0</v>
      </c>
      <c r="S418" s="247">
        <v>0</v>
      </c>
      <c r="T418" s="248">
        <v>0</v>
      </c>
      <c r="U418" s="247">
        <v>0</v>
      </c>
      <c r="V418" s="247">
        <v>0</v>
      </c>
      <c r="W418" s="247">
        <v>0</v>
      </c>
      <c r="X418" s="247">
        <v>0</v>
      </c>
      <c r="Y418" s="247">
        <v>0</v>
      </c>
      <c r="Z418" s="247">
        <v>0</v>
      </c>
    </row>
    <row r="419" spans="1:26" ht="12.75" hidden="1" x14ac:dyDescent="0.2">
      <c r="A419" s="172">
        <v>4075</v>
      </c>
      <c r="B419" s="172">
        <v>7</v>
      </c>
      <c r="C419" s="173" t="s">
        <v>645</v>
      </c>
      <c r="D419" s="179">
        <v>7</v>
      </c>
      <c r="E419" s="248">
        <v>190</v>
      </c>
      <c r="F419" s="247">
        <v>0</v>
      </c>
      <c r="G419" s="247">
        <v>0</v>
      </c>
      <c r="H419" s="247">
        <v>0</v>
      </c>
      <c r="I419" s="247">
        <v>0</v>
      </c>
      <c r="J419" s="247">
        <v>0</v>
      </c>
      <c r="K419" s="247">
        <v>0</v>
      </c>
      <c r="L419" s="247">
        <v>0</v>
      </c>
      <c r="M419" s="247">
        <v>0</v>
      </c>
      <c r="N419" s="247">
        <v>0</v>
      </c>
      <c r="O419" s="172"/>
      <c r="P419" s="247">
        <v>0</v>
      </c>
      <c r="Q419" s="247">
        <v>0</v>
      </c>
      <c r="R419" s="247">
        <v>0</v>
      </c>
      <c r="S419" s="247">
        <v>0</v>
      </c>
      <c r="T419" s="248">
        <v>0</v>
      </c>
      <c r="U419" s="247">
        <v>0</v>
      </c>
      <c r="V419" s="247">
        <v>0</v>
      </c>
      <c r="W419" s="247">
        <v>0</v>
      </c>
      <c r="X419" s="247">
        <v>0</v>
      </c>
      <c r="Y419" s="247">
        <v>0</v>
      </c>
      <c r="Z419" s="247">
        <v>0</v>
      </c>
    </row>
    <row r="420" spans="1:26" ht="12.75" hidden="1" x14ac:dyDescent="0.2">
      <c r="A420" s="172">
        <v>4077</v>
      </c>
      <c r="B420" s="172">
        <v>7</v>
      </c>
      <c r="C420" s="173" t="s">
        <v>696</v>
      </c>
      <c r="D420" s="179">
        <v>7</v>
      </c>
      <c r="E420" s="248">
        <v>581</v>
      </c>
      <c r="F420" s="247">
        <v>0</v>
      </c>
      <c r="G420" s="247">
        <v>0</v>
      </c>
      <c r="H420" s="247">
        <v>0</v>
      </c>
      <c r="I420" s="247">
        <v>0</v>
      </c>
      <c r="J420" s="247">
        <v>0</v>
      </c>
      <c r="K420" s="247">
        <v>0</v>
      </c>
      <c r="L420" s="247">
        <v>0</v>
      </c>
      <c r="M420" s="247">
        <v>0</v>
      </c>
      <c r="N420" s="247">
        <v>0</v>
      </c>
      <c r="O420" s="172"/>
      <c r="P420" s="247">
        <v>0</v>
      </c>
      <c r="Q420" s="247">
        <v>0</v>
      </c>
      <c r="R420" s="247">
        <v>0</v>
      </c>
      <c r="S420" s="247">
        <v>0</v>
      </c>
      <c r="T420" s="248">
        <v>0</v>
      </c>
      <c r="U420" s="247">
        <v>0</v>
      </c>
      <c r="V420" s="247">
        <v>0</v>
      </c>
      <c r="W420" s="247">
        <v>0</v>
      </c>
      <c r="X420" s="247">
        <v>0</v>
      </c>
      <c r="Y420" s="247">
        <v>0</v>
      </c>
      <c r="Z420" s="247">
        <v>0</v>
      </c>
    </row>
    <row r="421" spans="1:26" ht="12.75" hidden="1" x14ac:dyDescent="0.2">
      <c r="A421" s="172">
        <v>4078</v>
      </c>
      <c r="B421" s="172">
        <v>7</v>
      </c>
      <c r="C421" s="173" t="s">
        <v>618</v>
      </c>
      <c r="D421" s="179">
        <v>7</v>
      </c>
      <c r="E421" s="248">
        <v>380</v>
      </c>
      <c r="F421" s="247">
        <v>0</v>
      </c>
      <c r="G421" s="247">
        <v>0</v>
      </c>
      <c r="H421" s="247">
        <v>0</v>
      </c>
      <c r="I421" s="247">
        <v>0</v>
      </c>
      <c r="J421" s="247">
        <v>0</v>
      </c>
      <c r="K421" s="247">
        <v>0</v>
      </c>
      <c r="L421" s="247">
        <v>0</v>
      </c>
      <c r="M421" s="247">
        <v>0</v>
      </c>
      <c r="N421" s="247">
        <v>0</v>
      </c>
      <c r="O421" s="172"/>
      <c r="P421" s="247">
        <v>0</v>
      </c>
      <c r="Q421" s="247">
        <v>0</v>
      </c>
      <c r="R421" s="247">
        <v>0</v>
      </c>
      <c r="S421" s="247">
        <v>0</v>
      </c>
      <c r="T421" s="248">
        <v>0</v>
      </c>
      <c r="U421" s="247">
        <v>0</v>
      </c>
      <c r="V421" s="247">
        <v>0</v>
      </c>
      <c r="W421" s="247">
        <v>0</v>
      </c>
      <c r="X421" s="247">
        <v>0</v>
      </c>
      <c r="Y421" s="247">
        <v>0</v>
      </c>
      <c r="Z421" s="247">
        <v>0</v>
      </c>
    </row>
    <row r="422" spans="1:26" ht="12.75" hidden="1" x14ac:dyDescent="0.2">
      <c r="A422" s="172">
        <v>4079</v>
      </c>
      <c r="B422" s="172">
        <v>7</v>
      </c>
      <c r="C422" s="173" t="s">
        <v>697</v>
      </c>
      <c r="D422" s="179">
        <v>7</v>
      </c>
      <c r="E422" s="248">
        <v>120</v>
      </c>
      <c r="F422" s="247">
        <v>0</v>
      </c>
      <c r="G422" s="247">
        <v>0</v>
      </c>
      <c r="H422" s="247">
        <v>0</v>
      </c>
      <c r="I422" s="247">
        <v>0</v>
      </c>
      <c r="J422" s="247">
        <v>0</v>
      </c>
      <c r="K422" s="247">
        <v>0</v>
      </c>
      <c r="L422" s="247">
        <v>0</v>
      </c>
      <c r="M422" s="247">
        <v>0</v>
      </c>
      <c r="N422" s="247">
        <v>0</v>
      </c>
      <c r="O422" s="172"/>
      <c r="P422" s="247">
        <v>0</v>
      </c>
      <c r="Q422" s="247">
        <v>0</v>
      </c>
      <c r="R422" s="247">
        <v>0</v>
      </c>
      <c r="S422" s="247">
        <v>0</v>
      </c>
      <c r="T422" s="248">
        <v>0</v>
      </c>
      <c r="U422" s="247">
        <v>0</v>
      </c>
      <c r="V422" s="247">
        <v>0</v>
      </c>
      <c r="W422" s="247">
        <v>0</v>
      </c>
      <c r="X422" s="247">
        <v>0</v>
      </c>
      <c r="Y422" s="247">
        <v>0</v>
      </c>
      <c r="Z422" s="247">
        <v>0</v>
      </c>
    </row>
    <row r="423" spans="1:26" ht="12.75" hidden="1" x14ac:dyDescent="0.2">
      <c r="A423" s="172">
        <v>4080</v>
      </c>
      <c r="B423" s="172">
        <v>7</v>
      </c>
      <c r="C423" s="173" t="s">
        <v>683</v>
      </c>
      <c r="D423" s="179">
        <v>7</v>
      </c>
      <c r="E423" s="248">
        <v>40</v>
      </c>
      <c r="F423" s="247">
        <v>0</v>
      </c>
      <c r="G423" s="247">
        <v>0</v>
      </c>
      <c r="H423" s="247">
        <v>0</v>
      </c>
      <c r="I423" s="247">
        <v>0</v>
      </c>
      <c r="J423" s="247">
        <v>0</v>
      </c>
      <c r="K423" s="247">
        <v>0</v>
      </c>
      <c r="L423" s="247">
        <v>0</v>
      </c>
      <c r="M423" s="247">
        <v>0</v>
      </c>
      <c r="N423" s="247">
        <v>0</v>
      </c>
      <c r="O423" s="172"/>
      <c r="P423" s="247">
        <v>0</v>
      </c>
      <c r="Q423" s="247">
        <v>0</v>
      </c>
      <c r="R423" s="247">
        <v>0</v>
      </c>
      <c r="S423" s="247">
        <v>0</v>
      </c>
      <c r="T423" s="248">
        <v>0</v>
      </c>
      <c r="U423" s="247">
        <v>0</v>
      </c>
      <c r="V423" s="247">
        <v>0</v>
      </c>
      <c r="W423" s="247">
        <v>0</v>
      </c>
      <c r="X423" s="247">
        <v>0</v>
      </c>
      <c r="Y423" s="247">
        <v>0</v>
      </c>
      <c r="Z423" s="247">
        <v>0</v>
      </c>
    </row>
    <row r="424" spans="1:26" ht="12.75" hidden="1" x14ac:dyDescent="0.2">
      <c r="A424" s="172">
        <v>4081</v>
      </c>
      <c r="B424" s="172">
        <v>7</v>
      </c>
      <c r="C424" s="173" t="s">
        <v>687</v>
      </c>
      <c r="D424" s="179">
        <v>7</v>
      </c>
      <c r="E424" s="248">
        <v>59</v>
      </c>
      <c r="F424" s="247">
        <v>0</v>
      </c>
      <c r="G424" s="247">
        <v>0</v>
      </c>
      <c r="H424" s="247">
        <v>0</v>
      </c>
      <c r="I424" s="247">
        <v>0</v>
      </c>
      <c r="J424" s="247">
        <v>0</v>
      </c>
      <c r="K424" s="247">
        <v>0</v>
      </c>
      <c r="L424" s="247">
        <v>0</v>
      </c>
      <c r="M424" s="247">
        <v>0</v>
      </c>
      <c r="N424" s="247">
        <v>0</v>
      </c>
      <c r="O424" s="172"/>
      <c r="P424" s="247">
        <v>0</v>
      </c>
      <c r="Q424" s="247">
        <v>0</v>
      </c>
      <c r="R424" s="247">
        <v>0</v>
      </c>
      <c r="S424" s="247">
        <v>0</v>
      </c>
      <c r="T424" s="248">
        <v>0</v>
      </c>
      <c r="U424" s="247">
        <v>0</v>
      </c>
      <c r="V424" s="247">
        <v>0</v>
      </c>
      <c r="W424" s="247">
        <v>0</v>
      </c>
      <c r="X424" s="247">
        <v>0</v>
      </c>
      <c r="Y424" s="247">
        <v>0</v>
      </c>
      <c r="Z424" s="247">
        <v>0</v>
      </c>
    </row>
    <row r="425" spans="1:26" ht="12.75" hidden="1" x14ac:dyDescent="0.2">
      <c r="A425" s="172">
        <v>4082</v>
      </c>
      <c r="B425" s="172">
        <v>7</v>
      </c>
      <c r="C425" s="173" t="s">
        <v>609</v>
      </c>
      <c r="D425" s="179">
        <v>7</v>
      </c>
      <c r="E425" s="248">
        <v>500</v>
      </c>
      <c r="F425" s="247">
        <v>0</v>
      </c>
      <c r="G425" s="247">
        <v>0</v>
      </c>
      <c r="H425" s="247">
        <v>0</v>
      </c>
      <c r="I425" s="247">
        <v>0</v>
      </c>
      <c r="J425" s="247">
        <v>0</v>
      </c>
      <c r="K425" s="247">
        <v>0</v>
      </c>
      <c r="L425" s="247">
        <v>0</v>
      </c>
      <c r="M425" s="247">
        <v>0</v>
      </c>
      <c r="N425" s="247">
        <v>0</v>
      </c>
      <c r="O425" s="172"/>
      <c r="P425" s="247">
        <v>0</v>
      </c>
      <c r="Q425" s="247">
        <v>0</v>
      </c>
      <c r="R425" s="247">
        <v>0</v>
      </c>
      <c r="S425" s="247">
        <v>0</v>
      </c>
      <c r="T425" s="248">
        <v>0</v>
      </c>
      <c r="U425" s="247">
        <v>0</v>
      </c>
      <c r="V425" s="247">
        <v>0</v>
      </c>
      <c r="W425" s="247">
        <v>0</v>
      </c>
      <c r="X425" s="247">
        <v>0</v>
      </c>
      <c r="Y425" s="247">
        <v>0</v>
      </c>
      <c r="Z425" s="247">
        <v>0</v>
      </c>
    </row>
    <row r="426" spans="1:26" ht="12.75" hidden="1" x14ac:dyDescent="0.2">
      <c r="A426" s="172">
        <v>4083</v>
      </c>
      <c r="B426" s="172">
        <v>7</v>
      </c>
      <c r="C426" s="173" t="s">
        <v>443</v>
      </c>
      <c r="D426" s="179">
        <v>7</v>
      </c>
      <c r="E426" s="248">
        <v>102</v>
      </c>
      <c r="F426" s="247">
        <v>0</v>
      </c>
      <c r="G426" s="247">
        <v>0</v>
      </c>
      <c r="H426" s="247">
        <v>0</v>
      </c>
      <c r="I426" s="247">
        <v>0</v>
      </c>
      <c r="J426" s="247">
        <v>0</v>
      </c>
      <c r="K426" s="247">
        <v>0</v>
      </c>
      <c r="L426" s="247">
        <v>0</v>
      </c>
      <c r="M426" s="247">
        <v>0</v>
      </c>
      <c r="N426" s="247">
        <v>0</v>
      </c>
      <c r="O426" s="172"/>
      <c r="P426" s="247">
        <v>0</v>
      </c>
      <c r="Q426" s="247">
        <v>0</v>
      </c>
      <c r="R426" s="247">
        <v>0</v>
      </c>
      <c r="S426" s="247">
        <v>0</v>
      </c>
      <c r="T426" s="248">
        <v>0</v>
      </c>
      <c r="U426" s="247">
        <v>0</v>
      </c>
      <c r="V426" s="247">
        <v>0</v>
      </c>
      <c r="W426" s="247">
        <v>0</v>
      </c>
      <c r="X426" s="247">
        <v>0</v>
      </c>
      <c r="Y426" s="247">
        <v>0</v>
      </c>
      <c r="Z426" s="247">
        <v>0</v>
      </c>
    </row>
    <row r="427" spans="1:26" ht="12.75" hidden="1" x14ac:dyDescent="0.2">
      <c r="A427" s="172">
        <v>4084</v>
      </c>
      <c r="B427" s="172">
        <v>7</v>
      </c>
      <c r="C427" s="173" t="s">
        <v>518</v>
      </c>
      <c r="D427" s="179">
        <v>7</v>
      </c>
      <c r="E427" s="248">
        <v>341</v>
      </c>
      <c r="F427" s="247">
        <v>0</v>
      </c>
      <c r="G427" s="247">
        <v>0</v>
      </c>
      <c r="H427" s="247">
        <v>0</v>
      </c>
      <c r="I427" s="247">
        <v>0</v>
      </c>
      <c r="J427" s="247">
        <v>0</v>
      </c>
      <c r="K427" s="247">
        <v>0</v>
      </c>
      <c r="L427" s="247">
        <v>0</v>
      </c>
      <c r="M427" s="247">
        <v>0</v>
      </c>
      <c r="N427" s="247">
        <v>0</v>
      </c>
      <c r="O427" s="172"/>
      <c r="P427" s="247">
        <v>0</v>
      </c>
      <c r="Q427" s="247">
        <v>0</v>
      </c>
      <c r="R427" s="247">
        <v>0</v>
      </c>
      <c r="S427" s="247">
        <v>0</v>
      </c>
      <c r="T427" s="248">
        <v>0</v>
      </c>
      <c r="U427" s="247">
        <v>0</v>
      </c>
      <c r="V427" s="247">
        <v>0</v>
      </c>
      <c r="W427" s="247">
        <v>0</v>
      </c>
      <c r="X427" s="247">
        <v>0</v>
      </c>
      <c r="Y427" s="247">
        <v>0</v>
      </c>
      <c r="Z427" s="247">
        <v>0</v>
      </c>
    </row>
    <row r="428" spans="1:26" ht="12.75" hidden="1" x14ac:dyDescent="0.2">
      <c r="A428" s="172">
        <v>4085</v>
      </c>
      <c r="B428" s="172">
        <v>7</v>
      </c>
      <c r="C428" s="173" t="s">
        <v>681</v>
      </c>
      <c r="D428" s="179">
        <v>7</v>
      </c>
      <c r="E428" s="248">
        <v>160</v>
      </c>
      <c r="F428" s="247">
        <v>0</v>
      </c>
      <c r="G428" s="247">
        <v>0</v>
      </c>
      <c r="H428" s="247">
        <v>0</v>
      </c>
      <c r="I428" s="247">
        <v>0</v>
      </c>
      <c r="J428" s="247">
        <v>0</v>
      </c>
      <c r="K428" s="247">
        <v>0</v>
      </c>
      <c r="L428" s="247">
        <v>0</v>
      </c>
      <c r="M428" s="247">
        <v>0</v>
      </c>
      <c r="N428" s="247">
        <v>0</v>
      </c>
      <c r="O428" s="172"/>
      <c r="P428" s="247">
        <v>0</v>
      </c>
      <c r="Q428" s="247">
        <v>0</v>
      </c>
      <c r="R428" s="247">
        <v>0</v>
      </c>
      <c r="S428" s="247">
        <v>0</v>
      </c>
      <c r="T428" s="248">
        <v>0</v>
      </c>
      <c r="U428" s="247">
        <v>0</v>
      </c>
      <c r="V428" s="247">
        <v>0</v>
      </c>
      <c r="W428" s="247">
        <v>0</v>
      </c>
      <c r="X428" s="247">
        <v>0</v>
      </c>
      <c r="Y428" s="247">
        <v>0</v>
      </c>
      <c r="Z428" s="247">
        <v>0</v>
      </c>
    </row>
    <row r="429" spans="1:26" ht="12.75" hidden="1" x14ac:dyDescent="0.2">
      <c r="A429" s="172">
        <v>4086</v>
      </c>
      <c r="B429" s="172">
        <v>7</v>
      </c>
      <c r="C429" s="173" t="s">
        <v>354</v>
      </c>
      <c r="D429" s="179">
        <v>7</v>
      </c>
      <c r="E429" s="248">
        <v>300</v>
      </c>
      <c r="F429" s="247">
        <v>0</v>
      </c>
      <c r="G429" s="247">
        <v>0</v>
      </c>
      <c r="H429" s="247">
        <v>0</v>
      </c>
      <c r="I429" s="247">
        <v>0</v>
      </c>
      <c r="J429" s="247">
        <v>0</v>
      </c>
      <c r="K429" s="247">
        <v>0</v>
      </c>
      <c r="L429" s="247">
        <v>0</v>
      </c>
      <c r="M429" s="247">
        <v>0</v>
      </c>
      <c r="N429" s="247">
        <v>0</v>
      </c>
      <c r="O429" s="172"/>
      <c r="P429" s="247">
        <v>0</v>
      </c>
      <c r="Q429" s="247">
        <v>0</v>
      </c>
      <c r="R429" s="247">
        <v>0</v>
      </c>
      <c r="S429" s="247">
        <v>0</v>
      </c>
      <c r="T429" s="248">
        <v>0</v>
      </c>
      <c r="U429" s="247">
        <v>0</v>
      </c>
      <c r="V429" s="247">
        <v>0</v>
      </c>
      <c r="W429" s="247">
        <v>0</v>
      </c>
      <c r="X429" s="247">
        <v>0</v>
      </c>
      <c r="Y429" s="247">
        <v>0</v>
      </c>
      <c r="Z429" s="247">
        <v>0</v>
      </c>
    </row>
    <row r="430" spans="1:26" ht="12.75" hidden="1" x14ac:dyDescent="0.2">
      <c r="A430" s="172">
        <v>4087</v>
      </c>
      <c r="B430" s="172">
        <v>7</v>
      </c>
      <c r="C430" s="173" t="s">
        <v>698</v>
      </c>
      <c r="D430" s="179">
        <v>7</v>
      </c>
      <c r="E430" s="248">
        <v>75</v>
      </c>
      <c r="F430" s="247">
        <v>0</v>
      </c>
      <c r="G430" s="247">
        <v>0</v>
      </c>
      <c r="H430" s="247">
        <v>0</v>
      </c>
      <c r="I430" s="247">
        <v>0</v>
      </c>
      <c r="J430" s="247">
        <v>0</v>
      </c>
      <c r="K430" s="247">
        <v>0</v>
      </c>
      <c r="L430" s="247">
        <v>0</v>
      </c>
      <c r="M430" s="247">
        <v>0</v>
      </c>
      <c r="N430" s="247">
        <v>0</v>
      </c>
      <c r="O430" s="172"/>
      <c r="P430" s="247">
        <v>0</v>
      </c>
      <c r="Q430" s="247">
        <v>0</v>
      </c>
      <c r="R430" s="247">
        <v>0</v>
      </c>
      <c r="S430" s="247">
        <v>0</v>
      </c>
      <c r="T430" s="248">
        <v>0</v>
      </c>
      <c r="U430" s="247">
        <v>0</v>
      </c>
      <c r="V430" s="247">
        <v>0</v>
      </c>
      <c r="W430" s="247">
        <v>0</v>
      </c>
      <c r="X430" s="247">
        <v>0</v>
      </c>
      <c r="Y430" s="247">
        <v>0</v>
      </c>
      <c r="Z430" s="247">
        <v>0</v>
      </c>
    </row>
    <row r="431" spans="1:26" ht="12.75" hidden="1" x14ac:dyDescent="0.2">
      <c r="A431" s="172">
        <v>4088</v>
      </c>
      <c r="B431" s="172">
        <v>7</v>
      </c>
      <c r="C431" s="173" t="s">
        <v>699</v>
      </c>
      <c r="D431" s="179">
        <v>7</v>
      </c>
      <c r="E431" s="248">
        <v>269</v>
      </c>
      <c r="F431" s="247">
        <v>0</v>
      </c>
      <c r="G431" s="247">
        <v>0</v>
      </c>
      <c r="H431" s="247">
        <v>0</v>
      </c>
      <c r="I431" s="247">
        <v>0</v>
      </c>
      <c r="J431" s="247">
        <v>0</v>
      </c>
      <c r="K431" s="247">
        <v>0</v>
      </c>
      <c r="L431" s="247">
        <v>0</v>
      </c>
      <c r="M431" s="247">
        <v>0</v>
      </c>
      <c r="N431" s="247">
        <v>0</v>
      </c>
      <c r="O431" s="172"/>
      <c r="P431" s="247">
        <v>0</v>
      </c>
      <c r="Q431" s="247">
        <v>0</v>
      </c>
      <c r="R431" s="247">
        <v>0</v>
      </c>
      <c r="S431" s="247">
        <v>0</v>
      </c>
      <c r="T431" s="248">
        <v>0</v>
      </c>
      <c r="U431" s="247">
        <v>0</v>
      </c>
      <c r="V431" s="247">
        <v>0</v>
      </c>
      <c r="W431" s="247">
        <v>0</v>
      </c>
      <c r="X431" s="247">
        <v>0</v>
      </c>
      <c r="Y431" s="247">
        <v>0</v>
      </c>
      <c r="Z431" s="247">
        <v>0</v>
      </c>
    </row>
    <row r="432" spans="1:26" ht="12.75" hidden="1" x14ac:dyDescent="0.2">
      <c r="A432" s="172">
        <v>4089</v>
      </c>
      <c r="B432" s="172">
        <v>7</v>
      </c>
      <c r="C432" s="173" t="s">
        <v>661</v>
      </c>
      <c r="D432" s="179">
        <v>7</v>
      </c>
      <c r="E432" s="248">
        <v>126</v>
      </c>
      <c r="F432" s="247">
        <v>0</v>
      </c>
      <c r="G432" s="247">
        <v>0</v>
      </c>
      <c r="H432" s="247">
        <v>0</v>
      </c>
      <c r="I432" s="247">
        <v>0</v>
      </c>
      <c r="J432" s="247">
        <v>0</v>
      </c>
      <c r="K432" s="247">
        <v>0</v>
      </c>
      <c r="L432" s="247">
        <v>0</v>
      </c>
      <c r="M432" s="247">
        <v>0</v>
      </c>
      <c r="N432" s="247">
        <v>0</v>
      </c>
      <c r="O432" s="172"/>
      <c r="P432" s="247">
        <v>0</v>
      </c>
      <c r="Q432" s="247">
        <v>0</v>
      </c>
      <c r="R432" s="247">
        <v>0</v>
      </c>
      <c r="S432" s="247">
        <v>0</v>
      </c>
      <c r="T432" s="248">
        <v>0</v>
      </c>
      <c r="U432" s="247">
        <v>0</v>
      </c>
      <c r="V432" s="247">
        <v>0</v>
      </c>
      <c r="W432" s="247">
        <v>0</v>
      </c>
      <c r="X432" s="247">
        <v>0</v>
      </c>
      <c r="Y432" s="247">
        <v>0</v>
      </c>
      <c r="Z432" s="247">
        <v>0</v>
      </c>
    </row>
    <row r="433" spans="1:26" ht="12.75" hidden="1" x14ac:dyDescent="0.2">
      <c r="A433" s="172">
        <v>4090</v>
      </c>
      <c r="B433" s="172">
        <v>7</v>
      </c>
      <c r="C433" s="173" t="s">
        <v>480</v>
      </c>
      <c r="D433" s="179">
        <v>7</v>
      </c>
      <c r="E433" s="248">
        <v>180</v>
      </c>
      <c r="F433" s="247">
        <v>0</v>
      </c>
      <c r="G433" s="247">
        <v>0</v>
      </c>
      <c r="H433" s="247">
        <v>0</v>
      </c>
      <c r="I433" s="247">
        <v>0</v>
      </c>
      <c r="J433" s="247">
        <v>0</v>
      </c>
      <c r="K433" s="247">
        <v>0</v>
      </c>
      <c r="L433" s="247">
        <v>0</v>
      </c>
      <c r="M433" s="247">
        <v>0</v>
      </c>
      <c r="N433" s="247">
        <v>0</v>
      </c>
      <c r="O433" s="172"/>
      <c r="P433" s="247">
        <v>0</v>
      </c>
      <c r="Q433" s="247">
        <v>0</v>
      </c>
      <c r="R433" s="247">
        <v>0</v>
      </c>
      <c r="S433" s="247">
        <v>0</v>
      </c>
      <c r="T433" s="248">
        <v>0</v>
      </c>
      <c r="U433" s="247">
        <v>0</v>
      </c>
      <c r="V433" s="247">
        <v>0</v>
      </c>
      <c r="W433" s="247">
        <v>0</v>
      </c>
      <c r="X433" s="247">
        <v>0</v>
      </c>
      <c r="Y433" s="247">
        <v>0</v>
      </c>
      <c r="Z433" s="247">
        <v>0</v>
      </c>
    </row>
    <row r="434" spans="1:26" ht="12.75" hidden="1" x14ac:dyDescent="0.2">
      <c r="A434" s="172">
        <v>4091</v>
      </c>
      <c r="B434" s="172">
        <v>7</v>
      </c>
      <c r="C434" s="173" t="s">
        <v>700</v>
      </c>
      <c r="D434" s="179">
        <v>7</v>
      </c>
      <c r="E434" s="248">
        <v>120</v>
      </c>
      <c r="F434" s="247">
        <v>0</v>
      </c>
      <c r="G434" s="247">
        <v>0</v>
      </c>
      <c r="H434" s="247">
        <v>0</v>
      </c>
      <c r="I434" s="247">
        <v>0</v>
      </c>
      <c r="J434" s="247">
        <v>0</v>
      </c>
      <c r="K434" s="247">
        <v>0</v>
      </c>
      <c r="L434" s="247">
        <v>0</v>
      </c>
      <c r="M434" s="247">
        <v>0</v>
      </c>
      <c r="N434" s="247">
        <v>0</v>
      </c>
      <c r="O434" s="172"/>
      <c r="P434" s="247">
        <v>0</v>
      </c>
      <c r="Q434" s="247">
        <v>0</v>
      </c>
      <c r="R434" s="247">
        <v>0</v>
      </c>
      <c r="S434" s="247">
        <v>0</v>
      </c>
      <c r="T434" s="248">
        <v>0</v>
      </c>
      <c r="U434" s="247">
        <v>0</v>
      </c>
      <c r="V434" s="247">
        <v>0</v>
      </c>
      <c r="W434" s="247">
        <v>0</v>
      </c>
      <c r="X434" s="247">
        <v>0</v>
      </c>
      <c r="Y434" s="247">
        <v>0</v>
      </c>
      <c r="Z434" s="247">
        <v>0</v>
      </c>
    </row>
    <row r="435" spans="1:26" ht="12.75" hidden="1" x14ac:dyDescent="0.2">
      <c r="A435" s="172">
        <v>4092</v>
      </c>
      <c r="B435" s="172">
        <v>7</v>
      </c>
      <c r="C435" s="173" t="s">
        <v>677</v>
      </c>
      <c r="D435" s="179">
        <v>7</v>
      </c>
      <c r="E435" s="248">
        <v>78</v>
      </c>
      <c r="F435" s="247">
        <v>0</v>
      </c>
      <c r="G435" s="247">
        <v>0</v>
      </c>
      <c r="H435" s="247">
        <v>0</v>
      </c>
      <c r="I435" s="247">
        <v>0</v>
      </c>
      <c r="J435" s="247">
        <v>0</v>
      </c>
      <c r="K435" s="247">
        <v>0</v>
      </c>
      <c r="L435" s="247">
        <v>0</v>
      </c>
      <c r="M435" s="247">
        <v>0</v>
      </c>
      <c r="N435" s="247">
        <v>0</v>
      </c>
      <c r="O435" s="172"/>
      <c r="P435" s="247">
        <v>0</v>
      </c>
      <c r="Q435" s="247">
        <v>0</v>
      </c>
      <c r="R435" s="247">
        <v>0</v>
      </c>
      <c r="S435" s="247">
        <v>0</v>
      </c>
      <c r="T435" s="248">
        <v>0</v>
      </c>
      <c r="U435" s="247">
        <v>0</v>
      </c>
      <c r="V435" s="247">
        <v>0</v>
      </c>
      <c r="W435" s="247">
        <v>0</v>
      </c>
      <c r="X435" s="247">
        <v>0</v>
      </c>
      <c r="Y435" s="247">
        <v>0</v>
      </c>
      <c r="Z435" s="247">
        <v>0</v>
      </c>
    </row>
    <row r="436" spans="1:26" ht="12.75" hidden="1" x14ac:dyDescent="0.2">
      <c r="A436" s="172">
        <v>4093</v>
      </c>
      <c r="B436" s="172">
        <v>7</v>
      </c>
      <c r="C436" s="173" t="s">
        <v>671</v>
      </c>
      <c r="D436" s="179">
        <v>7</v>
      </c>
      <c r="E436" s="248">
        <v>140</v>
      </c>
      <c r="F436" s="247">
        <v>0</v>
      </c>
      <c r="G436" s="247">
        <v>0</v>
      </c>
      <c r="H436" s="247">
        <v>0</v>
      </c>
      <c r="I436" s="247">
        <v>0</v>
      </c>
      <c r="J436" s="247">
        <v>0</v>
      </c>
      <c r="K436" s="247">
        <v>0</v>
      </c>
      <c r="L436" s="247">
        <v>0</v>
      </c>
      <c r="M436" s="247">
        <v>0</v>
      </c>
      <c r="N436" s="247">
        <v>0</v>
      </c>
      <c r="O436" s="172"/>
      <c r="P436" s="247">
        <v>0</v>
      </c>
      <c r="Q436" s="247">
        <v>0</v>
      </c>
      <c r="R436" s="247">
        <v>0</v>
      </c>
      <c r="S436" s="247">
        <v>0</v>
      </c>
      <c r="T436" s="248">
        <v>0</v>
      </c>
      <c r="U436" s="247">
        <v>0</v>
      </c>
      <c r="V436" s="247">
        <v>0</v>
      </c>
      <c r="W436" s="247">
        <v>0</v>
      </c>
      <c r="X436" s="247">
        <v>0</v>
      </c>
      <c r="Y436" s="247">
        <v>0</v>
      </c>
      <c r="Z436" s="247">
        <v>0</v>
      </c>
    </row>
    <row r="437" spans="1:26" ht="12.75" hidden="1" x14ac:dyDescent="0.2">
      <c r="A437" s="172">
        <v>4095</v>
      </c>
      <c r="B437" s="172">
        <v>7</v>
      </c>
      <c r="C437" s="173" t="s">
        <v>548</v>
      </c>
      <c r="D437" s="179">
        <v>7</v>
      </c>
      <c r="E437" s="248">
        <v>140</v>
      </c>
      <c r="F437" s="247">
        <v>0</v>
      </c>
      <c r="G437" s="247">
        <v>0</v>
      </c>
      <c r="H437" s="247">
        <v>0</v>
      </c>
      <c r="I437" s="247">
        <v>0</v>
      </c>
      <c r="J437" s="247">
        <v>0</v>
      </c>
      <c r="K437" s="247">
        <v>0</v>
      </c>
      <c r="L437" s="247">
        <v>0</v>
      </c>
      <c r="M437" s="247">
        <v>0</v>
      </c>
      <c r="N437" s="247">
        <v>0</v>
      </c>
      <c r="O437" s="172"/>
      <c r="P437" s="247">
        <v>0</v>
      </c>
      <c r="Q437" s="247">
        <v>0</v>
      </c>
      <c r="R437" s="247">
        <v>0</v>
      </c>
      <c r="S437" s="247">
        <v>0</v>
      </c>
      <c r="T437" s="248">
        <v>0</v>
      </c>
      <c r="U437" s="247">
        <v>0</v>
      </c>
      <c r="V437" s="247">
        <v>0</v>
      </c>
      <c r="W437" s="247">
        <v>0</v>
      </c>
      <c r="X437" s="247">
        <v>0</v>
      </c>
      <c r="Y437" s="247">
        <v>0</v>
      </c>
      <c r="Z437" s="247">
        <v>0</v>
      </c>
    </row>
    <row r="438" spans="1:26" ht="12.75" hidden="1" x14ac:dyDescent="0.2">
      <c r="A438" s="172">
        <v>4097</v>
      </c>
      <c r="B438" s="172">
        <v>7</v>
      </c>
      <c r="C438" s="173" t="s">
        <v>255</v>
      </c>
      <c r="D438" s="179">
        <v>7</v>
      </c>
      <c r="E438" s="248">
        <v>262</v>
      </c>
      <c r="F438" s="247">
        <v>0</v>
      </c>
      <c r="G438" s="247">
        <v>0</v>
      </c>
      <c r="H438" s="247">
        <v>0</v>
      </c>
      <c r="I438" s="247">
        <v>0</v>
      </c>
      <c r="J438" s="247">
        <v>0</v>
      </c>
      <c r="K438" s="247">
        <v>0</v>
      </c>
      <c r="L438" s="247">
        <v>0</v>
      </c>
      <c r="M438" s="247">
        <v>0</v>
      </c>
      <c r="N438" s="247">
        <v>0</v>
      </c>
      <c r="O438" s="172"/>
      <c r="P438" s="247">
        <v>0</v>
      </c>
      <c r="Q438" s="247">
        <v>0</v>
      </c>
      <c r="R438" s="247">
        <v>0</v>
      </c>
      <c r="S438" s="247">
        <v>0</v>
      </c>
      <c r="T438" s="248">
        <v>0</v>
      </c>
      <c r="U438" s="247">
        <v>0</v>
      </c>
      <c r="V438" s="247">
        <v>0</v>
      </c>
      <c r="W438" s="247">
        <v>0</v>
      </c>
      <c r="X438" s="247">
        <v>0</v>
      </c>
      <c r="Y438" s="247">
        <v>0</v>
      </c>
      <c r="Z438" s="247">
        <v>0</v>
      </c>
    </row>
    <row r="439" spans="1:26" ht="12.75" hidden="1" x14ac:dyDescent="0.2">
      <c r="A439" s="172">
        <v>4098</v>
      </c>
      <c r="B439" s="172">
        <v>7</v>
      </c>
      <c r="C439" s="173" t="s">
        <v>428</v>
      </c>
      <c r="D439" s="179">
        <v>7</v>
      </c>
      <c r="E439" s="248">
        <v>848</v>
      </c>
      <c r="F439" s="247">
        <v>0</v>
      </c>
      <c r="G439" s="247">
        <v>0</v>
      </c>
      <c r="H439" s="247">
        <v>0</v>
      </c>
      <c r="I439" s="247">
        <v>0</v>
      </c>
      <c r="J439" s="247">
        <v>0</v>
      </c>
      <c r="K439" s="247">
        <v>0</v>
      </c>
      <c r="L439" s="247">
        <v>0</v>
      </c>
      <c r="M439" s="247">
        <v>0</v>
      </c>
      <c r="N439" s="247">
        <v>0</v>
      </c>
      <c r="O439" s="172"/>
      <c r="P439" s="247">
        <v>0</v>
      </c>
      <c r="Q439" s="247">
        <v>0</v>
      </c>
      <c r="R439" s="247">
        <v>0</v>
      </c>
      <c r="S439" s="247">
        <v>0</v>
      </c>
      <c r="T439" s="248">
        <v>0</v>
      </c>
      <c r="U439" s="247">
        <v>0</v>
      </c>
      <c r="V439" s="247">
        <v>0</v>
      </c>
      <c r="W439" s="247">
        <v>0</v>
      </c>
      <c r="X439" s="247">
        <v>0</v>
      </c>
      <c r="Y439" s="247">
        <v>0</v>
      </c>
      <c r="Z439" s="247">
        <v>0</v>
      </c>
    </row>
    <row r="440" spans="1:26" ht="12.75" hidden="1" x14ac:dyDescent="0.2">
      <c r="A440" s="172">
        <v>4100</v>
      </c>
      <c r="B440" s="172">
        <v>7</v>
      </c>
      <c r="C440" s="173" t="s">
        <v>545</v>
      </c>
      <c r="D440" s="179">
        <v>7</v>
      </c>
      <c r="E440" s="248">
        <v>82</v>
      </c>
      <c r="F440" s="247">
        <v>0</v>
      </c>
      <c r="G440" s="247">
        <v>0</v>
      </c>
      <c r="H440" s="247">
        <v>0</v>
      </c>
      <c r="I440" s="247">
        <v>0</v>
      </c>
      <c r="J440" s="247">
        <v>0</v>
      </c>
      <c r="K440" s="247">
        <v>0</v>
      </c>
      <c r="L440" s="247">
        <v>0</v>
      </c>
      <c r="M440" s="247">
        <v>0</v>
      </c>
      <c r="N440" s="247">
        <v>0</v>
      </c>
      <c r="O440" s="172"/>
      <c r="P440" s="247">
        <v>0</v>
      </c>
      <c r="Q440" s="247">
        <v>0</v>
      </c>
      <c r="R440" s="247">
        <v>0</v>
      </c>
      <c r="S440" s="247">
        <v>0</v>
      </c>
      <c r="T440" s="248">
        <v>0</v>
      </c>
      <c r="U440" s="247">
        <v>0</v>
      </c>
      <c r="V440" s="247">
        <v>0</v>
      </c>
      <c r="W440" s="247">
        <v>0</v>
      </c>
      <c r="X440" s="247">
        <v>0</v>
      </c>
      <c r="Y440" s="247">
        <v>0</v>
      </c>
      <c r="Z440" s="247">
        <v>0</v>
      </c>
    </row>
    <row r="441" spans="1:26" ht="12.75" hidden="1" x14ac:dyDescent="0.2">
      <c r="A441" s="172">
        <v>4102</v>
      </c>
      <c r="B441" s="172">
        <v>7</v>
      </c>
      <c r="C441" s="173" t="s">
        <v>701</v>
      </c>
      <c r="D441" s="179">
        <v>7</v>
      </c>
      <c r="E441" s="248">
        <v>230</v>
      </c>
      <c r="F441" s="247">
        <v>0</v>
      </c>
      <c r="G441" s="247">
        <v>0</v>
      </c>
      <c r="H441" s="247">
        <v>0</v>
      </c>
      <c r="I441" s="247">
        <v>0</v>
      </c>
      <c r="J441" s="247">
        <v>0</v>
      </c>
      <c r="K441" s="247">
        <v>0</v>
      </c>
      <c r="L441" s="247">
        <v>0</v>
      </c>
      <c r="M441" s="247">
        <v>0</v>
      </c>
      <c r="N441" s="247">
        <v>0</v>
      </c>
      <c r="O441" s="172"/>
      <c r="P441" s="247">
        <v>0</v>
      </c>
      <c r="Q441" s="247">
        <v>0</v>
      </c>
      <c r="R441" s="247">
        <v>0</v>
      </c>
      <c r="S441" s="247">
        <v>0</v>
      </c>
      <c r="T441" s="248">
        <v>0</v>
      </c>
      <c r="U441" s="247">
        <v>0</v>
      </c>
      <c r="V441" s="247">
        <v>0</v>
      </c>
      <c r="W441" s="247">
        <v>0</v>
      </c>
      <c r="X441" s="247">
        <v>0</v>
      </c>
      <c r="Y441" s="247">
        <v>0</v>
      </c>
      <c r="Z441" s="247">
        <v>0</v>
      </c>
    </row>
    <row r="442" spans="1:26" ht="12.75" hidden="1" x14ac:dyDescent="0.2">
      <c r="A442" s="172">
        <v>4103</v>
      </c>
      <c r="B442" s="172">
        <v>7</v>
      </c>
      <c r="C442" s="173" t="s">
        <v>690</v>
      </c>
      <c r="D442" s="179">
        <v>7</v>
      </c>
      <c r="E442" s="248">
        <v>810</v>
      </c>
      <c r="F442" s="247">
        <v>0</v>
      </c>
      <c r="G442" s="247">
        <v>0</v>
      </c>
      <c r="H442" s="247">
        <v>0</v>
      </c>
      <c r="I442" s="247">
        <v>0</v>
      </c>
      <c r="J442" s="247">
        <v>0</v>
      </c>
      <c r="K442" s="247">
        <v>0</v>
      </c>
      <c r="L442" s="247">
        <v>0</v>
      </c>
      <c r="M442" s="247">
        <v>0</v>
      </c>
      <c r="N442" s="247">
        <v>0</v>
      </c>
      <c r="O442" s="172"/>
      <c r="P442" s="247">
        <v>0</v>
      </c>
      <c r="Q442" s="247">
        <v>0</v>
      </c>
      <c r="R442" s="247">
        <v>0</v>
      </c>
      <c r="S442" s="247">
        <v>0</v>
      </c>
      <c r="T442" s="248">
        <v>0</v>
      </c>
      <c r="U442" s="247">
        <v>0</v>
      </c>
      <c r="V442" s="247">
        <v>0</v>
      </c>
      <c r="W442" s="247">
        <v>0</v>
      </c>
      <c r="X442" s="247">
        <v>0</v>
      </c>
      <c r="Y442" s="247">
        <v>0</v>
      </c>
      <c r="Z442" s="247">
        <v>0</v>
      </c>
    </row>
    <row r="443" spans="1:26" ht="12.75" hidden="1" x14ac:dyDescent="0.2">
      <c r="A443" s="172">
        <v>4104</v>
      </c>
      <c r="B443" s="172">
        <v>7</v>
      </c>
      <c r="C443" s="173" t="s">
        <v>702</v>
      </c>
      <c r="D443" s="179">
        <v>7</v>
      </c>
      <c r="E443" s="248">
        <v>185</v>
      </c>
      <c r="F443" s="247">
        <v>0</v>
      </c>
      <c r="G443" s="247">
        <v>0</v>
      </c>
      <c r="H443" s="247">
        <v>0</v>
      </c>
      <c r="I443" s="247">
        <v>0</v>
      </c>
      <c r="J443" s="247">
        <v>0</v>
      </c>
      <c r="K443" s="247">
        <v>0</v>
      </c>
      <c r="L443" s="247">
        <v>0</v>
      </c>
      <c r="M443" s="247">
        <v>0</v>
      </c>
      <c r="N443" s="247">
        <v>0</v>
      </c>
      <c r="O443" s="172"/>
      <c r="P443" s="247">
        <v>0</v>
      </c>
      <c r="Q443" s="247">
        <v>0</v>
      </c>
      <c r="R443" s="247">
        <v>0</v>
      </c>
      <c r="S443" s="247">
        <v>0</v>
      </c>
      <c r="T443" s="248">
        <v>0</v>
      </c>
      <c r="U443" s="247">
        <v>0</v>
      </c>
      <c r="V443" s="247">
        <v>0</v>
      </c>
      <c r="W443" s="247">
        <v>0</v>
      </c>
      <c r="X443" s="247">
        <v>0</v>
      </c>
      <c r="Y443" s="247">
        <v>0</v>
      </c>
      <c r="Z443" s="247">
        <v>0</v>
      </c>
    </row>
    <row r="444" spans="1:26" ht="12.75" hidden="1" x14ac:dyDescent="0.2">
      <c r="A444" s="172">
        <v>4105</v>
      </c>
      <c r="B444" s="172">
        <v>7</v>
      </c>
      <c r="C444" s="173" t="s">
        <v>568</v>
      </c>
      <c r="D444" s="179">
        <v>7</v>
      </c>
      <c r="E444" s="248">
        <v>340</v>
      </c>
      <c r="F444" s="247">
        <v>0</v>
      </c>
      <c r="G444" s="247">
        <v>0</v>
      </c>
      <c r="H444" s="247">
        <v>0</v>
      </c>
      <c r="I444" s="247">
        <v>0</v>
      </c>
      <c r="J444" s="247">
        <v>0</v>
      </c>
      <c r="K444" s="247">
        <v>0</v>
      </c>
      <c r="L444" s="247">
        <v>0</v>
      </c>
      <c r="M444" s="247">
        <v>0</v>
      </c>
      <c r="N444" s="247">
        <v>0</v>
      </c>
      <c r="O444" s="172"/>
      <c r="P444" s="247">
        <v>0</v>
      </c>
      <c r="Q444" s="247">
        <v>0</v>
      </c>
      <c r="R444" s="247">
        <v>0</v>
      </c>
      <c r="S444" s="247">
        <v>0</v>
      </c>
      <c r="T444" s="248">
        <v>0</v>
      </c>
      <c r="U444" s="247">
        <v>0</v>
      </c>
      <c r="V444" s="247">
        <v>0</v>
      </c>
      <c r="W444" s="247">
        <v>0</v>
      </c>
      <c r="X444" s="247">
        <v>0</v>
      </c>
      <c r="Y444" s="247">
        <v>0</v>
      </c>
      <c r="Z444" s="247">
        <v>0</v>
      </c>
    </row>
    <row r="445" spans="1:26" ht="12.75" hidden="1" x14ac:dyDescent="0.2">
      <c r="A445" s="172">
        <v>4106</v>
      </c>
      <c r="B445" s="172">
        <v>7</v>
      </c>
      <c r="C445" s="173" t="s">
        <v>636</v>
      </c>
      <c r="D445" s="179">
        <v>7</v>
      </c>
      <c r="E445" s="248">
        <v>170</v>
      </c>
      <c r="F445" s="247">
        <v>0</v>
      </c>
      <c r="G445" s="247">
        <v>0</v>
      </c>
      <c r="H445" s="247">
        <v>0</v>
      </c>
      <c r="I445" s="247">
        <v>0</v>
      </c>
      <c r="J445" s="247">
        <v>0</v>
      </c>
      <c r="K445" s="247">
        <v>0</v>
      </c>
      <c r="L445" s="247">
        <v>0</v>
      </c>
      <c r="M445" s="247">
        <v>0</v>
      </c>
      <c r="N445" s="247">
        <v>0</v>
      </c>
      <c r="O445" s="172"/>
      <c r="P445" s="247">
        <v>0</v>
      </c>
      <c r="Q445" s="247">
        <v>0</v>
      </c>
      <c r="R445" s="247">
        <v>0</v>
      </c>
      <c r="S445" s="247">
        <v>0</v>
      </c>
      <c r="T445" s="248">
        <v>0</v>
      </c>
      <c r="U445" s="247">
        <v>0</v>
      </c>
      <c r="V445" s="247">
        <v>0</v>
      </c>
      <c r="W445" s="247">
        <v>0</v>
      </c>
      <c r="X445" s="247">
        <v>0</v>
      </c>
      <c r="Y445" s="247">
        <v>0</v>
      </c>
      <c r="Z445" s="247">
        <v>0</v>
      </c>
    </row>
    <row r="446" spans="1:26" ht="12.75" hidden="1" x14ac:dyDescent="0.2">
      <c r="A446" s="172">
        <v>4107</v>
      </c>
      <c r="B446" s="172">
        <v>7</v>
      </c>
      <c r="C446" s="173" t="s">
        <v>655</v>
      </c>
      <c r="D446" s="179">
        <v>7</v>
      </c>
      <c r="E446" s="248">
        <v>68</v>
      </c>
      <c r="F446" s="247">
        <v>0</v>
      </c>
      <c r="G446" s="247">
        <v>0</v>
      </c>
      <c r="H446" s="247">
        <v>0</v>
      </c>
      <c r="I446" s="247">
        <v>0</v>
      </c>
      <c r="J446" s="247">
        <v>0</v>
      </c>
      <c r="K446" s="247">
        <v>0</v>
      </c>
      <c r="L446" s="247">
        <v>0</v>
      </c>
      <c r="M446" s="247">
        <v>0</v>
      </c>
      <c r="N446" s="247">
        <v>0</v>
      </c>
      <c r="O446" s="172"/>
      <c r="P446" s="247">
        <v>0</v>
      </c>
      <c r="Q446" s="247">
        <v>0</v>
      </c>
      <c r="R446" s="247">
        <v>0</v>
      </c>
      <c r="S446" s="247">
        <v>0</v>
      </c>
      <c r="T446" s="248">
        <v>0</v>
      </c>
      <c r="U446" s="247">
        <v>0</v>
      </c>
      <c r="V446" s="247">
        <v>0</v>
      </c>
      <c r="W446" s="247">
        <v>0</v>
      </c>
      <c r="X446" s="247">
        <v>0</v>
      </c>
      <c r="Y446" s="247">
        <v>0</v>
      </c>
      <c r="Z446" s="247">
        <v>0</v>
      </c>
    </row>
    <row r="447" spans="1:26" ht="12.75" hidden="1" x14ac:dyDescent="0.2">
      <c r="A447" s="172">
        <v>4109</v>
      </c>
      <c r="B447" s="172">
        <v>7</v>
      </c>
      <c r="C447" s="173" t="s">
        <v>703</v>
      </c>
      <c r="D447" s="179">
        <v>7</v>
      </c>
      <c r="E447" s="248">
        <v>50</v>
      </c>
      <c r="F447" s="247">
        <v>0</v>
      </c>
      <c r="G447" s="247">
        <v>0</v>
      </c>
      <c r="H447" s="247">
        <v>0</v>
      </c>
      <c r="I447" s="247">
        <v>0</v>
      </c>
      <c r="J447" s="247">
        <v>0</v>
      </c>
      <c r="K447" s="247">
        <v>0</v>
      </c>
      <c r="L447" s="247">
        <v>0</v>
      </c>
      <c r="M447" s="247">
        <v>0</v>
      </c>
      <c r="N447" s="247">
        <v>0</v>
      </c>
      <c r="O447" s="172"/>
      <c r="P447" s="247">
        <v>0</v>
      </c>
      <c r="Q447" s="247">
        <v>0</v>
      </c>
      <c r="R447" s="247">
        <v>0</v>
      </c>
      <c r="S447" s="247">
        <v>0</v>
      </c>
      <c r="T447" s="248">
        <v>0</v>
      </c>
      <c r="U447" s="247">
        <v>0</v>
      </c>
      <c r="V447" s="247">
        <v>0</v>
      </c>
      <c r="W447" s="247">
        <v>0</v>
      </c>
      <c r="X447" s="247">
        <v>0</v>
      </c>
      <c r="Y447" s="247">
        <v>0</v>
      </c>
      <c r="Z447" s="247">
        <v>0</v>
      </c>
    </row>
    <row r="448" spans="1:26" ht="12.75" hidden="1" x14ac:dyDescent="0.2">
      <c r="A448" s="172">
        <v>4110</v>
      </c>
      <c r="B448" s="172">
        <v>7</v>
      </c>
      <c r="C448" s="173" t="s">
        <v>650</v>
      </c>
      <c r="D448" s="179">
        <v>7</v>
      </c>
      <c r="E448" s="248">
        <v>280</v>
      </c>
      <c r="F448" s="247">
        <v>0</v>
      </c>
      <c r="G448" s="247">
        <v>0</v>
      </c>
      <c r="H448" s="247">
        <v>0</v>
      </c>
      <c r="I448" s="247">
        <v>0</v>
      </c>
      <c r="J448" s="247">
        <v>0</v>
      </c>
      <c r="K448" s="247">
        <v>0</v>
      </c>
      <c r="L448" s="247">
        <v>0</v>
      </c>
      <c r="M448" s="247">
        <v>0</v>
      </c>
      <c r="N448" s="247">
        <v>0</v>
      </c>
      <c r="O448" s="172"/>
      <c r="P448" s="247">
        <v>0</v>
      </c>
      <c r="Q448" s="247">
        <v>0</v>
      </c>
      <c r="R448" s="247">
        <v>0</v>
      </c>
      <c r="S448" s="247">
        <v>0</v>
      </c>
      <c r="T448" s="248">
        <v>0</v>
      </c>
      <c r="U448" s="247">
        <v>0</v>
      </c>
      <c r="V448" s="247">
        <v>0</v>
      </c>
      <c r="W448" s="247">
        <v>0</v>
      </c>
      <c r="X448" s="247">
        <v>0</v>
      </c>
      <c r="Y448" s="247">
        <v>0</v>
      </c>
      <c r="Z448" s="247">
        <v>0</v>
      </c>
    </row>
    <row r="449" spans="1:26" ht="12.75" hidden="1" x14ac:dyDescent="0.2">
      <c r="A449" s="172">
        <v>4111</v>
      </c>
      <c r="B449" s="172">
        <v>7</v>
      </c>
      <c r="C449" s="173" t="s">
        <v>704</v>
      </c>
      <c r="D449" s="179">
        <v>7</v>
      </c>
      <c r="E449" s="248">
        <v>132</v>
      </c>
      <c r="F449" s="247">
        <v>0</v>
      </c>
      <c r="G449" s="247">
        <v>0</v>
      </c>
      <c r="H449" s="247">
        <v>0</v>
      </c>
      <c r="I449" s="247">
        <v>0</v>
      </c>
      <c r="J449" s="247">
        <v>0</v>
      </c>
      <c r="K449" s="247">
        <v>0</v>
      </c>
      <c r="L449" s="247">
        <v>0</v>
      </c>
      <c r="M449" s="247">
        <v>0</v>
      </c>
      <c r="N449" s="247">
        <v>0</v>
      </c>
      <c r="O449" s="172"/>
      <c r="P449" s="247">
        <v>0</v>
      </c>
      <c r="Q449" s="247">
        <v>0</v>
      </c>
      <c r="R449" s="247">
        <v>0</v>
      </c>
      <c r="S449" s="247">
        <v>0</v>
      </c>
      <c r="T449" s="248">
        <v>0</v>
      </c>
      <c r="U449" s="247">
        <v>0</v>
      </c>
      <c r="V449" s="247">
        <v>0</v>
      </c>
      <c r="W449" s="247">
        <v>0</v>
      </c>
      <c r="X449" s="247">
        <v>0</v>
      </c>
      <c r="Y449" s="247">
        <v>0</v>
      </c>
      <c r="Z449" s="247">
        <v>0</v>
      </c>
    </row>
    <row r="450" spans="1:26" ht="12.75" hidden="1" x14ac:dyDescent="0.2">
      <c r="A450" s="172">
        <v>4112</v>
      </c>
      <c r="B450" s="172">
        <v>7</v>
      </c>
      <c r="C450" s="173" t="s">
        <v>622</v>
      </c>
      <c r="D450" s="179">
        <v>7</v>
      </c>
      <c r="E450" s="248">
        <v>547</v>
      </c>
      <c r="F450" s="247">
        <v>0</v>
      </c>
      <c r="G450" s="247">
        <v>0</v>
      </c>
      <c r="H450" s="247">
        <v>0</v>
      </c>
      <c r="I450" s="247">
        <v>0</v>
      </c>
      <c r="J450" s="247">
        <v>0</v>
      </c>
      <c r="K450" s="247">
        <v>0</v>
      </c>
      <c r="L450" s="247">
        <v>0</v>
      </c>
      <c r="M450" s="247">
        <v>0</v>
      </c>
      <c r="N450" s="247">
        <v>0</v>
      </c>
      <c r="O450" s="172"/>
      <c r="P450" s="247">
        <v>0</v>
      </c>
      <c r="Q450" s="247">
        <v>0</v>
      </c>
      <c r="R450" s="247">
        <v>0</v>
      </c>
      <c r="S450" s="247">
        <v>0</v>
      </c>
      <c r="T450" s="248">
        <v>0</v>
      </c>
      <c r="U450" s="247">
        <v>0</v>
      </c>
      <c r="V450" s="247">
        <v>0</v>
      </c>
      <c r="W450" s="247">
        <v>0</v>
      </c>
      <c r="X450" s="247">
        <v>0</v>
      </c>
      <c r="Y450" s="247">
        <v>0</v>
      </c>
      <c r="Z450" s="247">
        <v>0</v>
      </c>
    </row>
    <row r="451" spans="1:26" ht="12.75" hidden="1" x14ac:dyDescent="0.2">
      <c r="A451" s="172">
        <v>4113</v>
      </c>
      <c r="B451" s="172">
        <v>7</v>
      </c>
      <c r="C451" s="173" t="s">
        <v>672</v>
      </c>
      <c r="D451" s="179">
        <v>7</v>
      </c>
      <c r="E451" s="248">
        <v>85</v>
      </c>
      <c r="F451" s="247">
        <v>0</v>
      </c>
      <c r="G451" s="247">
        <v>0</v>
      </c>
      <c r="H451" s="247">
        <v>0</v>
      </c>
      <c r="I451" s="247">
        <v>0</v>
      </c>
      <c r="J451" s="247">
        <v>0</v>
      </c>
      <c r="K451" s="247">
        <v>0</v>
      </c>
      <c r="L451" s="247">
        <v>0</v>
      </c>
      <c r="M451" s="247">
        <v>0</v>
      </c>
      <c r="N451" s="247">
        <v>0</v>
      </c>
      <c r="O451" s="172"/>
      <c r="P451" s="247">
        <v>0</v>
      </c>
      <c r="Q451" s="247">
        <v>0</v>
      </c>
      <c r="R451" s="247">
        <v>0</v>
      </c>
      <c r="S451" s="247">
        <v>0</v>
      </c>
      <c r="T451" s="248">
        <v>0</v>
      </c>
      <c r="U451" s="247">
        <v>0</v>
      </c>
      <c r="V451" s="247">
        <v>0</v>
      </c>
      <c r="W451" s="247">
        <v>0</v>
      </c>
      <c r="X451" s="247">
        <v>0</v>
      </c>
      <c r="Y451" s="247">
        <v>0</v>
      </c>
      <c r="Z451" s="247">
        <v>0</v>
      </c>
    </row>
    <row r="452" spans="1:26" ht="12.75" hidden="1" x14ac:dyDescent="0.2">
      <c r="A452" s="172">
        <v>4115</v>
      </c>
      <c r="B452" s="172">
        <v>7</v>
      </c>
      <c r="C452" s="173" t="s">
        <v>674</v>
      </c>
      <c r="D452" s="179">
        <v>7</v>
      </c>
      <c r="E452" s="248">
        <v>180</v>
      </c>
      <c r="F452" s="247">
        <v>0</v>
      </c>
      <c r="G452" s="247">
        <v>0</v>
      </c>
      <c r="H452" s="247">
        <v>0</v>
      </c>
      <c r="I452" s="247">
        <v>0</v>
      </c>
      <c r="J452" s="247">
        <v>0</v>
      </c>
      <c r="K452" s="247">
        <v>0</v>
      </c>
      <c r="L452" s="247">
        <v>0</v>
      </c>
      <c r="M452" s="247">
        <v>0</v>
      </c>
      <c r="N452" s="247">
        <v>0</v>
      </c>
      <c r="O452" s="172"/>
      <c r="P452" s="247">
        <v>0</v>
      </c>
      <c r="Q452" s="247">
        <v>0</v>
      </c>
      <c r="R452" s="247">
        <v>0</v>
      </c>
      <c r="S452" s="247">
        <v>0</v>
      </c>
      <c r="T452" s="248">
        <v>0</v>
      </c>
      <c r="U452" s="247">
        <v>0</v>
      </c>
      <c r="V452" s="247">
        <v>0</v>
      </c>
      <c r="W452" s="247">
        <v>0</v>
      </c>
      <c r="X452" s="247">
        <v>0</v>
      </c>
      <c r="Y452" s="247">
        <v>0</v>
      </c>
      <c r="Z452" s="247">
        <v>0</v>
      </c>
    </row>
    <row r="453" spans="1:26" ht="12.75" hidden="1" x14ac:dyDescent="0.2">
      <c r="A453" s="172">
        <v>4116</v>
      </c>
      <c r="B453" s="172">
        <v>7</v>
      </c>
      <c r="C453" s="173" t="s">
        <v>368</v>
      </c>
      <c r="D453" s="179">
        <v>7</v>
      </c>
      <c r="E453" s="248">
        <v>686</v>
      </c>
      <c r="F453" s="247">
        <v>0</v>
      </c>
      <c r="G453" s="247">
        <v>0</v>
      </c>
      <c r="H453" s="247">
        <v>0</v>
      </c>
      <c r="I453" s="247">
        <v>0</v>
      </c>
      <c r="J453" s="247">
        <v>0</v>
      </c>
      <c r="K453" s="247">
        <v>0</v>
      </c>
      <c r="L453" s="247">
        <v>0</v>
      </c>
      <c r="M453" s="247">
        <v>0</v>
      </c>
      <c r="N453" s="247">
        <v>0</v>
      </c>
      <c r="O453" s="172"/>
      <c r="P453" s="247">
        <v>0</v>
      </c>
      <c r="Q453" s="247">
        <v>0</v>
      </c>
      <c r="R453" s="247">
        <v>0</v>
      </c>
      <c r="S453" s="247">
        <v>0</v>
      </c>
      <c r="T453" s="248">
        <v>0</v>
      </c>
      <c r="U453" s="247">
        <v>0</v>
      </c>
      <c r="V453" s="247">
        <v>0</v>
      </c>
      <c r="W453" s="247">
        <v>0</v>
      </c>
      <c r="X453" s="247">
        <v>0</v>
      </c>
      <c r="Y453" s="247">
        <v>0</v>
      </c>
      <c r="Z453" s="247">
        <v>0</v>
      </c>
    </row>
    <row r="454" spans="1:26" ht="12.75" hidden="1" x14ac:dyDescent="0.2">
      <c r="A454" s="172">
        <v>4118</v>
      </c>
      <c r="B454" s="172">
        <v>7</v>
      </c>
      <c r="C454" s="173" t="s">
        <v>520</v>
      </c>
      <c r="D454" s="179">
        <v>7</v>
      </c>
      <c r="E454" s="248">
        <v>424</v>
      </c>
      <c r="F454" s="247">
        <v>0</v>
      </c>
      <c r="G454" s="247">
        <v>0</v>
      </c>
      <c r="H454" s="247">
        <v>0</v>
      </c>
      <c r="I454" s="247">
        <v>0</v>
      </c>
      <c r="J454" s="247">
        <v>0</v>
      </c>
      <c r="K454" s="247">
        <v>0</v>
      </c>
      <c r="L454" s="247">
        <v>0</v>
      </c>
      <c r="M454" s="247">
        <v>0</v>
      </c>
      <c r="N454" s="247">
        <v>0</v>
      </c>
      <c r="O454" s="172"/>
      <c r="P454" s="247">
        <v>0</v>
      </c>
      <c r="Q454" s="247">
        <v>0</v>
      </c>
      <c r="R454" s="247">
        <v>0</v>
      </c>
      <c r="S454" s="247">
        <v>0</v>
      </c>
      <c r="T454" s="248">
        <v>0</v>
      </c>
      <c r="U454" s="247">
        <v>0</v>
      </c>
      <c r="V454" s="247">
        <v>0</v>
      </c>
      <c r="W454" s="247">
        <v>0</v>
      </c>
      <c r="X454" s="247">
        <v>0</v>
      </c>
      <c r="Y454" s="247">
        <v>0</v>
      </c>
      <c r="Z454" s="247">
        <v>0</v>
      </c>
    </row>
    <row r="455" spans="1:26" ht="12.75" hidden="1" x14ac:dyDescent="0.2">
      <c r="A455" s="172">
        <v>4119</v>
      </c>
      <c r="B455" s="172">
        <v>7</v>
      </c>
      <c r="C455" s="173" t="s">
        <v>613</v>
      </c>
      <c r="D455" s="179">
        <v>7</v>
      </c>
      <c r="E455" s="248">
        <v>90</v>
      </c>
      <c r="F455" s="247">
        <v>0</v>
      </c>
      <c r="G455" s="247">
        <v>0</v>
      </c>
      <c r="H455" s="247">
        <v>0</v>
      </c>
      <c r="I455" s="247">
        <v>0</v>
      </c>
      <c r="J455" s="247">
        <v>0</v>
      </c>
      <c r="K455" s="247">
        <v>0</v>
      </c>
      <c r="L455" s="247">
        <v>0</v>
      </c>
      <c r="M455" s="247">
        <v>0</v>
      </c>
      <c r="N455" s="247">
        <v>0</v>
      </c>
      <c r="O455" s="172"/>
      <c r="P455" s="247">
        <v>0</v>
      </c>
      <c r="Q455" s="247">
        <v>0</v>
      </c>
      <c r="R455" s="247">
        <v>0</v>
      </c>
      <c r="S455" s="247">
        <v>0</v>
      </c>
      <c r="T455" s="248">
        <v>0</v>
      </c>
      <c r="U455" s="247">
        <v>0</v>
      </c>
      <c r="V455" s="247">
        <v>0</v>
      </c>
      <c r="W455" s="247">
        <v>0</v>
      </c>
      <c r="X455" s="247">
        <v>0</v>
      </c>
      <c r="Y455" s="247">
        <v>0</v>
      </c>
      <c r="Z455" s="247">
        <v>0</v>
      </c>
    </row>
    <row r="456" spans="1:26" ht="12.75" hidden="1" x14ac:dyDescent="0.2">
      <c r="A456" s="172">
        <v>4120</v>
      </c>
      <c r="B456" s="172">
        <v>7</v>
      </c>
      <c r="C456" s="173" t="s">
        <v>476</v>
      </c>
      <c r="D456" s="179">
        <v>7</v>
      </c>
      <c r="E456" s="248">
        <v>1086</v>
      </c>
      <c r="F456" s="247">
        <v>0</v>
      </c>
      <c r="G456" s="247">
        <v>0</v>
      </c>
      <c r="H456" s="247">
        <v>0</v>
      </c>
      <c r="I456" s="247">
        <v>0</v>
      </c>
      <c r="J456" s="247">
        <v>0</v>
      </c>
      <c r="K456" s="247">
        <v>0</v>
      </c>
      <c r="L456" s="247">
        <v>0</v>
      </c>
      <c r="M456" s="247">
        <v>0</v>
      </c>
      <c r="N456" s="247">
        <v>0</v>
      </c>
      <c r="O456" s="172"/>
      <c r="P456" s="247">
        <v>0</v>
      </c>
      <c r="Q456" s="247">
        <v>0</v>
      </c>
      <c r="R456" s="247">
        <v>0</v>
      </c>
      <c r="S456" s="247">
        <v>0</v>
      </c>
      <c r="T456" s="248">
        <v>0</v>
      </c>
      <c r="U456" s="247">
        <v>0</v>
      </c>
      <c r="V456" s="247">
        <v>0</v>
      </c>
      <c r="W456" s="247">
        <v>0</v>
      </c>
      <c r="X456" s="247">
        <v>0</v>
      </c>
      <c r="Y456" s="247">
        <v>0</v>
      </c>
      <c r="Z456" s="247">
        <v>0</v>
      </c>
    </row>
    <row r="457" spans="1:26" ht="12.75" hidden="1" x14ac:dyDescent="0.2">
      <c r="A457" s="172">
        <v>4121</v>
      </c>
      <c r="B457" s="172">
        <v>7</v>
      </c>
      <c r="C457" s="173" t="s">
        <v>706</v>
      </c>
      <c r="D457" s="179">
        <v>7</v>
      </c>
      <c r="E457" s="248">
        <v>265</v>
      </c>
      <c r="F457" s="247">
        <v>0</v>
      </c>
      <c r="G457" s="247">
        <v>0</v>
      </c>
      <c r="H457" s="247">
        <v>0</v>
      </c>
      <c r="I457" s="247">
        <v>0</v>
      </c>
      <c r="J457" s="247">
        <v>0</v>
      </c>
      <c r="K457" s="247">
        <v>0</v>
      </c>
      <c r="L457" s="247">
        <v>0</v>
      </c>
      <c r="M457" s="247">
        <v>0</v>
      </c>
      <c r="N457" s="247">
        <v>0</v>
      </c>
      <c r="O457" s="172"/>
      <c r="P457" s="247">
        <v>0</v>
      </c>
      <c r="Q457" s="247">
        <v>0</v>
      </c>
      <c r="R457" s="247">
        <v>0</v>
      </c>
      <c r="S457" s="247">
        <v>0</v>
      </c>
      <c r="T457" s="248">
        <v>0</v>
      </c>
      <c r="U457" s="247">
        <v>0</v>
      </c>
      <c r="V457" s="247">
        <v>0</v>
      </c>
      <c r="W457" s="247">
        <v>0</v>
      </c>
      <c r="X457" s="247">
        <v>0</v>
      </c>
      <c r="Y457" s="247">
        <v>0</v>
      </c>
      <c r="Z457" s="247">
        <v>0</v>
      </c>
    </row>
    <row r="458" spans="1:26" ht="12.75" hidden="1" x14ac:dyDescent="0.2">
      <c r="A458" s="172">
        <v>4122</v>
      </c>
      <c r="B458" s="172">
        <v>7</v>
      </c>
      <c r="C458" s="173" t="s">
        <v>470</v>
      </c>
      <c r="D458" s="179">
        <v>7</v>
      </c>
      <c r="E458" s="248">
        <v>814</v>
      </c>
      <c r="F458" s="247">
        <v>0</v>
      </c>
      <c r="G458" s="247">
        <v>0</v>
      </c>
      <c r="H458" s="247">
        <v>0</v>
      </c>
      <c r="I458" s="247">
        <v>0</v>
      </c>
      <c r="J458" s="247">
        <v>0</v>
      </c>
      <c r="K458" s="247">
        <v>0</v>
      </c>
      <c r="L458" s="247">
        <v>0</v>
      </c>
      <c r="M458" s="247">
        <v>0</v>
      </c>
      <c r="N458" s="247">
        <v>0</v>
      </c>
      <c r="O458" s="172"/>
      <c r="P458" s="247">
        <v>0</v>
      </c>
      <c r="Q458" s="247">
        <v>0</v>
      </c>
      <c r="R458" s="247">
        <v>0</v>
      </c>
      <c r="S458" s="247">
        <v>0</v>
      </c>
      <c r="T458" s="248">
        <v>0</v>
      </c>
      <c r="U458" s="247">
        <v>0</v>
      </c>
      <c r="V458" s="247">
        <v>0</v>
      </c>
      <c r="W458" s="247">
        <v>0</v>
      </c>
      <c r="X458" s="247">
        <v>0</v>
      </c>
      <c r="Y458" s="247">
        <v>0</v>
      </c>
      <c r="Z458" s="247">
        <v>0</v>
      </c>
    </row>
    <row r="459" spans="1:26" ht="12.75" hidden="1" x14ac:dyDescent="0.2">
      <c r="A459" s="172">
        <v>4123</v>
      </c>
      <c r="B459" s="172">
        <v>7</v>
      </c>
      <c r="C459" s="173" t="s">
        <v>385</v>
      </c>
      <c r="D459" s="179">
        <v>7</v>
      </c>
      <c r="E459" s="248">
        <v>45</v>
      </c>
      <c r="F459" s="247">
        <v>0</v>
      </c>
      <c r="G459" s="247">
        <v>0</v>
      </c>
      <c r="H459" s="247">
        <v>0</v>
      </c>
      <c r="I459" s="247">
        <v>0</v>
      </c>
      <c r="J459" s="247">
        <v>0</v>
      </c>
      <c r="K459" s="247">
        <v>0</v>
      </c>
      <c r="L459" s="247">
        <v>0</v>
      </c>
      <c r="M459" s="247">
        <v>0</v>
      </c>
      <c r="N459" s="247">
        <v>0</v>
      </c>
      <c r="O459" s="172"/>
      <c r="P459" s="247">
        <v>0</v>
      </c>
      <c r="Q459" s="247">
        <v>0</v>
      </c>
      <c r="R459" s="247">
        <v>0</v>
      </c>
      <c r="S459" s="247">
        <v>0</v>
      </c>
      <c r="T459" s="248">
        <v>0</v>
      </c>
      <c r="U459" s="247">
        <v>0</v>
      </c>
      <c r="V459" s="247">
        <v>0</v>
      </c>
      <c r="W459" s="247">
        <v>0</v>
      </c>
      <c r="X459" s="247">
        <v>0</v>
      </c>
      <c r="Y459" s="247">
        <v>0</v>
      </c>
      <c r="Z459" s="247">
        <v>0</v>
      </c>
    </row>
    <row r="460" spans="1:26" ht="12.75" hidden="1" x14ac:dyDescent="0.2">
      <c r="A460" s="172">
        <v>4124</v>
      </c>
      <c r="B460" s="172">
        <v>7</v>
      </c>
      <c r="C460" s="173" t="s">
        <v>523</v>
      </c>
      <c r="D460" s="179">
        <v>7</v>
      </c>
      <c r="E460" s="248">
        <v>415</v>
      </c>
      <c r="F460" s="247">
        <v>0</v>
      </c>
      <c r="G460" s="247">
        <v>0</v>
      </c>
      <c r="H460" s="247">
        <v>0</v>
      </c>
      <c r="I460" s="247">
        <v>0</v>
      </c>
      <c r="J460" s="247">
        <v>0</v>
      </c>
      <c r="K460" s="247">
        <v>0</v>
      </c>
      <c r="L460" s="247">
        <v>0</v>
      </c>
      <c r="M460" s="247">
        <v>0</v>
      </c>
      <c r="N460" s="247">
        <v>0</v>
      </c>
      <c r="O460" s="172"/>
      <c r="P460" s="247">
        <v>0</v>
      </c>
      <c r="Q460" s="247">
        <v>0</v>
      </c>
      <c r="R460" s="247">
        <v>0</v>
      </c>
      <c r="S460" s="247">
        <v>0</v>
      </c>
      <c r="T460" s="248">
        <v>0</v>
      </c>
      <c r="U460" s="247">
        <v>0</v>
      </c>
      <c r="V460" s="247">
        <v>0</v>
      </c>
      <c r="W460" s="247">
        <v>0</v>
      </c>
      <c r="X460" s="247">
        <v>0</v>
      </c>
      <c r="Y460" s="247">
        <v>0</v>
      </c>
      <c r="Z460" s="247">
        <v>0</v>
      </c>
    </row>
    <row r="461" spans="1:26" ht="12.75" hidden="1" x14ac:dyDescent="0.2">
      <c r="A461" s="172">
        <v>4126</v>
      </c>
      <c r="B461" s="172">
        <v>7</v>
      </c>
      <c r="C461" s="173" t="s">
        <v>707</v>
      </c>
      <c r="D461" s="179">
        <v>7</v>
      </c>
      <c r="E461" s="248">
        <v>766</v>
      </c>
      <c r="F461" s="247">
        <v>0</v>
      </c>
      <c r="G461" s="247">
        <v>0</v>
      </c>
      <c r="H461" s="247">
        <v>0</v>
      </c>
      <c r="I461" s="247">
        <v>0</v>
      </c>
      <c r="J461" s="247">
        <v>0</v>
      </c>
      <c r="K461" s="247">
        <v>0</v>
      </c>
      <c r="L461" s="247">
        <v>0</v>
      </c>
      <c r="M461" s="247">
        <v>0</v>
      </c>
      <c r="N461" s="247">
        <v>0</v>
      </c>
      <c r="O461" s="172"/>
      <c r="P461" s="247">
        <v>0</v>
      </c>
      <c r="Q461" s="247">
        <v>0</v>
      </c>
      <c r="R461" s="247">
        <v>0</v>
      </c>
      <c r="S461" s="247">
        <v>0</v>
      </c>
      <c r="T461" s="248">
        <v>0</v>
      </c>
      <c r="U461" s="247">
        <v>0</v>
      </c>
      <c r="V461" s="247">
        <v>0</v>
      </c>
      <c r="W461" s="247">
        <v>0</v>
      </c>
      <c r="X461" s="247">
        <v>0</v>
      </c>
      <c r="Y461" s="247">
        <v>0</v>
      </c>
      <c r="Z461" s="247">
        <v>0</v>
      </c>
    </row>
    <row r="462" spans="1:26" ht="12.75" hidden="1" x14ac:dyDescent="0.2">
      <c r="A462" s="172">
        <v>4127</v>
      </c>
      <c r="B462" s="172">
        <v>7</v>
      </c>
      <c r="C462" s="173" t="s">
        <v>610</v>
      </c>
      <c r="D462" s="179">
        <v>7</v>
      </c>
      <c r="E462" s="248">
        <v>144</v>
      </c>
      <c r="F462" s="247">
        <v>0</v>
      </c>
      <c r="G462" s="247">
        <v>0</v>
      </c>
      <c r="H462" s="247">
        <v>0</v>
      </c>
      <c r="I462" s="247">
        <v>0</v>
      </c>
      <c r="J462" s="247">
        <v>0</v>
      </c>
      <c r="K462" s="247">
        <v>0</v>
      </c>
      <c r="L462" s="247">
        <v>0</v>
      </c>
      <c r="M462" s="247">
        <v>0</v>
      </c>
      <c r="N462" s="247">
        <v>0</v>
      </c>
      <c r="O462" s="172"/>
      <c r="P462" s="247">
        <v>0</v>
      </c>
      <c r="Q462" s="247">
        <v>0</v>
      </c>
      <c r="R462" s="247">
        <v>0</v>
      </c>
      <c r="S462" s="247">
        <v>0</v>
      </c>
      <c r="T462" s="248">
        <v>0</v>
      </c>
      <c r="U462" s="247">
        <v>0</v>
      </c>
      <c r="V462" s="247">
        <v>0</v>
      </c>
      <c r="W462" s="247">
        <v>0</v>
      </c>
      <c r="X462" s="247">
        <v>0</v>
      </c>
      <c r="Y462" s="247">
        <v>0</v>
      </c>
      <c r="Z462" s="247">
        <v>0</v>
      </c>
    </row>
    <row r="463" spans="1:26" ht="12.75" hidden="1" x14ac:dyDescent="0.2">
      <c r="A463" s="172">
        <v>4131</v>
      </c>
      <c r="B463" s="172">
        <v>7</v>
      </c>
      <c r="C463" s="173" t="s">
        <v>708</v>
      </c>
      <c r="D463" s="179">
        <v>7</v>
      </c>
      <c r="E463" s="248">
        <v>232</v>
      </c>
      <c r="F463" s="247">
        <v>0</v>
      </c>
      <c r="G463" s="247">
        <v>0</v>
      </c>
      <c r="H463" s="247">
        <v>0</v>
      </c>
      <c r="I463" s="247">
        <v>0</v>
      </c>
      <c r="J463" s="247">
        <v>0</v>
      </c>
      <c r="K463" s="247">
        <v>0</v>
      </c>
      <c r="L463" s="247">
        <v>0</v>
      </c>
      <c r="M463" s="247">
        <v>0</v>
      </c>
      <c r="N463" s="247">
        <v>0</v>
      </c>
      <c r="O463" s="172"/>
      <c r="P463" s="247">
        <v>0</v>
      </c>
      <c r="Q463" s="247">
        <v>0</v>
      </c>
      <c r="R463" s="247">
        <v>0</v>
      </c>
      <c r="S463" s="247">
        <v>0</v>
      </c>
      <c r="T463" s="248">
        <v>0</v>
      </c>
      <c r="U463" s="247">
        <v>0</v>
      </c>
      <c r="V463" s="247">
        <v>0</v>
      </c>
      <c r="W463" s="247">
        <v>0</v>
      </c>
      <c r="X463" s="247">
        <v>0</v>
      </c>
      <c r="Y463" s="247">
        <v>0</v>
      </c>
      <c r="Z463" s="247">
        <v>0</v>
      </c>
    </row>
    <row r="464" spans="1:26" ht="12.75" hidden="1" x14ac:dyDescent="0.2">
      <c r="A464" s="172">
        <v>4132</v>
      </c>
      <c r="B464" s="172">
        <v>7</v>
      </c>
      <c r="C464" s="173" t="s">
        <v>652</v>
      </c>
      <c r="D464" s="179">
        <v>7</v>
      </c>
      <c r="E464" s="248">
        <v>181</v>
      </c>
      <c r="F464" s="247">
        <v>0</v>
      </c>
      <c r="G464" s="247">
        <v>0</v>
      </c>
      <c r="H464" s="247">
        <v>0</v>
      </c>
      <c r="I464" s="247">
        <v>0</v>
      </c>
      <c r="J464" s="247">
        <v>0</v>
      </c>
      <c r="K464" s="247">
        <v>0</v>
      </c>
      <c r="L464" s="247">
        <v>0</v>
      </c>
      <c r="M464" s="247">
        <v>0</v>
      </c>
      <c r="N464" s="247">
        <v>0</v>
      </c>
      <c r="O464" s="172"/>
      <c r="P464" s="247">
        <v>0</v>
      </c>
      <c r="Q464" s="247">
        <v>0</v>
      </c>
      <c r="R464" s="247">
        <v>0</v>
      </c>
      <c r="S464" s="247">
        <v>0</v>
      </c>
      <c r="T464" s="248">
        <v>0</v>
      </c>
      <c r="U464" s="247">
        <v>0</v>
      </c>
      <c r="V464" s="247">
        <v>0</v>
      </c>
      <c r="W464" s="247">
        <v>0</v>
      </c>
      <c r="X464" s="247">
        <v>0</v>
      </c>
      <c r="Y464" s="247">
        <v>0</v>
      </c>
      <c r="Z464" s="247">
        <v>0</v>
      </c>
    </row>
    <row r="465" spans="1:26" ht="12.75" hidden="1" x14ac:dyDescent="0.2">
      <c r="A465" s="172">
        <v>4133</v>
      </c>
      <c r="B465" s="172">
        <v>7</v>
      </c>
      <c r="C465" s="173" t="s">
        <v>632</v>
      </c>
      <c r="D465" s="179">
        <v>7</v>
      </c>
      <c r="E465" s="248">
        <v>165</v>
      </c>
      <c r="F465" s="247">
        <v>0</v>
      </c>
      <c r="G465" s="247">
        <v>0</v>
      </c>
      <c r="H465" s="247">
        <v>0</v>
      </c>
      <c r="I465" s="247">
        <v>0</v>
      </c>
      <c r="J465" s="247">
        <v>0</v>
      </c>
      <c r="K465" s="247">
        <v>0</v>
      </c>
      <c r="L465" s="247">
        <v>0</v>
      </c>
      <c r="M465" s="247">
        <v>0</v>
      </c>
      <c r="N465" s="247">
        <v>0</v>
      </c>
      <c r="O465" s="172"/>
      <c r="P465" s="247">
        <v>0</v>
      </c>
      <c r="Q465" s="247">
        <v>0</v>
      </c>
      <c r="R465" s="247">
        <v>0</v>
      </c>
      <c r="S465" s="247">
        <v>0</v>
      </c>
      <c r="T465" s="248">
        <v>0</v>
      </c>
      <c r="U465" s="247">
        <v>0</v>
      </c>
      <c r="V465" s="247">
        <v>0</v>
      </c>
      <c r="W465" s="247">
        <v>0</v>
      </c>
      <c r="X465" s="247">
        <v>0</v>
      </c>
      <c r="Y465" s="247">
        <v>0</v>
      </c>
      <c r="Z465" s="247">
        <v>0</v>
      </c>
    </row>
    <row r="466" spans="1:26" ht="12.75" hidden="1" x14ac:dyDescent="0.2">
      <c r="A466" s="172">
        <v>4135</v>
      </c>
      <c r="B466" s="172">
        <v>7</v>
      </c>
      <c r="C466" s="173" t="s">
        <v>710</v>
      </c>
      <c r="D466" s="179">
        <v>7</v>
      </c>
      <c r="E466" s="248">
        <v>252</v>
      </c>
      <c r="F466" s="247">
        <v>0</v>
      </c>
      <c r="G466" s="247">
        <v>0</v>
      </c>
      <c r="H466" s="247">
        <v>0</v>
      </c>
      <c r="I466" s="247">
        <v>0</v>
      </c>
      <c r="J466" s="247">
        <v>0</v>
      </c>
      <c r="K466" s="247">
        <v>0</v>
      </c>
      <c r="L466" s="247">
        <v>0</v>
      </c>
      <c r="M466" s="247">
        <v>0</v>
      </c>
      <c r="N466" s="247">
        <v>0</v>
      </c>
      <c r="O466" s="172"/>
      <c r="P466" s="247">
        <v>0</v>
      </c>
      <c r="Q466" s="247">
        <v>0</v>
      </c>
      <c r="R466" s="247">
        <v>0</v>
      </c>
      <c r="S466" s="247">
        <v>0</v>
      </c>
      <c r="T466" s="248">
        <v>0</v>
      </c>
      <c r="U466" s="247">
        <v>0</v>
      </c>
      <c r="V466" s="247">
        <v>0</v>
      </c>
      <c r="W466" s="247">
        <v>0</v>
      </c>
      <c r="X466" s="247">
        <v>0</v>
      </c>
      <c r="Y466" s="247">
        <v>0</v>
      </c>
      <c r="Z466" s="247">
        <v>0</v>
      </c>
    </row>
    <row r="467" spans="1:26" ht="12.75" hidden="1" x14ac:dyDescent="0.2">
      <c r="A467" s="172">
        <v>4137</v>
      </c>
      <c r="B467" s="172">
        <v>7</v>
      </c>
      <c r="C467" s="173" t="s">
        <v>371</v>
      </c>
      <c r="D467" s="179">
        <v>7</v>
      </c>
      <c r="E467" s="248">
        <v>150</v>
      </c>
      <c r="F467" s="247">
        <v>0</v>
      </c>
      <c r="G467" s="247">
        <v>0</v>
      </c>
      <c r="H467" s="247">
        <v>0</v>
      </c>
      <c r="I467" s="247">
        <v>0</v>
      </c>
      <c r="J467" s="247">
        <v>0</v>
      </c>
      <c r="K467" s="247">
        <v>0</v>
      </c>
      <c r="L467" s="247">
        <v>0</v>
      </c>
      <c r="M467" s="247">
        <v>0</v>
      </c>
      <c r="N467" s="247">
        <v>0</v>
      </c>
      <c r="O467" s="172"/>
      <c r="P467" s="247">
        <v>0</v>
      </c>
      <c r="Q467" s="247">
        <v>0</v>
      </c>
      <c r="R467" s="247">
        <v>0</v>
      </c>
      <c r="S467" s="247">
        <v>0</v>
      </c>
      <c r="T467" s="248">
        <v>0</v>
      </c>
      <c r="U467" s="247">
        <v>0</v>
      </c>
      <c r="V467" s="247">
        <v>0</v>
      </c>
      <c r="W467" s="247">
        <v>0</v>
      </c>
      <c r="X467" s="247">
        <v>0</v>
      </c>
      <c r="Y467" s="247">
        <v>0</v>
      </c>
      <c r="Z467" s="247">
        <v>0</v>
      </c>
    </row>
    <row r="468" spans="1:26" ht="12.75" hidden="1" x14ac:dyDescent="0.2">
      <c r="A468" s="172">
        <v>4138</v>
      </c>
      <c r="B468" s="172">
        <v>7</v>
      </c>
      <c r="C468" s="173" t="s">
        <v>345</v>
      </c>
      <c r="D468" s="179">
        <v>7</v>
      </c>
      <c r="E468" s="248">
        <v>46</v>
      </c>
      <c r="F468" s="247">
        <v>0</v>
      </c>
      <c r="G468" s="247">
        <v>0</v>
      </c>
      <c r="H468" s="247">
        <v>0</v>
      </c>
      <c r="I468" s="247">
        <v>0</v>
      </c>
      <c r="J468" s="247">
        <v>0</v>
      </c>
      <c r="K468" s="247">
        <v>0</v>
      </c>
      <c r="L468" s="247">
        <v>0</v>
      </c>
      <c r="M468" s="247">
        <v>0</v>
      </c>
      <c r="N468" s="247">
        <v>0</v>
      </c>
      <c r="O468" s="172"/>
      <c r="P468" s="247">
        <v>0</v>
      </c>
      <c r="Q468" s="247">
        <v>0</v>
      </c>
      <c r="R468" s="247">
        <v>0</v>
      </c>
      <c r="S468" s="247">
        <v>0</v>
      </c>
      <c r="T468" s="248">
        <v>0</v>
      </c>
      <c r="U468" s="247">
        <v>0</v>
      </c>
      <c r="V468" s="247">
        <v>0</v>
      </c>
      <c r="W468" s="247">
        <v>0</v>
      </c>
      <c r="X468" s="247">
        <v>0</v>
      </c>
      <c r="Y468" s="247">
        <v>0</v>
      </c>
      <c r="Z468" s="247">
        <v>0</v>
      </c>
    </row>
    <row r="469" spans="1:26" ht="12.75" hidden="1" x14ac:dyDescent="0.2">
      <c r="A469" s="172">
        <v>4139</v>
      </c>
      <c r="B469" s="172">
        <v>7</v>
      </c>
      <c r="C469" s="173" t="s">
        <v>711</v>
      </c>
      <c r="D469" s="179">
        <v>7</v>
      </c>
      <c r="E469" s="248">
        <v>235</v>
      </c>
      <c r="F469" s="247">
        <v>0</v>
      </c>
      <c r="G469" s="247">
        <v>0</v>
      </c>
      <c r="H469" s="247">
        <v>0</v>
      </c>
      <c r="I469" s="247">
        <v>0</v>
      </c>
      <c r="J469" s="247">
        <v>0</v>
      </c>
      <c r="K469" s="247">
        <v>0</v>
      </c>
      <c r="L469" s="247">
        <v>0</v>
      </c>
      <c r="M469" s="247">
        <v>0</v>
      </c>
      <c r="N469" s="247">
        <v>0</v>
      </c>
      <c r="O469" s="172"/>
      <c r="P469" s="247">
        <v>0</v>
      </c>
      <c r="Q469" s="247">
        <v>0</v>
      </c>
      <c r="R469" s="247">
        <v>0</v>
      </c>
      <c r="S469" s="247">
        <v>0</v>
      </c>
      <c r="T469" s="248">
        <v>0</v>
      </c>
      <c r="U469" s="247">
        <v>0</v>
      </c>
      <c r="V469" s="247">
        <v>0</v>
      </c>
      <c r="W469" s="247">
        <v>0</v>
      </c>
      <c r="X469" s="247">
        <v>0</v>
      </c>
      <c r="Y469" s="247">
        <v>0</v>
      </c>
      <c r="Z469" s="247">
        <v>0</v>
      </c>
    </row>
    <row r="470" spans="1:26" ht="12.75" hidden="1" x14ac:dyDescent="0.2">
      <c r="A470" s="172">
        <v>4140</v>
      </c>
      <c r="B470" s="172">
        <v>7</v>
      </c>
      <c r="C470" s="173" t="s">
        <v>300</v>
      </c>
      <c r="D470" s="179">
        <v>7</v>
      </c>
      <c r="E470" s="248">
        <v>496</v>
      </c>
      <c r="F470" s="247">
        <v>0</v>
      </c>
      <c r="G470" s="247">
        <v>0</v>
      </c>
      <c r="H470" s="247">
        <v>0</v>
      </c>
      <c r="I470" s="247">
        <v>0</v>
      </c>
      <c r="J470" s="247">
        <v>0</v>
      </c>
      <c r="K470" s="247">
        <v>0</v>
      </c>
      <c r="L470" s="247">
        <v>0</v>
      </c>
      <c r="M470" s="247">
        <v>0</v>
      </c>
      <c r="N470" s="247">
        <v>0</v>
      </c>
      <c r="O470" s="172"/>
      <c r="P470" s="247">
        <v>0</v>
      </c>
      <c r="Q470" s="247">
        <v>0</v>
      </c>
      <c r="R470" s="247">
        <v>0</v>
      </c>
      <c r="S470" s="247">
        <v>0</v>
      </c>
      <c r="T470" s="248">
        <v>0</v>
      </c>
      <c r="U470" s="247">
        <v>0</v>
      </c>
      <c r="V470" s="247">
        <v>0</v>
      </c>
      <c r="W470" s="247">
        <v>0</v>
      </c>
      <c r="X470" s="247">
        <v>0</v>
      </c>
      <c r="Y470" s="247">
        <v>0</v>
      </c>
      <c r="Z470" s="247">
        <v>0</v>
      </c>
    </row>
    <row r="471" spans="1:26" ht="12.75" hidden="1" x14ac:dyDescent="0.2">
      <c r="A471" s="172">
        <v>4141</v>
      </c>
      <c r="B471" s="172">
        <v>7</v>
      </c>
      <c r="C471" s="173" t="s">
        <v>517</v>
      </c>
      <c r="D471" s="179">
        <v>7</v>
      </c>
      <c r="E471" s="248">
        <v>393</v>
      </c>
      <c r="F471" s="247">
        <v>0</v>
      </c>
      <c r="G471" s="247">
        <v>0</v>
      </c>
      <c r="H471" s="247">
        <v>0</v>
      </c>
      <c r="I471" s="247">
        <v>0</v>
      </c>
      <c r="J471" s="247">
        <v>0</v>
      </c>
      <c r="K471" s="247">
        <v>0</v>
      </c>
      <c r="L471" s="247">
        <v>0</v>
      </c>
      <c r="M471" s="247">
        <v>0</v>
      </c>
      <c r="N471" s="247">
        <v>0</v>
      </c>
      <c r="O471" s="172"/>
      <c r="P471" s="247">
        <v>0</v>
      </c>
      <c r="Q471" s="247">
        <v>0</v>
      </c>
      <c r="R471" s="247">
        <v>0</v>
      </c>
      <c r="S471" s="247">
        <v>0</v>
      </c>
      <c r="T471" s="248">
        <v>0</v>
      </c>
      <c r="U471" s="247">
        <v>0</v>
      </c>
      <c r="V471" s="247">
        <v>0</v>
      </c>
      <c r="W471" s="247">
        <v>0</v>
      </c>
      <c r="X471" s="247">
        <v>0</v>
      </c>
      <c r="Y471" s="247">
        <v>0</v>
      </c>
      <c r="Z471" s="247">
        <v>0</v>
      </c>
    </row>
    <row r="472" spans="1:26" ht="12.75" hidden="1" x14ac:dyDescent="0.2">
      <c r="A472" s="172">
        <v>4142</v>
      </c>
      <c r="B472" s="172">
        <v>7</v>
      </c>
      <c r="C472" s="173" t="s">
        <v>621</v>
      </c>
      <c r="D472" s="179">
        <v>7</v>
      </c>
      <c r="E472" s="248">
        <v>473</v>
      </c>
      <c r="F472" s="247">
        <v>0</v>
      </c>
      <c r="G472" s="247">
        <v>0</v>
      </c>
      <c r="H472" s="247">
        <v>0</v>
      </c>
      <c r="I472" s="247">
        <v>0</v>
      </c>
      <c r="J472" s="247">
        <v>0</v>
      </c>
      <c r="K472" s="247">
        <v>0</v>
      </c>
      <c r="L472" s="247">
        <v>0</v>
      </c>
      <c r="M472" s="247">
        <v>0</v>
      </c>
      <c r="N472" s="247">
        <v>0</v>
      </c>
      <c r="O472" s="172"/>
      <c r="P472" s="247">
        <v>0</v>
      </c>
      <c r="Q472" s="247">
        <v>0</v>
      </c>
      <c r="R472" s="247">
        <v>0</v>
      </c>
      <c r="S472" s="247">
        <v>0</v>
      </c>
      <c r="T472" s="248">
        <v>0</v>
      </c>
      <c r="U472" s="247">
        <v>0</v>
      </c>
      <c r="V472" s="247">
        <v>0</v>
      </c>
      <c r="W472" s="247">
        <v>0</v>
      </c>
      <c r="X472" s="247">
        <v>0</v>
      </c>
      <c r="Y472" s="247">
        <v>0</v>
      </c>
      <c r="Z472" s="247">
        <v>0</v>
      </c>
    </row>
    <row r="473" spans="1:26" ht="12.75" hidden="1" x14ac:dyDescent="0.2">
      <c r="A473" s="172">
        <v>4143</v>
      </c>
      <c r="B473" s="172">
        <v>7</v>
      </c>
      <c r="C473" s="173" t="s">
        <v>713</v>
      </c>
      <c r="D473" s="179">
        <v>7</v>
      </c>
      <c r="E473" s="248">
        <v>450</v>
      </c>
      <c r="F473" s="247">
        <v>0</v>
      </c>
      <c r="G473" s="247">
        <v>0</v>
      </c>
      <c r="H473" s="247">
        <v>0</v>
      </c>
      <c r="I473" s="247">
        <v>0</v>
      </c>
      <c r="J473" s="247">
        <v>0</v>
      </c>
      <c r="K473" s="247">
        <v>0</v>
      </c>
      <c r="L473" s="247">
        <v>0</v>
      </c>
      <c r="M473" s="247">
        <v>0</v>
      </c>
      <c r="N473" s="247">
        <v>0</v>
      </c>
      <c r="O473" s="172"/>
      <c r="P473" s="247">
        <v>0</v>
      </c>
      <c r="Q473" s="247">
        <v>0</v>
      </c>
      <c r="R473" s="247">
        <v>0</v>
      </c>
      <c r="S473" s="247">
        <v>0</v>
      </c>
      <c r="T473" s="248">
        <v>0</v>
      </c>
      <c r="U473" s="247">
        <v>0</v>
      </c>
      <c r="V473" s="247">
        <v>0</v>
      </c>
      <c r="W473" s="247">
        <v>0</v>
      </c>
      <c r="X473" s="247">
        <v>0</v>
      </c>
      <c r="Y473" s="247">
        <v>0</v>
      </c>
      <c r="Z473" s="247">
        <v>0</v>
      </c>
    </row>
    <row r="474" spans="1:26" ht="12.75" hidden="1" x14ac:dyDescent="0.2">
      <c r="A474" s="172">
        <v>4144</v>
      </c>
      <c r="B474" s="172">
        <v>7</v>
      </c>
      <c r="C474" s="173" t="s">
        <v>664</v>
      </c>
      <c r="D474" s="179">
        <v>7</v>
      </c>
      <c r="E474" s="248">
        <v>66</v>
      </c>
      <c r="F474" s="247">
        <v>0</v>
      </c>
      <c r="G474" s="247">
        <v>0</v>
      </c>
      <c r="H474" s="247">
        <v>0</v>
      </c>
      <c r="I474" s="247">
        <v>0</v>
      </c>
      <c r="J474" s="247">
        <v>0</v>
      </c>
      <c r="K474" s="247">
        <v>0</v>
      </c>
      <c r="L474" s="247">
        <v>0</v>
      </c>
      <c r="M474" s="247">
        <v>0</v>
      </c>
      <c r="N474" s="247">
        <v>0</v>
      </c>
      <c r="O474" s="172"/>
      <c r="P474" s="247">
        <v>0</v>
      </c>
      <c r="Q474" s="247">
        <v>0</v>
      </c>
      <c r="R474" s="247">
        <v>0</v>
      </c>
      <c r="S474" s="247">
        <v>0</v>
      </c>
      <c r="T474" s="248">
        <v>0</v>
      </c>
      <c r="U474" s="247">
        <v>0</v>
      </c>
      <c r="V474" s="247">
        <v>0</v>
      </c>
      <c r="W474" s="247">
        <v>0</v>
      </c>
      <c r="X474" s="247">
        <v>0</v>
      </c>
      <c r="Y474" s="247">
        <v>0</v>
      </c>
      <c r="Z474" s="247">
        <v>0</v>
      </c>
    </row>
    <row r="475" spans="1:26" ht="12.75" hidden="1" x14ac:dyDescent="0.2">
      <c r="A475" s="172">
        <v>4145</v>
      </c>
      <c r="B475" s="172">
        <v>7</v>
      </c>
      <c r="C475" s="173" t="s">
        <v>562</v>
      </c>
      <c r="D475" s="179">
        <v>7</v>
      </c>
      <c r="E475" s="248">
        <v>34</v>
      </c>
      <c r="F475" s="247">
        <v>0</v>
      </c>
      <c r="G475" s="247">
        <v>0</v>
      </c>
      <c r="H475" s="247">
        <v>0</v>
      </c>
      <c r="I475" s="247">
        <v>0</v>
      </c>
      <c r="J475" s="247">
        <v>0</v>
      </c>
      <c r="K475" s="247">
        <v>0</v>
      </c>
      <c r="L475" s="247">
        <v>0</v>
      </c>
      <c r="M475" s="247">
        <v>0</v>
      </c>
      <c r="N475" s="247">
        <v>0</v>
      </c>
      <c r="O475" s="172"/>
      <c r="P475" s="247">
        <v>0</v>
      </c>
      <c r="Q475" s="247">
        <v>0</v>
      </c>
      <c r="R475" s="247">
        <v>0</v>
      </c>
      <c r="S475" s="247">
        <v>0</v>
      </c>
      <c r="T475" s="248">
        <v>0</v>
      </c>
      <c r="U475" s="247">
        <v>0</v>
      </c>
      <c r="V475" s="247">
        <v>0</v>
      </c>
      <c r="W475" s="247">
        <v>0</v>
      </c>
      <c r="X475" s="247">
        <v>0</v>
      </c>
      <c r="Y475" s="247">
        <v>0</v>
      </c>
      <c r="Z475" s="247">
        <v>0</v>
      </c>
    </row>
    <row r="476" spans="1:26" ht="12.75" hidden="1" x14ac:dyDescent="0.2">
      <c r="A476" s="172">
        <v>4146</v>
      </c>
      <c r="B476" s="172">
        <v>7</v>
      </c>
      <c r="C476" s="173" t="s">
        <v>714</v>
      </c>
      <c r="D476" s="179">
        <v>7</v>
      </c>
      <c r="E476" s="248">
        <v>100</v>
      </c>
      <c r="F476" s="247">
        <v>0</v>
      </c>
      <c r="G476" s="247">
        <v>0</v>
      </c>
      <c r="H476" s="247">
        <v>0</v>
      </c>
      <c r="I476" s="247">
        <v>0</v>
      </c>
      <c r="J476" s="247">
        <v>0</v>
      </c>
      <c r="K476" s="247">
        <v>0</v>
      </c>
      <c r="L476" s="247">
        <v>0</v>
      </c>
      <c r="M476" s="247">
        <v>0</v>
      </c>
      <c r="N476" s="247">
        <v>0</v>
      </c>
      <c r="O476" s="172"/>
      <c r="P476" s="247">
        <v>0</v>
      </c>
      <c r="Q476" s="247">
        <v>0</v>
      </c>
      <c r="R476" s="247">
        <v>0</v>
      </c>
      <c r="S476" s="247">
        <v>0</v>
      </c>
      <c r="T476" s="248">
        <v>0</v>
      </c>
      <c r="U476" s="247">
        <v>0</v>
      </c>
      <c r="V476" s="247">
        <v>0</v>
      </c>
      <c r="W476" s="247">
        <v>0</v>
      </c>
      <c r="X476" s="247">
        <v>0</v>
      </c>
      <c r="Y476" s="247">
        <v>0</v>
      </c>
      <c r="Z476" s="247">
        <v>0</v>
      </c>
    </row>
    <row r="477" spans="1:26" ht="12.75" hidden="1" x14ac:dyDescent="0.2">
      <c r="A477" s="172">
        <v>4150</v>
      </c>
      <c r="B477" s="172">
        <v>7</v>
      </c>
      <c r="C477" s="173" t="s">
        <v>658</v>
      </c>
      <c r="D477" s="179">
        <v>7</v>
      </c>
      <c r="E477" s="248">
        <v>98</v>
      </c>
      <c r="F477" s="247">
        <v>0</v>
      </c>
      <c r="G477" s="247">
        <v>0</v>
      </c>
      <c r="H477" s="247">
        <v>0</v>
      </c>
      <c r="I477" s="247">
        <v>0</v>
      </c>
      <c r="J477" s="247">
        <v>0</v>
      </c>
      <c r="K477" s="247">
        <v>0</v>
      </c>
      <c r="L477" s="247">
        <v>0</v>
      </c>
      <c r="M477" s="247">
        <v>0</v>
      </c>
      <c r="N477" s="247">
        <v>0</v>
      </c>
      <c r="O477" s="172"/>
      <c r="P477" s="247">
        <v>0</v>
      </c>
      <c r="Q477" s="247">
        <v>0</v>
      </c>
      <c r="R477" s="247">
        <v>0</v>
      </c>
      <c r="S477" s="247">
        <v>0</v>
      </c>
      <c r="T477" s="248">
        <v>0</v>
      </c>
      <c r="U477" s="247">
        <v>0</v>
      </c>
      <c r="V477" s="247">
        <v>0</v>
      </c>
      <c r="W477" s="247">
        <v>0</v>
      </c>
      <c r="X477" s="247">
        <v>0</v>
      </c>
      <c r="Y477" s="247">
        <v>0</v>
      </c>
      <c r="Z477" s="247">
        <v>0</v>
      </c>
    </row>
    <row r="478" spans="1:26" ht="12.75" hidden="1" x14ac:dyDescent="0.2">
      <c r="A478" s="172">
        <v>4151</v>
      </c>
      <c r="B478" s="172">
        <v>7</v>
      </c>
      <c r="C478" s="173" t="s">
        <v>657</v>
      </c>
      <c r="D478" s="179">
        <v>7</v>
      </c>
      <c r="E478" s="248">
        <v>94</v>
      </c>
      <c r="F478" s="247">
        <v>0</v>
      </c>
      <c r="G478" s="247">
        <v>0</v>
      </c>
      <c r="H478" s="247">
        <v>0</v>
      </c>
      <c r="I478" s="247">
        <v>0</v>
      </c>
      <c r="J478" s="247">
        <v>0</v>
      </c>
      <c r="K478" s="247">
        <v>0</v>
      </c>
      <c r="L478" s="247">
        <v>0</v>
      </c>
      <c r="M478" s="247">
        <v>0</v>
      </c>
      <c r="N478" s="247">
        <v>0</v>
      </c>
      <c r="O478" s="172"/>
      <c r="P478" s="247">
        <v>0</v>
      </c>
      <c r="Q478" s="247">
        <v>0</v>
      </c>
      <c r="R478" s="247">
        <v>0</v>
      </c>
      <c r="S478" s="247">
        <v>0</v>
      </c>
      <c r="T478" s="248">
        <v>0</v>
      </c>
      <c r="U478" s="247">
        <v>0</v>
      </c>
      <c r="V478" s="247">
        <v>0</v>
      </c>
      <c r="W478" s="247">
        <v>0</v>
      </c>
      <c r="X478" s="247">
        <v>0</v>
      </c>
      <c r="Y478" s="247">
        <v>0</v>
      </c>
      <c r="Z478" s="247">
        <v>0</v>
      </c>
    </row>
    <row r="479" spans="1:26" ht="12.75" hidden="1" x14ac:dyDescent="0.2">
      <c r="A479" s="172">
        <v>4152</v>
      </c>
      <c r="B479" s="172">
        <v>7</v>
      </c>
      <c r="C479" s="173" t="s">
        <v>318</v>
      </c>
      <c r="D479" s="179">
        <v>7</v>
      </c>
      <c r="E479" s="248">
        <v>308</v>
      </c>
      <c r="F479" s="247">
        <v>0</v>
      </c>
      <c r="G479" s="247">
        <v>0</v>
      </c>
      <c r="H479" s="247">
        <v>0</v>
      </c>
      <c r="I479" s="247">
        <v>0</v>
      </c>
      <c r="J479" s="247">
        <v>0</v>
      </c>
      <c r="K479" s="247">
        <v>0</v>
      </c>
      <c r="L479" s="247">
        <v>0</v>
      </c>
      <c r="M479" s="247">
        <v>0</v>
      </c>
      <c r="N479" s="247">
        <v>0</v>
      </c>
      <c r="O479" s="172"/>
      <c r="P479" s="247">
        <v>0</v>
      </c>
      <c r="Q479" s="247">
        <v>0</v>
      </c>
      <c r="R479" s="247">
        <v>0</v>
      </c>
      <c r="S479" s="247">
        <v>0</v>
      </c>
      <c r="T479" s="248">
        <v>0</v>
      </c>
      <c r="U479" s="247">
        <v>0</v>
      </c>
      <c r="V479" s="247">
        <v>0</v>
      </c>
      <c r="W479" s="247">
        <v>0</v>
      </c>
      <c r="X479" s="247">
        <v>0</v>
      </c>
      <c r="Y479" s="247">
        <v>0</v>
      </c>
      <c r="Z479" s="247">
        <v>0</v>
      </c>
    </row>
    <row r="480" spans="1:26" ht="12.75" hidden="1" x14ac:dyDescent="0.2">
      <c r="A480" s="172">
        <v>4153</v>
      </c>
      <c r="B480" s="172">
        <v>7</v>
      </c>
      <c r="C480" s="173" t="s">
        <v>715</v>
      </c>
      <c r="D480" s="179">
        <v>7</v>
      </c>
      <c r="E480" s="248">
        <v>320</v>
      </c>
      <c r="F480" s="247">
        <v>0</v>
      </c>
      <c r="G480" s="247">
        <v>0</v>
      </c>
      <c r="H480" s="247">
        <v>0</v>
      </c>
      <c r="I480" s="247">
        <v>0</v>
      </c>
      <c r="J480" s="247">
        <v>0</v>
      </c>
      <c r="K480" s="247">
        <v>0</v>
      </c>
      <c r="L480" s="247">
        <v>0</v>
      </c>
      <c r="M480" s="247">
        <v>0</v>
      </c>
      <c r="N480" s="247">
        <v>0</v>
      </c>
      <c r="O480" s="172"/>
      <c r="P480" s="247">
        <v>0</v>
      </c>
      <c r="Q480" s="247">
        <v>0</v>
      </c>
      <c r="R480" s="247">
        <v>0</v>
      </c>
      <c r="S480" s="247">
        <v>0</v>
      </c>
      <c r="T480" s="248">
        <v>0</v>
      </c>
      <c r="U480" s="247">
        <v>0</v>
      </c>
      <c r="V480" s="247">
        <v>0</v>
      </c>
      <c r="W480" s="247">
        <v>0</v>
      </c>
      <c r="X480" s="247">
        <v>0</v>
      </c>
      <c r="Y480" s="247">
        <v>0</v>
      </c>
      <c r="Z480" s="247">
        <v>0</v>
      </c>
    </row>
    <row r="481" spans="1:26" ht="12.75" hidden="1" x14ac:dyDescent="0.2">
      <c r="A481" s="172">
        <v>4155</v>
      </c>
      <c r="B481" s="172">
        <v>7</v>
      </c>
      <c r="C481" s="173" t="s">
        <v>716</v>
      </c>
      <c r="D481" s="179">
        <v>7</v>
      </c>
      <c r="E481" s="248">
        <v>119</v>
      </c>
      <c r="F481" s="247">
        <v>0</v>
      </c>
      <c r="G481" s="247">
        <v>0</v>
      </c>
      <c r="H481" s="247">
        <v>0</v>
      </c>
      <c r="I481" s="247">
        <v>0</v>
      </c>
      <c r="J481" s="247">
        <v>0</v>
      </c>
      <c r="K481" s="247">
        <v>0</v>
      </c>
      <c r="L481" s="247">
        <v>0</v>
      </c>
      <c r="M481" s="247">
        <v>0</v>
      </c>
      <c r="N481" s="247">
        <v>0</v>
      </c>
      <c r="O481" s="172"/>
      <c r="P481" s="247">
        <v>0</v>
      </c>
      <c r="Q481" s="247">
        <v>0</v>
      </c>
      <c r="R481" s="247">
        <v>0</v>
      </c>
      <c r="S481" s="247">
        <v>0</v>
      </c>
      <c r="T481" s="248">
        <v>0</v>
      </c>
      <c r="U481" s="247">
        <v>0</v>
      </c>
      <c r="V481" s="247">
        <v>0</v>
      </c>
      <c r="W481" s="247">
        <v>0</v>
      </c>
      <c r="X481" s="247">
        <v>0</v>
      </c>
      <c r="Y481" s="247">
        <v>0</v>
      </c>
      <c r="Z481" s="247">
        <v>0</v>
      </c>
    </row>
    <row r="482" spans="1:26" ht="12.75" hidden="1" x14ac:dyDescent="0.2">
      <c r="A482" s="172">
        <v>4159</v>
      </c>
      <c r="B482" s="172">
        <v>7</v>
      </c>
      <c r="C482" s="173" t="s">
        <v>321</v>
      </c>
      <c r="D482" s="179">
        <v>7</v>
      </c>
      <c r="E482" s="248">
        <v>435</v>
      </c>
      <c r="F482" s="247">
        <v>0</v>
      </c>
      <c r="G482" s="247">
        <v>0</v>
      </c>
      <c r="H482" s="247">
        <v>0</v>
      </c>
      <c r="I482" s="247">
        <v>0</v>
      </c>
      <c r="J482" s="247">
        <v>0</v>
      </c>
      <c r="K482" s="247">
        <v>0</v>
      </c>
      <c r="L482" s="247">
        <v>0</v>
      </c>
      <c r="M482" s="247">
        <v>0</v>
      </c>
      <c r="N482" s="247">
        <v>0</v>
      </c>
      <c r="O482" s="172"/>
      <c r="P482" s="247">
        <v>0</v>
      </c>
      <c r="Q482" s="247">
        <v>0</v>
      </c>
      <c r="R482" s="247">
        <v>0</v>
      </c>
      <c r="S482" s="247">
        <v>0</v>
      </c>
      <c r="T482" s="248">
        <v>0</v>
      </c>
      <c r="U482" s="247">
        <v>0</v>
      </c>
      <c r="V482" s="247">
        <v>0</v>
      </c>
      <c r="W482" s="247">
        <v>0</v>
      </c>
      <c r="X482" s="247">
        <v>0</v>
      </c>
      <c r="Y482" s="247">
        <v>0</v>
      </c>
      <c r="Z482" s="247">
        <v>0</v>
      </c>
    </row>
    <row r="483" spans="1:26" ht="12.75" hidden="1" x14ac:dyDescent="0.2">
      <c r="A483" s="172">
        <v>4160</v>
      </c>
      <c r="B483" s="172">
        <v>7</v>
      </c>
      <c r="C483" s="173" t="s">
        <v>614</v>
      </c>
      <c r="D483" s="179">
        <v>7</v>
      </c>
      <c r="E483" s="248">
        <v>490</v>
      </c>
      <c r="F483" s="247">
        <v>0</v>
      </c>
      <c r="G483" s="247">
        <v>0</v>
      </c>
      <c r="H483" s="247">
        <v>0</v>
      </c>
      <c r="I483" s="247">
        <v>0</v>
      </c>
      <c r="J483" s="247">
        <v>0</v>
      </c>
      <c r="K483" s="247">
        <v>0</v>
      </c>
      <c r="L483" s="247">
        <v>0</v>
      </c>
      <c r="M483" s="247">
        <v>0</v>
      </c>
      <c r="N483" s="247">
        <v>0</v>
      </c>
      <c r="O483" s="172"/>
      <c r="P483" s="247">
        <v>0</v>
      </c>
      <c r="Q483" s="247">
        <v>0</v>
      </c>
      <c r="R483" s="247">
        <v>0</v>
      </c>
      <c r="S483" s="247">
        <v>0</v>
      </c>
      <c r="T483" s="248">
        <v>0</v>
      </c>
      <c r="U483" s="247">
        <v>0</v>
      </c>
      <c r="V483" s="247">
        <v>0</v>
      </c>
      <c r="W483" s="247">
        <v>0</v>
      </c>
      <c r="X483" s="247">
        <v>0</v>
      </c>
      <c r="Y483" s="247">
        <v>0</v>
      </c>
      <c r="Z483" s="247">
        <v>0</v>
      </c>
    </row>
    <row r="484" spans="1:26" ht="12.75" hidden="1" x14ac:dyDescent="0.2">
      <c r="A484" s="172">
        <v>4161</v>
      </c>
      <c r="B484" s="172">
        <v>7</v>
      </c>
      <c r="C484" s="173" t="s">
        <v>665</v>
      </c>
      <c r="D484" s="179">
        <v>7</v>
      </c>
      <c r="E484" s="248">
        <v>176</v>
      </c>
      <c r="F484" s="247">
        <v>0</v>
      </c>
      <c r="G484" s="247">
        <v>0</v>
      </c>
      <c r="H484" s="247">
        <v>0</v>
      </c>
      <c r="I484" s="247">
        <v>0</v>
      </c>
      <c r="J484" s="247">
        <v>0</v>
      </c>
      <c r="K484" s="247">
        <v>0</v>
      </c>
      <c r="L484" s="247">
        <v>0</v>
      </c>
      <c r="M484" s="247">
        <v>0</v>
      </c>
      <c r="N484" s="247">
        <v>0</v>
      </c>
      <c r="O484" s="172"/>
      <c r="P484" s="247">
        <v>0</v>
      </c>
      <c r="Q484" s="247">
        <v>0</v>
      </c>
      <c r="R484" s="247">
        <v>0</v>
      </c>
      <c r="S484" s="247">
        <v>0</v>
      </c>
      <c r="T484" s="248">
        <v>0</v>
      </c>
      <c r="U484" s="247">
        <v>0</v>
      </c>
      <c r="V484" s="247">
        <v>0</v>
      </c>
      <c r="W484" s="247">
        <v>0</v>
      </c>
      <c r="X484" s="247">
        <v>0</v>
      </c>
      <c r="Y484" s="247">
        <v>0</v>
      </c>
      <c r="Z484" s="247">
        <v>0</v>
      </c>
    </row>
    <row r="485" spans="1:26" ht="12.75" hidden="1" x14ac:dyDescent="0.2">
      <c r="A485" s="172">
        <v>4162</v>
      </c>
      <c r="B485" s="172">
        <v>7</v>
      </c>
      <c r="C485" s="173" t="s">
        <v>667</v>
      </c>
      <c r="D485" s="179">
        <v>7</v>
      </c>
      <c r="E485" s="248">
        <v>114</v>
      </c>
      <c r="F485" s="247">
        <v>0</v>
      </c>
      <c r="G485" s="247">
        <v>0</v>
      </c>
      <c r="H485" s="247">
        <v>0</v>
      </c>
      <c r="I485" s="247">
        <v>0</v>
      </c>
      <c r="J485" s="247">
        <v>0</v>
      </c>
      <c r="K485" s="247">
        <v>0</v>
      </c>
      <c r="L485" s="247">
        <v>0</v>
      </c>
      <c r="M485" s="247">
        <v>0</v>
      </c>
      <c r="N485" s="247">
        <v>0</v>
      </c>
      <c r="O485" s="172"/>
      <c r="P485" s="247">
        <v>0</v>
      </c>
      <c r="Q485" s="247">
        <v>0</v>
      </c>
      <c r="R485" s="247">
        <v>0</v>
      </c>
      <c r="S485" s="247">
        <v>0</v>
      </c>
      <c r="T485" s="248">
        <v>0</v>
      </c>
      <c r="U485" s="247">
        <v>0</v>
      </c>
      <c r="V485" s="247">
        <v>0</v>
      </c>
      <c r="W485" s="247">
        <v>0</v>
      </c>
      <c r="X485" s="247">
        <v>0</v>
      </c>
      <c r="Y485" s="247">
        <v>0</v>
      </c>
      <c r="Z485" s="247">
        <v>0</v>
      </c>
    </row>
    <row r="486" spans="1:26" ht="12.75" hidden="1" x14ac:dyDescent="0.2">
      <c r="A486" s="172">
        <v>4163</v>
      </c>
      <c r="B486" s="172">
        <v>7</v>
      </c>
      <c r="C486" s="173" t="s">
        <v>253</v>
      </c>
      <c r="D486" s="179">
        <v>7</v>
      </c>
      <c r="E486" s="248">
        <v>268</v>
      </c>
      <c r="F486" s="247">
        <v>0</v>
      </c>
      <c r="G486" s="247">
        <v>0</v>
      </c>
      <c r="H486" s="247">
        <v>0</v>
      </c>
      <c r="I486" s="247">
        <v>0</v>
      </c>
      <c r="J486" s="247">
        <v>0</v>
      </c>
      <c r="K486" s="247">
        <v>0</v>
      </c>
      <c r="L486" s="247">
        <v>0</v>
      </c>
      <c r="M486" s="247">
        <v>0</v>
      </c>
      <c r="N486" s="247">
        <v>0</v>
      </c>
      <c r="O486" s="172"/>
      <c r="P486" s="247">
        <v>0</v>
      </c>
      <c r="Q486" s="247">
        <v>0</v>
      </c>
      <c r="R486" s="247">
        <v>0</v>
      </c>
      <c r="S486" s="247">
        <v>0</v>
      </c>
      <c r="T486" s="248">
        <v>0</v>
      </c>
      <c r="U486" s="247">
        <v>0</v>
      </c>
      <c r="V486" s="247">
        <v>0</v>
      </c>
      <c r="W486" s="247">
        <v>0</v>
      </c>
      <c r="X486" s="247">
        <v>0</v>
      </c>
      <c r="Y486" s="247">
        <v>0</v>
      </c>
      <c r="Z486" s="247">
        <v>0</v>
      </c>
    </row>
    <row r="487" spans="1:26" ht="12.75" hidden="1" x14ac:dyDescent="0.2">
      <c r="A487" s="172">
        <v>4164</v>
      </c>
      <c r="B487" s="172">
        <v>7</v>
      </c>
      <c r="C487" s="173" t="s">
        <v>259</v>
      </c>
      <c r="D487" s="179">
        <v>7</v>
      </c>
      <c r="E487" s="248">
        <v>200</v>
      </c>
      <c r="F487" s="247">
        <v>0</v>
      </c>
      <c r="G487" s="247">
        <v>0</v>
      </c>
      <c r="H487" s="247">
        <v>0</v>
      </c>
      <c r="I487" s="247">
        <v>0</v>
      </c>
      <c r="J487" s="247">
        <v>0</v>
      </c>
      <c r="K487" s="247">
        <v>0</v>
      </c>
      <c r="L487" s="247">
        <v>0</v>
      </c>
      <c r="M487" s="247">
        <v>0</v>
      </c>
      <c r="N487" s="247">
        <v>0</v>
      </c>
      <c r="O487" s="172"/>
      <c r="P487" s="247">
        <v>0</v>
      </c>
      <c r="Q487" s="247">
        <v>0</v>
      </c>
      <c r="R487" s="247">
        <v>0</v>
      </c>
      <c r="S487" s="247">
        <v>0</v>
      </c>
      <c r="T487" s="248">
        <v>0</v>
      </c>
      <c r="U487" s="247">
        <v>0</v>
      </c>
      <c r="V487" s="247">
        <v>0</v>
      </c>
      <c r="W487" s="247">
        <v>0</v>
      </c>
      <c r="X487" s="247">
        <v>0</v>
      </c>
      <c r="Y487" s="247">
        <v>0</v>
      </c>
      <c r="Z487" s="247">
        <v>0</v>
      </c>
    </row>
    <row r="488" spans="1:26" ht="12.75" hidden="1" x14ac:dyDescent="0.2">
      <c r="A488" s="172">
        <v>4166</v>
      </c>
      <c r="B488" s="172">
        <v>7</v>
      </c>
      <c r="C488" s="173" t="s">
        <v>678</v>
      </c>
      <c r="D488" s="179">
        <v>7</v>
      </c>
      <c r="E488" s="248">
        <v>110</v>
      </c>
      <c r="F488" s="247">
        <v>0</v>
      </c>
      <c r="G488" s="247">
        <v>0</v>
      </c>
      <c r="H488" s="247">
        <v>0</v>
      </c>
      <c r="I488" s="247">
        <v>0</v>
      </c>
      <c r="J488" s="247">
        <v>0</v>
      </c>
      <c r="K488" s="247">
        <v>0</v>
      </c>
      <c r="L488" s="247">
        <v>0</v>
      </c>
      <c r="M488" s="247">
        <v>0</v>
      </c>
      <c r="N488" s="247">
        <v>0</v>
      </c>
      <c r="O488" s="172"/>
      <c r="P488" s="247">
        <v>0</v>
      </c>
      <c r="Q488" s="247">
        <v>0</v>
      </c>
      <c r="R488" s="247">
        <v>0</v>
      </c>
      <c r="S488" s="247">
        <v>0</v>
      </c>
      <c r="T488" s="248">
        <v>0</v>
      </c>
      <c r="U488" s="247">
        <v>0</v>
      </c>
      <c r="V488" s="247">
        <v>0</v>
      </c>
      <c r="W488" s="247">
        <v>0</v>
      </c>
      <c r="X488" s="247">
        <v>0</v>
      </c>
      <c r="Y488" s="247">
        <v>0</v>
      </c>
      <c r="Z488" s="247">
        <v>0</v>
      </c>
    </row>
    <row r="489" spans="1:26" ht="12.75" hidden="1" x14ac:dyDescent="0.2">
      <c r="A489" s="172">
        <v>4167</v>
      </c>
      <c r="B489" s="172">
        <v>7</v>
      </c>
      <c r="C489" s="173" t="s">
        <v>411</v>
      </c>
      <c r="D489" s="179">
        <v>7</v>
      </c>
      <c r="E489" s="248">
        <v>257</v>
      </c>
      <c r="F489" s="247">
        <v>0</v>
      </c>
      <c r="G489" s="247">
        <v>0</v>
      </c>
      <c r="H489" s="247">
        <v>0</v>
      </c>
      <c r="I489" s="247">
        <v>0</v>
      </c>
      <c r="J489" s="247">
        <v>0</v>
      </c>
      <c r="K489" s="247">
        <v>0</v>
      </c>
      <c r="L489" s="247">
        <v>0</v>
      </c>
      <c r="M489" s="247">
        <v>0</v>
      </c>
      <c r="N489" s="247">
        <v>0</v>
      </c>
      <c r="O489" s="172"/>
      <c r="P489" s="247">
        <v>0</v>
      </c>
      <c r="Q489" s="247">
        <v>0</v>
      </c>
      <c r="R489" s="247">
        <v>0</v>
      </c>
      <c r="S489" s="247">
        <v>0</v>
      </c>
      <c r="T489" s="248">
        <v>0</v>
      </c>
      <c r="U489" s="247">
        <v>0</v>
      </c>
      <c r="V489" s="247">
        <v>0</v>
      </c>
      <c r="W489" s="247">
        <v>0</v>
      </c>
      <c r="X489" s="247">
        <v>0</v>
      </c>
      <c r="Y489" s="247">
        <v>0</v>
      </c>
      <c r="Z489" s="247">
        <v>0</v>
      </c>
    </row>
    <row r="490" spans="1:26" ht="12.75" hidden="1" x14ac:dyDescent="0.2">
      <c r="A490" s="172">
        <v>4168</v>
      </c>
      <c r="B490" s="172">
        <v>7</v>
      </c>
      <c r="C490" s="173" t="s">
        <v>620</v>
      </c>
      <c r="D490" s="179">
        <v>7</v>
      </c>
      <c r="E490" s="248">
        <v>116</v>
      </c>
      <c r="F490" s="247">
        <v>0</v>
      </c>
      <c r="G490" s="247">
        <v>0</v>
      </c>
      <c r="H490" s="247">
        <v>0</v>
      </c>
      <c r="I490" s="247">
        <v>0</v>
      </c>
      <c r="J490" s="247">
        <v>0</v>
      </c>
      <c r="K490" s="247">
        <v>0</v>
      </c>
      <c r="L490" s="247">
        <v>0</v>
      </c>
      <c r="M490" s="247">
        <v>0</v>
      </c>
      <c r="N490" s="247">
        <v>0</v>
      </c>
      <c r="O490" s="172"/>
      <c r="P490" s="247">
        <v>0</v>
      </c>
      <c r="Q490" s="247">
        <v>0</v>
      </c>
      <c r="R490" s="247">
        <v>0</v>
      </c>
      <c r="S490" s="247">
        <v>0</v>
      </c>
      <c r="T490" s="248">
        <v>0</v>
      </c>
      <c r="U490" s="247">
        <v>0</v>
      </c>
      <c r="V490" s="247">
        <v>0</v>
      </c>
      <c r="W490" s="247">
        <v>0</v>
      </c>
      <c r="X490" s="247">
        <v>0</v>
      </c>
      <c r="Y490" s="247">
        <v>0</v>
      </c>
      <c r="Z490" s="247">
        <v>0</v>
      </c>
    </row>
    <row r="491" spans="1:26" ht="12.75" hidden="1" x14ac:dyDescent="0.2">
      <c r="A491" s="172">
        <v>4169</v>
      </c>
      <c r="B491" s="172">
        <v>7</v>
      </c>
      <c r="C491" s="173" t="s">
        <v>593</v>
      </c>
      <c r="D491" s="179">
        <v>7</v>
      </c>
      <c r="E491" s="248">
        <v>231</v>
      </c>
      <c r="F491" s="247">
        <v>0</v>
      </c>
      <c r="G491" s="247">
        <v>0</v>
      </c>
      <c r="H491" s="247">
        <v>0</v>
      </c>
      <c r="I491" s="247">
        <v>0</v>
      </c>
      <c r="J491" s="247">
        <v>0</v>
      </c>
      <c r="K491" s="247">
        <v>0</v>
      </c>
      <c r="L491" s="247">
        <v>0</v>
      </c>
      <c r="M491" s="247">
        <v>0</v>
      </c>
      <c r="N491" s="247">
        <v>0</v>
      </c>
      <c r="O491" s="172"/>
      <c r="P491" s="247">
        <v>0</v>
      </c>
      <c r="Q491" s="247">
        <v>0</v>
      </c>
      <c r="R491" s="247">
        <v>0</v>
      </c>
      <c r="S491" s="247">
        <v>0</v>
      </c>
      <c r="T491" s="248">
        <v>0</v>
      </c>
      <c r="U491" s="247">
        <v>0</v>
      </c>
      <c r="V491" s="247">
        <v>0</v>
      </c>
      <c r="W491" s="247">
        <v>0</v>
      </c>
      <c r="X491" s="247">
        <v>0</v>
      </c>
      <c r="Y491" s="247">
        <v>0</v>
      </c>
      <c r="Z491" s="247">
        <v>0</v>
      </c>
    </row>
    <row r="492" spans="1:26" ht="12.75" hidden="1" x14ac:dyDescent="0.2">
      <c r="A492" s="172">
        <v>4170</v>
      </c>
      <c r="B492" s="172">
        <v>7</v>
      </c>
      <c r="C492" s="173" t="s">
        <v>721</v>
      </c>
      <c r="D492" s="179">
        <v>7</v>
      </c>
      <c r="E492" s="248">
        <v>468</v>
      </c>
      <c r="F492" s="247">
        <v>0</v>
      </c>
      <c r="G492" s="247">
        <v>0</v>
      </c>
      <c r="H492" s="247">
        <v>0</v>
      </c>
      <c r="I492" s="247">
        <v>0</v>
      </c>
      <c r="J492" s="247">
        <v>0</v>
      </c>
      <c r="K492" s="247">
        <v>0</v>
      </c>
      <c r="L492" s="247">
        <v>0</v>
      </c>
      <c r="M492" s="247">
        <v>0</v>
      </c>
      <c r="N492" s="247">
        <v>0</v>
      </c>
      <c r="O492" s="172"/>
      <c r="P492" s="247">
        <v>0</v>
      </c>
      <c r="Q492" s="247">
        <v>0</v>
      </c>
      <c r="R492" s="247">
        <v>0</v>
      </c>
      <c r="S492" s="247">
        <v>0</v>
      </c>
      <c r="T492" s="248">
        <v>0</v>
      </c>
      <c r="U492" s="247">
        <v>0</v>
      </c>
      <c r="V492" s="247">
        <v>0</v>
      </c>
      <c r="W492" s="247">
        <v>0</v>
      </c>
      <c r="X492" s="247">
        <v>0</v>
      </c>
      <c r="Y492" s="247">
        <v>0</v>
      </c>
      <c r="Z492" s="247">
        <v>0</v>
      </c>
    </row>
    <row r="493" spans="1:26" ht="12.75" hidden="1" x14ac:dyDescent="0.2">
      <c r="A493" s="172">
        <v>4171</v>
      </c>
      <c r="B493" s="172">
        <v>7</v>
      </c>
      <c r="C493" s="173" t="s">
        <v>722</v>
      </c>
      <c r="D493" s="179">
        <v>7</v>
      </c>
      <c r="E493" s="248">
        <v>500</v>
      </c>
      <c r="F493" s="247">
        <v>0</v>
      </c>
      <c r="G493" s="247">
        <v>0</v>
      </c>
      <c r="H493" s="247">
        <v>0</v>
      </c>
      <c r="I493" s="247">
        <v>0</v>
      </c>
      <c r="J493" s="247">
        <v>0</v>
      </c>
      <c r="K493" s="247">
        <v>0</v>
      </c>
      <c r="L493" s="247">
        <v>0</v>
      </c>
      <c r="M493" s="247">
        <v>0</v>
      </c>
      <c r="N493" s="247">
        <v>0</v>
      </c>
      <c r="O493" s="172"/>
      <c r="P493" s="247">
        <v>0</v>
      </c>
      <c r="Q493" s="247">
        <v>0</v>
      </c>
      <c r="R493" s="247">
        <v>0</v>
      </c>
      <c r="S493" s="247">
        <v>0</v>
      </c>
      <c r="T493" s="248">
        <v>0</v>
      </c>
      <c r="U493" s="247">
        <v>0</v>
      </c>
      <c r="V493" s="247">
        <v>0</v>
      </c>
      <c r="W493" s="247">
        <v>0</v>
      </c>
      <c r="X493" s="247">
        <v>0</v>
      </c>
      <c r="Y493" s="247">
        <v>0</v>
      </c>
      <c r="Z493" s="247">
        <v>0</v>
      </c>
    </row>
    <row r="494" spans="1:26" ht="12.75" hidden="1" x14ac:dyDescent="0.2">
      <c r="A494" s="172">
        <v>4172</v>
      </c>
      <c r="B494" s="172">
        <v>7</v>
      </c>
      <c r="C494" s="173" t="s">
        <v>712</v>
      </c>
      <c r="D494" s="179">
        <v>7</v>
      </c>
      <c r="E494" s="248">
        <v>61</v>
      </c>
      <c r="F494" s="247">
        <v>0</v>
      </c>
      <c r="G494" s="247">
        <v>0</v>
      </c>
      <c r="H494" s="247">
        <v>0</v>
      </c>
      <c r="I494" s="247">
        <v>0</v>
      </c>
      <c r="J494" s="247">
        <v>0</v>
      </c>
      <c r="K494" s="247">
        <v>0</v>
      </c>
      <c r="L494" s="247">
        <v>0</v>
      </c>
      <c r="M494" s="247">
        <v>0</v>
      </c>
      <c r="N494" s="247">
        <v>0</v>
      </c>
      <c r="O494" s="172"/>
      <c r="P494" s="247">
        <v>0</v>
      </c>
      <c r="Q494" s="247">
        <v>0</v>
      </c>
      <c r="R494" s="247">
        <v>0</v>
      </c>
      <c r="S494" s="247">
        <v>0</v>
      </c>
      <c r="T494" s="248">
        <v>0</v>
      </c>
      <c r="U494" s="247">
        <v>0</v>
      </c>
      <c r="V494" s="247">
        <v>0</v>
      </c>
      <c r="W494" s="247">
        <v>0</v>
      </c>
      <c r="X494" s="247">
        <v>0</v>
      </c>
      <c r="Y494" s="247">
        <v>0</v>
      </c>
      <c r="Z494" s="247">
        <v>0</v>
      </c>
    </row>
    <row r="495" spans="1:26" ht="12.75" hidden="1" x14ac:dyDescent="0.2">
      <c r="A495" s="172">
        <v>4173</v>
      </c>
      <c r="B495" s="172">
        <v>7</v>
      </c>
      <c r="C495" s="173" t="s">
        <v>251</v>
      </c>
      <c r="D495" s="179">
        <v>7</v>
      </c>
      <c r="E495" s="248">
        <v>72</v>
      </c>
      <c r="F495" s="247">
        <v>0</v>
      </c>
      <c r="G495" s="247">
        <v>0</v>
      </c>
      <c r="H495" s="247">
        <v>0</v>
      </c>
      <c r="I495" s="247">
        <v>0</v>
      </c>
      <c r="J495" s="247">
        <v>0</v>
      </c>
      <c r="K495" s="247">
        <v>0</v>
      </c>
      <c r="L495" s="247">
        <v>0</v>
      </c>
      <c r="M495" s="247">
        <v>0</v>
      </c>
      <c r="N495" s="247">
        <v>0</v>
      </c>
      <c r="O495" s="172"/>
      <c r="P495" s="247">
        <v>0</v>
      </c>
      <c r="Q495" s="247">
        <v>0</v>
      </c>
      <c r="R495" s="247">
        <v>0</v>
      </c>
      <c r="S495" s="247">
        <v>0</v>
      </c>
      <c r="T495" s="248">
        <v>0</v>
      </c>
      <c r="U495" s="247">
        <v>0</v>
      </c>
      <c r="V495" s="247">
        <v>0</v>
      </c>
      <c r="W495" s="247">
        <v>0</v>
      </c>
      <c r="X495" s="247">
        <v>0</v>
      </c>
      <c r="Y495" s="247">
        <v>0</v>
      </c>
      <c r="Z495" s="247">
        <v>0</v>
      </c>
    </row>
    <row r="496" spans="1:26" ht="12.75" hidden="1" x14ac:dyDescent="0.2">
      <c r="A496" s="172">
        <v>4177</v>
      </c>
      <c r="B496" s="172">
        <v>7</v>
      </c>
      <c r="C496" s="173" t="s">
        <v>705</v>
      </c>
      <c r="D496" s="179">
        <v>7</v>
      </c>
      <c r="E496" s="248">
        <v>28</v>
      </c>
      <c r="F496" s="247">
        <v>0</v>
      </c>
      <c r="G496" s="247">
        <v>0</v>
      </c>
      <c r="H496" s="247">
        <v>0</v>
      </c>
      <c r="I496" s="247">
        <v>0</v>
      </c>
      <c r="J496" s="247">
        <v>0</v>
      </c>
      <c r="K496" s="247">
        <v>0</v>
      </c>
      <c r="L496" s="247">
        <v>0</v>
      </c>
      <c r="M496" s="247">
        <v>0</v>
      </c>
      <c r="N496" s="247">
        <v>0</v>
      </c>
      <c r="O496" s="172"/>
      <c r="P496" s="247">
        <v>0</v>
      </c>
      <c r="Q496" s="247">
        <v>0</v>
      </c>
      <c r="R496" s="247">
        <v>0</v>
      </c>
      <c r="S496" s="247">
        <v>0</v>
      </c>
      <c r="T496" s="248">
        <v>0</v>
      </c>
      <c r="U496" s="247">
        <v>0</v>
      </c>
      <c r="V496" s="247">
        <v>0</v>
      </c>
      <c r="W496" s="247">
        <v>0</v>
      </c>
      <c r="X496" s="247">
        <v>0</v>
      </c>
      <c r="Y496" s="247">
        <v>0</v>
      </c>
      <c r="Z496" s="247">
        <v>0</v>
      </c>
    </row>
    <row r="497" spans="1:26" ht="12.75" hidden="1" x14ac:dyDescent="0.2">
      <c r="A497" s="172">
        <v>4178</v>
      </c>
      <c r="B497" s="172">
        <v>7</v>
      </c>
      <c r="C497" s="173" t="s">
        <v>723</v>
      </c>
      <c r="D497" s="179">
        <v>7</v>
      </c>
      <c r="E497" s="248">
        <v>115</v>
      </c>
      <c r="F497" s="247">
        <v>0</v>
      </c>
      <c r="G497" s="247">
        <v>0</v>
      </c>
      <c r="H497" s="247">
        <v>0</v>
      </c>
      <c r="I497" s="247">
        <v>0</v>
      </c>
      <c r="J497" s="247">
        <v>0</v>
      </c>
      <c r="K497" s="247">
        <v>0</v>
      </c>
      <c r="L497" s="247">
        <v>0</v>
      </c>
      <c r="M497" s="247">
        <v>0</v>
      </c>
      <c r="N497" s="247">
        <v>0</v>
      </c>
      <c r="O497" s="172"/>
      <c r="P497" s="247">
        <v>0</v>
      </c>
      <c r="Q497" s="247">
        <v>0</v>
      </c>
      <c r="R497" s="247">
        <v>0</v>
      </c>
      <c r="S497" s="247">
        <v>0</v>
      </c>
      <c r="T497" s="248">
        <v>0</v>
      </c>
      <c r="U497" s="247">
        <v>0</v>
      </c>
      <c r="V497" s="247">
        <v>0</v>
      </c>
      <c r="W497" s="247">
        <v>0</v>
      </c>
      <c r="X497" s="247">
        <v>0</v>
      </c>
      <c r="Y497" s="247">
        <v>0</v>
      </c>
      <c r="Z497" s="247">
        <v>0</v>
      </c>
    </row>
    <row r="498" spans="1:26" ht="12.75" hidden="1" x14ac:dyDescent="0.2">
      <c r="A498" s="172">
        <v>4180</v>
      </c>
      <c r="B498" s="172">
        <v>7</v>
      </c>
      <c r="C498" s="173" t="s">
        <v>367</v>
      </c>
      <c r="D498" s="179">
        <v>7</v>
      </c>
      <c r="E498" s="248">
        <v>284</v>
      </c>
      <c r="F498" s="247">
        <v>0</v>
      </c>
      <c r="G498" s="247">
        <v>0</v>
      </c>
      <c r="H498" s="247">
        <v>0</v>
      </c>
      <c r="I498" s="247">
        <v>0</v>
      </c>
      <c r="J498" s="247">
        <v>0</v>
      </c>
      <c r="K498" s="247">
        <v>0</v>
      </c>
      <c r="L498" s="247">
        <v>0</v>
      </c>
      <c r="M498" s="247">
        <v>0</v>
      </c>
      <c r="N498" s="247">
        <v>0</v>
      </c>
      <c r="O498" s="172"/>
      <c r="P498" s="247">
        <v>0</v>
      </c>
      <c r="Q498" s="247">
        <v>0</v>
      </c>
      <c r="R498" s="247">
        <v>0</v>
      </c>
      <c r="S498" s="247">
        <v>0</v>
      </c>
      <c r="T498" s="248">
        <v>0</v>
      </c>
      <c r="U498" s="247">
        <v>0</v>
      </c>
      <c r="V498" s="247">
        <v>0</v>
      </c>
      <c r="W498" s="247">
        <v>0</v>
      </c>
      <c r="X498" s="247">
        <v>0</v>
      </c>
      <c r="Y498" s="247">
        <v>0</v>
      </c>
      <c r="Z498" s="247">
        <v>0</v>
      </c>
    </row>
    <row r="499" spans="1:26" ht="12.75" hidden="1" x14ac:dyDescent="0.2">
      <c r="A499" s="172">
        <v>4181</v>
      </c>
      <c r="B499" s="172">
        <v>7</v>
      </c>
      <c r="C499" s="173" t="s">
        <v>718</v>
      </c>
      <c r="D499" s="179">
        <v>7</v>
      </c>
      <c r="E499" s="248">
        <v>870</v>
      </c>
      <c r="F499" s="247">
        <v>0</v>
      </c>
      <c r="G499" s="247">
        <v>0</v>
      </c>
      <c r="H499" s="247">
        <v>0</v>
      </c>
      <c r="I499" s="247">
        <v>0</v>
      </c>
      <c r="J499" s="247">
        <v>0</v>
      </c>
      <c r="K499" s="247">
        <v>0</v>
      </c>
      <c r="L499" s="247">
        <v>0</v>
      </c>
      <c r="M499" s="247">
        <v>0</v>
      </c>
      <c r="N499" s="247">
        <v>0</v>
      </c>
      <c r="O499" s="172"/>
      <c r="P499" s="247">
        <v>0</v>
      </c>
      <c r="Q499" s="247">
        <v>0</v>
      </c>
      <c r="R499" s="247">
        <v>0</v>
      </c>
      <c r="S499" s="247">
        <v>0</v>
      </c>
      <c r="T499" s="248">
        <v>0</v>
      </c>
      <c r="U499" s="247">
        <v>0</v>
      </c>
      <c r="V499" s="247">
        <v>0</v>
      </c>
      <c r="W499" s="247">
        <v>0</v>
      </c>
      <c r="X499" s="247">
        <v>0</v>
      </c>
      <c r="Y499" s="247">
        <v>0</v>
      </c>
      <c r="Z499" s="247">
        <v>0</v>
      </c>
    </row>
    <row r="500" spans="1:26" ht="12.75" hidden="1" x14ac:dyDescent="0.2">
      <c r="A500" s="172">
        <v>4182</v>
      </c>
      <c r="B500" s="172">
        <v>7</v>
      </c>
      <c r="C500" s="173" t="s">
        <v>633</v>
      </c>
      <c r="D500" s="179">
        <v>7</v>
      </c>
      <c r="E500" s="248">
        <v>70</v>
      </c>
      <c r="F500" s="247">
        <v>0</v>
      </c>
      <c r="G500" s="247">
        <v>0</v>
      </c>
      <c r="H500" s="247">
        <v>0</v>
      </c>
      <c r="I500" s="247">
        <v>0</v>
      </c>
      <c r="J500" s="247">
        <v>0</v>
      </c>
      <c r="K500" s="247">
        <v>0</v>
      </c>
      <c r="L500" s="247">
        <v>0</v>
      </c>
      <c r="M500" s="247">
        <v>0</v>
      </c>
      <c r="N500" s="247">
        <v>0</v>
      </c>
      <c r="O500" s="172"/>
      <c r="P500" s="247">
        <v>0</v>
      </c>
      <c r="Q500" s="247">
        <v>0</v>
      </c>
      <c r="R500" s="247">
        <v>0</v>
      </c>
      <c r="S500" s="247">
        <v>0</v>
      </c>
      <c r="T500" s="248">
        <v>0</v>
      </c>
      <c r="U500" s="247">
        <v>0</v>
      </c>
      <c r="V500" s="247">
        <v>0</v>
      </c>
      <c r="W500" s="247">
        <v>0</v>
      </c>
      <c r="X500" s="247">
        <v>0</v>
      </c>
      <c r="Y500" s="247">
        <v>0</v>
      </c>
      <c r="Z500" s="247">
        <v>0</v>
      </c>
    </row>
    <row r="501" spans="1:26" ht="12.75" hidden="1" x14ac:dyDescent="0.2">
      <c r="A501" s="172">
        <v>4183</v>
      </c>
      <c r="B501" s="172">
        <v>7</v>
      </c>
      <c r="C501" s="173" t="s">
        <v>670</v>
      </c>
      <c r="D501" s="179">
        <v>7</v>
      </c>
      <c r="E501" s="248">
        <v>149</v>
      </c>
      <c r="F501" s="247">
        <v>0</v>
      </c>
      <c r="G501" s="247">
        <v>0</v>
      </c>
      <c r="H501" s="247">
        <v>0</v>
      </c>
      <c r="I501" s="247">
        <v>0</v>
      </c>
      <c r="J501" s="247">
        <v>0</v>
      </c>
      <c r="K501" s="247">
        <v>0</v>
      </c>
      <c r="L501" s="247">
        <v>0</v>
      </c>
      <c r="M501" s="247">
        <v>0</v>
      </c>
      <c r="N501" s="247">
        <v>0</v>
      </c>
      <c r="O501" s="172"/>
      <c r="P501" s="247">
        <v>0</v>
      </c>
      <c r="Q501" s="247">
        <v>0</v>
      </c>
      <c r="R501" s="247">
        <v>0</v>
      </c>
      <c r="S501" s="247">
        <v>0</v>
      </c>
      <c r="T501" s="248">
        <v>0</v>
      </c>
      <c r="U501" s="247">
        <v>0</v>
      </c>
      <c r="V501" s="247">
        <v>0</v>
      </c>
      <c r="W501" s="247">
        <v>0</v>
      </c>
      <c r="X501" s="247">
        <v>0</v>
      </c>
      <c r="Y501" s="247">
        <v>0</v>
      </c>
      <c r="Z501" s="247">
        <v>0</v>
      </c>
    </row>
    <row r="502" spans="1:26" ht="12.75" hidden="1" x14ac:dyDescent="0.2">
      <c r="A502" s="172">
        <v>4184</v>
      </c>
      <c r="B502" s="172">
        <v>7</v>
      </c>
      <c r="C502" s="173" t="s">
        <v>400</v>
      </c>
      <c r="D502" s="179">
        <v>7</v>
      </c>
      <c r="E502" s="248">
        <v>477</v>
      </c>
      <c r="F502" s="247">
        <v>0</v>
      </c>
      <c r="G502" s="247">
        <v>0</v>
      </c>
      <c r="H502" s="247">
        <v>0</v>
      </c>
      <c r="I502" s="247">
        <v>0</v>
      </c>
      <c r="J502" s="247">
        <v>0</v>
      </c>
      <c r="K502" s="247">
        <v>0</v>
      </c>
      <c r="L502" s="247">
        <v>0</v>
      </c>
      <c r="M502" s="247">
        <v>0</v>
      </c>
      <c r="N502" s="247">
        <v>0</v>
      </c>
      <c r="O502" s="172"/>
      <c r="P502" s="247">
        <v>0</v>
      </c>
      <c r="Q502" s="247">
        <v>0</v>
      </c>
      <c r="R502" s="247">
        <v>0</v>
      </c>
      <c r="S502" s="247">
        <v>0</v>
      </c>
      <c r="T502" s="248">
        <v>0</v>
      </c>
      <c r="U502" s="247">
        <v>0</v>
      </c>
      <c r="V502" s="247">
        <v>0</v>
      </c>
      <c r="W502" s="247">
        <v>0</v>
      </c>
      <c r="X502" s="247">
        <v>0</v>
      </c>
      <c r="Y502" s="247">
        <v>0</v>
      </c>
      <c r="Z502" s="247">
        <v>0</v>
      </c>
    </row>
    <row r="503" spans="1:26" ht="12.75" hidden="1" x14ac:dyDescent="0.2">
      <c r="A503" s="172">
        <v>4185</v>
      </c>
      <c r="B503" s="172">
        <v>7</v>
      </c>
      <c r="C503" s="173" t="s">
        <v>578</v>
      </c>
      <c r="D503" s="179">
        <v>7</v>
      </c>
      <c r="E503" s="248">
        <v>427</v>
      </c>
      <c r="F503" s="247">
        <v>0</v>
      </c>
      <c r="G503" s="247">
        <v>0</v>
      </c>
      <c r="H503" s="247">
        <v>0</v>
      </c>
      <c r="I503" s="247">
        <v>0</v>
      </c>
      <c r="J503" s="247">
        <v>0</v>
      </c>
      <c r="K503" s="247">
        <v>0</v>
      </c>
      <c r="L503" s="247">
        <v>0</v>
      </c>
      <c r="M503" s="247">
        <v>0</v>
      </c>
      <c r="N503" s="247">
        <v>0</v>
      </c>
      <c r="O503" s="172"/>
      <c r="P503" s="247">
        <v>0</v>
      </c>
      <c r="Q503" s="247">
        <v>0</v>
      </c>
      <c r="R503" s="247">
        <v>0</v>
      </c>
      <c r="S503" s="247">
        <v>0</v>
      </c>
      <c r="T503" s="248">
        <v>0</v>
      </c>
      <c r="U503" s="247">
        <v>0</v>
      </c>
      <c r="V503" s="247">
        <v>0</v>
      </c>
      <c r="W503" s="247">
        <v>0</v>
      </c>
      <c r="X503" s="247">
        <v>0</v>
      </c>
      <c r="Y503" s="247">
        <v>0</v>
      </c>
      <c r="Z503" s="247">
        <v>0</v>
      </c>
    </row>
    <row r="504" spans="1:26" ht="12.75" hidden="1" x14ac:dyDescent="0.2">
      <c r="A504" s="172">
        <v>4186</v>
      </c>
      <c r="B504" s="172">
        <v>7</v>
      </c>
      <c r="C504" s="173" t="s">
        <v>725</v>
      </c>
      <c r="D504" s="179">
        <v>7</v>
      </c>
      <c r="E504" s="248">
        <v>414</v>
      </c>
      <c r="F504" s="247">
        <v>0</v>
      </c>
      <c r="G504" s="247">
        <v>0</v>
      </c>
      <c r="H504" s="247">
        <v>0</v>
      </c>
      <c r="I504" s="247">
        <v>0</v>
      </c>
      <c r="J504" s="247">
        <v>0</v>
      </c>
      <c r="K504" s="247">
        <v>0</v>
      </c>
      <c r="L504" s="247">
        <v>0</v>
      </c>
      <c r="M504" s="247">
        <v>0</v>
      </c>
      <c r="N504" s="247">
        <v>0</v>
      </c>
      <c r="O504" s="172"/>
      <c r="P504" s="247">
        <v>0</v>
      </c>
      <c r="Q504" s="247">
        <v>0</v>
      </c>
      <c r="R504" s="247">
        <v>0</v>
      </c>
      <c r="S504" s="247">
        <v>0</v>
      </c>
      <c r="T504" s="248">
        <v>0</v>
      </c>
      <c r="U504" s="247">
        <v>0</v>
      </c>
      <c r="V504" s="247">
        <v>0</v>
      </c>
      <c r="W504" s="247">
        <v>0</v>
      </c>
      <c r="X504" s="247">
        <v>0</v>
      </c>
      <c r="Y504" s="247">
        <v>0</v>
      </c>
      <c r="Z504" s="247">
        <v>0</v>
      </c>
    </row>
    <row r="505" spans="1:26" ht="12.75" hidden="1" x14ac:dyDescent="0.2">
      <c r="A505" s="172">
        <v>4187</v>
      </c>
      <c r="B505" s="172">
        <v>7</v>
      </c>
      <c r="C505" s="173" t="s">
        <v>421</v>
      </c>
      <c r="D505" s="179">
        <v>7</v>
      </c>
      <c r="E505" s="248">
        <v>55</v>
      </c>
      <c r="F505" s="247">
        <v>0</v>
      </c>
      <c r="G505" s="247">
        <v>0</v>
      </c>
      <c r="H505" s="247">
        <v>0</v>
      </c>
      <c r="I505" s="247">
        <v>0</v>
      </c>
      <c r="J505" s="247">
        <v>0</v>
      </c>
      <c r="K505" s="247">
        <v>0</v>
      </c>
      <c r="L505" s="247">
        <v>0</v>
      </c>
      <c r="M505" s="247">
        <v>0</v>
      </c>
      <c r="N505" s="247">
        <v>0</v>
      </c>
      <c r="O505" s="172"/>
      <c r="P505" s="247">
        <v>0</v>
      </c>
      <c r="Q505" s="247">
        <v>0</v>
      </c>
      <c r="R505" s="247">
        <v>0</v>
      </c>
      <c r="S505" s="247">
        <v>0</v>
      </c>
      <c r="T505" s="248">
        <v>0</v>
      </c>
      <c r="U505" s="247">
        <v>0</v>
      </c>
      <c r="V505" s="247">
        <v>0</v>
      </c>
      <c r="W505" s="247">
        <v>0</v>
      </c>
      <c r="X505" s="247">
        <v>0</v>
      </c>
      <c r="Y505" s="247">
        <v>0</v>
      </c>
      <c r="Z505" s="247">
        <v>0</v>
      </c>
    </row>
    <row r="506" spans="1:26" ht="12.75" hidden="1" x14ac:dyDescent="0.2">
      <c r="A506" s="172">
        <v>4188</v>
      </c>
      <c r="B506" s="172">
        <v>7</v>
      </c>
      <c r="C506" s="173" t="s">
        <v>326</v>
      </c>
      <c r="D506" s="179">
        <v>7</v>
      </c>
      <c r="E506" s="248">
        <v>385</v>
      </c>
      <c r="F506" s="247">
        <v>0</v>
      </c>
      <c r="G506" s="247">
        <v>0</v>
      </c>
      <c r="H506" s="247">
        <v>0</v>
      </c>
      <c r="I506" s="247">
        <v>0</v>
      </c>
      <c r="J506" s="247">
        <v>0</v>
      </c>
      <c r="K506" s="247">
        <v>0</v>
      </c>
      <c r="L506" s="247">
        <v>0</v>
      </c>
      <c r="M506" s="247">
        <v>0</v>
      </c>
      <c r="N506" s="247">
        <v>0</v>
      </c>
      <c r="O506" s="172"/>
      <c r="P506" s="247">
        <v>0</v>
      </c>
      <c r="Q506" s="247">
        <v>0</v>
      </c>
      <c r="R506" s="247">
        <v>0</v>
      </c>
      <c r="S506" s="247">
        <v>0</v>
      </c>
      <c r="T506" s="248">
        <v>0</v>
      </c>
      <c r="U506" s="247">
        <v>0</v>
      </c>
      <c r="V506" s="247">
        <v>0</v>
      </c>
      <c r="W506" s="247">
        <v>0</v>
      </c>
      <c r="X506" s="247">
        <v>0</v>
      </c>
      <c r="Y506" s="247">
        <v>0</v>
      </c>
      <c r="Z506" s="247">
        <v>0</v>
      </c>
    </row>
    <row r="507" spans="1:26" ht="12.75" hidden="1" x14ac:dyDescent="0.2">
      <c r="A507" s="172">
        <v>4189</v>
      </c>
      <c r="B507" s="172">
        <v>7</v>
      </c>
      <c r="C507" s="173" t="s">
        <v>564</v>
      </c>
      <c r="D507" s="179">
        <v>7</v>
      </c>
      <c r="E507" s="248">
        <v>141</v>
      </c>
      <c r="F507" s="247">
        <v>0</v>
      </c>
      <c r="G507" s="247">
        <v>0</v>
      </c>
      <c r="H507" s="247">
        <v>0</v>
      </c>
      <c r="I507" s="247">
        <v>0</v>
      </c>
      <c r="J507" s="247">
        <v>0</v>
      </c>
      <c r="K507" s="247">
        <v>0</v>
      </c>
      <c r="L507" s="247">
        <v>0</v>
      </c>
      <c r="M507" s="247">
        <v>0</v>
      </c>
      <c r="N507" s="247">
        <v>0</v>
      </c>
      <c r="O507" s="172"/>
      <c r="P507" s="247">
        <v>0</v>
      </c>
      <c r="Q507" s="247">
        <v>0</v>
      </c>
      <c r="R507" s="247">
        <v>0</v>
      </c>
      <c r="S507" s="247">
        <v>0</v>
      </c>
      <c r="T507" s="248">
        <v>0</v>
      </c>
      <c r="U507" s="247">
        <v>0</v>
      </c>
      <c r="V507" s="247">
        <v>0</v>
      </c>
      <c r="W507" s="247">
        <v>0</v>
      </c>
      <c r="X507" s="247">
        <v>0</v>
      </c>
      <c r="Y507" s="247">
        <v>0</v>
      </c>
      <c r="Z507" s="247">
        <v>0</v>
      </c>
    </row>
    <row r="508" spans="1:26" ht="12.75" hidden="1" x14ac:dyDescent="0.2">
      <c r="A508" s="172">
        <v>4190</v>
      </c>
      <c r="B508" s="172">
        <v>7</v>
      </c>
      <c r="C508" s="173" t="s">
        <v>654</v>
      </c>
      <c r="D508" s="179">
        <v>7</v>
      </c>
      <c r="E508" s="248">
        <v>65</v>
      </c>
      <c r="F508" s="247">
        <v>0</v>
      </c>
      <c r="G508" s="247">
        <v>0</v>
      </c>
      <c r="H508" s="247">
        <v>0</v>
      </c>
      <c r="I508" s="247">
        <v>0</v>
      </c>
      <c r="J508" s="247">
        <v>0</v>
      </c>
      <c r="K508" s="247">
        <v>0</v>
      </c>
      <c r="L508" s="247">
        <v>0</v>
      </c>
      <c r="M508" s="247">
        <v>0</v>
      </c>
      <c r="N508" s="247">
        <v>0</v>
      </c>
      <c r="O508" s="172"/>
      <c r="P508" s="247">
        <v>0</v>
      </c>
      <c r="Q508" s="247">
        <v>0</v>
      </c>
      <c r="R508" s="247">
        <v>0</v>
      </c>
      <c r="S508" s="247">
        <v>0</v>
      </c>
      <c r="T508" s="248">
        <v>0</v>
      </c>
      <c r="U508" s="247">
        <v>0</v>
      </c>
      <c r="V508" s="247">
        <v>0</v>
      </c>
      <c r="W508" s="247">
        <v>0</v>
      </c>
      <c r="X508" s="247">
        <v>0</v>
      </c>
      <c r="Y508" s="247">
        <v>0</v>
      </c>
      <c r="Z508" s="247">
        <v>0</v>
      </c>
    </row>
    <row r="509" spans="1:26" ht="12.75" hidden="1" x14ac:dyDescent="0.2">
      <c r="A509" s="172">
        <v>4191</v>
      </c>
      <c r="B509" s="172">
        <v>7</v>
      </c>
      <c r="C509" s="173" t="s">
        <v>709</v>
      </c>
      <c r="D509" s="179">
        <v>7</v>
      </c>
      <c r="E509" s="248">
        <v>200</v>
      </c>
      <c r="F509" s="247">
        <v>0</v>
      </c>
      <c r="G509" s="247">
        <v>0</v>
      </c>
      <c r="H509" s="247">
        <v>0</v>
      </c>
      <c r="I509" s="247">
        <v>0</v>
      </c>
      <c r="J509" s="247">
        <v>0</v>
      </c>
      <c r="K509" s="247">
        <v>0</v>
      </c>
      <c r="L509" s="247">
        <v>0</v>
      </c>
      <c r="M509" s="247">
        <v>0</v>
      </c>
      <c r="N509" s="247">
        <v>0</v>
      </c>
      <c r="O509" s="172"/>
      <c r="P509" s="247">
        <v>0</v>
      </c>
      <c r="Q509" s="247">
        <v>0</v>
      </c>
      <c r="R509" s="247">
        <v>0</v>
      </c>
      <c r="S509" s="247">
        <v>0</v>
      </c>
      <c r="T509" s="248">
        <v>0</v>
      </c>
      <c r="U509" s="247">
        <v>0</v>
      </c>
      <c r="V509" s="247">
        <v>0</v>
      </c>
      <c r="W509" s="247">
        <v>0</v>
      </c>
      <c r="X509" s="247">
        <v>0</v>
      </c>
      <c r="Y509" s="247">
        <v>0</v>
      </c>
      <c r="Z509" s="247">
        <v>0</v>
      </c>
    </row>
    <row r="510" spans="1:26" ht="12.75" hidden="1" x14ac:dyDescent="0.2">
      <c r="A510" s="172">
        <v>4192</v>
      </c>
      <c r="B510" s="172">
        <v>7</v>
      </c>
      <c r="C510" s="173" t="s">
        <v>257</v>
      </c>
      <c r="D510" s="179">
        <v>7</v>
      </c>
      <c r="E510" s="248">
        <v>490</v>
      </c>
      <c r="F510" s="247">
        <v>0</v>
      </c>
      <c r="G510" s="247">
        <v>0</v>
      </c>
      <c r="H510" s="247">
        <v>0</v>
      </c>
      <c r="I510" s="247">
        <v>0</v>
      </c>
      <c r="J510" s="247">
        <v>0</v>
      </c>
      <c r="K510" s="247">
        <v>0</v>
      </c>
      <c r="L510" s="247">
        <v>0</v>
      </c>
      <c r="M510" s="247">
        <v>0</v>
      </c>
      <c r="N510" s="247">
        <v>0</v>
      </c>
      <c r="O510" s="172"/>
      <c r="P510" s="247">
        <v>0</v>
      </c>
      <c r="Q510" s="247">
        <v>0</v>
      </c>
      <c r="R510" s="247">
        <v>0</v>
      </c>
      <c r="S510" s="247">
        <v>0</v>
      </c>
      <c r="T510" s="248">
        <v>0</v>
      </c>
      <c r="U510" s="247">
        <v>0</v>
      </c>
      <c r="V510" s="247">
        <v>0</v>
      </c>
      <c r="W510" s="247">
        <v>0</v>
      </c>
      <c r="X510" s="247">
        <v>0</v>
      </c>
      <c r="Y510" s="247">
        <v>0</v>
      </c>
      <c r="Z510" s="247">
        <v>0</v>
      </c>
    </row>
    <row r="511" spans="1:26" ht="12.75" hidden="1" x14ac:dyDescent="0.2">
      <c r="A511" s="172">
        <v>4193</v>
      </c>
      <c r="B511" s="172">
        <v>7</v>
      </c>
      <c r="C511" s="173" t="s">
        <v>717</v>
      </c>
      <c r="D511" s="179">
        <v>7</v>
      </c>
      <c r="E511" s="248">
        <v>265</v>
      </c>
      <c r="F511" s="247">
        <v>0</v>
      </c>
      <c r="G511" s="247">
        <v>0</v>
      </c>
      <c r="H511" s="247">
        <v>0</v>
      </c>
      <c r="I511" s="247">
        <v>0</v>
      </c>
      <c r="J511" s="247">
        <v>0</v>
      </c>
      <c r="K511" s="247">
        <v>0</v>
      </c>
      <c r="L511" s="247">
        <v>0</v>
      </c>
      <c r="M511" s="247">
        <v>0</v>
      </c>
      <c r="N511" s="247">
        <v>0</v>
      </c>
      <c r="O511" s="172"/>
      <c r="P511" s="247">
        <v>0</v>
      </c>
      <c r="Q511" s="247">
        <v>0</v>
      </c>
      <c r="R511" s="247">
        <v>0</v>
      </c>
      <c r="S511" s="247">
        <v>0</v>
      </c>
      <c r="T511" s="248">
        <v>0</v>
      </c>
      <c r="U511" s="247">
        <v>0</v>
      </c>
      <c r="V511" s="247">
        <v>0</v>
      </c>
      <c r="W511" s="247">
        <v>0</v>
      </c>
      <c r="X511" s="247">
        <v>0</v>
      </c>
      <c r="Y511" s="247">
        <v>0</v>
      </c>
      <c r="Z511" s="247">
        <v>0</v>
      </c>
    </row>
    <row r="512" spans="1:26" ht="12.75" hidden="1" x14ac:dyDescent="0.2">
      <c r="A512" s="172">
        <v>4194</v>
      </c>
      <c r="B512" s="172">
        <v>7</v>
      </c>
      <c r="C512" s="173" t="s">
        <v>341</v>
      </c>
      <c r="D512" s="179">
        <v>7</v>
      </c>
      <c r="E512" s="248">
        <v>264</v>
      </c>
      <c r="F512" s="247">
        <v>0</v>
      </c>
      <c r="G512" s="247">
        <v>0</v>
      </c>
      <c r="H512" s="247">
        <v>0</v>
      </c>
      <c r="I512" s="247">
        <v>0</v>
      </c>
      <c r="J512" s="247">
        <v>0</v>
      </c>
      <c r="K512" s="247">
        <v>0</v>
      </c>
      <c r="L512" s="247">
        <v>0</v>
      </c>
      <c r="M512" s="247">
        <v>0</v>
      </c>
      <c r="N512" s="247">
        <v>0</v>
      </c>
      <c r="O512" s="172"/>
      <c r="P512" s="247">
        <v>0</v>
      </c>
      <c r="Q512" s="247">
        <v>0</v>
      </c>
      <c r="R512" s="247">
        <v>0</v>
      </c>
      <c r="S512" s="247">
        <v>0</v>
      </c>
      <c r="T512" s="248">
        <v>0</v>
      </c>
      <c r="U512" s="247">
        <v>0</v>
      </c>
      <c r="V512" s="247">
        <v>0</v>
      </c>
      <c r="W512" s="247">
        <v>0</v>
      </c>
      <c r="X512" s="247">
        <v>0</v>
      </c>
      <c r="Y512" s="247">
        <v>0</v>
      </c>
      <c r="Z512" s="247">
        <v>0</v>
      </c>
    </row>
    <row r="513" spans="1:26" ht="12.75" hidden="1" x14ac:dyDescent="0.2">
      <c r="A513" s="172">
        <v>4195</v>
      </c>
      <c r="B513" s="172">
        <v>7</v>
      </c>
      <c r="C513" s="173" t="s">
        <v>724</v>
      </c>
      <c r="D513" s="179">
        <v>7</v>
      </c>
      <c r="E513" s="248">
        <v>33</v>
      </c>
      <c r="F513" s="247">
        <v>0</v>
      </c>
      <c r="G513" s="247">
        <v>0</v>
      </c>
      <c r="H513" s="247">
        <v>0</v>
      </c>
      <c r="I513" s="247">
        <v>0</v>
      </c>
      <c r="J513" s="247">
        <v>0</v>
      </c>
      <c r="K513" s="247">
        <v>0</v>
      </c>
      <c r="L513" s="247">
        <v>0</v>
      </c>
      <c r="M513" s="247">
        <v>0</v>
      </c>
      <c r="N513" s="247">
        <v>0</v>
      </c>
      <c r="O513" s="172"/>
      <c r="P513" s="247">
        <v>0</v>
      </c>
      <c r="Q513" s="247">
        <v>0</v>
      </c>
      <c r="R513" s="247">
        <v>0</v>
      </c>
      <c r="S513" s="247">
        <v>0</v>
      </c>
      <c r="T513" s="248">
        <v>0</v>
      </c>
      <c r="U513" s="247">
        <v>0</v>
      </c>
      <c r="V513" s="247">
        <v>0</v>
      </c>
      <c r="W513" s="247">
        <v>0</v>
      </c>
      <c r="X513" s="247">
        <v>0</v>
      </c>
      <c r="Y513" s="247">
        <v>0</v>
      </c>
      <c r="Z513" s="247">
        <v>0</v>
      </c>
    </row>
    <row r="514" spans="1:26" ht="12.75" hidden="1" x14ac:dyDescent="0.2">
      <c r="A514" s="172">
        <v>4198</v>
      </c>
      <c r="B514" s="172">
        <v>7</v>
      </c>
      <c r="C514" s="173" t="s">
        <v>413</v>
      </c>
      <c r="D514" s="179">
        <v>7</v>
      </c>
      <c r="E514" s="248">
        <v>122</v>
      </c>
      <c r="F514" s="247">
        <v>0</v>
      </c>
      <c r="G514" s="247">
        <v>0</v>
      </c>
      <c r="H514" s="247">
        <v>0</v>
      </c>
      <c r="I514" s="247">
        <v>0</v>
      </c>
      <c r="J514" s="247">
        <v>0</v>
      </c>
      <c r="K514" s="247">
        <v>0</v>
      </c>
      <c r="L514" s="247">
        <v>0</v>
      </c>
      <c r="M514" s="247">
        <v>0</v>
      </c>
      <c r="N514" s="247">
        <v>0</v>
      </c>
      <c r="O514" s="172"/>
      <c r="P514" s="247">
        <v>0</v>
      </c>
      <c r="Q514" s="247">
        <v>0</v>
      </c>
      <c r="R514" s="247">
        <v>0</v>
      </c>
      <c r="S514" s="247">
        <v>0</v>
      </c>
      <c r="T514" s="248">
        <v>0</v>
      </c>
      <c r="U514" s="247">
        <v>0</v>
      </c>
      <c r="V514" s="247">
        <v>0</v>
      </c>
      <c r="W514" s="247">
        <v>0</v>
      </c>
      <c r="X514" s="247">
        <v>0</v>
      </c>
      <c r="Y514" s="247">
        <v>0</v>
      </c>
      <c r="Z514" s="247">
        <v>0</v>
      </c>
    </row>
    <row r="515" spans="1:26" ht="12.75" hidden="1" x14ac:dyDescent="0.2">
      <c r="A515" s="172">
        <v>4199</v>
      </c>
      <c r="B515" s="172">
        <v>7</v>
      </c>
      <c r="C515" s="173" t="s">
        <v>330</v>
      </c>
      <c r="D515" s="179">
        <v>7</v>
      </c>
      <c r="E515" s="248">
        <v>612</v>
      </c>
      <c r="F515" s="247">
        <v>0</v>
      </c>
      <c r="G515" s="247">
        <v>0</v>
      </c>
      <c r="H515" s="247">
        <v>0</v>
      </c>
      <c r="I515" s="247">
        <v>0</v>
      </c>
      <c r="J515" s="247">
        <v>0</v>
      </c>
      <c r="K515" s="247">
        <v>0</v>
      </c>
      <c r="L515" s="247">
        <v>0</v>
      </c>
      <c r="M515" s="247">
        <v>0</v>
      </c>
      <c r="N515" s="247">
        <v>0</v>
      </c>
      <c r="O515" s="172"/>
      <c r="P515" s="247">
        <v>0</v>
      </c>
      <c r="Q515" s="247">
        <v>0</v>
      </c>
      <c r="R515" s="247">
        <v>0</v>
      </c>
      <c r="S515" s="247">
        <v>0</v>
      </c>
      <c r="T515" s="248">
        <v>0</v>
      </c>
      <c r="U515" s="247">
        <v>0</v>
      </c>
      <c r="V515" s="247">
        <v>0</v>
      </c>
      <c r="W515" s="247">
        <v>0</v>
      </c>
      <c r="X515" s="247">
        <v>0</v>
      </c>
      <c r="Y515" s="247">
        <v>0</v>
      </c>
      <c r="Z515" s="247">
        <v>0</v>
      </c>
    </row>
    <row r="516" spans="1:26" ht="12.75" hidden="1" x14ac:dyDescent="0.2">
      <c r="A516" s="172">
        <v>4200</v>
      </c>
      <c r="B516" s="172">
        <v>7</v>
      </c>
      <c r="C516" s="173" t="s">
        <v>726</v>
      </c>
      <c r="D516" s="179">
        <v>7</v>
      </c>
      <c r="E516" s="248">
        <v>154</v>
      </c>
      <c r="F516" s="247">
        <v>0</v>
      </c>
      <c r="G516" s="247">
        <v>0</v>
      </c>
      <c r="H516" s="247">
        <v>0</v>
      </c>
      <c r="I516" s="247">
        <v>0</v>
      </c>
      <c r="J516" s="247">
        <v>0</v>
      </c>
      <c r="K516" s="247">
        <v>0</v>
      </c>
      <c r="L516" s="247">
        <v>0</v>
      </c>
      <c r="M516" s="247">
        <v>0</v>
      </c>
      <c r="N516" s="247">
        <v>0</v>
      </c>
      <c r="O516" s="172"/>
      <c r="P516" s="247">
        <v>0</v>
      </c>
      <c r="Q516" s="247">
        <v>0</v>
      </c>
      <c r="R516" s="247">
        <v>0</v>
      </c>
      <c r="S516" s="247">
        <v>0</v>
      </c>
      <c r="T516" s="248">
        <v>0</v>
      </c>
      <c r="U516" s="247">
        <v>0</v>
      </c>
      <c r="V516" s="247">
        <v>0</v>
      </c>
      <c r="W516" s="247">
        <v>0</v>
      </c>
      <c r="X516" s="247">
        <v>0</v>
      </c>
      <c r="Y516" s="247">
        <v>0</v>
      </c>
      <c r="Z516" s="247">
        <v>0</v>
      </c>
    </row>
    <row r="517" spans="1:26" ht="12.75" hidden="1" x14ac:dyDescent="0.2">
      <c r="A517" s="172">
        <v>4201</v>
      </c>
      <c r="B517" s="172">
        <v>7</v>
      </c>
      <c r="C517" s="173" t="s">
        <v>296</v>
      </c>
      <c r="D517" s="179">
        <v>7</v>
      </c>
      <c r="E517" s="248">
        <v>82</v>
      </c>
      <c r="F517" s="247">
        <v>0</v>
      </c>
      <c r="G517" s="247">
        <v>0</v>
      </c>
      <c r="H517" s="247">
        <v>0</v>
      </c>
      <c r="I517" s="247">
        <v>0</v>
      </c>
      <c r="J517" s="247">
        <v>0</v>
      </c>
      <c r="K517" s="247">
        <v>0</v>
      </c>
      <c r="L517" s="247">
        <v>0</v>
      </c>
      <c r="M517" s="247">
        <v>0</v>
      </c>
      <c r="N517" s="247">
        <v>0</v>
      </c>
      <c r="O517" s="172"/>
      <c r="P517" s="247">
        <v>0</v>
      </c>
      <c r="Q517" s="247">
        <v>0</v>
      </c>
      <c r="R517" s="247">
        <v>0</v>
      </c>
      <c r="S517" s="247">
        <v>0</v>
      </c>
      <c r="T517" s="248">
        <v>0</v>
      </c>
      <c r="U517" s="247">
        <v>0</v>
      </c>
      <c r="V517" s="247">
        <v>0</v>
      </c>
      <c r="W517" s="247">
        <v>0</v>
      </c>
      <c r="X517" s="247">
        <v>0</v>
      </c>
      <c r="Y517" s="247">
        <v>0</v>
      </c>
      <c r="Z517" s="247">
        <v>0</v>
      </c>
    </row>
    <row r="518" spans="1:26" ht="12.75" hidden="1" x14ac:dyDescent="0.2">
      <c r="A518" s="172">
        <v>4202</v>
      </c>
      <c r="B518" s="172">
        <v>7</v>
      </c>
      <c r="C518" s="173" t="s">
        <v>527</v>
      </c>
      <c r="D518" s="179">
        <v>7</v>
      </c>
      <c r="E518" s="248">
        <v>326</v>
      </c>
      <c r="F518" s="247">
        <v>0</v>
      </c>
      <c r="G518" s="247">
        <v>0</v>
      </c>
      <c r="H518" s="247">
        <v>0</v>
      </c>
      <c r="I518" s="247">
        <v>0</v>
      </c>
      <c r="J518" s="247">
        <v>0</v>
      </c>
      <c r="K518" s="247">
        <v>0</v>
      </c>
      <c r="L518" s="247">
        <v>0</v>
      </c>
      <c r="M518" s="247">
        <v>0</v>
      </c>
      <c r="N518" s="247">
        <v>0</v>
      </c>
      <c r="O518" s="172"/>
      <c r="P518" s="247">
        <v>0</v>
      </c>
      <c r="Q518" s="247">
        <v>0</v>
      </c>
      <c r="R518" s="247">
        <v>0</v>
      </c>
      <c r="S518" s="247">
        <v>0</v>
      </c>
      <c r="T518" s="248">
        <v>0</v>
      </c>
      <c r="U518" s="247">
        <v>0</v>
      </c>
      <c r="V518" s="247">
        <v>0</v>
      </c>
      <c r="W518" s="247">
        <v>0</v>
      </c>
      <c r="X518" s="247">
        <v>0</v>
      </c>
      <c r="Y518" s="247">
        <v>0</v>
      </c>
      <c r="Z518" s="247">
        <v>0</v>
      </c>
    </row>
    <row r="519" spans="1:26" ht="12.75" hidden="1" x14ac:dyDescent="0.2">
      <c r="A519" s="172">
        <v>4203</v>
      </c>
      <c r="B519" s="172">
        <v>7</v>
      </c>
      <c r="C519" s="173" t="s">
        <v>719</v>
      </c>
      <c r="D519" s="179">
        <v>7</v>
      </c>
      <c r="E519" s="248">
        <v>51</v>
      </c>
      <c r="F519" s="247">
        <v>0</v>
      </c>
      <c r="G519" s="247">
        <v>0</v>
      </c>
      <c r="H519" s="247">
        <v>0</v>
      </c>
      <c r="I519" s="247">
        <v>0</v>
      </c>
      <c r="J519" s="247">
        <v>0</v>
      </c>
      <c r="K519" s="247">
        <v>0</v>
      </c>
      <c r="L519" s="247">
        <v>0</v>
      </c>
      <c r="M519" s="247">
        <v>0</v>
      </c>
      <c r="N519" s="247">
        <v>0</v>
      </c>
      <c r="O519" s="172"/>
      <c r="P519" s="247">
        <v>0</v>
      </c>
      <c r="Q519" s="247">
        <v>0</v>
      </c>
      <c r="R519" s="247">
        <v>0</v>
      </c>
      <c r="S519" s="247">
        <v>0</v>
      </c>
      <c r="T519" s="248">
        <v>0</v>
      </c>
      <c r="U519" s="247">
        <v>0</v>
      </c>
      <c r="V519" s="247">
        <v>0</v>
      </c>
      <c r="W519" s="247">
        <v>0</v>
      </c>
      <c r="X519" s="247">
        <v>0</v>
      </c>
      <c r="Y519" s="247">
        <v>0</v>
      </c>
      <c r="Z519" s="247">
        <v>0</v>
      </c>
    </row>
    <row r="520" spans="1:26" ht="12.75" hidden="1" x14ac:dyDescent="0.2">
      <c r="A520" s="172">
        <v>4204</v>
      </c>
      <c r="B520" s="172">
        <v>7</v>
      </c>
      <c r="C520" s="173" t="s">
        <v>720</v>
      </c>
      <c r="D520" s="179">
        <v>7</v>
      </c>
      <c r="E520" s="248">
        <v>59</v>
      </c>
      <c r="F520" s="247">
        <v>0</v>
      </c>
      <c r="G520" s="247">
        <v>0</v>
      </c>
      <c r="H520" s="247">
        <v>0</v>
      </c>
      <c r="I520" s="247">
        <v>0</v>
      </c>
      <c r="J520" s="247">
        <v>0</v>
      </c>
      <c r="K520" s="247">
        <v>0</v>
      </c>
      <c r="L520" s="247">
        <v>0</v>
      </c>
      <c r="M520" s="247">
        <v>0</v>
      </c>
      <c r="N520" s="247">
        <v>0</v>
      </c>
      <c r="O520" s="172"/>
      <c r="P520" s="247">
        <v>0</v>
      </c>
      <c r="Q520" s="247">
        <v>0</v>
      </c>
      <c r="R520" s="247">
        <v>0</v>
      </c>
      <c r="S520" s="247">
        <v>0</v>
      </c>
      <c r="T520" s="248">
        <v>0</v>
      </c>
      <c r="U520" s="247">
        <v>0</v>
      </c>
      <c r="V520" s="247">
        <v>0</v>
      </c>
      <c r="W520" s="247">
        <v>0</v>
      </c>
      <c r="X520" s="247">
        <v>0</v>
      </c>
      <c r="Y520" s="247">
        <v>0</v>
      </c>
      <c r="Z520" s="247">
        <v>0</v>
      </c>
    </row>
    <row r="521" spans="1:26" ht="12.75" hidden="1" x14ac:dyDescent="0.2">
      <c r="A521" s="172">
        <v>4205</v>
      </c>
      <c r="B521" s="172">
        <v>7</v>
      </c>
      <c r="C521" s="173" t="s">
        <v>459</v>
      </c>
      <c r="D521" s="179">
        <v>7</v>
      </c>
      <c r="E521" s="248">
        <v>146</v>
      </c>
      <c r="F521" s="247">
        <v>0</v>
      </c>
      <c r="G521" s="247">
        <v>0</v>
      </c>
      <c r="H521" s="247">
        <v>0</v>
      </c>
      <c r="I521" s="247">
        <v>0</v>
      </c>
      <c r="J521" s="247">
        <v>0</v>
      </c>
      <c r="K521" s="247">
        <v>0</v>
      </c>
      <c r="L521" s="247">
        <v>0</v>
      </c>
      <c r="M521" s="247">
        <v>0</v>
      </c>
      <c r="N521" s="247">
        <v>0</v>
      </c>
      <c r="O521" s="172"/>
      <c r="P521" s="247">
        <v>0</v>
      </c>
      <c r="Q521" s="247">
        <v>0</v>
      </c>
      <c r="R521" s="247">
        <v>0</v>
      </c>
      <c r="S521" s="247">
        <v>0</v>
      </c>
      <c r="T521" s="248">
        <v>0</v>
      </c>
      <c r="U521" s="247">
        <v>0</v>
      </c>
      <c r="V521" s="247">
        <v>0</v>
      </c>
      <c r="W521" s="247">
        <v>0</v>
      </c>
      <c r="X521" s="247">
        <v>0</v>
      </c>
      <c r="Y521" s="247">
        <v>0</v>
      </c>
      <c r="Z521" s="247">
        <v>0</v>
      </c>
    </row>
    <row r="522" spans="1:26" ht="12.75" hidden="1" x14ac:dyDescent="0.2">
      <c r="A522" s="172">
        <v>4208</v>
      </c>
      <c r="B522" s="172">
        <v>7</v>
      </c>
      <c r="C522" s="173" t="s">
        <v>465</v>
      </c>
      <c r="D522" s="179">
        <v>7</v>
      </c>
      <c r="E522" s="248">
        <v>95</v>
      </c>
      <c r="F522" s="247">
        <v>0</v>
      </c>
      <c r="G522" s="247">
        <v>0</v>
      </c>
      <c r="H522" s="247">
        <v>0</v>
      </c>
      <c r="I522" s="247">
        <v>0</v>
      </c>
      <c r="J522" s="247">
        <v>0</v>
      </c>
      <c r="K522" s="247">
        <v>0</v>
      </c>
      <c r="L522" s="247">
        <v>0</v>
      </c>
      <c r="M522" s="247">
        <v>0</v>
      </c>
      <c r="N522" s="247">
        <v>0</v>
      </c>
      <c r="O522" s="172"/>
      <c r="P522" s="247">
        <v>0</v>
      </c>
      <c r="Q522" s="247">
        <v>0</v>
      </c>
      <c r="R522" s="247">
        <v>0</v>
      </c>
      <c r="S522" s="247">
        <v>0</v>
      </c>
      <c r="T522" s="248">
        <v>0</v>
      </c>
      <c r="U522" s="247">
        <v>0</v>
      </c>
      <c r="V522" s="247">
        <v>0</v>
      </c>
      <c r="W522" s="247">
        <v>0</v>
      </c>
      <c r="X522" s="247">
        <v>0</v>
      </c>
      <c r="Y522" s="247">
        <v>0</v>
      </c>
      <c r="Z522" s="247">
        <v>0</v>
      </c>
    </row>
    <row r="523" spans="1:26" ht="12.75" hidden="1" x14ac:dyDescent="0.2">
      <c r="A523" s="172">
        <v>4209</v>
      </c>
      <c r="B523" s="172">
        <v>7</v>
      </c>
      <c r="C523" s="173" t="s">
        <v>304</v>
      </c>
      <c r="D523" s="179">
        <v>7</v>
      </c>
      <c r="E523" s="248">
        <v>150</v>
      </c>
      <c r="F523" s="247">
        <v>0</v>
      </c>
      <c r="G523" s="247">
        <v>0</v>
      </c>
      <c r="H523" s="247">
        <v>0</v>
      </c>
      <c r="I523" s="247">
        <v>0</v>
      </c>
      <c r="J523" s="247">
        <v>0</v>
      </c>
      <c r="K523" s="247">
        <v>0</v>
      </c>
      <c r="L523" s="247">
        <v>0</v>
      </c>
      <c r="M523" s="247">
        <v>0</v>
      </c>
      <c r="N523" s="247">
        <v>0</v>
      </c>
      <c r="O523" s="172"/>
      <c r="P523" s="247">
        <v>0</v>
      </c>
      <c r="Q523" s="247">
        <v>0</v>
      </c>
      <c r="R523" s="247">
        <v>0</v>
      </c>
      <c r="S523" s="247">
        <v>0</v>
      </c>
      <c r="T523" s="248">
        <v>0</v>
      </c>
      <c r="U523" s="247">
        <v>0</v>
      </c>
      <c r="V523" s="247">
        <v>0</v>
      </c>
      <c r="W523" s="247">
        <v>0</v>
      </c>
      <c r="X523" s="247">
        <v>0</v>
      </c>
      <c r="Y523" s="247">
        <v>0</v>
      </c>
      <c r="Z523" s="247">
        <v>0</v>
      </c>
    </row>
    <row r="524" spans="1:26" ht="12.75" hidden="1" x14ac:dyDescent="0.2">
      <c r="A524" s="172">
        <v>6666</v>
      </c>
      <c r="B524" s="172">
        <v>8</v>
      </c>
      <c r="C524" s="172" t="s">
        <v>727</v>
      </c>
      <c r="D524" s="179">
        <v>8</v>
      </c>
      <c r="E524" s="234">
        <v>0</v>
      </c>
      <c r="F524" s="234">
        <v>0</v>
      </c>
      <c r="G524" s="234">
        <v>0</v>
      </c>
      <c r="H524" s="247">
        <v>0</v>
      </c>
      <c r="I524" s="247">
        <v>0</v>
      </c>
      <c r="J524" s="247">
        <v>0</v>
      </c>
      <c r="K524" s="247">
        <v>0</v>
      </c>
      <c r="L524" s="247">
        <v>0</v>
      </c>
      <c r="M524" s="234">
        <v>0</v>
      </c>
      <c r="N524" s="234">
        <v>0</v>
      </c>
      <c r="O524" s="172"/>
      <c r="P524" s="247" t="e">
        <v>#DIV/0!</v>
      </c>
      <c r="Q524" s="247" t="e">
        <v>#DIV/0!</v>
      </c>
      <c r="R524" s="247" t="e">
        <v>#DIV/0!</v>
      </c>
      <c r="S524" s="247" t="e">
        <v>#DIV/0!</v>
      </c>
      <c r="T524" s="247" t="e">
        <v>#DIV/0!</v>
      </c>
      <c r="U524" s="247" t="e">
        <v>#DIV/0!</v>
      </c>
      <c r="V524" s="247" t="e">
        <v>#DIV/0!</v>
      </c>
      <c r="W524" s="247" t="e">
        <v>#DIV/0!</v>
      </c>
      <c r="X524" s="247" t="e">
        <v>#DIV/0!</v>
      </c>
      <c r="Y524" s="247" t="e">
        <v>#DIV/0!</v>
      </c>
      <c r="Z524" s="234">
        <v>0</v>
      </c>
    </row>
    <row r="525" spans="1:26" ht="12.75" hidden="1" x14ac:dyDescent="0.2">
      <c r="A525" s="172">
        <v>7777</v>
      </c>
      <c r="B525" s="172">
        <v>9</v>
      </c>
      <c r="C525" s="172" t="s">
        <v>728</v>
      </c>
      <c r="D525" s="179">
        <v>7</v>
      </c>
      <c r="E525" s="234">
        <v>0</v>
      </c>
      <c r="F525" s="234">
        <v>0</v>
      </c>
      <c r="G525" s="234">
        <v>0</v>
      </c>
      <c r="H525" s="247">
        <v>0</v>
      </c>
      <c r="I525" s="247">
        <v>0</v>
      </c>
      <c r="J525" s="247">
        <v>0</v>
      </c>
      <c r="K525" s="247">
        <v>0</v>
      </c>
      <c r="L525" s="247">
        <v>0</v>
      </c>
      <c r="M525" s="234">
        <v>0</v>
      </c>
      <c r="N525" s="234">
        <v>0</v>
      </c>
      <c r="O525" s="172"/>
      <c r="P525" s="247" t="e">
        <v>#DIV/0!</v>
      </c>
      <c r="Q525" s="247" t="e">
        <v>#DIV/0!</v>
      </c>
      <c r="R525" s="247" t="e">
        <v>#DIV/0!</v>
      </c>
      <c r="S525" s="247" t="e">
        <v>#DIV/0!</v>
      </c>
      <c r="T525" s="247" t="e">
        <v>#DIV/0!</v>
      </c>
      <c r="U525" s="247" t="e">
        <v>#DIV/0!</v>
      </c>
      <c r="V525" s="247" t="e">
        <v>#DIV/0!</v>
      </c>
      <c r="W525" s="247" t="e">
        <v>#DIV/0!</v>
      </c>
      <c r="X525" s="247" t="e">
        <v>#DIV/0!</v>
      </c>
      <c r="Y525" s="247" t="e">
        <v>#DIV/0!</v>
      </c>
      <c r="Z525" s="234">
        <v>0</v>
      </c>
    </row>
    <row r="526" spans="1:26" ht="12.75" hidden="1" x14ac:dyDescent="0.2">
      <c r="A526" s="172">
        <v>8888</v>
      </c>
      <c r="B526" s="172">
        <v>8</v>
      </c>
      <c r="C526" s="172" t="s">
        <v>729</v>
      </c>
      <c r="D526" s="179">
        <v>8</v>
      </c>
      <c r="E526" s="234">
        <v>0</v>
      </c>
      <c r="F526" s="234">
        <v>0</v>
      </c>
      <c r="G526" s="234">
        <v>0</v>
      </c>
      <c r="H526" s="247">
        <v>0</v>
      </c>
      <c r="I526" s="247">
        <v>0</v>
      </c>
      <c r="J526" s="247">
        <v>0</v>
      </c>
      <c r="K526" s="247">
        <v>0</v>
      </c>
      <c r="L526" s="247">
        <v>0</v>
      </c>
      <c r="M526" s="234">
        <v>0</v>
      </c>
      <c r="N526" s="234">
        <v>0</v>
      </c>
      <c r="O526" s="172"/>
      <c r="P526" s="247" t="e">
        <v>#DIV/0!</v>
      </c>
      <c r="Q526" s="247" t="e">
        <v>#DIV/0!</v>
      </c>
      <c r="R526" s="247" t="e">
        <v>#DIV/0!</v>
      </c>
      <c r="S526" s="247" t="e">
        <v>#DIV/0!</v>
      </c>
      <c r="T526" s="247" t="e">
        <v>#DIV/0!</v>
      </c>
      <c r="U526" s="247" t="e">
        <v>#DIV/0!</v>
      </c>
      <c r="V526" s="247" t="e">
        <v>#DIV/0!</v>
      </c>
      <c r="W526" s="247" t="e">
        <v>#DIV/0!</v>
      </c>
      <c r="X526" s="247" t="e">
        <v>#DIV/0!</v>
      </c>
      <c r="Y526" s="247" t="e">
        <v>#DIV/0!</v>
      </c>
      <c r="Z526" s="234">
        <v>0</v>
      </c>
    </row>
    <row r="527" spans="1:26" ht="12.75" hidden="1" x14ac:dyDescent="0.2">
      <c r="A527" s="172">
        <v>9999</v>
      </c>
      <c r="B527" s="172">
        <v>0</v>
      </c>
      <c r="C527" s="172" t="s">
        <v>764</v>
      </c>
      <c r="D527" s="179">
        <v>0</v>
      </c>
      <c r="E527" s="179"/>
      <c r="F527" s="234">
        <v>56294162.224000052</v>
      </c>
      <c r="G527" s="234">
        <v>26096486.46411429</v>
      </c>
      <c r="H527" s="234">
        <v>93437342.826171428</v>
      </c>
      <c r="I527" s="234">
        <v>62373415.034000002</v>
      </c>
      <c r="J527" s="234">
        <v>131348154</v>
      </c>
      <c r="K527" s="234">
        <v>85711116.633999988</v>
      </c>
      <c r="L527" s="234">
        <v>131348154</v>
      </c>
      <c r="O527" s="172"/>
    </row>
  </sheetData>
  <mergeCells count="4">
    <mergeCell ref="P18:Y18"/>
    <mergeCell ref="P19:Y19"/>
    <mergeCell ref="P21:T21"/>
    <mergeCell ref="U21:Z21"/>
  </mergeCells>
  <printOptions gridLines="1"/>
  <pageMargins left="0.25" right="0.25" top="0.5" bottom="0.5" header="0.3" footer="0.3"/>
  <pageSetup scale="91" fitToHeight="0" orientation="landscape" r:id="rId1"/>
  <headerFooter>
    <oddFooter>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"/>
  <sheetViews>
    <sheetView topLeftCell="A4" zoomScale="75" zoomScaleNormal="75" workbookViewId="0">
      <selection activeCell="U25" sqref="U25"/>
    </sheetView>
  </sheetViews>
  <sheetFormatPr defaultRowHeight="15" x14ac:dyDescent="0.25"/>
  <cols>
    <col min="1" max="1" width="6.42578125" customWidth="1"/>
    <col min="2" max="2" width="3.42578125" customWidth="1"/>
    <col min="3" max="3" width="28.7109375" customWidth="1"/>
    <col min="4" max="10" width="10.7109375" hidden="1" customWidth="1"/>
    <col min="11" max="11" width="12.28515625" customWidth="1"/>
    <col min="12" max="13" width="10.7109375" customWidth="1"/>
    <col min="14" max="15" width="12.7109375" hidden="1" customWidth="1"/>
    <col min="16" max="16" width="12.7109375" customWidth="1"/>
    <col min="17" max="18" width="12.7109375" hidden="1" customWidth="1"/>
    <col min="19" max="19" width="12.7109375" customWidth="1"/>
    <col min="20" max="20" width="10.42578125" customWidth="1"/>
    <col min="21" max="21" width="10.5703125" customWidth="1"/>
  </cols>
  <sheetData>
    <row r="1" spans="1:21" hidden="1" x14ac:dyDescent="0.25">
      <c r="B1" s="302"/>
      <c r="C1" s="302"/>
      <c r="D1" s="303"/>
      <c r="E1" s="303"/>
      <c r="F1" s="303"/>
      <c r="G1" s="303"/>
      <c r="H1" s="303"/>
      <c r="I1" s="303"/>
      <c r="J1" s="303"/>
      <c r="K1" s="302"/>
      <c r="L1" s="303"/>
      <c r="M1" s="303"/>
      <c r="N1" s="302"/>
      <c r="O1" s="302"/>
      <c r="P1" s="302"/>
      <c r="Q1" s="302"/>
      <c r="R1" s="302"/>
      <c r="S1" s="302"/>
      <c r="T1" s="302"/>
      <c r="U1" s="302"/>
    </row>
    <row r="2" spans="1:21" hidden="1" x14ac:dyDescent="0.25">
      <c r="A2" s="304"/>
      <c r="B2" s="304"/>
      <c r="C2" s="304"/>
      <c r="D2" s="303"/>
      <c r="E2" s="303"/>
      <c r="F2" s="303"/>
      <c r="G2" s="303"/>
      <c r="H2" s="303"/>
      <c r="I2" s="303"/>
      <c r="J2" s="303"/>
      <c r="K2" s="302"/>
      <c r="L2" s="303"/>
      <c r="M2" s="303"/>
      <c r="N2" s="302"/>
      <c r="O2" s="302"/>
      <c r="P2" s="302"/>
      <c r="Q2" s="302"/>
      <c r="R2" s="302"/>
      <c r="S2" s="302"/>
      <c r="T2" s="302"/>
      <c r="U2" s="302"/>
    </row>
    <row r="3" spans="1:21" hidden="1" x14ac:dyDescent="0.25">
      <c r="B3" s="304"/>
      <c r="C3" s="304"/>
      <c r="D3" s="305">
        <v>1.25</v>
      </c>
      <c r="E3" s="305">
        <v>1</v>
      </c>
      <c r="F3" s="305">
        <v>0.61199999999999999</v>
      </c>
      <c r="G3" s="305">
        <v>1.115</v>
      </c>
      <c r="H3" s="305">
        <v>1.06</v>
      </c>
      <c r="I3" s="305">
        <v>1.3</v>
      </c>
      <c r="J3" s="303"/>
      <c r="K3" s="302"/>
      <c r="L3" s="303"/>
      <c r="M3" s="303"/>
      <c r="N3" s="302"/>
      <c r="O3" s="302"/>
      <c r="P3" s="302"/>
      <c r="Q3" s="302"/>
      <c r="R3" s="302"/>
      <c r="S3" s="303"/>
      <c r="T3" s="302"/>
      <c r="U3" s="302"/>
    </row>
    <row r="4" spans="1:21" x14ac:dyDescent="0.25">
      <c r="B4" s="302"/>
      <c r="C4" s="302"/>
      <c r="D4" s="305">
        <v>1</v>
      </c>
      <c r="E4" s="305">
        <v>1</v>
      </c>
      <c r="F4" s="305">
        <v>0.5</v>
      </c>
      <c r="G4" s="305">
        <v>1</v>
      </c>
      <c r="H4" s="305">
        <v>1</v>
      </c>
      <c r="I4" s="305">
        <v>1.2</v>
      </c>
      <c r="J4" s="303"/>
      <c r="K4" s="302"/>
      <c r="L4" s="303"/>
      <c r="M4" s="303"/>
      <c r="N4" s="302"/>
      <c r="O4" s="302"/>
      <c r="P4" s="302"/>
      <c r="Q4" s="302"/>
      <c r="R4" s="302"/>
      <c r="S4" s="306">
        <v>1314</v>
      </c>
      <c r="U4" s="302"/>
    </row>
    <row r="5" spans="1:21" x14ac:dyDescent="0.25">
      <c r="A5" s="304" t="s">
        <v>782</v>
      </c>
      <c r="B5" s="307"/>
      <c r="C5" s="307"/>
      <c r="D5" s="308"/>
      <c r="E5" s="308"/>
      <c r="F5" s="308"/>
      <c r="G5" s="308"/>
      <c r="H5" s="308"/>
      <c r="I5" s="308"/>
      <c r="J5" s="308"/>
      <c r="K5" s="307"/>
      <c r="L5" s="308"/>
      <c r="M5" s="308"/>
      <c r="N5" s="307"/>
      <c r="O5" s="307"/>
      <c r="P5" s="307"/>
      <c r="Q5" s="307"/>
      <c r="R5" s="307"/>
      <c r="S5" s="307" t="s">
        <v>783</v>
      </c>
      <c r="U5" s="307"/>
    </row>
    <row r="6" spans="1:21" hidden="1" x14ac:dyDescent="0.25">
      <c r="A6" s="307"/>
      <c r="B6" s="307"/>
      <c r="C6" s="307"/>
      <c r="D6" s="308" t="s">
        <v>731</v>
      </c>
      <c r="E6" s="308" t="s">
        <v>732</v>
      </c>
      <c r="F6" s="308" t="s">
        <v>784</v>
      </c>
      <c r="G6" s="308" t="s">
        <v>785</v>
      </c>
      <c r="H6" s="308" t="s">
        <v>786</v>
      </c>
      <c r="I6" s="308" t="s">
        <v>787</v>
      </c>
      <c r="J6" s="308" t="s">
        <v>788</v>
      </c>
      <c r="K6" s="307" t="s">
        <v>789</v>
      </c>
      <c r="L6" s="308" t="s">
        <v>741</v>
      </c>
      <c r="M6" s="308" t="s">
        <v>790</v>
      </c>
      <c r="N6" s="307" t="s">
        <v>791</v>
      </c>
      <c r="O6" s="307" t="s">
        <v>792</v>
      </c>
      <c r="P6" s="307" t="s">
        <v>739</v>
      </c>
      <c r="Q6" s="307" t="s">
        <v>740</v>
      </c>
      <c r="R6" s="307" t="s">
        <v>742</v>
      </c>
      <c r="S6" s="307" t="s">
        <v>793</v>
      </c>
      <c r="T6" s="307" t="s">
        <v>794</v>
      </c>
      <c r="U6" s="307" t="s">
        <v>795</v>
      </c>
    </row>
    <row r="7" spans="1:21" x14ac:dyDescent="0.25">
      <c r="A7" s="302" t="s">
        <v>796</v>
      </c>
      <c r="B7" s="307"/>
      <c r="C7" s="307"/>
      <c r="D7" s="308"/>
      <c r="E7" s="308"/>
      <c r="F7" s="308"/>
      <c r="G7" s="308"/>
      <c r="H7" s="308"/>
      <c r="I7" s="308"/>
      <c r="J7" s="308"/>
      <c r="K7" s="307"/>
      <c r="L7" s="308"/>
      <c r="M7" s="308"/>
      <c r="N7" s="307"/>
      <c r="O7" s="307"/>
      <c r="P7" s="307"/>
      <c r="Q7" s="307"/>
      <c r="R7" s="307"/>
      <c r="S7" s="307"/>
      <c r="T7" s="307"/>
      <c r="U7" s="307"/>
    </row>
    <row r="8" spans="1:21" s="2" customFormat="1" hidden="1" x14ac:dyDescent="0.25">
      <c r="A8" s="309"/>
      <c r="B8" s="310"/>
      <c r="C8" s="310"/>
      <c r="D8" s="311"/>
      <c r="E8" s="311"/>
      <c r="F8" s="311"/>
      <c r="G8" s="311"/>
      <c r="H8" s="311"/>
      <c r="I8" s="311"/>
      <c r="J8" s="311"/>
      <c r="K8" s="310"/>
      <c r="L8" s="311"/>
      <c r="M8" s="311"/>
      <c r="N8" s="310" t="s">
        <v>797</v>
      </c>
      <c r="O8" s="310" t="s">
        <v>797</v>
      </c>
      <c r="Q8" s="310" t="s">
        <v>203</v>
      </c>
      <c r="R8" s="310" t="s">
        <v>203</v>
      </c>
    </row>
    <row r="9" spans="1:21" s="8" customFormat="1" x14ac:dyDescent="0.25">
      <c r="A9" s="309"/>
      <c r="B9" s="310"/>
      <c r="C9" s="312"/>
      <c r="D9" s="313" t="s">
        <v>78</v>
      </c>
      <c r="E9" s="313" t="s">
        <v>78</v>
      </c>
      <c r="F9" s="313" t="s">
        <v>78</v>
      </c>
      <c r="G9" s="313" t="s">
        <v>78</v>
      </c>
      <c r="H9" s="313" t="s">
        <v>78</v>
      </c>
      <c r="I9" s="313" t="s">
        <v>78</v>
      </c>
      <c r="J9" s="313" t="s">
        <v>78</v>
      </c>
      <c r="K9" s="309"/>
      <c r="L9" s="311" t="s">
        <v>797</v>
      </c>
      <c r="M9" s="311" t="s">
        <v>203</v>
      </c>
      <c r="N9" s="310"/>
      <c r="O9" s="310"/>
      <c r="P9" s="310" t="s">
        <v>797</v>
      </c>
      <c r="Q9" s="310"/>
      <c r="R9" s="310"/>
      <c r="S9" s="310" t="s">
        <v>203</v>
      </c>
      <c r="T9" s="310" t="s">
        <v>208</v>
      </c>
      <c r="U9" s="312" t="s">
        <v>208</v>
      </c>
    </row>
    <row r="10" spans="1:21" s="8" customFormat="1" x14ac:dyDescent="0.25">
      <c r="A10" s="314"/>
      <c r="B10" s="315"/>
      <c r="C10" s="316"/>
      <c r="D10" s="313" t="s">
        <v>5</v>
      </c>
      <c r="E10" s="313" t="s">
        <v>5</v>
      </c>
      <c r="F10" s="313" t="s">
        <v>5</v>
      </c>
      <c r="G10" s="313" t="s">
        <v>5</v>
      </c>
      <c r="H10" s="313" t="s">
        <v>5</v>
      </c>
      <c r="I10" s="313" t="s">
        <v>5</v>
      </c>
      <c r="J10" s="313" t="s">
        <v>5</v>
      </c>
      <c r="K10" s="317" t="s">
        <v>217</v>
      </c>
      <c r="L10" s="313" t="s">
        <v>798</v>
      </c>
      <c r="M10" s="313" t="s">
        <v>798</v>
      </c>
      <c r="N10" s="315" t="s">
        <v>869</v>
      </c>
      <c r="O10" s="315" t="s">
        <v>870</v>
      </c>
      <c r="P10" s="315" t="s">
        <v>213</v>
      </c>
      <c r="Q10" s="315"/>
      <c r="R10" s="315"/>
      <c r="S10" s="315" t="s">
        <v>213</v>
      </c>
      <c r="T10" s="315" t="s">
        <v>799</v>
      </c>
      <c r="U10" s="316" t="s">
        <v>800</v>
      </c>
    </row>
    <row r="11" spans="1:21" s="12" customFormat="1" x14ac:dyDescent="0.25">
      <c r="A11" s="318"/>
      <c r="B11" s="319"/>
      <c r="C11" s="320"/>
      <c r="D11" s="321" t="s">
        <v>801</v>
      </c>
      <c r="E11" s="321" t="s">
        <v>802</v>
      </c>
      <c r="F11" s="321" t="s">
        <v>803</v>
      </c>
      <c r="G11" s="322" t="s">
        <v>804</v>
      </c>
      <c r="H11" s="322" t="s">
        <v>805</v>
      </c>
      <c r="I11" s="322" t="s">
        <v>806</v>
      </c>
      <c r="J11" s="319" t="s">
        <v>196</v>
      </c>
      <c r="K11" s="323" t="s">
        <v>807</v>
      </c>
      <c r="L11" s="321" t="s">
        <v>808</v>
      </c>
      <c r="M11" s="321" t="s">
        <v>808</v>
      </c>
      <c r="N11" s="324">
        <v>0.9</v>
      </c>
      <c r="O11" s="321">
        <v>1200</v>
      </c>
      <c r="P11" s="319"/>
      <c r="Q11" s="325">
        <v>0.9</v>
      </c>
      <c r="R11" s="326">
        <v>1314</v>
      </c>
      <c r="S11" s="327"/>
      <c r="T11" s="319" t="s">
        <v>213</v>
      </c>
      <c r="U11" s="320" t="s">
        <v>5</v>
      </c>
    </row>
    <row r="12" spans="1:21" x14ac:dyDescent="0.25">
      <c r="A12" s="328"/>
      <c r="B12" s="329"/>
      <c r="C12" s="329"/>
      <c r="D12" s="330"/>
      <c r="E12" s="330"/>
      <c r="F12" s="330"/>
      <c r="G12" s="330"/>
      <c r="H12" s="330"/>
      <c r="I12" s="330"/>
      <c r="J12" s="330"/>
      <c r="K12" s="331"/>
      <c r="L12" s="330"/>
      <c r="M12" s="330"/>
      <c r="N12" s="331"/>
      <c r="O12" s="331"/>
      <c r="P12" s="331"/>
      <c r="Q12" s="331"/>
      <c r="R12" s="331"/>
      <c r="S12" s="331"/>
      <c r="T12" s="331"/>
      <c r="U12" s="331"/>
    </row>
    <row r="13" spans="1:21" x14ac:dyDescent="0.25">
      <c r="A13" s="329"/>
      <c r="B13" s="329"/>
      <c r="C13" s="329" t="s">
        <v>242</v>
      </c>
      <c r="D13" s="330">
        <f>SUM(D15:D162)</f>
        <v>13</v>
      </c>
      <c r="E13" s="330">
        <f t="shared" ref="E13:T13" si="0">SUM(E15:E162)</f>
        <v>94</v>
      </c>
      <c r="F13" s="330">
        <f t="shared" si="0"/>
        <v>4041</v>
      </c>
      <c r="G13" s="330">
        <f t="shared" si="0"/>
        <v>11367</v>
      </c>
      <c r="H13" s="330">
        <f t="shared" si="0"/>
        <v>10060</v>
      </c>
      <c r="I13" s="330">
        <f t="shared" si="0"/>
        <v>16219</v>
      </c>
      <c r="J13" s="330">
        <f t="shared" si="0"/>
        <v>41794</v>
      </c>
      <c r="K13" s="330">
        <v>60197414.030000009</v>
      </c>
      <c r="L13" s="330">
        <v>47005.979999999981</v>
      </c>
      <c r="M13" s="330">
        <v>43017.299999999996</v>
      </c>
      <c r="N13" s="330">
        <v>54177672.659999989</v>
      </c>
      <c r="O13" s="330">
        <v>56407176</v>
      </c>
      <c r="P13" s="330">
        <v>49975642.529999979</v>
      </c>
      <c r="Q13" s="330">
        <v>54177672.659999989</v>
      </c>
      <c r="R13" s="330">
        <v>56524732.200000003</v>
      </c>
      <c r="S13" s="330">
        <v>49967709.239999995</v>
      </c>
      <c r="T13" s="330">
        <v>-7933.2899999998772</v>
      </c>
      <c r="U13" s="332">
        <v>-0.18981887352251225</v>
      </c>
    </row>
    <row r="14" spans="1:21" x14ac:dyDescent="0.25">
      <c r="A14" s="329"/>
      <c r="B14" s="329"/>
      <c r="C14" s="333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02"/>
      <c r="R14" s="334"/>
      <c r="S14" s="334"/>
      <c r="T14" s="334"/>
      <c r="U14" s="334"/>
    </row>
    <row r="15" spans="1:21" x14ac:dyDescent="0.25">
      <c r="A15" s="329">
        <v>4000</v>
      </c>
      <c r="B15" s="329">
        <v>7</v>
      </c>
      <c r="C15" s="335" t="s">
        <v>673</v>
      </c>
      <c r="D15" s="332">
        <v>0</v>
      </c>
      <c r="E15" s="332">
        <v>0</v>
      </c>
      <c r="F15" s="332">
        <v>0</v>
      </c>
      <c r="G15" s="332">
        <v>0</v>
      </c>
      <c r="H15" s="332">
        <v>0</v>
      </c>
      <c r="I15" s="332">
        <v>110</v>
      </c>
      <c r="J15" s="332">
        <f t="shared" ref="J15:J78" si="1">SUM(D15:I15)</f>
        <v>110</v>
      </c>
      <c r="K15" s="332">
        <v>60000</v>
      </c>
      <c r="L15" s="332">
        <v>143</v>
      </c>
      <c r="M15" s="332">
        <v>132</v>
      </c>
      <c r="N15" s="332">
        <v>54000</v>
      </c>
      <c r="O15" s="332">
        <v>171600</v>
      </c>
      <c r="P15" s="332">
        <v>54000</v>
      </c>
      <c r="Q15" s="332">
        <v>54000</v>
      </c>
      <c r="R15" s="332">
        <v>173448</v>
      </c>
      <c r="S15" s="332">
        <v>54000</v>
      </c>
      <c r="T15" s="332">
        <v>0</v>
      </c>
      <c r="U15" s="332">
        <v>0</v>
      </c>
    </row>
    <row r="16" spans="1:21" x14ac:dyDescent="0.25">
      <c r="A16" s="329">
        <v>4001</v>
      </c>
      <c r="B16" s="329">
        <v>7</v>
      </c>
      <c r="C16" s="335" t="s">
        <v>415</v>
      </c>
      <c r="D16" s="332">
        <v>0</v>
      </c>
      <c r="E16" s="332">
        <v>0</v>
      </c>
      <c r="F16" s="332">
        <v>25</v>
      </c>
      <c r="G16" s="332">
        <v>71</v>
      </c>
      <c r="H16" s="332">
        <v>73</v>
      </c>
      <c r="I16" s="332">
        <v>43</v>
      </c>
      <c r="J16" s="332">
        <f t="shared" si="1"/>
        <v>212</v>
      </c>
      <c r="K16" s="332">
        <v>395705</v>
      </c>
      <c r="L16" s="332">
        <v>227.75</v>
      </c>
      <c r="M16" s="332">
        <v>208.1</v>
      </c>
      <c r="N16" s="332">
        <v>356134.5</v>
      </c>
      <c r="O16" s="332">
        <v>273300</v>
      </c>
      <c r="P16" s="332">
        <v>273300</v>
      </c>
      <c r="Q16" s="332">
        <v>356134.5</v>
      </c>
      <c r="R16" s="332">
        <v>273443.40000000002</v>
      </c>
      <c r="S16" s="332">
        <v>273443.40000000002</v>
      </c>
      <c r="T16" s="332">
        <v>143.40000000002328</v>
      </c>
      <c r="U16" s="332">
        <v>0.67641509433973246</v>
      </c>
    </row>
    <row r="17" spans="1:21" x14ac:dyDescent="0.25">
      <c r="A17" s="329">
        <v>4003</v>
      </c>
      <c r="B17" s="329">
        <v>7</v>
      </c>
      <c r="C17" s="335" t="s">
        <v>675</v>
      </c>
      <c r="D17" s="332">
        <v>0</v>
      </c>
      <c r="E17" s="332">
        <v>0</v>
      </c>
      <c r="F17" s="332">
        <v>4</v>
      </c>
      <c r="G17" s="332">
        <v>20</v>
      </c>
      <c r="H17" s="332">
        <v>24</v>
      </c>
      <c r="I17" s="332">
        <v>74</v>
      </c>
      <c r="J17" s="332">
        <f t="shared" si="1"/>
        <v>122</v>
      </c>
      <c r="K17" s="332">
        <v>195075</v>
      </c>
      <c r="L17" s="332">
        <v>146.38999999999999</v>
      </c>
      <c r="M17" s="332">
        <v>134.80000000000001</v>
      </c>
      <c r="N17" s="332">
        <v>175567.5</v>
      </c>
      <c r="O17" s="332">
        <v>175668</v>
      </c>
      <c r="P17" s="332">
        <v>175567.5</v>
      </c>
      <c r="Q17" s="332">
        <v>175567.5</v>
      </c>
      <c r="R17" s="332">
        <v>177127.2</v>
      </c>
      <c r="S17" s="332">
        <v>175567.5</v>
      </c>
      <c r="T17" s="332">
        <v>0</v>
      </c>
      <c r="U17" s="332">
        <v>0</v>
      </c>
    </row>
    <row r="18" spans="1:21" x14ac:dyDescent="0.25">
      <c r="A18" s="329">
        <v>4004</v>
      </c>
      <c r="B18" s="329">
        <v>7</v>
      </c>
      <c r="C18" s="335" t="s">
        <v>809</v>
      </c>
      <c r="D18" s="332">
        <v>0</v>
      </c>
      <c r="E18" s="332">
        <v>0</v>
      </c>
      <c r="F18" s="332">
        <v>20</v>
      </c>
      <c r="G18" s="332">
        <v>58</v>
      </c>
      <c r="H18" s="332">
        <v>40</v>
      </c>
      <c r="I18" s="332">
        <v>27</v>
      </c>
      <c r="J18" s="332">
        <f t="shared" si="1"/>
        <v>145</v>
      </c>
      <c r="K18" s="332">
        <v>213079.49</v>
      </c>
      <c r="L18" s="332">
        <v>154.41</v>
      </c>
      <c r="M18" s="332">
        <v>140.4</v>
      </c>
      <c r="N18" s="332">
        <v>191771.54</v>
      </c>
      <c r="O18" s="332">
        <v>185292</v>
      </c>
      <c r="P18" s="332">
        <v>185292</v>
      </c>
      <c r="Q18" s="332">
        <v>191771.54</v>
      </c>
      <c r="R18" s="332">
        <v>184485.6</v>
      </c>
      <c r="S18" s="332">
        <v>184485.6</v>
      </c>
      <c r="T18" s="332">
        <v>-806.39999999999418</v>
      </c>
      <c r="U18" s="332">
        <v>-5.5613793103447877</v>
      </c>
    </row>
    <row r="19" spans="1:21" x14ac:dyDescent="0.25">
      <c r="A19" s="329">
        <v>4005</v>
      </c>
      <c r="B19" s="329">
        <v>7</v>
      </c>
      <c r="C19" s="335" t="s">
        <v>810</v>
      </c>
      <c r="D19" s="332">
        <v>13</v>
      </c>
      <c r="E19" s="332">
        <v>9</v>
      </c>
      <c r="F19" s="332">
        <v>0</v>
      </c>
      <c r="G19" s="332">
        <v>12</v>
      </c>
      <c r="H19" s="332">
        <v>12</v>
      </c>
      <c r="I19" s="332">
        <v>29</v>
      </c>
      <c r="J19" s="332">
        <f t="shared" si="1"/>
        <v>75</v>
      </c>
      <c r="K19" s="332">
        <v>525300</v>
      </c>
      <c r="L19" s="332">
        <v>89.05</v>
      </c>
      <c r="M19" s="332">
        <v>80.8</v>
      </c>
      <c r="N19" s="332">
        <v>472770</v>
      </c>
      <c r="O19" s="332">
        <v>106860</v>
      </c>
      <c r="P19" s="332">
        <v>106860</v>
      </c>
      <c r="Q19" s="332">
        <v>472770</v>
      </c>
      <c r="R19" s="332">
        <v>106171.2</v>
      </c>
      <c r="S19" s="332">
        <v>106171.2</v>
      </c>
      <c r="T19" s="332">
        <v>-688.80000000000291</v>
      </c>
      <c r="U19" s="332">
        <v>-9.1840000000000384</v>
      </c>
    </row>
    <row r="20" spans="1:21" x14ac:dyDescent="0.25">
      <c r="A20" s="329">
        <v>4007</v>
      </c>
      <c r="B20" s="329">
        <v>7</v>
      </c>
      <c r="C20" s="335" t="s">
        <v>668</v>
      </c>
      <c r="D20" s="332">
        <v>0</v>
      </c>
      <c r="E20" s="332">
        <v>0</v>
      </c>
      <c r="F20" s="332">
        <v>0</v>
      </c>
      <c r="G20" s="332">
        <v>0</v>
      </c>
      <c r="H20" s="332">
        <v>6</v>
      </c>
      <c r="I20" s="332">
        <v>106</v>
      </c>
      <c r="J20" s="332">
        <f t="shared" si="1"/>
        <v>112</v>
      </c>
      <c r="K20" s="332">
        <v>201057.46</v>
      </c>
      <c r="L20" s="332">
        <v>144.16</v>
      </c>
      <c r="M20" s="332">
        <v>133.19999999999999</v>
      </c>
      <c r="N20" s="332">
        <v>180951.71</v>
      </c>
      <c r="O20" s="332">
        <v>172992</v>
      </c>
      <c r="P20" s="332">
        <v>172992</v>
      </c>
      <c r="Q20" s="332">
        <v>180951.71</v>
      </c>
      <c r="R20" s="332">
        <v>175024.8</v>
      </c>
      <c r="S20" s="332">
        <v>175024.8</v>
      </c>
      <c r="T20" s="332">
        <v>2032.7999999999884</v>
      </c>
      <c r="U20" s="332">
        <v>18.149999999999896</v>
      </c>
    </row>
    <row r="21" spans="1:21" x14ac:dyDescent="0.25">
      <c r="A21" s="329">
        <v>4008</v>
      </c>
      <c r="B21" s="329">
        <v>7</v>
      </c>
      <c r="C21" s="335" t="s">
        <v>582</v>
      </c>
      <c r="D21" s="332">
        <v>0</v>
      </c>
      <c r="E21" s="332">
        <v>0</v>
      </c>
      <c r="F21" s="332">
        <v>40</v>
      </c>
      <c r="G21" s="332">
        <v>144</v>
      </c>
      <c r="H21" s="332">
        <v>157</v>
      </c>
      <c r="I21" s="332">
        <v>271</v>
      </c>
      <c r="J21" s="332">
        <f t="shared" si="1"/>
        <v>612</v>
      </c>
      <c r="K21" s="332">
        <v>900306.88</v>
      </c>
      <c r="L21" s="332">
        <v>703.76</v>
      </c>
      <c r="M21" s="332">
        <v>646.20000000000005</v>
      </c>
      <c r="N21" s="332">
        <v>810276.19</v>
      </c>
      <c r="O21" s="332">
        <v>844512</v>
      </c>
      <c r="P21" s="332">
        <v>810276.19</v>
      </c>
      <c r="Q21" s="332">
        <v>810276.19</v>
      </c>
      <c r="R21" s="332">
        <v>849106.8</v>
      </c>
      <c r="S21" s="332">
        <v>810276.19</v>
      </c>
      <c r="T21" s="332">
        <v>0</v>
      </c>
      <c r="U21" s="332">
        <v>0</v>
      </c>
    </row>
    <row r="22" spans="1:21" x14ac:dyDescent="0.25">
      <c r="A22" s="329">
        <v>4011</v>
      </c>
      <c r="B22" s="329">
        <v>7</v>
      </c>
      <c r="C22" s="335" t="s">
        <v>552</v>
      </c>
      <c r="D22" s="332">
        <v>0</v>
      </c>
      <c r="E22" s="332">
        <v>1</v>
      </c>
      <c r="F22" s="332">
        <v>24</v>
      </c>
      <c r="G22" s="332">
        <v>76</v>
      </c>
      <c r="H22" s="332">
        <v>75</v>
      </c>
      <c r="I22" s="332">
        <v>34</v>
      </c>
      <c r="J22" s="332">
        <f t="shared" si="1"/>
        <v>210</v>
      </c>
      <c r="K22" s="332">
        <v>403300</v>
      </c>
      <c r="L22" s="332">
        <v>224.13</v>
      </c>
      <c r="M22" s="332">
        <v>204.8</v>
      </c>
      <c r="N22" s="332">
        <v>362970</v>
      </c>
      <c r="O22" s="332">
        <v>268956</v>
      </c>
      <c r="P22" s="332">
        <v>268956</v>
      </c>
      <c r="Q22" s="332">
        <v>362970</v>
      </c>
      <c r="R22" s="332">
        <v>269107.20000000001</v>
      </c>
      <c r="S22" s="332">
        <v>269107.20000000001</v>
      </c>
      <c r="T22" s="332">
        <v>151.20000000001164</v>
      </c>
      <c r="U22" s="332">
        <v>0.72000000000005548</v>
      </c>
    </row>
    <row r="23" spans="1:21" x14ac:dyDescent="0.25">
      <c r="A23" s="329">
        <v>4015</v>
      </c>
      <c r="B23" s="329">
        <v>7</v>
      </c>
      <c r="C23" s="335" t="s">
        <v>627</v>
      </c>
      <c r="D23" s="332">
        <v>0</v>
      </c>
      <c r="E23" s="332">
        <v>0</v>
      </c>
      <c r="F23" s="332">
        <v>54</v>
      </c>
      <c r="G23" s="332">
        <v>158</v>
      </c>
      <c r="H23" s="332">
        <v>155</v>
      </c>
      <c r="I23" s="332">
        <v>417</v>
      </c>
      <c r="J23" s="332">
        <f t="shared" si="1"/>
        <v>784</v>
      </c>
      <c r="K23" s="332">
        <v>1339000</v>
      </c>
      <c r="L23" s="332">
        <v>915.62</v>
      </c>
      <c r="M23" s="332">
        <v>840.4</v>
      </c>
      <c r="N23" s="332">
        <v>1205100</v>
      </c>
      <c r="O23" s="332">
        <v>1098744</v>
      </c>
      <c r="P23" s="332">
        <v>1098744</v>
      </c>
      <c r="Q23" s="332">
        <v>1205100</v>
      </c>
      <c r="R23" s="332">
        <v>1104285.6000000001</v>
      </c>
      <c r="S23" s="332">
        <v>1104285.6000000001</v>
      </c>
      <c r="T23" s="332">
        <v>5541.6000000000931</v>
      </c>
      <c r="U23" s="332">
        <v>7.0683673469388939</v>
      </c>
    </row>
    <row r="24" spans="1:21" x14ac:dyDescent="0.25">
      <c r="A24" s="329">
        <v>4016</v>
      </c>
      <c r="B24" s="329">
        <v>7</v>
      </c>
      <c r="C24" s="335" t="s">
        <v>557</v>
      </c>
      <c r="D24" s="332">
        <v>0</v>
      </c>
      <c r="E24" s="332">
        <v>0</v>
      </c>
      <c r="F24" s="332">
        <v>0</v>
      </c>
      <c r="G24" s="332">
        <v>79</v>
      </c>
      <c r="H24" s="332">
        <v>84</v>
      </c>
      <c r="I24" s="332">
        <v>43</v>
      </c>
      <c r="J24" s="332">
        <f t="shared" si="1"/>
        <v>206</v>
      </c>
      <c r="K24" s="332">
        <v>310700</v>
      </c>
      <c r="L24" s="332">
        <v>233.03</v>
      </c>
      <c r="M24" s="332">
        <v>214.6</v>
      </c>
      <c r="N24" s="332">
        <v>279630</v>
      </c>
      <c r="O24" s="332">
        <v>279636</v>
      </c>
      <c r="P24" s="332">
        <v>279630</v>
      </c>
      <c r="Q24" s="332">
        <v>279630</v>
      </c>
      <c r="R24" s="332">
        <v>281984.40000000002</v>
      </c>
      <c r="S24" s="332">
        <v>279630</v>
      </c>
      <c r="T24" s="332">
        <v>0</v>
      </c>
      <c r="U24" s="332">
        <v>0</v>
      </c>
    </row>
    <row r="25" spans="1:21" x14ac:dyDescent="0.25">
      <c r="A25" s="329">
        <v>4017</v>
      </c>
      <c r="B25" s="329">
        <v>7</v>
      </c>
      <c r="C25" s="335" t="s">
        <v>811</v>
      </c>
      <c r="D25" s="332">
        <v>0</v>
      </c>
      <c r="E25" s="332">
        <v>0</v>
      </c>
      <c r="F25" s="332">
        <v>95</v>
      </c>
      <c r="G25" s="332">
        <v>337</v>
      </c>
      <c r="H25" s="332">
        <v>409</v>
      </c>
      <c r="I25" s="332">
        <v>2283</v>
      </c>
      <c r="J25" s="332">
        <f t="shared" si="1"/>
        <v>3124</v>
      </c>
      <c r="K25" s="332">
        <v>2818488.69</v>
      </c>
      <c r="L25" s="332">
        <v>3835.34</v>
      </c>
      <c r="M25" s="332">
        <v>3533.1</v>
      </c>
      <c r="N25" s="332">
        <v>2536639.8199999998</v>
      </c>
      <c r="O25" s="332">
        <v>4602408</v>
      </c>
      <c r="P25" s="332">
        <v>2536639.8199999998</v>
      </c>
      <c r="Q25" s="332">
        <v>2536639.8199999998</v>
      </c>
      <c r="R25" s="332">
        <v>4642493.4000000004</v>
      </c>
      <c r="S25" s="332">
        <v>2536639.8199999998</v>
      </c>
      <c r="T25" s="332">
        <v>0</v>
      </c>
      <c r="U25" s="332">
        <v>0</v>
      </c>
    </row>
    <row r="26" spans="1:21" x14ac:dyDescent="0.25">
      <c r="A26" s="329">
        <v>4018</v>
      </c>
      <c r="B26" s="329">
        <v>7</v>
      </c>
      <c r="C26" s="335" t="s">
        <v>580</v>
      </c>
      <c r="D26" s="332">
        <v>0</v>
      </c>
      <c r="E26" s="332">
        <v>0</v>
      </c>
      <c r="F26" s="332">
        <v>48</v>
      </c>
      <c r="G26" s="332">
        <v>144</v>
      </c>
      <c r="H26" s="332">
        <v>135</v>
      </c>
      <c r="I26" s="332">
        <v>83</v>
      </c>
      <c r="J26" s="332">
        <f t="shared" si="1"/>
        <v>410</v>
      </c>
      <c r="K26" s="332">
        <v>628376.59</v>
      </c>
      <c r="L26" s="332">
        <v>440.94</v>
      </c>
      <c r="M26" s="332">
        <v>402.6</v>
      </c>
      <c r="N26" s="332">
        <v>565538.93000000005</v>
      </c>
      <c r="O26" s="332">
        <v>529128</v>
      </c>
      <c r="P26" s="332">
        <v>529128</v>
      </c>
      <c r="Q26" s="332">
        <v>565538.93000000005</v>
      </c>
      <c r="R26" s="332">
        <v>529016.4</v>
      </c>
      <c r="S26" s="332">
        <v>529016.4</v>
      </c>
      <c r="T26" s="332">
        <v>-111.59999999997672</v>
      </c>
      <c r="U26" s="332">
        <v>-0.27219512195116274</v>
      </c>
    </row>
    <row r="27" spans="1:21" x14ac:dyDescent="0.25">
      <c r="A27" s="329">
        <v>4020</v>
      </c>
      <c r="B27" s="329">
        <v>7</v>
      </c>
      <c r="C27" s="335" t="s">
        <v>592</v>
      </c>
      <c r="D27" s="332">
        <v>0</v>
      </c>
      <c r="E27" s="332">
        <v>8</v>
      </c>
      <c r="F27" s="332">
        <v>143</v>
      </c>
      <c r="G27" s="332">
        <v>443</v>
      </c>
      <c r="H27" s="332">
        <v>408</v>
      </c>
      <c r="I27" s="332">
        <v>249</v>
      </c>
      <c r="J27" s="332">
        <f t="shared" si="1"/>
        <v>1251</v>
      </c>
      <c r="K27" s="332">
        <v>1505384</v>
      </c>
      <c r="L27" s="332">
        <v>1345.64</v>
      </c>
      <c r="M27" s="332">
        <v>1229.3</v>
      </c>
      <c r="N27" s="332">
        <v>1354845.6</v>
      </c>
      <c r="O27" s="332">
        <v>1614768</v>
      </c>
      <c r="P27" s="332">
        <v>1354845.6</v>
      </c>
      <c r="Q27" s="332">
        <v>1354845.6</v>
      </c>
      <c r="R27" s="332">
        <v>1615300.2</v>
      </c>
      <c r="S27" s="332">
        <v>1354845.6</v>
      </c>
      <c r="T27" s="332">
        <v>0</v>
      </c>
      <c r="U27" s="332">
        <v>0</v>
      </c>
    </row>
    <row r="28" spans="1:21" x14ac:dyDescent="0.25">
      <c r="A28" s="329">
        <v>4025</v>
      </c>
      <c r="B28" s="329">
        <v>7</v>
      </c>
      <c r="C28" s="335" t="s">
        <v>598</v>
      </c>
      <c r="D28" s="332">
        <v>0</v>
      </c>
      <c r="E28" s="332">
        <v>0</v>
      </c>
      <c r="F28" s="332">
        <v>0</v>
      </c>
      <c r="G28" s="332">
        <v>4</v>
      </c>
      <c r="H28" s="332">
        <v>62</v>
      </c>
      <c r="I28" s="332">
        <v>81</v>
      </c>
      <c r="J28" s="332">
        <f t="shared" si="1"/>
        <v>147</v>
      </c>
      <c r="K28" s="332">
        <v>226828.65</v>
      </c>
      <c r="L28" s="332">
        <v>175.48</v>
      </c>
      <c r="M28" s="332">
        <v>163.19999999999999</v>
      </c>
      <c r="N28" s="332">
        <v>204145.79</v>
      </c>
      <c r="O28" s="332">
        <v>210576</v>
      </c>
      <c r="P28" s="332">
        <v>204145.79</v>
      </c>
      <c r="Q28" s="332">
        <v>204145.79</v>
      </c>
      <c r="R28" s="332">
        <v>214444.79999999999</v>
      </c>
      <c r="S28" s="332">
        <v>204145.79</v>
      </c>
      <c r="T28" s="332">
        <v>0</v>
      </c>
      <c r="U28" s="332">
        <v>0</v>
      </c>
    </row>
    <row r="29" spans="1:21" x14ac:dyDescent="0.25">
      <c r="A29" s="329">
        <v>4026</v>
      </c>
      <c r="B29" s="329">
        <v>7</v>
      </c>
      <c r="C29" s="335" t="s">
        <v>679</v>
      </c>
      <c r="D29" s="332">
        <v>0</v>
      </c>
      <c r="E29" s="332">
        <v>0</v>
      </c>
      <c r="F29" s="332">
        <v>16</v>
      </c>
      <c r="G29" s="332">
        <v>31</v>
      </c>
      <c r="H29" s="332">
        <v>40</v>
      </c>
      <c r="I29" s="332">
        <v>72</v>
      </c>
      <c r="J29" s="332">
        <f t="shared" si="1"/>
        <v>159</v>
      </c>
      <c r="K29" s="332">
        <v>252000</v>
      </c>
      <c r="L29" s="332">
        <v>180.36</v>
      </c>
      <c r="M29" s="332">
        <v>165.4</v>
      </c>
      <c r="N29" s="332">
        <v>226800</v>
      </c>
      <c r="O29" s="332">
        <v>216432</v>
      </c>
      <c r="P29" s="332">
        <v>216432</v>
      </c>
      <c r="Q29" s="332">
        <v>226800</v>
      </c>
      <c r="R29" s="332">
        <v>217335.6</v>
      </c>
      <c r="S29" s="332">
        <v>217335.6</v>
      </c>
      <c r="T29" s="332">
        <v>903.60000000000582</v>
      </c>
      <c r="U29" s="332">
        <v>5.6830188679245648</v>
      </c>
    </row>
    <row r="30" spans="1:21" x14ac:dyDescent="0.25">
      <c r="A30" s="329">
        <v>4027</v>
      </c>
      <c r="B30" s="329">
        <v>7</v>
      </c>
      <c r="C30" s="335" t="s">
        <v>273</v>
      </c>
      <c r="D30" s="332">
        <v>0</v>
      </c>
      <c r="E30" s="332">
        <v>0</v>
      </c>
      <c r="F30" s="332">
        <v>81</v>
      </c>
      <c r="G30" s="332">
        <v>279</v>
      </c>
      <c r="H30" s="332">
        <v>175</v>
      </c>
      <c r="I30" s="332">
        <v>194</v>
      </c>
      <c r="J30" s="332">
        <f t="shared" si="1"/>
        <v>729</v>
      </c>
      <c r="K30" s="332">
        <v>1061200</v>
      </c>
      <c r="L30" s="332">
        <v>798.36</v>
      </c>
      <c r="M30" s="332">
        <v>727.3</v>
      </c>
      <c r="N30" s="332">
        <v>955080</v>
      </c>
      <c r="O30" s="332">
        <v>958032</v>
      </c>
      <c r="P30" s="332">
        <v>955080</v>
      </c>
      <c r="Q30" s="332">
        <v>955080</v>
      </c>
      <c r="R30" s="332">
        <v>955672.2</v>
      </c>
      <c r="S30" s="332">
        <v>955080</v>
      </c>
      <c r="T30" s="332">
        <v>0</v>
      </c>
      <c r="U30" s="332">
        <v>0</v>
      </c>
    </row>
    <row r="31" spans="1:21" x14ac:dyDescent="0.25">
      <c r="A31" s="329">
        <v>4029</v>
      </c>
      <c r="B31" s="329">
        <v>7</v>
      </c>
      <c r="C31" s="335" t="s">
        <v>812</v>
      </c>
      <c r="D31" s="332">
        <v>0</v>
      </c>
      <c r="E31" s="332">
        <v>0</v>
      </c>
      <c r="F31" s="332">
        <v>44</v>
      </c>
      <c r="G31" s="332">
        <v>112</v>
      </c>
      <c r="H31" s="332">
        <v>116</v>
      </c>
      <c r="I31" s="332">
        <v>68</v>
      </c>
      <c r="J31" s="332">
        <f t="shared" si="1"/>
        <v>340</v>
      </c>
      <c r="K31" s="332">
        <v>652334.91</v>
      </c>
      <c r="L31" s="332">
        <v>363.17</v>
      </c>
      <c r="M31" s="332">
        <v>331.6</v>
      </c>
      <c r="N31" s="332">
        <v>587101.42000000004</v>
      </c>
      <c r="O31" s="332">
        <v>435804</v>
      </c>
      <c r="P31" s="332">
        <v>435804</v>
      </c>
      <c r="Q31" s="332">
        <v>587101.42000000004</v>
      </c>
      <c r="R31" s="332">
        <v>435722.4</v>
      </c>
      <c r="S31" s="332">
        <v>435722.4</v>
      </c>
      <c r="T31" s="332">
        <v>-81.599999999976717</v>
      </c>
      <c r="U31" s="332">
        <v>-0.23999999999993152</v>
      </c>
    </row>
    <row r="32" spans="1:21" x14ac:dyDescent="0.25">
      <c r="A32" s="329">
        <v>4030</v>
      </c>
      <c r="B32" s="329">
        <v>7</v>
      </c>
      <c r="C32" s="335" t="s">
        <v>813</v>
      </c>
      <c r="D32" s="332">
        <v>0</v>
      </c>
      <c r="E32" s="332">
        <v>2</v>
      </c>
      <c r="F32" s="332">
        <v>55</v>
      </c>
      <c r="G32" s="332">
        <v>104</v>
      </c>
      <c r="H32" s="332">
        <v>95</v>
      </c>
      <c r="I32" s="332">
        <v>38</v>
      </c>
      <c r="J32" s="332">
        <f t="shared" si="1"/>
        <v>294</v>
      </c>
      <c r="K32" s="332">
        <v>465597.48</v>
      </c>
      <c r="L32" s="332">
        <v>301.72000000000003</v>
      </c>
      <c r="M32" s="332">
        <v>274.10000000000002</v>
      </c>
      <c r="N32" s="332">
        <v>419037.73</v>
      </c>
      <c r="O32" s="332">
        <v>362064</v>
      </c>
      <c r="P32" s="332">
        <v>362064</v>
      </c>
      <c r="Q32" s="332">
        <v>419037.73</v>
      </c>
      <c r="R32" s="332">
        <v>360167.4</v>
      </c>
      <c r="S32" s="332">
        <v>360167.4</v>
      </c>
      <c r="T32" s="332">
        <v>-1896.5999999999767</v>
      </c>
      <c r="U32" s="332">
        <v>-6.4510204081631857</v>
      </c>
    </row>
    <row r="33" spans="1:21" x14ac:dyDescent="0.25">
      <c r="A33" s="329">
        <v>4031</v>
      </c>
      <c r="B33" s="329">
        <v>7</v>
      </c>
      <c r="C33" s="335" t="s">
        <v>814</v>
      </c>
      <c r="D33" s="332">
        <v>0</v>
      </c>
      <c r="E33" s="332">
        <v>0</v>
      </c>
      <c r="F33" s="332">
        <v>0</v>
      </c>
      <c r="G33" s="332">
        <v>0</v>
      </c>
      <c r="H33" s="332">
        <v>0</v>
      </c>
      <c r="I33" s="332">
        <v>68</v>
      </c>
      <c r="J33" s="332">
        <f t="shared" si="1"/>
        <v>68</v>
      </c>
      <c r="K33" s="332">
        <v>160950.12</v>
      </c>
      <c r="L33" s="332">
        <v>88.4</v>
      </c>
      <c r="M33" s="332">
        <v>81.599999999999994</v>
      </c>
      <c r="N33" s="332">
        <v>144855.10999999999</v>
      </c>
      <c r="O33" s="332">
        <v>106080</v>
      </c>
      <c r="P33" s="332">
        <v>106080</v>
      </c>
      <c r="Q33" s="332">
        <v>144855.10999999999</v>
      </c>
      <c r="R33" s="332">
        <v>107222.39999999999</v>
      </c>
      <c r="S33" s="332">
        <v>107222.39999999999</v>
      </c>
      <c r="T33" s="332">
        <v>1142.3999999999942</v>
      </c>
      <c r="U33" s="332">
        <v>16.799999999999915</v>
      </c>
    </row>
    <row r="34" spans="1:21" x14ac:dyDescent="0.25">
      <c r="A34" s="329">
        <v>4032</v>
      </c>
      <c r="B34" s="329">
        <v>7</v>
      </c>
      <c r="C34" s="335" t="s">
        <v>815</v>
      </c>
      <c r="D34" s="332">
        <v>0</v>
      </c>
      <c r="E34" s="332">
        <v>0</v>
      </c>
      <c r="F34" s="332">
        <v>74</v>
      </c>
      <c r="G34" s="332">
        <v>209</v>
      </c>
      <c r="H34" s="332">
        <v>157</v>
      </c>
      <c r="I34" s="332">
        <v>0</v>
      </c>
      <c r="J34" s="332">
        <f t="shared" si="1"/>
        <v>440</v>
      </c>
      <c r="K34" s="332">
        <v>578000</v>
      </c>
      <c r="L34" s="332">
        <v>444.74</v>
      </c>
      <c r="M34" s="332">
        <v>403</v>
      </c>
      <c r="N34" s="332">
        <v>520200</v>
      </c>
      <c r="O34" s="332">
        <v>533688</v>
      </c>
      <c r="P34" s="332">
        <v>520200</v>
      </c>
      <c r="Q34" s="332">
        <v>520200</v>
      </c>
      <c r="R34" s="332">
        <v>529542</v>
      </c>
      <c r="S34" s="332">
        <v>520200</v>
      </c>
      <c r="T34" s="332">
        <v>0</v>
      </c>
      <c r="U34" s="332">
        <v>0</v>
      </c>
    </row>
    <row r="35" spans="1:21" x14ac:dyDescent="0.25">
      <c r="A35" s="329">
        <v>4035</v>
      </c>
      <c r="B35" s="329">
        <v>7</v>
      </c>
      <c r="C35" s="335" t="s">
        <v>816</v>
      </c>
      <c r="D35" s="332">
        <v>0</v>
      </c>
      <c r="E35" s="332">
        <v>0</v>
      </c>
      <c r="F35" s="332">
        <v>80</v>
      </c>
      <c r="G35" s="332">
        <v>152</v>
      </c>
      <c r="H35" s="332">
        <v>101</v>
      </c>
      <c r="I35" s="332">
        <v>42</v>
      </c>
      <c r="J35" s="332">
        <f t="shared" si="1"/>
        <v>375</v>
      </c>
      <c r="K35" s="332">
        <v>442800</v>
      </c>
      <c r="L35" s="332">
        <v>380.1</v>
      </c>
      <c r="M35" s="332">
        <v>343.4</v>
      </c>
      <c r="N35" s="332">
        <v>398520</v>
      </c>
      <c r="O35" s="332">
        <v>456120</v>
      </c>
      <c r="P35" s="332">
        <v>398520</v>
      </c>
      <c r="Q35" s="332">
        <v>398520</v>
      </c>
      <c r="R35" s="332">
        <v>451227.6</v>
      </c>
      <c r="S35" s="332">
        <v>398520</v>
      </c>
      <c r="T35" s="332">
        <v>0</v>
      </c>
      <c r="U35" s="332">
        <v>0</v>
      </c>
    </row>
    <row r="36" spans="1:21" x14ac:dyDescent="0.25">
      <c r="A36" s="329">
        <v>4036</v>
      </c>
      <c r="B36" s="329">
        <v>7</v>
      </c>
      <c r="C36" s="335" t="s">
        <v>684</v>
      </c>
      <c r="D36" s="332">
        <v>0</v>
      </c>
      <c r="E36" s="332">
        <v>0</v>
      </c>
      <c r="F36" s="332">
        <v>0</v>
      </c>
      <c r="G36" s="332">
        <v>0</v>
      </c>
      <c r="H36" s="332">
        <v>0</v>
      </c>
      <c r="I36" s="332">
        <v>68</v>
      </c>
      <c r="J36" s="332">
        <f t="shared" si="1"/>
        <v>68</v>
      </c>
      <c r="K36" s="332">
        <v>132139.07999999999</v>
      </c>
      <c r="L36" s="332">
        <v>88.4</v>
      </c>
      <c r="M36" s="332">
        <v>81.599999999999994</v>
      </c>
      <c r="N36" s="332">
        <v>118925.17</v>
      </c>
      <c r="O36" s="332">
        <v>106080</v>
      </c>
      <c r="P36" s="332">
        <v>106080</v>
      </c>
      <c r="Q36" s="332">
        <v>118925.17</v>
      </c>
      <c r="R36" s="332">
        <v>107222.39999999999</v>
      </c>
      <c r="S36" s="332">
        <v>107222.39999999999</v>
      </c>
      <c r="T36" s="332">
        <v>1142.3999999999942</v>
      </c>
      <c r="U36" s="332">
        <v>16.799999999999915</v>
      </c>
    </row>
    <row r="37" spans="1:21" x14ac:dyDescent="0.25">
      <c r="A37" s="329">
        <v>4038</v>
      </c>
      <c r="B37" s="329">
        <v>7</v>
      </c>
      <c r="C37" s="335" t="s">
        <v>685</v>
      </c>
      <c r="D37" s="332">
        <v>0</v>
      </c>
      <c r="E37" s="332">
        <v>0</v>
      </c>
      <c r="F37" s="332">
        <v>54</v>
      </c>
      <c r="G37" s="332">
        <v>158</v>
      </c>
      <c r="H37" s="332">
        <v>128</v>
      </c>
      <c r="I37" s="332">
        <v>54</v>
      </c>
      <c r="J37" s="332">
        <f t="shared" si="1"/>
        <v>394</v>
      </c>
      <c r="K37" s="332">
        <v>404100</v>
      </c>
      <c r="L37" s="332">
        <v>415.1</v>
      </c>
      <c r="M37" s="332">
        <v>377.8</v>
      </c>
      <c r="N37" s="332">
        <v>363690</v>
      </c>
      <c r="O37" s="332">
        <v>498120</v>
      </c>
      <c r="P37" s="332">
        <v>363690</v>
      </c>
      <c r="Q37" s="332">
        <v>363690</v>
      </c>
      <c r="R37" s="332">
        <v>496429.2</v>
      </c>
      <c r="S37" s="332">
        <v>363690</v>
      </c>
      <c r="T37" s="332">
        <v>0</v>
      </c>
      <c r="U37" s="332">
        <v>0</v>
      </c>
    </row>
    <row r="38" spans="1:21" x14ac:dyDescent="0.25">
      <c r="A38" s="329">
        <v>4039</v>
      </c>
      <c r="B38" s="329">
        <v>7</v>
      </c>
      <c r="C38" s="335" t="s">
        <v>686</v>
      </c>
      <c r="D38" s="332">
        <v>0</v>
      </c>
      <c r="E38" s="332">
        <v>0</v>
      </c>
      <c r="F38" s="332">
        <v>0</v>
      </c>
      <c r="G38" s="332">
        <v>0</v>
      </c>
      <c r="H38" s="332">
        <v>0</v>
      </c>
      <c r="I38" s="332">
        <v>200</v>
      </c>
      <c r="J38" s="332">
        <f t="shared" si="1"/>
        <v>200</v>
      </c>
      <c r="K38" s="332">
        <v>314579.34000000003</v>
      </c>
      <c r="L38" s="332">
        <v>260</v>
      </c>
      <c r="M38" s="332">
        <v>240</v>
      </c>
      <c r="N38" s="332">
        <v>283121.40999999997</v>
      </c>
      <c r="O38" s="332">
        <v>312000</v>
      </c>
      <c r="P38" s="332">
        <v>283121.40999999997</v>
      </c>
      <c r="Q38" s="332">
        <v>283121.40999999997</v>
      </c>
      <c r="R38" s="332">
        <v>315360</v>
      </c>
      <c r="S38" s="332">
        <v>283121.40999999997</v>
      </c>
      <c r="T38" s="332">
        <v>0</v>
      </c>
      <c r="U38" s="332">
        <v>0</v>
      </c>
    </row>
    <row r="39" spans="1:21" x14ac:dyDescent="0.25">
      <c r="A39" s="329">
        <v>4042</v>
      </c>
      <c r="B39" s="329">
        <v>7</v>
      </c>
      <c r="C39" s="335" t="s">
        <v>579</v>
      </c>
      <c r="D39" s="332">
        <v>0</v>
      </c>
      <c r="E39" s="332">
        <v>0</v>
      </c>
      <c r="F39" s="332">
        <v>0</v>
      </c>
      <c r="G39" s="332">
        <v>0</v>
      </c>
      <c r="H39" s="332">
        <v>52</v>
      </c>
      <c r="I39" s="332">
        <v>148</v>
      </c>
      <c r="J39" s="332">
        <f t="shared" si="1"/>
        <v>200</v>
      </c>
      <c r="K39" s="332">
        <v>307400</v>
      </c>
      <c r="L39" s="332">
        <v>247.52</v>
      </c>
      <c r="M39" s="332">
        <v>229.6</v>
      </c>
      <c r="N39" s="332">
        <v>276660</v>
      </c>
      <c r="O39" s="332">
        <v>297024</v>
      </c>
      <c r="P39" s="332">
        <v>276660</v>
      </c>
      <c r="Q39" s="332">
        <v>276660</v>
      </c>
      <c r="R39" s="332">
        <v>301694.40000000002</v>
      </c>
      <c r="S39" s="332">
        <v>276660</v>
      </c>
      <c r="T39" s="332">
        <v>0</v>
      </c>
      <c r="U39" s="332">
        <v>0</v>
      </c>
    </row>
    <row r="40" spans="1:21" x14ac:dyDescent="0.25">
      <c r="A40" s="329">
        <v>4043</v>
      </c>
      <c r="B40" s="329">
        <v>7</v>
      </c>
      <c r="C40" s="335" t="s">
        <v>817</v>
      </c>
      <c r="D40" s="332">
        <v>0</v>
      </c>
      <c r="E40" s="332">
        <v>0</v>
      </c>
      <c r="F40" s="332">
        <v>0</v>
      </c>
      <c r="G40" s="332">
        <v>0</v>
      </c>
      <c r="H40" s="332">
        <v>85</v>
      </c>
      <c r="I40" s="332">
        <v>300</v>
      </c>
      <c r="J40" s="332">
        <f t="shared" si="1"/>
        <v>385</v>
      </c>
      <c r="K40" s="332">
        <v>583449.71</v>
      </c>
      <c r="L40" s="332">
        <v>480.1</v>
      </c>
      <c r="M40" s="332">
        <v>445</v>
      </c>
      <c r="N40" s="332">
        <v>525104.74</v>
      </c>
      <c r="O40" s="332">
        <v>576120</v>
      </c>
      <c r="P40" s="332">
        <v>525104.74</v>
      </c>
      <c r="Q40" s="332">
        <v>525104.74</v>
      </c>
      <c r="R40" s="332">
        <v>584730</v>
      </c>
      <c r="S40" s="332">
        <v>525104.74</v>
      </c>
      <c r="T40" s="332">
        <v>0</v>
      </c>
      <c r="U40" s="332">
        <v>0</v>
      </c>
    </row>
    <row r="41" spans="1:21" x14ac:dyDescent="0.25">
      <c r="A41" s="329">
        <v>4045</v>
      </c>
      <c r="B41" s="329">
        <v>7</v>
      </c>
      <c r="C41" s="335" t="s">
        <v>651</v>
      </c>
      <c r="D41" s="332">
        <v>0</v>
      </c>
      <c r="E41" s="332">
        <v>0</v>
      </c>
      <c r="F41" s="332">
        <v>0</v>
      </c>
      <c r="G41" s="332">
        <v>0</v>
      </c>
      <c r="H41" s="332">
        <v>0</v>
      </c>
      <c r="I41" s="332">
        <v>94</v>
      </c>
      <c r="J41" s="332">
        <f t="shared" si="1"/>
        <v>94</v>
      </c>
      <c r="K41" s="332">
        <v>66000</v>
      </c>
      <c r="L41" s="332">
        <v>122.2</v>
      </c>
      <c r="M41" s="332">
        <v>112.8</v>
      </c>
      <c r="N41" s="332">
        <v>59400</v>
      </c>
      <c r="O41" s="332">
        <v>146640</v>
      </c>
      <c r="P41" s="332">
        <v>59400</v>
      </c>
      <c r="Q41" s="332">
        <v>59400</v>
      </c>
      <c r="R41" s="332">
        <v>148219.20000000001</v>
      </c>
      <c r="S41" s="332">
        <v>59400</v>
      </c>
      <c r="T41" s="332">
        <v>0</v>
      </c>
      <c r="U41" s="332">
        <v>0</v>
      </c>
    </row>
    <row r="42" spans="1:21" x14ac:dyDescent="0.25">
      <c r="A42" s="329">
        <v>4049</v>
      </c>
      <c r="B42" s="329">
        <v>7</v>
      </c>
      <c r="C42" s="302" t="s">
        <v>818</v>
      </c>
      <c r="D42" s="332">
        <v>0</v>
      </c>
      <c r="E42" s="332">
        <v>0</v>
      </c>
      <c r="F42" s="332">
        <v>0</v>
      </c>
      <c r="G42" s="332">
        <v>0</v>
      </c>
      <c r="H42" s="332">
        <v>0</v>
      </c>
      <c r="I42" s="332">
        <v>170</v>
      </c>
      <c r="J42" s="332">
        <f t="shared" si="1"/>
        <v>170</v>
      </c>
      <c r="K42" s="332">
        <v>365730.33</v>
      </c>
      <c r="L42" s="332">
        <v>221</v>
      </c>
      <c r="M42" s="332">
        <v>204</v>
      </c>
      <c r="N42" s="332">
        <v>329157.3</v>
      </c>
      <c r="O42" s="332">
        <v>265200</v>
      </c>
      <c r="P42" s="332">
        <v>265200</v>
      </c>
      <c r="Q42" s="332">
        <v>329157.3</v>
      </c>
      <c r="R42" s="332">
        <v>268056</v>
      </c>
      <c r="S42" s="332">
        <v>268056</v>
      </c>
      <c r="T42" s="332">
        <v>2856</v>
      </c>
      <c r="U42" s="332">
        <v>16.8</v>
      </c>
    </row>
    <row r="43" spans="1:21" x14ac:dyDescent="0.25">
      <c r="A43" s="329">
        <v>4050</v>
      </c>
      <c r="B43" s="329">
        <v>7</v>
      </c>
      <c r="C43" s="335" t="s">
        <v>819</v>
      </c>
      <c r="D43" s="332">
        <v>0</v>
      </c>
      <c r="E43" s="332">
        <v>0</v>
      </c>
      <c r="F43" s="332">
        <v>18</v>
      </c>
      <c r="G43" s="332">
        <v>39</v>
      </c>
      <c r="H43" s="332">
        <v>28</v>
      </c>
      <c r="I43" s="332">
        <v>15</v>
      </c>
      <c r="J43" s="332">
        <f t="shared" si="1"/>
        <v>100</v>
      </c>
      <c r="K43" s="332">
        <v>146612.23000000001</v>
      </c>
      <c r="L43" s="332">
        <v>103.68</v>
      </c>
      <c r="M43" s="332">
        <v>94</v>
      </c>
      <c r="N43" s="332">
        <v>131951.01</v>
      </c>
      <c r="O43" s="332">
        <v>124416</v>
      </c>
      <c r="P43" s="332">
        <v>124416</v>
      </c>
      <c r="Q43" s="332">
        <v>131951.01</v>
      </c>
      <c r="R43" s="332">
        <v>123516</v>
      </c>
      <c r="S43" s="332">
        <v>123516</v>
      </c>
      <c r="T43" s="332">
        <v>-900</v>
      </c>
      <c r="U43" s="332">
        <v>-9</v>
      </c>
    </row>
    <row r="44" spans="1:21" x14ac:dyDescent="0.25">
      <c r="A44" s="329">
        <v>4053</v>
      </c>
      <c r="B44" s="329">
        <v>7</v>
      </c>
      <c r="C44" s="335" t="s">
        <v>653</v>
      </c>
      <c r="D44" s="332">
        <v>0</v>
      </c>
      <c r="E44" s="332">
        <v>0</v>
      </c>
      <c r="F44" s="332">
        <v>0</v>
      </c>
      <c r="G44" s="332">
        <v>0</v>
      </c>
      <c r="H44" s="332">
        <v>66</v>
      </c>
      <c r="I44" s="332">
        <v>287</v>
      </c>
      <c r="J44" s="332">
        <f t="shared" si="1"/>
        <v>353</v>
      </c>
      <c r="K44" s="332">
        <v>593060</v>
      </c>
      <c r="L44" s="332">
        <v>443.06</v>
      </c>
      <c r="M44" s="332">
        <v>410.4</v>
      </c>
      <c r="N44" s="332">
        <v>533754</v>
      </c>
      <c r="O44" s="332">
        <v>531672</v>
      </c>
      <c r="P44" s="332">
        <v>531672</v>
      </c>
      <c r="Q44" s="332">
        <v>533754</v>
      </c>
      <c r="R44" s="332">
        <v>539265.6</v>
      </c>
      <c r="S44" s="332">
        <v>533754</v>
      </c>
      <c r="T44" s="332">
        <v>2082</v>
      </c>
      <c r="U44" s="332">
        <v>5.8980169971671392</v>
      </c>
    </row>
    <row r="45" spans="1:21" x14ac:dyDescent="0.25">
      <c r="A45" s="329">
        <v>4054</v>
      </c>
      <c r="B45" s="329">
        <v>7</v>
      </c>
      <c r="C45" s="335" t="s">
        <v>624</v>
      </c>
      <c r="D45" s="332">
        <v>0</v>
      </c>
      <c r="E45" s="332">
        <v>3</v>
      </c>
      <c r="F45" s="332">
        <v>10</v>
      </c>
      <c r="G45" s="332">
        <v>17</v>
      </c>
      <c r="H45" s="332">
        <v>23</v>
      </c>
      <c r="I45" s="332">
        <v>7</v>
      </c>
      <c r="J45" s="332">
        <f t="shared" si="1"/>
        <v>60</v>
      </c>
      <c r="K45" s="332">
        <v>67500</v>
      </c>
      <c r="L45" s="332">
        <v>61.56</v>
      </c>
      <c r="M45" s="332">
        <v>56.4</v>
      </c>
      <c r="N45" s="332">
        <v>60750</v>
      </c>
      <c r="O45" s="332">
        <v>73872</v>
      </c>
      <c r="P45" s="332">
        <v>60750</v>
      </c>
      <c r="Q45" s="332">
        <v>60750</v>
      </c>
      <c r="R45" s="332">
        <v>74109.600000000006</v>
      </c>
      <c r="S45" s="332">
        <v>60750</v>
      </c>
      <c r="T45" s="332">
        <v>0</v>
      </c>
      <c r="U45" s="332">
        <v>0</v>
      </c>
    </row>
    <row r="46" spans="1:21" x14ac:dyDescent="0.25">
      <c r="A46" s="329">
        <v>4055</v>
      </c>
      <c r="B46" s="329">
        <v>7</v>
      </c>
      <c r="C46" s="335" t="s">
        <v>290</v>
      </c>
      <c r="D46" s="332">
        <v>0</v>
      </c>
      <c r="E46" s="332">
        <v>2</v>
      </c>
      <c r="F46" s="332">
        <v>22</v>
      </c>
      <c r="G46" s="332">
        <v>79</v>
      </c>
      <c r="H46" s="332">
        <v>51</v>
      </c>
      <c r="I46" s="332">
        <v>0</v>
      </c>
      <c r="J46" s="332">
        <f t="shared" si="1"/>
        <v>154</v>
      </c>
      <c r="K46" s="332">
        <v>210000</v>
      </c>
      <c r="L46" s="332">
        <v>157.61000000000001</v>
      </c>
      <c r="M46" s="332">
        <v>143</v>
      </c>
      <c r="N46" s="332">
        <v>189000</v>
      </c>
      <c r="O46" s="332">
        <v>189132</v>
      </c>
      <c r="P46" s="332">
        <v>189000</v>
      </c>
      <c r="Q46" s="332">
        <v>189000</v>
      </c>
      <c r="R46" s="332">
        <v>187902</v>
      </c>
      <c r="S46" s="332">
        <v>187902</v>
      </c>
      <c r="T46" s="332">
        <v>-1098</v>
      </c>
      <c r="U46" s="332">
        <v>-7.1298701298701301</v>
      </c>
    </row>
    <row r="47" spans="1:21" x14ac:dyDescent="0.25">
      <c r="A47" s="329">
        <v>4056</v>
      </c>
      <c r="B47" s="329">
        <v>7</v>
      </c>
      <c r="C47" s="335" t="s">
        <v>820</v>
      </c>
      <c r="D47" s="332">
        <v>0</v>
      </c>
      <c r="E47" s="332">
        <v>0</v>
      </c>
      <c r="F47" s="332">
        <v>0</v>
      </c>
      <c r="G47" s="332">
        <v>0</v>
      </c>
      <c r="H47" s="332">
        <v>0</v>
      </c>
      <c r="I47" s="332">
        <v>100</v>
      </c>
      <c r="J47" s="332">
        <f t="shared" si="1"/>
        <v>100</v>
      </c>
      <c r="K47" s="332">
        <v>218263.48</v>
      </c>
      <c r="L47" s="332">
        <v>130</v>
      </c>
      <c r="M47" s="332">
        <v>120</v>
      </c>
      <c r="N47" s="332">
        <v>196437.13</v>
      </c>
      <c r="O47" s="332">
        <v>156000</v>
      </c>
      <c r="P47" s="332">
        <v>156000</v>
      </c>
      <c r="Q47" s="332">
        <v>196437.13</v>
      </c>
      <c r="R47" s="332">
        <v>157680</v>
      </c>
      <c r="S47" s="332">
        <v>157680</v>
      </c>
      <c r="T47" s="332">
        <v>1680</v>
      </c>
      <c r="U47" s="332">
        <v>16.8</v>
      </c>
    </row>
    <row r="48" spans="1:21" x14ac:dyDescent="0.25">
      <c r="A48" s="329">
        <v>4057</v>
      </c>
      <c r="B48" s="329">
        <v>7</v>
      </c>
      <c r="C48" s="335" t="s">
        <v>493</v>
      </c>
      <c r="D48" s="332">
        <v>0</v>
      </c>
      <c r="E48" s="332">
        <v>0</v>
      </c>
      <c r="F48" s="332">
        <v>0</v>
      </c>
      <c r="G48" s="332">
        <v>0</v>
      </c>
      <c r="H48" s="332">
        <v>0</v>
      </c>
      <c r="I48" s="332">
        <v>85</v>
      </c>
      <c r="J48" s="332">
        <f t="shared" si="1"/>
        <v>85</v>
      </c>
      <c r="K48" s="332">
        <v>240000</v>
      </c>
      <c r="L48" s="332">
        <v>110.5</v>
      </c>
      <c r="M48" s="332">
        <v>102</v>
      </c>
      <c r="N48" s="332">
        <v>216000</v>
      </c>
      <c r="O48" s="332">
        <v>132600</v>
      </c>
      <c r="P48" s="332">
        <v>132600</v>
      </c>
      <c r="Q48" s="332">
        <v>216000</v>
      </c>
      <c r="R48" s="332">
        <v>134028</v>
      </c>
      <c r="S48" s="332">
        <v>134028</v>
      </c>
      <c r="T48" s="332">
        <v>1428</v>
      </c>
      <c r="U48" s="332">
        <v>16.8</v>
      </c>
    </row>
    <row r="49" spans="1:21" x14ac:dyDescent="0.25">
      <c r="A49" s="329">
        <v>4058</v>
      </c>
      <c r="B49" s="329">
        <v>7</v>
      </c>
      <c r="C49" s="335" t="s">
        <v>821</v>
      </c>
      <c r="D49" s="332">
        <v>0</v>
      </c>
      <c r="E49" s="332">
        <v>0</v>
      </c>
      <c r="F49" s="332">
        <v>17</v>
      </c>
      <c r="G49" s="332">
        <v>77</v>
      </c>
      <c r="H49" s="332">
        <v>64</v>
      </c>
      <c r="I49" s="332">
        <v>30</v>
      </c>
      <c r="J49" s="332">
        <f t="shared" si="1"/>
        <v>188</v>
      </c>
      <c r="K49" s="332">
        <v>200198.39999999999</v>
      </c>
      <c r="L49" s="332">
        <v>203.1</v>
      </c>
      <c r="M49" s="332">
        <v>185.5</v>
      </c>
      <c r="N49" s="332">
        <v>180178.56</v>
      </c>
      <c r="O49" s="332">
        <v>243720</v>
      </c>
      <c r="P49" s="332">
        <v>180178.56</v>
      </c>
      <c r="Q49" s="332">
        <v>180178.56</v>
      </c>
      <c r="R49" s="332">
        <v>243747</v>
      </c>
      <c r="S49" s="332">
        <v>180178.56</v>
      </c>
      <c r="T49" s="332">
        <v>0</v>
      </c>
      <c r="U49" s="332">
        <v>0</v>
      </c>
    </row>
    <row r="50" spans="1:21" x14ac:dyDescent="0.25">
      <c r="A50" s="329">
        <v>4059</v>
      </c>
      <c r="B50" s="329">
        <v>7</v>
      </c>
      <c r="C50" s="335" t="s">
        <v>822</v>
      </c>
      <c r="D50" s="332">
        <v>0</v>
      </c>
      <c r="E50" s="332">
        <v>0</v>
      </c>
      <c r="F50" s="332">
        <v>18</v>
      </c>
      <c r="G50" s="332">
        <v>65</v>
      </c>
      <c r="H50" s="332">
        <v>40</v>
      </c>
      <c r="I50" s="332">
        <v>15</v>
      </c>
      <c r="J50" s="332">
        <f t="shared" si="1"/>
        <v>138</v>
      </c>
      <c r="K50" s="332">
        <v>174132.99</v>
      </c>
      <c r="L50" s="332">
        <v>145.38999999999999</v>
      </c>
      <c r="M50" s="332">
        <v>132</v>
      </c>
      <c r="N50" s="332">
        <v>156719.69</v>
      </c>
      <c r="O50" s="332">
        <v>174468</v>
      </c>
      <c r="P50" s="332">
        <v>156719.69</v>
      </c>
      <c r="Q50" s="332">
        <v>156719.69</v>
      </c>
      <c r="R50" s="332">
        <v>173448</v>
      </c>
      <c r="S50" s="332">
        <v>156719.69</v>
      </c>
      <c r="T50" s="332">
        <v>0</v>
      </c>
      <c r="U50" s="332">
        <v>0</v>
      </c>
    </row>
    <row r="51" spans="1:21" x14ac:dyDescent="0.25">
      <c r="A51" s="329">
        <v>4064</v>
      </c>
      <c r="B51" s="329">
        <v>7</v>
      </c>
      <c r="C51" s="335" t="s">
        <v>823</v>
      </c>
      <c r="D51" s="332">
        <v>0</v>
      </c>
      <c r="E51" s="332">
        <v>0</v>
      </c>
      <c r="F51" s="332">
        <v>12</v>
      </c>
      <c r="G51" s="332">
        <v>28</v>
      </c>
      <c r="H51" s="332">
        <v>14</v>
      </c>
      <c r="I51" s="332">
        <v>44</v>
      </c>
      <c r="J51" s="332">
        <f t="shared" si="1"/>
        <v>98</v>
      </c>
      <c r="K51" s="332">
        <v>116782.53</v>
      </c>
      <c r="L51" s="332">
        <v>110.6</v>
      </c>
      <c r="M51" s="332">
        <v>100.8</v>
      </c>
      <c r="N51" s="332">
        <v>105104.28</v>
      </c>
      <c r="O51" s="332">
        <v>132720</v>
      </c>
      <c r="P51" s="332">
        <v>105104.28</v>
      </c>
      <c r="Q51" s="332">
        <v>105104.28</v>
      </c>
      <c r="R51" s="332">
        <v>132451.20000000001</v>
      </c>
      <c r="S51" s="332">
        <v>105104.28</v>
      </c>
      <c r="T51" s="332">
        <v>0</v>
      </c>
      <c r="U51" s="332">
        <v>0</v>
      </c>
    </row>
    <row r="52" spans="1:21" x14ac:dyDescent="0.25">
      <c r="A52" s="329">
        <v>4066</v>
      </c>
      <c r="B52" s="329">
        <v>7</v>
      </c>
      <c r="C52" s="335" t="s">
        <v>692</v>
      </c>
      <c r="D52" s="332">
        <v>0</v>
      </c>
      <c r="E52" s="332">
        <v>0</v>
      </c>
      <c r="F52" s="332">
        <v>0</v>
      </c>
      <c r="G52" s="332">
        <v>0</v>
      </c>
      <c r="H52" s="332">
        <v>6</v>
      </c>
      <c r="I52" s="332">
        <v>79</v>
      </c>
      <c r="J52" s="332">
        <f t="shared" si="1"/>
        <v>85</v>
      </c>
      <c r="K52" s="332">
        <v>138000</v>
      </c>
      <c r="L52" s="332">
        <v>109.06</v>
      </c>
      <c r="M52" s="332">
        <v>100.8</v>
      </c>
      <c r="N52" s="332">
        <v>124200</v>
      </c>
      <c r="O52" s="332">
        <v>130872</v>
      </c>
      <c r="P52" s="332">
        <v>124200</v>
      </c>
      <c r="Q52" s="332">
        <v>124200</v>
      </c>
      <c r="R52" s="332">
        <v>132451.20000000001</v>
      </c>
      <c r="S52" s="332">
        <v>124200</v>
      </c>
      <c r="T52" s="332">
        <v>0</v>
      </c>
      <c r="U52" s="332">
        <v>0</v>
      </c>
    </row>
    <row r="53" spans="1:21" x14ac:dyDescent="0.25">
      <c r="A53" s="329">
        <v>4067</v>
      </c>
      <c r="B53" s="329">
        <v>7</v>
      </c>
      <c r="C53" s="335" t="s">
        <v>693</v>
      </c>
      <c r="D53" s="332">
        <v>0</v>
      </c>
      <c r="E53" s="332">
        <v>0</v>
      </c>
      <c r="F53" s="332">
        <v>40</v>
      </c>
      <c r="G53" s="332">
        <v>110</v>
      </c>
      <c r="H53" s="332">
        <v>97</v>
      </c>
      <c r="I53" s="332">
        <v>60</v>
      </c>
      <c r="J53" s="332">
        <f t="shared" si="1"/>
        <v>307</v>
      </c>
      <c r="K53" s="332">
        <v>315396.26</v>
      </c>
      <c r="L53" s="332">
        <v>327.95</v>
      </c>
      <c r="M53" s="332">
        <v>299</v>
      </c>
      <c r="N53" s="332">
        <v>283856.63</v>
      </c>
      <c r="O53" s="332">
        <v>393540</v>
      </c>
      <c r="P53" s="332">
        <v>283856.63</v>
      </c>
      <c r="Q53" s="332">
        <v>283856.63</v>
      </c>
      <c r="R53" s="332">
        <v>392886</v>
      </c>
      <c r="S53" s="332">
        <v>283856.63</v>
      </c>
      <c r="T53" s="332">
        <v>0</v>
      </c>
      <c r="U53" s="332">
        <v>0</v>
      </c>
    </row>
    <row r="54" spans="1:21" x14ac:dyDescent="0.25">
      <c r="A54" s="329">
        <v>4068</v>
      </c>
      <c r="B54" s="329">
        <v>7</v>
      </c>
      <c r="C54" s="335" t="s">
        <v>694</v>
      </c>
      <c r="D54" s="332">
        <v>0</v>
      </c>
      <c r="E54" s="332">
        <v>0</v>
      </c>
      <c r="F54" s="332">
        <v>80</v>
      </c>
      <c r="G54" s="332">
        <v>180</v>
      </c>
      <c r="H54" s="332">
        <v>125</v>
      </c>
      <c r="I54" s="332">
        <v>80</v>
      </c>
      <c r="J54" s="332">
        <f t="shared" si="1"/>
        <v>465</v>
      </c>
      <c r="K54" s="332">
        <v>886443.20000000007</v>
      </c>
      <c r="L54" s="332">
        <v>486.16</v>
      </c>
      <c r="M54" s="332">
        <v>441</v>
      </c>
      <c r="N54" s="332">
        <v>797798.88</v>
      </c>
      <c r="O54" s="332">
        <v>583392</v>
      </c>
      <c r="P54" s="332">
        <v>583392</v>
      </c>
      <c r="Q54" s="332">
        <v>797798.88</v>
      </c>
      <c r="R54" s="332">
        <v>579474</v>
      </c>
      <c r="S54" s="332">
        <v>579474</v>
      </c>
      <c r="T54" s="332">
        <v>-3918</v>
      </c>
      <c r="U54" s="332">
        <v>-8.4258064516129032</v>
      </c>
    </row>
    <row r="55" spans="1:21" x14ac:dyDescent="0.25">
      <c r="A55" s="329">
        <v>4070</v>
      </c>
      <c r="B55" s="329">
        <v>7</v>
      </c>
      <c r="C55" s="335" t="s">
        <v>419</v>
      </c>
      <c r="D55" s="332">
        <v>0</v>
      </c>
      <c r="E55" s="332">
        <v>0</v>
      </c>
      <c r="F55" s="332">
        <v>60</v>
      </c>
      <c r="G55" s="332">
        <v>179</v>
      </c>
      <c r="H55" s="332">
        <v>165</v>
      </c>
      <c r="I55" s="332">
        <v>71</v>
      </c>
      <c r="J55" s="332">
        <f t="shared" si="1"/>
        <v>475</v>
      </c>
      <c r="K55" s="332">
        <v>1018000</v>
      </c>
      <c r="L55" s="332">
        <v>503.51</v>
      </c>
      <c r="M55" s="332">
        <v>459.2</v>
      </c>
      <c r="N55" s="332">
        <v>916200</v>
      </c>
      <c r="O55" s="332">
        <v>604212</v>
      </c>
      <c r="P55" s="332">
        <v>604212</v>
      </c>
      <c r="Q55" s="332">
        <v>916200</v>
      </c>
      <c r="R55" s="332">
        <v>603388.80000000005</v>
      </c>
      <c r="S55" s="332">
        <v>603388.80000000005</v>
      </c>
      <c r="T55" s="332">
        <v>-823.19999999995343</v>
      </c>
      <c r="U55" s="332">
        <v>-1.7330526315788493</v>
      </c>
    </row>
    <row r="56" spans="1:21" x14ac:dyDescent="0.25">
      <c r="A56" s="329">
        <v>4073</v>
      </c>
      <c r="B56" s="329">
        <v>7</v>
      </c>
      <c r="C56" s="335" t="s">
        <v>824</v>
      </c>
      <c r="D56" s="332">
        <v>0</v>
      </c>
      <c r="E56" s="332">
        <v>0</v>
      </c>
      <c r="F56" s="332">
        <v>60</v>
      </c>
      <c r="G56" s="332">
        <v>166</v>
      </c>
      <c r="H56" s="332">
        <v>144</v>
      </c>
      <c r="I56" s="332">
        <v>0</v>
      </c>
      <c r="J56" s="332">
        <f t="shared" si="1"/>
        <v>370</v>
      </c>
      <c r="K56" s="332">
        <v>623933</v>
      </c>
      <c r="L56" s="332">
        <v>374.45</v>
      </c>
      <c r="M56" s="332">
        <v>340</v>
      </c>
      <c r="N56" s="332">
        <v>561539.69999999995</v>
      </c>
      <c r="O56" s="332">
        <v>449340</v>
      </c>
      <c r="P56" s="332">
        <v>449340</v>
      </c>
      <c r="Q56" s="332">
        <v>561539.69999999995</v>
      </c>
      <c r="R56" s="332">
        <v>446760</v>
      </c>
      <c r="S56" s="332">
        <v>446760</v>
      </c>
      <c r="T56" s="332">
        <v>-2580</v>
      </c>
      <c r="U56" s="332">
        <v>-6.9729729729729728</v>
      </c>
    </row>
    <row r="57" spans="1:21" x14ac:dyDescent="0.25">
      <c r="A57" s="329">
        <v>4074</v>
      </c>
      <c r="B57" s="329">
        <v>7</v>
      </c>
      <c r="C57" s="335" t="s">
        <v>825</v>
      </c>
      <c r="D57" s="332">
        <v>0</v>
      </c>
      <c r="E57" s="332">
        <v>0</v>
      </c>
      <c r="F57" s="332">
        <v>0</v>
      </c>
      <c r="G57" s="332">
        <v>0</v>
      </c>
      <c r="H57" s="332">
        <v>0</v>
      </c>
      <c r="I57" s="332">
        <v>300</v>
      </c>
      <c r="J57" s="332">
        <f t="shared" si="1"/>
        <v>300</v>
      </c>
      <c r="K57" s="332">
        <v>768312.5</v>
      </c>
      <c r="L57" s="332">
        <v>390</v>
      </c>
      <c r="M57" s="332">
        <v>360</v>
      </c>
      <c r="N57" s="332">
        <v>691481.25</v>
      </c>
      <c r="O57" s="332">
        <v>468000</v>
      </c>
      <c r="P57" s="332">
        <v>468000</v>
      </c>
      <c r="Q57" s="332">
        <v>691481.25</v>
      </c>
      <c r="R57" s="332">
        <v>473040</v>
      </c>
      <c r="S57" s="332">
        <v>473040</v>
      </c>
      <c r="T57" s="332">
        <v>5040</v>
      </c>
      <c r="U57" s="332">
        <v>16.8</v>
      </c>
    </row>
    <row r="58" spans="1:21" x14ac:dyDescent="0.25">
      <c r="A58" s="329">
        <v>4075</v>
      </c>
      <c r="B58" s="329">
        <v>7</v>
      </c>
      <c r="C58" s="335" t="s">
        <v>645</v>
      </c>
      <c r="D58" s="332">
        <v>0</v>
      </c>
      <c r="E58" s="332">
        <v>0</v>
      </c>
      <c r="F58" s="332">
        <v>0</v>
      </c>
      <c r="G58" s="332">
        <v>0</v>
      </c>
      <c r="H58" s="332">
        <v>0</v>
      </c>
      <c r="I58" s="332">
        <v>190</v>
      </c>
      <c r="J58" s="332">
        <f t="shared" si="1"/>
        <v>190</v>
      </c>
      <c r="K58" s="332">
        <v>303237.34999999998</v>
      </c>
      <c r="L58" s="332">
        <v>247</v>
      </c>
      <c r="M58" s="332">
        <v>228</v>
      </c>
      <c r="N58" s="332">
        <v>272913.62</v>
      </c>
      <c r="O58" s="332">
        <v>296400</v>
      </c>
      <c r="P58" s="332">
        <v>272913.62</v>
      </c>
      <c r="Q58" s="332">
        <v>272913.62</v>
      </c>
      <c r="R58" s="332">
        <v>299592</v>
      </c>
      <c r="S58" s="332">
        <v>272913.62</v>
      </c>
      <c r="T58" s="332">
        <v>0</v>
      </c>
      <c r="U58" s="332">
        <v>0</v>
      </c>
    </row>
    <row r="59" spans="1:21" x14ac:dyDescent="0.25">
      <c r="A59" s="329">
        <v>4077</v>
      </c>
      <c r="B59" s="329">
        <v>7</v>
      </c>
      <c r="C59" s="335" t="s">
        <v>826</v>
      </c>
      <c r="D59" s="332">
        <v>0</v>
      </c>
      <c r="E59" s="332">
        <v>1</v>
      </c>
      <c r="F59" s="332">
        <v>116</v>
      </c>
      <c r="G59" s="332">
        <v>347</v>
      </c>
      <c r="H59" s="332">
        <v>117</v>
      </c>
      <c r="I59" s="332">
        <v>0</v>
      </c>
      <c r="J59" s="332">
        <f t="shared" si="1"/>
        <v>581</v>
      </c>
      <c r="K59" s="332">
        <v>715607.4</v>
      </c>
      <c r="L59" s="332">
        <v>582.91999999999996</v>
      </c>
      <c r="M59" s="332">
        <v>523</v>
      </c>
      <c r="N59" s="332">
        <v>644046.66</v>
      </c>
      <c r="O59" s="332">
        <v>699504</v>
      </c>
      <c r="P59" s="332">
        <v>644046.66</v>
      </c>
      <c r="Q59" s="332">
        <v>644046.66</v>
      </c>
      <c r="R59" s="332">
        <v>687222</v>
      </c>
      <c r="S59" s="332">
        <v>644046.66</v>
      </c>
      <c r="T59" s="332">
        <v>0</v>
      </c>
      <c r="U59" s="332">
        <v>0</v>
      </c>
    </row>
    <row r="60" spans="1:21" x14ac:dyDescent="0.25">
      <c r="A60" s="329">
        <v>4078</v>
      </c>
      <c r="B60" s="329">
        <v>7</v>
      </c>
      <c r="C60" s="302" t="s">
        <v>827</v>
      </c>
      <c r="D60" s="332">
        <v>0</v>
      </c>
      <c r="E60" s="332">
        <v>0</v>
      </c>
      <c r="F60" s="332">
        <v>0</v>
      </c>
      <c r="G60" s="332">
        <v>0</v>
      </c>
      <c r="H60" s="332">
        <v>200</v>
      </c>
      <c r="I60" s="332">
        <v>180</v>
      </c>
      <c r="J60" s="332">
        <f t="shared" si="1"/>
        <v>380</v>
      </c>
      <c r="K60" s="332">
        <v>511833.59999999998</v>
      </c>
      <c r="L60" s="332">
        <v>446</v>
      </c>
      <c r="M60" s="332">
        <v>416</v>
      </c>
      <c r="N60" s="332">
        <v>460650.23999999999</v>
      </c>
      <c r="O60" s="332">
        <v>535200</v>
      </c>
      <c r="P60" s="332">
        <v>460650.23999999999</v>
      </c>
      <c r="Q60" s="332">
        <v>460650.23999999999</v>
      </c>
      <c r="R60" s="332">
        <v>546624</v>
      </c>
      <c r="S60" s="332">
        <v>460650.23999999999</v>
      </c>
      <c r="T60" s="332">
        <v>0</v>
      </c>
      <c r="U60" s="332">
        <v>0</v>
      </c>
    </row>
    <row r="61" spans="1:21" x14ac:dyDescent="0.25">
      <c r="A61" s="329">
        <v>4079</v>
      </c>
      <c r="B61" s="329">
        <v>7</v>
      </c>
      <c r="C61" s="335" t="s">
        <v>828</v>
      </c>
      <c r="D61" s="332">
        <v>0</v>
      </c>
      <c r="E61" s="332">
        <v>0</v>
      </c>
      <c r="F61" s="332">
        <v>23</v>
      </c>
      <c r="G61" s="332">
        <v>58</v>
      </c>
      <c r="H61" s="332">
        <v>39</v>
      </c>
      <c r="I61" s="332">
        <v>0</v>
      </c>
      <c r="J61" s="332">
        <f t="shared" si="1"/>
        <v>120</v>
      </c>
      <c r="K61" s="332">
        <v>87420.72</v>
      </c>
      <c r="L61" s="332">
        <v>120.09</v>
      </c>
      <c r="M61" s="332">
        <v>108.5</v>
      </c>
      <c r="N61" s="332">
        <v>78678.649999999994</v>
      </c>
      <c r="O61" s="332">
        <v>144108</v>
      </c>
      <c r="P61" s="332">
        <v>78678.649999999994</v>
      </c>
      <c r="Q61" s="332">
        <v>78678.649999999994</v>
      </c>
      <c r="R61" s="332">
        <v>142569</v>
      </c>
      <c r="S61" s="332">
        <v>78678.649999999994</v>
      </c>
      <c r="T61" s="332">
        <v>0</v>
      </c>
      <c r="U61" s="332">
        <v>0</v>
      </c>
    </row>
    <row r="62" spans="1:21" x14ac:dyDescent="0.25">
      <c r="A62" s="329">
        <v>4080</v>
      </c>
      <c r="B62" s="329">
        <v>7</v>
      </c>
      <c r="C62" s="335" t="s">
        <v>683</v>
      </c>
      <c r="D62" s="332">
        <v>0</v>
      </c>
      <c r="E62" s="332">
        <v>0</v>
      </c>
      <c r="F62" s="332">
        <v>0</v>
      </c>
      <c r="G62" s="332">
        <v>0</v>
      </c>
      <c r="H62" s="332">
        <v>0</v>
      </c>
      <c r="I62" s="332">
        <v>40</v>
      </c>
      <c r="J62" s="332">
        <f t="shared" si="1"/>
        <v>40</v>
      </c>
      <c r="K62" s="332">
        <v>79617.48</v>
      </c>
      <c r="L62" s="332">
        <v>52</v>
      </c>
      <c r="M62" s="332">
        <v>48</v>
      </c>
      <c r="N62" s="332">
        <v>71655.73</v>
      </c>
      <c r="O62" s="332">
        <v>62400</v>
      </c>
      <c r="P62" s="332">
        <v>62400</v>
      </c>
      <c r="Q62" s="332">
        <v>71655.73</v>
      </c>
      <c r="R62" s="332">
        <v>63072</v>
      </c>
      <c r="S62" s="332">
        <v>63072</v>
      </c>
      <c r="T62" s="332">
        <v>672</v>
      </c>
      <c r="U62" s="332">
        <v>16.8</v>
      </c>
    </row>
    <row r="63" spans="1:21" x14ac:dyDescent="0.25">
      <c r="A63" s="329">
        <v>4081</v>
      </c>
      <c r="B63" s="329">
        <v>7</v>
      </c>
      <c r="C63" s="335" t="s">
        <v>829</v>
      </c>
      <c r="D63" s="332">
        <v>0</v>
      </c>
      <c r="E63" s="332">
        <v>0</v>
      </c>
      <c r="F63" s="332">
        <v>0</v>
      </c>
      <c r="G63" s="332">
        <v>0</v>
      </c>
      <c r="H63" s="332">
        <v>2</v>
      </c>
      <c r="I63" s="332">
        <v>57</v>
      </c>
      <c r="J63" s="332">
        <f t="shared" si="1"/>
        <v>59</v>
      </c>
      <c r="K63" s="332">
        <v>73600</v>
      </c>
      <c r="L63" s="332">
        <v>76.22</v>
      </c>
      <c r="M63" s="332">
        <v>70.400000000000006</v>
      </c>
      <c r="N63" s="332">
        <v>66240</v>
      </c>
      <c r="O63" s="332">
        <v>91464</v>
      </c>
      <c r="P63" s="332">
        <v>66240</v>
      </c>
      <c r="Q63" s="332">
        <v>66240</v>
      </c>
      <c r="R63" s="332">
        <v>92505.600000000006</v>
      </c>
      <c r="S63" s="332">
        <v>66240</v>
      </c>
      <c r="T63" s="332">
        <v>0</v>
      </c>
      <c r="U63" s="332">
        <v>0</v>
      </c>
    </row>
    <row r="64" spans="1:21" x14ac:dyDescent="0.25">
      <c r="A64" s="329">
        <v>4082</v>
      </c>
      <c r="B64" s="329">
        <v>7</v>
      </c>
      <c r="C64" s="335" t="s">
        <v>609</v>
      </c>
      <c r="D64" s="332">
        <v>0</v>
      </c>
      <c r="E64" s="332">
        <v>0</v>
      </c>
      <c r="F64" s="332">
        <v>0</v>
      </c>
      <c r="G64" s="332">
        <v>0</v>
      </c>
      <c r="H64" s="332">
        <v>0</v>
      </c>
      <c r="I64" s="332">
        <v>500</v>
      </c>
      <c r="J64" s="332">
        <f t="shared" si="1"/>
        <v>500</v>
      </c>
      <c r="K64" s="332">
        <v>200178.64</v>
      </c>
      <c r="L64" s="332">
        <v>650</v>
      </c>
      <c r="M64" s="332">
        <v>600</v>
      </c>
      <c r="N64" s="332">
        <v>180160.78</v>
      </c>
      <c r="O64" s="332">
        <v>780000</v>
      </c>
      <c r="P64" s="332">
        <v>180160.78</v>
      </c>
      <c r="Q64" s="332">
        <v>180160.78</v>
      </c>
      <c r="R64" s="332">
        <v>788400</v>
      </c>
      <c r="S64" s="332">
        <v>180160.78</v>
      </c>
      <c r="T64" s="332">
        <v>0</v>
      </c>
      <c r="U64" s="332">
        <v>0</v>
      </c>
    </row>
    <row r="65" spans="1:21" x14ac:dyDescent="0.25">
      <c r="A65" s="329">
        <v>4083</v>
      </c>
      <c r="B65" s="329">
        <v>7</v>
      </c>
      <c r="C65" s="335" t="s">
        <v>443</v>
      </c>
      <c r="D65" s="332">
        <v>0</v>
      </c>
      <c r="E65" s="332">
        <v>0</v>
      </c>
      <c r="F65" s="332">
        <v>18</v>
      </c>
      <c r="G65" s="332">
        <v>53</v>
      </c>
      <c r="H65" s="332">
        <v>28</v>
      </c>
      <c r="I65" s="332">
        <v>0</v>
      </c>
      <c r="J65" s="332">
        <f t="shared" si="1"/>
        <v>99</v>
      </c>
      <c r="K65" s="332">
        <v>133133</v>
      </c>
      <c r="L65" s="332">
        <v>99.79</v>
      </c>
      <c r="M65" s="332">
        <v>90</v>
      </c>
      <c r="N65" s="332">
        <v>119819.7</v>
      </c>
      <c r="O65" s="332">
        <v>119748</v>
      </c>
      <c r="P65" s="332">
        <v>119748</v>
      </c>
      <c r="Q65" s="332">
        <v>119819.7</v>
      </c>
      <c r="R65" s="332">
        <v>118260</v>
      </c>
      <c r="S65" s="332">
        <v>118260</v>
      </c>
      <c r="T65" s="332">
        <v>-1488</v>
      </c>
      <c r="U65" s="332">
        <v>-15.030303030303031</v>
      </c>
    </row>
    <row r="66" spans="1:21" x14ac:dyDescent="0.25">
      <c r="A66" s="329">
        <v>4084</v>
      </c>
      <c r="B66" s="329">
        <v>7</v>
      </c>
      <c r="C66" s="335" t="s">
        <v>518</v>
      </c>
      <c r="D66" s="332">
        <v>0</v>
      </c>
      <c r="E66" s="332">
        <v>0</v>
      </c>
      <c r="F66" s="332">
        <v>52</v>
      </c>
      <c r="G66" s="332">
        <v>154</v>
      </c>
      <c r="H66" s="332">
        <v>135</v>
      </c>
      <c r="I66" s="332">
        <v>0</v>
      </c>
      <c r="J66" s="332">
        <f t="shared" si="1"/>
        <v>341</v>
      </c>
      <c r="K66" s="332">
        <v>433000</v>
      </c>
      <c r="L66" s="332">
        <v>346.63</v>
      </c>
      <c r="M66" s="332">
        <v>315</v>
      </c>
      <c r="N66" s="332">
        <v>389700</v>
      </c>
      <c r="O66" s="332">
        <v>415956</v>
      </c>
      <c r="P66" s="332">
        <v>389700</v>
      </c>
      <c r="Q66" s="332">
        <v>389700</v>
      </c>
      <c r="R66" s="332">
        <v>413910</v>
      </c>
      <c r="S66" s="332">
        <v>389700</v>
      </c>
      <c r="T66" s="332">
        <v>0</v>
      </c>
      <c r="U66" s="332">
        <v>0</v>
      </c>
    </row>
    <row r="67" spans="1:21" x14ac:dyDescent="0.25">
      <c r="A67" s="329">
        <v>4085</v>
      </c>
      <c r="B67" s="329">
        <v>7</v>
      </c>
      <c r="C67" s="335" t="s">
        <v>830</v>
      </c>
      <c r="D67" s="332">
        <v>0</v>
      </c>
      <c r="E67" s="332">
        <v>0</v>
      </c>
      <c r="F67" s="332">
        <v>0</v>
      </c>
      <c r="G67" s="332">
        <v>0</v>
      </c>
      <c r="H67" s="332">
        <v>0</v>
      </c>
      <c r="I67" s="332">
        <v>160</v>
      </c>
      <c r="J67" s="332">
        <f t="shared" si="1"/>
        <v>160</v>
      </c>
      <c r="K67" s="332">
        <v>365859.36</v>
      </c>
      <c r="L67" s="332">
        <v>208</v>
      </c>
      <c r="M67" s="332">
        <v>192</v>
      </c>
      <c r="N67" s="332">
        <v>329273.42</v>
      </c>
      <c r="O67" s="332">
        <v>249600</v>
      </c>
      <c r="P67" s="332">
        <v>249600</v>
      </c>
      <c r="Q67" s="332">
        <v>329273.42</v>
      </c>
      <c r="R67" s="332">
        <v>252288</v>
      </c>
      <c r="S67" s="332">
        <v>252288</v>
      </c>
      <c r="T67" s="332">
        <v>2688</v>
      </c>
      <c r="U67" s="332">
        <v>16.8</v>
      </c>
    </row>
    <row r="68" spans="1:21" x14ac:dyDescent="0.25">
      <c r="A68" s="329">
        <v>4086</v>
      </c>
      <c r="B68" s="329">
        <v>7</v>
      </c>
      <c r="C68" s="335" t="s">
        <v>831</v>
      </c>
      <c r="D68" s="332">
        <v>0</v>
      </c>
      <c r="E68" s="332">
        <v>3</v>
      </c>
      <c r="F68" s="332">
        <v>40</v>
      </c>
      <c r="G68" s="332">
        <v>90</v>
      </c>
      <c r="H68" s="332">
        <v>78</v>
      </c>
      <c r="I68" s="332">
        <v>58</v>
      </c>
      <c r="J68" s="332">
        <f t="shared" si="1"/>
        <v>269</v>
      </c>
      <c r="K68" s="332">
        <v>433225</v>
      </c>
      <c r="L68" s="332">
        <v>285.91000000000003</v>
      </c>
      <c r="M68" s="332">
        <v>260.60000000000002</v>
      </c>
      <c r="N68" s="332">
        <v>389902.5</v>
      </c>
      <c r="O68" s="332">
        <v>343092</v>
      </c>
      <c r="P68" s="332">
        <v>343092</v>
      </c>
      <c r="Q68" s="332">
        <v>389902.5</v>
      </c>
      <c r="R68" s="332">
        <v>342428.4</v>
      </c>
      <c r="S68" s="332">
        <v>342428.4</v>
      </c>
      <c r="T68" s="332">
        <v>-663.59999999997672</v>
      </c>
      <c r="U68" s="332">
        <v>-2.4669144981411772</v>
      </c>
    </row>
    <row r="69" spans="1:21" x14ac:dyDescent="0.25">
      <c r="A69" s="329">
        <v>4087</v>
      </c>
      <c r="B69" s="329">
        <v>7</v>
      </c>
      <c r="C69" s="335" t="s">
        <v>698</v>
      </c>
      <c r="D69" s="332">
        <v>0</v>
      </c>
      <c r="E69" s="332">
        <v>0</v>
      </c>
      <c r="F69" s="332">
        <v>0</v>
      </c>
      <c r="G69" s="332">
        <v>0</v>
      </c>
      <c r="H69" s="332">
        <v>0</v>
      </c>
      <c r="I69" s="332">
        <v>75</v>
      </c>
      <c r="J69" s="332">
        <f t="shared" si="1"/>
        <v>75</v>
      </c>
      <c r="K69" s="332">
        <v>201417.16</v>
      </c>
      <c r="L69" s="332">
        <v>97.5</v>
      </c>
      <c r="M69" s="332">
        <v>90</v>
      </c>
      <c r="N69" s="332">
        <v>181275.44</v>
      </c>
      <c r="O69" s="332">
        <v>117000</v>
      </c>
      <c r="P69" s="332">
        <v>117000</v>
      </c>
      <c r="Q69" s="332">
        <v>181275.44</v>
      </c>
      <c r="R69" s="332">
        <v>118260</v>
      </c>
      <c r="S69" s="332">
        <v>118260</v>
      </c>
      <c r="T69" s="332">
        <v>1260</v>
      </c>
      <c r="U69" s="332">
        <v>16.8</v>
      </c>
    </row>
    <row r="70" spans="1:21" x14ac:dyDescent="0.25">
      <c r="A70" s="329">
        <v>4088</v>
      </c>
      <c r="B70" s="329">
        <v>7</v>
      </c>
      <c r="C70" s="335" t="s">
        <v>699</v>
      </c>
      <c r="D70" s="332">
        <v>0</v>
      </c>
      <c r="E70" s="332">
        <v>1</v>
      </c>
      <c r="F70" s="332">
        <v>39</v>
      </c>
      <c r="G70" s="332">
        <v>124</v>
      </c>
      <c r="H70" s="332">
        <v>105</v>
      </c>
      <c r="I70" s="332">
        <v>0</v>
      </c>
      <c r="J70" s="332">
        <f t="shared" si="1"/>
        <v>269</v>
      </c>
      <c r="K70" s="332">
        <v>500773.27</v>
      </c>
      <c r="L70" s="332">
        <v>274.43</v>
      </c>
      <c r="M70" s="332">
        <v>249.5</v>
      </c>
      <c r="N70" s="332">
        <v>450695.94</v>
      </c>
      <c r="O70" s="332">
        <v>329316</v>
      </c>
      <c r="P70" s="332">
        <v>329316</v>
      </c>
      <c r="Q70" s="332">
        <v>450695.94</v>
      </c>
      <c r="R70" s="332">
        <v>327843</v>
      </c>
      <c r="S70" s="332">
        <v>327843</v>
      </c>
      <c r="T70" s="332">
        <v>-1473</v>
      </c>
      <c r="U70" s="332">
        <v>-5.4758364312267656</v>
      </c>
    </row>
    <row r="71" spans="1:21" x14ac:dyDescent="0.25">
      <c r="A71" s="329">
        <v>4089</v>
      </c>
      <c r="B71" s="329">
        <v>7</v>
      </c>
      <c r="C71" s="335" t="s">
        <v>661</v>
      </c>
      <c r="D71" s="332">
        <v>0</v>
      </c>
      <c r="E71" s="332">
        <v>0</v>
      </c>
      <c r="F71" s="332">
        <v>15</v>
      </c>
      <c r="G71" s="332">
        <v>46</v>
      </c>
      <c r="H71" s="332">
        <v>34</v>
      </c>
      <c r="I71" s="332">
        <v>31</v>
      </c>
      <c r="J71" s="332">
        <f t="shared" si="1"/>
        <v>126</v>
      </c>
      <c r="K71" s="332">
        <v>133000</v>
      </c>
      <c r="L71" s="332">
        <v>136.81</v>
      </c>
      <c r="M71" s="332">
        <v>124.7</v>
      </c>
      <c r="N71" s="332">
        <v>119700</v>
      </c>
      <c r="O71" s="332">
        <v>164172</v>
      </c>
      <c r="P71" s="332">
        <v>119700</v>
      </c>
      <c r="Q71" s="332">
        <v>119700</v>
      </c>
      <c r="R71" s="332">
        <v>163855.79999999999</v>
      </c>
      <c r="S71" s="332">
        <v>119700</v>
      </c>
      <c r="T71" s="332">
        <v>0</v>
      </c>
      <c r="U71" s="332">
        <v>0</v>
      </c>
    </row>
    <row r="72" spans="1:21" x14ac:dyDescent="0.25">
      <c r="A72" s="329">
        <v>4090</v>
      </c>
      <c r="B72" s="329">
        <v>7</v>
      </c>
      <c r="C72" s="335" t="s">
        <v>480</v>
      </c>
      <c r="D72" s="332">
        <v>0</v>
      </c>
      <c r="E72" s="332">
        <v>2</v>
      </c>
      <c r="F72" s="332">
        <v>28</v>
      </c>
      <c r="G72" s="332">
        <v>90</v>
      </c>
      <c r="H72" s="332">
        <v>60</v>
      </c>
      <c r="I72" s="332">
        <v>0</v>
      </c>
      <c r="J72" s="332">
        <f t="shared" si="1"/>
        <v>180</v>
      </c>
      <c r="K72" s="332">
        <v>236250</v>
      </c>
      <c r="L72" s="332">
        <v>183.09</v>
      </c>
      <c r="M72" s="332">
        <v>166</v>
      </c>
      <c r="N72" s="332">
        <v>212625</v>
      </c>
      <c r="O72" s="332">
        <v>219708</v>
      </c>
      <c r="P72" s="332">
        <v>212625</v>
      </c>
      <c r="Q72" s="332">
        <v>212625</v>
      </c>
      <c r="R72" s="332">
        <v>218124</v>
      </c>
      <c r="S72" s="332">
        <v>212625</v>
      </c>
      <c r="T72" s="332">
        <v>0</v>
      </c>
      <c r="U72" s="332">
        <v>0</v>
      </c>
    </row>
    <row r="73" spans="1:21" x14ac:dyDescent="0.25">
      <c r="A73" s="329">
        <v>4091</v>
      </c>
      <c r="B73" s="329">
        <v>7</v>
      </c>
      <c r="C73" s="335" t="s">
        <v>700</v>
      </c>
      <c r="D73" s="332">
        <v>0</v>
      </c>
      <c r="E73" s="332">
        <v>0</v>
      </c>
      <c r="F73" s="332">
        <v>0</v>
      </c>
      <c r="G73" s="332">
        <v>0</v>
      </c>
      <c r="H73" s="332">
        <v>18</v>
      </c>
      <c r="I73" s="332">
        <v>102</v>
      </c>
      <c r="J73" s="332">
        <f t="shared" si="1"/>
        <v>120</v>
      </c>
      <c r="K73" s="332">
        <v>214668</v>
      </c>
      <c r="L73" s="332">
        <v>151.68</v>
      </c>
      <c r="M73" s="332">
        <v>140.4</v>
      </c>
      <c r="N73" s="332">
        <v>193201.2</v>
      </c>
      <c r="O73" s="332">
        <v>182016</v>
      </c>
      <c r="P73" s="332">
        <v>182016</v>
      </c>
      <c r="Q73" s="332">
        <v>193201.2</v>
      </c>
      <c r="R73" s="332">
        <v>184485.6</v>
      </c>
      <c r="S73" s="332">
        <v>184485.6</v>
      </c>
      <c r="T73" s="332">
        <v>2469.6000000000058</v>
      </c>
      <c r="U73" s="332">
        <v>20.580000000000048</v>
      </c>
    </row>
    <row r="74" spans="1:21" x14ac:dyDescent="0.25">
      <c r="A74" s="329">
        <v>4092</v>
      </c>
      <c r="B74" s="329">
        <v>7</v>
      </c>
      <c r="C74" s="335" t="s">
        <v>677</v>
      </c>
      <c r="D74" s="332">
        <v>0</v>
      </c>
      <c r="E74" s="332">
        <v>0</v>
      </c>
      <c r="F74" s="332">
        <v>0</v>
      </c>
      <c r="G74" s="332">
        <v>0</v>
      </c>
      <c r="H74" s="332">
        <v>0</v>
      </c>
      <c r="I74" s="332">
        <v>78</v>
      </c>
      <c r="J74" s="332">
        <f t="shared" si="1"/>
        <v>78</v>
      </c>
      <c r="K74" s="332">
        <v>135174</v>
      </c>
      <c r="L74" s="332">
        <v>101.4</v>
      </c>
      <c r="M74" s="332">
        <v>93.6</v>
      </c>
      <c r="N74" s="332">
        <v>121656.6</v>
      </c>
      <c r="O74" s="332">
        <v>121680</v>
      </c>
      <c r="P74" s="332">
        <v>121656.6</v>
      </c>
      <c r="Q74" s="332">
        <v>121656.6</v>
      </c>
      <c r="R74" s="332">
        <v>122990.39999999999</v>
      </c>
      <c r="S74" s="332">
        <v>121656.6</v>
      </c>
      <c r="T74" s="332">
        <v>0</v>
      </c>
      <c r="U74" s="332">
        <v>0</v>
      </c>
    </row>
    <row r="75" spans="1:21" x14ac:dyDescent="0.25">
      <c r="A75" s="329">
        <v>4093</v>
      </c>
      <c r="B75" s="329">
        <v>7</v>
      </c>
      <c r="C75" s="335" t="s">
        <v>671</v>
      </c>
      <c r="D75" s="332">
        <v>0</v>
      </c>
      <c r="E75" s="332">
        <v>0</v>
      </c>
      <c r="F75" s="332">
        <v>0</v>
      </c>
      <c r="G75" s="332">
        <v>0</v>
      </c>
      <c r="H75" s="332">
        <v>0</v>
      </c>
      <c r="I75" s="332">
        <v>140</v>
      </c>
      <c r="J75" s="332">
        <f t="shared" si="1"/>
        <v>140</v>
      </c>
      <c r="K75" s="332">
        <v>298300.81</v>
      </c>
      <c r="L75" s="332">
        <v>182</v>
      </c>
      <c r="M75" s="332">
        <v>168</v>
      </c>
      <c r="N75" s="332">
        <v>268470.73</v>
      </c>
      <c r="O75" s="332">
        <v>218400</v>
      </c>
      <c r="P75" s="332">
        <v>218400</v>
      </c>
      <c r="Q75" s="332">
        <v>268470.73</v>
      </c>
      <c r="R75" s="332">
        <v>220752</v>
      </c>
      <c r="S75" s="332">
        <v>220752</v>
      </c>
      <c r="T75" s="332">
        <v>2352</v>
      </c>
      <c r="U75" s="332">
        <v>16.8</v>
      </c>
    </row>
    <row r="76" spans="1:21" x14ac:dyDescent="0.25">
      <c r="A76" s="329">
        <v>4095</v>
      </c>
      <c r="B76" s="329">
        <v>7</v>
      </c>
      <c r="C76" s="335" t="s">
        <v>832</v>
      </c>
      <c r="D76" s="332">
        <v>0</v>
      </c>
      <c r="E76" s="332">
        <v>0</v>
      </c>
      <c r="F76" s="332">
        <v>0</v>
      </c>
      <c r="G76" s="332">
        <v>0</v>
      </c>
      <c r="H76" s="332">
        <v>0</v>
      </c>
      <c r="I76" s="332">
        <v>140</v>
      </c>
      <c r="J76" s="332">
        <f t="shared" si="1"/>
        <v>140</v>
      </c>
      <c r="K76" s="332">
        <v>167915.08</v>
      </c>
      <c r="L76" s="332">
        <v>182</v>
      </c>
      <c r="M76" s="332">
        <v>168</v>
      </c>
      <c r="N76" s="332">
        <v>151123.57</v>
      </c>
      <c r="O76" s="332">
        <v>218400</v>
      </c>
      <c r="P76" s="332">
        <v>151123.57</v>
      </c>
      <c r="Q76" s="332">
        <v>151123.57</v>
      </c>
      <c r="R76" s="332">
        <v>220752</v>
      </c>
      <c r="S76" s="332">
        <v>151123.57</v>
      </c>
      <c r="T76" s="332">
        <v>0</v>
      </c>
      <c r="U76" s="332">
        <v>0</v>
      </c>
    </row>
    <row r="77" spans="1:21" x14ac:dyDescent="0.25">
      <c r="A77" s="329">
        <v>4097</v>
      </c>
      <c r="B77" s="329">
        <v>7</v>
      </c>
      <c r="C77" s="335" t="s">
        <v>255</v>
      </c>
      <c r="D77" s="332">
        <v>0</v>
      </c>
      <c r="E77" s="332">
        <v>0</v>
      </c>
      <c r="F77" s="332">
        <v>46</v>
      </c>
      <c r="G77" s="332">
        <v>138</v>
      </c>
      <c r="H77" s="332">
        <v>78</v>
      </c>
      <c r="I77" s="332">
        <v>0</v>
      </c>
      <c r="J77" s="332">
        <f t="shared" si="1"/>
        <v>262</v>
      </c>
      <c r="K77" s="332">
        <v>357545.77</v>
      </c>
      <c r="L77" s="332">
        <v>264.7</v>
      </c>
      <c r="M77" s="332">
        <v>239</v>
      </c>
      <c r="N77" s="332">
        <v>321791.19</v>
      </c>
      <c r="O77" s="332">
        <v>317640</v>
      </c>
      <c r="P77" s="332">
        <v>317640</v>
      </c>
      <c r="Q77" s="332">
        <v>321791.19</v>
      </c>
      <c r="R77" s="332">
        <v>314046</v>
      </c>
      <c r="S77" s="332">
        <v>314046</v>
      </c>
      <c r="T77" s="332">
        <v>-3594</v>
      </c>
      <c r="U77" s="332">
        <v>-13.717557251908397</v>
      </c>
    </row>
    <row r="78" spans="1:21" x14ac:dyDescent="0.25">
      <c r="A78" s="329">
        <v>4098</v>
      </c>
      <c r="B78" s="329">
        <v>7</v>
      </c>
      <c r="C78" s="335" t="s">
        <v>428</v>
      </c>
      <c r="D78" s="332">
        <v>0</v>
      </c>
      <c r="E78" s="332">
        <v>0</v>
      </c>
      <c r="F78" s="332">
        <v>80</v>
      </c>
      <c r="G78" s="332">
        <v>233</v>
      </c>
      <c r="H78" s="332">
        <v>232</v>
      </c>
      <c r="I78" s="332">
        <v>303</v>
      </c>
      <c r="J78" s="332">
        <f t="shared" si="1"/>
        <v>848</v>
      </c>
      <c r="K78" s="332">
        <v>1350549.66</v>
      </c>
      <c r="L78" s="332">
        <v>948.58</v>
      </c>
      <c r="M78" s="332">
        <v>868.6</v>
      </c>
      <c r="N78" s="332">
        <v>1215494.69</v>
      </c>
      <c r="O78" s="332">
        <v>1138296</v>
      </c>
      <c r="P78" s="332">
        <v>1138296</v>
      </c>
      <c r="Q78" s="332">
        <v>1215494.69</v>
      </c>
      <c r="R78" s="332">
        <v>1141340.3999999999</v>
      </c>
      <c r="S78" s="332">
        <v>1141340.3999999999</v>
      </c>
      <c r="T78" s="332">
        <v>3044.3999999999069</v>
      </c>
      <c r="U78" s="332">
        <v>3.5900943396225315</v>
      </c>
    </row>
    <row r="79" spans="1:21" x14ac:dyDescent="0.25">
      <c r="A79" s="329">
        <v>4100</v>
      </c>
      <c r="B79" s="329">
        <v>7</v>
      </c>
      <c r="C79" s="335" t="s">
        <v>545</v>
      </c>
      <c r="D79" s="332">
        <v>0</v>
      </c>
      <c r="E79" s="332">
        <v>0</v>
      </c>
      <c r="F79" s="332">
        <v>10</v>
      </c>
      <c r="G79" s="332">
        <v>30</v>
      </c>
      <c r="H79" s="332">
        <v>28</v>
      </c>
      <c r="I79" s="332">
        <v>14</v>
      </c>
      <c r="J79" s="332">
        <f t="shared" ref="J79:J142" si="2">SUM(D79:I79)</f>
        <v>82</v>
      </c>
      <c r="K79" s="332">
        <v>86400</v>
      </c>
      <c r="L79" s="332">
        <v>87.45</v>
      </c>
      <c r="M79" s="332">
        <v>79.8</v>
      </c>
      <c r="N79" s="332">
        <v>77760</v>
      </c>
      <c r="O79" s="332">
        <v>104940</v>
      </c>
      <c r="P79" s="332">
        <v>77760</v>
      </c>
      <c r="Q79" s="332">
        <v>77760</v>
      </c>
      <c r="R79" s="332">
        <v>104857.2</v>
      </c>
      <c r="S79" s="332">
        <v>77760</v>
      </c>
      <c r="T79" s="332">
        <v>0</v>
      </c>
      <c r="U79" s="332">
        <v>0</v>
      </c>
    </row>
    <row r="80" spans="1:21" x14ac:dyDescent="0.25">
      <c r="A80" s="329">
        <v>4102</v>
      </c>
      <c r="B80" s="329">
        <v>7</v>
      </c>
      <c r="C80" s="335" t="s">
        <v>701</v>
      </c>
      <c r="D80" s="332">
        <v>0</v>
      </c>
      <c r="E80" s="332">
        <v>0</v>
      </c>
      <c r="F80" s="332">
        <v>0</v>
      </c>
      <c r="G80" s="332">
        <v>0</v>
      </c>
      <c r="H80" s="332">
        <v>0</v>
      </c>
      <c r="I80" s="332">
        <v>230</v>
      </c>
      <c r="J80" s="332">
        <f t="shared" si="2"/>
        <v>230</v>
      </c>
      <c r="K80" s="332">
        <v>507307.39</v>
      </c>
      <c r="L80" s="332">
        <v>299</v>
      </c>
      <c r="M80" s="332">
        <v>276</v>
      </c>
      <c r="N80" s="332">
        <v>456576.65</v>
      </c>
      <c r="O80" s="332">
        <v>358800</v>
      </c>
      <c r="P80" s="332">
        <v>358800</v>
      </c>
      <c r="Q80" s="332">
        <v>456576.65</v>
      </c>
      <c r="R80" s="332">
        <v>362664</v>
      </c>
      <c r="S80" s="332">
        <v>362664</v>
      </c>
      <c r="T80" s="332">
        <v>3864</v>
      </c>
      <c r="U80" s="332">
        <v>16.8</v>
      </c>
    </row>
    <row r="81" spans="1:21" x14ac:dyDescent="0.25">
      <c r="A81" s="329">
        <v>4103</v>
      </c>
      <c r="B81" s="329">
        <v>7</v>
      </c>
      <c r="C81" s="335" t="s">
        <v>833</v>
      </c>
      <c r="D81" s="332">
        <v>0</v>
      </c>
      <c r="E81" s="332">
        <v>0</v>
      </c>
      <c r="F81" s="332">
        <v>50</v>
      </c>
      <c r="G81" s="332">
        <v>150</v>
      </c>
      <c r="H81" s="332">
        <v>150</v>
      </c>
      <c r="I81" s="332">
        <v>460</v>
      </c>
      <c r="J81" s="332">
        <f t="shared" si="2"/>
        <v>810</v>
      </c>
      <c r="K81" s="332">
        <v>977225.34</v>
      </c>
      <c r="L81" s="332">
        <v>954.85</v>
      </c>
      <c r="M81" s="332">
        <v>877</v>
      </c>
      <c r="N81" s="332">
        <v>879502.81</v>
      </c>
      <c r="O81" s="332">
        <v>1145820</v>
      </c>
      <c r="P81" s="332">
        <v>879502.81</v>
      </c>
      <c r="Q81" s="332">
        <v>879502.81</v>
      </c>
      <c r="R81" s="332">
        <v>1152378</v>
      </c>
      <c r="S81" s="332">
        <v>879502.81</v>
      </c>
      <c r="T81" s="332">
        <v>0</v>
      </c>
      <c r="U81" s="332">
        <v>0</v>
      </c>
    </row>
    <row r="82" spans="1:21" x14ac:dyDescent="0.25">
      <c r="A82" s="329">
        <v>4104</v>
      </c>
      <c r="B82" s="329">
        <v>7</v>
      </c>
      <c r="C82" s="335" t="s">
        <v>834</v>
      </c>
      <c r="D82" s="332">
        <v>0</v>
      </c>
      <c r="E82" s="332">
        <v>0</v>
      </c>
      <c r="F82" s="332">
        <v>0</v>
      </c>
      <c r="G82" s="332">
        <v>0</v>
      </c>
      <c r="H82" s="332">
        <v>0</v>
      </c>
      <c r="I82" s="332">
        <v>185</v>
      </c>
      <c r="J82" s="332">
        <f t="shared" si="2"/>
        <v>185</v>
      </c>
      <c r="K82" s="332">
        <v>177745.04</v>
      </c>
      <c r="L82" s="332">
        <v>240.5</v>
      </c>
      <c r="M82" s="332">
        <v>222</v>
      </c>
      <c r="N82" s="332">
        <v>159970.54</v>
      </c>
      <c r="O82" s="332">
        <v>288600</v>
      </c>
      <c r="P82" s="332">
        <v>159970.54</v>
      </c>
      <c r="Q82" s="332">
        <v>159970.54</v>
      </c>
      <c r="R82" s="332">
        <v>291708</v>
      </c>
      <c r="S82" s="332">
        <v>159970.54</v>
      </c>
      <c r="T82" s="332">
        <v>0</v>
      </c>
      <c r="U82" s="332">
        <v>0</v>
      </c>
    </row>
    <row r="83" spans="1:21" x14ac:dyDescent="0.25">
      <c r="A83" s="329">
        <v>4105</v>
      </c>
      <c r="B83" s="329">
        <v>7</v>
      </c>
      <c r="C83" s="335" t="s">
        <v>568</v>
      </c>
      <c r="D83" s="332">
        <v>0</v>
      </c>
      <c r="E83" s="332">
        <v>0</v>
      </c>
      <c r="F83" s="332">
        <v>0</v>
      </c>
      <c r="G83" s="332">
        <v>26</v>
      </c>
      <c r="H83" s="332">
        <v>29</v>
      </c>
      <c r="I83" s="332">
        <v>285</v>
      </c>
      <c r="J83" s="332">
        <f t="shared" si="2"/>
        <v>340</v>
      </c>
      <c r="K83" s="332">
        <v>573638.56999999995</v>
      </c>
      <c r="L83" s="332">
        <v>430.23</v>
      </c>
      <c r="M83" s="332">
        <v>397</v>
      </c>
      <c r="N83" s="332">
        <v>516274.71</v>
      </c>
      <c r="O83" s="332">
        <v>516276</v>
      </c>
      <c r="P83" s="332">
        <v>516274.71</v>
      </c>
      <c r="Q83" s="332">
        <v>516274.71</v>
      </c>
      <c r="R83" s="332">
        <v>521658</v>
      </c>
      <c r="S83" s="332">
        <v>516274.71</v>
      </c>
      <c r="T83" s="332">
        <v>0</v>
      </c>
      <c r="U83" s="332">
        <v>0</v>
      </c>
    </row>
    <row r="84" spans="1:21" x14ac:dyDescent="0.25">
      <c r="A84" s="329">
        <v>4106</v>
      </c>
      <c r="B84" s="329">
        <v>7</v>
      </c>
      <c r="C84" s="335" t="s">
        <v>636</v>
      </c>
      <c r="D84" s="332">
        <v>0</v>
      </c>
      <c r="E84" s="332">
        <v>0</v>
      </c>
      <c r="F84" s="332">
        <v>0</v>
      </c>
      <c r="G84" s="332">
        <v>0</v>
      </c>
      <c r="H84" s="332">
        <v>0</v>
      </c>
      <c r="I84" s="332">
        <v>170</v>
      </c>
      <c r="J84" s="332">
        <f t="shared" si="2"/>
        <v>170</v>
      </c>
      <c r="K84" s="332">
        <v>279992.84999999998</v>
      </c>
      <c r="L84" s="332">
        <v>221</v>
      </c>
      <c r="M84" s="332">
        <v>204</v>
      </c>
      <c r="N84" s="332">
        <v>251993.57</v>
      </c>
      <c r="O84" s="332">
        <v>265200</v>
      </c>
      <c r="P84" s="332">
        <v>251993.57</v>
      </c>
      <c r="Q84" s="332">
        <v>251993.57</v>
      </c>
      <c r="R84" s="332">
        <v>268056</v>
      </c>
      <c r="S84" s="332">
        <v>251993.57</v>
      </c>
      <c r="T84" s="332">
        <v>0</v>
      </c>
      <c r="U84" s="332">
        <v>0</v>
      </c>
    </row>
    <row r="85" spans="1:21" x14ac:dyDescent="0.25">
      <c r="A85" s="329">
        <v>4107</v>
      </c>
      <c r="B85" s="329">
        <v>7</v>
      </c>
      <c r="C85" s="302" t="s">
        <v>655</v>
      </c>
      <c r="D85" s="332">
        <v>0</v>
      </c>
      <c r="E85" s="332">
        <v>0</v>
      </c>
      <c r="F85" s="332">
        <v>0</v>
      </c>
      <c r="G85" s="332">
        <v>0</v>
      </c>
      <c r="H85" s="332">
        <v>0</v>
      </c>
      <c r="I85" s="332">
        <v>68</v>
      </c>
      <c r="J85" s="332">
        <f t="shared" si="2"/>
        <v>68</v>
      </c>
      <c r="K85" s="332">
        <v>135250.94</v>
      </c>
      <c r="L85" s="332">
        <v>88.4</v>
      </c>
      <c r="M85" s="332">
        <v>81.599999999999994</v>
      </c>
      <c r="N85" s="332">
        <v>121725.85</v>
      </c>
      <c r="O85" s="332">
        <v>106080</v>
      </c>
      <c r="P85" s="332">
        <v>106080</v>
      </c>
      <c r="Q85" s="332">
        <v>121725.85</v>
      </c>
      <c r="R85" s="332">
        <v>107222.39999999999</v>
      </c>
      <c r="S85" s="332">
        <v>107222.39999999999</v>
      </c>
      <c r="T85" s="332">
        <v>1142.3999999999942</v>
      </c>
      <c r="U85" s="332">
        <v>16.799999999999915</v>
      </c>
    </row>
    <row r="86" spans="1:21" x14ac:dyDescent="0.25">
      <c r="A86" s="329">
        <v>4109</v>
      </c>
      <c r="B86" s="329">
        <v>7</v>
      </c>
      <c r="C86" s="335" t="s">
        <v>703</v>
      </c>
      <c r="D86" s="332">
        <v>0</v>
      </c>
      <c r="E86" s="332">
        <v>0</v>
      </c>
      <c r="F86" s="332">
        <v>0</v>
      </c>
      <c r="G86" s="332">
        <v>0</v>
      </c>
      <c r="H86" s="332">
        <v>0</v>
      </c>
      <c r="I86" s="332">
        <v>70</v>
      </c>
      <c r="J86" s="332">
        <f t="shared" si="2"/>
        <v>70</v>
      </c>
      <c r="K86" s="332">
        <v>135286.91999999998</v>
      </c>
      <c r="L86" s="332">
        <v>91</v>
      </c>
      <c r="M86" s="332">
        <v>84</v>
      </c>
      <c r="N86" s="332">
        <v>121758.23</v>
      </c>
      <c r="O86" s="332">
        <v>109200</v>
      </c>
      <c r="P86" s="332">
        <v>109200</v>
      </c>
      <c r="Q86" s="332">
        <v>121758.23</v>
      </c>
      <c r="R86" s="332">
        <v>110376</v>
      </c>
      <c r="S86" s="332">
        <v>110376</v>
      </c>
      <c r="T86" s="332">
        <v>1176</v>
      </c>
      <c r="U86" s="332">
        <v>16.8</v>
      </c>
    </row>
    <row r="87" spans="1:21" x14ac:dyDescent="0.25">
      <c r="A87" s="329">
        <v>4110</v>
      </c>
      <c r="B87" s="329">
        <v>7</v>
      </c>
      <c r="C87" s="335" t="s">
        <v>835</v>
      </c>
      <c r="D87" s="332">
        <v>0</v>
      </c>
      <c r="E87" s="332">
        <v>0</v>
      </c>
      <c r="F87" s="332">
        <v>0</v>
      </c>
      <c r="G87" s="332">
        <v>0</v>
      </c>
      <c r="H87" s="332">
        <v>0</v>
      </c>
      <c r="I87" s="332">
        <v>280</v>
      </c>
      <c r="J87" s="332">
        <f t="shared" si="2"/>
        <v>280</v>
      </c>
      <c r="K87" s="332">
        <v>485332.4</v>
      </c>
      <c r="L87" s="332">
        <v>364</v>
      </c>
      <c r="M87" s="332">
        <v>336</v>
      </c>
      <c r="N87" s="332">
        <v>436799.16</v>
      </c>
      <c r="O87" s="332">
        <v>436800</v>
      </c>
      <c r="P87" s="332">
        <v>436799.16</v>
      </c>
      <c r="Q87" s="332">
        <v>436799.16</v>
      </c>
      <c r="R87" s="332">
        <v>441504</v>
      </c>
      <c r="S87" s="332">
        <v>436799.16</v>
      </c>
      <c r="T87" s="332">
        <v>0</v>
      </c>
      <c r="U87" s="332">
        <v>0</v>
      </c>
    </row>
    <row r="88" spans="1:21" x14ac:dyDescent="0.25">
      <c r="A88" s="329">
        <v>4111</v>
      </c>
      <c r="B88" s="329">
        <v>7</v>
      </c>
      <c r="C88" s="335" t="s">
        <v>836</v>
      </c>
      <c r="D88" s="332">
        <v>0</v>
      </c>
      <c r="E88" s="332">
        <v>0</v>
      </c>
      <c r="F88" s="332">
        <v>0</v>
      </c>
      <c r="G88" s="332">
        <v>0</v>
      </c>
      <c r="H88" s="332">
        <v>0</v>
      </c>
      <c r="I88" s="332">
        <v>132</v>
      </c>
      <c r="J88" s="332">
        <f t="shared" si="2"/>
        <v>132</v>
      </c>
      <c r="K88" s="332">
        <v>273341.95</v>
      </c>
      <c r="L88" s="332">
        <v>171.6</v>
      </c>
      <c r="M88" s="332">
        <v>158.4</v>
      </c>
      <c r="N88" s="332">
        <v>246007.76</v>
      </c>
      <c r="O88" s="332">
        <v>205920</v>
      </c>
      <c r="P88" s="332">
        <v>205920</v>
      </c>
      <c r="Q88" s="332">
        <v>246007.76</v>
      </c>
      <c r="R88" s="332">
        <v>208137.60000000001</v>
      </c>
      <c r="S88" s="332">
        <v>208137.60000000001</v>
      </c>
      <c r="T88" s="332">
        <v>2217.6000000000058</v>
      </c>
      <c r="U88" s="332">
        <v>16.800000000000043</v>
      </c>
    </row>
    <row r="89" spans="1:21" x14ac:dyDescent="0.25">
      <c r="A89" s="329">
        <v>4112</v>
      </c>
      <c r="B89" s="329">
        <v>7</v>
      </c>
      <c r="C89" s="335" t="s">
        <v>837</v>
      </c>
      <c r="D89" s="332">
        <v>0</v>
      </c>
      <c r="E89" s="332">
        <v>0</v>
      </c>
      <c r="F89" s="332">
        <v>0</v>
      </c>
      <c r="G89" s="332">
        <v>0</v>
      </c>
      <c r="H89" s="332">
        <v>0</v>
      </c>
      <c r="I89" s="332">
        <v>547</v>
      </c>
      <c r="J89" s="332">
        <f t="shared" si="2"/>
        <v>547</v>
      </c>
      <c r="K89" s="332">
        <v>842309.94</v>
      </c>
      <c r="L89" s="332">
        <v>711.1</v>
      </c>
      <c r="M89" s="332">
        <v>656.4</v>
      </c>
      <c r="N89" s="332">
        <v>758078.95</v>
      </c>
      <c r="O89" s="332">
        <v>853320</v>
      </c>
      <c r="P89" s="332">
        <v>758078.95</v>
      </c>
      <c r="Q89" s="332">
        <v>758078.95</v>
      </c>
      <c r="R89" s="332">
        <v>862509.6</v>
      </c>
      <c r="S89" s="332">
        <v>758078.95</v>
      </c>
      <c r="T89" s="332">
        <v>0</v>
      </c>
      <c r="U89" s="332">
        <v>0</v>
      </c>
    </row>
    <row r="90" spans="1:21" x14ac:dyDescent="0.25">
      <c r="A90" s="329">
        <v>4113</v>
      </c>
      <c r="B90" s="329">
        <v>7</v>
      </c>
      <c r="C90" s="335" t="s">
        <v>672</v>
      </c>
      <c r="D90" s="332">
        <v>0</v>
      </c>
      <c r="E90" s="332">
        <v>11</v>
      </c>
      <c r="F90" s="332">
        <v>6</v>
      </c>
      <c r="G90" s="332">
        <v>51</v>
      </c>
      <c r="H90" s="332">
        <v>17</v>
      </c>
      <c r="I90" s="332">
        <v>0</v>
      </c>
      <c r="J90" s="332">
        <f t="shared" si="2"/>
        <v>85</v>
      </c>
      <c r="K90" s="332">
        <v>128593.44</v>
      </c>
      <c r="L90" s="332">
        <v>89.56</v>
      </c>
      <c r="M90" s="332">
        <v>82</v>
      </c>
      <c r="N90" s="332">
        <v>115734.1</v>
      </c>
      <c r="O90" s="332">
        <v>107472</v>
      </c>
      <c r="P90" s="332">
        <v>107472</v>
      </c>
      <c r="Q90" s="332">
        <v>115734.1</v>
      </c>
      <c r="R90" s="332">
        <v>107748</v>
      </c>
      <c r="S90" s="332">
        <v>107748</v>
      </c>
      <c r="T90" s="332">
        <v>276</v>
      </c>
      <c r="U90" s="332">
        <v>3.2470588235294118</v>
      </c>
    </row>
    <row r="91" spans="1:21" x14ac:dyDescent="0.25">
      <c r="A91" s="329">
        <v>4115</v>
      </c>
      <c r="B91" s="329">
        <v>7</v>
      </c>
      <c r="C91" s="335" t="s">
        <v>838</v>
      </c>
      <c r="D91" s="332">
        <v>0</v>
      </c>
      <c r="E91" s="332">
        <v>0</v>
      </c>
      <c r="F91" s="332">
        <v>0</v>
      </c>
      <c r="G91" s="332">
        <v>0</v>
      </c>
      <c r="H91" s="332">
        <v>80</v>
      </c>
      <c r="I91" s="332">
        <v>100</v>
      </c>
      <c r="J91" s="332">
        <f t="shared" si="2"/>
        <v>180</v>
      </c>
      <c r="K91" s="332">
        <v>167102.5</v>
      </c>
      <c r="L91" s="332">
        <v>214.8</v>
      </c>
      <c r="M91" s="332">
        <v>200</v>
      </c>
      <c r="N91" s="332">
        <v>150392.25</v>
      </c>
      <c r="O91" s="332">
        <v>257760</v>
      </c>
      <c r="P91" s="332">
        <v>150392.25</v>
      </c>
      <c r="Q91" s="332">
        <v>150392.25</v>
      </c>
      <c r="R91" s="332">
        <v>262800</v>
      </c>
      <c r="S91" s="332">
        <v>150392.25</v>
      </c>
      <c r="T91" s="332">
        <v>0</v>
      </c>
      <c r="U91" s="332">
        <v>0</v>
      </c>
    </row>
    <row r="92" spans="1:21" x14ac:dyDescent="0.25">
      <c r="A92" s="329">
        <v>4116</v>
      </c>
      <c r="B92" s="329">
        <v>7</v>
      </c>
      <c r="C92" s="335" t="s">
        <v>839</v>
      </c>
      <c r="D92" s="332">
        <v>0</v>
      </c>
      <c r="E92" s="332">
        <v>0</v>
      </c>
      <c r="F92" s="332">
        <v>124</v>
      </c>
      <c r="G92" s="332">
        <v>321</v>
      </c>
      <c r="H92" s="332">
        <v>241</v>
      </c>
      <c r="I92" s="332">
        <v>0</v>
      </c>
      <c r="J92" s="332">
        <f t="shared" si="2"/>
        <v>686</v>
      </c>
      <c r="K92" s="332">
        <v>839394</v>
      </c>
      <c r="L92" s="332">
        <v>689.26</v>
      </c>
      <c r="M92" s="332">
        <v>624</v>
      </c>
      <c r="N92" s="332">
        <v>755454.6</v>
      </c>
      <c r="O92" s="332">
        <v>827112</v>
      </c>
      <c r="P92" s="332">
        <v>755454.6</v>
      </c>
      <c r="Q92" s="332">
        <v>755454.6</v>
      </c>
      <c r="R92" s="332">
        <v>819936</v>
      </c>
      <c r="S92" s="332">
        <v>755454.6</v>
      </c>
      <c r="T92" s="332">
        <v>0</v>
      </c>
      <c r="U92" s="332">
        <v>0</v>
      </c>
    </row>
    <row r="93" spans="1:21" x14ac:dyDescent="0.25">
      <c r="A93" s="329">
        <v>4118</v>
      </c>
      <c r="B93" s="329">
        <v>7</v>
      </c>
      <c r="C93" s="335" t="s">
        <v>520</v>
      </c>
      <c r="D93" s="332">
        <v>0</v>
      </c>
      <c r="E93" s="332">
        <v>8</v>
      </c>
      <c r="F93" s="332">
        <v>40</v>
      </c>
      <c r="G93" s="332">
        <v>136</v>
      </c>
      <c r="H93" s="332">
        <v>144</v>
      </c>
      <c r="I93" s="332">
        <v>96</v>
      </c>
      <c r="J93" s="332">
        <f t="shared" si="2"/>
        <v>424</v>
      </c>
      <c r="K93" s="332">
        <v>653095.82999999996</v>
      </c>
      <c r="L93" s="332">
        <v>461.56</v>
      </c>
      <c r="M93" s="332">
        <v>423.2</v>
      </c>
      <c r="N93" s="332">
        <v>587786.25</v>
      </c>
      <c r="O93" s="332">
        <v>553872</v>
      </c>
      <c r="P93" s="332">
        <v>553872</v>
      </c>
      <c r="Q93" s="332">
        <v>587786.25</v>
      </c>
      <c r="R93" s="332">
        <v>556084.80000000005</v>
      </c>
      <c r="S93" s="332">
        <v>556084.80000000005</v>
      </c>
      <c r="T93" s="332">
        <v>2212.8000000000466</v>
      </c>
      <c r="U93" s="332">
        <v>5.2188679245284115</v>
      </c>
    </row>
    <row r="94" spans="1:21" x14ac:dyDescent="0.25">
      <c r="A94" s="329">
        <v>4119</v>
      </c>
      <c r="B94" s="329">
        <v>7</v>
      </c>
      <c r="C94" s="335" t="s">
        <v>840</v>
      </c>
      <c r="D94" s="332">
        <v>0</v>
      </c>
      <c r="E94" s="332">
        <v>0</v>
      </c>
      <c r="F94" s="332">
        <v>0</v>
      </c>
      <c r="G94" s="332">
        <v>0</v>
      </c>
      <c r="H94" s="332">
        <v>0</v>
      </c>
      <c r="I94" s="332">
        <v>90</v>
      </c>
      <c r="J94" s="332">
        <f t="shared" si="2"/>
        <v>90</v>
      </c>
      <c r="K94" s="332">
        <v>123006</v>
      </c>
      <c r="L94" s="332">
        <v>117</v>
      </c>
      <c r="M94" s="332">
        <v>108</v>
      </c>
      <c r="N94" s="332">
        <v>110705.4</v>
      </c>
      <c r="O94" s="332">
        <v>140400</v>
      </c>
      <c r="P94" s="332">
        <v>110705.4</v>
      </c>
      <c r="Q94" s="332">
        <v>110705.4</v>
      </c>
      <c r="R94" s="332">
        <v>141912</v>
      </c>
      <c r="S94" s="332">
        <v>110705.4</v>
      </c>
      <c r="T94" s="332">
        <v>0</v>
      </c>
      <c r="U94" s="332">
        <v>0</v>
      </c>
    </row>
    <row r="95" spans="1:21" x14ac:dyDescent="0.25">
      <c r="A95" s="329">
        <v>4120</v>
      </c>
      <c r="B95" s="329">
        <v>7</v>
      </c>
      <c r="C95" s="335" t="s">
        <v>476</v>
      </c>
      <c r="D95" s="332">
        <v>0</v>
      </c>
      <c r="E95" s="332">
        <v>0</v>
      </c>
      <c r="F95" s="332">
        <v>90</v>
      </c>
      <c r="G95" s="332">
        <v>269</v>
      </c>
      <c r="H95" s="332">
        <v>269</v>
      </c>
      <c r="I95" s="332">
        <v>458</v>
      </c>
      <c r="J95" s="332">
        <f t="shared" si="2"/>
        <v>1086</v>
      </c>
      <c r="K95" s="332">
        <v>1796208</v>
      </c>
      <c r="L95" s="332">
        <v>1235.56</v>
      </c>
      <c r="M95" s="332">
        <v>1132.5999999999999</v>
      </c>
      <c r="N95" s="332">
        <v>1616587.2</v>
      </c>
      <c r="O95" s="332">
        <v>1482672</v>
      </c>
      <c r="P95" s="332">
        <v>1482672</v>
      </c>
      <c r="Q95" s="332">
        <v>1616587.2</v>
      </c>
      <c r="R95" s="332">
        <v>1488236.4</v>
      </c>
      <c r="S95" s="332">
        <v>1488236.4</v>
      </c>
      <c r="T95" s="332">
        <v>5564.3999999999069</v>
      </c>
      <c r="U95" s="332">
        <v>5.1237569060772623</v>
      </c>
    </row>
    <row r="96" spans="1:21" x14ac:dyDescent="0.25">
      <c r="A96" s="329">
        <v>4121</v>
      </c>
      <c r="B96" s="329">
        <v>7</v>
      </c>
      <c r="C96" s="335" t="s">
        <v>841</v>
      </c>
      <c r="D96" s="332">
        <v>0</v>
      </c>
      <c r="E96" s="332">
        <v>0</v>
      </c>
      <c r="F96" s="332">
        <v>0</v>
      </c>
      <c r="G96" s="332">
        <v>0</v>
      </c>
      <c r="H96" s="332">
        <v>0</v>
      </c>
      <c r="I96" s="332">
        <v>265</v>
      </c>
      <c r="J96" s="332">
        <f t="shared" si="2"/>
        <v>265</v>
      </c>
      <c r="K96" s="332">
        <v>413400</v>
      </c>
      <c r="L96" s="332">
        <v>344.5</v>
      </c>
      <c r="M96" s="332">
        <v>318</v>
      </c>
      <c r="N96" s="332">
        <v>372060</v>
      </c>
      <c r="O96" s="332">
        <v>413400</v>
      </c>
      <c r="P96" s="332">
        <v>372060</v>
      </c>
      <c r="Q96" s="332">
        <v>372060</v>
      </c>
      <c r="R96" s="332">
        <v>417852</v>
      </c>
      <c r="S96" s="332">
        <v>372060</v>
      </c>
      <c r="T96" s="332">
        <v>0</v>
      </c>
      <c r="U96" s="332">
        <v>0</v>
      </c>
    </row>
    <row r="97" spans="1:21" x14ac:dyDescent="0.25">
      <c r="A97" s="329">
        <v>4122</v>
      </c>
      <c r="B97" s="329">
        <v>7</v>
      </c>
      <c r="C97" s="335" t="s">
        <v>842</v>
      </c>
      <c r="D97" s="332">
        <v>0</v>
      </c>
      <c r="E97" s="332">
        <v>2</v>
      </c>
      <c r="F97" s="332">
        <v>67</v>
      </c>
      <c r="G97" s="332">
        <v>206</v>
      </c>
      <c r="H97" s="332">
        <v>205</v>
      </c>
      <c r="I97" s="332">
        <v>334</v>
      </c>
      <c r="J97" s="332">
        <f t="shared" si="2"/>
        <v>814</v>
      </c>
      <c r="K97" s="332">
        <v>1305650.74</v>
      </c>
      <c r="L97" s="332">
        <v>924.19</v>
      </c>
      <c r="M97" s="332">
        <v>847.3</v>
      </c>
      <c r="N97" s="332">
        <v>1175085.67</v>
      </c>
      <c r="O97" s="332">
        <v>1109028</v>
      </c>
      <c r="P97" s="332">
        <v>1109028</v>
      </c>
      <c r="Q97" s="332">
        <v>1175085.67</v>
      </c>
      <c r="R97" s="332">
        <v>1113352.2</v>
      </c>
      <c r="S97" s="332">
        <v>1113352.2</v>
      </c>
      <c r="T97" s="332">
        <v>4324.1999999999534</v>
      </c>
      <c r="U97" s="332">
        <v>5.3122850122849554</v>
      </c>
    </row>
    <row r="98" spans="1:21" x14ac:dyDescent="0.25">
      <c r="A98" s="329">
        <v>4123</v>
      </c>
      <c r="B98" s="329">
        <v>7</v>
      </c>
      <c r="C98" s="335" t="s">
        <v>843</v>
      </c>
      <c r="D98" s="332">
        <v>0</v>
      </c>
      <c r="E98" s="332">
        <v>0</v>
      </c>
      <c r="F98" s="332">
        <v>9</v>
      </c>
      <c r="G98" s="332">
        <v>19</v>
      </c>
      <c r="H98" s="332">
        <v>17</v>
      </c>
      <c r="I98" s="332">
        <v>0</v>
      </c>
      <c r="J98" s="332">
        <f t="shared" si="2"/>
        <v>45</v>
      </c>
      <c r="K98" s="332">
        <v>59598.43</v>
      </c>
      <c r="L98" s="332">
        <v>44.71</v>
      </c>
      <c r="M98" s="332">
        <v>40.5</v>
      </c>
      <c r="N98" s="332">
        <v>53638.59</v>
      </c>
      <c r="O98" s="332">
        <v>53652</v>
      </c>
      <c r="P98" s="332">
        <v>53638.59</v>
      </c>
      <c r="Q98" s="332">
        <v>53638.59</v>
      </c>
      <c r="R98" s="332">
        <v>53217</v>
      </c>
      <c r="S98" s="332">
        <v>53217</v>
      </c>
      <c r="T98" s="332">
        <v>-421.58999999999651</v>
      </c>
      <c r="U98" s="332">
        <v>-9.3686666666665896</v>
      </c>
    </row>
    <row r="99" spans="1:21" x14ac:dyDescent="0.25">
      <c r="A99" s="329">
        <v>4124</v>
      </c>
      <c r="B99" s="329">
        <v>7</v>
      </c>
      <c r="C99" s="335" t="s">
        <v>523</v>
      </c>
      <c r="D99" s="332">
        <v>0</v>
      </c>
      <c r="E99" s="332">
        <v>4</v>
      </c>
      <c r="F99" s="332">
        <v>40</v>
      </c>
      <c r="G99" s="332">
        <v>139</v>
      </c>
      <c r="H99" s="332">
        <v>141</v>
      </c>
      <c r="I99" s="332">
        <v>91</v>
      </c>
      <c r="J99" s="332">
        <f t="shared" si="2"/>
        <v>415</v>
      </c>
      <c r="K99" s="332">
        <v>582200</v>
      </c>
      <c r="L99" s="332">
        <v>451.23</v>
      </c>
      <c r="M99" s="332">
        <v>413.2</v>
      </c>
      <c r="N99" s="332">
        <v>523980</v>
      </c>
      <c r="O99" s="332">
        <v>541476</v>
      </c>
      <c r="P99" s="332">
        <v>523980</v>
      </c>
      <c r="Q99" s="332">
        <v>523980</v>
      </c>
      <c r="R99" s="332">
        <v>542944.80000000005</v>
      </c>
      <c r="S99" s="332">
        <v>523980</v>
      </c>
      <c r="T99" s="332">
        <v>0</v>
      </c>
      <c r="U99" s="332">
        <v>0</v>
      </c>
    </row>
    <row r="100" spans="1:21" x14ac:dyDescent="0.25">
      <c r="A100" s="329">
        <v>4126</v>
      </c>
      <c r="B100" s="329">
        <v>7</v>
      </c>
      <c r="C100" s="335" t="s">
        <v>707</v>
      </c>
      <c r="D100" s="332">
        <v>0</v>
      </c>
      <c r="E100" s="332">
        <v>2</v>
      </c>
      <c r="F100" s="332">
        <v>59</v>
      </c>
      <c r="G100" s="332">
        <v>180</v>
      </c>
      <c r="H100" s="332">
        <v>165</v>
      </c>
      <c r="I100" s="332">
        <v>360</v>
      </c>
      <c r="J100" s="332">
        <f t="shared" si="2"/>
        <v>766</v>
      </c>
      <c r="K100" s="332">
        <v>1603534</v>
      </c>
      <c r="L100" s="332">
        <v>881.71</v>
      </c>
      <c r="M100" s="332">
        <v>808.5</v>
      </c>
      <c r="N100" s="332">
        <v>1443180.6</v>
      </c>
      <c r="O100" s="332">
        <v>1058052</v>
      </c>
      <c r="P100" s="332">
        <v>1058052</v>
      </c>
      <c r="Q100" s="332">
        <v>1443180.6</v>
      </c>
      <c r="R100" s="332">
        <v>1062369</v>
      </c>
      <c r="S100" s="332">
        <v>1062369</v>
      </c>
      <c r="T100" s="332">
        <v>4317</v>
      </c>
      <c r="U100" s="332">
        <v>5.6357702349869454</v>
      </c>
    </row>
    <row r="101" spans="1:21" x14ac:dyDescent="0.25">
      <c r="A101" s="329">
        <v>4127</v>
      </c>
      <c r="B101" s="329">
        <v>7</v>
      </c>
      <c r="C101" s="335" t="s">
        <v>610</v>
      </c>
      <c r="D101" s="332">
        <v>0</v>
      </c>
      <c r="E101" s="332">
        <v>0</v>
      </c>
      <c r="F101" s="332">
        <v>24</v>
      </c>
      <c r="G101" s="332">
        <v>60</v>
      </c>
      <c r="H101" s="332">
        <v>60</v>
      </c>
      <c r="I101" s="332">
        <v>0</v>
      </c>
      <c r="J101" s="332">
        <f t="shared" si="2"/>
        <v>144</v>
      </c>
      <c r="K101" s="332">
        <v>175975.92</v>
      </c>
      <c r="L101" s="332">
        <v>145.19</v>
      </c>
      <c r="M101" s="332">
        <v>132</v>
      </c>
      <c r="N101" s="332">
        <v>158378.32999999999</v>
      </c>
      <c r="O101" s="332">
        <v>174228</v>
      </c>
      <c r="P101" s="332">
        <v>158378.32999999999</v>
      </c>
      <c r="Q101" s="332">
        <v>158378.32999999999</v>
      </c>
      <c r="R101" s="332">
        <v>173448</v>
      </c>
      <c r="S101" s="332">
        <v>158378.32999999999</v>
      </c>
      <c r="T101" s="332">
        <v>0</v>
      </c>
      <c r="U101" s="332">
        <v>0</v>
      </c>
    </row>
    <row r="102" spans="1:21" x14ac:dyDescent="0.25">
      <c r="A102" s="329">
        <v>4131</v>
      </c>
      <c r="B102" s="329">
        <v>7</v>
      </c>
      <c r="C102" s="335" t="s">
        <v>708</v>
      </c>
      <c r="D102" s="332">
        <v>0</v>
      </c>
      <c r="E102" s="332">
        <v>0</v>
      </c>
      <c r="F102" s="332">
        <v>0</v>
      </c>
      <c r="G102" s="332">
        <v>0</v>
      </c>
      <c r="H102" s="332">
        <v>52</v>
      </c>
      <c r="I102" s="332">
        <v>180</v>
      </c>
      <c r="J102" s="332">
        <f t="shared" si="2"/>
        <v>232</v>
      </c>
      <c r="K102" s="332">
        <v>356890.34</v>
      </c>
      <c r="L102" s="332">
        <v>289.12</v>
      </c>
      <c r="M102" s="332">
        <v>268</v>
      </c>
      <c r="N102" s="332">
        <v>321201.31</v>
      </c>
      <c r="O102" s="332">
        <v>346944</v>
      </c>
      <c r="P102" s="332">
        <v>321201.31</v>
      </c>
      <c r="Q102" s="332">
        <v>321201.31</v>
      </c>
      <c r="R102" s="332">
        <v>352152</v>
      </c>
      <c r="S102" s="332">
        <v>321201.31</v>
      </c>
      <c r="T102" s="332">
        <v>0</v>
      </c>
      <c r="U102" s="332">
        <v>0</v>
      </c>
    </row>
    <row r="103" spans="1:21" x14ac:dyDescent="0.25">
      <c r="A103" s="329">
        <v>4132</v>
      </c>
      <c r="B103" s="329">
        <v>7</v>
      </c>
      <c r="C103" s="335" t="s">
        <v>652</v>
      </c>
      <c r="D103" s="332">
        <v>0</v>
      </c>
      <c r="E103" s="332">
        <v>0</v>
      </c>
      <c r="F103" s="332">
        <v>0</v>
      </c>
      <c r="G103" s="332">
        <v>0</v>
      </c>
      <c r="H103" s="332">
        <v>0</v>
      </c>
      <c r="I103" s="332">
        <v>181</v>
      </c>
      <c r="J103" s="332">
        <f t="shared" si="2"/>
        <v>181</v>
      </c>
      <c r="K103" s="332">
        <v>222600</v>
      </c>
      <c r="L103" s="332">
        <v>235.3</v>
      </c>
      <c r="M103" s="332">
        <v>217.2</v>
      </c>
      <c r="N103" s="332">
        <v>200340</v>
      </c>
      <c r="O103" s="332">
        <v>282360</v>
      </c>
      <c r="P103" s="332">
        <v>200340</v>
      </c>
      <c r="Q103" s="332">
        <v>200340</v>
      </c>
      <c r="R103" s="332">
        <v>285400.8</v>
      </c>
      <c r="S103" s="332">
        <v>200340</v>
      </c>
      <c r="T103" s="332">
        <v>0</v>
      </c>
      <c r="U103" s="332">
        <v>0</v>
      </c>
    </row>
    <row r="104" spans="1:21" x14ac:dyDescent="0.25">
      <c r="A104" s="329">
        <v>4133</v>
      </c>
      <c r="B104" s="329">
        <v>7</v>
      </c>
      <c r="C104" s="335" t="s">
        <v>632</v>
      </c>
      <c r="D104" s="332">
        <v>0</v>
      </c>
      <c r="E104" s="332">
        <v>0</v>
      </c>
      <c r="F104" s="332">
        <v>0</v>
      </c>
      <c r="G104" s="332">
        <v>0</v>
      </c>
      <c r="H104" s="332">
        <v>76</v>
      </c>
      <c r="I104" s="332">
        <v>89</v>
      </c>
      <c r="J104" s="332">
        <f t="shared" si="2"/>
        <v>165</v>
      </c>
      <c r="K104" s="332">
        <v>272265.99</v>
      </c>
      <c r="L104" s="332">
        <v>196.26</v>
      </c>
      <c r="M104" s="332">
        <v>182.8</v>
      </c>
      <c r="N104" s="332">
        <v>245039.39</v>
      </c>
      <c r="O104" s="332">
        <v>235512</v>
      </c>
      <c r="P104" s="332">
        <v>235512</v>
      </c>
      <c r="Q104" s="332">
        <v>245039.39</v>
      </c>
      <c r="R104" s="332">
        <v>240199.2</v>
      </c>
      <c r="S104" s="332">
        <v>240199.2</v>
      </c>
      <c r="T104" s="332">
        <v>4687.2000000000116</v>
      </c>
      <c r="U104" s="332">
        <v>28.407272727272797</v>
      </c>
    </row>
    <row r="105" spans="1:21" x14ac:dyDescent="0.25">
      <c r="A105" s="329">
        <v>4135</v>
      </c>
      <c r="B105" s="329">
        <v>7</v>
      </c>
      <c r="C105" s="335" t="s">
        <v>844</v>
      </c>
      <c r="D105" s="332">
        <v>0</v>
      </c>
      <c r="E105" s="332">
        <v>0</v>
      </c>
      <c r="F105" s="332">
        <v>28</v>
      </c>
      <c r="G105" s="332">
        <v>84</v>
      </c>
      <c r="H105" s="332">
        <v>84</v>
      </c>
      <c r="I105" s="332">
        <v>56</v>
      </c>
      <c r="J105" s="332">
        <f t="shared" si="2"/>
        <v>252</v>
      </c>
      <c r="K105" s="332">
        <v>241629.96</v>
      </c>
      <c r="L105" s="332">
        <v>272.64</v>
      </c>
      <c r="M105" s="332">
        <v>249.2</v>
      </c>
      <c r="N105" s="332">
        <v>217466.96</v>
      </c>
      <c r="O105" s="332">
        <v>327168</v>
      </c>
      <c r="P105" s="332">
        <v>217466.96</v>
      </c>
      <c r="Q105" s="332">
        <v>217466.96</v>
      </c>
      <c r="R105" s="332">
        <v>327448.8</v>
      </c>
      <c r="S105" s="332">
        <v>217466.96</v>
      </c>
      <c r="T105" s="332">
        <v>0</v>
      </c>
      <c r="U105" s="332">
        <v>0</v>
      </c>
    </row>
    <row r="106" spans="1:21" x14ac:dyDescent="0.25">
      <c r="A106" s="329">
        <v>4137</v>
      </c>
      <c r="B106" s="329">
        <v>7</v>
      </c>
      <c r="C106" s="335" t="s">
        <v>845</v>
      </c>
      <c r="D106" s="332">
        <v>0</v>
      </c>
      <c r="E106" s="332">
        <v>3</v>
      </c>
      <c r="F106" s="332">
        <v>21</v>
      </c>
      <c r="G106" s="332">
        <v>69</v>
      </c>
      <c r="H106" s="332">
        <v>51</v>
      </c>
      <c r="I106" s="332">
        <v>0</v>
      </c>
      <c r="J106" s="332">
        <f t="shared" si="2"/>
        <v>144</v>
      </c>
      <c r="K106" s="332">
        <v>193480.95</v>
      </c>
      <c r="L106" s="332">
        <v>146.85</v>
      </c>
      <c r="M106" s="332">
        <v>133.5</v>
      </c>
      <c r="N106" s="332">
        <v>174132.86</v>
      </c>
      <c r="O106" s="332">
        <v>176220</v>
      </c>
      <c r="P106" s="332">
        <v>174132.86</v>
      </c>
      <c r="Q106" s="332">
        <v>174132.86</v>
      </c>
      <c r="R106" s="332">
        <v>175419</v>
      </c>
      <c r="S106" s="332">
        <v>174132.86</v>
      </c>
      <c r="T106" s="332">
        <v>0</v>
      </c>
      <c r="U106" s="332">
        <v>0</v>
      </c>
    </row>
    <row r="107" spans="1:21" x14ac:dyDescent="0.25">
      <c r="A107" s="329">
        <v>4138</v>
      </c>
      <c r="B107" s="329">
        <v>7</v>
      </c>
      <c r="C107" s="335" t="s">
        <v>345</v>
      </c>
      <c r="D107" s="332">
        <v>0</v>
      </c>
      <c r="E107" s="332">
        <v>1</v>
      </c>
      <c r="F107" s="332">
        <v>10</v>
      </c>
      <c r="G107" s="332">
        <v>26</v>
      </c>
      <c r="H107" s="332">
        <v>9</v>
      </c>
      <c r="I107" s="332">
        <v>0</v>
      </c>
      <c r="J107" s="332">
        <f t="shared" si="2"/>
        <v>46</v>
      </c>
      <c r="K107" s="332">
        <v>54645.24</v>
      </c>
      <c r="L107" s="332">
        <v>45.65</v>
      </c>
      <c r="M107" s="332">
        <v>41</v>
      </c>
      <c r="N107" s="332">
        <v>49180.72</v>
      </c>
      <c r="O107" s="332">
        <v>54780</v>
      </c>
      <c r="P107" s="332">
        <v>49180.72</v>
      </c>
      <c r="Q107" s="332">
        <v>49180.72</v>
      </c>
      <c r="R107" s="332">
        <v>53874</v>
      </c>
      <c r="S107" s="332">
        <v>49180.72</v>
      </c>
      <c r="T107" s="332">
        <v>0</v>
      </c>
      <c r="U107" s="332">
        <v>0</v>
      </c>
    </row>
    <row r="108" spans="1:21" x14ac:dyDescent="0.25">
      <c r="A108" s="329">
        <v>4139</v>
      </c>
      <c r="B108" s="329">
        <v>7</v>
      </c>
      <c r="C108" s="335" t="s">
        <v>711</v>
      </c>
      <c r="D108" s="332">
        <v>0</v>
      </c>
      <c r="E108" s="332">
        <v>0</v>
      </c>
      <c r="F108" s="332">
        <v>30</v>
      </c>
      <c r="G108" s="332">
        <v>101</v>
      </c>
      <c r="H108" s="332">
        <v>69</v>
      </c>
      <c r="I108" s="332">
        <v>35</v>
      </c>
      <c r="J108" s="332">
        <f t="shared" si="2"/>
        <v>235</v>
      </c>
      <c r="K108" s="332">
        <v>295124</v>
      </c>
      <c r="L108" s="332">
        <v>249.62</v>
      </c>
      <c r="M108" s="332">
        <v>227</v>
      </c>
      <c r="N108" s="332">
        <v>265611.59999999998</v>
      </c>
      <c r="O108" s="332">
        <v>299544</v>
      </c>
      <c r="P108" s="332">
        <v>265611.59999999998</v>
      </c>
      <c r="Q108" s="332">
        <v>265611.59999999998</v>
      </c>
      <c r="R108" s="332">
        <v>298278</v>
      </c>
      <c r="S108" s="332">
        <v>265611.59999999998</v>
      </c>
      <c r="T108" s="332">
        <v>0</v>
      </c>
      <c r="U108" s="332">
        <v>0</v>
      </c>
    </row>
    <row r="109" spans="1:21" x14ac:dyDescent="0.25">
      <c r="A109" s="329">
        <v>4140</v>
      </c>
      <c r="B109" s="329">
        <v>7</v>
      </c>
      <c r="C109" s="335" t="s">
        <v>300</v>
      </c>
      <c r="D109" s="332">
        <v>0</v>
      </c>
      <c r="E109" s="332">
        <v>5</v>
      </c>
      <c r="F109" s="332">
        <v>95</v>
      </c>
      <c r="G109" s="332">
        <v>232</v>
      </c>
      <c r="H109" s="332">
        <v>132</v>
      </c>
      <c r="I109" s="332">
        <v>32</v>
      </c>
      <c r="J109" s="332">
        <f t="shared" si="2"/>
        <v>496</v>
      </c>
      <c r="K109" s="332">
        <v>660371.87</v>
      </c>
      <c r="L109" s="332">
        <v>503.34</v>
      </c>
      <c r="M109" s="332">
        <v>454.9</v>
      </c>
      <c r="N109" s="332">
        <v>594334.68000000005</v>
      </c>
      <c r="O109" s="332">
        <v>604008</v>
      </c>
      <c r="P109" s="332">
        <v>594334.68000000005</v>
      </c>
      <c r="Q109" s="332">
        <v>594334.68000000005</v>
      </c>
      <c r="R109" s="332">
        <v>597738.6</v>
      </c>
      <c r="S109" s="332">
        <v>594334.68000000005</v>
      </c>
      <c r="T109" s="332">
        <v>0</v>
      </c>
      <c r="U109" s="332">
        <v>0</v>
      </c>
    </row>
    <row r="110" spans="1:21" x14ac:dyDescent="0.25">
      <c r="A110" s="329">
        <v>4141</v>
      </c>
      <c r="B110" s="329">
        <v>7</v>
      </c>
      <c r="C110" s="335" t="s">
        <v>517</v>
      </c>
      <c r="D110" s="332">
        <v>0</v>
      </c>
      <c r="E110" s="332">
        <v>0</v>
      </c>
      <c r="F110" s="332">
        <v>44</v>
      </c>
      <c r="G110" s="332">
        <v>132</v>
      </c>
      <c r="H110" s="332">
        <v>132</v>
      </c>
      <c r="I110" s="332">
        <v>85</v>
      </c>
      <c r="J110" s="332">
        <f t="shared" si="2"/>
        <v>393</v>
      </c>
      <c r="K110" s="332">
        <v>615120</v>
      </c>
      <c r="L110" s="332">
        <v>424.53</v>
      </c>
      <c r="M110" s="332">
        <v>388</v>
      </c>
      <c r="N110" s="332">
        <v>553608</v>
      </c>
      <c r="O110" s="332">
        <v>509436</v>
      </c>
      <c r="P110" s="332">
        <v>509436</v>
      </c>
      <c r="Q110" s="332">
        <v>553608</v>
      </c>
      <c r="R110" s="332">
        <v>509832</v>
      </c>
      <c r="S110" s="332">
        <v>509832</v>
      </c>
      <c r="T110" s="332">
        <v>396</v>
      </c>
      <c r="U110" s="332">
        <v>1.0076335877862594</v>
      </c>
    </row>
    <row r="111" spans="1:21" x14ac:dyDescent="0.25">
      <c r="A111" s="329">
        <v>4142</v>
      </c>
      <c r="B111" s="329">
        <v>7</v>
      </c>
      <c r="C111" s="335" t="s">
        <v>621</v>
      </c>
      <c r="D111" s="332">
        <v>0</v>
      </c>
      <c r="E111" s="332">
        <v>5</v>
      </c>
      <c r="F111" s="332">
        <v>75</v>
      </c>
      <c r="G111" s="332">
        <v>183</v>
      </c>
      <c r="H111" s="332">
        <v>136</v>
      </c>
      <c r="I111" s="332">
        <v>74</v>
      </c>
      <c r="J111" s="332">
        <f t="shared" si="2"/>
        <v>473</v>
      </c>
      <c r="K111" s="332">
        <v>856520.92</v>
      </c>
      <c r="L111" s="332">
        <v>495.31</v>
      </c>
      <c r="M111" s="332">
        <v>450.3</v>
      </c>
      <c r="N111" s="332">
        <v>770868.83</v>
      </c>
      <c r="O111" s="332">
        <v>594372</v>
      </c>
      <c r="P111" s="332">
        <v>594372</v>
      </c>
      <c r="Q111" s="332">
        <v>770868.83</v>
      </c>
      <c r="R111" s="332">
        <v>591694.19999999995</v>
      </c>
      <c r="S111" s="332">
        <v>591694.19999999995</v>
      </c>
      <c r="T111" s="332">
        <v>-2677.8000000000466</v>
      </c>
      <c r="U111" s="332">
        <v>-5.6613107822411131</v>
      </c>
    </row>
    <row r="112" spans="1:21" x14ac:dyDescent="0.25">
      <c r="A112" s="329">
        <v>4143</v>
      </c>
      <c r="B112" s="329">
        <v>7</v>
      </c>
      <c r="C112" s="335" t="s">
        <v>846</v>
      </c>
      <c r="D112" s="332">
        <v>0</v>
      </c>
      <c r="E112" s="332">
        <v>0</v>
      </c>
      <c r="F112" s="332">
        <v>58</v>
      </c>
      <c r="G112" s="332">
        <v>158</v>
      </c>
      <c r="H112" s="332">
        <v>144</v>
      </c>
      <c r="I112" s="332">
        <v>90</v>
      </c>
      <c r="J112" s="332">
        <f t="shared" si="2"/>
        <v>450</v>
      </c>
      <c r="K112" s="332">
        <v>641745.06000000006</v>
      </c>
      <c r="L112" s="332">
        <v>481.31</v>
      </c>
      <c r="M112" s="332">
        <v>439</v>
      </c>
      <c r="N112" s="332">
        <v>577570.55000000005</v>
      </c>
      <c r="O112" s="332">
        <v>577572</v>
      </c>
      <c r="P112" s="332">
        <v>577570.55000000005</v>
      </c>
      <c r="Q112" s="332">
        <v>577570.55000000005</v>
      </c>
      <c r="R112" s="332">
        <v>576846</v>
      </c>
      <c r="S112" s="332">
        <v>576846</v>
      </c>
      <c r="T112" s="332">
        <v>-724.55000000004657</v>
      </c>
      <c r="U112" s="332">
        <v>-1.6101111111112145</v>
      </c>
    </row>
    <row r="113" spans="1:21" x14ac:dyDescent="0.25">
      <c r="A113" s="329">
        <v>4144</v>
      </c>
      <c r="B113" s="329">
        <v>7</v>
      </c>
      <c r="C113" s="302" t="s">
        <v>664</v>
      </c>
      <c r="D113" s="332">
        <v>0</v>
      </c>
      <c r="E113" s="332">
        <v>1</v>
      </c>
      <c r="F113" s="332">
        <v>4</v>
      </c>
      <c r="G113" s="332">
        <v>32</v>
      </c>
      <c r="H113" s="332">
        <v>29</v>
      </c>
      <c r="I113" s="332">
        <v>0</v>
      </c>
      <c r="J113" s="332">
        <f t="shared" si="2"/>
        <v>66</v>
      </c>
      <c r="K113" s="332">
        <v>150000</v>
      </c>
      <c r="L113" s="332">
        <v>69.87</v>
      </c>
      <c r="M113" s="332">
        <v>64</v>
      </c>
      <c r="N113" s="332">
        <v>135000</v>
      </c>
      <c r="O113" s="332">
        <v>83844</v>
      </c>
      <c r="P113" s="332">
        <v>83844</v>
      </c>
      <c r="Q113" s="332">
        <v>135000</v>
      </c>
      <c r="R113" s="332">
        <v>84096</v>
      </c>
      <c r="S113" s="332">
        <v>84096</v>
      </c>
      <c r="T113" s="332">
        <v>252</v>
      </c>
      <c r="U113" s="332">
        <v>3.8181818181818183</v>
      </c>
    </row>
    <row r="114" spans="1:21" x14ac:dyDescent="0.25">
      <c r="A114" s="329">
        <v>4145</v>
      </c>
      <c r="B114" s="329">
        <v>7</v>
      </c>
      <c r="C114" s="335" t="s">
        <v>562</v>
      </c>
      <c r="D114" s="332">
        <v>0</v>
      </c>
      <c r="E114" s="332">
        <v>0</v>
      </c>
      <c r="F114" s="332">
        <v>5</v>
      </c>
      <c r="G114" s="332">
        <v>17</v>
      </c>
      <c r="H114" s="332">
        <v>12</v>
      </c>
      <c r="I114" s="332">
        <v>0</v>
      </c>
      <c r="J114" s="332">
        <f t="shared" si="2"/>
        <v>34</v>
      </c>
      <c r="K114" s="332">
        <v>72933.820000000007</v>
      </c>
      <c r="L114" s="332">
        <v>34.74</v>
      </c>
      <c r="M114" s="332">
        <v>31.5</v>
      </c>
      <c r="N114" s="332">
        <v>65640.44</v>
      </c>
      <c r="O114" s="332">
        <v>41688</v>
      </c>
      <c r="P114" s="332">
        <v>41688</v>
      </c>
      <c r="Q114" s="332">
        <v>65640.44</v>
      </c>
      <c r="R114" s="332">
        <v>41391</v>
      </c>
      <c r="S114" s="332">
        <v>41391</v>
      </c>
      <c r="T114" s="332">
        <v>-297</v>
      </c>
      <c r="U114" s="332">
        <v>-8.735294117647058</v>
      </c>
    </row>
    <row r="115" spans="1:21" x14ac:dyDescent="0.25">
      <c r="A115" s="329">
        <v>4146</v>
      </c>
      <c r="B115" s="329">
        <v>7</v>
      </c>
      <c r="C115" s="335" t="s">
        <v>847</v>
      </c>
      <c r="D115" s="332">
        <v>0</v>
      </c>
      <c r="E115" s="332">
        <v>0</v>
      </c>
      <c r="F115" s="332">
        <v>0</v>
      </c>
      <c r="G115" s="332">
        <v>0</v>
      </c>
      <c r="H115" s="332">
        <v>5</v>
      </c>
      <c r="I115" s="332">
        <v>95</v>
      </c>
      <c r="J115" s="332">
        <f t="shared" si="2"/>
        <v>100</v>
      </c>
      <c r="K115" s="332">
        <v>163500</v>
      </c>
      <c r="L115" s="332">
        <v>128.80000000000001</v>
      </c>
      <c r="M115" s="332">
        <v>119</v>
      </c>
      <c r="N115" s="332">
        <v>147150</v>
      </c>
      <c r="O115" s="332">
        <v>154560</v>
      </c>
      <c r="P115" s="332">
        <v>147150</v>
      </c>
      <c r="Q115" s="332">
        <v>147150</v>
      </c>
      <c r="R115" s="332">
        <v>156366</v>
      </c>
      <c r="S115" s="332">
        <v>147150</v>
      </c>
      <c r="T115" s="332">
        <v>0</v>
      </c>
      <c r="U115" s="332">
        <v>0</v>
      </c>
    </row>
    <row r="116" spans="1:21" x14ac:dyDescent="0.25">
      <c r="A116" s="329">
        <v>4150</v>
      </c>
      <c r="B116" s="329">
        <v>7</v>
      </c>
      <c r="C116" s="335" t="s">
        <v>658</v>
      </c>
      <c r="D116" s="332">
        <v>0</v>
      </c>
      <c r="E116" s="332">
        <v>0</v>
      </c>
      <c r="F116" s="332">
        <v>0</v>
      </c>
      <c r="G116" s="332">
        <v>0</v>
      </c>
      <c r="H116" s="332">
        <v>0</v>
      </c>
      <c r="I116" s="332">
        <v>98</v>
      </c>
      <c r="J116" s="332">
        <f t="shared" si="2"/>
        <v>98</v>
      </c>
      <c r="K116" s="332">
        <v>40671.919999999998</v>
      </c>
      <c r="L116" s="332">
        <v>127.4</v>
      </c>
      <c r="M116" s="332">
        <v>117.6</v>
      </c>
      <c r="N116" s="332">
        <v>36604.730000000003</v>
      </c>
      <c r="O116" s="332">
        <v>152880</v>
      </c>
      <c r="P116" s="332">
        <v>36604.730000000003</v>
      </c>
      <c r="Q116" s="332">
        <v>36604.730000000003</v>
      </c>
      <c r="R116" s="332">
        <v>154526.39999999999</v>
      </c>
      <c r="S116" s="332">
        <v>36604.730000000003</v>
      </c>
      <c r="T116" s="332">
        <v>0</v>
      </c>
      <c r="U116" s="332">
        <v>0</v>
      </c>
    </row>
    <row r="117" spans="1:21" x14ac:dyDescent="0.25">
      <c r="A117" s="329">
        <v>4151</v>
      </c>
      <c r="B117" s="329">
        <v>7</v>
      </c>
      <c r="C117" s="335" t="s">
        <v>657</v>
      </c>
      <c r="D117" s="332">
        <v>0</v>
      </c>
      <c r="E117" s="332">
        <v>0</v>
      </c>
      <c r="F117" s="332">
        <v>0</v>
      </c>
      <c r="G117" s="332">
        <v>0</v>
      </c>
      <c r="H117" s="332">
        <v>0</v>
      </c>
      <c r="I117" s="332">
        <v>94</v>
      </c>
      <c r="J117" s="332">
        <f t="shared" si="2"/>
        <v>94</v>
      </c>
      <c r="K117" s="332">
        <v>0</v>
      </c>
      <c r="L117" s="332">
        <v>122.2</v>
      </c>
      <c r="M117" s="332">
        <v>112.8</v>
      </c>
      <c r="N117" s="332">
        <v>0</v>
      </c>
      <c r="O117" s="332">
        <v>146640</v>
      </c>
      <c r="P117" s="332">
        <v>0</v>
      </c>
      <c r="Q117" s="332">
        <v>0</v>
      </c>
      <c r="R117" s="332">
        <v>148219.20000000001</v>
      </c>
      <c r="S117" s="332">
        <v>0</v>
      </c>
      <c r="T117" s="332">
        <v>0</v>
      </c>
      <c r="U117" s="332">
        <v>0</v>
      </c>
    </row>
    <row r="118" spans="1:21" x14ac:dyDescent="0.25">
      <c r="A118" s="329">
        <v>4152</v>
      </c>
      <c r="B118" s="329">
        <v>7</v>
      </c>
      <c r="C118" s="335" t="s">
        <v>848</v>
      </c>
      <c r="D118" s="332">
        <v>0</v>
      </c>
      <c r="E118" s="332">
        <v>0</v>
      </c>
      <c r="F118" s="332">
        <v>60</v>
      </c>
      <c r="G118" s="332">
        <v>135</v>
      </c>
      <c r="H118" s="332">
        <v>86</v>
      </c>
      <c r="I118" s="332">
        <v>27</v>
      </c>
      <c r="J118" s="332">
        <f t="shared" si="2"/>
        <v>308</v>
      </c>
      <c r="K118" s="332">
        <v>427872.94</v>
      </c>
      <c r="L118" s="332">
        <v>313.51</v>
      </c>
      <c r="M118" s="332">
        <v>283.39999999999998</v>
      </c>
      <c r="N118" s="332">
        <v>385085.65</v>
      </c>
      <c r="O118" s="332">
        <v>376212</v>
      </c>
      <c r="P118" s="332">
        <v>376212</v>
      </c>
      <c r="Q118" s="332">
        <v>385085.65</v>
      </c>
      <c r="R118" s="332">
        <v>372387.6</v>
      </c>
      <c r="S118" s="332">
        <v>372387.6</v>
      </c>
      <c r="T118" s="332">
        <v>-3824.4000000000233</v>
      </c>
      <c r="U118" s="332">
        <v>-12.416883116883193</v>
      </c>
    </row>
    <row r="119" spans="1:21" x14ac:dyDescent="0.25">
      <c r="A119" s="329">
        <v>4153</v>
      </c>
      <c r="B119" s="329">
        <v>7</v>
      </c>
      <c r="C119" s="335" t="s">
        <v>715</v>
      </c>
      <c r="D119" s="332">
        <v>0</v>
      </c>
      <c r="E119" s="332">
        <v>0</v>
      </c>
      <c r="F119" s="332">
        <v>40</v>
      </c>
      <c r="G119" s="332">
        <v>108</v>
      </c>
      <c r="H119" s="332">
        <v>105</v>
      </c>
      <c r="I119" s="332">
        <v>50</v>
      </c>
      <c r="J119" s="332">
        <f t="shared" si="2"/>
        <v>303</v>
      </c>
      <c r="K119" s="332">
        <v>546265</v>
      </c>
      <c r="L119" s="332">
        <v>321.2</v>
      </c>
      <c r="M119" s="332">
        <v>293</v>
      </c>
      <c r="N119" s="332">
        <v>491638.5</v>
      </c>
      <c r="O119" s="332">
        <v>385440</v>
      </c>
      <c r="P119" s="332">
        <v>385440</v>
      </c>
      <c r="Q119" s="332">
        <v>491638.5</v>
      </c>
      <c r="R119" s="332">
        <v>385002</v>
      </c>
      <c r="S119" s="332">
        <v>385002</v>
      </c>
      <c r="T119" s="332">
        <v>-438</v>
      </c>
      <c r="U119" s="332">
        <v>-1.4455445544554455</v>
      </c>
    </row>
    <row r="120" spans="1:21" x14ac:dyDescent="0.25">
      <c r="A120" s="329">
        <v>4155</v>
      </c>
      <c r="B120" s="329">
        <v>7</v>
      </c>
      <c r="C120" s="335" t="s">
        <v>849</v>
      </c>
      <c r="D120" s="332">
        <v>0</v>
      </c>
      <c r="E120" s="332">
        <v>2</v>
      </c>
      <c r="F120" s="332">
        <v>16</v>
      </c>
      <c r="G120" s="332">
        <v>53</v>
      </c>
      <c r="H120" s="332">
        <v>48</v>
      </c>
      <c r="I120" s="332">
        <v>0</v>
      </c>
      <c r="J120" s="332">
        <f t="shared" si="2"/>
        <v>119</v>
      </c>
      <c r="K120" s="332">
        <v>120000</v>
      </c>
      <c r="L120" s="332">
        <v>121.77</v>
      </c>
      <c r="M120" s="332">
        <v>111</v>
      </c>
      <c r="N120" s="332">
        <v>108000</v>
      </c>
      <c r="O120" s="332">
        <v>146124</v>
      </c>
      <c r="P120" s="332">
        <v>108000</v>
      </c>
      <c r="Q120" s="332">
        <v>108000</v>
      </c>
      <c r="R120" s="332">
        <v>145854</v>
      </c>
      <c r="S120" s="332">
        <v>108000</v>
      </c>
      <c r="T120" s="332">
        <v>0</v>
      </c>
      <c r="U120" s="332">
        <v>0</v>
      </c>
    </row>
    <row r="121" spans="1:21" x14ac:dyDescent="0.25">
      <c r="A121" s="329">
        <v>4159</v>
      </c>
      <c r="B121" s="329">
        <v>7</v>
      </c>
      <c r="C121" s="335" t="s">
        <v>321</v>
      </c>
      <c r="D121" s="332">
        <v>0</v>
      </c>
      <c r="E121" s="332">
        <v>0</v>
      </c>
      <c r="F121" s="332">
        <v>90</v>
      </c>
      <c r="G121" s="332">
        <v>227</v>
      </c>
      <c r="H121" s="332">
        <v>118</v>
      </c>
      <c r="I121" s="332">
        <v>0</v>
      </c>
      <c r="J121" s="332">
        <f t="shared" si="2"/>
        <v>435</v>
      </c>
      <c r="K121" s="332">
        <v>575201</v>
      </c>
      <c r="L121" s="332">
        <v>433.27</v>
      </c>
      <c r="M121" s="332">
        <v>390</v>
      </c>
      <c r="N121" s="332">
        <v>517680.9</v>
      </c>
      <c r="O121" s="332">
        <v>519924</v>
      </c>
      <c r="P121" s="332">
        <v>517680.9</v>
      </c>
      <c r="Q121" s="332">
        <v>517680.9</v>
      </c>
      <c r="R121" s="332">
        <v>512460</v>
      </c>
      <c r="S121" s="332">
        <v>512460</v>
      </c>
      <c r="T121" s="332">
        <v>-5220.9000000000233</v>
      </c>
      <c r="U121" s="332">
        <v>-12.002068965517294</v>
      </c>
    </row>
    <row r="122" spans="1:21" x14ac:dyDescent="0.25">
      <c r="A122" s="329">
        <v>4160</v>
      </c>
      <c r="B122" s="329">
        <v>7</v>
      </c>
      <c r="C122" s="335" t="s">
        <v>614</v>
      </c>
      <c r="D122" s="332">
        <v>0</v>
      </c>
      <c r="E122" s="332">
        <v>0</v>
      </c>
      <c r="F122" s="332">
        <v>0</v>
      </c>
      <c r="G122" s="332">
        <v>0</v>
      </c>
      <c r="H122" s="332">
        <v>75</v>
      </c>
      <c r="I122" s="332">
        <v>415</v>
      </c>
      <c r="J122" s="332">
        <f t="shared" si="2"/>
        <v>490</v>
      </c>
      <c r="K122" s="332">
        <v>694783.7</v>
      </c>
      <c r="L122" s="332">
        <v>619</v>
      </c>
      <c r="M122" s="332">
        <v>573</v>
      </c>
      <c r="N122" s="332">
        <v>625305.32999999996</v>
      </c>
      <c r="O122" s="332">
        <v>742800</v>
      </c>
      <c r="P122" s="332">
        <v>625305.32999999996</v>
      </c>
      <c r="Q122" s="332">
        <v>625305.32999999996</v>
      </c>
      <c r="R122" s="332">
        <v>752922</v>
      </c>
      <c r="S122" s="332">
        <v>625305.32999999996</v>
      </c>
      <c r="T122" s="332">
        <v>0</v>
      </c>
      <c r="U122" s="332">
        <v>0</v>
      </c>
    </row>
    <row r="123" spans="1:21" x14ac:dyDescent="0.25">
      <c r="A123" s="329">
        <v>4161</v>
      </c>
      <c r="B123" s="329">
        <v>7</v>
      </c>
      <c r="C123" s="335" t="s">
        <v>665</v>
      </c>
      <c r="D123" s="332">
        <v>0</v>
      </c>
      <c r="E123" s="332">
        <v>2</v>
      </c>
      <c r="F123" s="332">
        <v>24</v>
      </c>
      <c r="G123" s="332">
        <v>75</v>
      </c>
      <c r="H123" s="332">
        <v>75</v>
      </c>
      <c r="I123" s="332">
        <v>0</v>
      </c>
      <c r="J123" s="332">
        <f t="shared" si="2"/>
        <v>176</v>
      </c>
      <c r="K123" s="332">
        <v>291124.81</v>
      </c>
      <c r="L123" s="332">
        <v>179.81</v>
      </c>
      <c r="M123" s="332">
        <v>164</v>
      </c>
      <c r="N123" s="332">
        <v>262012.33</v>
      </c>
      <c r="O123" s="332">
        <v>215772</v>
      </c>
      <c r="P123" s="332">
        <v>215772</v>
      </c>
      <c r="Q123" s="332">
        <v>262012.33</v>
      </c>
      <c r="R123" s="332">
        <v>215496</v>
      </c>
      <c r="S123" s="332">
        <v>215496</v>
      </c>
      <c r="T123" s="332">
        <v>-276</v>
      </c>
      <c r="U123" s="332">
        <v>-1.5681818181818181</v>
      </c>
    </row>
    <row r="124" spans="1:21" x14ac:dyDescent="0.25">
      <c r="A124" s="329">
        <v>4162</v>
      </c>
      <c r="B124" s="329">
        <v>7</v>
      </c>
      <c r="C124" s="335" t="s">
        <v>667</v>
      </c>
      <c r="D124" s="332">
        <v>0</v>
      </c>
      <c r="E124" s="332">
        <v>0</v>
      </c>
      <c r="F124" s="332">
        <v>12</v>
      </c>
      <c r="G124" s="332">
        <v>39</v>
      </c>
      <c r="H124" s="332">
        <v>38</v>
      </c>
      <c r="I124" s="332">
        <v>25</v>
      </c>
      <c r="J124" s="332">
        <f t="shared" si="2"/>
        <v>114</v>
      </c>
      <c r="K124" s="332">
        <v>150000</v>
      </c>
      <c r="L124" s="332">
        <v>123.61</v>
      </c>
      <c r="M124" s="332">
        <v>113</v>
      </c>
      <c r="N124" s="332">
        <v>135000</v>
      </c>
      <c r="O124" s="332">
        <v>148332</v>
      </c>
      <c r="P124" s="332">
        <v>135000</v>
      </c>
      <c r="Q124" s="332">
        <v>135000</v>
      </c>
      <c r="R124" s="332">
        <v>148482</v>
      </c>
      <c r="S124" s="332">
        <v>135000</v>
      </c>
      <c r="T124" s="332">
        <v>0</v>
      </c>
      <c r="U124" s="332">
        <v>0</v>
      </c>
    </row>
    <row r="125" spans="1:21" x14ac:dyDescent="0.25">
      <c r="A125" s="329">
        <v>4163</v>
      </c>
      <c r="B125" s="329">
        <v>7</v>
      </c>
      <c r="C125" s="335" t="s">
        <v>253</v>
      </c>
      <c r="D125" s="332">
        <v>0</v>
      </c>
      <c r="E125" s="332">
        <v>0</v>
      </c>
      <c r="F125" s="332">
        <v>35</v>
      </c>
      <c r="G125" s="332">
        <v>77</v>
      </c>
      <c r="H125" s="332">
        <v>77</v>
      </c>
      <c r="I125" s="332">
        <v>79</v>
      </c>
      <c r="J125" s="332">
        <f t="shared" si="2"/>
        <v>268</v>
      </c>
      <c r="K125" s="332">
        <v>420442.79</v>
      </c>
      <c r="L125" s="332">
        <v>291.60000000000002</v>
      </c>
      <c r="M125" s="332">
        <v>266.3</v>
      </c>
      <c r="N125" s="332">
        <v>378398.51</v>
      </c>
      <c r="O125" s="332">
        <v>349920</v>
      </c>
      <c r="P125" s="332">
        <v>349920</v>
      </c>
      <c r="Q125" s="332">
        <v>378398.51</v>
      </c>
      <c r="R125" s="332">
        <v>349918.2</v>
      </c>
      <c r="S125" s="332">
        <v>349918.2</v>
      </c>
      <c r="T125" s="332">
        <v>-1.7999999999883585</v>
      </c>
      <c r="U125" s="332">
        <v>-6.7164179104043228E-3</v>
      </c>
    </row>
    <row r="126" spans="1:21" x14ac:dyDescent="0.25">
      <c r="A126" s="329">
        <v>4164</v>
      </c>
      <c r="B126" s="329">
        <v>7</v>
      </c>
      <c r="C126" s="335" t="s">
        <v>850</v>
      </c>
      <c r="D126" s="332">
        <v>0</v>
      </c>
      <c r="E126" s="332">
        <v>0</v>
      </c>
      <c r="F126" s="332">
        <v>0</v>
      </c>
      <c r="G126" s="332">
        <v>0</v>
      </c>
      <c r="H126" s="332">
        <v>95</v>
      </c>
      <c r="I126" s="332">
        <v>105</v>
      </c>
      <c r="J126" s="332">
        <f t="shared" si="2"/>
        <v>200</v>
      </c>
      <c r="K126" s="332">
        <v>314928</v>
      </c>
      <c r="L126" s="332">
        <v>237.2</v>
      </c>
      <c r="M126" s="332">
        <v>221</v>
      </c>
      <c r="N126" s="332">
        <v>283435.2</v>
      </c>
      <c r="O126" s="332">
        <v>284640</v>
      </c>
      <c r="P126" s="332">
        <v>283435.2</v>
      </c>
      <c r="Q126" s="332">
        <v>283435.2</v>
      </c>
      <c r="R126" s="332">
        <v>290394</v>
      </c>
      <c r="S126" s="332">
        <v>283435.2</v>
      </c>
      <c r="T126" s="332">
        <v>0</v>
      </c>
      <c r="U126" s="332">
        <v>0</v>
      </c>
    </row>
    <row r="127" spans="1:21" x14ac:dyDescent="0.25">
      <c r="A127" s="329">
        <v>4166</v>
      </c>
      <c r="B127" s="329">
        <v>7</v>
      </c>
      <c r="C127" s="335" t="s">
        <v>851</v>
      </c>
      <c r="D127" s="332">
        <v>0</v>
      </c>
      <c r="E127" s="332">
        <v>0</v>
      </c>
      <c r="F127" s="332">
        <v>0</v>
      </c>
      <c r="G127" s="332">
        <v>0</v>
      </c>
      <c r="H127" s="332">
        <v>0</v>
      </c>
      <c r="I127" s="332">
        <v>95</v>
      </c>
      <c r="J127" s="332">
        <f t="shared" si="2"/>
        <v>95</v>
      </c>
      <c r="K127" s="332">
        <v>152400</v>
      </c>
      <c r="L127" s="332">
        <v>123.5</v>
      </c>
      <c r="M127" s="332">
        <v>114</v>
      </c>
      <c r="N127" s="332">
        <v>137160</v>
      </c>
      <c r="O127" s="332">
        <v>148200</v>
      </c>
      <c r="P127" s="332">
        <v>137160</v>
      </c>
      <c r="Q127" s="332">
        <v>137160</v>
      </c>
      <c r="R127" s="332">
        <v>149796</v>
      </c>
      <c r="S127" s="332">
        <v>137160</v>
      </c>
      <c r="T127" s="332">
        <v>0</v>
      </c>
      <c r="U127" s="332">
        <v>0</v>
      </c>
    </row>
    <row r="128" spans="1:21" x14ac:dyDescent="0.25">
      <c r="A128" s="329">
        <v>4167</v>
      </c>
      <c r="B128" s="329">
        <v>7</v>
      </c>
      <c r="C128" s="335" t="s">
        <v>411</v>
      </c>
      <c r="D128" s="332">
        <v>0</v>
      </c>
      <c r="E128" s="332">
        <v>0</v>
      </c>
      <c r="F128" s="332">
        <v>50</v>
      </c>
      <c r="G128" s="332">
        <v>137</v>
      </c>
      <c r="H128" s="332">
        <v>70</v>
      </c>
      <c r="I128" s="332">
        <v>0</v>
      </c>
      <c r="J128" s="332">
        <f t="shared" si="2"/>
        <v>257</v>
      </c>
      <c r="K128" s="332">
        <v>380176</v>
      </c>
      <c r="L128" s="332">
        <v>257.56</v>
      </c>
      <c r="M128" s="332">
        <v>232</v>
      </c>
      <c r="N128" s="332">
        <v>342158.4</v>
      </c>
      <c r="O128" s="332">
        <v>309072</v>
      </c>
      <c r="P128" s="332">
        <v>309072</v>
      </c>
      <c r="Q128" s="332">
        <v>342158.4</v>
      </c>
      <c r="R128" s="332">
        <v>304848</v>
      </c>
      <c r="S128" s="332">
        <v>304848</v>
      </c>
      <c r="T128" s="332">
        <v>-4224</v>
      </c>
      <c r="U128" s="332">
        <v>-16.435797665369648</v>
      </c>
    </row>
    <row r="129" spans="1:21" x14ac:dyDescent="0.25">
      <c r="A129" s="329">
        <v>4168</v>
      </c>
      <c r="B129" s="329">
        <v>7</v>
      </c>
      <c r="C129" s="335" t="s">
        <v>620</v>
      </c>
      <c r="D129" s="332">
        <v>0</v>
      </c>
      <c r="E129" s="332">
        <v>2</v>
      </c>
      <c r="F129" s="332">
        <v>18</v>
      </c>
      <c r="G129" s="332">
        <v>58</v>
      </c>
      <c r="H129" s="332">
        <v>38</v>
      </c>
      <c r="I129" s="332">
        <v>0</v>
      </c>
      <c r="J129" s="332">
        <f t="shared" si="2"/>
        <v>116</v>
      </c>
      <c r="K129" s="332">
        <v>117000</v>
      </c>
      <c r="L129" s="332">
        <v>117.97</v>
      </c>
      <c r="M129" s="332">
        <v>107</v>
      </c>
      <c r="N129" s="332">
        <v>105300</v>
      </c>
      <c r="O129" s="332">
        <v>141564</v>
      </c>
      <c r="P129" s="332">
        <v>105300</v>
      </c>
      <c r="Q129" s="332">
        <v>105300</v>
      </c>
      <c r="R129" s="332">
        <v>140598</v>
      </c>
      <c r="S129" s="332">
        <v>105300</v>
      </c>
      <c r="T129" s="332">
        <v>0</v>
      </c>
      <c r="U129" s="332">
        <v>0</v>
      </c>
    </row>
    <row r="130" spans="1:21" x14ac:dyDescent="0.25">
      <c r="A130" s="329">
        <v>4169</v>
      </c>
      <c r="B130" s="329">
        <v>7</v>
      </c>
      <c r="C130" s="335" t="s">
        <v>852</v>
      </c>
      <c r="D130" s="332">
        <v>0</v>
      </c>
      <c r="E130" s="332">
        <v>2</v>
      </c>
      <c r="F130" s="332">
        <v>42</v>
      </c>
      <c r="G130" s="332">
        <v>121</v>
      </c>
      <c r="H130" s="332">
        <v>66</v>
      </c>
      <c r="I130" s="332">
        <v>0</v>
      </c>
      <c r="J130" s="332">
        <f t="shared" si="2"/>
        <v>231</v>
      </c>
      <c r="K130" s="332">
        <v>310105.89</v>
      </c>
      <c r="L130" s="332">
        <v>232.58</v>
      </c>
      <c r="M130" s="332">
        <v>210</v>
      </c>
      <c r="N130" s="332">
        <v>279095.3</v>
      </c>
      <c r="O130" s="332">
        <v>279096</v>
      </c>
      <c r="P130" s="332">
        <v>279095.3</v>
      </c>
      <c r="Q130" s="332">
        <v>279095.3</v>
      </c>
      <c r="R130" s="332">
        <v>275940</v>
      </c>
      <c r="S130" s="332">
        <v>275940</v>
      </c>
      <c r="T130" s="332">
        <v>-3155.2999999999884</v>
      </c>
      <c r="U130" s="332">
        <v>-13.659307359307309</v>
      </c>
    </row>
    <row r="131" spans="1:21" x14ac:dyDescent="0.25">
      <c r="A131" s="329">
        <v>4170</v>
      </c>
      <c r="B131" s="329">
        <v>7</v>
      </c>
      <c r="C131" s="335" t="s">
        <v>721</v>
      </c>
      <c r="D131" s="332">
        <v>0</v>
      </c>
      <c r="E131" s="332">
        <v>0</v>
      </c>
      <c r="F131" s="332">
        <v>72</v>
      </c>
      <c r="G131" s="332">
        <v>216</v>
      </c>
      <c r="H131" s="332">
        <v>180</v>
      </c>
      <c r="I131" s="332">
        <v>0</v>
      </c>
      <c r="J131" s="332">
        <f t="shared" si="2"/>
        <v>468</v>
      </c>
      <c r="K131" s="332">
        <v>634265.07999999996</v>
      </c>
      <c r="L131" s="332">
        <v>475.7</v>
      </c>
      <c r="M131" s="332">
        <v>432</v>
      </c>
      <c r="N131" s="332">
        <v>570838.56999999995</v>
      </c>
      <c r="O131" s="332">
        <v>570840</v>
      </c>
      <c r="P131" s="332">
        <v>570838.56999999995</v>
      </c>
      <c r="Q131" s="332">
        <v>570838.56999999995</v>
      </c>
      <c r="R131" s="332">
        <v>567648</v>
      </c>
      <c r="S131" s="332">
        <v>567648</v>
      </c>
      <c r="T131" s="332">
        <v>-3190.5699999999488</v>
      </c>
      <c r="U131" s="332">
        <v>-6.8174572649571559</v>
      </c>
    </row>
    <row r="132" spans="1:21" x14ac:dyDescent="0.25">
      <c r="A132" s="329">
        <v>4171</v>
      </c>
      <c r="B132" s="329">
        <v>7</v>
      </c>
      <c r="C132" s="302" t="s">
        <v>722</v>
      </c>
      <c r="D132" s="332">
        <v>0</v>
      </c>
      <c r="E132" s="332">
        <v>0</v>
      </c>
      <c r="F132" s="332">
        <v>60</v>
      </c>
      <c r="G132" s="332">
        <v>200</v>
      </c>
      <c r="H132" s="332">
        <v>160</v>
      </c>
      <c r="I132" s="332">
        <v>80</v>
      </c>
      <c r="J132" s="332">
        <f t="shared" si="2"/>
        <v>500</v>
      </c>
      <c r="K132" s="332">
        <v>704774.87</v>
      </c>
      <c r="L132" s="332">
        <v>533.32000000000005</v>
      </c>
      <c r="M132" s="332">
        <v>486</v>
      </c>
      <c r="N132" s="332">
        <v>634297.38</v>
      </c>
      <c r="O132" s="332">
        <v>639984</v>
      </c>
      <c r="P132" s="332">
        <v>634297.38</v>
      </c>
      <c r="Q132" s="332">
        <v>634297.38</v>
      </c>
      <c r="R132" s="332">
        <v>638604</v>
      </c>
      <c r="S132" s="332">
        <v>634297.38</v>
      </c>
      <c r="T132" s="332">
        <v>0</v>
      </c>
      <c r="U132" s="332">
        <v>0</v>
      </c>
    </row>
    <row r="133" spans="1:21" x14ac:dyDescent="0.25">
      <c r="A133" s="329">
        <v>4172</v>
      </c>
      <c r="B133" s="329">
        <v>7</v>
      </c>
      <c r="C133" s="302" t="s">
        <v>712</v>
      </c>
      <c r="D133" s="332">
        <v>0</v>
      </c>
      <c r="E133" s="332">
        <v>1</v>
      </c>
      <c r="F133" s="332">
        <v>8</v>
      </c>
      <c r="G133" s="332">
        <v>31</v>
      </c>
      <c r="H133" s="332">
        <v>21</v>
      </c>
      <c r="I133" s="332">
        <v>0</v>
      </c>
      <c r="J133" s="332">
        <f t="shared" si="2"/>
        <v>61</v>
      </c>
      <c r="K133" s="332">
        <v>91648</v>
      </c>
      <c r="L133" s="332">
        <v>62.72</v>
      </c>
      <c r="M133" s="332">
        <v>57</v>
      </c>
      <c r="N133" s="332">
        <v>82483.199999999997</v>
      </c>
      <c r="O133" s="332">
        <v>75264</v>
      </c>
      <c r="P133" s="332">
        <v>75264</v>
      </c>
      <c r="Q133" s="332">
        <v>82483.199999999997</v>
      </c>
      <c r="R133" s="332">
        <v>74898</v>
      </c>
      <c r="S133" s="332">
        <v>74898</v>
      </c>
      <c r="T133" s="332">
        <v>-366</v>
      </c>
      <c r="U133" s="332">
        <v>-6</v>
      </c>
    </row>
    <row r="134" spans="1:21" x14ac:dyDescent="0.25">
      <c r="A134" s="329">
        <v>4173</v>
      </c>
      <c r="B134" s="329">
        <v>7</v>
      </c>
      <c r="C134" s="335" t="s">
        <v>853</v>
      </c>
      <c r="D134" s="332">
        <v>0</v>
      </c>
      <c r="E134" s="332">
        <v>0</v>
      </c>
      <c r="F134" s="332">
        <v>0</v>
      </c>
      <c r="G134" s="332">
        <v>0</v>
      </c>
      <c r="H134" s="332">
        <v>0</v>
      </c>
      <c r="I134" s="332">
        <v>72</v>
      </c>
      <c r="J134" s="332">
        <f t="shared" si="2"/>
        <v>72</v>
      </c>
      <c r="K134" s="332">
        <v>121333.03</v>
      </c>
      <c r="L134" s="332">
        <v>93.6</v>
      </c>
      <c r="M134" s="332">
        <v>86.4</v>
      </c>
      <c r="N134" s="332">
        <v>109199.73</v>
      </c>
      <c r="O134" s="332">
        <v>112320</v>
      </c>
      <c r="P134" s="332">
        <v>109199.73</v>
      </c>
      <c r="Q134" s="332">
        <v>109199.73</v>
      </c>
      <c r="R134" s="332">
        <v>113529.60000000001</v>
      </c>
      <c r="S134" s="332">
        <v>109199.73</v>
      </c>
      <c r="T134" s="332">
        <v>0</v>
      </c>
      <c r="U134" s="332">
        <v>0</v>
      </c>
    </row>
    <row r="135" spans="1:21" x14ac:dyDescent="0.25">
      <c r="A135" s="329">
        <v>4177</v>
      </c>
      <c r="B135" s="329">
        <v>7</v>
      </c>
      <c r="C135" s="335" t="s">
        <v>705</v>
      </c>
      <c r="D135" s="332">
        <v>0</v>
      </c>
      <c r="E135" s="332">
        <v>2</v>
      </c>
      <c r="F135" s="332">
        <v>0</v>
      </c>
      <c r="G135" s="332">
        <v>7</v>
      </c>
      <c r="H135" s="332">
        <v>7</v>
      </c>
      <c r="I135" s="332">
        <v>12</v>
      </c>
      <c r="J135" s="332">
        <f t="shared" si="2"/>
        <v>28</v>
      </c>
      <c r="K135" s="332">
        <v>0</v>
      </c>
      <c r="L135" s="332">
        <v>32.83</v>
      </c>
      <c r="M135" s="332">
        <v>30.4</v>
      </c>
      <c r="N135" s="332">
        <v>0</v>
      </c>
      <c r="O135" s="332">
        <v>39396</v>
      </c>
      <c r="P135" s="332">
        <v>0</v>
      </c>
      <c r="Q135" s="332">
        <v>0</v>
      </c>
      <c r="R135" s="332">
        <v>39945.599999999999</v>
      </c>
      <c r="S135" s="332">
        <v>0</v>
      </c>
      <c r="T135" s="332">
        <v>0</v>
      </c>
      <c r="U135" s="332">
        <v>0</v>
      </c>
    </row>
    <row r="136" spans="1:21" x14ac:dyDescent="0.25">
      <c r="A136" s="329">
        <v>4178</v>
      </c>
      <c r="B136" s="329">
        <v>7</v>
      </c>
      <c r="C136" s="335" t="s">
        <v>723</v>
      </c>
      <c r="D136" s="332">
        <v>0</v>
      </c>
      <c r="E136" s="332">
        <v>0</v>
      </c>
      <c r="F136" s="332">
        <v>0</v>
      </c>
      <c r="G136" s="332">
        <v>0</v>
      </c>
      <c r="H136" s="332">
        <v>0</v>
      </c>
      <c r="I136" s="332">
        <v>115</v>
      </c>
      <c r="J136" s="332">
        <f t="shared" si="2"/>
        <v>115</v>
      </c>
      <c r="K136" s="332">
        <v>175000</v>
      </c>
      <c r="L136" s="332">
        <v>149.5</v>
      </c>
      <c r="M136" s="332">
        <v>138</v>
      </c>
      <c r="N136" s="332">
        <v>157500</v>
      </c>
      <c r="O136" s="332">
        <v>179400</v>
      </c>
      <c r="P136" s="332">
        <v>157500</v>
      </c>
      <c r="Q136" s="332">
        <v>157500</v>
      </c>
      <c r="R136" s="332">
        <v>181332</v>
      </c>
      <c r="S136" s="332">
        <v>157500</v>
      </c>
      <c r="T136" s="332">
        <v>0</v>
      </c>
      <c r="U136" s="332">
        <v>0</v>
      </c>
    </row>
    <row r="137" spans="1:21" x14ac:dyDescent="0.25">
      <c r="A137" s="329">
        <v>4180</v>
      </c>
      <c r="B137" s="329">
        <v>7</v>
      </c>
      <c r="C137" s="335" t="s">
        <v>367</v>
      </c>
      <c r="D137" s="332">
        <v>0</v>
      </c>
      <c r="E137" s="332">
        <v>0</v>
      </c>
      <c r="F137" s="332">
        <v>30</v>
      </c>
      <c r="G137" s="332">
        <v>115</v>
      </c>
      <c r="H137" s="332">
        <v>99</v>
      </c>
      <c r="I137" s="332">
        <v>40</v>
      </c>
      <c r="J137" s="332">
        <f t="shared" si="2"/>
        <v>284</v>
      </c>
      <c r="K137" s="332">
        <v>410918.98</v>
      </c>
      <c r="L137" s="332">
        <v>303.52999999999997</v>
      </c>
      <c r="M137" s="332">
        <v>277</v>
      </c>
      <c r="N137" s="332">
        <v>369827.08</v>
      </c>
      <c r="O137" s="332">
        <v>364236</v>
      </c>
      <c r="P137" s="332">
        <v>364236</v>
      </c>
      <c r="Q137" s="332">
        <v>369827.08</v>
      </c>
      <c r="R137" s="332">
        <v>363978</v>
      </c>
      <c r="S137" s="332">
        <v>363978</v>
      </c>
      <c r="T137" s="332">
        <v>-258</v>
      </c>
      <c r="U137" s="332">
        <v>-0.90845070422535212</v>
      </c>
    </row>
    <row r="138" spans="1:21" x14ac:dyDescent="0.25">
      <c r="A138" s="336">
        <v>4181</v>
      </c>
      <c r="B138" s="336">
        <v>7</v>
      </c>
      <c r="C138" s="302" t="s">
        <v>718</v>
      </c>
      <c r="D138" s="332">
        <v>0</v>
      </c>
      <c r="E138" s="332">
        <v>0</v>
      </c>
      <c r="F138" s="332">
        <v>113</v>
      </c>
      <c r="G138" s="332">
        <v>336</v>
      </c>
      <c r="H138" s="332">
        <v>286</v>
      </c>
      <c r="I138" s="332">
        <v>135</v>
      </c>
      <c r="J138" s="332">
        <f t="shared" si="2"/>
        <v>870</v>
      </c>
      <c r="K138" s="332">
        <v>843315</v>
      </c>
      <c r="L138" s="332">
        <v>922.46</v>
      </c>
      <c r="M138" s="332">
        <v>840.5</v>
      </c>
      <c r="N138" s="332">
        <v>758983.5</v>
      </c>
      <c r="O138" s="332">
        <v>1106952</v>
      </c>
      <c r="P138" s="332">
        <v>758983.5</v>
      </c>
      <c r="Q138" s="332">
        <v>758983.5</v>
      </c>
      <c r="R138" s="332">
        <v>1104417</v>
      </c>
      <c r="S138" s="332">
        <v>758983.5</v>
      </c>
      <c r="T138" s="332">
        <v>0</v>
      </c>
      <c r="U138" s="332">
        <v>0</v>
      </c>
    </row>
    <row r="139" spans="1:21" x14ac:dyDescent="0.25">
      <c r="A139" s="336">
        <v>4182</v>
      </c>
      <c r="B139" s="336">
        <v>7</v>
      </c>
      <c r="C139" s="335" t="s">
        <v>854</v>
      </c>
      <c r="D139" s="332">
        <v>0</v>
      </c>
      <c r="E139" s="332">
        <v>0</v>
      </c>
      <c r="F139" s="332">
        <v>0</v>
      </c>
      <c r="G139" s="332">
        <v>0</v>
      </c>
      <c r="H139" s="332">
        <v>5</v>
      </c>
      <c r="I139" s="332">
        <v>65</v>
      </c>
      <c r="J139" s="332">
        <f t="shared" si="2"/>
        <v>70</v>
      </c>
      <c r="K139" s="332">
        <v>100800</v>
      </c>
      <c r="L139" s="332">
        <v>89.8</v>
      </c>
      <c r="M139" s="332">
        <v>83</v>
      </c>
      <c r="N139" s="332">
        <v>90720</v>
      </c>
      <c r="O139" s="332">
        <v>107760</v>
      </c>
      <c r="P139" s="332">
        <v>90720</v>
      </c>
      <c r="Q139" s="332">
        <v>90720</v>
      </c>
      <c r="R139" s="332">
        <v>109062</v>
      </c>
      <c r="S139" s="332">
        <v>90720</v>
      </c>
      <c r="T139" s="332">
        <v>0</v>
      </c>
      <c r="U139" s="332">
        <v>0</v>
      </c>
    </row>
    <row r="140" spans="1:21" x14ac:dyDescent="0.25">
      <c r="A140" s="336">
        <v>4183</v>
      </c>
      <c r="B140" s="336">
        <v>7</v>
      </c>
      <c r="C140" s="335" t="s">
        <v>855</v>
      </c>
      <c r="D140" s="332">
        <v>0</v>
      </c>
      <c r="E140" s="332">
        <v>0</v>
      </c>
      <c r="F140" s="332">
        <v>0</v>
      </c>
      <c r="G140" s="332">
        <v>0</v>
      </c>
      <c r="H140" s="332">
        <v>0</v>
      </c>
      <c r="I140" s="332">
        <v>149</v>
      </c>
      <c r="J140" s="332">
        <f t="shared" si="2"/>
        <v>149</v>
      </c>
      <c r="K140" s="332">
        <v>383000</v>
      </c>
      <c r="L140" s="332">
        <v>193.7</v>
      </c>
      <c r="M140" s="332">
        <v>178.8</v>
      </c>
      <c r="N140" s="332">
        <v>344700</v>
      </c>
      <c r="O140" s="332">
        <v>232440</v>
      </c>
      <c r="P140" s="332">
        <v>232440</v>
      </c>
      <c r="Q140" s="332">
        <v>344700</v>
      </c>
      <c r="R140" s="332">
        <v>234943.2</v>
      </c>
      <c r="S140" s="332">
        <v>234943.2</v>
      </c>
      <c r="T140" s="332">
        <v>2503.2000000000116</v>
      </c>
      <c r="U140" s="332">
        <v>16.800000000000079</v>
      </c>
    </row>
    <row r="141" spans="1:21" x14ac:dyDescent="0.25">
      <c r="A141" s="336">
        <v>4184</v>
      </c>
      <c r="B141" s="336">
        <v>7</v>
      </c>
      <c r="C141" s="335" t="s">
        <v>856</v>
      </c>
      <c r="D141" s="332">
        <v>0</v>
      </c>
      <c r="E141" s="332">
        <v>0</v>
      </c>
      <c r="F141" s="332">
        <v>66</v>
      </c>
      <c r="G141" s="332">
        <v>198</v>
      </c>
      <c r="H141" s="332">
        <v>163</v>
      </c>
      <c r="I141" s="332">
        <v>50</v>
      </c>
      <c r="J141" s="332">
        <f t="shared" si="2"/>
        <v>477</v>
      </c>
      <c r="K141" s="332">
        <v>674256.16</v>
      </c>
      <c r="L141" s="332">
        <v>498.94</v>
      </c>
      <c r="M141" s="332">
        <v>454</v>
      </c>
      <c r="N141" s="332">
        <v>606830.54</v>
      </c>
      <c r="O141" s="332">
        <v>598728</v>
      </c>
      <c r="P141" s="332">
        <v>598728</v>
      </c>
      <c r="Q141" s="332">
        <v>606830.54</v>
      </c>
      <c r="R141" s="332">
        <v>596556</v>
      </c>
      <c r="S141" s="332">
        <v>596556</v>
      </c>
      <c r="T141" s="332">
        <v>-2172</v>
      </c>
      <c r="U141" s="332">
        <v>-4.5534591194968552</v>
      </c>
    </row>
    <row r="142" spans="1:21" x14ac:dyDescent="0.25">
      <c r="A142" s="336">
        <v>4185</v>
      </c>
      <c r="B142" s="336">
        <v>7</v>
      </c>
      <c r="C142" s="335" t="s">
        <v>857</v>
      </c>
      <c r="D142" s="332">
        <v>0</v>
      </c>
      <c r="E142" s="332">
        <v>0</v>
      </c>
      <c r="F142" s="332">
        <v>54</v>
      </c>
      <c r="G142" s="332">
        <v>146</v>
      </c>
      <c r="H142" s="332">
        <v>146</v>
      </c>
      <c r="I142" s="332">
        <v>81</v>
      </c>
      <c r="J142" s="332">
        <f t="shared" si="2"/>
        <v>427</v>
      </c>
      <c r="K142" s="332">
        <v>659447.28</v>
      </c>
      <c r="L142" s="332">
        <v>455.9</v>
      </c>
      <c r="M142" s="332">
        <v>416.2</v>
      </c>
      <c r="N142" s="332">
        <v>593502.55000000005</v>
      </c>
      <c r="O142" s="332">
        <v>547080</v>
      </c>
      <c r="P142" s="332">
        <v>547080</v>
      </c>
      <c r="Q142" s="332">
        <v>593502.55000000005</v>
      </c>
      <c r="R142" s="332">
        <v>546886.80000000005</v>
      </c>
      <c r="S142" s="332">
        <v>546886.80000000005</v>
      </c>
      <c r="T142" s="332">
        <v>-193.19999999995343</v>
      </c>
      <c r="U142" s="332">
        <v>-0.45245901639333358</v>
      </c>
    </row>
    <row r="143" spans="1:21" x14ac:dyDescent="0.25">
      <c r="A143" s="336">
        <v>4186</v>
      </c>
      <c r="B143" s="336">
        <v>7</v>
      </c>
      <c r="C143" s="335" t="s">
        <v>858</v>
      </c>
      <c r="D143" s="332">
        <v>0</v>
      </c>
      <c r="E143" s="332">
        <v>2</v>
      </c>
      <c r="F143" s="332">
        <v>40</v>
      </c>
      <c r="G143" s="332">
        <v>146</v>
      </c>
      <c r="H143" s="332">
        <v>140</v>
      </c>
      <c r="I143" s="332">
        <v>86</v>
      </c>
      <c r="J143" s="332">
        <f t="shared" ref="J143:J162" si="3">SUM(D143:I143)</f>
        <v>414</v>
      </c>
      <c r="K143" s="332">
        <v>418200.73</v>
      </c>
      <c r="L143" s="332">
        <v>449.47</v>
      </c>
      <c r="M143" s="332">
        <v>411.2</v>
      </c>
      <c r="N143" s="332">
        <v>376380.66</v>
      </c>
      <c r="O143" s="332">
        <v>539364</v>
      </c>
      <c r="P143" s="332">
        <v>376380.66</v>
      </c>
      <c r="Q143" s="332">
        <v>376380.66</v>
      </c>
      <c r="R143" s="332">
        <v>540316.80000000005</v>
      </c>
      <c r="S143" s="332">
        <v>376380.66</v>
      </c>
      <c r="T143" s="332">
        <v>0</v>
      </c>
      <c r="U143" s="332">
        <v>0</v>
      </c>
    </row>
    <row r="144" spans="1:21" x14ac:dyDescent="0.25">
      <c r="A144" s="336">
        <v>4187</v>
      </c>
      <c r="B144" s="336">
        <v>7</v>
      </c>
      <c r="C144" s="335" t="s">
        <v>859</v>
      </c>
      <c r="D144" s="332">
        <v>0</v>
      </c>
      <c r="E144" s="332">
        <v>0</v>
      </c>
      <c r="F144" s="332">
        <v>13</v>
      </c>
      <c r="G144" s="332">
        <v>24</v>
      </c>
      <c r="H144" s="332">
        <v>18</v>
      </c>
      <c r="I144" s="332">
        <v>0</v>
      </c>
      <c r="J144" s="332">
        <f t="shared" si="3"/>
        <v>55</v>
      </c>
      <c r="K144" s="332">
        <v>69060</v>
      </c>
      <c r="L144" s="332">
        <v>53.8</v>
      </c>
      <c r="M144" s="332">
        <v>48.5</v>
      </c>
      <c r="N144" s="332">
        <v>62154</v>
      </c>
      <c r="O144" s="332">
        <v>64560</v>
      </c>
      <c r="P144" s="332">
        <v>62154</v>
      </c>
      <c r="Q144" s="332">
        <v>62154</v>
      </c>
      <c r="R144" s="332">
        <v>63729</v>
      </c>
      <c r="S144" s="332">
        <v>62154</v>
      </c>
      <c r="T144" s="332">
        <v>0</v>
      </c>
      <c r="U144" s="332">
        <v>0</v>
      </c>
    </row>
    <row r="145" spans="1:21" x14ac:dyDescent="0.25">
      <c r="A145" s="336">
        <v>4188</v>
      </c>
      <c r="B145" s="336">
        <v>7</v>
      </c>
      <c r="C145" s="335" t="s">
        <v>860</v>
      </c>
      <c r="D145" s="332">
        <v>0</v>
      </c>
      <c r="E145" s="332">
        <v>0</v>
      </c>
      <c r="F145" s="332">
        <v>78</v>
      </c>
      <c r="G145" s="332">
        <v>164</v>
      </c>
      <c r="H145" s="332">
        <v>99</v>
      </c>
      <c r="I145" s="332">
        <v>44</v>
      </c>
      <c r="J145" s="332">
        <f t="shared" si="3"/>
        <v>385</v>
      </c>
      <c r="K145" s="332">
        <v>541411.98</v>
      </c>
      <c r="L145" s="332">
        <v>392.74</v>
      </c>
      <c r="M145" s="332">
        <v>354.8</v>
      </c>
      <c r="N145" s="332">
        <v>487270.78</v>
      </c>
      <c r="O145" s="332">
        <v>471288</v>
      </c>
      <c r="P145" s="332">
        <v>471288</v>
      </c>
      <c r="Q145" s="332">
        <v>487270.78</v>
      </c>
      <c r="R145" s="332">
        <v>466207.2</v>
      </c>
      <c r="S145" s="332">
        <v>466207.2</v>
      </c>
      <c r="T145" s="332">
        <v>-5080.7999999999884</v>
      </c>
      <c r="U145" s="332">
        <v>-13.196883116883086</v>
      </c>
    </row>
    <row r="146" spans="1:21" x14ac:dyDescent="0.25">
      <c r="A146" s="336">
        <v>4189</v>
      </c>
      <c r="B146" s="336">
        <v>7</v>
      </c>
      <c r="C146" s="335" t="s">
        <v>861</v>
      </c>
      <c r="D146" s="332">
        <v>0</v>
      </c>
      <c r="E146" s="332">
        <v>2</v>
      </c>
      <c r="F146" s="332">
        <v>30</v>
      </c>
      <c r="G146" s="332">
        <v>69</v>
      </c>
      <c r="H146" s="332">
        <v>40</v>
      </c>
      <c r="I146" s="332">
        <v>0</v>
      </c>
      <c r="J146" s="332">
        <f t="shared" si="3"/>
        <v>141</v>
      </c>
      <c r="K146" s="332">
        <v>186850</v>
      </c>
      <c r="L146" s="332">
        <v>139.69999999999999</v>
      </c>
      <c r="M146" s="332">
        <v>126</v>
      </c>
      <c r="N146" s="332">
        <v>168165</v>
      </c>
      <c r="O146" s="332">
        <v>167640</v>
      </c>
      <c r="P146" s="332">
        <v>167640</v>
      </c>
      <c r="Q146" s="332">
        <v>168165</v>
      </c>
      <c r="R146" s="332">
        <v>165564</v>
      </c>
      <c r="S146" s="332">
        <v>165564</v>
      </c>
      <c r="T146" s="332">
        <v>-2076</v>
      </c>
      <c r="U146" s="332">
        <v>-14.723404255319149</v>
      </c>
    </row>
    <row r="147" spans="1:21" x14ac:dyDescent="0.25">
      <c r="A147" s="336">
        <v>4190</v>
      </c>
      <c r="B147" s="336">
        <v>7</v>
      </c>
      <c r="C147" s="335" t="s">
        <v>862</v>
      </c>
      <c r="D147" s="332">
        <v>0</v>
      </c>
      <c r="E147" s="332">
        <v>0</v>
      </c>
      <c r="F147" s="332">
        <v>0</v>
      </c>
      <c r="G147" s="332">
        <v>0</v>
      </c>
      <c r="H147" s="332">
        <v>0</v>
      </c>
      <c r="I147" s="332">
        <v>65</v>
      </c>
      <c r="J147" s="332">
        <f t="shared" si="3"/>
        <v>65</v>
      </c>
      <c r="K147" s="332">
        <v>137403.68</v>
      </c>
      <c r="L147" s="332">
        <v>84.5</v>
      </c>
      <c r="M147" s="332">
        <v>78</v>
      </c>
      <c r="N147" s="332">
        <v>123663.31</v>
      </c>
      <c r="O147" s="332">
        <v>101400</v>
      </c>
      <c r="P147" s="332">
        <v>101400</v>
      </c>
      <c r="Q147" s="332">
        <v>123663.31</v>
      </c>
      <c r="R147" s="332">
        <v>102492</v>
      </c>
      <c r="S147" s="332">
        <v>102492</v>
      </c>
      <c r="T147" s="332">
        <v>1092</v>
      </c>
      <c r="U147" s="332">
        <v>16.8</v>
      </c>
    </row>
    <row r="148" spans="1:21" x14ac:dyDescent="0.25">
      <c r="A148" s="336">
        <v>4191</v>
      </c>
      <c r="B148" s="336">
        <v>7</v>
      </c>
      <c r="C148" s="335" t="s">
        <v>863</v>
      </c>
      <c r="D148" s="332">
        <v>0</v>
      </c>
      <c r="E148" s="332">
        <v>0</v>
      </c>
      <c r="F148" s="332">
        <v>0</v>
      </c>
      <c r="G148" s="332">
        <v>0</v>
      </c>
      <c r="H148" s="332">
        <v>100</v>
      </c>
      <c r="I148" s="332">
        <v>100</v>
      </c>
      <c r="J148" s="332">
        <f t="shared" si="3"/>
        <v>200</v>
      </c>
      <c r="K148" s="332">
        <v>365546</v>
      </c>
      <c r="L148" s="332">
        <v>236</v>
      </c>
      <c r="M148" s="332">
        <v>220</v>
      </c>
      <c r="N148" s="332">
        <v>328991.40000000002</v>
      </c>
      <c r="O148" s="332">
        <v>283200</v>
      </c>
      <c r="P148" s="332">
        <v>283200</v>
      </c>
      <c r="Q148" s="332">
        <v>328991.40000000002</v>
      </c>
      <c r="R148" s="332">
        <v>289080</v>
      </c>
      <c r="S148" s="332">
        <v>289080</v>
      </c>
      <c r="T148" s="332">
        <v>5880</v>
      </c>
      <c r="U148" s="332">
        <v>29.4</v>
      </c>
    </row>
    <row r="149" spans="1:21" x14ac:dyDescent="0.25">
      <c r="A149" s="329">
        <v>4192</v>
      </c>
      <c r="B149" s="329">
        <v>7</v>
      </c>
      <c r="C149" s="335" t="s">
        <v>864</v>
      </c>
      <c r="D149" s="332">
        <v>0</v>
      </c>
      <c r="E149" s="332">
        <v>0</v>
      </c>
      <c r="F149" s="332">
        <v>76</v>
      </c>
      <c r="G149" s="332">
        <v>197</v>
      </c>
      <c r="H149" s="332">
        <v>146</v>
      </c>
      <c r="I149" s="332">
        <v>71</v>
      </c>
      <c r="J149" s="332">
        <f t="shared" si="3"/>
        <v>490</v>
      </c>
      <c r="K149" s="332">
        <v>699000</v>
      </c>
      <c r="L149" s="332">
        <v>513.23</v>
      </c>
      <c r="M149" s="332">
        <v>466.2</v>
      </c>
      <c r="N149" s="332">
        <v>629100</v>
      </c>
      <c r="O149" s="332">
        <v>615876</v>
      </c>
      <c r="P149" s="332">
        <v>615876</v>
      </c>
      <c r="Q149" s="332">
        <v>629100</v>
      </c>
      <c r="R149" s="332">
        <v>612586.80000000005</v>
      </c>
      <c r="S149" s="332">
        <v>612586.80000000005</v>
      </c>
      <c r="T149" s="332">
        <v>-3289.1999999999534</v>
      </c>
      <c r="U149" s="332">
        <v>-6.7126530612243949</v>
      </c>
    </row>
    <row r="150" spans="1:21" x14ac:dyDescent="0.25">
      <c r="A150" s="336">
        <v>4193</v>
      </c>
      <c r="B150" s="336">
        <v>7</v>
      </c>
      <c r="C150" s="335" t="s">
        <v>865</v>
      </c>
      <c r="D150" s="332">
        <v>0</v>
      </c>
      <c r="E150" s="332">
        <v>0</v>
      </c>
      <c r="F150" s="332">
        <v>57</v>
      </c>
      <c r="G150" s="332">
        <v>133</v>
      </c>
      <c r="H150" s="332">
        <v>75</v>
      </c>
      <c r="I150" s="332">
        <v>0</v>
      </c>
      <c r="J150" s="332">
        <f t="shared" si="3"/>
        <v>265</v>
      </c>
      <c r="K150" s="332">
        <v>258666.72</v>
      </c>
      <c r="L150" s="332">
        <v>262.68</v>
      </c>
      <c r="M150" s="332">
        <v>236.5</v>
      </c>
      <c r="N150" s="332">
        <v>232800.05</v>
      </c>
      <c r="O150" s="332">
        <v>315216</v>
      </c>
      <c r="P150" s="332">
        <v>232800.05</v>
      </c>
      <c r="Q150" s="332">
        <v>232800.05</v>
      </c>
      <c r="R150" s="332">
        <v>310761</v>
      </c>
      <c r="S150" s="332">
        <v>232800.05</v>
      </c>
      <c r="T150" s="332">
        <v>0</v>
      </c>
      <c r="U150" s="332">
        <v>0</v>
      </c>
    </row>
    <row r="151" spans="1:21" x14ac:dyDescent="0.25">
      <c r="A151" s="336">
        <v>4194</v>
      </c>
      <c r="B151" s="336">
        <v>7</v>
      </c>
      <c r="C151" s="335" t="s">
        <v>341</v>
      </c>
      <c r="D151" s="332">
        <v>0</v>
      </c>
      <c r="E151" s="332">
        <v>4</v>
      </c>
      <c r="F151" s="332">
        <v>36</v>
      </c>
      <c r="G151" s="332">
        <v>120</v>
      </c>
      <c r="H151" s="332">
        <v>66</v>
      </c>
      <c r="I151" s="332">
        <v>38</v>
      </c>
      <c r="J151" s="332">
        <f t="shared" si="3"/>
        <v>264</v>
      </c>
      <c r="K151" s="332">
        <v>366415.04</v>
      </c>
      <c r="L151" s="332">
        <v>279.19</v>
      </c>
      <c r="M151" s="332">
        <v>253.6</v>
      </c>
      <c r="N151" s="332">
        <v>329773.53999999998</v>
      </c>
      <c r="O151" s="332">
        <v>335028</v>
      </c>
      <c r="P151" s="332">
        <v>329773.53999999998</v>
      </c>
      <c r="Q151" s="332">
        <v>329773.53999999998</v>
      </c>
      <c r="R151" s="332">
        <v>333230.40000000002</v>
      </c>
      <c r="S151" s="332">
        <v>329773.53999999998</v>
      </c>
      <c r="T151" s="332">
        <v>0</v>
      </c>
      <c r="U151" s="332">
        <v>0</v>
      </c>
    </row>
    <row r="152" spans="1:21" x14ac:dyDescent="0.25">
      <c r="A152" s="336">
        <v>4195</v>
      </c>
      <c r="B152" s="336">
        <v>7</v>
      </c>
      <c r="C152" s="335" t="s">
        <v>866</v>
      </c>
      <c r="D152" s="332">
        <v>0</v>
      </c>
      <c r="E152" s="332">
        <v>0</v>
      </c>
      <c r="F152" s="332">
        <v>6</v>
      </c>
      <c r="G152" s="332">
        <v>12</v>
      </c>
      <c r="H152" s="332">
        <v>15</v>
      </c>
      <c r="I152" s="332">
        <v>0</v>
      </c>
      <c r="J152" s="332">
        <f t="shared" si="3"/>
        <v>33</v>
      </c>
      <c r="K152" s="332">
        <v>0</v>
      </c>
      <c r="L152" s="332">
        <v>32.950000000000003</v>
      </c>
      <c r="M152" s="332">
        <v>30</v>
      </c>
      <c r="N152" s="332">
        <v>0</v>
      </c>
      <c r="O152" s="332">
        <v>39540</v>
      </c>
      <c r="P152" s="332">
        <v>0</v>
      </c>
      <c r="Q152" s="332">
        <v>0</v>
      </c>
      <c r="R152" s="332">
        <v>39420</v>
      </c>
      <c r="S152" s="332">
        <v>0</v>
      </c>
      <c r="T152" s="332">
        <v>0</v>
      </c>
      <c r="U152" s="332">
        <v>0</v>
      </c>
    </row>
    <row r="153" spans="1:21" x14ac:dyDescent="0.25">
      <c r="A153" s="329">
        <v>4198</v>
      </c>
      <c r="B153" s="329">
        <v>7</v>
      </c>
      <c r="C153" s="335" t="s">
        <v>413</v>
      </c>
      <c r="D153" s="332">
        <v>0</v>
      </c>
      <c r="E153" s="332">
        <v>1</v>
      </c>
      <c r="F153" s="332">
        <v>25</v>
      </c>
      <c r="G153" s="332">
        <v>53</v>
      </c>
      <c r="H153" s="332">
        <v>51</v>
      </c>
      <c r="I153" s="332">
        <v>0</v>
      </c>
      <c r="J153" s="332">
        <f t="shared" si="3"/>
        <v>130</v>
      </c>
      <c r="K153" s="332">
        <v>149592</v>
      </c>
      <c r="L153" s="332">
        <v>129.46</v>
      </c>
      <c r="M153" s="332">
        <v>117.5</v>
      </c>
      <c r="N153" s="332">
        <v>134632.79999999999</v>
      </c>
      <c r="O153" s="332">
        <v>155352</v>
      </c>
      <c r="P153" s="332">
        <v>134632.79999999999</v>
      </c>
      <c r="Q153" s="332">
        <v>134632.79999999999</v>
      </c>
      <c r="R153" s="332">
        <v>154395</v>
      </c>
      <c r="S153" s="332">
        <v>134632.79999999999</v>
      </c>
      <c r="T153" s="332">
        <v>0</v>
      </c>
      <c r="U153" s="332">
        <v>0</v>
      </c>
    </row>
    <row r="154" spans="1:21" x14ac:dyDescent="0.25">
      <c r="A154" s="329">
        <v>4199</v>
      </c>
      <c r="B154" s="329">
        <v>7</v>
      </c>
      <c r="C154" s="335" t="s">
        <v>867</v>
      </c>
      <c r="D154" s="332">
        <v>0</v>
      </c>
      <c r="E154" s="332">
        <v>0</v>
      </c>
      <c r="F154" s="332">
        <v>114</v>
      </c>
      <c r="G154" s="332">
        <v>269</v>
      </c>
      <c r="H154" s="332">
        <v>169</v>
      </c>
      <c r="I154" s="332">
        <v>0</v>
      </c>
      <c r="J154" s="332">
        <f t="shared" si="3"/>
        <v>552</v>
      </c>
      <c r="K154" s="332">
        <v>731798.17</v>
      </c>
      <c r="L154" s="332">
        <v>548.84</v>
      </c>
      <c r="M154" s="332">
        <v>495</v>
      </c>
      <c r="N154" s="332">
        <v>658618.35</v>
      </c>
      <c r="O154" s="332">
        <v>658608</v>
      </c>
      <c r="P154" s="332">
        <v>658608</v>
      </c>
      <c r="Q154" s="332">
        <v>658618.35</v>
      </c>
      <c r="R154" s="332">
        <v>650430</v>
      </c>
      <c r="S154" s="332">
        <v>650430</v>
      </c>
      <c r="T154" s="332">
        <v>-8178</v>
      </c>
      <c r="U154" s="332">
        <v>-14.815217391304348</v>
      </c>
    </row>
    <row r="155" spans="1:21" x14ac:dyDescent="0.25">
      <c r="A155" s="329">
        <v>4200</v>
      </c>
      <c r="B155" s="329">
        <v>7</v>
      </c>
      <c r="C155" s="335" t="s">
        <v>726</v>
      </c>
      <c r="D155" s="332">
        <v>0</v>
      </c>
      <c r="E155" s="332">
        <v>0</v>
      </c>
      <c r="F155" s="332">
        <v>0</v>
      </c>
      <c r="G155" s="332">
        <v>0</v>
      </c>
      <c r="H155" s="332">
        <v>28</v>
      </c>
      <c r="I155" s="332">
        <v>126</v>
      </c>
      <c r="J155" s="332">
        <f t="shared" si="3"/>
        <v>154</v>
      </c>
      <c r="K155" s="332">
        <v>257972.69</v>
      </c>
      <c r="L155" s="332">
        <v>193.48</v>
      </c>
      <c r="M155" s="332">
        <v>179.2</v>
      </c>
      <c r="N155" s="332">
        <v>232175.42</v>
      </c>
      <c r="O155" s="332">
        <v>232176</v>
      </c>
      <c r="P155" s="332">
        <v>232175.42</v>
      </c>
      <c r="Q155" s="332">
        <v>232175.42</v>
      </c>
      <c r="R155" s="332">
        <v>235468.79999999999</v>
      </c>
      <c r="S155" s="332">
        <v>232175.42</v>
      </c>
      <c r="T155" s="332">
        <v>0</v>
      </c>
      <c r="U155" s="332">
        <v>0</v>
      </c>
    </row>
    <row r="156" spans="1:21" x14ac:dyDescent="0.25">
      <c r="A156" s="329">
        <v>4201</v>
      </c>
      <c r="B156" s="329">
        <v>7</v>
      </c>
      <c r="C156" s="335" t="s">
        <v>868</v>
      </c>
      <c r="D156" s="332">
        <v>0</v>
      </c>
      <c r="E156" s="332">
        <v>0</v>
      </c>
      <c r="F156" s="332">
        <v>20</v>
      </c>
      <c r="G156" s="332">
        <v>64</v>
      </c>
      <c r="H156" s="332">
        <v>0</v>
      </c>
      <c r="I156" s="332">
        <v>0</v>
      </c>
      <c r="J156" s="332">
        <f t="shared" si="3"/>
        <v>84</v>
      </c>
      <c r="K156" s="332">
        <v>108493.06</v>
      </c>
      <c r="L156" s="332">
        <v>83.6</v>
      </c>
      <c r="M156" s="332">
        <v>74</v>
      </c>
      <c r="N156" s="332">
        <v>97643.75</v>
      </c>
      <c r="O156" s="332">
        <v>100320</v>
      </c>
      <c r="P156" s="332">
        <v>97643.75</v>
      </c>
      <c r="Q156" s="332">
        <v>97643.75</v>
      </c>
      <c r="R156" s="332">
        <v>97236</v>
      </c>
      <c r="S156" s="332">
        <v>97236</v>
      </c>
      <c r="T156" s="332">
        <v>-407.75</v>
      </c>
      <c r="U156" s="332">
        <v>-4.854166666666667</v>
      </c>
    </row>
    <row r="157" spans="1:21" x14ac:dyDescent="0.25">
      <c r="A157" s="329">
        <v>4202</v>
      </c>
      <c r="B157" s="329">
        <v>7</v>
      </c>
      <c r="C157" s="335" t="s">
        <v>527</v>
      </c>
      <c r="D157" s="332">
        <v>0</v>
      </c>
      <c r="E157" s="332">
        <v>0</v>
      </c>
      <c r="F157" s="332">
        <v>51</v>
      </c>
      <c r="G157" s="332">
        <v>160</v>
      </c>
      <c r="H157" s="332">
        <v>107</v>
      </c>
      <c r="I157" s="332">
        <v>0</v>
      </c>
      <c r="J157" s="332">
        <f t="shared" si="3"/>
        <v>318</v>
      </c>
      <c r="K157" s="332">
        <v>430705.59</v>
      </c>
      <c r="L157" s="332">
        <v>323.02999999999997</v>
      </c>
      <c r="M157" s="332">
        <v>292.5</v>
      </c>
      <c r="N157" s="332">
        <v>387635.03</v>
      </c>
      <c r="O157" s="332">
        <v>387636</v>
      </c>
      <c r="P157" s="332">
        <v>387635.03</v>
      </c>
      <c r="Q157" s="332">
        <v>387635.03</v>
      </c>
      <c r="R157" s="332">
        <v>384345</v>
      </c>
      <c r="S157" s="332">
        <v>384345</v>
      </c>
      <c r="T157" s="332">
        <v>-3290.0300000000279</v>
      </c>
      <c r="U157" s="332">
        <v>-10.346006289308264</v>
      </c>
    </row>
    <row r="158" spans="1:21" x14ac:dyDescent="0.25">
      <c r="A158" s="329">
        <v>4203</v>
      </c>
      <c r="B158" s="329">
        <v>7</v>
      </c>
      <c r="C158" s="335" t="s">
        <v>719</v>
      </c>
      <c r="D158" s="332">
        <v>0</v>
      </c>
      <c r="E158" s="332">
        <v>0</v>
      </c>
      <c r="F158" s="332">
        <v>0</v>
      </c>
      <c r="G158" s="332">
        <v>0</v>
      </c>
      <c r="H158" s="332">
        <v>0</v>
      </c>
      <c r="I158" s="332">
        <v>73</v>
      </c>
      <c r="J158" s="332">
        <f t="shared" si="3"/>
        <v>73</v>
      </c>
      <c r="K158" s="332">
        <v>126533.02</v>
      </c>
      <c r="L158" s="332">
        <v>94.9</v>
      </c>
      <c r="M158" s="332">
        <v>87.6</v>
      </c>
      <c r="N158" s="332">
        <v>113879.72</v>
      </c>
      <c r="O158" s="332">
        <v>113880</v>
      </c>
      <c r="P158" s="332">
        <v>113879.72</v>
      </c>
      <c r="Q158" s="332">
        <v>113879.72</v>
      </c>
      <c r="R158" s="332">
        <v>115106.4</v>
      </c>
      <c r="S158" s="332">
        <v>113879.72</v>
      </c>
      <c r="T158" s="332">
        <v>0</v>
      </c>
      <c r="U158" s="332">
        <v>0</v>
      </c>
    </row>
    <row r="159" spans="1:21" x14ac:dyDescent="0.25">
      <c r="A159" s="329">
        <v>4204</v>
      </c>
      <c r="B159" s="329">
        <v>7</v>
      </c>
      <c r="C159" s="335" t="s">
        <v>720</v>
      </c>
      <c r="D159" s="332">
        <v>0</v>
      </c>
      <c r="E159" s="332">
        <v>0</v>
      </c>
      <c r="F159" s="332">
        <v>0</v>
      </c>
      <c r="G159" s="332">
        <v>0</v>
      </c>
      <c r="H159" s="332">
        <v>0</v>
      </c>
      <c r="I159" s="332">
        <v>84</v>
      </c>
      <c r="J159" s="332">
        <f t="shared" si="3"/>
        <v>84</v>
      </c>
      <c r="K159" s="332">
        <v>171500</v>
      </c>
      <c r="L159" s="332">
        <v>109.2</v>
      </c>
      <c r="M159" s="332">
        <v>100.8</v>
      </c>
      <c r="N159" s="332">
        <v>154350</v>
      </c>
      <c r="O159" s="332">
        <v>131040</v>
      </c>
      <c r="P159" s="332">
        <v>131040</v>
      </c>
      <c r="Q159" s="332">
        <v>154350</v>
      </c>
      <c r="R159" s="332">
        <v>132451.20000000001</v>
      </c>
      <c r="S159" s="332">
        <v>132451.20000000001</v>
      </c>
      <c r="T159" s="332">
        <v>1411.2000000000116</v>
      </c>
      <c r="U159" s="332">
        <v>16.800000000000139</v>
      </c>
    </row>
    <row r="160" spans="1:21" x14ac:dyDescent="0.25">
      <c r="A160" s="302">
        <v>4205</v>
      </c>
      <c r="B160" s="302">
        <v>7</v>
      </c>
      <c r="C160" s="335" t="s">
        <v>459</v>
      </c>
      <c r="D160" s="332">
        <v>0</v>
      </c>
      <c r="E160" s="332">
        <v>0</v>
      </c>
      <c r="F160" s="332">
        <v>73</v>
      </c>
      <c r="G160" s="332">
        <v>52</v>
      </c>
      <c r="H160" s="332">
        <v>0</v>
      </c>
      <c r="I160" s="332">
        <v>0</v>
      </c>
      <c r="J160" s="332">
        <f t="shared" si="3"/>
        <v>125</v>
      </c>
      <c r="K160" s="332">
        <v>162292.93</v>
      </c>
      <c r="L160" s="332">
        <v>102.66</v>
      </c>
      <c r="M160" s="332">
        <v>88.5</v>
      </c>
      <c r="N160" s="332">
        <v>146063.64000000001</v>
      </c>
      <c r="O160" s="332">
        <v>123192</v>
      </c>
      <c r="P160" s="332">
        <v>123192</v>
      </c>
      <c r="Q160" s="332">
        <v>146063.64000000001</v>
      </c>
      <c r="R160" s="332">
        <v>116289</v>
      </c>
      <c r="S160" s="332">
        <v>116289</v>
      </c>
      <c r="T160" s="332">
        <v>-6903</v>
      </c>
      <c r="U160" s="332">
        <v>-55.223999999999997</v>
      </c>
    </row>
    <row r="161" spans="1:21" x14ac:dyDescent="0.25">
      <c r="A161" s="329">
        <v>4208</v>
      </c>
      <c r="B161" s="329">
        <v>7</v>
      </c>
      <c r="C161" s="335" t="s">
        <v>465</v>
      </c>
      <c r="D161" s="332">
        <v>0</v>
      </c>
      <c r="E161" s="332">
        <v>0</v>
      </c>
      <c r="F161" s="332">
        <v>25</v>
      </c>
      <c r="G161" s="332">
        <v>42</v>
      </c>
      <c r="H161" s="332">
        <v>33</v>
      </c>
      <c r="I161" s="332">
        <v>0</v>
      </c>
      <c r="J161" s="332">
        <f t="shared" si="3"/>
        <v>100</v>
      </c>
      <c r="K161" s="332">
        <v>150000</v>
      </c>
      <c r="L161" s="332">
        <v>97.11</v>
      </c>
      <c r="M161" s="332">
        <v>87.5</v>
      </c>
      <c r="N161" s="332">
        <v>135000</v>
      </c>
      <c r="O161" s="332">
        <v>116532</v>
      </c>
      <c r="P161" s="332">
        <v>116532</v>
      </c>
      <c r="Q161" s="332">
        <v>135000</v>
      </c>
      <c r="R161" s="332">
        <v>114975</v>
      </c>
      <c r="S161" s="332">
        <v>114975</v>
      </c>
      <c r="T161" s="332">
        <v>-1557</v>
      </c>
      <c r="U161" s="332">
        <v>-15.57</v>
      </c>
    </row>
    <row r="162" spans="1:21" x14ac:dyDescent="0.25">
      <c r="A162" s="329">
        <v>4209</v>
      </c>
      <c r="B162" s="329">
        <v>7</v>
      </c>
      <c r="C162" s="335" t="s">
        <v>304</v>
      </c>
      <c r="D162" s="332">
        <v>0</v>
      </c>
      <c r="E162" s="332">
        <v>0</v>
      </c>
      <c r="F162" s="332">
        <v>67</v>
      </c>
      <c r="G162" s="332">
        <v>98</v>
      </c>
      <c r="H162" s="332">
        <v>0</v>
      </c>
      <c r="I162" s="332">
        <v>0</v>
      </c>
      <c r="J162" s="332">
        <f t="shared" si="3"/>
        <v>165</v>
      </c>
      <c r="K162" s="332">
        <v>250000</v>
      </c>
      <c r="L162" s="332">
        <v>150.27000000000001</v>
      </c>
      <c r="M162" s="332">
        <v>131.5</v>
      </c>
      <c r="N162" s="332">
        <v>225000</v>
      </c>
      <c r="O162" s="332">
        <v>180324</v>
      </c>
      <c r="P162" s="332">
        <v>180324</v>
      </c>
      <c r="Q162" s="332">
        <v>225000</v>
      </c>
      <c r="R162" s="332">
        <v>172791</v>
      </c>
      <c r="S162" s="332">
        <v>172791</v>
      </c>
      <c r="T162" s="332">
        <v>-7533</v>
      </c>
      <c r="U162" s="332">
        <v>-45.654545454545456</v>
      </c>
    </row>
  </sheetData>
  <printOptions gridLines="1"/>
  <pageMargins left="0.25" right="0.25" top="0.75" bottom="0.75" header="0.3" footer="0.3"/>
  <pageSetup scale="85" orientation="portrait" r:id="rId1"/>
  <headerFooter>
    <oddHeader>&amp;LMDE / School Finance Division&amp;CREPORT #6:  CHARTER SCHOOL LEASE AID
WORKING GROUP RECOMMENDATION VS CURRENT LAW&amp;R12/10/2012</oddHead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1 - APPROP Summary </vt:lpstr>
      <vt:lpstr>REPORT 2 - Summary</vt:lpstr>
      <vt:lpstr>REPORT 3 - REVENUE PER ADM</vt:lpstr>
      <vt:lpstr>REPORT 4 - PROPERTY TAX</vt:lpstr>
      <vt:lpstr>REPORT 5 - DEFERRED MAINTENANCE</vt:lpstr>
      <vt:lpstr>REPORT 6 - CHARTER LEASE AID</vt:lpstr>
      <vt:lpstr>'REPORT 1 - APPROP Summary '!Print_Area</vt:lpstr>
      <vt:lpstr>'REPORT 2 - Summary'!Print_Area</vt:lpstr>
      <vt:lpstr>'REPORT 3 - REVENUE PER ADM'!Print_Area</vt:lpstr>
      <vt:lpstr>'REPORT 4 - PROPERTY TAX'!Print_Area</vt:lpstr>
      <vt:lpstr>'REPORT 3 - REVENUE PER ADM'!Print_Titles</vt:lpstr>
      <vt:lpstr>'REPORT 4 - PROPERTY TAX'!Print_Titles</vt:lpstr>
      <vt:lpstr>'REPORT 5 - DEFERRED MAINTENANCE'!Print_Titles</vt:lpstr>
      <vt:lpstr>'REPORT 6 - CHARTER LEASE AID'!Print_Titles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Melcher, Tom</dc:creator>
  <cp:lastModifiedBy>Melcher, Tom</cp:lastModifiedBy>
  <cp:lastPrinted>2012-12-10T16:51:06Z</cp:lastPrinted>
  <dcterms:created xsi:type="dcterms:W3CDTF">2012-12-10T16:21:12Z</dcterms:created>
  <dcterms:modified xsi:type="dcterms:W3CDTF">2012-12-10T16:59:20Z</dcterms:modified>
</cp:coreProperties>
</file>