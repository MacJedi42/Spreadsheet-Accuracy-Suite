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40" windowWidth="15480" windowHeight="10560"/>
  </bookViews>
  <sheets>
    <sheet name="Rounded" sheetId="1" r:id="rId1"/>
  </sheets>
  <externalReferences>
    <externalReference r:id="rId2"/>
    <externalReference r:id="rId3"/>
  </externalReferences>
  <definedNames>
    <definedName name="EUR" localSheetId="0">'[1]XR Dec 09'!$C$2</definedName>
    <definedName name="EUR">'[2]XR Dec 09'!$C$2</definedName>
    <definedName name="_xlnm.Print_Titles" localSheetId="0">Rounded!$B:$B</definedName>
  </definedNames>
  <calcPr calcId="145621"/>
</workbook>
</file>

<file path=xl/calcChain.xml><?xml version="1.0" encoding="utf-8"?>
<calcChain xmlns="http://schemas.openxmlformats.org/spreadsheetml/2006/main">
  <c r="X20" i="1" l="1"/>
  <c r="X15" i="1"/>
  <c r="X11" i="1"/>
  <c r="W11" i="1"/>
  <c r="X27" i="1"/>
  <c r="X39" i="1"/>
  <c r="X49" i="1"/>
  <c r="W60" i="1"/>
  <c r="X60" i="1"/>
  <c r="X68" i="1"/>
  <c r="W66" i="1"/>
  <c r="W65" i="1"/>
  <c r="W3" i="1" l="1"/>
  <c r="W4" i="1"/>
  <c r="X4" i="1"/>
  <c r="X70" i="1"/>
  <c r="W70" i="1"/>
  <c r="X71" i="1"/>
  <c r="W71" i="1"/>
  <c r="X69" i="1"/>
  <c r="W69" i="1"/>
  <c r="W68" i="1"/>
  <c r="X67" i="1"/>
  <c r="W67" i="1"/>
  <c r="X66" i="1"/>
  <c r="X65" i="1"/>
  <c r="X61" i="1"/>
  <c r="W61" i="1"/>
  <c r="X59" i="1"/>
  <c r="W59" i="1"/>
  <c r="X58" i="1"/>
  <c r="W58" i="1"/>
  <c r="X57" i="1"/>
  <c r="W57" i="1"/>
  <c r="X56" i="1"/>
  <c r="W56" i="1"/>
  <c r="X55" i="1"/>
  <c r="W55" i="1"/>
  <c r="X51" i="1"/>
  <c r="W51" i="1"/>
  <c r="X50" i="1"/>
  <c r="W50" i="1"/>
  <c r="W49" i="1"/>
  <c r="X48" i="1"/>
  <c r="W48" i="1"/>
  <c r="X47" i="1"/>
  <c r="W47" i="1"/>
  <c r="X46" i="1"/>
  <c r="W46" i="1"/>
  <c r="X45" i="1"/>
  <c r="W45" i="1"/>
  <c r="W39" i="1"/>
  <c r="X41" i="1"/>
  <c r="W41" i="1"/>
  <c r="X40" i="1"/>
  <c r="W40" i="1"/>
  <c r="X38" i="1"/>
  <c r="W38" i="1"/>
  <c r="X37" i="1"/>
  <c r="W37" i="1"/>
  <c r="X36" i="1"/>
  <c r="W36" i="1"/>
  <c r="X35" i="1"/>
  <c r="W35" i="1"/>
  <c r="X31" i="1"/>
  <c r="X30" i="1"/>
  <c r="X29" i="1"/>
  <c r="X28" i="1"/>
  <c r="X26" i="1"/>
  <c r="X25" i="1"/>
  <c r="W31" i="1"/>
  <c r="W30" i="1"/>
  <c r="W29" i="1"/>
  <c r="W28" i="1"/>
  <c r="W27" i="1"/>
  <c r="W26" i="1"/>
  <c r="W25" i="1"/>
  <c r="W20" i="1"/>
  <c r="W17" i="1"/>
  <c r="W15" i="1"/>
  <c r="X9" i="1"/>
  <c r="X10" i="1"/>
  <c r="X12" i="1"/>
  <c r="X17" i="1"/>
  <c r="W12" i="1"/>
  <c r="W10" i="1"/>
  <c r="W9" i="1"/>
  <c r="N15" i="1" l="1"/>
  <c r="N20" i="1" s="1"/>
  <c r="M15" i="1"/>
  <c r="M20" i="1" s="1"/>
  <c r="L15" i="1"/>
  <c r="K15" i="1"/>
  <c r="K20" i="1" s="1"/>
  <c r="J15" i="1"/>
  <c r="J20" i="1" s="1"/>
  <c r="I15" i="1"/>
  <c r="I20" i="1" s="1"/>
  <c r="H15" i="1"/>
  <c r="H20" i="1" s="1"/>
  <c r="G15" i="1"/>
  <c r="G20" i="1" s="1"/>
  <c r="F15" i="1"/>
  <c r="F20" i="1" s="1"/>
  <c r="E15" i="1"/>
  <c r="E20" i="1" s="1"/>
  <c r="D15" i="1"/>
  <c r="D20" i="1" s="1"/>
  <c r="C15" i="1"/>
  <c r="C20" i="1" s="1"/>
  <c r="L20" i="1" l="1"/>
</calcChain>
</file>

<file path=xl/sharedStrings.xml><?xml version="1.0" encoding="utf-8"?>
<sst xmlns="http://schemas.openxmlformats.org/spreadsheetml/2006/main" count="72" uniqueCount="44">
  <si>
    <t xml:space="preserve"> 2008 </t>
  </si>
  <si>
    <t xml:space="preserve"> 2009 </t>
  </si>
  <si>
    <t xml:space="preserve"> 2010 </t>
  </si>
  <si>
    <t>Q310</t>
  </si>
  <si>
    <t>Q410</t>
  </si>
  <si>
    <t>Number of days</t>
  </si>
  <si>
    <t>Revenue (€million)</t>
  </si>
  <si>
    <t>Poker</t>
  </si>
  <si>
    <t>Sports Betting</t>
  </si>
  <si>
    <t>Casino and Other Games</t>
  </si>
  <si>
    <t>Bingo</t>
  </si>
  <si>
    <t>Net revenue</t>
  </si>
  <si>
    <t>Other Revenue</t>
  </si>
  <si>
    <t>Total revenue</t>
  </si>
  <si>
    <t>Consolidated KPIs</t>
  </si>
  <si>
    <t>Active Player Days (m)</t>
  </si>
  <si>
    <t>Daily Average Players (000)</t>
  </si>
  <si>
    <t>Yield per Active Player Day (€)</t>
  </si>
  <si>
    <t>Yield per Unique Active Player (€)</t>
  </si>
  <si>
    <t>New Real Money Signups (000)</t>
  </si>
  <si>
    <t>Unique Active Players (000)</t>
  </si>
  <si>
    <t>Average Net Daily Revenue (€000)</t>
  </si>
  <si>
    <t>Poker KPIs</t>
  </si>
  <si>
    <t>Sports Betting KPIs</t>
  </si>
  <si>
    <t>Casino &amp; Games KPIs</t>
  </si>
  <si>
    <t>Bingo KPIs</t>
  </si>
  <si>
    <t xml:space="preserve">Please note that  revenues for 2010 and 2011 have been adjusted to show continuing revenues only, prior dates have not been adjusted and include discontinued revenues </t>
  </si>
  <si>
    <t>Q111</t>
  </si>
  <si>
    <t>Q311</t>
  </si>
  <si>
    <t xml:space="preserve">Q210 </t>
  </si>
  <si>
    <t xml:space="preserve">Q110 </t>
  </si>
  <si>
    <t xml:space="preserve">Q409 </t>
  </si>
  <si>
    <t xml:space="preserve">Q309 </t>
  </si>
  <si>
    <t xml:space="preserve">Q209 </t>
  </si>
  <si>
    <t xml:space="preserve">Q109 </t>
  </si>
  <si>
    <t xml:space="preserve">Q408 </t>
  </si>
  <si>
    <t xml:space="preserve">Q308 </t>
  </si>
  <si>
    <t xml:space="preserve">Q208 </t>
  </si>
  <si>
    <t xml:space="preserve">Q108 </t>
  </si>
  <si>
    <t xml:space="preserve">Q211 </t>
  </si>
  <si>
    <t>Q411</t>
  </si>
  <si>
    <t xml:space="preserve"> 2011</t>
  </si>
  <si>
    <t>Q112</t>
  </si>
  <si>
    <t>Q212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</si>
</sst>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_);[Red]\(#,##0\);\-_)"/>
    <numFmt numFmtId="165" formatCode="#,##0.0_);\(#,##0.0\);\ _)"/>
    <numFmt numFmtId="166" formatCode="#,##0%_);\(#,##0%\);0\%_)"/>
    <numFmt numFmtId="167" formatCode="#,##0.0_);\(#,##0.0\);\-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1"/>
      <color indexed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color rgb="FF1F497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0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indexed="20"/>
      </left>
      <right/>
      <top/>
      <bottom/>
      <diagonal/>
    </border>
    <border>
      <left style="thin">
        <color indexed="20"/>
      </left>
      <right style="thin">
        <color theme="3"/>
      </right>
      <top/>
      <bottom/>
      <diagonal/>
    </border>
    <border>
      <left/>
      <right style="thin">
        <color indexed="20"/>
      </right>
      <top/>
      <bottom/>
      <diagonal/>
    </border>
    <border>
      <left/>
      <right/>
      <top/>
      <bottom style="medium">
        <color theme="3"/>
      </bottom>
      <diagonal/>
    </border>
    <border>
      <left style="thin">
        <color indexed="20"/>
      </left>
      <right/>
      <top/>
      <bottom style="medium">
        <color theme="3"/>
      </bottom>
      <diagonal/>
    </border>
    <border>
      <left/>
      <right style="thin">
        <color indexed="20"/>
      </right>
      <top/>
      <bottom style="medium">
        <color theme="3"/>
      </bottom>
      <diagonal/>
    </border>
    <border>
      <left style="thin">
        <color indexed="20"/>
      </left>
      <right style="thin">
        <color indexed="20"/>
      </right>
      <top/>
      <bottom style="medium">
        <color theme="3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/>
      <bottom style="thin">
        <color theme="3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/>
      <bottom style="medium">
        <color theme="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1" fillId="0" borderId="0" xfId="1"/>
    <xf numFmtId="0" fontId="1" fillId="0" borderId="4" xfId="1" applyBorder="1" applyAlignment="1">
      <alignment horizontal="right"/>
    </xf>
    <xf numFmtId="0" fontId="1" fillId="0" borderId="5" xfId="1" applyBorder="1" applyAlignment="1">
      <alignment horizontal="right"/>
    </xf>
    <xf numFmtId="0" fontId="1" fillId="0" borderId="6" xfId="1" applyBorder="1" applyAlignment="1">
      <alignment horizontal="right"/>
    </xf>
    <xf numFmtId="0" fontId="1" fillId="0" borderId="7" xfId="1" applyBorder="1" applyAlignment="1">
      <alignment horizontal="right"/>
    </xf>
    <xf numFmtId="0" fontId="2" fillId="0" borderId="0" xfId="1" applyFont="1"/>
    <xf numFmtId="164" fontId="2" fillId="0" borderId="0" xfId="1" applyNumberFormat="1" applyFont="1" applyAlignment="1">
      <alignment horizontal="right"/>
    </xf>
    <xf numFmtId="164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0" fontId="3" fillId="2" borderId="0" xfId="1" applyFont="1" applyFill="1"/>
    <xf numFmtId="0" fontId="4" fillId="2" borderId="0" xfId="1" applyFont="1" applyFill="1"/>
    <xf numFmtId="0" fontId="5" fillId="0" borderId="0" xfId="1" applyFont="1" applyFill="1"/>
    <xf numFmtId="0" fontId="4" fillId="0" borderId="0" xfId="1" applyFont="1" applyFill="1"/>
    <xf numFmtId="0" fontId="1" fillId="0" borderId="0" xfId="1" applyFill="1"/>
    <xf numFmtId="165" fontId="1" fillId="0" borderId="8" xfId="1" applyNumberFormat="1" applyBorder="1"/>
    <xf numFmtId="165" fontId="1" fillId="0" borderId="9" xfId="1" applyNumberFormat="1" applyBorder="1"/>
    <xf numFmtId="165" fontId="1" fillId="0" borderId="10" xfId="1" applyNumberFormat="1" applyBorder="1"/>
    <xf numFmtId="166" fontId="2" fillId="0" borderId="11" xfId="1" applyNumberFormat="1" applyFont="1" applyBorder="1" applyAlignment="1">
      <alignment horizontal="right"/>
    </xf>
    <xf numFmtId="166" fontId="2" fillId="0" borderId="10" xfId="1" applyNumberFormat="1" applyFont="1" applyBorder="1" applyAlignment="1">
      <alignment horizontal="right"/>
    </xf>
    <xf numFmtId="165" fontId="1" fillId="0" borderId="12" xfId="1" applyNumberFormat="1" applyFont="1" applyBorder="1"/>
    <xf numFmtId="165" fontId="1" fillId="0" borderId="0" xfId="1" applyNumberFormat="1" applyFont="1" applyBorder="1"/>
    <xf numFmtId="165" fontId="1" fillId="0" borderId="13" xfId="1" applyNumberFormat="1" applyFont="1" applyBorder="1"/>
    <xf numFmtId="166" fontId="2" fillId="0" borderId="14" xfId="1" applyNumberFormat="1" applyFont="1" applyBorder="1" applyAlignment="1">
      <alignment horizontal="right"/>
    </xf>
    <xf numFmtId="166" fontId="2" fillId="0" borderId="13" xfId="1" applyNumberFormat="1" applyFont="1" applyBorder="1" applyAlignment="1">
      <alignment horizontal="right"/>
    </xf>
    <xf numFmtId="167" fontId="1" fillId="0" borderId="0" xfId="1" applyNumberFormat="1" applyFont="1" applyFill="1" applyBorder="1"/>
    <xf numFmtId="165" fontId="1" fillId="0" borderId="12" xfId="1" applyNumberFormat="1" applyFont="1" applyFill="1" applyBorder="1"/>
    <xf numFmtId="165" fontId="1" fillId="0" borderId="0" xfId="1" applyNumberFormat="1" applyFont="1" applyFill="1" applyBorder="1"/>
    <xf numFmtId="165" fontId="1" fillId="0" borderId="13" xfId="1" applyNumberFormat="1" applyFont="1" applyFill="1" applyBorder="1"/>
    <xf numFmtId="166" fontId="1" fillId="0" borderId="15" xfId="1" applyNumberFormat="1" applyFont="1" applyFill="1" applyBorder="1" applyAlignment="1">
      <alignment horizontal="right"/>
    </xf>
    <xf numFmtId="166" fontId="1" fillId="0" borderId="6" xfId="1" applyNumberFormat="1" applyFont="1" applyFill="1" applyBorder="1" applyAlignment="1">
      <alignment horizontal="right"/>
    </xf>
    <xf numFmtId="167" fontId="1" fillId="0" borderId="8" xfId="1" applyNumberFormat="1" applyFont="1" applyFill="1" applyBorder="1"/>
    <xf numFmtId="165" fontId="1" fillId="0" borderId="8" xfId="1" applyNumberFormat="1" applyFont="1" applyFill="1" applyBorder="1"/>
    <xf numFmtId="165" fontId="1" fillId="0" borderId="9" xfId="1" applyNumberFormat="1" applyFont="1" applyFill="1" applyBorder="1"/>
    <xf numFmtId="165" fontId="1" fillId="0" borderId="10" xfId="1" applyNumberFormat="1" applyFont="1" applyFill="1" applyBorder="1"/>
    <xf numFmtId="166" fontId="1" fillId="0" borderId="14" xfId="1" applyNumberFormat="1" applyFont="1" applyFill="1" applyBorder="1" applyAlignment="1">
      <alignment horizontal="right"/>
    </xf>
    <xf numFmtId="166" fontId="1" fillId="0" borderId="13" xfId="1" applyNumberFormat="1" applyFont="1" applyFill="1" applyBorder="1" applyAlignment="1">
      <alignment horizontal="right"/>
    </xf>
    <xf numFmtId="0" fontId="6" fillId="0" borderId="12" xfId="1" applyFont="1" applyBorder="1"/>
    <xf numFmtId="165" fontId="6" fillId="0" borderId="12" xfId="1" applyNumberFormat="1" applyFont="1" applyBorder="1"/>
    <xf numFmtId="165" fontId="6" fillId="0" borderId="0" xfId="1" applyNumberFormat="1" applyFont="1" applyBorder="1"/>
    <xf numFmtId="165" fontId="6" fillId="0" borderId="13" xfId="1" applyNumberFormat="1" applyFont="1" applyBorder="1"/>
    <xf numFmtId="0" fontId="6" fillId="0" borderId="0" xfId="1" applyFont="1"/>
    <xf numFmtId="166" fontId="7" fillId="0" borderId="14" xfId="1" applyNumberFormat="1" applyFont="1" applyBorder="1" applyAlignment="1">
      <alignment horizontal="right"/>
    </xf>
    <xf numFmtId="166" fontId="7" fillId="0" borderId="13" xfId="1" applyNumberFormat="1" applyFont="1" applyBorder="1" applyAlignment="1">
      <alignment horizontal="right"/>
    </xf>
    <xf numFmtId="0" fontId="1" fillId="0" borderId="12" xfId="1" applyBorder="1"/>
    <xf numFmtId="167" fontId="1" fillId="0" borderId="4" xfId="1" applyNumberFormat="1" applyFont="1" applyFill="1" applyBorder="1"/>
    <xf numFmtId="165" fontId="1" fillId="0" borderId="4" xfId="1" applyNumberFormat="1" applyFont="1" applyFill="1" applyBorder="1"/>
    <xf numFmtId="165" fontId="1" fillId="0" borderId="5" xfId="1" applyNumberFormat="1" applyFont="1" applyFill="1" applyBorder="1"/>
    <xf numFmtId="165" fontId="1" fillId="0" borderId="6" xfId="1" applyNumberFormat="1" applyFont="1" applyFill="1" applyBorder="1"/>
    <xf numFmtId="165" fontId="1" fillId="0" borderId="16" xfId="1" applyNumberFormat="1" applyFont="1" applyFill="1" applyBorder="1"/>
    <xf numFmtId="166" fontId="1" fillId="0" borderId="17" xfId="1" applyNumberFormat="1" applyFont="1" applyFill="1" applyBorder="1" applyAlignment="1">
      <alignment horizontal="right"/>
    </xf>
    <xf numFmtId="166" fontId="1" fillId="0" borderId="18" xfId="1" applyNumberFormat="1" applyFont="1" applyFill="1" applyBorder="1" applyAlignment="1">
      <alignment horizontal="right"/>
    </xf>
    <xf numFmtId="0" fontId="6" fillId="0" borderId="13" xfId="1" applyFont="1" applyBorder="1"/>
    <xf numFmtId="166" fontId="7" fillId="0" borderId="0" xfId="1" applyNumberFormat="1" applyFont="1" applyBorder="1" applyAlignment="1">
      <alignment horizontal="right"/>
    </xf>
    <xf numFmtId="0" fontId="1" fillId="0" borderId="19" xfId="1" applyBorder="1"/>
    <xf numFmtId="165" fontId="1" fillId="0" borderId="20" xfId="1" applyNumberFormat="1" applyBorder="1"/>
    <xf numFmtId="165" fontId="1" fillId="0" borderId="19" xfId="1" applyNumberFormat="1" applyBorder="1"/>
    <xf numFmtId="165" fontId="1" fillId="0" borderId="21" xfId="1" applyNumberFormat="1" applyBorder="1"/>
    <xf numFmtId="166" fontId="1" fillId="0" borderId="22" xfId="1" applyNumberFormat="1" applyBorder="1" applyAlignment="1">
      <alignment horizontal="right"/>
    </xf>
    <xf numFmtId="166" fontId="1" fillId="0" borderId="21" xfId="1" applyNumberFormat="1" applyBorder="1" applyAlignment="1">
      <alignment horizontal="right"/>
    </xf>
    <xf numFmtId="165" fontId="1" fillId="0" borderId="0" xfId="1" applyNumberFormat="1"/>
    <xf numFmtId="164" fontId="1" fillId="0" borderId="0" xfId="1" applyNumberFormat="1"/>
    <xf numFmtId="165" fontId="1" fillId="0" borderId="12" xfId="1" applyNumberFormat="1" applyBorder="1"/>
    <xf numFmtId="165" fontId="1" fillId="0" borderId="0" xfId="1" applyNumberFormat="1" applyBorder="1"/>
    <xf numFmtId="165" fontId="1" fillId="0" borderId="13" xfId="1" applyNumberFormat="1" applyBorder="1"/>
    <xf numFmtId="165" fontId="1" fillId="0" borderId="4" xfId="1" applyNumberFormat="1" applyBorder="1"/>
    <xf numFmtId="165" fontId="1" fillId="0" borderId="5" xfId="1" applyNumberFormat="1" applyBorder="1"/>
    <xf numFmtId="165" fontId="1" fillId="0" borderId="6" xfId="1" applyNumberFormat="1" applyBorder="1"/>
    <xf numFmtId="166" fontId="1" fillId="0" borderId="0" xfId="1" applyNumberFormat="1"/>
    <xf numFmtId="0" fontId="8" fillId="0" borderId="0" xfId="0" applyFont="1"/>
    <xf numFmtId="166" fontId="2" fillId="0" borderId="15" xfId="1" applyNumberFormat="1" applyFont="1" applyBorder="1" applyAlignment="1">
      <alignment horizontal="right"/>
    </xf>
    <xf numFmtId="166" fontId="2" fillId="0" borderId="6" xfId="1" applyNumberFormat="1" applyFont="1" applyBorder="1" applyAlignment="1">
      <alignment horizontal="right"/>
    </xf>
    <xf numFmtId="165" fontId="1" fillId="0" borderId="0" xfId="1" applyNumberFormat="1" applyFill="1" applyBorder="1"/>
    <xf numFmtId="165" fontId="1" fillId="0" borderId="5" xfId="1" applyNumberFormat="1" applyFill="1" applyBorder="1"/>
    <xf numFmtId="165" fontId="1" fillId="0" borderId="9" xfId="1" applyNumberFormat="1" applyFill="1" applyBorder="1"/>
    <xf numFmtId="0" fontId="1" fillId="0" borderId="25" xfId="1" applyBorder="1" applyAlignment="1">
      <alignment horizontal="right"/>
    </xf>
    <xf numFmtId="165" fontId="1" fillId="0" borderId="28" xfId="1" applyNumberFormat="1" applyBorder="1"/>
    <xf numFmtId="165" fontId="1" fillId="0" borderId="12" xfId="1" applyNumberFormat="1" applyFill="1" applyBorder="1"/>
    <xf numFmtId="165" fontId="1" fillId="0" borderId="4" xfId="1" applyNumberFormat="1" applyFill="1" applyBorder="1"/>
    <xf numFmtId="165" fontId="1" fillId="0" borderId="13" xfId="1" applyNumberFormat="1" applyFill="1" applyBorder="1"/>
    <xf numFmtId="165" fontId="1" fillId="0" borderId="6" xfId="1" applyNumberFormat="1" applyFill="1" applyBorder="1"/>
    <xf numFmtId="0" fontId="1" fillId="0" borderId="1" xfId="1" quotePrefix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2" xfId="1" quotePrefix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3" xfId="1" quotePrefix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26" xfId="1" quotePrefix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0" xfId="1" applyFill="1" applyBorder="1"/>
    <xf numFmtId="0" fontId="4" fillId="0" borderId="29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PI\2010\H110%20KPI\EUR%20KPI%20workingsH1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laireB\Local%20Settings\Temporary%20Internet%20Files\OLK50F\EUR%20KPI%20workingsH110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 Q Data"/>
      <sheetName val="EUR H Data"/>
      <sheetName val="EUR Y Data"/>
      <sheetName val="USD Q Data"/>
      <sheetName val="XR Dec 09"/>
      <sheetName val="Sheet1"/>
    </sheetNames>
    <sheetDataSet>
      <sheetData sheetId="0"/>
      <sheetData sheetId="1"/>
      <sheetData sheetId="2"/>
      <sheetData sheetId="3"/>
      <sheetData sheetId="4">
        <row r="2">
          <cell r="C2">
            <v>1.4388489208633095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s"/>
      <sheetName val="Half Years"/>
      <sheetName val="Quarters"/>
      <sheetName val="EUR Y Data"/>
      <sheetName val="EUR Q Data"/>
      <sheetName val="USD Q Data"/>
      <sheetName val="EUR H Data"/>
      <sheetName val="XR Dec 09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>
            <v>1.4388489208633095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B1:Y74"/>
  <sheetViews>
    <sheetView showGridLines="0" tabSelected="1" zoomScaleNormal="100" workbookViewId="0">
      <pane xSplit="2" ySplit="8" topLeftCell="K42" activePane="bottomRight" state="frozen"/>
      <selection pane="topRight" activeCell="C1" sqref="C1"/>
      <selection pane="bottomLeft" activeCell="A9" sqref="A9"/>
      <selection pane="bottomRight" activeCell="X21" sqref="X21"/>
    </sheetView>
  </sheetViews>
  <sheetFormatPr defaultColWidth="0" defaultRowHeight="0" customHeight="1" zeroHeight="1" x14ac:dyDescent="0.2"/>
  <cols>
    <col min="1" max="1" width="1.28515625" style="1" customWidth="1"/>
    <col min="2" max="2" width="29.28515625" style="1" customWidth="1"/>
    <col min="3" max="20" width="8.28515625" style="1" customWidth="1"/>
    <col min="21" max="21" width="1.28515625" style="1" customWidth="1"/>
    <col min="22" max="22" width="1" style="1" customWidth="1"/>
    <col min="23" max="24" width="9.140625" style="1" customWidth="1"/>
    <col min="25" max="25" width="1.28515625" style="1" customWidth="1"/>
    <col min="26" max="16384" width="0" style="1" hidden="1"/>
  </cols>
  <sheetData>
    <row r="1" spans="2:24" ht="15" x14ac:dyDescent="0.25">
      <c r="B1" s="69" t="s">
        <v>26</v>
      </c>
    </row>
    <row r="2" spans="2:24" ht="15" x14ac:dyDescent="0.25">
      <c r="B2" s="69"/>
    </row>
    <row r="3" spans="2:24" ht="12.75" x14ac:dyDescent="0.2">
      <c r="C3" s="81" t="s">
        <v>0</v>
      </c>
      <c r="D3" s="82"/>
      <c r="E3" s="82"/>
      <c r="F3" s="83"/>
      <c r="G3" s="84" t="s">
        <v>1</v>
      </c>
      <c r="H3" s="82"/>
      <c r="I3" s="82"/>
      <c r="J3" s="83"/>
      <c r="K3" s="81" t="s">
        <v>2</v>
      </c>
      <c r="L3" s="82"/>
      <c r="M3" s="82"/>
      <c r="N3" s="82"/>
      <c r="O3" s="86" t="s">
        <v>41</v>
      </c>
      <c r="P3" s="87"/>
      <c r="Q3" s="87"/>
      <c r="R3" s="87"/>
      <c r="S3" s="88">
        <v>2012</v>
      </c>
      <c r="T3" s="89"/>
      <c r="W3" s="85" t="str">
        <f>+T4&amp;"vs"</f>
        <v>Q212vs</v>
      </c>
      <c r="X3" s="83"/>
    </row>
    <row r="4" spans="2:24" ht="12.75" x14ac:dyDescent="0.2">
      <c r="C4" s="2" t="s">
        <v>38</v>
      </c>
      <c r="D4" s="3" t="s">
        <v>37</v>
      </c>
      <c r="E4" s="3" t="s">
        <v>36</v>
      </c>
      <c r="F4" s="4" t="s">
        <v>35</v>
      </c>
      <c r="G4" s="3" t="s">
        <v>34</v>
      </c>
      <c r="H4" s="3" t="s">
        <v>33</v>
      </c>
      <c r="I4" s="3" t="s">
        <v>32</v>
      </c>
      <c r="J4" s="4" t="s">
        <v>31</v>
      </c>
      <c r="K4" s="3" t="s">
        <v>30</v>
      </c>
      <c r="L4" s="3" t="s">
        <v>29</v>
      </c>
      <c r="M4" s="3" t="s">
        <v>3</v>
      </c>
      <c r="N4" s="4" t="s">
        <v>4</v>
      </c>
      <c r="O4" s="3" t="s">
        <v>27</v>
      </c>
      <c r="P4" s="3" t="s">
        <v>39</v>
      </c>
      <c r="Q4" s="3" t="s">
        <v>28</v>
      </c>
      <c r="R4" s="3" t="s">
        <v>40</v>
      </c>
      <c r="S4" s="75" t="s">
        <v>42</v>
      </c>
      <c r="T4" s="75" t="s">
        <v>43</v>
      </c>
      <c r="W4" s="5" t="str">
        <f>+S4</f>
        <v>Q112</v>
      </c>
      <c r="X4" s="4" t="str">
        <f>+P4</f>
        <v xml:space="preserve">Q211 </v>
      </c>
    </row>
    <row r="5" spans="2:24" ht="12.75" x14ac:dyDescent="0.2">
      <c r="B5" s="6" t="s">
        <v>5</v>
      </c>
      <c r="C5" s="7">
        <v>91</v>
      </c>
      <c r="D5" s="7">
        <v>91</v>
      </c>
      <c r="E5" s="7">
        <v>92</v>
      </c>
      <c r="F5" s="7">
        <v>92</v>
      </c>
      <c r="G5" s="7">
        <v>90</v>
      </c>
      <c r="H5" s="7">
        <v>91</v>
      </c>
      <c r="I5" s="7">
        <v>92</v>
      </c>
      <c r="J5" s="7">
        <v>92</v>
      </c>
      <c r="K5" s="7">
        <v>90</v>
      </c>
      <c r="L5" s="7">
        <v>91</v>
      </c>
      <c r="M5" s="7">
        <v>92</v>
      </c>
      <c r="N5" s="7">
        <v>92</v>
      </c>
      <c r="O5" s="7">
        <v>90</v>
      </c>
      <c r="P5" s="7">
        <v>91</v>
      </c>
      <c r="Q5" s="7">
        <v>92</v>
      </c>
      <c r="R5" s="7">
        <v>92</v>
      </c>
      <c r="S5" s="7">
        <v>91</v>
      </c>
      <c r="T5" s="7">
        <v>91</v>
      </c>
    </row>
    <row r="6" spans="2:24" ht="3.75" customHeight="1" x14ac:dyDescent="0.2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W6" s="9"/>
      <c r="X6" s="9"/>
    </row>
    <row r="7" spans="2:24" ht="12.75" x14ac:dyDescent="0.2">
      <c r="B7" s="10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W7" s="11"/>
      <c r="X7" s="11"/>
    </row>
    <row r="8" spans="2:24" s="14" customFormat="1" ht="3.75" customHeight="1" x14ac:dyDescent="0.25"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91"/>
      <c r="U8" s="90"/>
      <c r="V8" s="90"/>
    </row>
    <row r="9" spans="2:24" ht="12.75" x14ac:dyDescent="0.2">
      <c r="B9" s="1" t="s">
        <v>7</v>
      </c>
      <c r="C9" s="15">
        <v>70.099999999999994</v>
      </c>
      <c r="D9" s="16">
        <v>66.5</v>
      </c>
      <c r="E9" s="16">
        <v>60.3</v>
      </c>
      <c r="F9" s="17">
        <v>57</v>
      </c>
      <c r="G9" s="16">
        <v>60.9</v>
      </c>
      <c r="H9" s="16">
        <v>51.1</v>
      </c>
      <c r="I9" s="16">
        <v>46</v>
      </c>
      <c r="J9" s="17">
        <v>64.900000000000006</v>
      </c>
      <c r="K9" s="16">
        <v>62.9</v>
      </c>
      <c r="L9" s="16">
        <v>53.6</v>
      </c>
      <c r="M9" s="16">
        <v>52.5</v>
      </c>
      <c r="N9" s="17">
        <v>57.3</v>
      </c>
      <c r="O9" s="16">
        <v>54</v>
      </c>
      <c r="P9" s="16">
        <v>50.9</v>
      </c>
      <c r="Q9" s="16">
        <v>52.3</v>
      </c>
      <c r="R9" s="17">
        <v>52.5</v>
      </c>
      <c r="S9" s="16">
        <v>52.2</v>
      </c>
      <c r="T9" s="64">
        <v>44.2</v>
      </c>
      <c r="W9" s="18">
        <f>IF(S9=0,"n/a ",ROUND(T9/S9,2)-1)</f>
        <v>-0.15000000000000002</v>
      </c>
      <c r="X9" s="19">
        <f>IF(P9=0,"n/a ",ROUND(T9/P9,2)-1)</f>
        <v>-0.13</v>
      </c>
    </row>
    <row r="10" spans="2:24" ht="12.75" x14ac:dyDescent="0.2">
      <c r="B10" s="1" t="s">
        <v>8</v>
      </c>
      <c r="C10" s="20">
        <v>48.4</v>
      </c>
      <c r="D10" s="21">
        <v>47.5</v>
      </c>
      <c r="E10" s="21">
        <v>43</v>
      </c>
      <c r="F10" s="22">
        <v>52.2</v>
      </c>
      <c r="G10" s="21">
        <v>50.4</v>
      </c>
      <c r="H10" s="21">
        <v>37.5</v>
      </c>
      <c r="I10" s="21">
        <v>45.3</v>
      </c>
      <c r="J10" s="22">
        <v>68</v>
      </c>
      <c r="K10" s="21">
        <v>64.7</v>
      </c>
      <c r="L10" s="21">
        <v>63.4</v>
      </c>
      <c r="M10" s="21">
        <v>64.8</v>
      </c>
      <c r="N10" s="22">
        <v>65.7</v>
      </c>
      <c r="O10" s="21">
        <v>71.599999999999994</v>
      </c>
      <c r="P10" s="21">
        <v>54.1</v>
      </c>
      <c r="Q10" s="21">
        <v>60.2</v>
      </c>
      <c r="R10" s="22">
        <v>73.8</v>
      </c>
      <c r="S10" s="21">
        <v>70.599999999999994</v>
      </c>
      <c r="T10" s="22">
        <v>57.5</v>
      </c>
      <c r="W10" s="23">
        <f t="shared" ref="W10:W12" si="0">IF(S10=0,"n/a ",ROUND(T10/S10,2)-1)</f>
        <v>-0.18999999999999995</v>
      </c>
      <c r="X10" s="24">
        <f>IF(P10=0,"n/a ",ROUND(T10/P10,2)-1)</f>
        <v>6.0000000000000053E-2</v>
      </c>
    </row>
    <row r="11" spans="2:24" ht="12.75" x14ac:dyDescent="0.2">
      <c r="B11" s="1" t="s">
        <v>9</v>
      </c>
      <c r="C11" s="20">
        <v>51</v>
      </c>
      <c r="D11" s="21">
        <v>55.4</v>
      </c>
      <c r="E11" s="21">
        <v>53.9</v>
      </c>
      <c r="F11" s="22">
        <v>52.5</v>
      </c>
      <c r="G11" s="21">
        <v>52.6</v>
      </c>
      <c r="H11" s="21">
        <v>57.6</v>
      </c>
      <c r="I11" s="21">
        <v>58.9</v>
      </c>
      <c r="J11" s="22">
        <v>66</v>
      </c>
      <c r="K11" s="21">
        <v>60.1</v>
      </c>
      <c r="L11" s="21">
        <v>61.8</v>
      </c>
      <c r="M11" s="21">
        <v>54.9</v>
      </c>
      <c r="N11" s="22">
        <v>64.2</v>
      </c>
      <c r="O11" s="21">
        <v>64.8</v>
      </c>
      <c r="P11" s="21">
        <v>59.5</v>
      </c>
      <c r="Q11" s="21">
        <v>68.599999999999994</v>
      </c>
      <c r="R11" s="22">
        <v>69.8</v>
      </c>
      <c r="S11" s="21">
        <v>71</v>
      </c>
      <c r="T11" s="22">
        <v>68.7</v>
      </c>
      <c r="W11" s="23">
        <f>IF(S11=0,"n/a ",ROUND(T11/S11,2)-1)</f>
        <v>-3.0000000000000027E-2</v>
      </c>
      <c r="X11" s="24">
        <f>IF(P11=0,"n/a ",ROUND(T11/P11,2)-1)</f>
        <v>0.14999999999999991</v>
      </c>
    </row>
    <row r="12" spans="2:24" ht="12.75" x14ac:dyDescent="0.2">
      <c r="B12" s="1" t="s">
        <v>10</v>
      </c>
      <c r="C12" s="20">
        <v>0.8</v>
      </c>
      <c r="D12" s="21">
        <v>1</v>
      </c>
      <c r="E12" s="21">
        <v>1.4</v>
      </c>
      <c r="F12" s="22">
        <v>1</v>
      </c>
      <c r="G12" s="21">
        <v>0.7</v>
      </c>
      <c r="H12" s="21">
        <v>0.5</v>
      </c>
      <c r="I12" s="21">
        <v>9.6</v>
      </c>
      <c r="J12" s="22">
        <v>12</v>
      </c>
      <c r="K12" s="21">
        <v>18.3</v>
      </c>
      <c r="L12" s="21">
        <v>17.7</v>
      </c>
      <c r="M12" s="21">
        <v>17.3</v>
      </c>
      <c r="N12" s="22">
        <v>18</v>
      </c>
      <c r="O12" s="21">
        <v>18.3</v>
      </c>
      <c r="P12" s="21">
        <v>14.7</v>
      </c>
      <c r="Q12" s="21">
        <v>14.6</v>
      </c>
      <c r="R12" s="22">
        <v>16.100000000000001</v>
      </c>
      <c r="S12" s="21">
        <v>15.6</v>
      </c>
      <c r="T12" s="22">
        <v>15.9</v>
      </c>
      <c r="W12" s="23">
        <f t="shared" si="0"/>
        <v>2.0000000000000018E-2</v>
      </c>
      <c r="X12" s="24">
        <f>IF(P12=0,"n/a ",ROUND(T12/P12,2)-1)</f>
        <v>8.0000000000000071E-2</v>
      </c>
    </row>
    <row r="13" spans="2:24" ht="3.95" customHeight="1" x14ac:dyDescent="0.2">
      <c r="B13" s="25"/>
      <c r="C13" s="26"/>
      <c r="D13" s="27"/>
      <c r="E13" s="27"/>
      <c r="F13" s="28"/>
      <c r="G13" s="27"/>
      <c r="H13" s="27"/>
      <c r="I13" s="27"/>
      <c r="J13" s="28"/>
      <c r="K13" s="27"/>
      <c r="L13" s="27"/>
      <c r="M13" s="27"/>
      <c r="N13" s="28"/>
      <c r="O13" s="27"/>
      <c r="P13" s="27"/>
      <c r="Q13" s="27"/>
      <c r="R13" s="28"/>
      <c r="S13" s="27"/>
      <c r="T13" s="48"/>
      <c r="W13" s="29"/>
      <c r="X13" s="30"/>
    </row>
    <row r="14" spans="2:24" ht="3.95" customHeight="1" x14ac:dyDescent="0.2">
      <c r="B14" s="31"/>
      <c r="C14" s="32"/>
      <c r="D14" s="33"/>
      <c r="E14" s="33"/>
      <c r="F14" s="34"/>
      <c r="G14" s="33"/>
      <c r="H14" s="33"/>
      <c r="I14" s="33"/>
      <c r="J14" s="34"/>
      <c r="K14" s="33"/>
      <c r="L14" s="33"/>
      <c r="M14" s="33"/>
      <c r="N14" s="34"/>
      <c r="O14" s="33"/>
      <c r="P14" s="33"/>
      <c r="Q14" s="33"/>
      <c r="R14" s="34"/>
      <c r="S14" s="33"/>
      <c r="T14" s="28"/>
      <c r="W14" s="35"/>
      <c r="X14" s="36"/>
    </row>
    <row r="15" spans="2:24" ht="12.75" x14ac:dyDescent="0.2">
      <c r="B15" s="37" t="s">
        <v>11</v>
      </c>
      <c r="C15" s="38">
        <f t="shared" ref="C15:N15" si="1">SUM(C9:C12)</f>
        <v>170.3</v>
      </c>
      <c r="D15" s="39">
        <f t="shared" si="1"/>
        <v>170.4</v>
      </c>
      <c r="E15" s="39">
        <f t="shared" si="1"/>
        <v>158.6</v>
      </c>
      <c r="F15" s="40">
        <f t="shared" si="1"/>
        <v>162.69999999999999</v>
      </c>
      <c r="G15" s="39">
        <f t="shared" si="1"/>
        <v>164.6</v>
      </c>
      <c r="H15" s="39">
        <f t="shared" si="1"/>
        <v>146.69999999999999</v>
      </c>
      <c r="I15" s="39">
        <f t="shared" si="1"/>
        <v>159.79999999999998</v>
      </c>
      <c r="J15" s="40">
        <f t="shared" si="1"/>
        <v>210.9</v>
      </c>
      <c r="K15" s="39">
        <f t="shared" si="1"/>
        <v>206</v>
      </c>
      <c r="L15" s="39">
        <f t="shared" si="1"/>
        <v>196.5</v>
      </c>
      <c r="M15" s="39">
        <f t="shared" si="1"/>
        <v>189.5</v>
      </c>
      <c r="N15" s="40">
        <f t="shared" si="1"/>
        <v>205.2</v>
      </c>
      <c r="O15" s="39">
        <v>208.7</v>
      </c>
      <c r="P15" s="39">
        <v>179.2</v>
      </c>
      <c r="Q15" s="39">
        <v>195.7</v>
      </c>
      <c r="R15" s="40">
        <v>212.2</v>
      </c>
      <c r="S15" s="39">
        <v>209.4</v>
      </c>
      <c r="T15" s="40">
        <v>186.3</v>
      </c>
      <c r="U15" s="41"/>
      <c r="V15" s="41"/>
      <c r="W15" s="42">
        <f>IF(S15=0,"n/a ",ROUND(T15/S15,2)-1)</f>
        <v>-0.10999999999999999</v>
      </c>
      <c r="X15" s="43">
        <f>IF(P15=0,"n/a ",ROUND(T15/P15,2)-1)</f>
        <v>4.0000000000000036E-2</v>
      </c>
    </row>
    <row r="16" spans="2:24" ht="3.75" customHeight="1" x14ac:dyDescent="0.2">
      <c r="B16" s="37"/>
      <c r="C16" s="38"/>
      <c r="D16" s="39"/>
      <c r="E16" s="39"/>
      <c r="F16" s="40"/>
      <c r="G16" s="39"/>
      <c r="H16" s="39"/>
      <c r="I16" s="39"/>
      <c r="J16" s="40"/>
      <c r="K16" s="39"/>
      <c r="L16" s="39"/>
      <c r="M16" s="39"/>
      <c r="N16" s="40"/>
      <c r="O16" s="39"/>
      <c r="P16" s="39"/>
      <c r="Q16" s="39"/>
      <c r="R16" s="40"/>
      <c r="S16" s="39"/>
      <c r="T16" s="40"/>
      <c r="U16" s="41"/>
      <c r="V16" s="41"/>
      <c r="W16" s="42"/>
      <c r="X16" s="43"/>
    </row>
    <row r="17" spans="2:25" ht="12.75" x14ac:dyDescent="0.2">
      <c r="B17" s="44" t="s">
        <v>12</v>
      </c>
      <c r="C17" s="20">
        <v>15</v>
      </c>
      <c r="D17" s="21">
        <v>14.9</v>
      </c>
      <c r="E17" s="21">
        <v>15.3</v>
      </c>
      <c r="F17" s="22">
        <v>18.399999999999999</v>
      </c>
      <c r="G17" s="21">
        <v>14.8</v>
      </c>
      <c r="H17" s="21">
        <v>14.8</v>
      </c>
      <c r="I17" s="21">
        <v>7.2</v>
      </c>
      <c r="J17" s="22">
        <v>6.1</v>
      </c>
      <c r="K17" s="21">
        <v>3.6</v>
      </c>
      <c r="L17" s="21">
        <v>4</v>
      </c>
      <c r="M17" s="21">
        <v>5.2</v>
      </c>
      <c r="N17" s="22">
        <v>4</v>
      </c>
      <c r="O17" s="21">
        <v>5.3</v>
      </c>
      <c r="P17" s="21">
        <v>4.8</v>
      </c>
      <c r="Q17" s="21">
        <v>5.4</v>
      </c>
      <c r="R17" s="22">
        <v>4.7</v>
      </c>
      <c r="S17" s="21">
        <v>6.5</v>
      </c>
      <c r="T17" s="22">
        <v>7.8</v>
      </c>
      <c r="W17" s="23">
        <f>IF(S17=0,"n/a ",ROUND(T17/S17,2)-1)</f>
        <v>0.19999999999999996</v>
      </c>
      <c r="X17" s="24">
        <f>IF(P17=0,"n/a ",ROUND(T17/P17,2)-1)</f>
        <v>0.62999999999999989</v>
      </c>
    </row>
    <row r="18" spans="2:25" ht="3.95" customHeight="1" x14ac:dyDescent="0.2">
      <c r="B18" s="45"/>
      <c r="C18" s="46"/>
      <c r="D18" s="47"/>
      <c r="E18" s="47"/>
      <c r="F18" s="48"/>
      <c r="G18" s="47"/>
      <c r="H18" s="47"/>
      <c r="I18" s="47"/>
      <c r="J18" s="48"/>
      <c r="K18" s="47"/>
      <c r="L18" s="47"/>
      <c r="M18" s="47"/>
      <c r="N18" s="48"/>
      <c r="O18" s="47"/>
      <c r="P18" s="47"/>
      <c r="Q18" s="47"/>
      <c r="R18" s="48"/>
      <c r="S18" s="47"/>
      <c r="T18" s="48"/>
      <c r="W18" s="29"/>
      <c r="X18" s="30"/>
    </row>
    <row r="19" spans="2:25" ht="3.95" customHeight="1" x14ac:dyDescent="0.2">
      <c r="B19" s="25"/>
      <c r="C19" s="49"/>
      <c r="D19" s="27"/>
      <c r="E19" s="27"/>
      <c r="F19" s="28"/>
      <c r="G19" s="27"/>
      <c r="H19" s="27"/>
      <c r="I19" s="27"/>
      <c r="J19" s="28"/>
      <c r="K19" s="27"/>
      <c r="L19" s="27"/>
      <c r="M19" s="27"/>
      <c r="N19" s="28"/>
      <c r="O19" s="27"/>
      <c r="P19" s="27"/>
      <c r="Q19" s="27"/>
      <c r="R19" s="28"/>
      <c r="S19" s="27"/>
      <c r="T19" s="28"/>
      <c r="W19" s="50"/>
      <c r="X19" s="51"/>
    </row>
    <row r="20" spans="2:25" ht="12.75" x14ac:dyDescent="0.2">
      <c r="B20" s="52" t="s">
        <v>13</v>
      </c>
      <c r="C20" s="39">
        <f t="shared" ref="C20:M20" si="2">SUM(C15:C17)</f>
        <v>185.3</v>
      </c>
      <c r="D20" s="39">
        <f t="shared" si="2"/>
        <v>185.3</v>
      </c>
      <c r="E20" s="39">
        <f t="shared" si="2"/>
        <v>173.9</v>
      </c>
      <c r="F20" s="40">
        <f t="shared" si="2"/>
        <v>181.1</v>
      </c>
      <c r="G20" s="39">
        <f t="shared" si="2"/>
        <v>179.4</v>
      </c>
      <c r="H20" s="39">
        <f t="shared" si="2"/>
        <v>161.5</v>
      </c>
      <c r="I20" s="39">
        <f t="shared" si="2"/>
        <v>166.99999999999997</v>
      </c>
      <c r="J20" s="40">
        <f t="shared" si="2"/>
        <v>217</v>
      </c>
      <c r="K20" s="39">
        <f t="shared" si="2"/>
        <v>209.6</v>
      </c>
      <c r="L20" s="39">
        <f t="shared" si="2"/>
        <v>200.5</v>
      </c>
      <c r="M20" s="39">
        <f t="shared" si="2"/>
        <v>194.7</v>
      </c>
      <c r="N20" s="40">
        <f>SUM(N15:N17)</f>
        <v>209.2</v>
      </c>
      <c r="O20" s="39">
        <v>214</v>
      </c>
      <c r="P20" s="39">
        <v>184</v>
      </c>
      <c r="Q20" s="39">
        <v>201.1</v>
      </c>
      <c r="R20" s="40">
        <v>216.89999999999998</v>
      </c>
      <c r="S20" s="39">
        <v>215.9</v>
      </c>
      <c r="T20" s="40">
        <v>194.1</v>
      </c>
      <c r="U20" s="41"/>
      <c r="V20" s="52"/>
      <c r="W20" s="43">
        <f>IF(S20=0,"n/a ",ROUND(T20/S20,2)-1)</f>
        <v>-9.9999999999999978E-2</v>
      </c>
      <c r="X20" s="53">
        <f>IF(P20=0,"n/a ",ROUND(T20/P20,2)-1)</f>
        <v>5.0000000000000044E-2</v>
      </c>
      <c r="Y20" s="44"/>
    </row>
    <row r="21" spans="2:25" ht="3.75" customHeight="1" thickBot="1" x14ac:dyDescent="0.25">
      <c r="B21" s="54"/>
      <c r="C21" s="55"/>
      <c r="D21" s="56">
        <v>0</v>
      </c>
      <c r="E21" s="56"/>
      <c r="F21" s="57">
        <v>0</v>
      </c>
      <c r="G21" s="55"/>
      <c r="H21" s="56">
        <v>0</v>
      </c>
      <c r="I21" s="56"/>
      <c r="J21" s="57">
        <v>0</v>
      </c>
      <c r="K21" s="55"/>
      <c r="L21" s="56">
        <v>0</v>
      </c>
      <c r="M21" s="56"/>
      <c r="N21" s="57"/>
      <c r="O21" s="55"/>
      <c r="P21" s="56"/>
      <c r="Q21" s="56"/>
      <c r="R21" s="57"/>
      <c r="S21" s="56"/>
      <c r="T21" s="76"/>
      <c r="W21" s="58"/>
      <c r="X21" s="59"/>
    </row>
    <row r="22" spans="2:25" ht="12.75" x14ac:dyDescent="0.2"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W22" s="61"/>
      <c r="X22" s="61"/>
    </row>
    <row r="23" spans="2:25" ht="12.75" x14ac:dyDescent="0.2">
      <c r="B23" s="10" t="s">
        <v>14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W23" s="11"/>
      <c r="X23" s="11"/>
    </row>
    <row r="24" spans="2:25" ht="3.75" customHeight="1" x14ac:dyDescent="0.2"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6"/>
    </row>
    <row r="25" spans="2:25" ht="12.75" x14ac:dyDescent="0.2">
      <c r="B25" s="1" t="s">
        <v>15</v>
      </c>
      <c r="C25" s="15">
        <v>19.5</v>
      </c>
      <c r="D25" s="16">
        <v>19.100000000000001</v>
      </c>
      <c r="E25" s="16">
        <v>16.3</v>
      </c>
      <c r="F25" s="17">
        <v>21.8</v>
      </c>
      <c r="G25" s="16">
        <v>22.4</v>
      </c>
      <c r="H25" s="16">
        <v>20.7</v>
      </c>
      <c r="I25" s="16">
        <v>21.5</v>
      </c>
      <c r="J25" s="17">
        <v>23.7</v>
      </c>
      <c r="K25" s="16">
        <v>24.9</v>
      </c>
      <c r="L25" s="16">
        <v>23.6</v>
      </c>
      <c r="M25" s="16">
        <v>21.2</v>
      </c>
      <c r="N25" s="17">
        <v>24.1</v>
      </c>
      <c r="O25" s="16">
        <v>23.6</v>
      </c>
      <c r="P25" s="16">
        <v>20.3</v>
      </c>
      <c r="Q25" s="16">
        <v>20.3</v>
      </c>
      <c r="R25" s="17">
        <v>22.4</v>
      </c>
      <c r="S25" s="15">
        <v>23.2</v>
      </c>
      <c r="T25" s="17">
        <v>21</v>
      </c>
      <c r="W25" s="18">
        <f>IF(S25=0,"n/a ",ROUND(T25/S25,2)-1)</f>
        <v>-8.9999999999999969E-2</v>
      </c>
      <c r="X25" s="19">
        <f>IF(P25=0,"n/a ",ROUND(T25/P25,2)-1)</f>
        <v>3.0000000000000027E-2</v>
      </c>
    </row>
    <row r="26" spans="2:25" ht="12.75" x14ac:dyDescent="0.2">
      <c r="B26" s="1" t="s">
        <v>16</v>
      </c>
      <c r="C26" s="62">
        <v>214.2</v>
      </c>
      <c r="D26" s="63">
        <v>210.2</v>
      </c>
      <c r="E26" s="63">
        <v>176.9</v>
      </c>
      <c r="F26" s="64">
        <v>236.8</v>
      </c>
      <c r="G26" s="63">
        <v>248.7</v>
      </c>
      <c r="H26" s="63">
        <v>227.5</v>
      </c>
      <c r="I26" s="63">
        <v>233.7</v>
      </c>
      <c r="J26" s="64">
        <v>257.10000000000002</v>
      </c>
      <c r="K26" s="63">
        <v>276.7</v>
      </c>
      <c r="L26" s="63">
        <v>259.3</v>
      </c>
      <c r="M26" s="63">
        <v>230.4</v>
      </c>
      <c r="N26" s="64">
        <v>262</v>
      </c>
      <c r="O26" s="72">
        <v>262.2</v>
      </c>
      <c r="P26" s="72">
        <v>223.1</v>
      </c>
      <c r="Q26" s="72">
        <v>220.7</v>
      </c>
      <c r="R26" s="64">
        <v>243.5</v>
      </c>
      <c r="S26" s="77">
        <v>254.9</v>
      </c>
      <c r="T26" s="79">
        <v>231.9</v>
      </c>
      <c r="W26" s="23">
        <f t="shared" ref="W26:W30" si="3">IF(S26=0,"n/a ",ROUND(T26/S26,2)-1)</f>
        <v>-8.9999999999999969E-2</v>
      </c>
      <c r="X26" s="24">
        <f t="shared" ref="X26:X31" si="4">IF(P26=0,"n/a ",ROUND(T26/P26,2)-1)</f>
        <v>4.0000000000000036E-2</v>
      </c>
    </row>
    <row r="27" spans="2:25" ht="12.75" x14ac:dyDescent="0.2">
      <c r="B27" s="1" t="s">
        <v>17</v>
      </c>
      <c r="C27" s="62">
        <v>8.6999999999999993</v>
      </c>
      <c r="D27" s="63">
        <v>8.9</v>
      </c>
      <c r="E27" s="63">
        <v>9.6999999999999993</v>
      </c>
      <c r="F27" s="64">
        <v>7.5</v>
      </c>
      <c r="G27" s="63">
        <v>7.4</v>
      </c>
      <c r="H27" s="63">
        <v>7.1</v>
      </c>
      <c r="I27" s="63">
        <v>7.4</v>
      </c>
      <c r="J27" s="64">
        <v>8.9</v>
      </c>
      <c r="K27" s="63">
        <v>8.3000000000000007</v>
      </c>
      <c r="L27" s="63">
        <v>8.3000000000000007</v>
      </c>
      <c r="M27" s="63">
        <v>8.9</v>
      </c>
      <c r="N27" s="64">
        <v>8.5</v>
      </c>
      <c r="O27" s="72">
        <v>8.8000000000000007</v>
      </c>
      <c r="P27" s="72">
        <v>8.8000000000000007</v>
      </c>
      <c r="Q27" s="72">
        <v>9.6</v>
      </c>
      <c r="R27" s="64">
        <v>9.5</v>
      </c>
      <c r="S27" s="77">
        <v>9</v>
      </c>
      <c r="T27" s="79">
        <v>8.8000000000000007</v>
      </c>
      <c r="W27" s="23">
        <f t="shared" si="3"/>
        <v>-2.0000000000000018E-2</v>
      </c>
      <c r="X27" s="24">
        <f>IF(P27=0,"n/a ",ROUND(T27/P27,2)-1)</f>
        <v>0</v>
      </c>
    </row>
    <row r="28" spans="2:25" ht="12.75" x14ac:dyDescent="0.2">
      <c r="B28" s="1" t="s">
        <v>18</v>
      </c>
      <c r="C28" s="62">
        <v>112.3</v>
      </c>
      <c r="D28" s="63">
        <v>102.7</v>
      </c>
      <c r="E28" s="63">
        <v>113.1</v>
      </c>
      <c r="F28" s="64">
        <v>91.8</v>
      </c>
      <c r="G28" s="63">
        <v>92.5</v>
      </c>
      <c r="H28" s="63">
        <v>89.1</v>
      </c>
      <c r="I28" s="63">
        <v>87.4</v>
      </c>
      <c r="J28" s="64">
        <v>112.7</v>
      </c>
      <c r="K28" s="63">
        <v>101.4</v>
      </c>
      <c r="L28" s="63">
        <v>90.7</v>
      </c>
      <c r="M28" s="63">
        <v>103.3</v>
      </c>
      <c r="N28" s="64">
        <v>111.8</v>
      </c>
      <c r="O28" s="72">
        <v>113.7</v>
      </c>
      <c r="P28" s="72">
        <v>104.2</v>
      </c>
      <c r="Q28" s="72">
        <v>112.7</v>
      </c>
      <c r="R28" s="64">
        <v>118.4</v>
      </c>
      <c r="S28" s="77">
        <v>112.6</v>
      </c>
      <c r="T28" s="79">
        <v>103.6</v>
      </c>
      <c r="W28" s="23">
        <f t="shared" si="3"/>
        <v>-7.999999999999996E-2</v>
      </c>
      <c r="X28" s="24">
        <f t="shared" si="4"/>
        <v>-1.0000000000000009E-2</v>
      </c>
    </row>
    <row r="29" spans="2:25" ht="12.75" x14ac:dyDescent="0.2">
      <c r="B29" s="1" t="s">
        <v>19</v>
      </c>
      <c r="C29" s="62">
        <v>395.5</v>
      </c>
      <c r="D29" s="63">
        <v>426.1</v>
      </c>
      <c r="E29" s="63">
        <v>336.9</v>
      </c>
      <c r="F29" s="64">
        <v>501.2</v>
      </c>
      <c r="G29" s="63">
        <v>527.6</v>
      </c>
      <c r="H29" s="63">
        <v>412.9</v>
      </c>
      <c r="I29" s="63">
        <v>438.8</v>
      </c>
      <c r="J29" s="64">
        <v>457.9</v>
      </c>
      <c r="K29" s="63">
        <v>513</v>
      </c>
      <c r="L29" s="63">
        <v>540.29999999999995</v>
      </c>
      <c r="M29" s="63">
        <v>457.7</v>
      </c>
      <c r="N29" s="64">
        <v>457.9</v>
      </c>
      <c r="O29" s="72">
        <v>471.7</v>
      </c>
      <c r="P29" s="72">
        <v>405.7</v>
      </c>
      <c r="Q29" s="72">
        <v>430.4</v>
      </c>
      <c r="R29" s="64">
        <v>418.6</v>
      </c>
      <c r="S29" s="77">
        <v>449.2</v>
      </c>
      <c r="T29" s="79">
        <v>391.6</v>
      </c>
      <c r="W29" s="23">
        <f t="shared" si="3"/>
        <v>-0.13</v>
      </c>
      <c r="X29" s="24">
        <f t="shared" si="4"/>
        <v>-3.0000000000000027E-2</v>
      </c>
    </row>
    <row r="30" spans="2:25" ht="12.75" x14ac:dyDescent="0.2">
      <c r="B30" s="1" t="s">
        <v>20</v>
      </c>
      <c r="C30" s="62">
        <v>1516.1</v>
      </c>
      <c r="D30" s="63">
        <v>1658.6</v>
      </c>
      <c r="E30" s="63">
        <v>1402.8</v>
      </c>
      <c r="F30" s="64">
        <v>1772.6</v>
      </c>
      <c r="G30" s="63">
        <v>1779.6</v>
      </c>
      <c r="H30" s="63">
        <v>1645.7</v>
      </c>
      <c r="I30" s="63">
        <v>1829</v>
      </c>
      <c r="J30" s="64">
        <v>1871.5</v>
      </c>
      <c r="K30" s="63">
        <v>2032.2</v>
      </c>
      <c r="L30" s="63">
        <v>2166.6999999999998</v>
      </c>
      <c r="M30" s="63">
        <v>1833.7</v>
      </c>
      <c r="N30" s="64">
        <v>1835</v>
      </c>
      <c r="O30" s="72">
        <v>1835</v>
      </c>
      <c r="P30" s="72">
        <v>1720.2</v>
      </c>
      <c r="Q30" s="72">
        <v>1736.2</v>
      </c>
      <c r="R30" s="64">
        <v>1791.6</v>
      </c>
      <c r="S30" s="77">
        <v>1860.1</v>
      </c>
      <c r="T30" s="79">
        <v>1798.1</v>
      </c>
      <c r="W30" s="23">
        <f t="shared" si="3"/>
        <v>-3.0000000000000027E-2</v>
      </c>
      <c r="X30" s="24">
        <f t="shared" si="4"/>
        <v>5.0000000000000044E-2</v>
      </c>
    </row>
    <row r="31" spans="2:25" ht="12.75" x14ac:dyDescent="0.2">
      <c r="B31" s="1" t="s">
        <v>21</v>
      </c>
      <c r="C31" s="65">
        <v>1871.4</v>
      </c>
      <c r="D31" s="66">
        <v>1872.5</v>
      </c>
      <c r="E31" s="66">
        <v>1723.9</v>
      </c>
      <c r="F31" s="67">
        <v>1768.5</v>
      </c>
      <c r="G31" s="66">
        <v>1828.9</v>
      </c>
      <c r="H31" s="66">
        <v>1612.1</v>
      </c>
      <c r="I31" s="66">
        <v>1737</v>
      </c>
      <c r="J31" s="67">
        <v>2292.4</v>
      </c>
      <c r="K31" s="66">
        <v>2288.9</v>
      </c>
      <c r="L31" s="66">
        <v>2159.3000000000002</v>
      </c>
      <c r="M31" s="66">
        <v>2059.8000000000002</v>
      </c>
      <c r="N31" s="67">
        <v>2230.4</v>
      </c>
      <c r="O31" s="73">
        <v>2318.9</v>
      </c>
      <c r="P31" s="73">
        <v>1969.2</v>
      </c>
      <c r="Q31" s="73">
        <v>2127.1999999999998</v>
      </c>
      <c r="R31" s="67">
        <v>2306.5</v>
      </c>
      <c r="S31" s="78">
        <v>2301.1</v>
      </c>
      <c r="T31" s="80">
        <v>2047.3</v>
      </c>
      <c r="W31" s="70">
        <f>IF(S31=0,"n/a ",ROUND(T31/S31,2)-1)</f>
        <v>-0.10999999999999999</v>
      </c>
      <c r="X31" s="71">
        <f t="shared" si="4"/>
        <v>4.0000000000000036E-2</v>
      </c>
    </row>
    <row r="32" spans="2:25" ht="12.75" x14ac:dyDescent="0.2"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W32" s="68"/>
      <c r="X32" s="68"/>
    </row>
    <row r="33" spans="2:24" ht="12.75" x14ac:dyDescent="0.2">
      <c r="B33" s="10" t="s">
        <v>22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W33" s="11"/>
      <c r="X33" s="11"/>
    </row>
    <row r="34" spans="2:24" ht="3.75" customHeight="1" x14ac:dyDescent="0.2"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</row>
    <row r="35" spans="2:24" ht="12.75" x14ac:dyDescent="0.2">
      <c r="B35" s="1" t="s">
        <v>15</v>
      </c>
      <c r="C35" s="15">
        <v>9.1999999999999993</v>
      </c>
      <c r="D35" s="16">
        <v>8.1999999999999993</v>
      </c>
      <c r="E35" s="16">
        <v>7.8</v>
      </c>
      <c r="F35" s="17">
        <v>10.5</v>
      </c>
      <c r="G35" s="16">
        <v>11.7</v>
      </c>
      <c r="H35" s="16">
        <v>10.9</v>
      </c>
      <c r="I35" s="16">
        <v>10.7</v>
      </c>
      <c r="J35" s="17">
        <v>11.4</v>
      </c>
      <c r="K35" s="16">
        <v>11.6</v>
      </c>
      <c r="L35" s="16">
        <v>10</v>
      </c>
      <c r="M35" s="16">
        <v>9.4</v>
      </c>
      <c r="N35" s="17">
        <v>10.199999999999999</v>
      </c>
      <c r="O35" s="16">
        <v>10.199999999999999</v>
      </c>
      <c r="P35" s="16">
        <v>9</v>
      </c>
      <c r="Q35" s="16">
        <v>8.5</v>
      </c>
      <c r="R35" s="17">
        <v>9</v>
      </c>
      <c r="S35" s="15">
        <v>8.8000000000000007</v>
      </c>
      <c r="T35" s="17">
        <v>7</v>
      </c>
      <c r="W35" s="18">
        <f>IF(S35=0,"n/a ",ROUND(T35/S35,2)-1)</f>
        <v>-0.19999999999999996</v>
      </c>
      <c r="X35" s="19">
        <f>IF(P35=0,"n/a ",ROUND(T35/P35,2)-1)</f>
        <v>-0.21999999999999997</v>
      </c>
    </row>
    <row r="36" spans="2:24" ht="12.75" x14ac:dyDescent="0.2">
      <c r="B36" s="1" t="s">
        <v>16</v>
      </c>
      <c r="C36" s="62">
        <v>101.5</v>
      </c>
      <c r="D36" s="63">
        <v>89.9</v>
      </c>
      <c r="E36" s="63">
        <v>84.8</v>
      </c>
      <c r="F36" s="64">
        <v>114</v>
      </c>
      <c r="G36" s="63">
        <v>130.1</v>
      </c>
      <c r="H36" s="63">
        <v>120.1</v>
      </c>
      <c r="I36" s="63">
        <v>116.1</v>
      </c>
      <c r="J36" s="64">
        <v>123.9</v>
      </c>
      <c r="K36" s="63">
        <v>128.9</v>
      </c>
      <c r="L36" s="63">
        <v>109.9</v>
      </c>
      <c r="M36" s="63">
        <v>102.2</v>
      </c>
      <c r="N36" s="64">
        <v>110.9</v>
      </c>
      <c r="O36" s="72">
        <v>113.3</v>
      </c>
      <c r="P36" s="72">
        <v>98.9</v>
      </c>
      <c r="Q36" s="72">
        <v>92.4</v>
      </c>
      <c r="R36" s="64">
        <v>97.8</v>
      </c>
      <c r="S36" s="77">
        <v>96.7</v>
      </c>
      <c r="T36" s="79">
        <v>78</v>
      </c>
      <c r="W36" s="23">
        <f t="shared" ref="W36:W40" si="5">IF(S36=0,"n/a ",ROUND(T36/S36,2)-1)</f>
        <v>-0.18999999999999995</v>
      </c>
      <c r="X36" s="24">
        <f t="shared" ref="X36:X41" si="6">IF(P36=0,"n/a ",ROUND(T36/P36,2)-1)</f>
        <v>-0.20999999999999996</v>
      </c>
    </row>
    <row r="37" spans="2:24" ht="12.75" x14ac:dyDescent="0.2">
      <c r="B37" s="1" t="s">
        <v>17</v>
      </c>
      <c r="C37" s="62">
        <v>7.6</v>
      </c>
      <c r="D37" s="63">
        <v>8.1</v>
      </c>
      <c r="E37" s="63">
        <v>7.7</v>
      </c>
      <c r="F37" s="64">
        <v>5.4</v>
      </c>
      <c r="G37" s="63">
        <v>5.2</v>
      </c>
      <c r="H37" s="63">
        <v>4.7</v>
      </c>
      <c r="I37" s="63">
        <v>4.3</v>
      </c>
      <c r="J37" s="64">
        <v>5.7</v>
      </c>
      <c r="K37" s="63">
        <v>5.4</v>
      </c>
      <c r="L37" s="63">
        <v>5.4</v>
      </c>
      <c r="M37" s="63">
        <v>5.6</v>
      </c>
      <c r="N37" s="64">
        <v>5.6</v>
      </c>
      <c r="O37" s="72">
        <v>5.3</v>
      </c>
      <c r="P37" s="72">
        <v>5.7</v>
      </c>
      <c r="Q37" s="72">
        <v>6.2</v>
      </c>
      <c r="R37" s="64">
        <v>5.8</v>
      </c>
      <c r="S37" s="77">
        <v>5.9</v>
      </c>
      <c r="T37" s="79">
        <v>6.2</v>
      </c>
      <c r="W37" s="23">
        <f t="shared" si="5"/>
        <v>5.0000000000000044E-2</v>
      </c>
      <c r="X37" s="24">
        <f t="shared" si="6"/>
        <v>9.000000000000008E-2</v>
      </c>
    </row>
    <row r="38" spans="2:24" ht="12.75" x14ac:dyDescent="0.2">
      <c r="B38" s="1" t="s">
        <v>18</v>
      </c>
      <c r="C38" s="62">
        <v>95.4</v>
      </c>
      <c r="D38" s="63">
        <v>95.2</v>
      </c>
      <c r="E38" s="63">
        <v>91.3</v>
      </c>
      <c r="F38" s="64">
        <v>68.7</v>
      </c>
      <c r="G38" s="63">
        <v>72.2</v>
      </c>
      <c r="H38" s="63">
        <v>61.7</v>
      </c>
      <c r="I38" s="63">
        <v>52.7</v>
      </c>
      <c r="J38" s="64">
        <v>73.5</v>
      </c>
      <c r="K38" s="63">
        <v>67.2</v>
      </c>
      <c r="L38" s="63">
        <v>62.1</v>
      </c>
      <c r="M38" s="63">
        <v>64.5</v>
      </c>
      <c r="N38" s="64">
        <v>66.7</v>
      </c>
      <c r="O38" s="72">
        <v>62.5</v>
      </c>
      <c r="P38" s="72">
        <v>63.9</v>
      </c>
      <c r="Q38" s="72">
        <v>69.8</v>
      </c>
      <c r="R38" s="64">
        <v>66.5</v>
      </c>
      <c r="S38" s="77">
        <v>67.099999999999994</v>
      </c>
      <c r="T38" s="79">
        <v>67.599999999999994</v>
      </c>
      <c r="W38" s="23">
        <f t="shared" si="5"/>
        <v>1.0000000000000009E-2</v>
      </c>
      <c r="X38" s="24">
        <f t="shared" si="6"/>
        <v>6.0000000000000053E-2</v>
      </c>
    </row>
    <row r="39" spans="2:24" ht="12.75" x14ac:dyDescent="0.2">
      <c r="B39" s="1" t="s">
        <v>19</v>
      </c>
      <c r="C39" s="62">
        <v>172.9</v>
      </c>
      <c r="D39" s="63">
        <v>141.6</v>
      </c>
      <c r="E39" s="63">
        <v>151.5</v>
      </c>
      <c r="F39" s="64">
        <v>228.8</v>
      </c>
      <c r="G39" s="63">
        <v>261</v>
      </c>
      <c r="H39" s="63">
        <v>189.9</v>
      </c>
      <c r="I39" s="63">
        <v>177.8</v>
      </c>
      <c r="J39" s="64">
        <v>181.8</v>
      </c>
      <c r="K39" s="63">
        <v>199.1</v>
      </c>
      <c r="L39" s="63">
        <v>155.19999999999999</v>
      </c>
      <c r="M39" s="63">
        <v>189</v>
      </c>
      <c r="N39" s="64">
        <v>183.2</v>
      </c>
      <c r="O39" s="72">
        <v>203.5</v>
      </c>
      <c r="P39" s="72">
        <v>170.2</v>
      </c>
      <c r="Q39" s="72">
        <v>191.6</v>
      </c>
      <c r="R39" s="64">
        <v>155.4</v>
      </c>
      <c r="S39" s="77">
        <v>129.69999999999999</v>
      </c>
      <c r="T39" s="79">
        <v>82.6</v>
      </c>
      <c r="W39" s="23">
        <f>IF(S39=0,"n/a ",ROUND(T39/S39,2)-1)</f>
        <v>-0.36</v>
      </c>
      <c r="X39" s="24">
        <f>IF(P39=0,"n/a ",ROUND(T39/P39,2)-1)</f>
        <v>-0.51</v>
      </c>
    </row>
    <row r="40" spans="2:24" ht="12.75" x14ac:dyDescent="0.2">
      <c r="B40" s="1" t="s">
        <v>20</v>
      </c>
      <c r="C40" s="62">
        <v>734.7</v>
      </c>
      <c r="D40" s="63">
        <v>698.6</v>
      </c>
      <c r="E40" s="63">
        <v>660.3</v>
      </c>
      <c r="F40" s="64">
        <v>829.6</v>
      </c>
      <c r="G40" s="63">
        <v>843.9</v>
      </c>
      <c r="H40" s="63">
        <v>827.7</v>
      </c>
      <c r="I40" s="63">
        <v>872.5</v>
      </c>
      <c r="J40" s="64">
        <v>883.4</v>
      </c>
      <c r="K40" s="63">
        <v>936.3</v>
      </c>
      <c r="L40" s="63">
        <v>863.3</v>
      </c>
      <c r="M40" s="63">
        <v>813.7</v>
      </c>
      <c r="N40" s="64">
        <v>859.4</v>
      </c>
      <c r="O40" s="72">
        <v>863.8</v>
      </c>
      <c r="P40" s="72">
        <v>796.6</v>
      </c>
      <c r="Q40" s="72">
        <v>748.8</v>
      </c>
      <c r="R40" s="64">
        <v>789</v>
      </c>
      <c r="S40" s="77">
        <v>777.9</v>
      </c>
      <c r="T40" s="79">
        <v>653.5</v>
      </c>
      <c r="W40" s="23">
        <f t="shared" si="5"/>
        <v>-0.16000000000000003</v>
      </c>
      <c r="X40" s="24">
        <f t="shared" si="6"/>
        <v>-0.18000000000000005</v>
      </c>
    </row>
    <row r="41" spans="2:24" ht="12.75" x14ac:dyDescent="0.2">
      <c r="B41" s="1" t="s">
        <v>21</v>
      </c>
      <c r="C41" s="65">
        <v>770.3</v>
      </c>
      <c r="D41" s="66">
        <v>730.8</v>
      </c>
      <c r="E41" s="66">
        <v>655.4</v>
      </c>
      <c r="F41" s="67">
        <v>619.6</v>
      </c>
      <c r="G41" s="66">
        <v>676.7</v>
      </c>
      <c r="H41" s="66">
        <v>561.5</v>
      </c>
      <c r="I41" s="66">
        <v>500</v>
      </c>
      <c r="J41" s="67">
        <v>705.4</v>
      </c>
      <c r="K41" s="66">
        <v>698.9</v>
      </c>
      <c r="L41" s="66">
        <v>589</v>
      </c>
      <c r="M41" s="66">
        <v>570.70000000000005</v>
      </c>
      <c r="N41" s="67">
        <v>622.79999999999995</v>
      </c>
      <c r="O41" s="73">
        <v>600</v>
      </c>
      <c r="P41" s="73">
        <v>559.29999999999995</v>
      </c>
      <c r="Q41" s="73">
        <v>568.5</v>
      </c>
      <c r="R41" s="67">
        <v>570.70000000000005</v>
      </c>
      <c r="S41" s="78">
        <v>573.6</v>
      </c>
      <c r="T41" s="80">
        <v>485.7</v>
      </c>
      <c r="W41" s="70">
        <f>IF(S41=0,"n/a ",ROUND(T41/S41,2)-1)</f>
        <v>-0.15000000000000002</v>
      </c>
      <c r="X41" s="71">
        <f t="shared" si="6"/>
        <v>-0.13</v>
      </c>
    </row>
    <row r="42" spans="2:24" ht="12.75" x14ac:dyDescent="0.2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W42" s="68"/>
      <c r="X42" s="68"/>
    </row>
    <row r="43" spans="2:24" ht="12.75" x14ac:dyDescent="0.2">
      <c r="B43" s="10" t="s">
        <v>23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W43" s="11"/>
      <c r="X43" s="11"/>
    </row>
    <row r="44" spans="2:24" ht="3.75" customHeight="1" x14ac:dyDescent="0.2"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</row>
    <row r="45" spans="2:24" ht="12.75" x14ac:dyDescent="0.2">
      <c r="B45" s="1" t="s">
        <v>15</v>
      </c>
      <c r="C45" s="15">
        <v>10</v>
      </c>
      <c r="D45" s="16">
        <v>10.5</v>
      </c>
      <c r="E45" s="16">
        <v>8</v>
      </c>
      <c r="F45" s="17">
        <v>11.2</v>
      </c>
      <c r="G45" s="16">
        <v>10.7</v>
      </c>
      <c r="H45" s="16">
        <v>9.6</v>
      </c>
      <c r="I45" s="16">
        <v>9.3000000000000007</v>
      </c>
      <c r="J45" s="17">
        <v>10.6</v>
      </c>
      <c r="K45" s="16">
        <v>11.4</v>
      </c>
      <c r="L45" s="16">
        <v>11.5</v>
      </c>
      <c r="M45" s="16">
        <v>9.6999999999999993</v>
      </c>
      <c r="N45" s="17">
        <v>11.9</v>
      </c>
      <c r="O45" s="74">
        <v>11.4</v>
      </c>
      <c r="P45" s="74">
        <v>9.1</v>
      </c>
      <c r="Q45" s="74">
        <v>9.6999999999999993</v>
      </c>
      <c r="R45" s="17">
        <v>11.5</v>
      </c>
      <c r="S45" s="15">
        <v>12.7</v>
      </c>
      <c r="T45" s="17">
        <v>12.2</v>
      </c>
      <c r="W45" s="18">
        <f>IF(S45=0,"n/a ",ROUND(T45/S45,2)-1)</f>
        <v>-4.0000000000000036E-2</v>
      </c>
      <c r="X45" s="19">
        <f>IF(P45=0,"n/a ",ROUND(T45/P45,2)-1)</f>
        <v>0.34000000000000008</v>
      </c>
    </row>
    <row r="46" spans="2:24" ht="12.75" x14ac:dyDescent="0.2">
      <c r="B46" s="1" t="s">
        <v>16</v>
      </c>
      <c r="C46" s="62">
        <v>109.6</v>
      </c>
      <c r="D46" s="63">
        <v>115.9</v>
      </c>
      <c r="E46" s="63">
        <v>87.2</v>
      </c>
      <c r="F46" s="64">
        <v>122</v>
      </c>
      <c r="G46" s="63">
        <v>118.6</v>
      </c>
      <c r="H46" s="63">
        <v>106</v>
      </c>
      <c r="I46" s="63">
        <v>100.9</v>
      </c>
      <c r="J46" s="64">
        <v>114.7</v>
      </c>
      <c r="K46" s="63">
        <v>126.7</v>
      </c>
      <c r="L46" s="63">
        <v>126.4</v>
      </c>
      <c r="M46" s="63">
        <v>105.4</v>
      </c>
      <c r="N46" s="64">
        <v>129.30000000000001</v>
      </c>
      <c r="O46" s="72">
        <v>126.7</v>
      </c>
      <c r="P46" s="72">
        <v>100</v>
      </c>
      <c r="Q46" s="72">
        <v>105.4</v>
      </c>
      <c r="R46" s="64">
        <v>125</v>
      </c>
      <c r="S46" s="77">
        <v>139.6</v>
      </c>
      <c r="T46" s="79">
        <v>134.1</v>
      </c>
      <c r="W46" s="23">
        <f t="shared" ref="W46:W48" si="7">IF(S46=0,"n/a ",ROUND(T46/S46,2)-1)</f>
        <v>-4.0000000000000036E-2</v>
      </c>
      <c r="X46" s="24">
        <f t="shared" ref="X46:X48" si="8">IF(P46=0,"n/a ",ROUND(T46/P46,2)-1)</f>
        <v>0.34000000000000008</v>
      </c>
    </row>
    <row r="47" spans="2:24" ht="12.75" x14ac:dyDescent="0.2">
      <c r="B47" s="1" t="s">
        <v>17</v>
      </c>
      <c r="C47" s="62">
        <v>4.9000000000000004</v>
      </c>
      <c r="D47" s="63">
        <v>4.5</v>
      </c>
      <c r="E47" s="63">
        <v>5.4</v>
      </c>
      <c r="F47" s="64">
        <v>4.7</v>
      </c>
      <c r="G47" s="63">
        <v>4.7</v>
      </c>
      <c r="H47" s="63">
        <v>3.9</v>
      </c>
      <c r="I47" s="63">
        <v>4.9000000000000004</v>
      </c>
      <c r="J47" s="64">
        <v>6.4</v>
      </c>
      <c r="K47" s="63">
        <v>5.7</v>
      </c>
      <c r="L47" s="63">
        <v>5.5</v>
      </c>
      <c r="M47" s="63">
        <v>6.7</v>
      </c>
      <c r="N47" s="64">
        <v>5.5</v>
      </c>
      <c r="O47" s="72">
        <v>6.3</v>
      </c>
      <c r="P47" s="72">
        <v>5.9</v>
      </c>
      <c r="Q47" s="72">
        <v>6.2</v>
      </c>
      <c r="R47" s="64">
        <v>6.4</v>
      </c>
      <c r="S47" s="77">
        <v>5.6</v>
      </c>
      <c r="T47" s="79">
        <v>4.7</v>
      </c>
      <c r="W47" s="23">
        <f t="shared" si="7"/>
        <v>-0.16000000000000003</v>
      </c>
      <c r="X47" s="24">
        <f t="shared" si="8"/>
        <v>-0.19999999999999996</v>
      </c>
    </row>
    <row r="48" spans="2:24" ht="12.75" x14ac:dyDescent="0.2">
      <c r="B48" s="1" t="s">
        <v>18</v>
      </c>
      <c r="C48" s="62">
        <v>59.4</v>
      </c>
      <c r="D48" s="63">
        <v>47.8</v>
      </c>
      <c r="E48" s="63">
        <v>56.8</v>
      </c>
      <c r="F48" s="64">
        <v>49.7</v>
      </c>
      <c r="G48" s="63">
        <v>47.9</v>
      </c>
      <c r="H48" s="63">
        <v>40.1</v>
      </c>
      <c r="I48" s="63">
        <v>50.2</v>
      </c>
      <c r="J48" s="64">
        <v>70.7</v>
      </c>
      <c r="K48" s="63">
        <v>65.599999999999994</v>
      </c>
      <c r="L48" s="63">
        <v>54.7</v>
      </c>
      <c r="M48" s="63">
        <v>65.400000000000006</v>
      </c>
      <c r="N48" s="64">
        <v>66.599999999999994</v>
      </c>
      <c r="O48" s="72">
        <v>73.3</v>
      </c>
      <c r="P48" s="72">
        <v>61.6</v>
      </c>
      <c r="Q48" s="72">
        <v>64.400000000000006</v>
      </c>
      <c r="R48" s="64">
        <v>74.099999999999994</v>
      </c>
      <c r="S48" s="77">
        <v>64</v>
      </c>
      <c r="T48" s="79">
        <v>50.6</v>
      </c>
      <c r="W48" s="23">
        <f t="shared" si="7"/>
        <v>-0.20999999999999996</v>
      </c>
      <c r="X48" s="24">
        <f t="shared" si="8"/>
        <v>-0.18000000000000005</v>
      </c>
    </row>
    <row r="49" spans="2:24" ht="12.75" x14ac:dyDescent="0.2">
      <c r="B49" s="1" t="s">
        <v>19</v>
      </c>
      <c r="C49" s="62">
        <v>189.2</v>
      </c>
      <c r="D49" s="63">
        <v>241.3</v>
      </c>
      <c r="E49" s="63">
        <v>137.1</v>
      </c>
      <c r="F49" s="64">
        <v>220.5</v>
      </c>
      <c r="G49" s="63">
        <v>214.2</v>
      </c>
      <c r="H49" s="63">
        <v>180.5</v>
      </c>
      <c r="I49" s="63">
        <v>172.6</v>
      </c>
      <c r="J49" s="64">
        <v>198.2</v>
      </c>
      <c r="K49" s="63">
        <v>203.9</v>
      </c>
      <c r="L49" s="63">
        <v>281.3</v>
      </c>
      <c r="M49" s="63">
        <v>181.1</v>
      </c>
      <c r="N49" s="64">
        <v>191.3</v>
      </c>
      <c r="O49" s="72">
        <v>178.5</v>
      </c>
      <c r="P49" s="72">
        <v>160.9</v>
      </c>
      <c r="Q49" s="72">
        <v>168.1</v>
      </c>
      <c r="R49" s="64">
        <v>189.4</v>
      </c>
      <c r="S49" s="77">
        <v>237.8</v>
      </c>
      <c r="T49" s="79">
        <v>237.2</v>
      </c>
      <c r="W49" s="23">
        <f>IF(S49=0,"n/a ",ROUND(T49/S49,2)-1)</f>
        <v>0</v>
      </c>
      <c r="X49" s="24">
        <f>IF(P49=0,"n/a ",ROUND(T49/P49,2)-1)</f>
        <v>0.47</v>
      </c>
    </row>
    <row r="50" spans="2:24" ht="12.75" x14ac:dyDescent="0.2">
      <c r="B50" s="1" t="s">
        <v>20</v>
      </c>
      <c r="C50" s="62">
        <v>814.9</v>
      </c>
      <c r="D50" s="63">
        <v>993.9</v>
      </c>
      <c r="E50" s="63">
        <v>756.6</v>
      </c>
      <c r="F50" s="64">
        <v>1050.9000000000001</v>
      </c>
      <c r="G50" s="63">
        <v>1053</v>
      </c>
      <c r="H50" s="63">
        <v>935.8</v>
      </c>
      <c r="I50" s="63">
        <v>902.4</v>
      </c>
      <c r="J50" s="64">
        <v>961.2</v>
      </c>
      <c r="K50" s="63">
        <v>986.2</v>
      </c>
      <c r="L50" s="63">
        <v>1159.3</v>
      </c>
      <c r="M50" s="63">
        <v>991.1</v>
      </c>
      <c r="N50" s="64">
        <v>986.8</v>
      </c>
      <c r="O50" s="72">
        <v>976.4</v>
      </c>
      <c r="P50" s="72">
        <v>877.6</v>
      </c>
      <c r="Q50" s="72">
        <v>935.4</v>
      </c>
      <c r="R50" s="64">
        <v>995.6</v>
      </c>
      <c r="S50" s="77">
        <v>1103.5999999999999</v>
      </c>
      <c r="T50" s="79">
        <v>1136.4000000000001</v>
      </c>
      <c r="W50" s="23">
        <f t="shared" ref="W50" si="9">IF(S50=0,"n/a ",ROUND(T50/S50,2)-1)</f>
        <v>3.0000000000000027E-2</v>
      </c>
      <c r="X50" s="24">
        <f t="shared" ref="X50:X51" si="10">IF(P50=0,"n/a ",ROUND(T50/P50,2)-1)</f>
        <v>0.29000000000000004</v>
      </c>
    </row>
    <row r="51" spans="2:24" ht="12.75" x14ac:dyDescent="0.2">
      <c r="B51" s="1" t="s">
        <v>21</v>
      </c>
      <c r="C51" s="65">
        <v>531.9</v>
      </c>
      <c r="D51" s="66">
        <v>522</v>
      </c>
      <c r="E51" s="66">
        <v>467.4</v>
      </c>
      <c r="F51" s="67">
        <v>567.4</v>
      </c>
      <c r="G51" s="66">
        <v>560</v>
      </c>
      <c r="H51" s="66">
        <v>412.1</v>
      </c>
      <c r="I51" s="66">
        <v>492.4</v>
      </c>
      <c r="J51" s="67">
        <v>739.1</v>
      </c>
      <c r="K51" s="66">
        <v>718.9</v>
      </c>
      <c r="L51" s="66">
        <v>696.7</v>
      </c>
      <c r="M51" s="66">
        <v>704.3</v>
      </c>
      <c r="N51" s="67">
        <v>714.1</v>
      </c>
      <c r="O51" s="73">
        <v>795.6</v>
      </c>
      <c r="P51" s="73">
        <v>594.5</v>
      </c>
      <c r="Q51" s="73">
        <v>654.29999999999995</v>
      </c>
      <c r="R51" s="67">
        <v>803.2</v>
      </c>
      <c r="S51" s="78">
        <v>775.8</v>
      </c>
      <c r="T51" s="80">
        <v>631.9</v>
      </c>
      <c r="W51" s="70">
        <f>IF(S51=0,"n/a ",ROUND(T51/S51,2)-1)</f>
        <v>-0.18999999999999995</v>
      </c>
      <c r="X51" s="71">
        <f t="shared" si="10"/>
        <v>6.0000000000000053E-2</v>
      </c>
    </row>
    <row r="52" spans="2:24" ht="12.75" x14ac:dyDescent="0.2"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W52" s="68"/>
      <c r="X52" s="68"/>
    </row>
    <row r="53" spans="2:24" ht="12.75" x14ac:dyDescent="0.2">
      <c r="B53" s="10" t="s">
        <v>24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W53" s="11"/>
      <c r="X53" s="11"/>
    </row>
    <row r="54" spans="2:24" ht="3.75" customHeight="1" x14ac:dyDescent="0.2"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</row>
    <row r="55" spans="2:24" ht="12.75" x14ac:dyDescent="0.2">
      <c r="B55" s="1" t="s">
        <v>15</v>
      </c>
      <c r="C55" s="15">
        <v>2.2000000000000002</v>
      </c>
      <c r="D55" s="16">
        <v>2.2000000000000002</v>
      </c>
      <c r="E55" s="16">
        <v>2</v>
      </c>
      <c r="F55" s="17">
        <v>2.4</v>
      </c>
      <c r="G55" s="16">
        <v>2.5</v>
      </c>
      <c r="H55" s="16">
        <v>2.2999999999999998</v>
      </c>
      <c r="I55" s="16">
        <v>2.4</v>
      </c>
      <c r="J55" s="17">
        <v>2.6</v>
      </c>
      <c r="K55" s="16">
        <v>2.7</v>
      </c>
      <c r="L55" s="16">
        <v>2.5</v>
      </c>
      <c r="M55" s="16">
        <v>2.2000000000000002</v>
      </c>
      <c r="N55" s="17">
        <v>2.6</v>
      </c>
      <c r="O55" s="16">
        <v>2.7</v>
      </c>
      <c r="P55" s="16">
        <v>2.4</v>
      </c>
      <c r="Q55" s="16">
        <v>2.5</v>
      </c>
      <c r="R55" s="17">
        <v>2.7</v>
      </c>
      <c r="S55" s="15">
        <v>2.7</v>
      </c>
      <c r="T55" s="17">
        <v>2.5</v>
      </c>
      <c r="W55" s="18">
        <f>IF(S55=0,"n/a ",ROUND(T55/S55,2)-1)</f>
        <v>-6.9999999999999951E-2</v>
      </c>
      <c r="X55" s="19">
        <f>IF(P55=0,"n/a ",ROUND(T55/P55,2)-1)</f>
        <v>4.0000000000000036E-2</v>
      </c>
    </row>
    <row r="56" spans="2:24" ht="12.75" x14ac:dyDescent="0.2">
      <c r="B56" s="1" t="s">
        <v>16</v>
      </c>
      <c r="C56" s="62">
        <v>24.2</v>
      </c>
      <c r="D56" s="63">
        <v>24.4</v>
      </c>
      <c r="E56" s="63">
        <v>21.6</v>
      </c>
      <c r="F56" s="64">
        <v>26.6</v>
      </c>
      <c r="G56" s="63">
        <v>27.6</v>
      </c>
      <c r="H56" s="63">
        <v>25.4</v>
      </c>
      <c r="I56" s="63">
        <v>25.6</v>
      </c>
      <c r="J56" s="64">
        <v>28.7</v>
      </c>
      <c r="K56" s="63">
        <v>30</v>
      </c>
      <c r="L56" s="63">
        <v>27.5</v>
      </c>
      <c r="M56" s="63">
        <v>23.9</v>
      </c>
      <c r="N56" s="64">
        <v>28.3</v>
      </c>
      <c r="O56" s="72">
        <v>30</v>
      </c>
      <c r="P56" s="72">
        <v>26.4</v>
      </c>
      <c r="Q56" s="72">
        <v>27.2</v>
      </c>
      <c r="R56" s="64">
        <v>29.3</v>
      </c>
      <c r="S56" s="77">
        <v>29.7</v>
      </c>
      <c r="T56" s="79">
        <v>27.5</v>
      </c>
      <c r="W56" s="23">
        <f t="shared" ref="W56:W58" si="11">IF(S56=0,"n/a ",ROUND(T56/S56,2)-1)</f>
        <v>-6.9999999999999951E-2</v>
      </c>
      <c r="X56" s="24">
        <f t="shared" ref="X56:X58" si="12">IF(P56=0,"n/a ",ROUND(T56/P56,2)-1)</f>
        <v>4.0000000000000036E-2</v>
      </c>
    </row>
    <row r="57" spans="2:24" ht="12.75" x14ac:dyDescent="0.2">
      <c r="B57" s="1" t="s">
        <v>17</v>
      </c>
      <c r="C57" s="62">
        <v>23.2</v>
      </c>
      <c r="D57" s="63">
        <v>25</v>
      </c>
      <c r="E57" s="63">
        <v>27.1</v>
      </c>
      <c r="F57" s="64">
        <v>21.5</v>
      </c>
      <c r="G57" s="63">
        <v>21.2</v>
      </c>
      <c r="H57" s="63">
        <v>24.9</v>
      </c>
      <c r="I57" s="63">
        <v>25</v>
      </c>
      <c r="J57" s="64">
        <v>25</v>
      </c>
      <c r="K57" s="63">
        <v>22.3</v>
      </c>
      <c r="L57" s="63">
        <v>24.7</v>
      </c>
      <c r="M57" s="63">
        <v>25</v>
      </c>
      <c r="N57" s="64">
        <v>24.7</v>
      </c>
      <c r="O57" s="72">
        <v>24</v>
      </c>
      <c r="P57" s="72">
        <v>24.8</v>
      </c>
      <c r="Q57" s="72">
        <v>27.4</v>
      </c>
      <c r="R57" s="64">
        <v>25.9</v>
      </c>
      <c r="S57" s="77">
        <v>26.3</v>
      </c>
      <c r="T57" s="79">
        <v>27.5</v>
      </c>
      <c r="W57" s="23">
        <f t="shared" si="11"/>
        <v>5.0000000000000044E-2</v>
      </c>
      <c r="X57" s="24">
        <f t="shared" si="12"/>
        <v>0.1100000000000001</v>
      </c>
    </row>
    <row r="58" spans="2:24" ht="12.75" x14ac:dyDescent="0.2">
      <c r="B58" s="1" t="s">
        <v>18</v>
      </c>
      <c r="C58" s="62">
        <v>118.8</v>
      </c>
      <c r="D58" s="63">
        <v>122.6</v>
      </c>
      <c r="E58" s="63">
        <v>134.1</v>
      </c>
      <c r="F58" s="64">
        <v>104.9</v>
      </c>
      <c r="G58" s="63">
        <v>104.9</v>
      </c>
      <c r="H58" s="63">
        <v>132</v>
      </c>
      <c r="I58" s="63">
        <v>129.6</v>
      </c>
      <c r="J58" s="64">
        <v>138.1</v>
      </c>
      <c r="K58" s="63">
        <v>121.7</v>
      </c>
      <c r="L58" s="63">
        <v>129.30000000000001</v>
      </c>
      <c r="M58" s="63">
        <v>132.1</v>
      </c>
      <c r="N58" s="64">
        <v>140.9</v>
      </c>
      <c r="O58" s="72">
        <v>141.5</v>
      </c>
      <c r="P58" s="72">
        <v>147.4</v>
      </c>
      <c r="Q58" s="72">
        <v>156</v>
      </c>
      <c r="R58" s="64">
        <v>148.6</v>
      </c>
      <c r="S58" s="77">
        <v>158.19999999999999</v>
      </c>
      <c r="T58" s="79">
        <v>171.7</v>
      </c>
      <c r="W58" s="23">
        <f t="shared" si="11"/>
        <v>9.000000000000008E-2</v>
      </c>
      <c r="X58" s="24">
        <f t="shared" si="12"/>
        <v>0.15999999999999992</v>
      </c>
    </row>
    <row r="59" spans="2:24" ht="12.75" x14ac:dyDescent="0.2">
      <c r="B59" s="1" t="s">
        <v>19</v>
      </c>
      <c r="C59" s="62">
        <v>29.7</v>
      </c>
      <c r="D59" s="63">
        <v>36.200000000000003</v>
      </c>
      <c r="E59" s="63">
        <v>40.1</v>
      </c>
      <c r="F59" s="64">
        <v>48.5</v>
      </c>
      <c r="G59" s="63">
        <v>49.9</v>
      </c>
      <c r="H59" s="63">
        <v>41.9</v>
      </c>
      <c r="I59" s="63">
        <v>40</v>
      </c>
      <c r="J59" s="64">
        <v>40.700000000000003</v>
      </c>
      <c r="K59" s="63">
        <v>43.9</v>
      </c>
      <c r="L59" s="63">
        <v>40.799999999999997</v>
      </c>
      <c r="M59" s="63">
        <v>30.8</v>
      </c>
      <c r="N59" s="64">
        <v>37.200000000000003</v>
      </c>
      <c r="O59" s="72">
        <v>40.1</v>
      </c>
      <c r="P59" s="72">
        <v>32.299999999999997</v>
      </c>
      <c r="Q59" s="72">
        <v>33.799999999999997</v>
      </c>
      <c r="R59" s="64">
        <v>42.1</v>
      </c>
      <c r="S59" s="77">
        <v>42.8</v>
      </c>
      <c r="T59" s="79">
        <v>34</v>
      </c>
      <c r="W59" s="23">
        <f>IF(S59=0,"n/a ",ROUND(T59/S59,2)-1)</f>
        <v>-0.20999999999999996</v>
      </c>
      <c r="X59" s="24">
        <f>IF(P59=0,"n/a ",ROUND(T59/P59,2)-1)</f>
        <v>5.0000000000000044E-2</v>
      </c>
    </row>
    <row r="60" spans="2:24" ht="12.75" x14ac:dyDescent="0.2">
      <c r="B60" s="1" t="s">
        <v>20</v>
      </c>
      <c r="C60" s="62">
        <v>429.2</v>
      </c>
      <c r="D60" s="63">
        <v>451.7</v>
      </c>
      <c r="E60" s="63">
        <v>401.9</v>
      </c>
      <c r="F60" s="64">
        <v>500.6</v>
      </c>
      <c r="G60" s="63">
        <v>501.3</v>
      </c>
      <c r="H60" s="63">
        <v>436.4</v>
      </c>
      <c r="I60" s="63">
        <v>454.6</v>
      </c>
      <c r="J60" s="64">
        <v>478</v>
      </c>
      <c r="K60" s="63">
        <v>493.7</v>
      </c>
      <c r="L60" s="63">
        <v>478</v>
      </c>
      <c r="M60" s="63">
        <v>415.7</v>
      </c>
      <c r="N60" s="64">
        <v>455.8</v>
      </c>
      <c r="O60" s="72">
        <v>457.8</v>
      </c>
      <c r="P60" s="72">
        <v>403.7</v>
      </c>
      <c r="Q60" s="72">
        <v>439.7</v>
      </c>
      <c r="R60" s="64">
        <v>469.6</v>
      </c>
      <c r="S60" s="77">
        <v>448.8</v>
      </c>
      <c r="T60" s="79">
        <v>400.6</v>
      </c>
      <c r="W60" s="23">
        <f>IF(S60=0,"n/a ",ROUND(T60/S60,2)-1)</f>
        <v>-0.10999999999999999</v>
      </c>
      <c r="X60" s="24">
        <f>IF(P60=0,"n/a ",ROUND(T60/P60,2)-1)</f>
        <v>-1.0000000000000009E-2</v>
      </c>
    </row>
    <row r="61" spans="2:24" ht="12.75" x14ac:dyDescent="0.2">
      <c r="B61" s="1" t="s">
        <v>21</v>
      </c>
      <c r="C61" s="65">
        <v>560.4</v>
      </c>
      <c r="D61" s="66">
        <v>608.79999999999995</v>
      </c>
      <c r="E61" s="66">
        <v>585.9</v>
      </c>
      <c r="F61" s="67">
        <v>570.70000000000005</v>
      </c>
      <c r="G61" s="66">
        <v>584.4</v>
      </c>
      <c r="H61" s="66">
        <v>633</v>
      </c>
      <c r="I61" s="66">
        <v>640.20000000000005</v>
      </c>
      <c r="J61" s="67">
        <v>717.4</v>
      </c>
      <c r="K61" s="66">
        <v>667.8</v>
      </c>
      <c r="L61" s="66">
        <v>679.1</v>
      </c>
      <c r="M61" s="66">
        <v>596.70000000000005</v>
      </c>
      <c r="N61" s="67">
        <v>697.8</v>
      </c>
      <c r="O61" s="73">
        <v>720</v>
      </c>
      <c r="P61" s="73">
        <v>653.79999999999995</v>
      </c>
      <c r="Q61" s="73">
        <v>745.7</v>
      </c>
      <c r="R61" s="67">
        <v>758.1</v>
      </c>
      <c r="S61" s="78">
        <v>780.2</v>
      </c>
      <c r="T61" s="80">
        <v>756</v>
      </c>
      <c r="W61" s="70">
        <f>IF(S61=0,"n/a ",ROUND(T61/S61,2)-1)</f>
        <v>-3.0000000000000027E-2</v>
      </c>
      <c r="X61" s="71">
        <f t="shared" ref="X60:X61" si="13">IF(P61=0,"n/a ",ROUND(T61/P61,2)-1)</f>
        <v>0.15999999999999992</v>
      </c>
    </row>
    <row r="62" spans="2:24" ht="12.75" x14ac:dyDescent="0.2"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W62" s="68"/>
      <c r="X62" s="68"/>
    </row>
    <row r="63" spans="2:24" ht="12.75" x14ac:dyDescent="0.2">
      <c r="B63" s="10" t="s">
        <v>25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W63" s="11"/>
      <c r="X63" s="11"/>
    </row>
    <row r="64" spans="2:24" ht="3.75" customHeight="1" x14ac:dyDescent="0.2"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</row>
    <row r="65" spans="2:24" ht="12.75" x14ac:dyDescent="0.2">
      <c r="B65" s="1" t="s">
        <v>15</v>
      </c>
      <c r="C65" s="15">
        <v>0.1</v>
      </c>
      <c r="D65" s="16">
        <v>0.1</v>
      </c>
      <c r="E65" s="16">
        <v>0.1</v>
      </c>
      <c r="F65" s="17">
        <v>0.1</v>
      </c>
      <c r="G65" s="16">
        <v>0.1</v>
      </c>
      <c r="H65" s="16">
        <v>0.1</v>
      </c>
      <c r="I65" s="16">
        <v>1.4</v>
      </c>
      <c r="J65" s="17">
        <v>1.7</v>
      </c>
      <c r="K65" s="16">
        <v>2.2999999999999998</v>
      </c>
      <c r="L65" s="16">
        <v>2.2000000000000002</v>
      </c>
      <c r="M65" s="16">
        <v>2.2000000000000002</v>
      </c>
      <c r="N65" s="17">
        <v>2.4</v>
      </c>
      <c r="O65" s="16">
        <v>2.4</v>
      </c>
      <c r="P65" s="16">
        <v>2.2000000000000002</v>
      </c>
      <c r="Q65" s="16">
        <v>2</v>
      </c>
      <c r="R65" s="17">
        <v>1.9</v>
      </c>
      <c r="S65" s="15">
        <v>1.8</v>
      </c>
      <c r="T65" s="17">
        <v>1.8</v>
      </c>
      <c r="W65" s="18">
        <f>IF(S65=0,"n/a ",ROUND(T65/S65,2)-1)</f>
        <v>0</v>
      </c>
      <c r="X65" s="19">
        <f>IF(P65=0,"n/a ",ROUND(T65/P65,2)-1)</f>
        <v>-0.18000000000000005</v>
      </c>
    </row>
    <row r="66" spans="2:24" ht="12.75" x14ac:dyDescent="0.2">
      <c r="B66" s="1" t="s">
        <v>16</v>
      </c>
      <c r="C66" s="62">
        <v>1</v>
      </c>
      <c r="D66" s="63">
        <v>1</v>
      </c>
      <c r="E66" s="63">
        <v>1.3</v>
      </c>
      <c r="F66" s="64">
        <v>1.1000000000000001</v>
      </c>
      <c r="G66" s="63">
        <v>0.9</v>
      </c>
      <c r="H66" s="63">
        <v>0.7</v>
      </c>
      <c r="I66" s="63">
        <v>15.7</v>
      </c>
      <c r="J66" s="64">
        <v>18.8</v>
      </c>
      <c r="K66" s="63">
        <v>25.6</v>
      </c>
      <c r="L66" s="63">
        <v>24.2</v>
      </c>
      <c r="M66" s="63">
        <v>23.9</v>
      </c>
      <c r="N66" s="64">
        <v>26.1</v>
      </c>
      <c r="O66" s="72">
        <v>26.7</v>
      </c>
      <c r="P66" s="72">
        <v>24.2</v>
      </c>
      <c r="Q66" s="72">
        <v>21.7</v>
      </c>
      <c r="R66" s="64">
        <v>20.7</v>
      </c>
      <c r="S66" s="77">
        <v>19.8</v>
      </c>
      <c r="T66" s="79">
        <v>18.7</v>
      </c>
      <c r="W66" s="23">
        <f>IF(S66=0,"n/a ",ROUND(T66/S66,2)-1)</f>
        <v>-6.0000000000000053E-2</v>
      </c>
      <c r="X66" s="24">
        <f t="shared" ref="X66:X68" si="14">IF(P66=0,"n/a ",ROUND(T66/P66,2)-1)</f>
        <v>-0.22999999999999998</v>
      </c>
    </row>
    <row r="67" spans="2:24" ht="12.75" x14ac:dyDescent="0.2">
      <c r="B67" s="1" t="s">
        <v>17</v>
      </c>
      <c r="C67" s="62">
        <v>9</v>
      </c>
      <c r="D67" s="63">
        <v>10.8</v>
      </c>
      <c r="E67" s="63">
        <v>12</v>
      </c>
      <c r="F67" s="64">
        <v>10.199999999999999</v>
      </c>
      <c r="G67" s="63">
        <v>8.3000000000000007</v>
      </c>
      <c r="H67" s="63">
        <v>8.1999999999999993</v>
      </c>
      <c r="I67" s="63">
        <v>6.6</v>
      </c>
      <c r="J67" s="64">
        <v>6.9</v>
      </c>
      <c r="K67" s="63">
        <v>8</v>
      </c>
      <c r="L67" s="63">
        <v>8</v>
      </c>
      <c r="M67" s="63">
        <v>7.9</v>
      </c>
      <c r="N67" s="64">
        <v>7.5</v>
      </c>
      <c r="O67" s="72">
        <v>7.6</v>
      </c>
      <c r="P67" s="72">
        <v>6.7</v>
      </c>
      <c r="Q67" s="72">
        <v>7.3</v>
      </c>
      <c r="R67" s="64">
        <v>8.5</v>
      </c>
      <c r="S67" s="77">
        <v>8.6999999999999993</v>
      </c>
      <c r="T67" s="79">
        <v>9.4</v>
      </c>
      <c r="W67" s="23">
        <f t="shared" ref="W66:W68" si="15">IF(S67=0,"n/a ",ROUND(T67/S67,2)-1)</f>
        <v>8.0000000000000071E-2</v>
      </c>
      <c r="X67" s="24">
        <f t="shared" si="14"/>
        <v>0.39999999999999991</v>
      </c>
    </row>
    <row r="68" spans="2:24" ht="12.75" x14ac:dyDescent="0.2">
      <c r="B68" s="1" t="s">
        <v>18</v>
      </c>
      <c r="C68" s="62">
        <v>40.6</v>
      </c>
      <c r="D68" s="63">
        <v>50.7</v>
      </c>
      <c r="E68" s="63">
        <v>65</v>
      </c>
      <c r="F68" s="64">
        <v>47.5</v>
      </c>
      <c r="G68" s="63">
        <v>38</v>
      </c>
      <c r="H68" s="63">
        <v>35.299999999999997</v>
      </c>
      <c r="I68" s="63">
        <v>50.6</v>
      </c>
      <c r="J68" s="64">
        <v>65</v>
      </c>
      <c r="K68" s="63">
        <v>55.4</v>
      </c>
      <c r="L68" s="63">
        <v>52.8</v>
      </c>
      <c r="M68" s="63">
        <v>80.3</v>
      </c>
      <c r="N68" s="64">
        <v>86.7</v>
      </c>
      <c r="O68" s="72">
        <v>90.1</v>
      </c>
      <c r="P68" s="72">
        <v>69.400000000000006</v>
      </c>
      <c r="Q68" s="72">
        <v>74.3</v>
      </c>
      <c r="R68" s="64">
        <v>85.7</v>
      </c>
      <c r="S68" s="77">
        <v>81.099999999999994</v>
      </c>
      <c r="T68" s="79">
        <v>92.8</v>
      </c>
      <c r="W68" s="23">
        <f t="shared" si="15"/>
        <v>0.1399999999999999</v>
      </c>
      <c r="X68" s="24">
        <f>IF(P68=0,"n/a ",ROUND(T68/P68,2)-1)</f>
        <v>0.34000000000000008</v>
      </c>
    </row>
    <row r="69" spans="2:24" ht="12.75" x14ac:dyDescent="0.2">
      <c r="B69" s="1" t="s">
        <v>19</v>
      </c>
      <c r="C69" s="62">
        <v>3.7</v>
      </c>
      <c r="D69" s="63">
        <v>7.1</v>
      </c>
      <c r="E69" s="63">
        <v>8.1999999999999993</v>
      </c>
      <c r="F69" s="64">
        <v>3.4</v>
      </c>
      <c r="G69" s="63">
        <v>2.5</v>
      </c>
      <c r="H69" s="63">
        <v>0.6</v>
      </c>
      <c r="I69" s="63">
        <v>48.4</v>
      </c>
      <c r="J69" s="64">
        <v>37.200000000000003</v>
      </c>
      <c r="K69" s="63">
        <v>66.2</v>
      </c>
      <c r="L69" s="63">
        <v>63.1</v>
      </c>
      <c r="M69" s="63">
        <v>56.8</v>
      </c>
      <c r="N69" s="64">
        <v>46.2</v>
      </c>
      <c r="O69" s="72">
        <v>49.6</v>
      </c>
      <c r="P69" s="72">
        <v>42.3</v>
      </c>
      <c r="Q69" s="72">
        <v>36.9</v>
      </c>
      <c r="R69" s="64">
        <v>31.7</v>
      </c>
      <c r="S69" s="77">
        <v>38.9</v>
      </c>
      <c r="T69" s="79">
        <v>37.799999999999997</v>
      </c>
      <c r="W69" s="23">
        <f>IF(S69=0,"n/a ",ROUND(T69/S69,2)-1)</f>
        <v>-3.0000000000000027E-2</v>
      </c>
      <c r="X69" s="24">
        <f>IF(P69=0,"n/a ",ROUND(T69/P69,2)-1)</f>
        <v>-0.10999999999999999</v>
      </c>
    </row>
    <row r="70" spans="2:24" ht="12.75" x14ac:dyDescent="0.2">
      <c r="B70" s="1" t="s">
        <v>20</v>
      </c>
      <c r="C70" s="62">
        <v>19.7</v>
      </c>
      <c r="D70" s="63">
        <v>19.7</v>
      </c>
      <c r="E70" s="63">
        <v>21.5</v>
      </c>
      <c r="F70" s="64">
        <v>21</v>
      </c>
      <c r="G70" s="63">
        <v>18.399999999999999</v>
      </c>
      <c r="H70" s="63">
        <v>14.2</v>
      </c>
      <c r="I70" s="63">
        <v>189.8</v>
      </c>
      <c r="J70" s="64">
        <v>184.5</v>
      </c>
      <c r="K70" s="63">
        <v>330.4</v>
      </c>
      <c r="L70" s="63">
        <v>335.1</v>
      </c>
      <c r="M70" s="63">
        <v>215.4</v>
      </c>
      <c r="N70" s="64">
        <v>207.6</v>
      </c>
      <c r="O70" s="72">
        <v>203</v>
      </c>
      <c r="P70" s="72">
        <v>211.7</v>
      </c>
      <c r="Q70" s="72">
        <v>196.6</v>
      </c>
      <c r="R70" s="64">
        <v>187.8</v>
      </c>
      <c r="S70" s="77">
        <v>192.3</v>
      </c>
      <c r="T70" s="79">
        <v>171.3</v>
      </c>
      <c r="W70" s="23">
        <f>IF(S70=0,"n/a ",ROUND(T70/S70,2)-1)</f>
        <v>-0.10999999999999999</v>
      </c>
      <c r="X70" s="24">
        <f>IF(P70=0,"n/a ",ROUND(T70/P70,2)-1)</f>
        <v>-0.18999999999999995</v>
      </c>
    </row>
    <row r="71" spans="2:24" ht="12.75" x14ac:dyDescent="0.2">
      <c r="B71" s="1" t="s">
        <v>21</v>
      </c>
      <c r="C71" s="65">
        <v>8.8000000000000007</v>
      </c>
      <c r="D71" s="66">
        <v>11</v>
      </c>
      <c r="E71" s="66">
        <v>15.2</v>
      </c>
      <c r="F71" s="67">
        <v>10.9</v>
      </c>
      <c r="G71" s="66">
        <v>7.8</v>
      </c>
      <c r="H71" s="66">
        <v>5.5</v>
      </c>
      <c r="I71" s="66">
        <v>104.3</v>
      </c>
      <c r="J71" s="67">
        <v>130.4</v>
      </c>
      <c r="K71" s="66">
        <v>203.3</v>
      </c>
      <c r="L71" s="66">
        <v>194.5</v>
      </c>
      <c r="M71" s="66">
        <v>188</v>
      </c>
      <c r="N71" s="67">
        <v>195.7</v>
      </c>
      <c r="O71" s="73">
        <v>203.3</v>
      </c>
      <c r="P71" s="73">
        <v>161.5</v>
      </c>
      <c r="Q71" s="73">
        <v>158.69999999999999</v>
      </c>
      <c r="R71" s="67">
        <v>175</v>
      </c>
      <c r="S71" s="78">
        <v>171.4</v>
      </c>
      <c r="T71" s="80">
        <v>174.7</v>
      </c>
      <c r="W71" s="70">
        <f>IF(S71=0,"n/a ",ROUND(T71/S71,2)-1)</f>
        <v>2.0000000000000018E-2</v>
      </c>
      <c r="X71" s="71">
        <f t="shared" ref="X71" si="16">IF(P71=0,"n/a ",ROUND(T71/P71,2)-1)</f>
        <v>8.0000000000000071E-2</v>
      </c>
    </row>
    <row r="72" spans="2:24" ht="12.75" customHeight="1" x14ac:dyDescent="0.2">
      <c r="K72" s="60"/>
      <c r="L72" s="60"/>
      <c r="M72" s="60"/>
      <c r="N72" s="60"/>
      <c r="O72" s="60"/>
      <c r="P72" s="60"/>
      <c r="Q72" s="60"/>
      <c r="R72" s="60"/>
      <c r="S72" s="60"/>
      <c r="T72" s="60"/>
      <c r="W72" s="68"/>
      <c r="X72" s="68"/>
    </row>
    <row r="73" spans="2:24" ht="12.75" hidden="1" customHeight="1" x14ac:dyDescent="0.2"/>
    <row r="74" spans="2:24" ht="12.75" hidden="1" customHeight="1" x14ac:dyDescent="0.2"/>
  </sheetData>
  <mergeCells count="6">
    <mergeCell ref="C3:F3"/>
    <mergeCell ref="G3:J3"/>
    <mergeCell ref="K3:N3"/>
    <mergeCell ref="W3:X3"/>
    <mergeCell ref="O3:R3"/>
    <mergeCell ref="S3:T3"/>
  </mergeCells>
  <pageMargins left="0.35433070866141736" right="0.35433070866141736" top="0.55118110236220474" bottom="0.39370078740157483" header="0.51181102362204722" footer="0.51181102362204722"/>
  <pageSetup paperSize="9" scale="62" orientation="landscape" horizontalDpi="300" verticalDpi="300" r:id="rId1"/>
  <headerFooter alignWithMargins="0"/>
  <colBreaks count="3" manualBreakCount="3">
    <brk id="2" max="1048575" man="1"/>
    <brk id="6" max="1048575" man="1"/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Rounded</vt:lpstr>
      <vt:lpstr>Rounded!Print_Titles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damiend</dc:creator>
  <cp:lastModifiedBy>Ian Taylor</cp:lastModifiedBy>
  <cp:lastPrinted>2012-08-29T11:21:56Z</cp:lastPrinted>
  <dcterms:created xsi:type="dcterms:W3CDTF">2011-08-30T20:18:55Z</dcterms:created>
  <dcterms:modified xsi:type="dcterms:W3CDTF">2012-08-29T16:20:01Z</dcterms:modified>
</cp:coreProperties>
</file>