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Sheet1" state="visible" r:id="rId3"/>
    <sheet sheetId="2" name="Sheet2" state="visible" r:id="rId4"/>
    <sheet sheetId="3" name="Sheet3" state="visible" r:id="rId5"/>
  </sheets>
  <definedNames/>
  <calcPr/>
</workbook>
</file>

<file path=xl/sharedStrings.xml><?xml version="1.0" encoding="utf-8"?>
<sst xmlns="http://schemas.openxmlformats.org/spreadsheetml/2006/main" count="188" uniqueCount="116">
  <si>
    <t>Representative Tracy King</t>
  </si>
  <si>
    <t>Base Points Earned = 20 out of 55 </t>
  </si>
  <si>
    <t>House District 80 (D-Batesville)</t>
  </si>
  <si>
    <t>Bonus Points Earned = 0</t>
  </si>
  <si>
    <t>PRO-LIFE SCORE FOR 82ND SESSION: 20 points = 36%</t>
  </si>
  <si>
    <t>SONOGRAM BILL</t>
  </si>
  <si>
    <t>Pro-Life Vote</t>
  </si>
  <si>
    <t>Anti-Life Vote</t>
  </si>
  <si>
    <t>Points</t>
  </si>
  <si>
    <t>HB 15</t>
  </si>
  <si>
    <t>Description of Amendments</t>
  </si>
  <si>
    <t>Co-Author</t>
  </si>
  <si>
    <t>No</t>
  </si>
  <si>
    <t>Final Passage</t>
  </si>
  <si>
    <t>House Floor Vote</t>
  </si>
  <si>
    <t>√</t>
  </si>
  <si>
    <t>Amendment by Alvarado</t>
  </si>
  <si>
    <t>Strike enacting clause, rendering the bill invalid</t>
  </si>
  <si>
    <t>Amendment by Anchia</t>
  </si>
  <si>
    <t>Weakening definition of medical emergency</t>
  </si>
  <si>
    <t>X</t>
  </si>
  <si>
    <t>Amendment by Hernandez Luna</t>
  </si>
  <si>
    <t>Loophole to add rape, incest, and minors with judicial bypass exceptions</t>
  </si>
  <si>
    <t>Amendment by Farrar</t>
  </si>
  <si>
    <t>Loophole for abortion doctors to not provide the required materials to the woman</t>
  </si>
  <si>
    <t>Weaken woman's opportunity to meet with doctor</t>
  </si>
  <si>
    <t>Amendment by Castro</t>
  </si>
  <si>
    <t>Distribute contraception information to woman</t>
  </si>
  <si>
    <t>Loophole for abortion doctors to cajole women into not receiving the information</t>
  </si>
  <si>
    <t>Amendment by Martinez</t>
  </si>
  <si>
    <t>Unfair licensing for pregnancy centers, plus state would pay for sonogram</t>
  </si>
  <si>
    <t>Amendment by Walle</t>
  </si>
  <si>
    <t>Require state to pay for sonogram</t>
  </si>
  <si>
    <t>Amendment by Lucio</t>
  </si>
  <si>
    <t>Amendment by Dutton</t>
  </si>
  <si>
    <t>Require state to pay college tuition of a child whose mother chose life after sonogram.</t>
  </si>
  <si>
    <t>Require state to pay health care for a child born whose mother chose life after sonogram</t>
  </si>
  <si>
    <t>Require state to pay health care until the age of 6 for a child whose mother chose life after sonogram</t>
  </si>
  <si>
    <t>Amendment by Raymond</t>
  </si>
  <si>
    <t>Amend Dutton's amendment </t>
  </si>
  <si>
    <t>Amendment by Marquez</t>
  </si>
  <si>
    <t>Mandatory vasectomy for males who father children out of wedlock</t>
  </si>
  <si>
    <t>Provide women Medicaid applications at the abortion clinic</t>
  </si>
  <si>
    <t>State would pay for the woman's healthcare costs if she chooses life</t>
  </si>
  <si>
    <t>Require family planning information to be given to woman after she chooses abortion</t>
  </si>
  <si>
    <t>Loophole to abort unborn children who may have disabilities</t>
  </si>
  <si>
    <t>Amendment by Coleman</t>
  </si>
  <si>
    <t>Weaken penalities for doctors who violate informed consent</t>
  </si>
  <si>
    <t>Attempt to kill bill if enforcement adds cost to state</t>
  </si>
  <si>
    <t>Amend P. King's amendment </t>
  </si>
  <si>
    <t>Amendment by Veasey</t>
  </si>
  <si>
    <t>Attack on pregnancy centers</t>
  </si>
  <si>
    <t>Amendment by Eiland</t>
  </si>
  <si>
    <t>Amendment to change/weaken entire bill</t>
  </si>
  <si>
    <t>(Perfect Score on HB 15 = 42) SCORE ON HB 15</t>
  </si>
  <si>
    <t>STATE'S BUDGET BILL</t>
  </si>
  <si>
    <t>HB 1 </t>
  </si>
  <si>
    <t>Amendments to Redirect Funds from Abortion Industry</t>
  </si>
  <si>
    <t>Amendment by Weber</t>
  </si>
  <si>
    <t>Restore $8.3 million to the state's Alternatives to Abortion program</t>
  </si>
  <si>
    <t>Amendment by Christian</t>
  </si>
  <si>
    <t>Redirect $6.6 million to Autism programs</t>
  </si>
  <si>
    <t>Amendment by Bohac</t>
  </si>
  <si>
    <t>Redirect $14.5 million to Mental Health Services for Children</t>
  </si>
  <si>
    <t>Amendment by Murphy</t>
  </si>
  <si>
    <t>Redirect $140K to EMS and trauma care</t>
  </si>
  <si>
    <t>Amendment by S. Miller</t>
  </si>
  <si>
    <t>Redirect $18.2 million to Early Childhood Intervention programs and $3.2 million to Non- Medicaid services</t>
  </si>
  <si>
    <t>Amendment by Zedler</t>
  </si>
  <si>
    <t>Redirect $1.7 million to Deaf-Blind Multiple Disabilities programs</t>
  </si>
  <si>
    <t>Amendment by Laubenberg</t>
  </si>
  <si>
    <t>Redirect $9.2 million to STAR At-Risk Youth program</t>
  </si>
  <si>
    <t>Motion to Instruct by S. Miller</t>
  </si>
  <si>
    <t>Instruct House conferees to keep Pro-Life amendments in the final version of HB 1 </t>
  </si>
  <si>
    <t>(Perfect Score on HB 1 = 8) SCORE ON HB 1</t>
  </si>
  <si>
    <t>Tracy King (page 2)</t>
  </si>
  <si>
    <t>GENERAL FISCAL MATTERS BILL </t>
  </si>
  <si>
    <t>SB 1 (Special Session)</t>
  </si>
  <si>
    <t>Prohibit hospital districts from using local tax revenue to fund abortions</t>
  </si>
  <si>
    <t>Amendment by P. King</t>
  </si>
  <si>
    <t>Audit the cost to state for judicial bypass court cases for minors seeking abortion without parental involvement</t>
  </si>
  <si>
    <t>Motion to Instruct by Murphy</t>
  </si>
  <si>
    <t>Instruct House conferees to keep the Pro-Life amendments in the final version of SB 1</t>
  </si>
  <si>
    <t>(Perfect Score  on SB 1 = 3) SCORE ON SB 1</t>
  </si>
  <si>
    <t>HEALTH/HUMAN SERVICES REFORM</t>
  </si>
  <si>
    <t>SB 7 (Special Session)</t>
  </si>
  <si>
    <t>Instruct House conferees to keep the Pro-Life amendments in the final conference report</t>
  </si>
  <si>
    <t>(Perfect Score on SB 7 = 2) SCORE ON SB 7</t>
  </si>
  <si>
    <t>BONUS POINTS</t>
  </si>
  <si>
    <t>Primary Bill Author = 5 points/Co-Author = 2 points</t>
  </si>
  <si>
    <t>HB 816 Co-Author</t>
  </si>
  <si>
    <t>Exempt Texas from covering abortion in PPACA</t>
  </si>
  <si>
    <t>HB 1602 Co-Author</t>
  </si>
  <si>
    <t>Collect demographic and statistical data on abortion and abortion complications </t>
  </si>
  <si>
    <t>HB 2483 Co-Author</t>
  </si>
  <si>
    <t>Restore patients' rights in regard to their own Do-Not-Resuscitate (DNR) Orders</t>
  </si>
  <si>
    <t>HB 2555 Co-Author</t>
  </si>
  <si>
    <t>Close the loophole on judges granting permission to minors seeking secret abortions without parental involvement</t>
  </si>
  <si>
    <t>HB 2828 Co-Author</t>
  </si>
  <si>
    <t>Protect women from coerced abortions</t>
  </si>
  <si>
    <t>HB 3520 Co-Author</t>
  </si>
  <si>
    <t>Reform Texas law on advance directives</t>
  </si>
  <si>
    <t>Amendment Author on HB 1 </t>
  </si>
  <si>
    <t>Redirect funds away from abortion industry</t>
  </si>
  <si>
    <t>Amendment Author on SB 1717</t>
  </si>
  <si>
    <t>Strengthen judicial bypass loopholes</t>
  </si>
  <si>
    <t>Amendment Author on SB 1811</t>
  </si>
  <si>
    <t>Close additional abortion funding loopholes</t>
  </si>
  <si>
    <t>Vote on Hughes Amendment to SB 8 </t>
  </si>
  <si>
    <t>Require reporting from hospitals and health care facilities that invoke the statutory ten-day process to withdraw treatment against a patient's wishes.  </t>
  </si>
  <si>
    <t>Amendment Author on SB 1 (Special Session) </t>
  </si>
  <si>
    <t>Restrict taxpayer funding of abortion</t>
  </si>
  <si>
    <t>Amendment Author on SB 7            (Special Session)</t>
  </si>
  <si>
    <t>Strengthen funding restrictions to abortion providers</t>
  </si>
  <si>
    <t>TOTAL BONUS POINTS</t>
  </si>
  <si>
    <t>TOTAL PRO-LIFE SCORE FOR 82nd SESSION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</si>
</sst>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5"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DD0806"/>
      <name val="Arial"/>
    </font>
    <font>
      <b val="0"/>
      <i/>
      <strike val="0"/>
      <u val="none"/>
      <sz val="8.0"/>
      <color rgb="FF000000"/>
      <name val="Arial"/>
    </font>
    <font>
      <b val="0"/>
      <i val="0"/>
      <strike val="0"/>
      <u val="none"/>
      <sz val="8.0"/>
      <color rgb="FF000000"/>
      <name val="Arial"/>
    </font>
    <font>
      <b val="0"/>
      <i val="0"/>
      <strike val="0"/>
      <u val="none"/>
      <sz val="10.0"/>
      <color rgb="FF339966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/>
      <strike val="0"/>
      <u val="none"/>
      <sz val="8.0"/>
      <color rgb="FF000000"/>
      <name val="Arial"/>
    </font>
    <font>
      <b/>
      <i val="0"/>
      <strike val="0"/>
      <u val="none"/>
      <sz val="10.0"/>
      <color rgb="FF006411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6411"/>
      <name val="Arial"/>
    </font>
    <font>
      <b val="0"/>
      <i val="0"/>
      <strike val="0"/>
      <u val="none"/>
      <sz val="11.0"/>
      <color rgb="FF339966"/>
      <name val="Arial"/>
    </font>
    <font>
      <b/>
      <i val="0"/>
      <strike val="0"/>
      <u val="none"/>
      <sz val="10.0"/>
      <color rgb="FFDD0806"/>
      <name val="Arial"/>
    </font>
    <font>
      <b/>
      <i val="0"/>
      <strike val="0"/>
      <u val="none"/>
      <sz val="10.0"/>
      <color rgb="FFDD0806"/>
      <name val="Arial"/>
    </font>
    <font>
      <b/>
      <i val="0"/>
      <strike val="0"/>
      <u val="none"/>
      <sz val="10.0"/>
      <color rgb="FF339966"/>
      <name val="Arial"/>
    </font>
    <font>
      <b/>
      <i val="0"/>
      <strike val="0"/>
      <u val="none"/>
      <sz val="10.0"/>
      <color rgb="FFDD0806"/>
      <name val="Arial"/>
    </font>
    <font>
      <b val="0"/>
      <i val="0"/>
      <strike val="0"/>
      <u val="none"/>
      <sz val="10.0"/>
      <color rgb="FF339966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D4"/>
      <name val="Arial"/>
    </font>
    <font>
      <b/>
      <i val="0"/>
      <strike val="0"/>
      <u val="none"/>
      <sz val="10.0"/>
      <color rgb="FFDD0806"/>
      <name val="Arial"/>
    </font>
    <font>
      <b val="0"/>
      <i val="0"/>
      <strike val="0"/>
      <u val="none"/>
      <sz val="10.0"/>
      <color rgb="FF339966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/>
      <strike val="0"/>
      <u val="none"/>
      <sz val="8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8.0"/>
      <color rgb="FF000000"/>
      <name val="Arial"/>
    </font>
    <font>
      <b val="0"/>
      <i val="0"/>
      <strike val="0"/>
      <u val="none"/>
      <sz val="9.0"/>
      <color rgb="FF339966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/>
      <strike val="0"/>
      <u val="none"/>
      <sz val="8.0"/>
      <color rgb="FF000000"/>
      <name val="Arial"/>
    </font>
    <font>
      <b val="0"/>
      <i val="0"/>
      <strike val="0"/>
      <u val="none"/>
      <sz val="10.0"/>
      <color rgb="FFDD0806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0.0"/>
      <color rgb="FF339966"/>
      <name val="Arial"/>
    </font>
    <font>
      <b val="0"/>
      <i val="0"/>
      <strike val="0"/>
      <u val="none"/>
      <sz val="10.0"/>
      <color rgb="FF339966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9.0"/>
      <color rgb="FF339966"/>
      <name val="Arial"/>
    </font>
    <font>
      <b/>
      <i val="0"/>
      <strike val="0"/>
      <u val="none"/>
      <sz val="10.0"/>
      <color rgb="FFDD0806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339966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DD0806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DD0806"/>
      <name val="Arial"/>
    </font>
    <font>
      <b val="0"/>
      <i val="0"/>
      <strike val="0"/>
      <u val="none"/>
      <sz val="10.0"/>
      <color rgb="FF339966"/>
      <name val="Arial"/>
    </font>
  </fonts>
  <fills count="10">
    <fill>
      <patternFill patternType="none"/>
    </fill>
    <fill>
      <patternFill patternType="gray125">
        <bgColor rgb="FFFFFFFF"/>
      </patternFill>
    </fill>
    <fill>
      <patternFill patternType="solid">
        <fgColor rgb="FF99CC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99CCFF"/>
        <bgColor indexed="64"/>
      </patternFill>
    </fill>
  </fills>
  <borders count="51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fillId="0" numFmtId="0" borderId="0" fontId="0"/>
  </cellStyleXfs>
  <cellXfs count="60">
    <xf applyAlignment="1" fillId="0" xfId="0" numFmtId="0" borderId="0" fontId="0">
      <alignment vertical="bottom" horizontal="general" wrapText="1"/>
    </xf>
    <xf applyAlignment="1" fillId="2" xfId="0" numFmtId="0" borderId="0" applyFont="1" fontId="1" applyFill="1">
      <alignment vertical="bottom" horizontal="center" wrapText="1"/>
    </xf>
    <xf applyBorder="1" applyAlignment="1" fillId="0" xfId="0" numFmtId="0" borderId="1" fontId="0">
      <alignment vertical="bottom" horizontal="general" wrapText="1"/>
    </xf>
    <xf applyBorder="1" fillId="0" xfId="0" numFmtId="0" borderId="2" applyFont="1" fontId="2"/>
    <xf applyBorder="1" fillId="0" xfId="0" numFmtId="0" borderId="3" applyFont="1" fontId="3"/>
    <xf applyAlignment="1" fillId="3" xfId="0" numFmtId="0" borderId="0" applyFont="1" fontId="4" applyFill="1">
      <alignment vertical="bottom" horizontal="center"/>
    </xf>
    <xf applyBorder="1" applyAlignment="1" fillId="0" xfId="0" numFmtId="0" borderId="4" applyFont="1" fontId="5">
      <alignment vertical="bottom" horizontal="center"/>
    </xf>
    <xf applyBorder="1" fillId="0" xfId="0" numFmtId="0" borderId="5" applyFont="1" fontId="6"/>
    <xf applyBorder="1" applyAlignment="1" fillId="0" xfId="0" numFmtId="0" borderId="6" applyFont="1" fontId="7">
      <alignment vertical="bottom" horizontal="center"/>
    </xf>
    <xf applyBorder="1" applyAlignment="1" fillId="0" xfId="0" numFmtId="0" borderId="7" fontId="0">
      <alignment vertical="bottom" horizontal="general" wrapText="1"/>
    </xf>
    <xf applyAlignment="1" fillId="4" xfId="0" numFmtId="0" borderId="0" applyFont="1" fontId="8" applyFill="1">
      <alignment vertical="bottom" horizontal="center"/>
    </xf>
    <xf applyBorder="1" applyAlignment="1" fillId="0" xfId="0" numFmtId="0" borderId="8" applyFont="1" fontId="9">
      <alignment vertical="bottom" horizontal="right"/>
    </xf>
    <xf applyBorder="1" applyAlignment="1" fillId="0" xfId="0" numFmtId="0" borderId="9" applyFont="1" fontId="10">
      <alignment vertical="bottom" horizontal="center"/>
    </xf>
    <xf applyBorder="1" applyAlignment="1" fillId="0" xfId="0" numFmtId="0" borderId="10" applyFont="1" fontId="11">
      <alignment vertical="bottom" horizontal="center" wrapText="1"/>
    </xf>
    <xf applyBorder="1" applyAlignment="1" fillId="0" xfId="0" numFmtId="0" borderId="11" applyFont="1" fontId="12">
      <alignment vertical="center" horizontal="left"/>
    </xf>
    <xf applyBorder="1" applyAlignment="1" fillId="0" xfId="0" numFmtId="0" borderId="12" applyFont="1" fontId="13">
      <alignment vertical="center" horizontal="general" wrapText="1"/>
    </xf>
    <xf applyBorder="1" applyAlignment="1" fillId="0" xfId="0" numFmtId="0" borderId="13" applyFont="1" fontId="14">
      <alignment vertical="bottom" horizontal="general" wrapText="1"/>
    </xf>
    <xf applyBorder="1" fillId="0" xfId="0" numFmtId="0" borderId="14" applyFont="1" fontId="15"/>
    <xf fillId="5" xfId="0" numFmtId="0" borderId="0" applyFont="1" fontId="16" applyFill="1"/>
    <xf applyBorder="1" applyAlignment="1" fillId="0" xfId="0" numFmtId="0" borderId="15" applyFont="1" fontId="17">
      <alignment vertical="bottom" horizontal="left" wrapText="1"/>
    </xf>
    <xf applyBorder="1" applyAlignment="1" fillId="0" xfId="0" numFmtId="0" borderId="16" applyFont="1" fontId="18">
      <alignment vertical="bottom" horizontal="center"/>
    </xf>
    <xf applyBorder="1" applyAlignment="1" fillId="0" xfId="0" numFmtId="0" borderId="17" applyFont="1" fontId="19">
      <alignment vertical="center" horizontal="general" wrapText="1"/>
    </xf>
    <xf applyBorder="1" applyAlignment="1" fillId="0" xfId="0" numFmtId="0" borderId="18" applyFont="1" fontId="20">
      <alignment vertical="bottom" horizontal="right"/>
    </xf>
    <xf applyBorder="1" applyAlignment="1" fillId="0" xfId="0" numFmtId="0" borderId="19" applyFont="1" fontId="21">
      <alignment vertical="bottom" horizontal="right"/>
    </xf>
    <xf applyBorder="1" applyAlignment="1" fillId="0" xfId="0" numFmtId="0" borderId="20" applyFont="1" fontId="22">
      <alignment vertical="center" horizontal="center" wrapText="1"/>
    </xf>
    <xf applyBorder="1" fillId="0" xfId="0" numFmtId="0" borderId="21" applyFont="1" fontId="23"/>
    <xf applyBorder="1" applyAlignment="1" fillId="0" xfId="0" numFmtId="0" borderId="22" applyFont="1" fontId="24">
      <alignment vertical="bottom" horizontal="center"/>
    </xf>
    <xf applyBorder="1" applyAlignment="1" fillId="6" xfId="0" numFmtId="0" borderId="23" applyFont="1" fontId="25" applyFill="1">
      <alignment vertical="bottom" horizontal="center"/>
    </xf>
    <xf applyAlignment="1" fillId="0" xfId="0" numFmtId="0" borderId="0" applyFont="1" fontId="26">
      <alignment vertical="bottom" horizontal="right"/>
    </xf>
    <xf applyBorder="1" applyAlignment="1" fillId="0" xfId="0" numFmtId="0" borderId="24" applyFont="1" fontId="27">
      <alignment vertical="center" horizontal="center" wrapText="1"/>
    </xf>
    <xf applyBorder="1" applyAlignment="1" fillId="0" xfId="0" numFmtId="0" borderId="25" applyFont="1" fontId="28">
      <alignment vertical="bottom" horizontal="center"/>
    </xf>
    <xf applyBorder="1" applyAlignment="1" fillId="0" xfId="0" numFmtId="0" borderId="26" applyFont="1" fontId="29">
      <alignment vertical="center" horizontal="left"/>
    </xf>
    <xf applyBorder="1" applyAlignment="1" fillId="7" xfId="0" numFmtId="0" borderId="27" applyFont="1" fontId="30" applyFill="1">
      <alignment vertical="bottom" horizontal="center"/>
    </xf>
    <xf fillId="0" xfId="0" numFmtId="0" borderId="0" applyFont="1" fontId="31"/>
    <xf fillId="0" xfId="0" numFmtId="0" borderId="0" applyFont="1" fontId="32"/>
    <xf applyBorder="1" applyAlignment="1" fillId="0" xfId="0" numFmtId="0" borderId="28" fontId="0">
      <alignment vertical="bottom" horizontal="general" wrapText="1"/>
    </xf>
    <xf applyBorder="1" applyAlignment="1" fillId="0" xfId="0" numFmtId="0" borderId="29" applyFont="1" fontId="33">
      <alignment vertical="bottom" horizontal="center"/>
    </xf>
    <xf applyBorder="1" applyAlignment="1" fillId="0" xfId="0" numFmtId="0" borderId="30" applyFont="1" fontId="34">
      <alignment vertical="center" horizontal="center"/>
    </xf>
    <xf applyBorder="1" applyAlignment="1" fillId="0" xfId="0" numFmtId="0" borderId="31" fontId="0">
      <alignment vertical="bottom" horizontal="general" wrapText="1"/>
    </xf>
    <xf applyBorder="1" applyAlignment="1" fillId="8" xfId="0" numFmtId="0" borderId="32" applyFont="1" fontId="35" applyFill="1">
      <alignment vertical="bottom" horizontal="center"/>
    </xf>
    <xf applyBorder="1" applyAlignment="1" fillId="0" xfId="0" numFmtId="0" borderId="33" fontId="0">
      <alignment vertical="bottom" horizontal="general" wrapText="1"/>
    </xf>
    <xf applyBorder="1" applyAlignment="1" fillId="0" xfId="0" numFmtId="0" borderId="34" applyFont="1" fontId="36">
      <alignment vertical="center" horizontal="left"/>
    </xf>
    <xf applyAlignment="1" fillId="9" xfId="0" numFmtId="0" borderId="0" applyFont="1" fontId="37" applyFill="1">
      <alignment vertical="bottom" horizontal="center"/>
    </xf>
    <xf applyBorder="1" applyAlignment="1" fillId="0" xfId="0" numFmtId="0" borderId="35" applyFont="1" fontId="38">
      <alignment vertical="bottom" horizontal="left"/>
    </xf>
    <xf applyAlignment="1" fillId="0" xfId="0" numFmtId="0" borderId="0" applyFont="1" fontId="39">
      <alignment vertical="bottom" horizontal="right"/>
    </xf>
    <xf applyBorder="1" applyAlignment="1" fillId="0" xfId="0" numFmtId="0" borderId="36" applyFont="1" fontId="40">
      <alignment vertical="bottom" horizontal="center"/>
    </xf>
    <xf applyBorder="1" applyAlignment="1" fillId="0" xfId="0" numFmtId="0" borderId="37" applyFont="1" fontId="41">
      <alignment vertical="center" horizontal="center"/>
    </xf>
    <xf applyBorder="1" applyAlignment="1" fillId="0" xfId="0" numFmtId="0" borderId="38" applyFont="1" fontId="42">
      <alignment vertical="center" horizontal="general" wrapText="1"/>
    </xf>
    <xf applyBorder="1" applyAlignment="1" fillId="0" xfId="0" numFmtId="0" borderId="39" applyFont="1" fontId="43">
      <alignment vertical="center" horizontal="left"/>
    </xf>
    <xf applyBorder="1" applyAlignment="1" fillId="0" xfId="0" numFmtId="0" borderId="40" applyFont="1" fontId="44">
      <alignment vertical="center" horizontal="left"/>
    </xf>
    <xf applyBorder="1" applyAlignment="1" fillId="0" xfId="0" numFmtId="0" borderId="41" applyFont="1" fontId="45">
      <alignment vertical="center" horizontal="left"/>
    </xf>
    <xf applyBorder="1" fillId="0" xfId="0" numFmtId="0" borderId="42" applyFont="1" fontId="46"/>
    <xf applyBorder="1" applyAlignment="1" fillId="0" xfId="0" numFmtId="0" borderId="43" applyFont="1" fontId="47">
      <alignment vertical="bottom" horizontal="left" wrapText="1"/>
    </xf>
    <xf applyBorder="1" applyAlignment="1" fillId="0" xfId="0" numFmtId="0" borderId="44" applyFont="1" fontId="48">
      <alignment vertical="center" horizontal="general"/>
    </xf>
    <xf applyBorder="1" applyAlignment="1" fillId="0" xfId="0" numFmtId="0" borderId="45" applyFont="1" fontId="49">
      <alignment vertical="bottom" horizontal="general" wrapText="1"/>
    </xf>
    <xf applyBorder="1" applyAlignment="1" fillId="0" xfId="0" numFmtId="0" borderId="46" applyFont="1" fontId="50">
      <alignment vertical="bottom" horizontal="center"/>
    </xf>
    <xf applyBorder="1" fillId="0" xfId="0" numFmtId="0" borderId="47" applyFont="1" fontId="51"/>
    <xf applyBorder="1" applyAlignment="1" fillId="0" xfId="0" numFmtId="0" borderId="48" applyFont="1" fontId="52">
      <alignment vertical="bottom" horizontal="center"/>
    </xf>
    <xf applyBorder="1" applyAlignment="1" fillId="0" xfId="0" numFmtId="0" borderId="49" applyFont="1" fontId="53">
      <alignment vertical="bottom" horizontal="center"/>
    </xf>
    <xf applyBorder="1" applyAlignment="1" fillId="0" xfId="0" numFmtId="0" borderId="50" applyFont="1" fontId="54">
      <alignment vertical="center" horizontal="general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2.xml" Type="http://schemas.openxmlformats.org/officeDocument/2006/relationships/worksheet" Id="rId4"/><Relationship Target="worksheets/sheet1.xml" Type="http://schemas.openxmlformats.org/officeDocument/2006/relationships/worksheet" Id="rId3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8.86" defaultRowHeight="12.75"/>
  <cols>
    <col min="1" customWidth="1" max="1" width="27.71"/>
    <col min="2" customWidth="1" max="2" width="39.0"/>
    <col min="3" customWidth="1" max="3" width="10.14"/>
    <col min="4" customWidth="1" max="4" width="8.71"/>
    <col min="5" customWidth="1" max="5" width="6.71"/>
  </cols>
  <sheetData>
    <row customHeight="1" r="1" ht="15.0">
      <c t="s" s="33" r="A1">
        <v>0</v>
      </c>
      <c t="s" s="44" r="B1">
        <v>1</v>
      </c>
    </row>
    <row r="2">
      <c t="s" s="34" r="A2">
        <v>2</v>
      </c>
      <c t="s" s="44" r="C2">
        <v>3</v>
      </c>
    </row>
    <row customHeight="1" r="3" ht="19.5">
      <c t="s" s="28" r="E3">
        <v>4</v>
      </c>
    </row>
    <row customHeight="1" r="4" ht="15.75">
      <c s="38" r="A4"/>
      <c s="38" r="B4"/>
      <c s="38" r="C4"/>
      <c s="38" r="D4"/>
      <c s="38" r="E4"/>
    </row>
    <row customHeight="1" r="5" ht="29.25">
      <c s="37" r="A5"/>
      <c t="s" s="46" r="B5">
        <v>5</v>
      </c>
      <c t="s" s="24" r="C5">
        <v>6</v>
      </c>
      <c t="s" s="29" r="D5">
        <v>7</v>
      </c>
      <c t="s" s="37" r="E5">
        <v>8</v>
      </c>
      <c s="40" r="F5"/>
    </row>
    <row r="6">
      <c t="s" s="27" r="A6">
        <v>9</v>
      </c>
      <c t="s" s="42" r="B6">
        <v>10</v>
      </c>
      <c s="18" r="C6"/>
    </row>
    <row r="7">
      <c t="s" s="48" r="A7">
        <v>11</v>
      </c>
      <c t="s" s="43" r="B7">
        <v>12</v>
      </c>
      <c s="6" r="C7"/>
      <c s="58" r="D7"/>
      <c s="57" r="E7">
        <v>0</v>
      </c>
      <c s="40" r="F7"/>
    </row>
    <row r="8">
      <c t="s" s="31" r="A8">
        <v>13</v>
      </c>
      <c t="s" s="7" r="B8">
        <v>14</v>
      </c>
      <c t="s" s="26" r="C8">
        <v>15</v>
      </c>
      <c s="45" r="D8"/>
      <c s="8" r="E8">
        <v>10</v>
      </c>
      <c s="40" r="F8"/>
    </row>
    <row customHeight="1" r="9" ht="25.5">
      <c t="s" s="31" r="A9">
        <v>16</v>
      </c>
      <c t="s" s="16" r="B9">
        <v>17</v>
      </c>
      <c t="s" s="20" r="C9">
        <v>15</v>
      </c>
      <c s="45" r="D9"/>
      <c s="8" r="E9">
        <v>1</v>
      </c>
      <c s="40" r="F9"/>
    </row>
    <row r="10">
      <c t="s" s="31" r="A10">
        <v>18</v>
      </c>
      <c t="s" s="7" r="B10">
        <v>19</v>
      </c>
      <c s="20" r="C10"/>
      <c t="s" s="45" r="D10">
        <v>20</v>
      </c>
      <c s="8" r="E10">
        <v>0</v>
      </c>
      <c s="40" r="F10"/>
    </row>
    <row customHeight="1" r="11" ht="25.5">
      <c t="s" s="31" r="A11">
        <v>21</v>
      </c>
      <c t="s" s="16" r="B11">
        <v>22</v>
      </c>
      <c s="20" r="C11"/>
      <c t="s" s="45" r="D11">
        <v>20</v>
      </c>
      <c s="8" r="E11">
        <v>0</v>
      </c>
      <c s="40" r="F11"/>
    </row>
    <row customHeight="1" r="12" ht="25.5">
      <c t="s" s="31" r="A12">
        <v>23</v>
      </c>
      <c t="s" s="16" r="B12">
        <v>24</v>
      </c>
      <c s="20" r="C12"/>
      <c t="s" s="45" r="D12">
        <v>20</v>
      </c>
      <c s="8" r="E12">
        <v>0</v>
      </c>
      <c s="40" r="F12"/>
    </row>
    <row customHeight="1" r="13" ht="25.5">
      <c t="s" s="31" r="A13">
        <v>23</v>
      </c>
      <c t="s" s="16" r="B13">
        <v>25</v>
      </c>
      <c s="20" r="C13"/>
      <c t="s" s="45" r="D13">
        <v>20</v>
      </c>
      <c s="8" r="E13">
        <v>0</v>
      </c>
      <c s="40" r="F13"/>
    </row>
    <row r="14">
      <c t="s" s="31" r="A14">
        <v>26</v>
      </c>
      <c t="s" s="7" r="B14">
        <v>27</v>
      </c>
      <c s="20" r="C14"/>
      <c t="s" s="45" r="D14">
        <v>20</v>
      </c>
      <c s="8" r="E14">
        <v>0</v>
      </c>
      <c s="40" r="F14"/>
    </row>
    <row customHeight="1" r="15" ht="25.5">
      <c t="s" s="31" r="A15">
        <v>26</v>
      </c>
      <c t="s" s="16" r="B15">
        <v>28</v>
      </c>
      <c s="26" r="C15"/>
      <c t="s" s="45" r="D15">
        <v>20</v>
      </c>
      <c s="8" r="E15">
        <v>0</v>
      </c>
      <c s="40" r="F15"/>
    </row>
    <row customHeight="1" r="16" ht="25.5">
      <c t="s" s="31" r="A16">
        <v>29</v>
      </c>
      <c t="s" s="16" r="B16">
        <v>30</v>
      </c>
      <c s="35" r="C16"/>
      <c t="s" s="45" r="D16">
        <v>20</v>
      </c>
      <c s="8" r="E16">
        <v>0</v>
      </c>
      <c s="40" r="F16"/>
    </row>
    <row r="17">
      <c t="s" s="31" r="A17">
        <v>31</v>
      </c>
      <c t="s" s="7" r="B17">
        <v>32</v>
      </c>
      <c t="s" s="26" r="C17">
        <v>15</v>
      </c>
      <c s="45" r="D17"/>
      <c s="8" r="E17">
        <v>1</v>
      </c>
      <c s="40" r="F17"/>
    </row>
    <row customHeight="1" r="18" ht="25.5">
      <c t="s" s="31" r="A18">
        <v>21</v>
      </c>
      <c t="s" s="16" r="B18">
        <v>24</v>
      </c>
      <c s="20" r="C18"/>
      <c t="s" s="45" r="D18">
        <v>20</v>
      </c>
      <c s="8" r="E18">
        <v>0</v>
      </c>
      <c s="40" r="F18"/>
    </row>
    <row r="19">
      <c t="s" s="31" r="A19">
        <v>33</v>
      </c>
      <c t="s" s="7" r="B19">
        <v>32</v>
      </c>
      <c s="20" r="C19"/>
      <c t="s" s="45" r="D19">
        <v>20</v>
      </c>
      <c s="8" r="E19">
        <v>0</v>
      </c>
      <c s="40" r="F19"/>
    </row>
    <row customHeight="1" r="20" ht="25.5">
      <c t="s" s="31" r="A20">
        <v>34</v>
      </c>
      <c t="s" s="16" r="B20">
        <v>35</v>
      </c>
      <c s="20" r="C20"/>
      <c t="s" s="45" r="D20">
        <v>20</v>
      </c>
      <c s="8" r="E20">
        <v>0</v>
      </c>
      <c s="40" r="F20"/>
    </row>
    <row customHeight="1" r="21" ht="25.5">
      <c t="s" s="31" r="A21">
        <v>34</v>
      </c>
      <c t="s" s="16" r="B21">
        <v>36</v>
      </c>
      <c s="20" r="C21"/>
      <c t="s" s="45" r="D21">
        <v>20</v>
      </c>
      <c s="8" r="E21">
        <v>0</v>
      </c>
      <c s="40" r="F21"/>
    </row>
    <row customHeight="1" r="22" ht="38.25">
      <c t="s" s="31" r="A22">
        <v>34</v>
      </c>
      <c t="s" s="16" r="B22">
        <v>37</v>
      </c>
      <c s="20" r="C22"/>
      <c t="s" s="45" r="D22">
        <v>20</v>
      </c>
      <c s="8" r="E22">
        <v>0</v>
      </c>
      <c s="40" r="F22"/>
    </row>
    <row r="23">
      <c t="s" s="31" r="A23">
        <v>38</v>
      </c>
      <c t="s" s="16" r="B23">
        <v>39</v>
      </c>
      <c s="26" r="C23"/>
      <c t="s" s="45" r="D23">
        <v>20</v>
      </c>
      <c s="8" r="E23">
        <v>0</v>
      </c>
      <c s="40" r="F23"/>
    </row>
    <row customHeight="1" r="24" ht="25.5">
      <c t="s" s="31" r="A24">
        <v>40</v>
      </c>
      <c t="s" s="16" r="B24">
        <v>41</v>
      </c>
      <c s="26" r="C24"/>
      <c t="s" s="45" r="D24">
        <v>20</v>
      </c>
      <c s="8" r="E24">
        <v>0</v>
      </c>
      <c s="40" r="F24"/>
    </row>
    <row customHeight="1" r="25" ht="25.5">
      <c t="s" s="31" r="A25">
        <v>26</v>
      </c>
      <c t="s" s="16" r="B25">
        <v>42</v>
      </c>
      <c s="20" r="C25"/>
      <c t="s" s="45" r="D25">
        <v>20</v>
      </c>
      <c s="8" r="E25">
        <v>0</v>
      </c>
      <c s="40" r="F25"/>
    </row>
    <row customHeight="1" r="26" ht="25.5">
      <c t="s" s="31" r="A26">
        <v>23</v>
      </c>
      <c t="s" s="16" r="B26">
        <v>43</v>
      </c>
      <c s="20" r="C26"/>
      <c t="s" s="45" r="D26">
        <v>20</v>
      </c>
      <c s="8" r="E26">
        <v>0</v>
      </c>
      <c s="40" r="F26"/>
    </row>
    <row customHeight="1" r="27" ht="25.5">
      <c t="s" s="31" r="A27">
        <v>21</v>
      </c>
      <c t="s" s="16" r="B27">
        <v>44</v>
      </c>
      <c s="20" r="C27"/>
      <c t="s" s="45" r="D27">
        <v>20</v>
      </c>
      <c s="8" r="E27">
        <v>0</v>
      </c>
      <c s="40" r="F27"/>
    </row>
    <row customHeight="1" r="28" ht="25.5">
      <c t="s" s="31" r="A28">
        <v>18</v>
      </c>
      <c t="s" s="16" r="B28">
        <v>45</v>
      </c>
      <c s="20" r="C28"/>
      <c t="s" s="45" r="D28">
        <v>20</v>
      </c>
      <c s="8" r="E28">
        <v>0</v>
      </c>
      <c s="40" r="F28"/>
    </row>
    <row customHeight="1" r="29" ht="25.5">
      <c t="s" s="31" r="A29">
        <v>46</v>
      </c>
      <c t="s" s="16" r="B29">
        <v>47</v>
      </c>
      <c s="20" r="C29"/>
      <c t="s" s="45" r="D29">
        <v>20</v>
      </c>
      <c s="8" r="E29">
        <v>0</v>
      </c>
      <c s="40" r="F29"/>
    </row>
    <row customHeight="1" r="30" ht="25.5">
      <c t="s" s="31" r="A30">
        <v>23</v>
      </c>
      <c t="s" s="16" r="B30">
        <v>24</v>
      </c>
      <c t="s" s="20" r="C30">
        <v>15</v>
      </c>
      <c s="45" r="D30"/>
      <c s="8" r="E30">
        <v>1</v>
      </c>
      <c s="40" r="F30"/>
    </row>
    <row customHeight="1" r="31" ht="25.5">
      <c t="s" s="31" r="A31">
        <v>18</v>
      </c>
      <c t="s" s="16" r="B31">
        <v>48</v>
      </c>
      <c s="20" r="C31"/>
      <c t="s" s="45" r="D31">
        <v>20</v>
      </c>
      <c s="8" r="E31">
        <v>0</v>
      </c>
      <c s="40" r="F31"/>
    </row>
    <row r="32">
      <c t="s" s="31" r="A32">
        <v>26</v>
      </c>
      <c t="s" s="16" r="B32">
        <v>49</v>
      </c>
      <c s="20" r="C32"/>
      <c t="s" s="45" r="D32">
        <v>20</v>
      </c>
      <c s="8" r="E32">
        <v>0</v>
      </c>
      <c s="40" r="F32"/>
    </row>
    <row r="33">
      <c t="s" s="31" r="A33">
        <v>50</v>
      </c>
      <c t="s" s="16" r="B33">
        <v>51</v>
      </c>
      <c s="20" r="C33"/>
      <c t="s" s="45" r="D33">
        <v>20</v>
      </c>
      <c s="8" r="E33">
        <v>0</v>
      </c>
      <c s="40" r="F33"/>
    </row>
    <row r="34">
      <c t="s" s="31" r="A34">
        <v>50</v>
      </c>
      <c t="s" s="16" r="B34">
        <v>51</v>
      </c>
      <c s="20" r="C34"/>
      <c t="s" s="45" r="D34">
        <v>20</v>
      </c>
      <c s="8" r="E34">
        <v>0</v>
      </c>
      <c s="40" r="F34"/>
    </row>
    <row customHeight="1" r="35" ht="15.75">
      <c t="s" s="31" r="A35">
        <v>52</v>
      </c>
      <c t="s" s="16" r="B35">
        <v>53</v>
      </c>
      <c s="20" r="C35"/>
      <c t="s" s="45" r="D35">
        <v>20</v>
      </c>
      <c s="8" r="E35">
        <v>0</v>
      </c>
      <c s="40" r="F35"/>
    </row>
    <row customHeight="1" r="36" ht="15.75">
      <c s="7" r="A36"/>
      <c t="s" s="11" r="B36">
        <v>54</v>
      </c>
      <c s="7" r="C36"/>
      <c s="7" r="D36"/>
      <c s="30" r="E36">
        <f>SUM(E7:E35)</f>
        <v>13</v>
      </c>
      <c s="40" r="F36"/>
    </row>
    <row r="37">
      <c s="2" r="A37"/>
      <c s="2" r="B37"/>
      <c s="2" r="C37"/>
      <c s="2" r="D37"/>
      <c s="2" r="E37"/>
    </row>
    <row r="39">
      <c s="38" r="A39"/>
      <c s="38" r="B39"/>
      <c s="38" r="C39"/>
      <c s="38" r="D39"/>
      <c s="38" r="E39"/>
    </row>
    <row customHeight="1" r="40" ht="25.5">
      <c s="46" r="A40"/>
      <c t="s" s="46" r="B40">
        <v>55</v>
      </c>
      <c t="s" s="24" r="C40">
        <v>6</v>
      </c>
      <c t="s" s="29" r="D40">
        <v>7</v>
      </c>
      <c t="s" s="37" r="E40">
        <v>8</v>
      </c>
      <c s="40" r="F40"/>
    </row>
    <row r="41">
      <c t="s" s="27" r="A41">
        <v>56</v>
      </c>
      <c t="s" s="42" r="B41">
        <v>57</v>
      </c>
      <c s="32" r="C41"/>
      <c s="38" r="D41"/>
      <c s="38" r="E41"/>
    </row>
    <row customHeight="1" r="42" ht="25.5">
      <c t="s" s="41" r="A42">
        <v>58</v>
      </c>
      <c t="s" s="54" r="B42">
        <v>59</v>
      </c>
      <c t="s" s="20" r="C42">
        <v>15</v>
      </c>
      <c s="45" r="D42"/>
      <c s="13" r="E42">
        <v>1</v>
      </c>
      <c s="40" r="F42"/>
    </row>
    <row r="43">
      <c t="s" s="50" r="A43">
        <v>60</v>
      </c>
      <c t="s" s="16" r="B43">
        <v>61</v>
      </c>
      <c s="26" r="C43"/>
      <c t="s" s="45" r="D43">
        <v>20</v>
      </c>
      <c s="13" r="E43">
        <v>0</v>
      </c>
      <c s="40" r="F43"/>
    </row>
    <row customHeight="1" r="44" ht="25.5">
      <c t="s" s="50" r="A44">
        <v>62</v>
      </c>
      <c t="s" s="16" r="B44">
        <v>63</v>
      </c>
      <c s="20" r="C44"/>
      <c t="s" s="45" r="D44">
        <v>20</v>
      </c>
      <c s="13" r="E44">
        <v>0</v>
      </c>
      <c s="40" r="F44"/>
    </row>
    <row r="45">
      <c t="s" s="50" r="A45">
        <v>64</v>
      </c>
      <c t="s" s="16" r="B45">
        <v>65</v>
      </c>
      <c s="20" r="C45"/>
      <c t="s" s="45" r="D45">
        <v>20</v>
      </c>
      <c s="13" r="E45">
        <v>0</v>
      </c>
      <c s="40" r="F45"/>
    </row>
    <row customHeight="1" r="46" ht="38.25">
      <c t="s" s="50" r="A46">
        <v>66</v>
      </c>
      <c t="s" s="16" r="B46">
        <v>67</v>
      </c>
      <c s="20" r="C46"/>
      <c t="s" s="45" r="D46">
        <v>20</v>
      </c>
      <c s="13" r="E46">
        <v>0</v>
      </c>
      <c s="40" r="F46"/>
    </row>
    <row customHeight="1" r="47" ht="25.5">
      <c t="s" s="50" r="A47">
        <v>68</v>
      </c>
      <c t="s" s="16" r="B47">
        <v>69</v>
      </c>
      <c t="s" s="20" r="C47">
        <v>15</v>
      </c>
      <c s="45" r="D47"/>
      <c s="13" r="E47">
        <v>1</v>
      </c>
      <c s="40" r="F47"/>
    </row>
    <row customHeight="1" r="48" ht="25.5">
      <c t="s" s="50" r="A48">
        <v>70</v>
      </c>
      <c t="s" s="16" r="B48">
        <v>71</v>
      </c>
      <c t="s" s="20" r="C48">
        <v>15</v>
      </c>
      <c s="45" r="D48"/>
      <c s="13" r="E48">
        <v>1</v>
      </c>
      <c s="40" r="F48"/>
    </row>
    <row customHeight="1" r="49" ht="25.5">
      <c t="s" s="50" r="A49">
        <v>72</v>
      </c>
      <c t="s" s="16" r="B49">
        <v>73</v>
      </c>
      <c s="20" r="C49"/>
      <c t="s" s="45" r="D49">
        <v>20</v>
      </c>
      <c s="13" r="E49">
        <v>0</v>
      </c>
      <c s="40" r="F49"/>
    </row>
    <row customHeight="1" r="50" ht="15.75">
      <c s="14" r="A50"/>
      <c t="s" s="11" r="B50">
        <v>74</v>
      </c>
      <c s="7" r="C50"/>
      <c s="8" r="D50"/>
      <c s="30" r="E50">
        <f>SUM(E42:E49)</f>
        <v>3</v>
      </c>
      <c s="40" r="F50"/>
    </row>
    <row customHeight="1" r="51" ht="15.75">
      <c s="2" r="A51"/>
      <c s="2" r="B51"/>
      <c s="2" r="C51"/>
      <c s="2" r="D51"/>
      <c s="2" r="E51"/>
    </row>
    <row customHeight="1" r="52" ht="15.75"/>
    <row customHeight="1" r="53" ht="15.75">
      <c t="s" s="28" r="E53">
        <v>75</v>
      </c>
    </row>
    <row customHeight="1" r="54" ht="15.75">
      <c s="38" r="A54"/>
      <c s="38" r="B54"/>
      <c s="38" r="C54"/>
      <c s="38" r="D54"/>
      <c s="38" r="E54"/>
    </row>
    <row customHeight="1" r="55" ht="25.5">
      <c s="49" r="A55"/>
      <c t="s" s="46" r="B55">
        <v>76</v>
      </c>
      <c t="s" s="24" r="C55">
        <v>6</v>
      </c>
      <c t="s" s="29" r="D55">
        <v>7</v>
      </c>
      <c t="s" s="37" r="E55">
        <v>8</v>
      </c>
      <c s="40" r="F55"/>
    </row>
    <row r="56">
      <c t="s" s="27" r="A56">
        <v>77</v>
      </c>
      <c t="s" s="42" r="B56">
        <v>10</v>
      </c>
      <c s="42" r="C56"/>
    </row>
    <row customHeight="1" r="57" ht="25.5">
      <c t="s" s="59" r="A57">
        <v>60</v>
      </c>
      <c t="s" s="19" r="B57">
        <v>78</v>
      </c>
      <c t="s" s="12" r="C57">
        <v>15</v>
      </c>
      <c s="45" r="D57"/>
      <c s="57" r="E57">
        <v>1</v>
      </c>
      <c s="40" r="F57"/>
    </row>
    <row customHeight="1" r="58" ht="38.25">
      <c t="s" s="53" r="A58">
        <v>79</v>
      </c>
      <c t="s" s="52" r="B58">
        <v>80</v>
      </c>
      <c t="s" s="20" r="C58">
        <v>15</v>
      </c>
      <c s="45" r="D58"/>
      <c s="8" r="E58">
        <v>1</v>
      </c>
      <c s="40" r="F58"/>
    </row>
    <row customHeight="1" r="59" ht="25.5">
      <c t="s" s="53" r="A59">
        <v>81</v>
      </c>
      <c t="s" s="52" r="B59">
        <v>82</v>
      </c>
      <c t="s" s="20" r="C59">
        <v>15</v>
      </c>
      <c s="45" r="D59"/>
      <c s="8" r="E59">
        <v>1</v>
      </c>
      <c s="40" r="F59"/>
    </row>
    <row customHeight="1" r="60" ht="15.75">
      <c s="7" r="A60"/>
      <c t="s" s="11" r="B60">
        <v>83</v>
      </c>
      <c s="7" r="C60"/>
      <c s="7" r="D60"/>
      <c s="30" r="E60">
        <f>SUM(E57:E59)</f>
        <v>3</v>
      </c>
      <c s="40" r="F60"/>
    </row>
    <row customHeight="1" r="61" ht="15.75">
      <c s="2" r="A61"/>
      <c s="2" r="B61"/>
      <c s="2" r="C61"/>
      <c s="2" r="D61"/>
      <c s="2" r="E61"/>
    </row>
    <row customHeight="1" r="62" ht="15.75"/>
    <row customHeight="1" r="63" ht="15.75">
      <c s="38" r="A63"/>
      <c s="38" r="B63"/>
      <c s="38" r="C63"/>
      <c s="38" r="D63"/>
      <c s="38" r="E63"/>
    </row>
    <row customHeight="1" r="64" ht="25.5">
      <c s="56" r="A64"/>
      <c t="s" s="46" r="B64">
        <v>84</v>
      </c>
      <c t="s" s="24" r="C64">
        <v>6</v>
      </c>
      <c t="s" s="29" r="D64">
        <v>7</v>
      </c>
      <c t="s" s="37" r="E64">
        <v>8</v>
      </c>
      <c s="40" r="F64"/>
    </row>
    <row r="65">
      <c t="s" s="27" r="A65">
        <v>85</v>
      </c>
      <c t="s" s="1" r="B65">
        <v>10</v>
      </c>
      <c s="10" r="C65"/>
    </row>
    <row customHeight="1" r="66" ht="25.5">
      <c t="s" s="59" r="A66">
        <v>60</v>
      </c>
      <c t="s" s="19" r="B66">
        <v>78</v>
      </c>
      <c t="s" s="12" r="C66">
        <v>15</v>
      </c>
      <c s="45" r="D66"/>
      <c s="57" r="E66">
        <v>1</v>
      </c>
      <c s="40" r="F66"/>
    </row>
    <row customHeight="1" r="67" ht="25.5">
      <c t="s" s="53" r="A67">
        <v>72</v>
      </c>
      <c t="s" s="52" r="B67">
        <v>86</v>
      </c>
      <c s="20" r="C67"/>
      <c t="s" s="45" r="D67">
        <v>20</v>
      </c>
      <c s="8" r="E67">
        <v>0</v>
      </c>
      <c s="40" r="F67"/>
    </row>
    <row r="68">
      <c s="7" r="A68"/>
      <c t="s" s="11" r="B68">
        <v>87</v>
      </c>
      <c s="7" r="C68"/>
      <c s="7" r="D68"/>
      <c s="30" r="E68">
        <f>SUM(E66:E67)</f>
        <v>1</v>
      </c>
      <c s="40" r="F68"/>
    </row>
    <row r="69">
      <c s="2" r="A69"/>
      <c s="2" r="B69"/>
      <c s="2" r="C69"/>
      <c s="2" r="D69"/>
      <c s="2" r="E69"/>
    </row>
    <row r="71">
      <c s="38" r="A71"/>
      <c s="38" r="B71"/>
      <c s="38" r="C71"/>
      <c s="38" r="D71"/>
      <c s="38" r="E71"/>
    </row>
    <row customHeight="1" r="72" ht="15.0">
      <c s="36" r="A72"/>
      <c t="s" s="46" r="B72">
        <v>88</v>
      </c>
      <c s="24" r="C72"/>
      <c s="29" r="D72"/>
      <c t="s" s="37" r="E72">
        <v>8</v>
      </c>
      <c s="40" r="F72"/>
    </row>
    <row r="73">
      <c s="27" r="A73"/>
      <c t="s" s="42" r="B73">
        <v>89</v>
      </c>
      <c s="10" r="C73"/>
      <c s="5" r="D73"/>
      <c s="39" r="E73"/>
      <c s="40" r="F73"/>
    </row>
    <row customHeight="1" r="74" ht="25.5">
      <c t="s" s="59" r="A74">
        <v>90</v>
      </c>
      <c t="s" s="54" r="B74">
        <v>91</v>
      </c>
      <c s="17" r="C74"/>
      <c s="17" r="D74"/>
      <c s="57" r="E74"/>
      <c s="40" r="F74"/>
    </row>
    <row customHeight="1" r="75" ht="25.5">
      <c t="s" s="53" r="A75">
        <v>92</v>
      </c>
      <c t="s" s="16" r="B75">
        <v>93</v>
      </c>
      <c s="7" r="C75"/>
      <c s="7" r="D75"/>
      <c s="8" r="E75"/>
      <c s="40" r="F75"/>
    </row>
    <row customHeight="1" r="76" ht="25.5">
      <c t="s" s="53" r="A76">
        <v>94</v>
      </c>
      <c t="s" s="16" r="B76">
        <v>95</v>
      </c>
      <c s="7" r="C76"/>
      <c s="7" r="D76"/>
      <c s="8" r="E76"/>
      <c s="40" r="F76"/>
    </row>
    <row customHeight="1" r="77" ht="38.25">
      <c t="s" s="53" r="A77">
        <v>96</v>
      </c>
      <c t="s" s="16" r="B77">
        <v>97</v>
      </c>
      <c s="7" r="C77"/>
      <c s="7" r="D77"/>
      <c s="8" r="E77"/>
      <c s="40" r="F77"/>
    </row>
    <row r="78">
      <c t="s" s="53" r="A78">
        <v>98</v>
      </c>
      <c t="s" s="16" r="B78">
        <v>99</v>
      </c>
      <c s="7" r="C78"/>
      <c s="7" r="D78"/>
      <c s="8" r="E78"/>
      <c s="40" r="F78"/>
    </row>
    <row r="79">
      <c t="s" s="53" r="A79">
        <v>100</v>
      </c>
      <c t="s" s="16" r="B79">
        <v>101</v>
      </c>
      <c s="7" r="C79"/>
      <c s="7" r="D79"/>
      <c s="8" r="E79"/>
      <c s="40" r="F79"/>
    </row>
    <row r="80">
      <c t="s" s="53" r="A80">
        <v>102</v>
      </c>
      <c t="s" s="16" r="B80">
        <v>103</v>
      </c>
      <c s="7" r="C80"/>
      <c s="7" r="D80"/>
      <c s="8" r="E80"/>
      <c s="40" r="F80"/>
    </row>
    <row r="81">
      <c t="s" s="53" r="A81">
        <v>104</v>
      </c>
      <c t="s" s="16" r="B81">
        <v>105</v>
      </c>
      <c s="7" r="C81"/>
      <c s="7" r="D81"/>
      <c s="8" r="E81"/>
      <c s="40" r="F81"/>
    </row>
    <row r="82">
      <c t="s" s="53" r="A82">
        <v>106</v>
      </c>
      <c t="s" s="16" r="B82">
        <v>107</v>
      </c>
      <c s="7" r="C82"/>
      <c s="7" r="D82"/>
      <c s="8" r="E82"/>
      <c s="40" r="F82"/>
    </row>
    <row customHeight="1" r="83" ht="54.75">
      <c t="s" s="53" r="A83">
        <v>108</v>
      </c>
      <c t="s" s="16" r="B83">
        <v>109</v>
      </c>
      <c s="7" r="C83"/>
      <c s="7" r="D83"/>
      <c s="8" r="E83"/>
      <c s="40" r="F83"/>
    </row>
    <row customHeight="1" r="84" ht="26.25">
      <c t="s" s="21" r="A84">
        <v>110</v>
      </c>
      <c t="s" s="15" r="B84">
        <v>111</v>
      </c>
      <c s="7" r="C84"/>
      <c s="7" r="D84"/>
      <c s="8" r="E84"/>
      <c s="40" r="F84"/>
    </row>
    <row customHeight="1" r="85" ht="33.0">
      <c t="s" s="47" r="A85">
        <v>112</v>
      </c>
      <c t="s" s="16" r="B85">
        <v>113</v>
      </c>
      <c s="7" r="C85"/>
      <c s="7" r="D85"/>
      <c s="8" r="E85"/>
      <c s="40" r="F85"/>
    </row>
    <row customHeight="1" r="86" ht="19.5">
      <c s="53" r="A86"/>
      <c t="s" s="23" r="B86">
        <v>114</v>
      </c>
      <c s="51" r="C86"/>
      <c s="51" r="D86"/>
      <c s="30" r="E86">
        <f>SUM(E74:E85)</f>
        <v>0</v>
      </c>
      <c s="40" r="F86"/>
    </row>
    <row customHeight="1" r="87" ht="23.25">
      <c s="9" r="A87"/>
      <c s="9" r="B87"/>
      <c s="9" r="C87"/>
      <c s="9" r="D87"/>
      <c s="9" r="E87"/>
    </row>
    <row customHeight="1" r="88" ht="18.0">
      <c s="4" r="A88"/>
      <c t="s" s="22" r="B88">
        <v>115</v>
      </c>
      <c s="25" r="C88"/>
      <c s="3" r="D88"/>
      <c s="55" r="E88">
        <f>(((E36+E50)+E60)+E68)+E86</f>
        <v>20</v>
      </c>
      <c s="40" r="F88"/>
    </row>
  </sheetData>
  <mergeCells count="6">
    <mergeCell ref="B1:E1"/>
    <mergeCell ref="C2:E2"/>
    <mergeCell ref="C6:E6"/>
    <mergeCell ref="C41:E41"/>
    <mergeCell ref="C56:E56"/>
    <mergeCell ref="C65:E65"/>
  </mergeCell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8.86" defaultRowHeight="12.75"/>
  <sheetData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8.86" defaultRowHeight="12.75"/>
  <sheetData/>
</worksheet>
</file>