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activeX/activeX1.bin" ContentType="application/vnd.ms-office.activeX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activeX/activeX1.xml" ContentType="application/vnd.ms-office.activeX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05" yWindow="285" windowWidth="15210" windowHeight="9225"/>
  </bookViews>
  <sheets>
    <sheet name="검사배정상황부" sheetId="1" r:id="rId1"/>
    <sheet name="검역관 연락번호" sheetId="2" r:id="rId2"/>
    <sheet name="Sheet1" sheetId="3" r:id="rId3"/>
  </sheets>
  <definedNames>
    <definedName name="_xlnm._FilterDatabase" localSheetId="0" hidden="1">검사배정상황부!$A$12:$IH$12</definedName>
    <definedName name="_xlnm.Criteria" localSheetId="0">검사배정상황부!$A$14:$H$47</definedName>
    <definedName name="_xlnm.Print_Area" localSheetId="0">검사배정상황부!$A$1:$M$58</definedName>
  </definedNames>
  <calcPr calcId="125725"/>
</workbook>
</file>

<file path=xl/calcChain.xml><?xml version="1.0" encoding="utf-8"?>
<calcChain xmlns="http://schemas.openxmlformats.org/spreadsheetml/2006/main">
  <c r="B48" i="1"/>
</calcChain>
</file>

<file path=xl/sharedStrings.xml><?xml version="1.0" encoding="utf-8"?>
<sst xmlns="http://schemas.openxmlformats.org/spreadsheetml/2006/main" count="163" uniqueCount="124">
  <si>
    <t>품목</t>
    <phoneticPr fontId="7" type="noConversion"/>
  </si>
  <si>
    <t>계</t>
    <phoneticPr fontId="7" type="noConversion"/>
  </si>
  <si>
    <r>
      <t xml:space="preserve">주 </t>
    </r>
    <r>
      <rPr>
        <sz val="11"/>
        <rFont val="돋움"/>
        <family val="3"/>
        <charset val="129"/>
      </rPr>
      <t xml:space="preserve"> </t>
    </r>
    <r>
      <rPr>
        <sz val="13"/>
        <rFont val="굴림"/>
        <family val="3"/>
        <charset val="129"/>
      </rPr>
      <t>무</t>
    </r>
    <phoneticPr fontId="7" type="noConversion"/>
  </si>
  <si>
    <r>
      <t xml:space="preserve">소 </t>
    </r>
    <r>
      <rPr>
        <sz val="11"/>
        <rFont val="돋움"/>
        <family val="3"/>
        <charset val="129"/>
      </rPr>
      <t xml:space="preserve"> </t>
    </r>
    <r>
      <rPr>
        <sz val="13"/>
        <rFont val="굴림"/>
        <family val="3"/>
        <charset val="129"/>
      </rPr>
      <t>장</t>
    </r>
    <phoneticPr fontId="7" type="noConversion"/>
  </si>
  <si>
    <t>[ 오 전 검 사 ]</t>
    <phoneticPr fontId="7" type="noConversion"/>
  </si>
  <si>
    <t>검사장소</t>
    <phoneticPr fontId="7" type="noConversion"/>
  </si>
  <si>
    <t>수량(kg)</t>
    <phoneticPr fontId="7" type="noConversion"/>
  </si>
  <si>
    <t>합계</t>
    <phoneticPr fontId="7" type="noConversion"/>
  </si>
  <si>
    <t>CIQ</t>
    <phoneticPr fontId="3" type="noConversion"/>
  </si>
  <si>
    <t>민원</t>
    <phoneticPr fontId="3" type="noConversion"/>
  </si>
  <si>
    <t>수출검사</t>
    <phoneticPr fontId="7" type="noConversion"/>
  </si>
  <si>
    <t>기타</t>
    <phoneticPr fontId="3" type="noConversion"/>
  </si>
  <si>
    <t>[오 후 검 사]</t>
    <phoneticPr fontId="2" type="noConversion"/>
  </si>
  <si>
    <t>일일업무계획</t>
    <phoneticPr fontId="2" type="noConversion"/>
  </si>
  <si>
    <t>평택사무소</t>
    <phoneticPr fontId="2" type="noConversion"/>
  </si>
  <si>
    <t>접수번호</t>
    <phoneticPr fontId="3" type="noConversion"/>
  </si>
  <si>
    <t>검 사</t>
    <phoneticPr fontId="2" type="noConversion"/>
  </si>
  <si>
    <t>수출입자</t>
    <phoneticPr fontId="7" type="noConversion"/>
  </si>
  <si>
    <t>접수번호</t>
    <phoneticPr fontId="3" type="noConversion"/>
  </si>
  <si>
    <t>검사</t>
    <phoneticPr fontId="7" type="noConversion"/>
  </si>
  <si>
    <t>수출입자</t>
    <phoneticPr fontId="7" type="noConversion"/>
  </si>
  <si>
    <t>검사자</t>
    <phoneticPr fontId="7" type="noConversion"/>
  </si>
  <si>
    <t>평택컨테이너터미널</t>
    <phoneticPr fontId="3" type="noConversion"/>
  </si>
  <si>
    <t>검사자</t>
    <phoneticPr fontId="2" type="noConversion"/>
  </si>
  <si>
    <t>비고(차량)</t>
    <phoneticPr fontId="7" type="noConversion"/>
  </si>
  <si>
    <t>비고(차량)</t>
    <phoneticPr fontId="7" type="noConversion"/>
  </si>
  <si>
    <t>경평물류</t>
    <phoneticPr fontId="2" type="noConversion"/>
  </si>
  <si>
    <t>대림방역(주)</t>
  </si>
  <si>
    <t>내용</t>
    <phoneticPr fontId="2" type="noConversion"/>
  </si>
  <si>
    <t>세림방역(주)</t>
  </si>
  <si>
    <t>시간</t>
    <phoneticPr fontId="2" type="noConversion"/>
  </si>
  <si>
    <t>총인원</t>
    <phoneticPr fontId="2" type="noConversion"/>
  </si>
  <si>
    <t>상인</t>
    <phoneticPr fontId="2" type="noConversion"/>
  </si>
  <si>
    <t xml:space="preserve"> </t>
    <phoneticPr fontId="2" type="noConversion"/>
  </si>
  <si>
    <t>(주)서해방역</t>
  </si>
  <si>
    <t>평택항만물류</t>
    <phoneticPr fontId="2" type="noConversion"/>
  </si>
  <si>
    <t>모닝스타</t>
    <phoneticPr fontId="3" type="noConversion"/>
  </si>
  <si>
    <t>영진보세창고</t>
    <phoneticPr fontId="3" type="noConversion"/>
  </si>
  <si>
    <t>동부두</t>
    <phoneticPr fontId="2" type="noConversion"/>
  </si>
  <si>
    <t>이 름</t>
    <phoneticPr fontId="18" type="noConversion"/>
  </si>
  <si>
    <t>개인휴대폰</t>
    <phoneticPr fontId="18" type="noConversion"/>
  </si>
  <si>
    <t>업무용 PDA</t>
    <phoneticPr fontId="18" type="noConversion"/>
  </si>
  <si>
    <t>*</t>
  </si>
  <si>
    <t>박종호 검역관</t>
  </si>
  <si>
    <t>010-3377-2437</t>
  </si>
  <si>
    <t>정래동 검역관</t>
    <phoneticPr fontId="2" type="noConversion"/>
  </si>
  <si>
    <t>오승용 검역관</t>
    <phoneticPr fontId="2" type="noConversion"/>
  </si>
  <si>
    <t>010-3442-6451</t>
    <phoneticPr fontId="2" type="noConversion"/>
  </si>
  <si>
    <t>*</t>
    <phoneticPr fontId="2" type="noConversion"/>
  </si>
  <si>
    <t>이상화 검역관</t>
    <phoneticPr fontId="2" type="noConversion"/>
  </si>
  <si>
    <t>김재열 검역관</t>
    <phoneticPr fontId="2" type="noConversion"/>
  </si>
  <si>
    <t>010-5456-8128</t>
    <phoneticPr fontId="2" type="noConversion"/>
  </si>
  <si>
    <t>010-6251-2988</t>
    <phoneticPr fontId="2" type="noConversion"/>
  </si>
  <si>
    <t>010-5507-1902</t>
    <phoneticPr fontId="2" type="noConversion"/>
  </si>
  <si>
    <t>• 사무실: 031-8053-7701~7702   • Fax: 031-8053-7714    • CIQ: 031-683-9664</t>
    <phoneticPr fontId="18" type="noConversion"/>
  </si>
  <si>
    <t>김복섭 검역관</t>
    <phoneticPr fontId="2" type="noConversion"/>
  </si>
  <si>
    <t>구윤모 검역관</t>
    <phoneticPr fontId="2" type="noConversion"/>
  </si>
  <si>
    <t>010-8736-0143</t>
    <phoneticPr fontId="2" type="noConversion"/>
  </si>
  <si>
    <t>이보영 검역관</t>
    <phoneticPr fontId="2" type="noConversion"/>
  </si>
  <si>
    <t>010-4101-0207</t>
    <phoneticPr fontId="2" type="noConversion"/>
  </si>
  <si>
    <t>010-4852-6306</t>
    <phoneticPr fontId="2" type="noConversion"/>
  </si>
  <si>
    <t>[ 중부지역본부  평택사무소  연락처 ]</t>
    <phoneticPr fontId="18" type="noConversion"/>
  </si>
  <si>
    <t>이만휘 소장</t>
    <phoneticPr fontId="2" type="noConversion"/>
  </si>
  <si>
    <t>010-5525-1046</t>
    <phoneticPr fontId="2" type="noConversion"/>
  </si>
  <si>
    <t>업무세부내역</t>
    <phoneticPr fontId="2" type="noConversion"/>
  </si>
  <si>
    <t>백상한 검역관</t>
    <phoneticPr fontId="2" type="noConversion"/>
  </si>
  <si>
    <t>010-4391-4966</t>
    <phoneticPr fontId="2" type="noConversion"/>
  </si>
  <si>
    <t>김윤정 검역관</t>
    <phoneticPr fontId="2" type="noConversion"/>
  </si>
  <si>
    <t>010-3424-2909</t>
    <phoneticPr fontId="2" type="noConversion"/>
  </si>
  <si>
    <t>박종호</t>
    <phoneticPr fontId="2" type="noConversion"/>
  </si>
  <si>
    <t>내근자</t>
    <phoneticPr fontId="2" type="noConversion"/>
  </si>
  <si>
    <t>* 김복섭, 정래동, 이상화 : 연가</t>
    <phoneticPr fontId="2" type="noConversion"/>
  </si>
  <si>
    <t>아카시아나무각재</t>
  </si>
  <si>
    <t>밀짚모자</t>
  </si>
  <si>
    <t>서류검사</t>
  </si>
  <si>
    <t>냉동마늘쫑</t>
  </si>
  <si>
    <t>냉동고사리</t>
  </si>
  <si>
    <t>냉동열무</t>
  </si>
  <si>
    <t>냉동무청시래기</t>
  </si>
  <si>
    <t>냉동당근</t>
  </si>
  <si>
    <t>코푸라분말</t>
  </si>
  <si>
    <t>미생물배양체(L10)</t>
  </si>
  <si>
    <t>미생물배양체(MY-721)</t>
  </si>
  <si>
    <t>미생물배양체(LACTIC ACID BACTERIA LGG)</t>
  </si>
  <si>
    <t>들깨가루</t>
  </si>
  <si>
    <t>냉동고추</t>
  </si>
  <si>
    <t>냉동다진마늘</t>
  </si>
  <si>
    <t>바나나</t>
  </si>
  <si>
    <t>2012.08.10 10:00</t>
  </si>
  <si>
    <t>돌로지스틱스보세창고</t>
  </si>
  <si>
    <t>파인애플</t>
  </si>
  <si>
    <t>2012.08.10 11:00</t>
  </si>
  <si>
    <t>2012.08.10 10:30</t>
  </si>
  <si>
    <t>스미후루코리아보세창고</t>
  </si>
  <si>
    <t>등나무 바구니</t>
    <phoneticPr fontId="2" type="noConversion"/>
  </si>
  <si>
    <t>4개</t>
    <phoneticPr fontId="2" type="noConversion"/>
  </si>
  <si>
    <t xml:space="preserve">83㎥ </t>
    <phoneticPr fontId="28" type="noConversion"/>
  </si>
  <si>
    <t>Spot Check</t>
    <phoneticPr fontId="2" type="noConversion"/>
  </si>
  <si>
    <t>일조</t>
    <phoneticPr fontId="2" type="noConversion"/>
  </si>
  <si>
    <t xml:space="preserve"> 민원업무처리</t>
    <phoneticPr fontId="2" type="noConversion"/>
  </si>
  <si>
    <t>무종자 일본수출검사 1건 (코레곤)</t>
    <phoneticPr fontId="2" type="noConversion"/>
  </si>
  <si>
    <t>열처리증명서 6건</t>
    <phoneticPr fontId="2" type="noConversion"/>
  </si>
  <si>
    <t>검사제외</t>
    <phoneticPr fontId="2" type="noConversion"/>
  </si>
  <si>
    <t>검사제외</t>
    <phoneticPr fontId="2" type="noConversion"/>
  </si>
  <si>
    <t>냉동단호박</t>
  </si>
  <si>
    <t>냉동근대</t>
    <phoneticPr fontId="2" type="noConversion"/>
  </si>
  <si>
    <t>금지품제외</t>
    <phoneticPr fontId="2" type="noConversion"/>
  </si>
  <si>
    <t>미생물배양체(F-DVS BMY-01)</t>
    <phoneticPr fontId="2" type="noConversion"/>
  </si>
  <si>
    <t>오승용</t>
    <phoneticPr fontId="2" type="noConversion"/>
  </si>
  <si>
    <t>돌코리아</t>
    <phoneticPr fontId="2" type="noConversion"/>
  </si>
  <si>
    <t>스미후루</t>
    <phoneticPr fontId="2" type="noConversion"/>
  </si>
  <si>
    <t>EF</t>
    <phoneticPr fontId="2" type="noConversion"/>
  </si>
  <si>
    <t>EF</t>
  </si>
  <si>
    <t>바나나, 파인애플 개방</t>
    <phoneticPr fontId="2" type="noConversion"/>
  </si>
  <si>
    <t>냉동부추</t>
    <phoneticPr fontId="2" type="noConversion"/>
  </si>
  <si>
    <t>냉동대파</t>
    <phoneticPr fontId="2" type="noConversion"/>
  </si>
  <si>
    <t>슈퍼마린</t>
    <phoneticPr fontId="2" type="noConversion"/>
  </si>
  <si>
    <r>
      <rPr>
        <b/>
        <sz val="12"/>
        <rFont val="굴림"/>
        <family val="3"/>
        <charset val="129"/>
      </rPr>
      <t>* 총 검사건수 : 35건</t>
    </r>
    <r>
      <rPr>
        <b/>
        <sz val="10"/>
        <rFont val="굴림"/>
        <family val="3"/>
        <charset val="129"/>
      </rPr>
      <t xml:space="preserve">
* 건조식물 검역(수입) : 2건
* 냉동식물 검역(수입) : 11건(냉동고추 2건)
* 수출검역 : 열처리 증명서 발급 6건, 무종자 1건
* 기타사항 : CIQ 1건, 검사제외 2건, 금지품제외 4건, 소독 7건, 각재 1건
</t>
    </r>
    <phoneticPr fontId="2" type="noConversion"/>
  </si>
  <si>
    <t>백상한</t>
    <phoneticPr fontId="2" type="noConversion"/>
  </si>
  <si>
    <t>김재열</t>
    <phoneticPr fontId="2" type="noConversion"/>
  </si>
  <si>
    <t>무쏘
MB</t>
    <phoneticPr fontId="2" type="noConversion"/>
  </si>
  <si>
    <t>무쏘</t>
    <phoneticPr fontId="2" type="noConversion"/>
  </si>
  <si>
    <t>김윤정</t>
    <phoneticPr fontId="2" type="noConversion"/>
  </si>
  <si>
    <t>* 신규열처리업체 등록확인(화성, 박종호): 오전 (베르나)                                                                               * 검사장소 현장확인(평택, 구윤모): 오후 (모닝)</t>
    <phoneticPr fontId="2" type="noConversion"/>
  </si>
</sst>
</file>

<file path=xl/styles.xml><?xml version="1.0" encoding="utf-8"?>
<styleSheet xmlns="http://schemas.openxmlformats.org/spreadsheetml/2006/main">
  <numFmts count="7">
    <numFmt numFmtId="41" formatCode="_-* #,##0_-;\-* #,##0_-;_-* &quot;-&quot;_-;_-@_-"/>
    <numFmt numFmtId="178" formatCode="#,##0_);[Red]\(#,##0\)"/>
    <numFmt numFmtId="179" formatCode="0_);[Red]\(0\)"/>
    <numFmt numFmtId="184" formatCode="#,##0_ "/>
    <numFmt numFmtId="185" formatCode="yyyy&quot;년&quot;\ m&quot;월&quot;\ d&quot;일&quot;"/>
    <numFmt numFmtId="194" formatCode="0_);\(0\)"/>
    <numFmt numFmtId="205" formatCode="#,##0_);\(#,##0\)"/>
  </numFmts>
  <fonts count="3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굴림"/>
      <family val="3"/>
      <charset val="129"/>
    </font>
    <font>
      <sz val="13"/>
      <name val="굴림"/>
      <family val="3"/>
      <charset val="129"/>
    </font>
    <font>
      <sz val="10"/>
      <name val="굴림"/>
      <family val="3"/>
      <charset val="129"/>
    </font>
    <font>
      <sz val="25"/>
      <name val="굴림"/>
      <family val="3"/>
      <charset val="129"/>
    </font>
    <font>
      <sz val="8"/>
      <name val="굴림체"/>
      <family val="3"/>
      <charset val="129"/>
    </font>
    <font>
      <b/>
      <sz val="14"/>
      <name val="굴림"/>
      <family val="3"/>
      <charset val="129"/>
    </font>
    <font>
      <b/>
      <sz val="11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11"/>
      <name val="굴림"/>
      <family val="3"/>
      <charset val="129"/>
    </font>
    <font>
      <b/>
      <sz val="13"/>
      <name val="굴림"/>
      <family val="3"/>
      <charset val="129"/>
    </font>
    <font>
      <sz val="9"/>
      <name val="굴림"/>
      <family val="3"/>
      <charset val="129"/>
    </font>
    <font>
      <b/>
      <sz val="20"/>
      <name val="굴림"/>
      <family val="3"/>
      <charset val="129"/>
    </font>
    <font>
      <sz val="10"/>
      <name val="돋움"/>
      <family val="3"/>
      <charset val="129"/>
    </font>
    <font>
      <sz val="10"/>
      <color indexed="63"/>
      <name val="돋움"/>
      <family val="3"/>
      <charset val="129"/>
    </font>
    <font>
      <sz val="8"/>
      <name val="맑은 고딕"/>
      <family val="3"/>
      <charset val="129"/>
    </font>
    <font>
      <b/>
      <sz val="12"/>
      <name val="돋움"/>
      <family val="3"/>
      <charset val="129"/>
    </font>
    <font>
      <b/>
      <sz val="11"/>
      <name val="돋움"/>
      <family val="3"/>
      <charset val="129"/>
    </font>
    <font>
      <sz val="12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16"/>
      <color indexed="8"/>
      <name val="맑은 고딕"/>
      <family val="3"/>
      <charset val="129"/>
    </font>
    <font>
      <sz val="16"/>
      <color indexed="8"/>
      <name val="맑은 고딕"/>
      <family val="3"/>
      <charset val="129"/>
    </font>
    <font>
      <b/>
      <sz val="12"/>
      <color indexed="8"/>
      <name val="맑은 고딕"/>
      <family val="3"/>
      <charset val="129"/>
    </font>
    <font>
      <sz val="12"/>
      <name val="맑은 고딕"/>
      <family val="3"/>
      <charset val="129"/>
    </font>
    <font>
      <b/>
      <sz val="10"/>
      <name val="굴림"/>
      <family val="3"/>
      <charset val="129"/>
    </font>
    <font>
      <sz val="8"/>
      <name val="맑은 고딕"/>
      <family val="3"/>
      <charset val="129"/>
    </font>
    <font>
      <sz val="9"/>
      <color rgb="FF333333"/>
      <name val="돋움"/>
      <family val="3"/>
      <charset val="129"/>
    </font>
    <font>
      <sz val="10"/>
      <name val="맑은 고딕"/>
      <family val="3"/>
      <charset val="129"/>
      <scheme val="major"/>
    </font>
    <font>
      <sz val="10"/>
      <color indexed="63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8"/>
      </right>
      <top style="hair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hair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8"/>
      </right>
      <top/>
      <bottom style="hair">
        <color indexed="64"/>
      </bottom>
      <diagonal/>
    </border>
    <border>
      <left style="thin">
        <color indexed="8"/>
      </left>
      <right style="thin">
        <color indexed="8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hair">
        <color indexed="64"/>
      </top>
      <bottom/>
      <diagonal/>
    </border>
    <border>
      <left style="thin">
        <color indexed="8"/>
      </left>
      <right style="thin">
        <color indexed="8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/>
  </cellStyleXfs>
  <cellXfs count="223">
    <xf numFmtId="0" fontId="0" fillId="0" borderId="0" xfId="0">
      <alignment vertical="center"/>
    </xf>
    <xf numFmtId="0" fontId="9" fillId="2" borderId="1" xfId="0" applyFont="1" applyFill="1" applyBorder="1" applyAlignment="1" applyProtection="1">
      <alignment horizontal="center" vertical="center" shrinkToFit="1"/>
      <protection locked="0"/>
    </xf>
    <xf numFmtId="0" fontId="10" fillId="2" borderId="1" xfId="0" applyFont="1" applyFill="1" applyBorder="1" applyAlignment="1">
      <alignment horizontal="center" vertical="center" wrapText="1" shrinkToFit="1"/>
    </xf>
    <xf numFmtId="41" fontId="10" fillId="2" borderId="1" xfId="1" applyFont="1" applyFill="1" applyBorder="1" applyAlignment="1">
      <alignment horizontal="center" vertical="center"/>
    </xf>
    <xf numFmtId="41" fontId="10" fillId="2" borderId="1" xfId="1" applyFont="1" applyFill="1" applyBorder="1" applyAlignment="1">
      <alignment horizontal="center" vertical="center" shrinkToFit="1"/>
    </xf>
    <xf numFmtId="0" fontId="10" fillId="2" borderId="2" xfId="1" applyNumberFormat="1" applyFont="1" applyFill="1" applyBorder="1" applyAlignment="1">
      <alignment horizontal="center" vertical="center"/>
    </xf>
    <xf numFmtId="178" fontId="10" fillId="2" borderId="2" xfId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178" fontId="11" fillId="0" borderId="0" xfId="0" applyNumberFormat="1" applyFont="1" applyBorder="1" applyAlignment="1">
      <alignment horizontal="center" vertical="center"/>
    </xf>
    <xf numFmtId="194" fontId="11" fillId="0" borderId="0" xfId="0" applyNumberFormat="1" applyFont="1" applyBorder="1" applyAlignment="1">
      <alignment horizontal="center" vertical="center"/>
    </xf>
    <xf numFmtId="194" fontId="10" fillId="2" borderId="2" xfId="1" applyNumberFormat="1" applyFont="1" applyFill="1" applyBorder="1" applyAlignment="1">
      <alignment horizontal="center" vertical="center"/>
    </xf>
    <xf numFmtId="194" fontId="10" fillId="2" borderId="1" xfId="1" applyNumberFormat="1" applyFont="1" applyFill="1" applyBorder="1" applyAlignment="1">
      <alignment horizontal="center" vertical="center"/>
    </xf>
    <xf numFmtId="179" fontId="10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94" fontId="4" fillId="0" borderId="0" xfId="0" applyNumberFormat="1" applyFont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179" fontId="5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205" fontId="17" fillId="3" borderId="0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194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178" fontId="5" fillId="0" borderId="0" xfId="0" applyNumberFormat="1" applyFont="1" applyBorder="1" applyAlignment="1">
      <alignment horizontal="center" vertical="center"/>
    </xf>
    <xf numFmtId="0" fontId="29" fillId="6" borderId="0" xfId="0" applyFont="1" applyFill="1" applyAlignment="1">
      <alignment horizontal="center" vertical="center" wrapText="1"/>
    </xf>
    <xf numFmtId="0" fontId="9" fillId="2" borderId="3" xfId="0" applyFont="1" applyFill="1" applyBorder="1" applyAlignment="1" applyProtection="1">
      <alignment horizontal="center" vertical="center" shrinkToFit="1"/>
      <protection locked="0"/>
    </xf>
    <xf numFmtId="0" fontId="9" fillId="0" borderId="2" xfId="0" applyFont="1" applyBorder="1" applyAlignment="1">
      <alignment horizontal="center" vertical="center"/>
    </xf>
    <xf numFmtId="0" fontId="10" fillId="2" borderId="3" xfId="0" applyFont="1" applyFill="1" applyBorder="1" applyAlignment="1" applyProtection="1">
      <alignment horizontal="center" vertical="center"/>
      <protection locked="0"/>
    </xf>
    <xf numFmtId="0" fontId="21" fillId="0" borderId="0" xfId="0" applyFont="1">
      <alignment vertical="center"/>
    </xf>
    <xf numFmtId="0" fontId="2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5" fillId="0" borderId="4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6" fillId="4" borderId="6" xfId="0" applyFont="1" applyFill="1" applyBorder="1" applyAlignment="1">
      <alignment horizontal="center" vertical="center" wrapText="1"/>
    </xf>
    <xf numFmtId="0" fontId="21" fillId="4" borderId="7" xfId="0" applyFont="1" applyFill="1" applyBorder="1" applyAlignment="1">
      <alignment horizontal="center" vertical="center"/>
    </xf>
    <xf numFmtId="0" fontId="26" fillId="0" borderId="8" xfId="0" applyFont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/>
    </xf>
    <xf numFmtId="0" fontId="21" fillId="0" borderId="11" xfId="0" applyFont="1" applyFill="1" applyBorder="1" applyAlignment="1">
      <alignment horizontal="center" vertical="center"/>
    </xf>
    <xf numFmtId="178" fontId="30" fillId="0" borderId="1" xfId="0" applyNumberFormat="1" applyFont="1" applyFill="1" applyBorder="1" applyAlignment="1" applyProtection="1">
      <alignment horizontal="center" vertical="center" wrapText="1"/>
      <protection locked="0"/>
    </xf>
    <xf numFmtId="179" fontId="30" fillId="0" borderId="1" xfId="0" applyNumberFormat="1" applyFont="1" applyFill="1" applyBorder="1" applyAlignment="1" applyProtection="1">
      <alignment horizontal="center" vertical="center"/>
      <protection locked="0"/>
    </xf>
    <xf numFmtId="194" fontId="30" fillId="0" borderId="1" xfId="1" applyNumberFormat="1" applyFont="1" applyFill="1" applyBorder="1" applyAlignment="1">
      <alignment horizontal="center" vertical="center" wrapText="1"/>
    </xf>
    <xf numFmtId="179" fontId="31" fillId="3" borderId="1" xfId="0" applyNumberFormat="1" applyFont="1" applyFill="1" applyBorder="1" applyAlignment="1">
      <alignment horizontal="center" vertical="center" wrapText="1"/>
    </xf>
    <xf numFmtId="179" fontId="30" fillId="0" borderId="1" xfId="0" applyNumberFormat="1" applyFont="1" applyFill="1" applyBorder="1" applyAlignment="1">
      <alignment horizontal="center" vertical="center" shrinkToFit="1"/>
    </xf>
    <xf numFmtId="194" fontId="32" fillId="3" borderId="12" xfId="1" applyNumberFormat="1" applyFont="1" applyFill="1" applyBorder="1" applyAlignment="1">
      <alignment horizontal="center" vertical="center"/>
    </xf>
    <xf numFmtId="205" fontId="32" fillId="3" borderId="12" xfId="1" applyNumberFormat="1" applyFont="1" applyFill="1" applyBorder="1" applyAlignment="1">
      <alignment horizontal="center" vertical="center"/>
    </xf>
    <xf numFmtId="205" fontId="30" fillId="0" borderId="12" xfId="0" applyNumberFormat="1" applyFont="1" applyBorder="1" applyAlignment="1">
      <alignment horizontal="center" vertical="center"/>
    </xf>
    <xf numFmtId="205" fontId="30" fillId="0" borderId="12" xfId="0" applyNumberFormat="1" applyFont="1" applyBorder="1" applyAlignment="1">
      <alignment horizontal="center" vertical="center" shrinkToFit="1"/>
    </xf>
    <xf numFmtId="194" fontId="30" fillId="0" borderId="12" xfId="0" applyNumberFormat="1" applyFont="1" applyBorder="1" applyAlignment="1">
      <alignment horizontal="center" vertical="center"/>
    </xf>
    <xf numFmtId="178" fontId="30" fillId="0" borderId="12" xfId="0" applyNumberFormat="1" applyFont="1" applyBorder="1" applyAlignment="1">
      <alignment horizontal="center" vertical="center"/>
    </xf>
    <xf numFmtId="179" fontId="30" fillId="0" borderId="12" xfId="1" applyNumberFormat="1" applyFont="1" applyBorder="1" applyAlignment="1">
      <alignment horizontal="center" vertical="center"/>
    </xf>
    <xf numFmtId="179" fontId="31" fillId="3" borderId="40" xfId="0" applyNumberFormat="1" applyFont="1" applyFill="1" applyBorder="1" applyAlignment="1">
      <alignment horizontal="center" vertical="center" wrapText="1"/>
    </xf>
    <xf numFmtId="205" fontId="30" fillId="0" borderId="1" xfId="0" applyNumberFormat="1" applyFont="1" applyBorder="1" applyAlignment="1">
      <alignment horizontal="center" vertical="center"/>
    </xf>
    <xf numFmtId="205" fontId="30" fillId="0" borderId="1" xfId="2" applyNumberFormat="1" applyFont="1" applyBorder="1" applyAlignment="1">
      <alignment horizontal="center" vertical="center" shrinkToFit="1"/>
    </xf>
    <xf numFmtId="194" fontId="30" fillId="0" borderId="1" xfId="2" applyNumberFormat="1" applyFont="1" applyBorder="1" applyAlignment="1">
      <alignment horizontal="center" vertical="center" shrinkToFit="1"/>
    </xf>
    <xf numFmtId="178" fontId="30" fillId="0" borderId="1" xfId="1" applyNumberFormat="1" applyFont="1" applyBorder="1" applyAlignment="1">
      <alignment horizontal="center" vertical="center" shrinkToFit="1"/>
    </xf>
    <xf numFmtId="179" fontId="30" fillId="0" borderId="1" xfId="1" applyNumberFormat="1" applyFont="1" applyBorder="1" applyAlignment="1">
      <alignment horizontal="center" vertical="center" shrinkToFit="1"/>
    </xf>
    <xf numFmtId="0" fontId="26" fillId="0" borderId="13" xfId="0" applyFont="1" applyBorder="1" applyAlignment="1">
      <alignment horizontal="center" vertical="center" wrapText="1"/>
    </xf>
    <xf numFmtId="0" fontId="26" fillId="0" borderId="14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/>
    </xf>
    <xf numFmtId="0" fontId="26" fillId="0" borderId="15" xfId="0" applyFont="1" applyFill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/>
    </xf>
    <xf numFmtId="0" fontId="21" fillId="0" borderId="15" xfId="0" applyFont="1" applyFill="1" applyBorder="1" applyAlignment="1">
      <alignment horizontal="center" vertical="center"/>
    </xf>
    <xf numFmtId="194" fontId="5" fillId="0" borderId="2" xfId="0" applyNumberFormat="1" applyFont="1" applyBorder="1" applyAlignment="1">
      <alignment horizontal="center" vertical="center"/>
    </xf>
    <xf numFmtId="0" fontId="5" fillId="3" borderId="16" xfId="0" applyNumberFormat="1" applyFont="1" applyFill="1" applyBorder="1" applyAlignment="1">
      <alignment horizontal="center" vertical="center"/>
    </xf>
    <xf numFmtId="179" fontId="5" fillId="3" borderId="16" xfId="0" applyNumberFormat="1" applyFont="1" applyFill="1" applyBorder="1" applyAlignment="1">
      <alignment horizontal="left" vertical="center"/>
    </xf>
    <xf numFmtId="0" fontId="5" fillId="3" borderId="16" xfId="0" applyFont="1" applyFill="1" applyBorder="1" applyAlignment="1">
      <alignment horizontal="left" vertical="center"/>
    </xf>
    <xf numFmtId="194" fontId="5" fillId="3" borderId="16" xfId="0" applyNumberFormat="1" applyFont="1" applyFill="1" applyBorder="1" applyAlignment="1">
      <alignment horizontal="center" vertical="center"/>
    </xf>
    <xf numFmtId="178" fontId="5" fillId="3" borderId="16" xfId="0" applyNumberFormat="1" applyFont="1" applyFill="1" applyBorder="1" applyAlignment="1">
      <alignment horizontal="center" vertical="center"/>
    </xf>
    <xf numFmtId="179" fontId="5" fillId="3" borderId="17" xfId="0" applyNumberFormat="1" applyFont="1" applyFill="1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26" fillId="0" borderId="18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/>
    </xf>
    <xf numFmtId="179" fontId="4" fillId="0" borderId="0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14" fillId="0" borderId="0" xfId="0" applyFont="1" applyBorder="1" applyAlignment="1">
      <alignment vertical="center"/>
    </xf>
    <xf numFmtId="0" fontId="4" fillId="0" borderId="0" xfId="0" applyFont="1" applyBorder="1" applyAlignment="1" applyProtection="1">
      <alignment vertical="center"/>
      <protection locked="0"/>
    </xf>
    <xf numFmtId="0" fontId="4" fillId="5" borderId="0" xfId="0" applyFont="1" applyFill="1" applyBorder="1" applyAlignment="1">
      <alignment vertical="center"/>
    </xf>
    <xf numFmtId="205" fontId="16" fillId="0" borderId="0" xfId="0" applyNumberFormat="1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11" fillId="0" borderId="12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Border="1" applyAlignment="1">
      <alignment horizontal="center" vertical="center" shrinkToFit="1"/>
    </xf>
    <xf numFmtId="0" fontId="4" fillId="0" borderId="0" xfId="0" applyFont="1" applyBorder="1" applyAlignment="1">
      <alignment horizontal="center" vertical="center" shrinkToFit="1"/>
    </xf>
    <xf numFmtId="0" fontId="33" fillId="7" borderId="41" xfId="0" applyFont="1" applyFill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 shrinkToFit="1"/>
    </xf>
    <xf numFmtId="0" fontId="19" fillId="0" borderId="42" xfId="0" applyFont="1" applyBorder="1" applyAlignment="1">
      <alignment horizontal="center" vertical="center"/>
    </xf>
    <xf numFmtId="194" fontId="30" fillId="0" borderId="1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194" fontId="30" fillId="0" borderId="1" xfId="0" applyNumberFormat="1" applyFont="1" applyFill="1" applyBorder="1" applyAlignment="1" applyProtection="1">
      <alignment horizontal="center" vertical="center"/>
      <protection locked="0"/>
    </xf>
    <xf numFmtId="0" fontId="30" fillId="0" borderId="1" xfId="0" applyFont="1" applyFill="1" applyBorder="1" applyAlignment="1" applyProtection="1">
      <alignment horizontal="center" vertical="center" shrinkToFit="1"/>
      <protection locked="0"/>
    </xf>
    <xf numFmtId="0" fontId="30" fillId="0" borderId="1" xfId="0" applyFont="1" applyFill="1" applyBorder="1" applyAlignment="1" applyProtection="1">
      <alignment horizontal="center" vertical="center"/>
      <protection locked="0"/>
    </xf>
    <xf numFmtId="194" fontId="30" fillId="0" borderId="1" xfId="0" applyNumberFormat="1" applyFont="1" applyFill="1" applyBorder="1" applyAlignment="1" applyProtection="1">
      <alignment horizontal="center" vertical="center" shrinkToFit="1"/>
      <protection locked="0"/>
    </xf>
    <xf numFmtId="0" fontId="33" fillId="0" borderId="41" xfId="0" applyFont="1" applyFill="1" applyBorder="1" applyAlignment="1">
      <alignment horizontal="center" vertical="center" wrapText="1"/>
    </xf>
    <xf numFmtId="0" fontId="33" fillId="0" borderId="43" xfId="0" applyFont="1" applyFill="1" applyBorder="1" applyAlignment="1">
      <alignment horizontal="center" vertical="center" wrapText="1"/>
    </xf>
    <xf numFmtId="0" fontId="33" fillId="0" borderId="44" xfId="0" applyFont="1" applyFill="1" applyBorder="1" applyAlignment="1">
      <alignment horizontal="center" vertical="center" wrapText="1"/>
    </xf>
    <xf numFmtId="0" fontId="33" fillId="0" borderId="41" xfId="0" applyNumberFormat="1" applyFont="1" applyFill="1" applyBorder="1" applyAlignment="1">
      <alignment horizontal="center" vertical="center" wrapText="1"/>
    </xf>
    <xf numFmtId="0" fontId="33" fillId="0" borderId="43" xfId="0" applyNumberFormat="1" applyFont="1" applyFill="1" applyBorder="1" applyAlignment="1">
      <alignment horizontal="center" vertical="center" wrapText="1"/>
    </xf>
    <xf numFmtId="194" fontId="30" fillId="3" borderId="1" xfId="0" applyNumberFormat="1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horizontal="center" vertical="center"/>
    </xf>
    <xf numFmtId="41" fontId="30" fillId="0" borderId="1" xfId="1" applyFont="1" applyFill="1" applyBorder="1" applyAlignment="1">
      <alignment horizontal="center" vertical="center" shrinkToFit="1"/>
    </xf>
    <xf numFmtId="20" fontId="32" fillId="0" borderId="1" xfId="1" applyNumberFormat="1" applyFont="1" applyFill="1" applyBorder="1" applyAlignment="1">
      <alignment horizontal="center" vertical="center"/>
    </xf>
    <xf numFmtId="194" fontId="32" fillId="0" borderId="2" xfId="1" applyNumberFormat="1" applyFont="1" applyFill="1" applyBorder="1" applyAlignment="1">
      <alignment horizontal="center" vertical="center"/>
    </xf>
    <xf numFmtId="178" fontId="32" fillId="0" borderId="2" xfId="1" applyNumberFormat="1" applyFont="1" applyFill="1" applyBorder="1" applyAlignment="1">
      <alignment horizontal="center" vertical="center"/>
    </xf>
    <xf numFmtId="179" fontId="32" fillId="0" borderId="1" xfId="1" applyNumberFormat="1" applyFont="1" applyFill="1" applyBorder="1" applyAlignment="1">
      <alignment horizontal="center" vertical="center"/>
    </xf>
    <xf numFmtId="0" fontId="30" fillId="3" borderId="1" xfId="0" applyNumberFormat="1" applyFont="1" applyFill="1" applyBorder="1" applyAlignment="1">
      <alignment horizontal="center" vertical="center"/>
    </xf>
    <xf numFmtId="194" fontId="30" fillId="3" borderId="1" xfId="0" applyNumberFormat="1" applyFont="1" applyFill="1" applyBorder="1" applyAlignment="1">
      <alignment horizontal="center" vertical="center" wrapText="1"/>
    </xf>
    <xf numFmtId="0" fontId="30" fillId="3" borderId="1" xfId="0" applyNumberFormat="1" applyFont="1" applyFill="1" applyBorder="1" applyAlignment="1">
      <alignment horizontal="center" vertical="center" wrapText="1"/>
    </xf>
    <xf numFmtId="184" fontId="33" fillId="0" borderId="43" xfId="0" applyNumberFormat="1" applyFont="1" applyFill="1" applyBorder="1" applyAlignment="1">
      <alignment horizontal="center" vertical="center" wrapText="1"/>
    </xf>
    <xf numFmtId="0" fontId="33" fillId="0" borderId="1" xfId="0" applyFont="1" applyFill="1" applyBorder="1" applyAlignment="1">
      <alignment horizontal="center" vertical="center" wrapText="1"/>
    </xf>
    <xf numFmtId="184" fontId="33" fillId="0" borderId="1" xfId="0" applyNumberFormat="1" applyFont="1" applyFill="1" applyBorder="1" applyAlignment="1">
      <alignment horizontal="center" vertical="center" wrapText="1"/>
    </xf>
    <xf numFmtId="0" fontId="33" fillId="0" borderId="1" xfId="0" applyNumberFormat="1" applyFont="1" applyFill="1" applyBorder="1" applyAlignment="1">
      <alignment horizontal="center" vertical="center" wrapText="1"/>
    </xf>
    <xf numFmtId="178" fontId="33" fillId="0" borderId="1" xfId="0" applyNumberFormat="1" applyFont="1" applyFill="1" applyBorder="1" applyAlignment="1">
      <alignment horizontal="center" vertical="center" wrapText="1"/>
    </xf>
    <xf numFmtId="0" fontId="30" fillId="8" borderId="1" xfId="0" applyFont="1" applyFill="1" applyBorder="1" applyAlignment="1">
      <alignment horizontal="center" vertical="center" wrapText="1"/>
    </xf>
    <xf numFmtId="194" fontId="30" fillId="8" borderId="1" xfId="0" applyNumberFormat="1" applyFont="1" applyFill="1" applyBorder="1" applyAlignment="1">
      <alignment horizontal="center" vertical="center"/>
    </xf>
    <xf numFmtId="178" fontId="30" fillId="8" borderId="1" xfId="0" applyNumberFormat="1" applyFont="1" applyFill="1" applyBorder="1" applyAlignment="1">
      <alignment horizontal="center" vertical="center" wrapText="1"/>
    </xf>
    <xf numFmtId="184" fontId="30" fillId="8" borderId="1" xfId="0" applyNumberFormat="1" applyFont="1" applyFill="1" applyBorder="1" applyAlignment="1">
      <alignment horizontal="center" vertical="center" wrapText="1"/>
    </xf>
    <xf numFmtId="0" fontId="30" fillId="8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3" fillId="0" borderId="1" xfId="0" applyFont="1" applyFill="1" applyBorder="1" applyAlignment="1">
      <alignment horizontal="center" vertical="center" wrapText="1"/>
    </xf>
    <xf numFmtId="0" fontId="33" fillId="0" borderId="45" xfId="0" applyFont="1" applyFill="1" applyBorder="1" applyAlignment="1">
      <alignment horizontal="center" vertical="center" wrapText="1"/>
    </xf>
    <xf numFmtId="194" fontId="9" fillId="8" borderId="1" xfId="0" applyNumberFormat="1" applyFont="1" applyFill="1" applyBorder="1" applyAlignment="1" applyProtection="1">
      <alignment horizontal="center" vertical="center"/>
      <protection locked="0"/>
    </xf>
    <xf numFmtId="179" fontId="9" fillId="8" borderId="1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Font="1" applyFill="1" applyBorder="1" applyAlignment="1">
      <alignment horizontal="center" vertical="center"/>
    </xf>
    <xf numFmtId="194" fontId="31" fillId="8" borderId="1" xfId="0" applyNumberFormat="1" applyFont="1" applyFill="1" applyBorder="1" applyAlignment="1">
      <alignment horizontal="center" vertical="center" wrapText="1"/>
    </xf>
    <xf numFmtId="179" fontId="30" fillId="8" borderId="1" xfId="0" applyNumberFormat="1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30" fillId="8" borderId="3" xfId="0" applyFont="1" applyFill="1" applyBorder="1" applyAlignment="1">
      <alignment horizontal="center" vertical="center" wrapText="1"/>
    </xf>
    <xf numFmtId="0" fontId="30" fillId="8" borderId="22" xfId="0" applyFont="1" applyFill="1" applyBorder="1" applyAlignment="1">
      <alignment horizontal="center" vertical="center" wrapText="1"/>
    </xf>
    <xf numFmtId="0" fontId="30" fillId="8" borderId="20" xfId="0" applyFont="1" applyFill="1" applyBorder="1" applyAlignment="1">
      <alignment horizontal="center" vertical="center" wrapText="1"/>
    </xf>
    <xf numFmtId="0" fontId="9" fillId="8" borderId="1" xfId="0" applyNumberFormat="1" applyFont="1" applyFill="1" applyBorder="1" applyAlignment="1" applyProtection="1">
      <alignment horizontal="center" vertical="center" wrapText="1"/>
      <protection locked="0"/>
    </xf>
    <xf numFmtId="205" fontId="31" fillId="8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 shrinkToFit="1"/>
    </xf>
    <xf numFmtId="0" fontId="12" fillId="0" borderId="1" xfId="0" applyFont="1" applyBorder="1" applyAlignment="1">
      <alignment vertical="center"/>
    </xf>
    <xf numFmtId="194" fontId="13" fillId="0" borderId="29" xfId="0" applyNumberFormat="1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94" fontId="27" fillId="0" borderId="32" xfId="0" applyNumberFormat="1" applyFont="1" applyBorder="1" applyAlignment="1">
      <alignment horizontal="left" vertical="center" wrapText="1"/>
    </xf>
    <xf numFmtId="0" fontId="16" fillId="0" borderId="33" xfId="0" applyFont="1" applyBorder="1" applyAlignment="1">
      <alignment horizontal="left" vertical="center"/>
    </xf>
    <xf numFmtId="0" fontId="16" fillId="0" borderId="34" xfId="0" applyFont="1" applyBorder="1" applyAlignment="1">
      <alignment horizontal="left" vertical="center"/>
    </xf>
    <xf numFmtId="0" fontId="16" fillId="0" borderId="35" xfId="0" applyFont="1" applyBorder="1" applyAlignment="1">
      <alignment horizontal="left" vertical="center"/>
    </xf>
    <xf numFmtId="0" fontId="16" fillId="0" borderId="0" xfId="0" applyFont="1" applyBorder="1" applyAlignment="1">
      <alignment horizontal="left" vertical="center"/>
    </xf>
    <xf numFmtId="0" fontId="16" fillId="0" borderId="36" xfId="0" applyFont="1" applyBorder="1" applyAlignment="1">
      <alignment horizontal="left" vertical="center"/>
    </xf>
    <xf numFmtId="0" fontId="16" fillId="0" borderId="37" xfId="0" applyFont="1" applyBorder="1" applyAlignment="1">
      <alignment horizontal="left" vertical="center"/>
    </xf>
    <xf numFmtId="0" fontId="16" fillId="0" borderId="38" xfId="0" applyFont="1" applyBorder="1" applyAlignment="1">
      <alignment horizontal="left" vertical="center"/>
    </xf>
    <xf numFmtId="0" fontId="16" fillId="0" borderId="39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9" fillId="2" borderId="3" xfId="0" applyNumberFormat="1" applyFont="1" applyFill="1" applyBorder="1" applyAlignment="1" applyProtection="1">
      <alignment horizontal="center" vertical="center" wrapText="1"/>
      <protection locked="0"/>
    </xf>
    <xf numFmtId="0" fontId="9" fillId="2" borderId="20" xfId="0" applyNumberFormat="1" applyFont="1" applyFill="1" applyBorder="1" applyAlignment="1" applyProtection="1">
      <alignment horizontal="center" vertical="center" wrapText="1"/>
      <protection locked="0"/>
    </xf>
    <xf numFmtId="179" fontId="9" fillId="2" borderId="3" xfId="0" applyNumberFormat="1" applyFont="1" applyFill="1" applyBorder="1" applyAlignment="1" applyProtection="1">
      <alignment horizontal="center" vertical="center"/>
      <protection locked="0"/>
    </xf>
    <xf numFmtId="179" fontId="9" fillId="2" borderId="20" xfId="0" applyNumberFormat="1" applyFont="1" applyFill="1" applyBorder="1" applyAlignment="1" applyProtection="1">
      <alignment horizontal="center" vertical="center"/>
      <protection locked="0"/>
    </xf>
    <xf numFmtId="178" fontId="9" fillId="2" borderId="3" xfId="0" applyNumberFormat="1" applyFont="1" applyFill="1" applyBorder="1" applyAlignment="1" applyProtection="1">
      <alignment horizontal="center" vertical="center" wrapText="1"/>
      <protection locked="0"/>
    </xf>
    <xf numFmtId="178" fontId="9" fillId="2" borderId="20" xfId="0" applyNumberFormat="1" applyFont="1" applyFill="1" applyBorder="1" applyAlignment="1" applyProtection="1">
      <alignment horizontal="center" vertical="center" wrapText="1"/>
      <protection locked="0"/>
    </xf>
    <xf numFmtId="0" fontId="9" fillId="2" borderId="2" xfId="0" applyFont="1" applyFill="1" applyBorder="1" applyAlignment="1" applyProtection="1">
      <alignment horizontal="center" vertical="center" shrinkToFit="1"/>
      <protection locked="0"/>
    </xf>
    <xf numFmtId="0" fontId="9" fillId="2" borderId="17" xfId="0" applyFont="1" applyFill="1" applyBorder="1" applyAlignment="1" applyProtection="1">
      <alignment horizontal="center" vertical="center" shrinkToFit="1"/>
      <protection locked="0"/>
    </xf>
    <xf numFmtId="0" fontId="4" fillId="0" borderId="0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 wrapText="1"/>
    </xf>
    <xf numFmtId="0" fontId="9" fillId="0" borderId="47" xfId="0" applyFont="1" applyBorder="1" applyAlignment="1">
      <alignment horizontal="center" vertical="center" wrapText="1"/>
    </xf>
    <xf numFmtId="178" fontId="9" fillId="2" borderId="22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>
      <alignment horizontal="center" vertical="center"/>
    </xf>
    <xf numFmtId="185" fontId="8" fillId="0" borderId="0" xfId="0" applyNumberFormat="1" applyFont="1" applyBorder="1" applyAlignment="1">
      <alignment horizontal="left" vertical="center"/>
    </xf>
    <xf numFmtId="0" fontId="8" fillId="5" borderId="27" xfId="0" applyFont="1" applyFill="1" applyBorder="1" applyAlignment="1">
      <alignment horizontal="left" vertical="center"/>
    </xf>
    <xf numFmtId="194" fontId="9" fillId="2" borderId="21" xfId="0" applyNumberFormat="1" applyFont="1" applyFill="1" applyBorder="1" applyAlignment="1" applyProtection="1">
      <alignment horizontal="center" vertical="center"/>
      <protection locked="0"/>
    </xf>
    <xf numFmtId="194" fontId="9" fillId="2" borderId="26" xfId="0" applyNumberFormat="1" applyFont="1" applyFill="1" applyBorder="1" applyAlignment="1" applyProtection="1">
      <alignment horizontal="center" vertical="center"/>
      <protection locked="0"/>
    </xf>
    <xf numFmtId="0" fontId="9" fillId="2" borderId="3" xfId="0" applyFont="1" applyFill="1" applyBorder="1" applyAlignment="1" applyProtection="1">
      <alignment horizontal="center" vertical="center" shrinkToFit="1"/>
      <protection locked="0"/>
    </xf>
    <xf numFmtId="0" fontId="0" fillId="0" borderId="20" xfId="0" applyBorder="1" applyAlignment="1">
      <alignment vertical="center"/>
    </xf>
    <xf numFmtId="194" fontId="10" fillId="2" borderId="3" xfId="0" applyNumberFormat="1" applyFont="1" applyFill="1" applyBorder="1" applyAlignment="1" applyProtection="1">
      <alignment horizontal="center" vertical="center" shrinkToFit="1"/>
      <protection locked="0"/>
    </xf>
    <xf numFmtId="194" fontId="10" fillId="2" borderId="20" xfId="0" applyNumberFormat="1" applyFont="1" applyFill="1" applyBorder="1" applyAlignment="1" applyProtection="1">
      <alignment horizontal="center" vertical="center" shrinkToFit="1"/>
      <protection locked="0"/>
    </xf>
    <xf numFmtId="0" fontId="0" fillId="0" borderId="22" xfId="0" applyBorder="1" applyAlignment="1">
      <alignment vertical="center"/>
    </xf>
    <xf numFmtId="0" fontId="10" fillId="3" borderId="1" xfId="0" applyFont="1" applyFill="1" applyBorder="1" applyAlignment="1">
      <alignment horizontal="center" vertical="center" wrapText="1" shrinkToFit="1"/>
    </xf>
    <xf numFmtId="0" fontId="0" fillId="0" borderId="1" xfId="0" applyBorder="1" applyAlignment="1">
      <alignment vertical="center"/>
    </xf>
    <xf numFmtId="0" fontId="30" fillId="0" borderId="2" xfId="0" applyFont="1" applyBorder="1" applyAlignment="1">
      <alignment horizontal="center" vertical="center"/>
    </xf>
    <xf numFmtId="0" fontId="30" fillId="0" borderId="16" xfId="0" applyFont="1" applyBorder="1" applyAlignment="1">
      <alignment horizontal="center" vertical="center"/>
    </xf>
    <xf numFmtId="0" fontId="30" fillId="0" borderId="17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 shrinkToFit="1"/>
    </xf>
    <xf numFmtId="0" fontId="10" fillId="3" borderId="3" xfId="0" applyFont="1" applyFill="1" applyBorder="1" applyAlignment="1">
      <alignment horizontal="center" vertical="center" wrapText="1" shrinkToFit="1"/>
    </xf>
    <xf numFmtId="0" fontId="10" fillId="3" borderId="22" xfId="0" applyFont="1" applyFill="1" applyBorder="1" applyAlignment="1">
      <alignment horizontal="center" vertical="center" wrapText="1" shrinkToFit="1"/>
    </xf>
    <xf numFmtId="194" fontId="30" fillId="3" borderId="21" xfId="0" applyNumberFormat="1" applyFont="1" applyFill="1" applyBorder="1" applyAlignment="1">
      <alignment horizontal="left" vertical="center" wrapText="1"/>
    </xf>
    <xf numFmtId="0" fontId="30" fillId="0" borderId="12" xfId="0" applyFont="1" applyBorder="1" applyAlignment="1">
      <alignment horizontal="left" vertical="center"/>
    </xf>
    <xf numFmtId="0" fontId="30" fillId="0" borderId="24" xfId="0" applyFont="1" applyBorder="1" applyAlignment="1">
      <alignment horizontal="left" vertical="center"/>
    </xf>
    <xf numFmtId="0" fontId="30" fillId="0" borderId="23" xfId="0" applyFont="1" applyBorder="1" applyAlignment="1">
      <alignment horizontal="left" vertical="center"/>
    </xf>
    <xf numFmtId="0" fontId="30" fillId="0" borderId="0" xfId="0" applyFont="1" applyBorder="1" applyAlignment="1">
      <alignment horizontal="left" vertical="center"/>
    </xf>
    <xf numFmtId="0" fontId="30" fillId="0" borderId="25" xfId="0" applyFont="1" applyBorder="1" applyAlignment="1">
      <alignment horizontal="left" vertical="center"/>
    </xf>
    <xf numFmtId="0" fontId="30" fillId="0" borderId="26" xfId="0" applyFont="1" applyBorder="1" applyAlignment="1">
      <alignment horizontal="left" vertical="center"/>
    </xf>
    <xf numFmtId="0" fontId="30" fillId="0" borderId="27" xfId="0" applyFont="1" applyBorder="1" applyAlignment="1">
      <alignment horizontal="left" vertical="center"/>
    </xf>
    <xf numFmtId="0" fontId="30" fillId="0" borderId="28" xfId="0" applyFont="1" applyBorder="1" applyAlignment="1">
      <alignment horizontal="left" vertical="center"/>
    </xf>
    <xf numFmtId="179" fontId="9" fillId="2" borderId="22" xfId="0" applyNumberFormat="1" applyFont="1" applyFill="1" applyBorder="1" applyAlignment="1" applyProtection="1">
      <alignment horizontal="center" vertical="center"/>
      <protection locked="0"/>
    </xf>
    <xf numFmtId="194" fontId="10" fillId="2" borderId="22" xfId="0" applyNumberFormat="1" applyFont="1" applyFill="1" applyBorder="1" applyAlignment="1" applyProtection="1">
      <alignment horizontal="center" vertical="center" shrinkToFit="1"/>
      <protection locked="0"/>
    </xf>
    <xf numFmtId="0" fontId="9" fillId="2" borderId="22" xfId="0" applyNumberFormat="1" applyFont="1" applyFill="1" applyBorder="1" applyAlignment="1" applyProtection="1">
      <alignment horizontal="center" vertical="center" wrapText="1"/>
      <protection locked="0"/>
    </xf>
    <xf numFmtId="194" fontId="9" fillId="2" borderId="23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Font="1" applyBorder="1" applyAlignment="1">
      <alignment horizontal="center" vertical="center" wrapText="1"/>
    </xf>
    <xf numFmtId="41" fontId="30" fillId="0" borderId="2" xfId="1" applyFont="1" applyFill="1" applyBorder="1" applyAlignment="1">
      <alignment horizontal="center" vertical="center" shrinkToFit="1"/>
    </xf>
    <xf numFmtId="41" fontId="30" fillId="0" borderId="16" xfId="1" applyFont="1" applyFill="1" applyBorder="1" applyAlignment="1">
      <alignment horizontal="center" vertical="center" shrinkToFit="1"/>
    </xf>
    <xf numFmtId="41" fontId="30" fillId="0" borderId="17" xfId="1" applyFont="1" applyFill="1" applyBorder="1" applyAlignment="1">
      <alignment horizontal="center" vertical="center" shrinkToFit="1"/>
    </xf>
    <xf numFmtId="179" fontId="30" fillId="3" borderId="2" xfId="0" applyNumberFormat="1" applyFont="1" applyFill="1" applyBorder="1" applyAlignment="1">
      <alignment horizontal="center" vertical="center" wrapText="1"/>
    </xf>
    <xf numFmtId="179" fontId="30" fillId="3" borderId="16" xfId="0" applyNumberFormat="1" applyFont="1" applyFill="1" applyBorder="1" applyAlignment="1">
      <alignment horizontal="center" vertical="center" wrapText="1"/>
    </xf>
    <xf numFmtId="179" fontId="30" fillId="3" borderId="17" xfId="0" applyNumberFormat="1" applyFont="1" applyFill="1" applyBorder="1" applyAlignment="1">
      <alignment horizontal="center" vertical="center" wrapText="1"/>
    </xf>
    <xf numFmtId="0" fontId="33" fillId="0" borderId="1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9" fillId="0" borderId="21" xfId="0" applyFont="1" applyBorder="1" applyAlignment="1">
      <alignment horizontal="center" vertical="center" wrapText="1"/>
    </xf>
    <xf numFmtId="184" fontId="33" fillId="0" borderId="44" xfId="0" applyNumberFormat="1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30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2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3" fillId="0" borderId="12" xfId="0" applyFont="1" applyFill="1" applyBorder="1" applyAlignment="1">
      <alignment horizontal="center" vertical="center" wrapText="1"/>
    </xf>
    <xf numFmtId="0" fontId="33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0" xfId="0" applyBorder="1" applyAlignment="1">
      <alignment vertical="center" wrapText="1"/>
    </xf>
  </cellXfs>
  <cellStyles count="3">
    <cellStyle name="쉼표 [0]" xfId="1" builtinId="6"/>
    <cellStyle name="표준" xfId="0" builtinId="0"/>
    <cellStyle name="표준_일일업무처리상황부(1)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IJ68"/>
  <sheetViews>
    <sheetView tabSelected="1" showOutlineSymbols="0" view="pageBreakPreview" zoomScaleNormal="100" zoomScaleSheetLayoutView="100" workbookViewId="0">
      <selection activeCell="F37" sqref="F37:F45"/>
    </sheetView>
  </sheetViews>
  <sheetFormatPr defaultRowHeight="16.5" outlineLevelRow="1"/>
  <cols>
    <col min="1" max="1" width="12.77734375" style="18" customWidth="1"/>
    <col min="2" max="2" width="7.44140625" style="14" customWidth="1"/>
    <col min="3" max="3" width="7.21875" style="15" customWidth="1"/>
    <col min="4" max="4" width="12.21875" style="16" customWidth="1"/>
    <col min="5" max="5" width="16.88671875" style="91" customWidth="1"/>
    <col min="6" max="6" width="8.77734375" style="9" customWidth="1"/>
    <col min="7" max="7" width="9.88671875" style="8" customWidth="1"/>
    <col min="8" max="8" width="12.33203125" style="76" customWidth="1"/>
    <col min="9" max="11" width="9.21875" style="18" hidden="1" customWidth="1"/>
    <col min="12" max="19" width="0" style="18" hidden="1" customWidth="1"/>
    <col min="20" max="16384" width="8.88671875" style="18"/>
  </cols>
  <sheetData>
    <row r="1" spans="1:21" ht="25.5">
      <c r="A1" s="170" t="s">
        <v>13</v>
      </c>
      <c r="B1" s="170"/>
      <c r="C1" s="170"/>
      <c r="D1" s="170"/>
      <c r="E1" s="170"/>
      <c r="F1" s="170"/>
      <c r="G1" s="170"/>
      <c r="H1" s="170"/>
    </row>
    <row r="2" spans="1:21" ht="32.25">
      <c r="E2" s="17"/>
      <c r="I2" s="20"/>
      <c r="J2" s="20"/>
      <c r="L2" s="77" t="s">
        <v>1</v>
      </c>
      <c r="M2" s="77" t="s">
        <v>2</v>
      </c>
      <c r="N2" s="77" t="s">
        <v>3</v>
      </c>
    </row>
    <row r="3" spans="1:21" ht="33" thickBot="1">
      <c r="E3" s="17"/>
      <c r="I3" s="20"/>
      <c r="J3" s="20"/>
      <c r="L3" s="79"/>
      <c r="M3" s="79"/>
      <c r="N3" s="79"/>
    </row>
    <row r="4" spans="1:21" ht="17.25" thickBot="1">
      <c r="B4" s="144" t="s">
        <v>64</v>
      </c>
      <c r="C4" s="145"/>
      <c r="D4" s="145"/>
      <c r="E4" s="145"/>
      <c r="F4" s="145"/>
      <c r="G4" s="145"/>
      <c r="H4" s="146"/>
      <c r="I4" s="20"/>
      <c r="J4" s="20"/>
      <c r="L4" s="79"/>
      <c r="M4" s="79"/>
      <c r="N4" s="79"/>
    </row>
    <row r="5" spans="1:21">
      <c r="B5" s="147" t="s">
        <v>117</v>
      </c>
      <c r="C5" s="148"/>
      <c r="D5" s="148"/>
      <c r="E5" s="148"/>
      <c r="F5" s="148"/>
      <c r="G5" s="148"/>
      <c r="H5" s="149"/>
      <c r="I5" s="20"/>
      <c r="J5" s="20"/>
      <c r="L5" s="79"/>
      <c r="M5" s="79"/>
      <c r="N5" s="79"/>
    </row>
    <row r="6" spans="1:21" ht="19.5" customHeight="1">
      <c r="B6" s="150"/>
      <c r="C6" s="151"/>
      <c r="D6" s="151"/>
      <c r="E6" s="151"/>
      <c r="F6" s="151"/>
      <c r="G6" s="151"/>
      <c r="H6" s="152"/>
      <c r="I6" s="20"/>
      <c r="J6" s="20"/>
      <c r="L6" s="79"/>
      <c r="M6" s="79"/>
      <c r="N6" s="79"/>
    </row>
    <row r="7" spans="1:21" ht="56.25" customHeight="1" thickBot="1">
      <c r="B7" s="153"/>
      <c r="C7" s="154"/>
      <c r="D7" s="154"/>
      <c r="E7" s="154"/>
      <c r="F7" s="154"/>
      <c r="G7" s="154"/>
      <c r="H7" s="155"/>
      <c r="I7" s="20"/>
      <c r="J7" s="20"/>
      <c r="L7" s="79"/>
      <c r="M7" s="79"/>
      <c r="N7" s="79"/>
    </row>
    <row r="8" spans="1:21" ht="32.25">
      <c r="A8" s="78" t="s">
        <v>14</v>
      </c>
      <c r="E8" s="17"/>
      <c r="I8" s="20"/>
      <c r="J8" s="166"/>
      <c r="L8" s="79"/>
      <c r="M8" s="79"/>
      <c r="N8" s="156"/>
    </row>
    <row r="9" spans="1:21" ht="32.25">
      <c r="A9" s="171">
        <v>41131</v>
      </c>
      <c r="B9" s="171"/>
      <c r="C9" s="171"/>
      <c r="D9" s="171"/>
      <c r="E9" s="17"/>
      <c r="I9" s="20"/>
      <c r="J9" s="166"/>
      <c r="L9" s="80"/>
      <c r="M9" s="80"/>
      <c r="N9" s="157"/>
    </row>
    <row r="10" spans="1:21" ht="18.75">
      <c r="A10" s="172" t="s">
        <v>4</v>
      </c>
      <c r="B10" s="172"/>
      <c r="C10" s="172"/>
      <c r="D10" s="172"/>
      <c r="E10" s="172"/>
      <c r="F10" s="172"/>
      <c r="G10" s="172"/>
      <c r="H10" s="172"/>
      <c r="U10" s="81"/>
    </row>
    <row r="11" spans="1:21" s="82" customFormat="1">
      <c r="A11" s="175" t="s">
        <v>5</v>
      </c>
      <c r="B11" s="173" t="s">
        <v>15</v>
      </c>
      <c r="C11" s="158" t="s">
        <v>23</v>
      </c>
      <c r="D11" s="164" t="s">
        <v>16</v>
      </c>
      <c r="E11" s="165"/>
      <c r="F11" s="177" t="s">
        <v>28</v>
      </c>
      <c r="G11" s="162" t="s">
        <v>6</v>
      </c>
      <c r="H11" s="160" t="s">
        <v>24</v>
      </c>
      <c r="U11" s="83"/>
    </row>
    <row r="12" spans="1:21" s="82" customFormat="1">
      <c r="A12" s="176"/>
      <c r="B12" s="174"/>
      <c r="C12" s="159"/>
      <c r="D12" s="1" t="s">
        <v>17</v>
      </c>
      <c r="E12" s="7" t="s">
        <v>0</v>
      </c>
      <c r="F12" s="178"/>
      <c r="G12" s="163"/>
      <c r="H12" s="161"/>
      <c r="U12" s="18"/>
    </row>
    <row r="13" spans="1:21" s="82" customFormat="1" ht="18.75" customHeight="1">
      <c r="A13" s="97" t="s">
        <v>38</v>
      </c>
      <c r="B13" s="98">
        <v>7147</v>
      </c>
      <c r="C13" s="215" t="s">
        <v>118</v>
      </c>
      <c r="D13" s="99"/>
      <c r="E13" s="100" t="s">
        <v>94</v>
      </c>
      <c r="F13" s="101"/>
      <c r="G13" s="41" t="s">
        <v>95</v>
      </c>
      <c r="H13" s="42" t="s">
        <v>103</v>
      </c>
      <c r="U13" s="18"/>
    </row>
    <row r="14" spans="1:21" ht="18.75" customHeight="1" outlineLevel="1">
      <c r="A14" s="142" t="s">
        <v>22</v>
      </c>
      <c r="B14" s="118">
        <v>7148</v>
      </c>
      <c r="C14" s="216"/>
      <c r="D14" s="118"/>
      <c r="E14" s="118" t="s">
        <v>80</v>
      </c>
      <c r="F14" s="118"/>
      <c r="G14" s="119">
        <v>23000</v>
      </c>
      <c r="H14" s="118"/>
      <c r="I14" s="19" t="s">
        <v>29</v>
      </c>
    </row>
    <row r="15" spans="1:21" ht="18.75" customHeight="1" outlineLevel="1">
      <c r="A15" s="143"/>
      <c r="B15" s="118">
        <v>7149</v>
      </c>
      <c r="C15" s="216"/>
      <c r="D15" s="118"/>
      <c r="E15" s="118" t="s">
        <v>79</v>
      </c>
      <c r="F15" s="118"/>
      <c r="G15" s="119">
        <v>24000</v>
      </c>
      <c r="H15" s="118" t="s">
        <v>74</v>
      </c>
      <c r="I15" s="19" t="s">
        <v>34</v>
      </c>
    </row>
    <row r="16" spans="1:21" ht="18.75" customHeight="1" outlineLevel="1">
      <c r="A16" s="143"/>
      <c r="B16" s="118">
        <v>7150</v>
      </c>
      <c r="C16" s="216"/>
      <c r="D16" s="118"/>
      <c r="E16" s="118" t="s">
        <v>78</v>
      </c>
      <c r="F16" s="118"/>
      <c r="G16" s="119">
        <v>46000</v>
      </c>
      <c r="H16" s="118"/>
      <c r="I16" s="19" t="s">
        <v>27</v>
      </c>
    </row>
    <row r="17" spans="1:244" ht="18.75" customHeight="1" outlineLevel="1">
      <c r="A17" s="143"/>
      <c r="B17" s="118">
        <v>7151</v>
      </c>
      <c r="C17" s="216"/>
      <c r="D17" s="118"/>
      <c r="E17" s="118" t="s">
        <v>77</v>
      </c>
      <c r="F17" s="118"/>
      <c r="G17" s="119">
        <v>23000</v>
      </c>
      <c r="H17" s="118"/>
      <c r="I17" s="84"/>
    </row>
    <row r="18" spans="1:244" ht="18.75" customHeight="1" outlineLevel="1">
      <c r="A18" s="143"/>
      <c r="B18" s="118">
        <v>7152</v>
      </c>
      <c r="C18" s="216"/>
      <c r="D18" s="118"/>
      <c r="E18" s="118" t="s">
        <v>76</v>
      </c>
      <c r="F18" s="118"/>
      <c r="G18" s="119">
        <v>21450</v>
      </c>
      <c r="H18" s="118" t="s">
        <v>74</v>
      </c>
      <c r="I18" s="84"/>
    </row>
    <row r="19" spans="1:244" ht="18.75" customHeight="1" outlineLevel="1">
      <c r="A19" s="143"/>
      <c r="B19" s="118">
        <v>7153</v>
      </c>
      <c r="C19" s="216"/>
      <c r="D19" s="118"/>
      <c r="E19" s="118" t="s">
        <v>75</v>
      </c>
      <c r="F19" s="118"/>
      <c r="G19" s="119">
        <v>20000</v>
      </c>
      <c r="H19" s="118" t="s">
        <v>74</v>
      </c>
      <c r="I19" s="84"/>
    </row>
    <row r="20" spans="1:244" ht="18.75" customHeight="1" outlineLevel="1">
      <c r="A20" s="143"/>
      <c r="B20" s="118">
        <v>7154</v>
      </c>
      <c r="C20" s="216"/>
      <c r="D20" s="118"/>
      <c r="E20" s="118" t="s">
        <v>73</v>
      </c>
      <c r="F20" s="118"/>
      <c r="G20" s="120">
        <v>3779.5</v>
      </c>
      <c r="H20" s="118" t="s">
        <v>102</v>
      </c>
      <c r="I20" s="84"/>
    </row>
    <row r="21" spans="1:244" ht="18.75" customHeight="1" outlineLevel="1">
      <c r="A21" s="143"/>
      <c r="B21" s="118">
        <v>7155</v>
      </c>
      <c r="C21" s="216"/>
      <c r="D21" s="118"/>
      <c r="E21" s="118" t="s">
        <v>72</v>
      </c>
      <c r="F21" s="118"/>
      <c r="G21" s="120" t="s">
        <v>96</v>
      </c>
      <c r="H21" s="118"/>
      <c r="I21" s="84"/>
    </row>
    <row r="22" spans="1:244" ht="18.75" customHeight="1" outlineLevel="1">
      <c r="A22" s="143"/>
      <c r="B22" s="208">
        <v>7156</v>
      </c>
      <c r="C22" s="216"/>
      <c r="D22" s="208"/>
      <c r="E22" s="118" t="s">
        <v>104</v>
      </c>
      <c r="F22" s="208"/>
      <c r="G22" s="120">
        <v>7000</v>
      </c>
      <c r="H22" s="208" t="s">
        <v>97</v>
      </c>
      <c r="I22" s="84"/>
    </row>
    <row r="23" spans="1:244" ht="18.75" customHeight="1" outlineLevel="1">
      <c r="A23" s="143"/>
      <c r="B23" s="208"/>
      <c r="C23" s="217"/>
      <c r="D23" s="208"/>
      <c r="E23" s="118" t="s">
        <v>105</v>
      </c>
      <c r="F23" s="208"/>
      <c r="G23" s="121">
        <v>16000</v>
      </c>
      <c r="H23" s="208"/>
      <c r="I23" s="84"/>
    </row>
    <row r="24" spans="1:244" ht="18.75" customHeight="1" outlineLevel="1">
      <c r="A24" s="135" t="s">
        <v>109</v>
      </c>
      <c r="B24" s="122">
        <v>6984</v>
      </c>
      <c r="C24" s="137" t="s">
        <v>119</v>
      </c>
      <c r="D24" s="122"/>
      <c r="E24" s="122" t="s">
        <v>90</v>
      </c>
      <c r="F24" s="123">
        <v>1474</v>
      </c>
      <c r="G24" s="124">
        <v>65520</v>
      </c>
      <c r="H24" s="137" t="s">
        <v>120</v>
      </c>
      <c r="I24" s="24" t="s">
        <v>91</v>
      </c>
      <c r="J24" s="24" t="s">
        <v>89</v>
      </c>
    </row>
    <row r="25" spans="1:244" ht="18.75" customHeight="1" outlineLevel="1">
      <c r="A25" s="136"/>
      <c r="B25" s="122">
        <v>6985</v>
      </c>
      <c r="C25" s="138"/>
      <c r="D25" s="122"/>
      <c r="E25" s="122" t="s">
        <v>90</v>
      </c>
      <c r="F25" s="123">
        <v>1477</v>
      </c>
      <c r="G25" s="125">
        <v>48360</v>
      </c>
      <c r="H25" s="138"/>
      <c r="I25" s="24" t="s">
        <v>91</v>
      </c>
      <c r="J25" s="24" t="s">
        <v>89</v>
      </c>
    </row>
    <row r="26" spans="1:244" ht="18.75" customHeight="1" outlineLevel="1">
      <c r="A26" s="136"/>
      <c r="B26" s="122">
        <v>7029</v>
      </c>
      <c r="C26" s="138"/>
      <c r="D26" s="122"/>
      <c r="E26" s="122" t="s">
        <v>90</v>
      </c>
      <c r="F26" s="123">
        <v>1480</v>
      </c>
      <c r="G26" s="125">
        <v>17820</v>
      </c>
      <c r="H26" s="139"/>
      <c r="I26" s="24" t="s">
        <v>91</v>
      </c>
      <c r="J26" s="24" t="s">
        <v>89</v>
      </c>
    </row>
    <row r="27" spans="1:244" ht="18.75" customHeight="1" outlineLevel="1">
      <c r="A27" s="136"/>
      <c r="B27" s="122">
        <v>6848</v>
      </c>
      <c r="C27" s="138"/>
      <c r="D27" s="122"/>
      <c r="E27" s="122" t="s">
        <v>87</v>
      </c>
      <c r="F27" s="126">
        <v>1423</v>
      </c>
      <c r="G27" s="125">
        <v>7449</v>
      </c>
      <c r="H27" s="137" t="s">
        <v>111</v>
      </c>
      <c r="I27" s="24" t="s">
        <v>88</v>
      </c>
      <c r="J27" s="24" t="s">
        <v>89</v>
      </c>
    </row>
    <row r="28" spans="1:244" ht="18.75" customHeight="1" outlineLevel="1">
      <c r="A28" s="136"/>
      <c r="B28" s="122">
        <v>7027</v>
      </c>
      <c r="C28" s="138"/>
      <c r="D28" s="122"/>
      <c r="E28" s="122" t="s">
        <v>87</v>
      </c>
      <c r="F28" s="126">
        <v>1452</v>
      </c>
      <c r="G28" s="125">
        <v>70200</v>
      </c>
      <c r="H28" s="138"/>
      <c r="I28" s="24" t="s">
        <v>88</v>
      </c>
      <c r="J28" s="24" t="s">
        <v>89</v>
      </c>
    </row>
    <row r="29" spans="1:244" ht="18.75" customHeight="1" outlineLevel="1">
      <c r="A29" s="136"/>
      <c r="B29" s="122">
        <v>7031</v>
      </c>
      <c r="C29" s="138"/>
      <c r="D29" s="122"/>
      <c r="E29" s="122" t="s">
        <v>87</v>
      </c>
      <c r="F29" s="126">
        <v>1468</v>
      </c>
      <c r="G29" s="125">
        <v>12636</v>
      </c>
      <c r="H29" s="139"/>
      <c r="I29" s="24" t="s">
        <v>88</v>
      </c>
      <c r="J29" s="24" t="s">
        <v>89</v>
      </c>
    </row>
    <row r="30" spans="1:244" ht="18.75" customHeight="1" outlineLevel="1">
      <c r="A30" s="127" t="s">
        <v>110</v>
      </c>
      <c r="B30" s="122">
        <v>7061</v>
      </c>
      <c r="C30" s="222"/>
      <c r="D30" s="122"/>
      <c r="E30" s="122" t="s">
        <v>87</v>
      </c>
      <c r="F30" s="126">
        <v>7957</v>
      </c>
      <c r="G30" s="125">
        <v>68640</v>
      </c>
      <c r="H30" s="122" t="s">
        <v>112</v>
      </c>
      <c r="I30" s="24" t="s">
        <v>92</v>
      </c>
      <c r="J30" s="24" t="s">
        <v>93</v>
      </c>
    </row>
    <row r="31" spans="1:244" outlineLevel="1">
      <c r="A31" s="86"/>
      <c r="B31" s="46"/>
      <c r="C31" s="47"/>
      <c r="D31" s="48"/>
      <c r="E31" s="49"/>
      <c r="F31" s="50"/>
      <c r="G31" s="51"/>
      <c r="H31" s="52"/>
      <c r="I31" s="84"/>
      <c r="IH31" s="82"/>
      <c r="II31" s="82"/>
      <c r="IJ31" s="82"/>
    </row>
    <row r="32" spans="1:244" ht="18.75" outlineLevel="1">
      <c r="A32" s="172" t="s">
        <v>12</v>
      </c>
      <c r="B32" s="172"/>
      <c r="C32" s="172"/>
      <c r="D32" s="172"/>
      <c r="E32" s="172"/>
      <c r="F32" s="172"/>
      <c r="G32" s="172"/>
      <c r="H32" s="172"/>
      <c r="IH32" s="82"/>
      <c r="II32" s="82"/>
      <c r="IJ32" s="82"/>
    </row>
    <row r="33" spans="1:244" s="82" customFormat="1" outlineLevel="1">
      <c r="A33" s="175" t="s">
        <v>5</v>
      </c>
      <c r="B33" s="173" t="s">
        <v>18</v>
      </c>
      <c r="C33" s="158" t="s">
        <v>21</v>
      </c>
      <c r="D33" s="164" t="s">
        <v>19</v>
      </c>
      <c r="E33" s="165"/>
      <c r="F33" s="177" t="s">
        <v>28</v>
      </c>
      <c r="G33" s="162" t="s">
        <v>6</v>
      </c>
      <c r="H33" s="160" t="s">
        <v>25</v>
      </c>
      <c r="U33" s="18"/>
    </row>
    <row r="34" spans="1:244" s="82" customFormat="1" outlineLevel="1">
      <c r="A34" s="179"/>
      <c r="B34" s="200"/>
      <c r="C34" s="199"/>
      <c r="D34" s="25" t="s">
        <v>20</v>
      </c>
      <c r="E34" s="27" t="s">
        <v>0</v>
      </c>
      <c r="F34" s="198"/>
      <c r="G34" s="169"/>
      <c r="H34" s="197"/>
      <c r="U34" s="18" t="s">
        <v>33</v>
      </c>
    </row>
    <row r="35" spans="1:244" s="82" customFormat="1" outlineLevel="1">
      <c r="A35" s="97" t="s">
        <v>110</v>
      </c>
      <c r="B35" s="130"/>
      <c r="C35" s="140" t="s">
        <v>119</v>
      </c>
      <c r="D35" s="141" t="s">
        <v>113</v>
      </c>
      <c r="E35" s="141"/>
      <c r="F35" s="141"/>
      <c r="G35" s="141"/>
      <c r="H35" s="131" t="s">
        <v>121</v>
      </c>
      <c r="U35" s="18"/>
    </row>
    <row r="36" spans="1:244" outlineLevel="1">
      <c r="A36" s="132" t="s">
        <v>109</v>
      </c>
      <c r="B36" s="133"/>
      <c r="C36" s="140"/>
      <c r="D36" s="141"/>
      <c r="E36" s="141"/>
      <c r="F36" s="141"/>
      <c r="G36" s="141"/>
      <c r="H36" s="134"/>
    </row>
    <row r="37" spans="1:244" ht="27" outlineLevel="1">
      <c r="A37" s="167" t="s">
        <v>35</v>
      </c>
      <c r="B37" s="102">
        <v>7160</v>
      </c>
      <c r="C37" s="218" t="s">
        <v>122</v>
      </c>
      <c r="D37" s="102"/>
      <c r="E37" s="102" t="s">
        <v>83</v>
      </c>
      <c r="F37" s="102"/>
      <c r="G37" s="105">
        <v>25</v>
      </c>
      <c r="H37" s="92" t="s">
        <v>106</v>
      </c>
    </row>
    <row r="38" spans="1:244" outlineLevel="1">
      <c r="A38" s="168"/>
      <c r="B38" s="103">
        <v>7161</v>
      </c>
      <c r="C38" s="219"/>
      <c r="D38" s="103"/>
      <c r="E38" s="103" t="s">
        <v>82</v>
      </c>
      <c r="F38" s="103"/>
      <c r="G38" s="106">
        <v>6</v>
      </c>
      <c r="H38" s="92" t="s">
        <v>106</v>
      </c>
    </row>
    <row r="39" spans="1:244" ht="27" outlineLevel="1">
      <c r="A39" s="168"/>
      <c r="B39" s="103">
        <v>7162</v>
      </c>
      <c r="C39" s="219"/>
      <c r="D39" s="103"/>
      <c r="E39" s="103" t="s">
        <v>107</v>
      </c>
      <c r="F39" s="103"/>
      <c r="G39" s="106">
        <v>96</v>
      </c>
      <c r="H39" s="92" t="s">
        <v>106</v>
      </c>
    </row>
    <row r="40" spans="1:244" outlineLevel="1">
      <c r="A40" s="168"/>
      <c r="B40" s="103">
        <v>7163</v>
      </c>
      <c r="C40" s="219"/>
      <c r="D40" s="103"/>
      <c r="E40" s="103" t="s">
        <v>81</v>
      </c>
      <c r="F40" s="103"/>
      <c r="G40" s="106">
        <v>4.5999999999999996</v>
      </c>
      <c r="H40" s="92" t="s">
        <v>106</v>
      </c>
    </row>
    <row r="41" spans="1:244" outlineLevel="1">
      <c r="A41" s="95" t="s">
        <v>26</v>
      </c>
      <c r="B41" s="103">
        <v>7120</v>
      </c>
      <c r="C41" s="220"/>
      <c r="D41" s="103"/>
      <c r="E41" s="103" t="s">
        <v>84</v>
      </c>
      <c r="F41" s="103"/>
      <c r="G41" s="117">
        <v>30000</v>
      </c>
      <c r="H41" s="44"/>
    </row>
    <row r="42" spans="1:244" outlineLevel="1">
      <c r="A42" s="93" t="s">
        <v>36</v>
      </c>
      <c r="B42" s="104">
        <v>7158</v>
      </c>
      <c r="C42" s="220"/>
      <c r="D42" s="103"/>
      <c r="E42" s="103" t="s">
        <v>85</v>
      </c>
      <c r="F42" s="103"/>
      <c r="G42" s="117">
        <v>120000</v>
      </c>
      <c r="H42" s="45"/>
    </row>
    <row r="43" spans="1:244" outlineLevel="1">
      <c r="A43" s="201" t="s">
        <v>37</v>
      </c>
      <c r="B43" s="96">
        <v>7157</v>
      </c>
      <c r="C43" s="220"/>
      <c r="D43" s="103"/>
      <c r="E43" s="103" t="s">
        <v>85</v>
      </c>
      <c r="F43" s="103"/>
      <c r="G43" s="117">
        <v>66000</v>
      </c>
      <c r="H43" s="53"/>
    </row>
    <row r="44" spans="1:244" outlineLevel="1">
      <c r="A44" s="211"/>
      <c r="B44" s="129">
        <v>7159</v>
      </c>
      <c r="C44" s="220"/>
      <c r="D44" s="104"/>
      <c r="E44" s="104" t="s">
        <v>86</v>
      </c>
      <c r="F44" s="104"/>
      <c r="G44" s="212">
        <v>48000</v>
      </c>
      <c r="H44" s="104" t="s">
        <v>74</v>
      </c>
    </row>
    <row r="45" spans="1:244" outlineLevel="1">
      <c r="A45" s="213" t="s">
        <v>116</v>
      </c>
      <c r="B45" s="128">
        <v>7165</v>
      </c>
      <c r="C45" s="220"/>
      <c r="D45" s="128"/>
      <c r="E45" s="128" t="s">
        <v>114</v>
      </c>
      <c r="F45" s="128"/>
      <c r="G45" s="119">
        <v>23000</v>
      </c>
      <c r="H45" s="128"/>
    </row>
    <row r="46" spans="1:244" outlineLevel="1">
      <c r="A46" s="214"/>
      <c r="B46" s="128"/>
      <c r="C46" s="221"/>
      <c r="D46" s="128"/>
      <c r="E46" s="128" t="s">
        <v>115</v>
      </c>
      <c r="F46" s="128"/>
      <c r="G46" s="119">
        <v>23000</v>
      </c>
      <c r="H46" s="128"/>
    </row>
    <row r="47" spans="1:244" s="87" customFormat="1">
      <c r="A47" s="26"/>
      <c r="B47" s="43"/>
      <c r="C47" s="54"/>
      <c r="D47" s="55"/>
      <c r="E47" s="55"/>
      <c r="F47" s="56"/>
      <c r="G47" s="57"/>
      <c r="H47" s="58"/>
      <c r="U47" s="18"/>
      <c r="IH47" s="18"/>
      <c r="II47" s="18"/>
      <c r="IJ47" s="18"/>
    </row>
    <row r="48" spans="1:244" s="87" customFormat="1">
      <c r="A48" s="2" t="s">
        <v>7</v>
      </c>
      <c r="B48" s="11">
        <f>COUNTA(B13:B30,B36:B47)</f>
        <v>26</v>
      </c>
      <c r="C48" s="5"/>
      <c r="D48" s="4"/>
      <c r="E48" s="3" t="s">
        <v>30</v>
      </c>
      <c r="F48" s="10" t="s">
        <v>31</v>
      </c>
      <c r="G48" s="6" t="s">
        <v>32</v>
      </c>
      <c r="H48" s="12"/>
      <c r="U48" s="18"/>
      <c r="IH48" s="18"/>
      <c r="II48" s="18"/>
      <c r="IJ48" s="18"/>
    </row>
    <row r="49" spans="1:244" s="87" customFormat="1">
      <c r="A49" s="186" t="s">
        <v>8</v>
      </c>
      <c r="B49" s="107" t="s">
        <v>108</v>
      </c>
      <c r="C49" s="108" t="s">
        <v>69</v>
      </c>
      <c r="D49" s="109" t="s">
        <v>98</v>
      </c>
      <c r="E49" s="110">
        <v>0.60416666666666663</v>
      </c>
      <c r="F49" s="111">
        <v>526</v>
      </c>
      <c r="G49" s="112">
        <v>7</v>
      </c>
      <c r="H49" s="113"/>
      <c r="U49" s="18"/>
      <c r="IH49" s="18"/>
      <c r="II49" s="18"/>
      <c r="IJ49" s="18"/>
    </row>
    <row r="50" spans="1:244">
      <c r="A50" s="187"/>
      <c r="B50" s="96"/>
      <c r="C50" s="108"/>
      <c r="D50" s="109"/>
      <c r="E50" s="110"/>
      <c r="F50" s="111"/>
      <c r="G50" s="112"/>
      <c r="H50" s="113"/>
    </row>
    <row r="51" spans="1:244">
      <c r="A51" s="187"/>
      <c r="B51" s="96"/>
      <c r="C51" s="108" t="s">
        <v>108</v>
      </c>
      <c r="D51" s="202" t="s">
        <v>101</v>
      </c>
      <c r="E51" s="203"/>
      <c r="F51" s="203"/>
      <c r="G51" s="203"/>
      <c r="H51" s="204"/>
    </row>
    <row r="52" spans="1:244">
      <c r="A52" s="185" t="s">
        <v>9</v>
      </c>
      <c r="B52" s="107"/>
      <c r="C52" s="114" t="s">
        <v>70</v>
      </c>
      <c r="D52" s="182" t="s">
        <v>99</v>
      </c>
      <c r="E52" s="183"/>
      <c r="F52" s="183"/>
      <c r="G52" s="183"/>
      <c r="H52" s="184"/>
    </row>
    <row r="53" spans="1:244">
      <c r="A53" s="181"/>
      <c r="B53" s="107"/>
      <c r="C53" s="114"/>
      <c r="D53" s="182"/>
      <c r="E53" s="183"/>
      <c r="F53" s="183"/>
      <c r="G53" s="183"/>
      <c r="H53" s="184"/>
    </row>
    <row r="54" spans="1:244" ht="16.5" customHeight="1">
      <c r="A54" s="94" t="s">
        <v>10</v>
      </c>
      <c r="B54" s="115"/>
      <c r="C54" s="116" t="s">
        <v>70</v>
      </c>
      <c r="D54" s="205" t="s">
        <v>100</v>
      </c>
      <c r="E54" s="206"/>
      <c r="F54" s="206"/>
      <c r="G54" s="206"/>
      <c r="H54" s="207"/>
    </row>
    <row r="55" spans="1:244">
      <c r="A55" s="180" t="s">
        <v>11</v>
      </c>
      <c r="B55" s="188" t="s">
        <v>123</v>
      </c>
      <c r="C55" s="189"/>
      <c r="D55" s="189"/>
      <c r="E55" s="189"/>
      <c r="F55" s="189"/>
      <c r="G55" s="189"/>
      <c r="H55" s="190"/>
      <c r="IH55" s="72"/>
      <c r="II55" s="72"/>
      <c r="IJ55" s="72"/>
    </row>
    <row r="56" spans="1:244">
      <c r="A56" s="181"/>
      <c r="B56" s="191"/>
      <c r="C56" s="192"/>
      <c r="D56" s="192"/>
      <c r="E56" s="192"/>
      <c r="F56" s="192"/>
      <c r="G56" s="192"/>
      <c r="H56" s="193"/>
      <c r="IH56" s="72"/>
      <c r="II56" s="72"/>
      <c r="IJ56" s="72"/>
    </row>
    <row r="57" spans="1:244" ht="15" customHeight="1">
      <c r="A57" s="181"/>
      <c r="B57" s="194"/>
      <c r="C57" s="195"/>
      <c r="D57" s="195"/>
      <c r="E57" s="195"/>
      <c r="F57" s="195"/>
      <c r="G57" s="195"/>
      <c r="H57" s="196"/>
      <c r="IH57" s="72"/>
      <c r="II57" s="72"/>
      <c r="IJ57" s="72"/>
    </row>
    <row r="58" spans="1:244" s="88" customFormat="1" ht="20.25" customHeight="1">
      <c r="A58" s="89" t="s">
        <v>71</v>
      </c>
      <c r="B58" s="65"/>
      <c r="C58" s="66"/>
      <c r="D58" s="67"/>
      <c r="E58" s="68"/>
      <c r="F58" s="69"/>
      <c r="G58" s="70"/>
      <c r="H58" s="71"/>
      <c r="V58" s="85"/>
    </row>
    <row r="59" spans="1:244" s="88" customFormat="1" ht="12">
      <c r="A59" s="85"/>
      <c r="B59" s="21"/>
      <c r="C59" s="22"/>
      <c r="D59" s="16"/>
      <c r="E59" s="90"/>
      <c r="F59" s="21"/>
      <c r="G59" s="23"/>
      <c r="H59" s="16"/>
      <c r="V59" s="85"/>
    </row>
    <row r="60" spans="1:244" s="72" customFormat="1">
      <c r="A60" s="85"/>
      <c r="B60" s="21"/>
      <c r="C60" s="22"/>
      <c r="D60" s="16"/>
      <c r="E60" s="90"/>
      <c r="F60" s="21"/>
      <c r="G60" s="23"/>
      <c r="H60" s="16"/>
      <c r="V60" s="18"/>
    </row>
    <row r="61" spans="1:244" s="72" customFormat="1">
      <c r="A61" s="85"/>
      <c r="B61" s="14"/>
      <c r="C61" s="15"/>
      <c r="D61" s="16"/>
      <c r="E61" s="91"/>
      <c r="F61" s="9"/>
      <c r="G61" s="8"/>
      <c r="H61" s="76"/>
      <c r="V61" s="18"/>
      <c r="IH61" s="18"/>
      <c r="II61" s="18"/>
      <c r="IJ61" s="18"/>
    </row>
    <row r="62" spans="1:244" s="72" customFormat="1">
      <c r="A62" s="18"/>
      <c r="B62" s="14"/>
      <c r="C62" s="15"/>
      <c r="D62" s="16"/>
      <c r="E62" s="91"/>
      <c r="F62" s="9"/>
      <c r="G62" s="8"/>
      <c r="H62" s="76"/>
      <c r="V62" s="18"/>
      <c r="IH62" s="18"/>
      <c r="II62" s="18"/>
      <c r="IJ62" s="18"/>
    </row>
    <row r="63" spans="1:244" s="72" customFormat="1">
      <c r="A63" s="18"/>
      <c r="B63" s="14"/>
      <c r="C63" s="15"/>
      <c r="D63" s="16"/>
      <c r="E63" s="91"/>
      <c r="F63" s="9"/>
      <c r="G63" s="8"/>
      <c r="H63" s="76"/>
      <c r="V63" s="18"/>
      <c r="IH63" s="18"/>
      <c r="II63" s="18"/>
      <c r="IJ63" s="18"/>
    </row>
    <row r="64" spans="1:244" s="72" customFormat="1">
      <c r="A64" s="18"/>
      <c r="B64" s="14"/>
      <c r="C64" s="15"/>
      <c r="D64" s="16"/>
      <c r="E64" s="91"/>
      <c r="F64" s="9"/>
      <c r="G64" s="8"/>
      <c r="H64" s="76"/>
      <c r="V64" s="18"/>
      <c r="IH64" s="18"/>
      <c r="II64" s="18"/>
      <c r="IJ64" s="18"/>
    </row>
    <row r="65" spans="1:244" s="72" customFormat="1">
      <c r="A65" s="18"/>
      <c r="B65" s="14"/>
      <c r="C65" s="15"/>
      <c r="D65" s="16"/>
      <c r="E65" s="91"/>
      <c r="F65" s="9"/>
      <c r="G65" s="8"/>
      <c r="H65" s="76"/>
      <c r="V65" s="18"/>
      <c r="IH65" s="18"/>
      <c r="II65" s="18"/>
      <c r="IJ65" s="18"/>
    </row>
    <row r="66" spans="1:244" s="72" customFormat="1">
      <c r="A66" s="18"/>
      <c r="B66" s="14"/>
      <c r="C66" s="15"/>
      <c r="D66" s="16"/>
      <c r="E66" s="91"/>
      <c r="F66" s="9"/>
      <c r="G66" s="8"/>
      <c r="H66" s="76"/>
      <c r="V66" s="18"/>
      <c r="IH66" s="18"/>
      <c r="II66" s="18"/>
      <c r="IJ66" s="18"/>
    </row>
    <row r="67" spans="1:244" s="72" customFormat="1">
      <c r="A67" s="18"/>
      <c r="B67" s="14"/>
      <c r="C67" s="15"/>
      <c r="D67" s="16"/>
      <c r="E67" s="91"/>
      <c r="F67" s="9"/>
      <c r="G67" s="8"/>
      <c r="H67" s="76"/>
      <c r="V67" s="18"/>
      <c r="IH67" s="18"/>
      <c r="II67" s="18"/>
      <c r="IJ67" s="18"/>
    </row>
    <row r="68" spans="1:244" s="72" customFormat="1">
      <c r="A68" s="18"/>
      <c r="B68" s="14"/>
      <c r="C68" s="15"/>
      <c r="D68" s="16"/>
      <c r="E68" s="91"/>
      <c r="F68" s="9"/>
      <c r="G68" s="8"/>
      <c r="H68" s="76"/>
      <c r="U68" s="18"/>
      <c r="IH68" s="18"/>
      <c r="II68" s="18"/>
      <c r="IJ68" s="18"/>
    </row>
  </sheetData>
  <autoFilter ref="A12:IH12"/>
  <mergeCells count="46">
    <mergeCell ref="F22:F23"/>
    <mergeCell ref="H22:H23"/>
    <mergeCell ref="H24:H26"/>
    <mergeCell ref="A45:A46"/>
    <mergeCell ref="C13:C23"/>
    <mergeCell ref="C37:C46"/>
    <mergeCell ref="C24:C30"/>
    <mergeCell ref="F33:F34"/>
    <mergeCell ref="C33:C34"/>
    <mergeCell ref="B33:B34"/>
    <mergeCell ref="D33:E33"/>
    <mergeCell ref="A43:A44"/>
    <mergeCell ref="A55:A57"/>
    <mergeCell ref="D52:H52"/>
    <mergeCell ref="D53:H53"/>
    <mergeCell ref="A52:A53"/>
    <mergeCell ref="A49:A51"/>
    <mergeCell ref="B55:H57"/>
    <mergeCell ref="D51:H51"/>
    <mergeCell ref="D54:H54"/>
    <mergeCell ref="A37:A40"/>
    <mergeCell ref="G33:G34"/>
    <mergeCell ref="A1:H1"/>
    <mergeCell ref="A9:D9"/>
    <mergeCell ref="A10:H10"/>
    <mergeCell ref="B11:B12"/>
    <mergeCell ref="A11:A12"/>
    <mergeCell ref="A32:H32"/>
    <mergeCell ref="F11:F12"/>
    <mergeCell ref="A33:A34"/>
    <mergeCell ref="B4:H4"/>
    <mergeCell ref="B5:H7"/>
    <mergeCell ref="N8:N9"/>
    <mergeCell ref="C11:C12"/>
    <mergeCell ref="H11:H12"/>
    <mergeCell ref="G11:G12"/>
    <mergeCell ref="D11:E11"/>
    <mergeCell ref="J8:J9"/>
    <mergeCell ref="A24:A29"/>
    <mergeCell ref="H27:H29"/>
    <mergeCell ref="C35:C36"/>
    <mergeCell ref="D35:G36"/>
    <mergeCell ref="A14:A23"/>
    <mergeCell ref="H33:H34"/>
    <mergeCell ref="B22:B23"/>
    <mergeCell ref="D22:D23"/>
  </mergeCells>
  <phoneticPr fontId="2" type="noConversion"/>
  <pageMargins left="0.43307086614173229" right="0.43307086614173229" top="0.74803149606299213" bottom="0.27559055118110237" header="0.6692913385826772" footer="0.23622047244094491"/>
  <pageSetup paperSize="9" scale="87" orientation="portrait" r:id="rId1"/>
  <headerFooter alignWithMargins="0"/>
  <rowBreaks count="1" manualBreakCount="1">
    <brk id="31" max="12" man="1"/>
  </rowBreaks>
  <colBreaks count="1" manualBreakCount="1">
    <brk id="8" max="54" man="1"/>
  </colBreaks>
  <legacyDrawing r:id="rId2"/>
  <controls>
    <control shapeId="1028" r:id="rId3" name="Control 4"/>
  </controls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>
      <selection activeCell="A16" sqref="A16"/>
    </sheetView>
  </sheetViews>
  <sheetFormatPr defaultRowHeight="13.5"/>
  <cols>
    <col min="1" max="1" width="17.21875" customWidth="1"/>
    <col min="2" max="3" width="20.5546875" customWidth="1"/>
  </cols>
  <sheetData>
    <row r="1" spans="1:3" ht="20.25" customHeight="1">
      <c r="A1" s="209" t="s">
        <v>61</v>
      </c>
      <c r="B1" s="210"/>
      <c r="C1" s="210"/>
    </row>
    <row r="2" spans="1:3" ht="13.5" customHeight="1" thickBot="1">
      <c r="A2" s="28"/>
      <c r="B2" s="28"/>
      <c r="C2" s="28"/>
    </row>
    <row r="3" spans="1:3" s="13" customFormat="1" ht="25.5" customHeight="1" thickBot="1">
      <c r="A3" s="31" t="s">
        <v>39</v>
      </c>
      <c r="B3" s="32" t="s">
        <v>40</v>
      </c>
      <c r="C3" s="32" t="s">
        <v>41</v>
      </c>
    </row>
    <row r="4" spans="1:3" ht="25.5" customHeight="1">
      <c r="A4" s="33" t="s">
        <v>62</v>
      </c>
      <c r="B4" s="34" t="s">
        <v>63</v>
      </c>
      <c r="C4" s="34" t="s">
        <v>48</v>
      </c>
    </row>
    <row r="5" spans="1:3" ht="25.5" customHeight="1">
      <c r="A5" s="35" t="s">
        <v>55</v>
      </c>
      <c r="B5" s="36" t="s">
        <v>60</v>
      </c>
      <c r="C5" s="37" t="s">
        <v>48</v>
      </c>
    </row>
    <row r="6" spans="1:3" ht="25.5" customHeight="1">
      <c r="A6" s="35" t="s">
        <v>65</v>
      </c>
      <c r="B6" s="36" t="s">
        <v>66</v>
      </c>
      <c r="C6" s="37" t="s">
        <v>48</v>
      </c>
    </row>
    <row r="7" spans="1:3" ht="25.5" customHeight="1">
      <c r="A7" s="35" t="s">
        <v>67</v>
      </c>
      <c r="B7" s="36" t="s">
        <v>68</v>
      </c>
      <c r="C7" s="37" t="s">
        <v>48</v>
      </c>
    </row>
    <row r="8" spans="1:3" ht="25.5" customHeight="1">
      <c r="A8" s="35" t="s">
        <v>46</v>
      </c>
      <c r="B8" s="36" t="s">
        <v>47</v>
      </c>
      <c r="C8" s="37" t="s">
        <v>48</v>
      </c>
    </row>
    <row r="9" spans="1:3" ht="25.5" customHeight="1">
      <c r="A9" s="62" t="s">
        <v>56</v>
      </c>
      <c r="B9" s="63" t="s">
        <v>57</v>
      </c>
      <c r="C9" s="64" t="s">
        <v>42</v>
      </c>
    </row>
    <row r="10" spans="1:3" ht="25.5" customHeight="1">
      <c r="A10" s="62" t="s">
        <v>43</v>
      </c>
      <c r="B10" s="63" t="s">
        <v>44</v>
      </c>
      <c r="C10" s="64" t="s">
        <v>42</v>
      </c>
    </row>
    <row r="11" spans="1:3" ht="25.5" customHeight="1">
      <c r="A11" s="59" t="s">
        <v>45</v>
      </c>
      <c r="B11" s="60" t="s">
        <v>52</v>
      </c>
      <c r="C11" s="61" t="s">
        <v>48</v>
      </c>
    </row>
    <row r="12" spans="1:3" ht="25.5" customHeight="1">
      <c r="A12" s="35" t="s">
        <v>50</v>
      </c>
      <c r="B12" s="36" t="s">
        <v>51</v>
      </c>
      <c r="C12" s="37" t="s">
        <v>48</v>
      </c>
    </row>
    <row r="13" spans="1:3" ht="25.5" customHeight="1">
      <c r="A13" s="73" t="s">
        <v>58</v>
      </c>
      <c r="B13" s="74" t="s">
        <v>59</v>
      </c>
      <c r="C13" s="75" t="s">
        <v>48</v>
      </c>
    </row>
    <row r="14" spans="1:3" ht="25.5" customHeight="1" thickBot="1">
      <c r="A14" s="38" t="s">
        <v>49</v>
      </c>
      <c r="B14" s="39" t="s">
        <v>53</v>
      </c>
      <c r="C14" s="40" t="s">
        <v>48</v>
      </c>
    </row>
    <row r="15" spans="1:3" s="30" customFormat="1" ht="20.25" customHeight="1">
      <c r="A15" s="29" t="s">
        <v>54</v>
      </c>
      <c r="B15" s="29"/>
      <c r="C15" s="29"/>
    </row>
  </sheetData>
  <mergeCells count="1">
    <mergeCell ref="A1:C1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3" sqref="A3:I6"/>
    </sheetView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검사배정상황부</vt:lpstr>
      <vt:lpstr>검역관 연락번호</vt:lpstr>
      <vt:lpstr>Sheet1</vt:lpstr>
      <vt:lpstr>검사배정상황부!Criteria</vt:lpstr>
      <vt:lpstr>검사배정상황부!Print_Area</vt:lpstr>
    </vt:vector>
  </TitlesOfParts>
  <Company>NPQS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JG SHIN</dc:creator>
  <cp:lastModifiedBy>SEC</cp:lastModifiedBy>
  <cp:lastPrinted>2012-08-09T23:16:30Z</cp:lastPrinted>
  <dcterms:created xsi:type="dcterms:W3CDTF">2007-07-20T09:35:41Z</dcterms:created>
  <dcterms:modified xsi:type="dcterms:W3CDTF">2012-08-10T00:20:06Z</dcterms:modified>
</cp:coreProperties>
</file>