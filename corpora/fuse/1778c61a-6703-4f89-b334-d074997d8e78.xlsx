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" yWindow="15" windowWidth="19440" windowHeight="12225" activeTab="1"/>
  </bookViews>
  <sheets>
    <sheet name="TABLE OF CONTENTS" sheetId="1" r:id="rId1"/>
    <sheet name="Table S1a" sheetId="2" r:id="rId2"/>
    <sheet name="Table S1b" sheetId="3" r:id="rId3"/>
    <sheet name="Table S1c" sheetId="4" r:id="rId4"/>
  </sheets>
  <calcPr calcId="125725"/>
</workbook>
</file>

<file path=xl/calcChain.xml><?xml version="1.0" encoding="utf-8"?>
<calcChain xmlns="http://schemas.openxmlformats.org/spreadsheetml/2006/main">
  <c r="M105" i="3"/>
  <c r="M106"/>
  <c r="M103"/>
  <c r="O103"/>
  <c r="K103"/>
  <c r="I103"/>
  <c r="P103" s="1"/>
  <c r="F22"/>
  <c r="F21"/>
  <c r="F20"/>
  <c r="D22"/>
  <c r="D21"/>
  <c r="D20"/>
  <c r="B22"/>
  <c r="B21"/>
  <c r="B20"/>
  <c r="T96"/>
  <c r="S96"/>
  <c r="R96"/>
  <c r="Q96"/>
  <c r="U96" s="1"/>
  <c r="L100"/>
  <c r="M100"/>
  <c r="M101"/>
  <c r="M98"/>
  <c r="M99"/>
  <c r="O101"/>
  <c r="O100"/>
  <c r="K101"/>
  <c r="K100"/>
  <c r="K99"/>
  <c r="I101"/>
  <c r="I100"/>
  <c r="I99"/>
  <c r="L98"/>
  <c r="K98"/>
  <c r="J98"/>
  <c r="I98"/>
  <c r="N100"/>
  <c r="J100"/>
  <c r="N98"/>
  <c r="B28"/>
  <c r="B27"/>
  <c r="B26"/>
  <c r="B25"/>
</calcChain>
</file>

<file path=xl/sharedStrings.xml><?xml version="1.0" encoding="utf-8"?>
<sst xmlns="http://schemas.openxmlformats.org/spreadsheetml/2006/main" count="3764" uniqueCount="447">
  <si>
    <t>Table of contents</t>
  </si>
  <si>
    <t>Table S1a</t>
  </si>
  <si>
    <t>Genomic location and details of Alu inserts recovered</t>
  </si>
  <si>
    <t>Table S1b</t>
  </si>
  <si>
    <t>Atail data of Alu inserts recovered</t>
  </si>
  <si>
    <t>Table S1c</t>
  </si>
  <si>
    <t>Genomic location and details of BC1 and B2 inserts recovered</t>
  </si>
  <si>
    <t>A10</t>
  </si>
  <si>
    <t>CT</t>
  </si>
  <si>
    <t>TAC</t>
  </si>
  <si>
    <t>internal segment average</t>
  </si>
  <si>
    <t>internal segment median</t>
  </si>
  <si>
    <t>A17</t>
  </si>
  <si>
    <t>CATTAC</t>
  </si>
  <si>
    <t>A18</t>
  </si>
  <si>
    <t>G</t>
  </si>
  <si>
    <t>CACAC</t>
  </si>
  <si>
    <t>truncated</t>
  </si>
  <si>
    <t>Alu insert</t>
  </si>
  <si>
    <t>internal</t>
  </si>
  <si>
    <t>average</t>
  </si>
  <si>
    <t>median</t>
  </si>
  <si>
    <t>terminal</t>
  </si>
  <si>
    <t>Relative fraction size of each polyA segment relative to the parental construct</t>
  </si>
  <si>
    <t>CLONE</t>
  </si>
  <si>
    <t>Miniprep</t>
  </si>
  <si>
    <t>DR length</t>
  </si>
  <si>
    <t>DR</t>
  </si>
  <si>
    <t>Atail</t>
  </si>
  <si>
    <t>5' position (nuc position that corresponds to the last nucleotide from the 5' flank -- closest to the cut site but not exact given uncertainty about direct repeat; this nuc position from the blast is indicated in red in the 5' column)</t>
  </si>
  <si>
    <t>CHR</t>
  </si>
  <si>
    <t>T</t>
  </si>
  <si>
    <t>A</t>
  </si>
  <si>
    <t>C</t>
  </si>
  <si>
    <t>UCSC Feb 2009 (GRCh37/hg19)</t>
  </si>
  <si>
    <t>Endo Cleavage Site</t>
  </si>
  <si>
    <t>HeLa</t>
  </si>
  <si>
    <t>Cell line</t>
  </si>
  <si>
    <t xml:space="preserve">3' human sequence </t>
  </si>
  <si>
    <t>ORF2</t>
  </si>
  <si>
    <t>L1/ORF2</t>
  </si>
  <si>
    <r>
      <t>GCCACACTAACGTAGCCTCCAGACCGCCCAGTGTGGGTGTGTCCAAGCTCACGTCGCCCGGCGTGGCCCCCCCGCTCCCCAATGACGTAACTGCCCTGCAGCTTCTAGTAGCTTTTCGCAGCGTCTCCGAC</t>
    </r>
    <r>
      <rPr>
        <u/>
        <sz val="10"/>
        <color theme="3" tint="0.39997558519241921"/>
        <rFont val="Courier New"/>
        <family val="3"/>
      </rPr>
      <t>C</t>
    </r>
  </si>
  <si>
    <t>.</t>
  </si>
  <si>
    <t>1, 5, 34, 35, 36, 38</t>
  </si>
  <si>
    <t>AAGATTACAATGCA</t>
  </si>
  <si>
    <t>ATTTAGAGGGTAAATCTATGACACAATCTGCTTCAACCCTAAATTCAGTATAATTGACCTCATCATAGAAGAGGCATTCAGTTATCAGAAACA</t>
  </si>
  <si>
    <r>
      <t>AAAAAAAAAAAAAAAAAAAAAAAAAAAAAAAAAAAAAAAAAAAAAAAAAAAAAAAAAA</t>
    </r>
    <r>
      <rPr>
        <u/>
        <sz val="10"/>
        <color rgb="FF000000"/>
        <rFont val="Courier New"/>
        <family val="3"/>
      </rPr>
      <t>AA</t>
    </r>
  </si>
  <si>
    <t>TTTATCTATAGCTCCTAATTACCCTGGACACTTTCCGATCCTAAACCTGTGCTGCAATTTCAAACACAAGTGCCTTTCTGAATATTTTTATTACAATTGTGCCTTAC</t>
  </si>
  <si>
    <t>19; 20</t>
  </si>
  <si>
    <t>AAAAATACAAAAAATT</t>
  </si>
  <si>
    <t>AAAAAAAACAAGCCAGGTATGGTGGCTCATTTCTGTAATCCCAGCATTTTGGGAGGCCAAGGCAGGCGAATCATGAGGTCAGGAGATCGAGACCATCCTGGCTAACATGGTGAAACCCCGTGTCGATTAAAAATACAAAAAATT</t>
  </si>
  <si>
    <r>
      <t>AAAAAAAAAAAAAAAAAAAAAAAAAAAAAAAAAAAAAAAAA</t>
    </r>
    <r>
      <rPr>
        <u/>
        <sz val="10"/>
        <color rgb="FF000000"/>
        <rFont val="Courier New"/>
        <family val="3"/>
      </rPr>
      <t>AAAAA</t>
    </r>
  </si>
  <si>
    <t>AGCTGGGCGTGGTAGCGCGCGCCTGTAATCCCAGCTACTCAGGAGGCTGAGGCAGGAGAATAGCTTGAACCTGGGAGGCAGAGGTTGCAGTGAGCCGAGATCGTGCCACTGCACTCCAGCCTGGGCGACAGAGTGAGACTC</t>
  </si>
  <si>
    <t>BC1</t>
  </si>
  <si>
    <t>B2</t>
  </si>
  <si>
    <t>SINE</t>
  </si>
  <si>
    <t>AAGACTCCCGGTT</t>
  </si>
  <si>
    <r>
      <t>GACTCTGGGAACACTCCTGCGACTGGCTGTCACCCGGGAGTCTAACCGGATTAATACTCAGAGATGGATTACGCTGGTTGTCACCAATACGCCTAAAGATTATAATCCAATTTACGCAAATTACAGTCAGTATTAACTTTATCTGCTATTTT</t>
    </r>
    <r>
      <rPr>
        <u/>
        <sz val="10"/>
        <color theme="1"/>
        <rFont val="Courier New"/>
        <family val="3"/>
      </rPr>
      <t>AAGACTCCCGGTT</t>
    </r>
  </si>
  <si>
    <r>
      <t>AAAAAAAAAAAAAAAAAAAAAAAAAAAAAAAAAAAAAAAAAAAACATTACAAAAAAAAAAAAAAAAAAAAAAAAAAA</t>
    </r>
    <r>
      <rPr>
        <u/>
        <sz val="10"/>
        <color rgb="FF000000"/>
        <rFont val="Courier New"/>
        <family val="3"/>
      </rPr>
      <t>AA</t>
    </r>
  </si>
  <si>
    <t>GCCCCGCGCGTCCTCAGAGGACAATCCTCCACGTTCTGATGCAACTCAGTAGGCTGTCAGGAGGGGAAGCCCCCCGAAGAAAACAACTCCAAGCCTGGTCCCCGAGGGTCTGTACCCGGCACTCCCAGGTGTCTTGCTTTCACCTGGGCACCGCTTTATGAAGCTTCCCAGCCGGGGATTACCAAAGCGGAAG</t>
  </si>
  <si>
    <t>11, 41</t>
  </si>
  <si>
    <t>AAAAAAGAATGTTCA</t>
  </si>
  <si>
    <r>
      <t>ATATTCAGCATTCAAGCATGTTGAGGTGAACTATTCTGAATATATTTTAGAGTGTTAAAATAAGCTACCACAAAGTTAGTTTAAAATTTCAGGTCTTAAAAATAACAGGACAATTTTATGAAGTGTTTGGGCCATTTCAAGAAAAAAAAAGTCCCCTTT</t>
    </r>
    <r>
      <rPr>
        <u/>
        <sz val="10"/>
        <color theme="1"/>
        <rFont val="Courier New"/>
        <family val="3"/>
      </rPr>
      <t>AAAAAAGAATGTTCA</t>
    </r>
  </si>
  <si>
    <r>
      <t>AAAAAAAAAAAAAAAAAAAAAAAAAAACATTACAAAAAAAAAAAAAAAAAAAAAAAAAAAAAAAAAAAAAAAAAAAAAAAAAAAAAAAAAAAAAAAAA</t>
    </r>
    <r>
      <rPr>
        <u/>
        <sz val="10"/>
        <color rgb="FF000000"/>
        <rFont val="Courier New"/>
        <family val="3"/>
      </rPr>
      <t>AAAAAA</t>
    </r>
  </si>
  <si>
    <t>TTTGTTCCAATTTTTAGTAAAGGCAGGTTTAAAAAAATTATTTCTAAACACCAAATAGTCATTATAGTCAAGGCTTTCAAGTTTAAGGTATTGTCTGCATCACAGTCCTTGAAACAGCCTCTCCTAGCTTTCTTCTAAAACACCTTTAAAAATATGGAAAAACAAGAATGCTCACATCTGCAAA</t>
  </si>
  <si>
    <t>AAGAGGACGAGATTTCG</t>
  </si>
  <si>
    <r>
      <t>ATGATAATTTGCTTCTCCTATGCCATTCCTAAACCCAGAGTTTTCTCTGCAGTTCCATCTCCTCTTGAGAAGCTTTTCCCCCTTAGAATGATATTTTGTGTGTTTGTGTTCTCAAGTTTTGCTGATCTTTTCTGTACTT</t>
    </r>
    <r>
      <rPr>
        <u/>
        <sz val="10"/>
        <color theme="1"/>
        <rFont val="Courier New"/>
        <family val="3"/>
      </rPr>
      <t>AAGAGGACGATTTCG</t>
    </r>
  </si>
  <si>
    <r>
      <t>AAAAAAAAAAAAAAAAAAAAAAAAAACATTACAAAAAAAAAAAAAAAAAAAAAAAAAAAAAAAAAAAAAAAAAAAAAAAAAAAAAAAAAAA</t>
    </r>
    <r>
      <rPr>
        <u/>
        <sz val="10"/>
        <color theme="1"/>
        <rFont val="Courier New"/>
        <family val="3"/>
      </rPr>
      <t>AA</t>
    </r>
  </si>
  <si>
    <t>TTCCCCCTTGTACTAGTGTTTGTCATGTAGTGAAATTTTTAGTGAAGGGAGATTCCGAGACTTATCCTGACCCCTGGAAGAACAGGAGAGGAAGAAGTTGGTCTGCCCATGGCCATGGCTGGCGGGTGGGGG</t>
  </si>
  <si>
    <t>AAGAACCATTAGTT</t>
  </si>
  <si>
    <r>
      <t>CCTATTACCTTGCACATCTCACAAACAAGGCTGGGGTCTTAGTTTACTTGTAACTACTTAAATATTAGATGCATGAATGGCTGGCTGTCGATAAAAGTCAACTACATCAAAGATGGGTTTTAAAGAAAATGGGTTTTAAAGAAAATGATACTTTAAAGAAAATGTC</t>
    </r>
    <r>
      <rPr>
        <u/>
        <sz val="10"/>
        <color theme="1"/>
        <rFont val="Courier New"/>
        <family val="3"/>
      </rPr>
      <t>AAGAACCATTAGTT</t>
    </r>
  </si>
  <si>
    <r>
      <t>AAAAAAAAAAAAAAAAAAAAAAAAACATTACAAAAAAAAAAAAAAAAAAAAAAAGAAAAAAAAAAAAAAAAAAAAAAAAAAAAAAAAAAA</t>
    </r>
    <r>
      <rPr>
        <u/>
        <sz val="10"/>
        <color theme="1"/>
        <rFont val="Courier New"/>
        <family val="3"/>
      </rPr>
      <t>AA</t>
    </r>
  </si>
  <si>
    <t>AAGGCAAAAAAACAAAAGTGATGTCATAGAAAGAGAACTAAAGCAGAGTTCACAGTTCTTACTTCCCTTCCCCTGGCTTCACCAGTAGGTAGCTGAATGACCTTTGGCAACCAATTACTTAACCGCCCTCTCTAGACAACAATTTTCTCAACTACAAAACAAAAAAGTTAAACCAGAT</t>
  </si>
  <si>
    <t>16, 42</t>
  </si>
  <si>
    <t>could not be corroborated</t>
  </si>
  <si>
    <t>AAAAAAAAAAAAAAAAAAAAAAAAAAAAAAAAAAAAAAAA</t>
  </si>
  <si>
    <t>na</t>
  </si>
  <si>
    <t>na= not applicable</t>
  </si>
  <si>
    <t>terminal segment average</t>
  </si>
  <si>
    <t>terminal segment median</t>
  </si>
  <si>
    <t>number of adenosines per polyA-segment</t>
  </si>
  <si>
    <t>Clone</t>
  </si>
  <si>
    <t>Driver</t>
  </si>
  <si>
    <t>Direct Repeat</t>
  </si>
  <si>
    <t>Strand</t>
  </si>
  <si>
    <t>(inter)genic</t>
  </si>
  <si>
    <t>Alu plasmid</t>
  </si>
  <si>
    <t>LINE-1</t>
  </si>
  <si>
    <t>AAAAACATTCCACA</t>
  </si>
  <si>
    <t>minus</t>
  </si>
  <si>
    <t>AAAAAAAAAAAAAAAAAAAACATTACAAAAAAAAAAAAAAAAAAAAGAAAAAAAAAAAAAAAAAAACACACAAAAAAAAAAAAAAAAAAAAAAAAAAAAAaaaaa</t>
  </si>
  <si>
    <t>genic</t>
  </si>
  <si>
    <t>AAAAGTGAACGGGTT</t>
  </si>
  <si>
    <t>plus</t>
  </si>
  <si>
    <t>AAAAAAAAAAAAAAAAAAACATTACAAAAAAAAAAAAAAAAAAAAAAAAAAAAAAAAAAATAAAAAAAAAAAAATAAAAAAAAAAAAAAAAAAAAAAAAAAAAAAAaaaa</t>
  </si>
  <si>
    <t>AAAAACTTGGTGATTCT</t>
  </si>
  <si>
    <t>AAAAAAAAAAAAAAAAAAAAAAAAAAAAAAAAAAAAAAAAAAAAAAAAACATTACAaaaaa</t>
  </si>
  <si>
    <t>intergenic</t>
  </si>
  <si>
    <t>AGAAAATCCACTCACTT</t>
  </si>
  <si>
    <t>AAAAAAAAAAAAAAAAAAAAAAAAAAAAAAAAAAAAAACATTACAAAAAAAAAAAAAAAAAAAAAAGAAAAAAAAAAAAAAAAAAAAAAAAAAAAa</t>
  </si>
  <si>
    <t>AAAACTAACAGGAGG</t>
  </si>
  <si>
    <t>AAAAAAAAAAAAAAAAAAAAAACATTACAAAAAAAAAAAAAAAAAAAAAAAAAAAAAAAAAAAAAGAAAAAAAAAAGAAAaaaa</t>
  </si>
  <si>
    <t>AATTGAATGCAGAT</t>
  </si>
  <si>
    <t>AAAAAAAAAAAAAAAAAAAAAAAAAAAAACATTACAAAAAAAAAAAAAAAAAAAAAAAAAAAAAAAAAAAAAAAAAAAAAAAAAAAAAAAAAAAAAAAAAAAAAAAAAAAAAAAAAAAAAAAAAAAAaa</t>
  </si>
  <si>
    <t>AAGAGTAATATA</t>
  </si>
  <si>
    <t>AAAAAAAAAAAAAAAAAAAAACATTACAAAAAAAAAAAAAAAAAAAAAAAAAAAAAAAAAAAAAAAAAAAAAAAAAGAAAAAAAAAAAAAAAAAAAAAAAAAAAAAAAAAAaa</t>
  </si>
  <si>
    <t>AAAATGATGGATGC</t>
  </si>
  <si>
    <t>AAAAAAAAAAAAAAAAAAAAAAAAAAAAAAAAAAAAACATTACAAAAAAAAAAAAAAAAAAAAAAAAAAAAaaaa</t>
  </si>
  <si>
    <t>AAAAATGAAAACAAC</t>
  </si>
  <si>
    <t>AAAAAAAAAAAAAAAAAACATTACAAAAAAAAAAAAAAAAAAGAAAAAAAAAAAAAAAAAAAAAAAAAAAAAAAAAAAAAAAAAAAAACACACaaaaa</t>
  </si>
  <si>
    <t>GAAAAGATGT</t>
  </si>
  <si>
    <t>AAAAAAAAAAAAAAAAACATTACAAAAAAAAAAAAAAAAAAAAAAAAAAAAAAAGAAAAAAAAAAAAAAAAAAAAAAAAAAAAAAAAAAAAAAAAAAAAAAAAAAAAAAAAAAAAAAAAAAAAAAAAAAAAAAAAAAA</t>
  </si>
  <si>
    <t>AAAAATTTTGAACCTTG</t>
  </si>
  <si>
    <t>AAAAAAAAAAAAAAAAAAAAAAAAAAAAACATTACAAAAAAAAAAAAAAAAAAGAAAAAAAAAAAAAAAAAAAAAAAAAAAAAAAAAAAAAAAAAAAAAAAAAAAAAAAAAAAAAAAAAAAaaaaa</t>
  </si>
  <si>
    <t>AAAAAATATAAATTTTT</t>
  </si>
  <si>
    <t>AAAAAAAAAAAAAACTAAAAAAAAAAATACAAAAAAAAAATTTAAAAAAAAAAAAAAAAAAAAAAAAAAaaaaaa</t>
  </si>
  <si>
    <t>AAGAATATTCTTT</t>
  </si>
  <si>
    <t>AAAAAAAAAAAAAAAACTAAAAAAAAAAAAATACAAAAAAAAAAAAAAAaa</t>
  </si>
  <si>
    <t>AAAGACTGAAGAAATA</t>
  </si>
  <si>
    <t>AAAAAAAAAAAAAAAAAACATTACAAAAAAAAAAAAAAAAAAAAAAAGGAAAAAAAAAAAAAAAAAAAAAAAAAAAAAAAaaa</t>
  </si>
  <si>
    <t>AGAAATAAGTTTTTAT</t>
  </si>
  <si>
    <t>AAAAAAAAAAAAAAAAAAAAAAAAAAAAAAAAAAAAAAAAAAAAAAAAAAAAAAAAAAAAAAAAACATTACAAAAAAAAAAAAAAAAAAAa</t>
  </si>
  <si>
    <t>AAAAGAATCAATAG</t>
  </si>
  <si>
    <t>AAAAAAAAAAAAAAAAAAAAAAAAAAAAAAAAAAAAAAAAAAAAAAAAAAAAAAAAAAAAAAAAAAAAAAAAAAAAAAAAAAAAAAAAAAAAAAAAAAAAAAAAAAAAAAAAAAAaaaa</t>
  </si>
  <si>
    <t>AAGAAAGACATATT</t>
  </si>
  <si>
    <t>AAAAAAAAAAAAAAAAAAAAACATTACAAAAAAAAAAAAAAAAAAAAAAAAAAAGAAAAAAAAaa</t>
  </si>
  <si>
    <t>AAAGAAAAGGACC</t>
  </si>
  <si>
    <t>AAAAAAAAAAAAAAAAAAAAACATTACAAAAAAAAAAAAAAAAAAAAAAAAAAAAAAAAAAAAAAAAAAAAAAAAAAaaa</t>
  </si>
  <si>
    <t>AAAAGTTAACCT</t>
  </si>
  <si>
    <t>AAAAAAAAAAAAAAAAAAAAAAAAAAAAAACATTACAAAAAAAAAAAAAAAAAAAAAAAAAAAAGAAAAAAAAAAAAAAAAAAAAAAACACACAAAAAAAAAAAAAAAAAAAAAAAAAAAAAAAAAAAAAAAAAAAAAAAAAAAAAAAAAAAaaaa</t>
  </si>
  <si>
    <t>AAGAATTTATT</t>
  </si>
  <si>
    <t>AAAAAAAAAAAAAAAAAAAAAAAAAAAAAAAAAAAAAAAAAAAAAAAAAAAAAAAAAAACATTACAaa</t>
  </si>
  <si>
    <t>AAGAAAGATACTGCC</t>
  </si>
  <si>
    <t>AAAAAAAAAAAAAAAAAAAAAACATTACAAAAAAAAAAAAAAAAAAAAAAAAAAAAAAAAAAAAAAAAAAAAAAAAAAAAAAAAAAAAAAAAAAAAAAAaa</t>
  </si>
  <si>
    <t>AAAAAATGCAATCCT</t>
  </si>
  <si>
    <t>AAAAAAAAAACTAAAAAAAAAAAAAAAAAAAAAAAAAAAATACAAAAAAAACAAAAAAAAAAAAAACAAAAAAAAAAAAAAAAAAAAAAAAAAAAAAAAAAAAAAAAAAAAAAAAAAAAAAAAAAAAAAAAAAAAAAAAAAAAaaaaaa</t>
  </si>
  <si>
    <t>AAAATTTTATTTT</t>
  </si>
  <si>
    <t>AAAAAAAAAAAACTAAAAAAAAAATACAAAAAAAAAAAAACAAAAAAAAAAAAAAAAAAAAAAAAAAAAAAAAAAAAAAAAAAAAAAAAAAAAAaaaa</t>
  </si>
  <si>
    <t>AAGAGAAAATTAG</t>
  </si>
  <si>
    <t>AAAAAAAAAAAAAAAAAAAAACATTACAAAAAAAAAAAAAAAAAAAGAAAAAAAAAAAAAAAAAAAAAAAAAAAAAAAAAAAAAAAAAaa</t>
  </si>
  <si>
    <t>AAAAAATACCTACTGTA</t>
  </si>
  <si>
    <t>AAAAAAAAAAACTAAAAAAAAAAAATACAAAAAAAAAAAAAAAAAAAAAAAAAAAAAAAAAAAAAAAAAAAAAAAAAAAAAAAAAAAAAAAAAAAAAAAAAAAAAAAaaaaaa</t>
  </si>
  <si>
    <t>AAAAATAAACCA</t>
  </si>
  <si>
    <t>AAAAAAAAAAAAAAAAAAAAAACATTACAAAAAAAAAAAAAAAAAAAAAAAAAAAAAAAAAAAAAAAAAAAAAAAAAAAAAAAAAAAAAAAAAAAAAAAAAAAAAAAAAAAAAAAAGGAAAAAAAAAAAAAAAAAAAAAAAaaaaa</t>
  </si>
  <si>
    <t>AAAGTATTTTATT</t>
  </si>
  <si>
    <t>AAAAAAAAAAAAAAAAAAAAAAAACATTACAAAAAAAAAAAAAAAAAAGAAAAAAAAAAAAAAAAAAAAAAAAAAAAAAAAAAAAAAaaa</t>
  </si>
  <si>
    <t>AAAACAAGAAAGAGC</t>
  </si>
  <si>
    <t>AAAAAAAAAAAAAAAAAAAAAAAAAAAAAAAAAAAAAAAAAAAAAAAAAAAAAAACATTACAAAAAAAAAAAAAAAAAAAAAAAAAAAAAAAAAAAaaaa</t>
  </si>
  <si>
    <t>AAGATATATGGATTTA</t>
  </si>
  <si>
    <t>AAAAAAAAAAAAAAAAAAAAAAAAAAAAAAAAAAAAAAAAAACATTACAAAAAAAAAAAAAAAAAAAAAAAaa</t>
  </si>
  <si>
    <t>AAAAAAAAAA</t>
  </si>
  <si>
    <t>AAAAAAAAAAAAAAAAACATTACAAAAAAAAAAAAAAAAAAAGAAAAAAAAAAAAAAAAAAAAAAAAAAAAAAAAAAAAAAAAAAAAAAAAAAAAAAAAaaaaaaaaaa</t>
  </si>
  <si>
    <t>AAAACCATCCA</t>
  </si>
  <si>
    <t>AAAAAAAAAAAAAAAAAAAAAAAAAAAACATTACAAAAACATTACAAAAAAAAAAAAAAAAAAAAAAAAAAAAAAAAAAAAAaaaa</t>
  </si>
  <si>
    <t>AAAATCTCAGTTTC</t>
  </si>
  <si>
    <t>AAAAAAAAAAAAAAAAACATTACAAAAAAAAAAAAAAAAAAAAAAGAAAAAAAAAAAAAAAAAAAAAAAAAAAAAAAAAAAAAAAAAAAAAAAAAAAAAAAAAAAAAAAAAAAAAAAAAAAAAAAAAAAAAAAaaaa</t>
  </si>
  <si>
    <t>GAAAAATTAGATTCT</t>
  </si>
  <si>
    <t>AAAAAAAAAAAAAAAAAAACATTACAAAAAAAAAAAAAAAAAAAAAAAAAAAAAAAAAAAAAAAAAA</t>
  </si>
  <si>
    <t>AAGAGATAATT</t>
  </si>
  <si>
    <t>AAAAAAAAAAAAAAAAAAAAAAAAAAAAACATTACAAAAAAAAAAAAAAAAAAAAAAAAAAAAAAAAAAAAAAAAAAAAAAAAAAAAAAAGAAAAAAAAAAAAAAAAAAAAAAAAAAAACACACAAAAAAAAAAATTAAAAAAAAAAAAAAAAAAAAAAAAAAAAAAAAAAAAAAaa</t>
  </si>
  <si>
    <t>AGAAATGTAATTGTA</t>
  </si>
  <si>
    <t>AAAAAAAAAAAAAAAAAAAAAAAAAAAAAAAAAAAAAAAACATTACAAAAAAAAAAAAAAAAAAAAAAAAAAAAAAAAAAAAAAAAAAAAAAAAAAAAAAAAAAAAAAAAAAAAAAAAa</t>
  </si>
  <si>
    <t>AAAAATTGTAGATT</t>
  </si>
  <si>
    <t>AAAAAAAAAAAAAAAAAAACATTACAAAAAAAAAAAAAAAAAAAAAAAAAAAaaaaa</t>
  </si>
  <si>
    <t>AAAAATTAAAAATGTG</t>
  </si>
  <si>
    <t>AAAAAAAAAAAAAAAAAACATTACAAAAAAAAAAAAAAAAAAAAAAGAAAAAAAAAAAAAAAAAAaaaaa</t>
  </si>
  <si>
    <t>AAAATTTAATGTGTG</t>
  </si>
  <si>
    <t>AAAAAAAAAAAAAAAAAAAAAAAAAAAAAAACATTACAAAAAAAAAAAAAAAAAAAAAAAAAAAAAAAAAAAAAAAAAAAAAAAAAAAAAAAAAAAAAAAAaaaa</t>
  </si>
  <si>
    <t>none</t>
  </si>
  <si>
    <t>AAAAGTTTAATATC</t>
  </si>
  <si>
    <t>AAAAAAAAAAAAAAAAAAAAAACATTACAAAAAAAAAAAAAAAAAAAAAAAAAAAAAAAAAAAAAAAAAAAAAAAAAAAAAAAaaaa</t>
  </si>
  <si>
    <t>AATAGTATGATTTA</t>
  </si>
  <si>
    <t>AAAAAAAAAAAAAAAAAAAAAAAAAAAAAAAAAAAAAAAAAAAAAAAAAAAAAAAAAAAAAAAAAAAAAAAAAAAAAACATTACAAAAAAAAAAAAAAAAAAAAAAAAAAAAAAAAAAAAaa</t>
  </si>
  <si>
    <t>AACAATGAAATA</t>
  </si>
  <si>
    <t>AAAAAAAAAAAAAAAAAAAAAAAAAAAAAAAAAAAACATTACAAAAAAAAAAAAAAAAAAAAAAAAAAAAAAAaa</t>
  </si>
  <si>
    <t>AAAAGCTGAAAGA</t>
  </si>
  <si>
    <t>AAAAAAAAAAAAAAAAAAAAAAACATTACAAAAAAAAAAAAAAAAAAAAAAAAAAAAAAAAAAAAAAAAAAAAAAAAAAAAAaaaa</t>
  </si>
  <si>
    <t>AAAAATGTTAGCGGC</t>
  </si>
  <si>
    <t>AAAAAAAAAAAAAAAAAAAAACATTACaaaaa</t>
  </si>
  <si>
    <t>TAAAGGAAATGAGG</t>
  </si>
  <si>
    <t>AAAAAAAAAAAAAAAAACATTACAAAAAAAAAAAAAAAAAAAAGAAAAAAAAAAAAAAAAAAAAAAAAAAAAAAAAAAAAAAAAAAAAAAAAAAAAAAAAAAAAACAAAAAA</t>
  </si>
  <si>
    <t>AGAAGTTCGAGACC</t>
  </si>
  <si>
    <t>AAAAAAAAAAAAAAAAAAAAAAAAAAAAAAAAAAAAAAAACATTACAAAAAAAAAAAAAAAAAAAAAAAAAAAAAAAAAAAAAAAAAAAAAAAAAAAAAAAAAAAAAAAAAAAAAAAAAa</t>
  </si>
  <si>
    <t>GAAAAGGTGATATTT</t>
  </si>
  <si>
    <t>X</t>
  </si>
  <si>
    <t>AAAAAAAAAAAAAAAAAAAAACATTACAAAAAAAAAAAAAAAAAAAAAAAAAAAAAAAAAAAAGAAAAAAAAAAAAAAA</t>
  </si>
  <si>
    <t>AAAAAATTTCT</t>
  </si>
  <si>
    <t>AAAAAAAAAAAAAAAAAAAACATTACAAAAAAAAAAAAAAAAAAAAAAAAAAAAAAAAGAAAAAAAAAAAAAAAAAAAAAAAAAAAAAAAAAAaaaaaa</t>
  </si>
  <si>
    <t>CAAAAGAAGGTTGA</t>
  </si>
  <si>
    <t>AAAAAAAAAAAAAAAAACATTACAAAAAAAAAAAAAAAAAAAAAAAAAGAAAAAAAAAAAAAAAAAAAAAAAAAAAAAAAAAAAAAAAAAAAAAAAAAAAAAAAAAAAAAAAAAAAAAAAAAAAAA</t>
  </si>
  <si>
    <t>AAGAACAAGTATGTG</t>
  </si>
  <si>
    <t>AAAAAAAAAAAAAAAAACATTACAAAAAAAAAAAAAAAAAAAAAGAAAAAAAAAAAAAAAAAAAAAAAAAAAAAAAAAAAAAAAAAAAACACACAAAAAAAAAAAAAAAAAAACAAAAAAAAAAAAAAAAAAAAAAAAAAAAAAAAAAAAaa</t>
  </si>
  <si>
    <t>AGAAATTCAGATGGTAG</t>
  </si>
  <si>
    <t>AAAAAAAAAAAAAAAAAAACATTACa</t>
  </si>
  <si>
    <t>AAGAAAAAAACAAACTGC</t>
  </si>
  <si>
    <t>AAAAAAAAAAAAAAAAAAAAAAAAAAAAAAAAAAAAAAAAAAAAAAAAAAAAAAAAAAAAAAAAAAAAAAAAAAAAAAAAAAAAAaa</t>
  </si>
  <si>
    <t>AAAAAAAAAAAAAAAAAAAAAAAAACATTACAAAAAAAAAAAAAAAAAAAAAAAAAAAAAGAAAAAAAAAAAAAAAAAAAAAACACACAAAAAAAAAAAAAAAAAAAAAAAAAAAAAAAAAAAAAAAAAAAAAAAAAAAAAAAAAAAAAAAAAAA</t>
  </si>
  <si>
    <t>TAGGAATGTT</t>
  </si>
  <si>
    <t>AAAAAAAAAAAAAAAAAAAAACATTACAAAAAAAAAAAAAAAAAAAAAAAAAGAAAAAAAAAAAAAAAAAAAAAAAAAAAAAAAAAAAGAAAAAAAAAAAAAAAAAAAAAATAAAAA</t>
  </si>
  <si>
    <t>AGAATCTG</t>
  </si>
  <si>
    <t>AAAAAAAAAAAAAAAAAAAAAAAAAACATTACAAAAAAAAAAAAAAAAAAAAAAAAAAAAAGAAAAAAAAAAAAAAAAAAAAAAAAAAAAACACACAAAAAAAAAAAAAAAAAAAAAAAAAAAAAAAa</t>
  </si>
  <si>
    <t>AGAAGATGAAAAAG</t>
  </si>
  <si>
    <t>AAAAAAAAAAAAAAAAAAAACATTACAAAAAAAAAAAAAAAAAAAAAAAAAAAAAAAAAAAAAAAAAAAAAAAAAAAAAAAAAAAAAAa</t>
  </si>
  <si>
    <t>AAAATTTATGTATTA</t>
  </si>
  <si>
    <t>AAAAAAAAAAAAAAAAAAAAACATTACAAAAAAAAAAAAAAAAAAAAAAAAAAAAAAAAAAAAAAAAAAAAAAAAAAAAAAAAAAAAGAAAaaaa</t>
  </si>
  <si>
    <t>AAGACATGGTT</t>
  </si>
  <si>
    <t>AAAAAAAAAAAAAAAAACATTACAAAAAAAAAAAAAAAAAAAAAAAAAAAAAAAAAAAAAAAAAAAAAAAAAAAAAAAAAAAAAAAAAAAAAAAAAAAAAAAAAAAAAAAAAAAAAAAAAAAAAAAaa</t>
  </si>
  <si>
    <t>AAAACTTCCTACTCT</t>
  </si>
  <si>
    <t>AAAAAAAAAAAAAAAAACATTACAAAAAAAAAAAAAAAAAAAAAAAAAAAAAAAGAAAAAAAAAAAAAAAAAAAAAAAAAAAAAAAAAAAAAAAAAAAAAAAAAAAAAAAAAAAAAAAAAAAAaaaa</t>
  </si>
  <si>
    <t>GAGAAATGCAGAT</t>
  </si>
  <si>
    <t>AAAAAAAAAAAAAAAAAAAACATTACAAAAAAAAAAAAAAAAAAAAAAAAAAAAAAAAAAAAA</t>
  </si>
  <si>
    <t>AGAAACTGG</t>
  </si>
  <si>
    <t>AAAAAAAAAAAAAAAAAAAAAAACATTACa</t>
  </si>
  <si>
    <t>AGAAATTAGTTTTG</t>
  </si>
  <si>
    <t>AAAAAAAAAAAAAAAAAAAAAAAAAAAAAAAAAAAAAAAAAAAAAAAAAAAAAAAAAAAAAAACATTACAAAAAAAAAAAAAAAAAAAAAAAAAAAAAAAAAAAAAAAAAAAAAAAAAAAAAAAAAAAa</t>
  </si>
  <si>
    <t>TAAAATCTAGTCT</t>
  </si>
  <si>
    <t>AAAAAAAAAAAAAAAAAAAAAAAAAAAAAAAAAAAAAAAAAAAAAAACATTACAAAAAAAAAAAAAAAAAAAAAAAAAAAAAAAAAAAAAAAAAAAAAAAAAAAAAAAAAAAAAAAAAAG</t>
  </si>
  <si>
    <t>AAACAATAACTTCT</t>
  </si>
  <si>
    <t>AAAAAAAAAAAAAAAAAAAAAAAAAAAAAAAAAAAAAAAAAAAAAAAAAAAAAAAAAAAAAAAAAAAAAAAAAAAAAAAAAAAAAAAAAAAAAAAAAAAaaa</t>
  </si>
  <si>
    <t>AAAAATATTTTTTA</t>
  </si>
  <si>
    <t>AAAAAAAAAAAAAAAAAAAAACATTACAAAAAAAAAAAAAAAAAAAAAGAAAAAAAAAAAAAAAAAAAAAAAAAAAAAaaaaa</t>
  </si>
  <si>
    <t>AAAAAGTTAATTCACC</t>
  </si>
  <si>
    <t>AAAAAAAAAAAAAAAAAAAAACATTACAAAAAAAAAAAAAAAAAAAAAAAGAAAAAAAAAAAAAAAAAAAAAAAAAAAAAAaaaaa</t>
  </si>
  <si>
    <t>AAGAGAAAGCATAAA</t>
  </si>
  <si>
    <t>AAAAAAAAAAAAAAAAAAACATTACAAAAAAAAAAAAAAAAAAAAAAAAAAAGAAAGAAAAAAAAAAAAAAAAAAAAAAAAAAAAAAACACACAAAAAAAAAAAAAAAAAAAAAAAAAAAAAAAAAAAAAAAAaa</t>
  </si>
  <si>
    <t>GAGATGTGCT</t>
  </si>
  <si>
    <t>AAAAAAAAAAAAAAAAAAAAACATTACAAAAAAAAAAAAAAAAAAAAGAAAAAAAAAAAAAAAAAAAAAAAAAAAAAAAAAAAAAAAAAAAAAAAAAAAAAAAAAAAAAAAAA</t>
  </si>
  <si>
    <t>AACAGGCTA</t>
  </si>
  <si>
    <t>AAAAAAAAAAAAAAAAAAAAAAAAAAAAAAAAAAAAAAAAAAAAACATTACaa</t>
  </si>
  <si>
    <t>AAAGCAGGCTTCT</t>
  </si>
  <si>
    <t>AAAAAAAAAAAAAAAAAAAAAAAAAAAAAAAAAAAAAAAAAAAAAAAAAAAAAAAAAAAAAAAAAAAAAAACATTACAAAAAAAAAAAAAAAAAAAAAAAAAAAAGAAAAAAAAAAAAAAAAAAAAAAAAAAAAAAAAAAAAAAAAAAAAAAAAAAAAAAAAAAAAAAAAAAAAAAAAAAAAAAAAAAAAAAAAAAAAAAAAAAAAAAAAAAAAAAAAAAAAAAAAAaaa</t>
  </si>
  <si>
    <t>AAGAGCTTCAGGAA</t>
  </si>
  <si>
    <t>AAAAAAAAAAAAAAAAAAAAAAAAAAAAAAAAAAAAAAAAAACATTACAAAAAAAAAAAAAAAAAAAAAAAAAAAAAAAAAAAAAAAAAAAAAAAAAAAAAAAAAAGAAAAAAAAAAaa</t>
  </si>
  <si>
    <t>AATGAAAATGAACTTGC</t>
  </si>
  <si>
    <t>AAAAAAAAAAAAAAAAAAACATTACAAAAAAAAAAAAAAAAAAAAAAAAAGGAAAAAAAAAAAAAAAAAAAAAAAAAAAAAAAAAAAAAAAAAAAAAAAAAAAAAAAAAAAAAAAAAAAAAaa</t>
  </si>
  <si>
    <t>AAGTGACCT</t>
  </si>
  <si>
    <t>AAAAAAAAAAAAAAAAAAAAAAAAAAAAAAAAAACATTACAAAAAAAAAAAAAAAAAAAAAAAAAAAAAAAAAAAAAAAAAAAAAAAAAAAAAAAAAAAAAAAAAAAAAAAAAAAAAAAAAAAAAAAAAAAAAAAAAAAAAAAAAAAAAAAAAAAAAAAAAAAAAAAAAAAAAAAAAAAaa</t>
  </si>
  <si>
    <t>TAAAAGGCAGAATG</t>
  </si>
  <si>
    <t>AAAAAAAAAAAAAAAAAAAAAAAAAAAAAAAAAAAAAAAAAAAAAAAAAAAAAAAAAAAAAAAAAAAAAAAAAAAAAAAAAAAAAAAAAAAAAAAAAAAAAAAAAAAAAAAAAAAAAAAAAAAAAACATTACAAAAAAAAAAAAAAAAAAAAAAAAAAAAAAAAAAAAAAAAAAAAAAAAAAA</t>
  </si>
  <si>
    <t>AATATATTATATATT</t>
  </si>
  <si>
    <t>AAAAAAAAAAAAAAAAAAAAAAAAAAAAAAACATTACAAAAAAAAAAAAAAAAAAAAAAAAAAAAAAAAAAAAAAAAAAAAAAAAAAAAAAAAAAAAAAAAAAAAAAAAAAAAAAaa</t>
  </si>
  <si>
    <t>AAAAAAAAAAAAAAAAAAAAAAA</t>
  </si>
  <si>
    <t>AAAAAAAAAAAAAAAAAAAAAAAAAAAAAAAAAAAACATTACAAAAaaaaaaaaaaaaaaaaaaaaaaa</t>
  </si>
  <si>
    <t>AATAAAAAAGCAAAGGA</t>
  </si>
  <si>
    <t>AAAAAAAAAAAAAAAAAAAACATTACAAAAAAAAAAAAAAAAAAAAAAAAAAAAAAAAAAAAAAAAAAAAAAAAAGAaa</t>
  </si>
  <si>
    <t>AAAAAAAAAAAAAAAGG</t>
  </si>
  <si>
    <t>AAAAAAAAAAAAAAAAAAAAAAAACATTACAAAAAAAAAAAAAAAAAAAAAAGAAAAAAAAAAAAAAAAAAAAAAAAAAAAAAAAAAAAAAACACACAAAAAAAAAAAAAAAAAAAAAAAAAAAAAAAAAAAAAAAAAAAaaaaaaaaaaaaaaa</t>
  </si>
  <si>
    <t>AATATTTTTAAGA</t>
  </si>
  <si>
    <t>AAAAAAAAAAAAAAAAAAAAAAAAAAAAAAAAAAAAAAAAAAAAAAAAAAAAAAAAAAAAAAAAAAAAAAAAAAAAAAAaa</t>
  </si>
  <si>
    <t>AAATTTTTTATTGTC</t>
  </si>
  <si>
    <t>AAAAAAAAAAAAAAAAAACATTACAAAAAAAAAAAAAAAAAAAAAGAAAAAAAAAAAAAAAAAAAAAAAAAAAAAAAAAAAAAAaaa</t>
  </si>
  <si>
    <t>AAAAAAAAAAA</t>
  </si>
  <si>
    <t>AAAAAAAAAAAAAGAAAAA</t>
  </si>
  <si>
    <t>AAAAAAAAAAAAAAAAAAAACATTACAaaaaaaaaaaaaa</t>
  </si>
  <si>
    <t>AACAGAATAGCAGGTAC</t>
  </si>
  <si>
    <t>AAAAAAAAAAAAAAAAACATTACAAAAAAAAAAAAAAAAAAAGAAAAAAAAAAAAAAAAAAAAAAAAAAAAAAAAAAAAAAAAAAAAAAAAAAAAAAAAAAAAAAAAAAaa</t>
  </si>
  <si>
    <t>AAGAAGAGAGAT</t>
  </si>
  <si>
    <t>AAAAAAAAAAAAAAAAAAAACATTACAAAAAAAAAAAAAAAAAAAAGAAAAAAAAAAAAAAAAAAAAAAAAAACACACAAAAAAAAAAAAAAAAAAAAAaa</t>
  </si>
  <si>
    <t>AAAACATTTTTTA</t>
  </si>
  <si>
    <t>AAAAAAAAAAAAAAAAAAAAAAAAAAACATTACAAAAAAAAAAAAAAAAAAAAAAAAAAAAAAAAAAGAAAAAAAAAAAAAAAAAAAAAAAAAAAAAAAAAAAAAAAAaaaa</t>
  </si>
  <si>
    <t>AAAAAATAAAAACA</t>
  </si>
  <si>
    <t>AAAAAAAAAAACTAAAAAAAAAATACAAAAAAAAAAAAaaaaaa</t>
  </si>
  <si>
    <t>AAGAATATTTAACAC</t>
  </si>
  <si>
    <t>AAAAAAAAAAAACTAAAAAAAAAATACAAAAAAAAAAAAATTAAAAAAAAAAAAAAAAAAAAAAAaa</t>
  </si>
  <si>
    <t>AGAAATCAGCCATCAT</t>
  </si>
  <si>
    <t>AAAAAAAAAAAAAAAAAAAAAAAAAAAAAAAAAAAAAAAAAAAAAAAAAAAAAAAAAAAAAAAAAAAAAAAAAAAAAAAAAAAAAAAAAAAAAAAAAA</t>
  </si>
  <si>
    <t>AAACTCAGTATTCT</t>
  </si>
  <si>
    <t>AAAAAAAAAACTAAAAAAAAAAAATACAAAAAAAAAAAAAAAAAAAAAAAAAAAAAAAAAAAAAAAAaaa</t>
  </si>
  <si>
    <t>AAGAAATGGGAGCCTTC</t>
  </si>
  <si>
    <t>AAAAAAAAAAACTAAAAAAAAAAAAAAAAAAAAAAAAAAAAAAAAAAAAAAAAAAAAAAAAAAAAAAAAAAAAAAAAAAAAAAAAAAAAAAAAAAAAAAAAAAAAAAAAAAAaa</t>
  </si>
  <si>
    <t>AAAAACTTGTTT</t>
  </si>
  <si>
    <t>AAAAAAAAAACTAAAAAAAAAAAATACAAAAAAAAAAAAAAAAAAAAAAAAAAAAAAAAAAAAAAAAAAAAAAAAAaaaaa</t>
  </si>
  <si>
    <t>AAAAAAAAAAAAAAAAA</t>
  </si>
  <si>
    <t>AAAAAAAAAAAAAAACTAAAAAAAAAATACAAAAAAAAAAAAAAAAAAAAAAAAAAAAAAAAAAAAAAAAAAAaaaaaaaaaaaaaaaaaa</t>
  </si>
  <si>
    <t>AAAAATGATAGTA</t>
  </si>
  <si>
    <t>AAAAAAAAAAACTAAAAAAAAAAAAAAAAAAAAAAATACAAAAAAAAAAAaaaaa</t>
  </si>
  <si>
    <t>AAAACAGCAAAAG</t>
  </si>
  <si>
    <t>AAAAAAAAAAAAAAAAAAAAAAAAAACATTACAAAAAAAAAAAAAAAAAAAAAAGAAAAAAAAAAAAAAAAAAAAAAAAAAAAAAAAAAAAaaaa</t>
  </si>
  <si>
    <t>AGAAAAGCCGCAAACTC</t>
  </si>
  <si>
    <t>AAAAAAAAAAAAAAAAAACATTACAAAAAAAAAAAAAAAAAAAAAAAGAAAAAAAAAAAAAAAAAAAAAAAAa</t>
  </si>
  <si>
    <t>AAGAAGGAGAAATCA</t>
  </si>
  <si>
    <t>AAAAAAAAAAAAAAAAAAAAAAAAAAAAAACATTACAAAAAAAAAAAAAAAAAAAAAAAAAAAAAAAGAAAAAAAAAAAAAAAAAACACACAAAAAAAAAAAAAAAAAAAAAAAAAAAAAAAAaa</t>
  </si>
  <si>
    <t>AGAAATACTATAAAAAAT</t>
  </si>
  <si>
    <t>AAAAATTATAAATGCA</t>
  </si>
  <si>
    <t>AAAAAAAAAAAAAAAAAAAAAAAAAAAAAAAAAAAAAAAAAAAAAAAAAAAaaaaa</t>
  </si>
  <si>
    <t>AAAAAAGTAAAAATAA</t>
  </si>
  <si>
    <t>AAAAAAAAAAAAAAAAAAAAAAAAACATTACAAAAAAAAAAAAAAAAAAAAAAAAAAAAAAAAAAAAAAAAAGAAAAAAAAAAAAAAAaaaaaa</t>
  </si>
  <si>
    <t>AAGAATACAAAAATTAG</t>
  </si>
  <si>
    <t>AAAAAAAAAAAAAAAAAAAACATTACAAAAAAAAAAAAAAAAAAAAAAAGAAAAAAAAAAAAAAAAAAAAAAAAAAAAAAAAAAAAAAAAAAAAAAAAAAAAAAAAAAAAAAAAAAaa</t>
  </si>
  <si>
    <t>AAAATTGA</t>
  </si>
  <si>
    <t>AAAAAAAAAAAAAAAAAAAAAACATTACAAAAAAAAAAAAAAAAAAAAAAAAAGAAAAAAAAAAAAAAAAAAAAAAAAAAAAAAAAAAAAAAAAAAAAAAAAAAAAAAAAAAAAAAAAAAAAAAAAAACACACaaaa</t>
  </si>
  <si>
    <t>AAAAA</t>
  </si>
  <si>
    <t>AAAAAAAAAAAAAAAAAAAAAAAAAAAAAAAAAAAAAAAaaaa</t>
  </si>
  <si>
    <t>AAGGACTCTTGTG</t>
  </si>
  <si>
    <t>AAAAAAAAAAAAAAAAAAAAAAAAAAAAAAAAAAAAAAAAAAAAAAAAAAAAAAAAAAAAAAAAAAAAAAAAAAAAAAAAAAAAAAAAAAAAAAAAAAAAAAAAAAAAAAAAAAAAAAAAAAAAAAAAAAAAAAAAAAAAaa</t>
  </si>
  <si>
    <t>ATTTCT</t>
  </si>
  <si>
    <t>AAAAAAAAAAAAAAAAAAAAAAAACATTACAAAAAAAAAAAAAAAAAAAAAAAAAAAAAAAAAAAAAAAAAAAAAGAAAAAAAa</t>
  </si>
  <si>
    <t>AAGACTTATTTTG</t>
  </si>
  <si>
    <t>AAAAAAAAAACTAAAAAAAAAAATACAAAAAAAAAAAAAAAAAAAAAAAAAAAAAAAAAAAAAAAAAAAAAAAAAAAAAAAaa</t>
  </si>
  <si>
    <t xml:space="preserve">position </t>
  </si>
  <si>
    <t xml:space="preserve"> pBS-Ya5rescue-SH</t>
  </si>
  <si>
    <t>no</t>
  </si>
  <si>
    <t>yes: 115-121 bp</t>
  </si>
  <si>
    <t>yes: 129 bp</t>
  </si>
  <si>
    <t>yes: 226 bp</t>
  </si>
  <si>
    <t>dark brown = or &gt; than 2 fold:  with 82 out of 234 total (35.04%)</t>
  </si>
  <si>
    <t>Light font &lt; than 1 fold (truncation by internal priming at TPRT): with 17 out of 234 (7.27 %)</t>
  </si>
  <si>
    <t>total</t>
  </si>
  <si>
    <t>PLASMID:  pBS-Ya5rescue-A30D</t>
  </si>
  <si>
    <t xml:space="preserve"> pBS-Ya5rescue-A70D</t>
  </si>
  <si>
    <t xml:space="preserve"> pBS-Ya5rescue-A30D</t>
  </si>
  <si>
    <t>AAAAAAAAAAAAAAAAAAAAAAAaCaTTaCAAAAAAAAAAAAAAAAAAAAAAAAAAAAAAAAAAAAAAAAAAAAAAAAAAAAAAAAAAAAAA</t>
  </si>
  <si>
    <t xml:space="preserve"> pBS-Ya5rescue-A70Du</t>
  </si>
  <si>
    <t xml:space="preserve"> pBS-Jorescue-70Du</t>
  </si>
  <si>
    <t>PLASMID:  pBS-Ya5rescue-A70D and pBS-Ya5rescue-A70Du</t>
  </si>
  <si>
    <t>Mean</t>
  </si>
  <si>
    <t>St Dev</t>
  </si>
  <si>
    <t>Median</t>
  </si>
  <si>
    <t>AAAAAAAAAAAAAAAAAAAAAAAAAAAAAAAAAAAAAAAAAAAAAAAAAAAAAAAAAAAAAAAAAAAAAAAAAAAAAAAAAAAAAAAAAAACATTACAAAAAAAAAAAAAAAAAAAAAAAAAAAAAAAAAAAAAAAAAAAAAAAAAAAAAAAAAAGAAAAAAAAAGagaaa</t>
  </si>
  <si>
    <t>number of elements that primed at this region:</t>
  </si>
  <si>
    <t>A-tail data of Alu inserts recovered</t>
  </si>
  <si>
    <t>clones 1-144: complete characterization</t>
  </si>
  <si>
    <t xml:space="preserve">5' sequence </t>
  </si>
  <si>
    <t>*direct repeat not included so as to represent the preinsertion site</t>
  </si>
  <si>
    <t>m</t>
  </si>
  <si>
    <t>yes: 221 bp</t>
  </si>
  <si>
    <t>yes: 15 bp</t>
  </si>
  <si>
    <r>
      <t>yes:</t>
    </r>
    <r>
      <rPr>
        <sz val="9"/>
        <color theme="1"/>
        <rFont val="Calibri"/>
        <family val="2"/>
        <scheme val="minor"/>
      </rPr>
      <t xml:space="preserve"> entire Alu absent</t>
    </r>
  </si>
  <si>
    <t>yes:152 bp</t>
  </si>
  <si>
    <t>*undetermined (no 3' sequence)</t>
  </si>
  <si>
    <t>*We were unable to sequence through the Atail into the 3' flank and none of several primers designed to anneal on the predicted 3' flank yielded any sequence information.</t>
  </si>
  <si>
    <t>none (inserted through recombination)</t>
  </si>
  <si>
    <t>*truncations are not included in the count</t>
  </si>
  <si>
    <t xml:space="preserve">Percent of internal segments that show expansion of more than 4 bp: </t>
  </si>
  <si>
    <t xml:space="preserve">Percent of terminal that show expansion of more than 4bp: </t>
  </si>
  <si>
    <t>red =increase of more than 2 fold relative to parental</t>
  </si>
  <si>
    <t>Raw data from:</t>
  </si>
  <si>
    <t>Additional INSERTs recovered for insertion site distribution analysis:</t>
  </si>
  <si>
    <t>Not Done</t>
  </si>
  <si>
    <t>6^</t>
  </si>
  <si>
    <t xml:space="preserve">none </t>
  </si>
  <si>
    <t>…</t>
  </si>
  <si>
    <t>AAAAACAAAAAAGGA</t>
  </si>
  <si>
    <t>AAAAATCAGAAATG</t>
  </si>
  <si>
    <t>AAGAACTTCCC</t>
  </si>
  <si>
    <t>AAAAGAACCCAGCAA</t>
  </si>
  <si>
    <t>AAATAATGCAGTAA</t>
  </si>
  <si>
    <t>UNDETERMINED</t>
  </si>
  <si>
    <t>AAAAAATGCAGAT</t>
  </si>
  <si>
    <t>AAAAATTTTCA</t>
  </si>
  <si>
    <t>AGAATTGTTTTCCA</t>
  </si>
  <si>
    <t>ACTAAATCTTCCT</t>
  </si>
  <si>
    <t>AGAATTTTATTATCTC</t>
  </si>
  <si>
    <t>AAGGAGGTGAATTT</t>
  </si>
  <si>
    <t>AAAATTCTTAGTTTT</t>
  </si>
  <si>
    <t>AAGAAAAAGGAAG</t>
  </si>
  <si>
    <t>AGAAGTATATGCA</t>
  </si>
  <si>
    <t>AAAAAAATAAAGTAGG</t>
  </si>
  <si>
    <t>AGAAATATAAGTGTT</t>
  </si>
  <si>
    <t>AAAAGTGATAGGT</t>
  </si>
  <si>
    <t>AAAGAAGCACAGCA</t>
  </si>
  <si>
    <t>GAACTGGGCAGAGCC</t>
  </si>
  <si>
    <t>AGAACTGCTGTATT</t>
  </si>
  <si>
    <t>AAATAAATTTAATA</t>
  </si>
  <si>
    <t>AAGAATATACCAT</t>
  </si>
  <si>
    <t>ATGAGTATGT</t>
  </si>
  <si>
    <t>AAGAGAATGTTTACTACA</t>
  </si>
  <si>
    <t>AAAAATAATTTAGCAGATCA</t>
  </si>
  <si>
    <t>AAAAAAAAATTACAATGTT</t>
  </si>
  <si>
    <t>CAAACTAACTATAAGGC</t>
  </si>
  <si>
    <t>AGAAAGGACATCTGTT</t>
  </si>
  <si>
    <t>AAAAGTTACATCA</t>
  </si>
  <si>
    <t>AAATGTTTATTATTT</t>
  </si>
  <si>
    <t>AGAGAAAGAGATTTA</t>
  </si>
  <si>
    <t>AAAAATTTAA</t>
  </si>
  <si>
    <t>AAAAAAACAGATATA</t>
  </si>
  <si>
    <t>AAGAAAAGA</t>
  </si>
  <si>
    <t>AGAAATGGTGTGCTTA</t>
  </si>
  <si>
    <t>AAAAATTAGCCAAGCA</t>
  </si>
  <si>
    <t>AAACATTAAGCTG</t>
  </si>
  <si>
    <t>TAAAACAAATTCAT</t>
  </si>
  <si>
    <t>AAGAAATATATTATT</t>
  </si>
  <si>
    <t>AAAAGATCAATGTTGG</t>
  </si>
  <si>
    <t>AAAAAAAAATTATT</t>
  </si>
  <si>
    <t>AGAAACTCAGAGTT</t>
  </si>
  <si>
    <t>AAAAAAAAAAAAGG</t>
  </si>
  <si>
    <t>CAAAAAAAAAAAAAAAAAAA</t>
  </si>
  <si>
    <t>AAGCTGAGATC</t>
  </si>
  <si>
    <t>AAAAATTAAAGAGATCT</t>
  </si>
  <si>
    <t>AAGAATGGCAGACA</t>
  </si>
  <si>
    <t>AAAAAAAGCTCTTA</t>
  </si>
  <si>
    <t>AAAGAATTATTTGTA</t>
  </si>
  <si>
    <t>AAGAGATTGTC</t>
  </si>
  <si>
    <t>AAAAGCCGTATGTG</t>
  </si>
  <si>
    <t>AGAAATGCAAATTCCC</t>
  </si>
  <si>
    <t>AGAATGGGTCACTTCA</t>
  </si>
  <si>
    <t>AAAAAAAAAAAAAACA</t>
  </si>
  <si>
    <t>AAGACTCATGGAC</t>
  </si>
  <si>
    <t>GAAAAACTCATCAT</t>
  </si>
  <si>
    <t>AGGAGTACTTTTC</t>
  </si>
  <si>
    <t>TAAAGTGTTGGGGT</t>
  </si>
  <si>
    <t>AAAGAGGTATTAGAGA</t>
  </si>
  <si>
    <t>AAAACAATAAACT</t>
  </si>
  <si>
    <t>AAAAGAAAAAAGAATGG</t>
  </si>
  <si>
    <t>AAGAAAAATGTT</t>
  </si>
  <si>
    <t>AAGAAAATTA</t>
  </si>
  <si>
    <t>AGACATTTAAAAAGTC</t>
  </si>
  <si>
    <t>AAAAAATCCTACAGT</t>
  </si>
  <si>
    <t>AGAAAAGAAATAAAACA</t>
  </si>
  <si>
    <t>AAGAAGTTATCCAGCTC</t>
  </si>
  <si>
    <t>AAGAAAGAAGTATTATTAATT</t>
  </si>
  <si>
    <t>AATAGTTACCTAATT</t>
  </si>
  <si>
    <t>GAGAATTAAATGAGCTA</t>
  </si>
  <si>
    <t>TGAAAGCACA</t>
  </si>
  <si>
    <t>AAGAAATAATTGA</t>
  </si>
  <si>
    <t>AAAAAATTCTACTTTA</t>
  </si>
  <si>
    <t>AAAGAGATAAATAGGT</t>
  </si>
  <si>
    <t>AAGAAAACTA</t>
  </si>
  <si>
    <t>GAAACTGGGTG</t>
  </si>
  <si>
    <t>TAAAGTGGAATCCA</t>
  </si>
  <si>
    <t>AAGAAGTAAGTTTTC</t>
  </si>
  <si>
    <t>AAAAAGTAATTAATA</t>
  </si>
  <si>
    <t>TAAAACAATAAATCC</t>
  </si>
  <si>
    <t>TAAAAATTCTGTGATCAA</t>
  </si>
  <si>
    <t>AAGAAATTCCT</t>
  </si>
  <si>
    <t>AAGAGTTCTTTATATAT</t>
  </si>
  <si>
    <t>AAAAAAAAATATTTTA</t>
  </si>
  <si>
    <t>GAAAATCTCA</t>
  </si>
  <si>
    <t>AAAAATAAATAAATA</t>
  </si>
  <si>
    <t>AAAAAAAAGTGTC</t>
  </si>
  <si>
    <t>AAAAGTGACTCC</t>
  </si>
  <si>
    <t>AAGATTTACTGCTCCTC</t>
  </si>
  <si>
    <t>genic /exon</t>
  </si>
  <si>
    <t>clones 150-268:  additional data for insertion site distribution analysis</t>
  </si>
  <si>
    <t>insertion by recombination with genomic Alu: caused 98,865 kb deletion</t>
  </si>
  <si>
    <t xml:space="preserve">yes: 116 bp </t>
  </si>
  <si>
    <t>insertion by recombination with genomic Alu: caused 98,865 bp deletion</t>
  </si>
  <si>
    <t>Atypical insertion</t>
  </si>
  <si>
    <t>insertion by recombination with genomic Alu</t>
  </si>
  <si>
    <t>No DR,  caused a 22 bp genomic deletion</t>
  </si>
  <si>
    <t>None</t>
  </si>
  <si>
    <t>Landed in the CDS of DNAJC6</t>
  </si>
  <si>
    <t>Landed in the CDS of PTGS2</t>
  </si>
  <si>
    <t xml:space="preserve">^ landed in an L1, chromosome 6 is the best match, but this may be an insertion in an unannotated L1 element not present in the human reference sequence </t>
  </si>
  <si>
    <t>yes: 84-89 bp</t>
  </si>
  <si>
    <t>5' Alu truncation or recombination: (bp missing)</t>
  </si>
  <si>
    <t>Other observations</t>
  </si>
</sst>
</file>

<file path=xl/styles.xml><?xml version="1.0" encoding="utf-8"?>
<styleSheet xmlns="http://schemas.openxmlformats.org/spreadsheetml/2006/main">
  <numFmts count="1">
    <numFmt numFmtId="164" formatCode="0.0"/>
  </numFmts>
  <fonts count="2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Courier New"/>
      <family val="3"/>
    </font>
    <font>
      <sz val="10"/>
      <name val="Courier New"/>
      <family val="3"/>
    </font>
    <font>
      <sz val="10"/>
      <color indexed="10"/>
      <name val="Courier New"/>
      <family val="3"/>
    </font>
    <font>
      <b/>
      <sz val="10"/>
      <color indexed="10"/>
      <name val="Courier New"/>
      <family val="3"/>
    </font>
    <font>
      <sz val="10"/>
      <color indexed="8"/>
      <name val="Courier New"/>
      <family val="3"/>
    </font>
    <font>
      <sz val="10"/>
      <name val="Arial"/>
      <family val="2"/>
    </font>
    <font>
      <b/>
      <sz val="10"/>
      <color theme="1"/>
      <name val="Courier New"/>
      <family val="3"/>
    </font>
    <font>
      <sz val="10"/>
      <color theme="1"/>
      <name val="Courier New"/>
      <family val="3"/>
    </font>
    <font>
      <sz val="10"/>
      <color theme="9" tint="0.39997558519241921"/>
      <name val="Courier New"/>
      <family val="3"/>
    </font>
    <font>
      <sz val="11"/>
      <color theme="1"/>
      <name val="Arial"/>
      <family val="2"/>
    </font>
    <font>
      <u/>
      <sz val="10"/>
      <color theme="1"/>
      <name val="Courier New"/>
      <family val="3"/>
    </font>
    <font>
      <sz val="10"/>
      <color rgb="FF000000"/>
      <name val="Courier New"/>
      <family val="3"/>
    </font>
    <font>
      <u/>
      <sz val="10"/>
      <color rgb="FF000000"/>
      <name val="Courier New"/>
      <family val="3"/>
    </font>
    <font>
      <sz val="11"/>
      <color theme="1"/>
      <name val="Courier New"/>
      <family val="3"/>
    </font>
    <font>
      <u/>
      <sz val="10"/>
      <color theme="3" tint="0.39997558519241921"/>
      <name val="Courier New"/>
      <family val="3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 Unicode MS"/>
      <family val="2"/>
    </font>
    <font>
      <sz val="11"/>
      <name val="Courier New"/>
      <family val="3"/>
    </font>
    <font>
      <sz val="11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7923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8" fillId="8" borderId="11" xfId="0" applyFont="1" applyFill="1" applyBorder="1" applyAlignment="1">
      <alignment horizontal="center"/>
    </xf>
    <xf numFmtId="0" fontId="8" fillId="8" borderId="12" xfId="0" applyFont="1" applyFill="1" applyBorder="1" applyAlignment="1">
      <alignment horizontal="center"/>
    </xf>
    <xf numFmtId="0" fontId="9" fillId="0" borderId="0" xfId="0" applyFont="1"/>
    <xf numFmtId="0" fontId="4" fillId="10" borderId="8" xfId="0" applyFont="1" applyFill="1" applyBorder="1" applyAlignment="1">
      <alignment horizontal="center"/>
    </xf>
    <xf numFmtId="0" fontId="4" fillId="11" borderId="8" xfId="0" applyFont="1" applyFill="1" applyBorder="1" applyAlignment="1">
      <alignment horizontal="center"/>
    </xf>
    <xf numFmtId="0" fontId="4" fillId="12" borderId="8" xfId="0" applyFont="1" applyFill="1" applyBorder="1" applyAlignment="1">
      <alignment horizontal="center"/>
    </xf>
    <xf numFmtId="0" fontId="5" fillId="9" borderId="8" xfId="0" applyFont="1" applyFill="1" applyBorder="1" applyAlignment="1">
      <alignment horizontal="center"/>
    </xf>
    <xf numFmtId="2" fontId="5" fillId="13" borderId="13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/>
    </xf>
    <xf numFmtId="2" fontId="5" fillId="13" borderId="8" xfId="0" applyNumberFormat="1" applyFont="1" applyFill="1" applyBorder="1" applyAlignment="1">
      <alignment horizontal="center"/>
    </xf>
    <xf numFmtId="2" fontId="8" fillId="13" borderId="13" xfId="0" applyNumberFormat="1" applyFont="1" applyFill="1" applyBorder="1" applyAlignment="1">
      <alignment horizontal="center"/>
    </xf>
    <xf numFmtId="2" fontId="8" fillId="8" borderId="8" xfId="0" applyNumberFormat="1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2" fontId="8" fillId="8" borderId="13" xfId="0" applyNumberFormat="1" applyFont="1" applyFill="1" applyBorder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left"/>
    </xf>
    <xf numFmtId="0" fontId="0" fillId="0" borderId="14" xfId="0" applyBorder="1"/>
    <xf numFmtId="2" fontId="0" fillId="0" borderId="14" xfId="0" applyNumberFormat="1" applyBorder="1"/>
    <xf numFmtId="0" fontId="5" fillId="9" borderId="5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1" borderId="5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5" borderId="2" xfId="0" applyFont="1" applyFill="1" applyBorder="1" applyAlignment="1">
      <alignment horizontal="center"/>
    </xf>
    <xf numFmtId="0" fontId="4" fillId="16" borderId="2" xfId="0" applyFont="1" applyFill="1" applyBorder="1" applyAlignment="1">
      <alignment horizontal="center"/>
    </xf>
    <xf numFmtId="2" fontId="12" fillId="13" borderId="13" xfId="0" applyNumberFormat="1" applyFont="1" applyFill="1" applyBorder="1" applyAlignment="1">
      <alignment horizontal="center"/>
    </xf>
    <xf numFmtId="2" fontId="5" fillId="17" borderId="13" xfId="0" applyNumberFormat="1" applyFont="1" applyFill="1" applyBorder="1" applyAlignment="1">
      <alignment horizontal="center"/>
    </xf>
    <xf numFmtId="2" fontId="8" fillId="17" borderId="8" xfId="0" applyNumberFormat="1" applyFont="1" applyFill="1" applyBorder="1" applyAlignment="1">
      <alignment horizontal="center"/>
    </xf>
    <xf numFmtId="2" fontId="5" fillId="17" borderId="8" xfId="0" applyNumberFormat="1" applyFont="1" applyFill="1" applyBorder="1" applyAlignment="1">
      <alignment horizontal="center"/>
    </xf>
    <xf numFmtId="2" fontId="12" fillId="13" borderId="8" xfId="0" applyNumberFormat="1" applyFont="1" applyFill="1" applyBorder="1" applyAlignment="1">
      <alignment horizontal="center"/>
    </xf>
    <xf numFmtId="0" fontId="4" fillId="18" borderId="1" xfId="0" applyFont="1" applyFill="1" applyBorder="1" applyAlignment="1">
      <alignment horizontal="center"/>
    </xf>
    <xf numFmtId="0" fontId="4" fillId="18" borderId="2" xfId="0" applyFont="1" applyFill="1" applyBorder="1" applyAlignment="1">
      <alignment horizontal="center"/>
    </xf>
    <xf numFmtId="0" fontId="4" fillId="18" borderId="3" xfId="0" applyFont="1" applyFill="1" applyBorder="1" applyAlignment="1">
      <alignment horizontal="center"/>
    </xf>
    <xf numFmtId="2" fontId="11" fillId="13" borderId="13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11" fillId="0" borderId="0" xfId="0" applyFont="1"/>
    <xf numFmtId="0" fontId="15" fillId="0" borderId="0" xfId="0" applyFont="1"/>
    <xf numFmtId="0" fontId="0" fillId="0" borderId="0" xfId="0" applyFont="1"/>
    <xf numFmtId="0" fontId="17" fillId="0" borderId="0" xfId="0" applyFont="1"/>
    <xf numFmtId="0" fontId="0" fillId="0" borderId="0" xfId="0" applyAlignment="1">
      <alignment horizontal="center"/>
    </xf>
    <xf numFmtId="0" fontId="0" fillId="0" borderId="0" xfId="0" applyFill="1"/>
    <xf numFmtId="0" fontId="0" fillId="20" borderId="0" xfId="0" applyFont="1" applyFill="1" applyAlignment="1">
      <alignment horizontal="center"/>
    </xf>
    <xf numFmtId="0" fontId="0" fillId="19" borderId="0" xfId="0" applyFont="1" applyFill="1" applyAlignment="1">
      <alignment horizontal="center"/>
    </xf>
    <xf numFmtId="0" fontId="0" fillId="20" borderId="0" xfId="0" applyFill="1" applyAlignment="1">
      <alignment horizontal="center"/>
    </xf>
    <xf numFmtId="0" fontId="1" fillId="0" borderId="0" xfId="0" applyFont="1" applyFill="1"/>
    <xf numFmtId="0" fontId="0" fillId="0" borderId="0" xfId="0" applyFill="1" applyAlignment="1">
      <alignment horizontal="center"/>
    </xf>
    <xf numFmtId="0" fontId="13" fillId="0" borderId="0" xfId="0" applyFont="1" applyFill="1"/>
    <xf numFmtId="0" fontId="11" fillId="0" borderId="0" xfId="0" applyFont="1" applyFill="1"/>
    <xf numFmtId="0" fontId="15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/>
    <xf numFmtId="0" fontId="17" fillId="0" borderId="0" xfId="0" applyFont="1" applyFill="1"/>
    <xf numFmtId="0" fontId="2" fillId="0" borderId="0" xfId="0" applyFont="1" applyFill="1"/>
    <xf numFmtId="0" fontId="19" fillId="0" borderId="0" xfId="0" applyFont="1"/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" fillId="0" borderId="14" xfId="0" applyFont="1" applyBorder="1"/>
    <xf numFmtId="0" fontId="1" fillId="20" borderId="14" xfId="0" applyFont="1" applyFill="1" applyBorder="1"/>
    <xf numFmtId="0" fontId="0" fillId="20" borderId="14" xfId="0" applyFill="1" applyBorder="1"/>
    <xf numFmtId="0" fontId="0" fillId="19" borderId="0" xfId="0" applyFill="1"/>
    <xf numFmtId="0" fontId="5" fillId="22" borderId="5" xfId="0" applyFont="1" applyFill="1" applyBorder="1" applyAlignment="1">
      <alignment horizontal="center"/>
    </xf>
    <xf numFmtId="0" fontId="8" fillId="22" borderId="8" xfId="0" applyFont="1" applyFill="1" applyBorder="1" applyAlignment="1">
      <alignment horizontal="center"/>
    </xf>
    <xf numFmtId="0" fontId="5" fillId="22" borderId="8" xfId="0" applyFont="1" applyFill="1" applyBorder="1" applyAlignment="1">
      <alignment horizontal="center"/>
    </xf>
    <xf numFmtId="0" fontId="5" fillId="22" borderId="6" xfId="0" applyFont="1" applyFill="1" applyBorder="1" applyAlignment="1">
      <alignment horizontal="center"/>
    </xf>
    <xf numFmtId="0" fontId="5" fillId="22" borderId="9" xfId="0" applyFont="1" applyFill="1" applyBorder="1" applyAlignment="1">
      <alignment horizontal="center"/>
    </xf>
    <xf numFmtId="0" fontId="6" fillId="22" borderId="9" xfId="0" applyFont="1" applyFill="1" applyBorder="1" applyAlignment="1">
      <alignment horizontal="center"/>
    </xf>
    <xf numFmtId="0" fontId="7" fillId="22" borderId="8" xfId="0" applyFont="1" applyFill="1" applyBorder="1" applyAlignment="1">
      <alignment horizontal="center"/>
    </xf>
    <xf numFmtId="0" fontId="7" fillId="22" borderId="10" xfId="0" applyFont="1" applyFill="1" applyBorder="1" applyAlignment="1">
      <alignment horizontal="center"/>
    </xf>
    <xf numFmtId="0" fontId="10" fillId="22" borderId="8" xfId="0" applyFont="1" applyFill="1" applyBorder="1" applyAlignment="1">
      <alignment horizontal="center"/>
    </xf>
    <xf numFmtId="0" fontId="11" fillId="22" borderId="8" xfId="0" applyFont="1" applyFill="1" applyBorder="1" applyAlignment="1">
      <alignment horizontal="center"/>
    </xf>
    <xf numFmtId="0" fontId="0" fillId="22" borderId="8" xfId="0" applyFill="1" applyBorder="1"/>
    <xf numFmtId="0" fontId="0" fillId="23" borderId="8" xfId="0" applyFill="1" applyBorder="1"/>
    <xf numFmtId="0" fontId="0" fillId="0" borderId="15" xfId="0" applyBorder="1"/>
    <xf numFmtId="2" fontId="0" fillId="0" borderId="16" xfId="0" applyNumberFormat="1" applyBorder="1"/>
    <xf numFmtId="2" fontId="0" fillId="0" borderId="17" xfId="0" applyNumberFormat="1" applyBorder="1"/>
    <xf numFmtId="0" fontId="0" fillId="0" borderId="18" xfId="0" applyBorder="1"/>
    <xf numFmtId="2" fontId="0" fillId="0" borderId="19" xfId="0" applyNumberFormat="1" applyBorder="1"/>
    <xf numFmtId="0" fontId="0" fillId="0" borderId="20" xfId="0" applyBorder="1"/>
    <xf numFmtId="2" fontId="0" fillId="0" borderId="0" xfId="0" applyNumberFormat="1" applyBorder="1"/>
    <xf numFmtId="2" fontId="0" fillId="0" borderId="0" xfId="0" applyNumberFormat="1" applyFill="1" applyBorder="1"/>
    <xf numFmtId="2" fontId="0" fillId="0" borderId="21" xfId="0" applyNumberFormat="1" applyBorder="1"/>
    <xf numFmtId="2" fontId="0" fillId="0" borderId="14" xfId="0" applyNumberFormat="1" applyFill="1" applyBorder="1"/>
    <xf numFmtId="0" fontId="0" fillId="21" borderId="8" xfId="0" applyFill="1" applyBorder="1"/>
    <xf numFmtId="3" fontId="0" fillId="0" borderId="0" xfId="0" applyNumberFormat="1"/>
    <xf numFmtId="0" fontId="0" fillId="0" borderId="14" xfId="0" applyBorder="1" applyAlignment="1">
      <alignment horizontal="center"/>
    </xf>
    <xf numFmtId="0" fontId="20" fillId="0" borderId="0" xfId="0" applyFont="1"/>
    <xf numFmtId="0" fontId="0" fillId="20" borderId="0" xfId="0" applyFill="1"/>
    <xf numFmtId="164" fontId="0" fillId="0" borderId="0" xfId="0" applyNumberFormat="1"/>
    <xf numFmtId="0" fontId="0" fillId="0" borderId="14" xfId="0" applyBorder="1" applyAlignment="1">
      <alignment horizontal="center"/>
    </xf>
    <xf numFmtId="0" fontId="17" fillId="0" borderId="14" xfId="0" applyFont="1" applyBorder="1"/>
    <xf numFmtId="3" fontId="0" fillId="0" borderId="14" xfId="0" applyNumberFormat="1" applyBorder="1"/>
    <xf numFmtId="0" fontId="0" fillId="19" borderId="14" xfId="0" applyFill="1" applyBorder="1"/>
    <xf numFmtId="0" fontId="20" fillId="0" borderId="14" xfId="0" applyFont="1" applyBorder="1"/>
    <xf numFmtId="0" fontId="1" fillId="0" borderId="14" xfId="0" applyFont="1" applyBorder="1" applyAlignment="1"/>
    <xf numFmtId="0" fontId="1" fillId="0" borderId="0" xfId="0" applyFont="1" applyBorder="1" applyAlignment="1"/>
    <xf numFmtId="0" fontId="21" fillId="0" borderId="0" xfId="0" applyFont="1"/>
    <xf numFmtId="3" fontId="22" fillId="0" borderId="0" xfId="0" applyNumberFormat="1" applyFont="1"/>
    <xf numFmtId="0" fontId="0" fillId="0" borderId="14" xfId="0" applyBorder="1" applyAlignment="1">
      <alignment horizontal="center"/>
    </xf>
    <xf numFmtId="0" fontId="1" fillId="0" borderId="22" xfId="0" applyFont="1" applyBorder="1"/>
    <xf numFmtId="0" fontId="0" fillId="0" borderId="22" xfId="0" applyBorder="1"/>
    <xf numFmtId="0" fontId="0" fillId="0" borderId="22" xfId="0" applyBorder="1" applyAlignment="1">
      <alignment horizontal="center"/>
    </xf>
    <xf numFmtId="3" fontId="0" fillId="0" borderId="22" xfId="0" applyNumberFormat="1" applyBorder="1"/>
    <xf numFmtId="0" fontId="20" fillId="0" borderId="22" xfId="0" applyFont="1" applyBorder="1"/>
    <xf numFmtId="0" fontId="17" fillId="0" borderId="22" xfId="0" applyFont="1" applyBorder="1"/>
    <xf numFmtId="0" fontId="0" fillId="0" borderId="22" xfId="0" applyFill="1" applyBorder="1"/>
    <xf numFmtId="0" fontId="0" fillId="22" borderId="15" xfId="0" applyFill="1" applyBorder="1"/>
    <xf numFmtId="0" fontId="0" fillId="22" borderId="16" xfId="0" applyFill="1" applyBorder="1"/>
    <xf numFmtId="2" fontId="0" fillId="22" borderId="17" xfId="0" applyNumberFormat="1" applyFill="1" applyBorder="1"/>
    <xf numFmtId="0" fontId="0" fillId="23" borderId="18" xfId="0" applyFill="1" applyBorder="1"/>
    <xf numFmtId="0" fontId="0" fillId="23" borderId="14" xfId="0" applyFill="1" applyBorder="1"/>
    <xf numFmtId="2" fontId="0" fillId="23" borderId="19" xfId="0" applyNumberFormat="1" applyFill="1" applyBorder="1"/>
    <xf numFmtId="0" fontId="17" fillId="24" borderId="0" xfId="0" applyFont="1" applyFill="1"/>
    <xf numFmtId="0" fontId="11" fillId="24" borderId="14" xfId="0" applyFont="1" applyFill="1" applyBorder="1"/>
    <xf numFmtId="0" fontId="0" fillId="0" borderId="0" xfId="0" applyFill="1" applyBorder="1"/>
    <xf numFmtId="0" fontId="0" fillId="0" borderId="16" xfId="0" applyFill="1" applyBorder="1"/>
    <xf numFmtId="0" fontId="0" fillId="20" borderId="16" xfId="0" applyFill="1" applyBorder="1"/>
    <xf numFmtId="0" fontId="0" fillId="19" borderId="16" xfId="0" applyFill="1" applyBorder="1"/>
    <xf numFmtId="0" fontId="0" fillId="25" borderId="0" xfId="0" applyFill="1" applyAlignment="1">
      <alignment horizontal="center"/>
    </xf>
    <xf numFmtId="0" fontId="2" fillId="25" borderId="0" xfId="0" applyFont="1" applyFill="1" applyBorder="1" applyAlignment="1">
      <alignment horizontal="left"/>
    </xf>
    <xf numFmtId="0" fontId="0" fillId="0" borderId="14" xfId="0" applyBorder="1" applyAlignment="1">
      <alignment horizontal="center"/>
    </xf>
    <xf numFmtId="0" fontId="17" fillId="0" borderId="0" xfId="0" applyFont="1" applyAlignment="1">
      <alignment horizontal="left"/>
    </xf>
    <xf numFmtId="0" fontId="23" fillId="0" borderId="0" xfId="0" applyFont="1" applyBorder="1"/>
    <xf numFmtId="0" fontId="23" fillId="0" borderId="0" xfId="0" applyFont="1" applyFill="1" applyBorder="1"/>
    <xf numFmtId="0" fontId="0" fillId="0" borderId="14" xfId="0" applyFill="1" applyBorder="1"/>
    <xf numFmtId="0" fontId="17" fillId="5" borderId="0" xfId="0" applyFont="1" applyFill="1"/>
    <xf numFmtId="0" fontId="17" fillId="5" borderId="0" xfId="0" applyFont="1" applyFill="1" applyAlignment="1">
      <alignment horizontal="left"/>
    </xf>
    <xf numFmtId="0" fontId="0" fillId="26" borderId="0" xfId="0" applyFill="1"/>
    <xf numFmtId="0" fontId="24" fillId="0" borderId="0" xfId="0" applyFont="1" applyAlignment="1">
      <alignment horizontal="center"/>
    </xf>
    <xf numFmtId="0" fontId="1" fillId="20" borderId="14" xfId="0" applyFont="1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0" fillId="27" borderId="0" xfId="0" applyFont="1" applyFill="1" applyAlignment="1">
      <alignment horizontal="left"/>
    </xf>
    <xf numFmtId="0" fontId="1" fillId="27" borderId="0" xfId="0" applyFont="1" applyFill="1"/>
    <xf numFmtId="0" fontId="0" fillId="27" borderId="0" xfId="0" applyFont="1" applyFill="1" applyAlignment="1">
      <alignment horizontal="left"/>
    </xf>
    <xf numFmtId="0" fontId="0" fillId="2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  <color rgb="FFFFFF66"/>
      <color rgb="FFF7923F"/>
      <color rgb="FFF6862A"/>
      <color rgb="FF6600CC"/>
      <color rgb="FF660066"/>
      <color rgb="FF3399FF"/>
      <color rgb="FF669900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F10" sqref="F10"/>
    </sheetView>
  </sheetViews>
  <sheetFormatPr defaultRowHeight="15"/>
  <cols>
    <col min="1" max="1" width="16.42578125" customWidth="1"/>
    <col min="2" max="2" width="79.28515625" customWidth="1"/>
  </cols>
  <sheetData>
    <row r="1" spans="1:2" ht="18.75">
      <c r="A1" s="2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320</v>
      </c>
    </row>
    <row r="5" spans="1:2">
      <c r="A5" t="s">
        <v>5</v>
      </c>
      <c r="B5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37"/>
  <sheetViews>
    <sheetView tabSelected="1" workbookViewId="0">
      <pane ySplit="5" topLeftCell="A36" activePane="bottomLeft" state="frozen"/>
      <selection pane="bottomLeft" activeCell="J2" sqref="J2"/>
    </sheetView>
  </sheetViews>
  <sheetFormatPr defaultRowHeight="15"/>
  <cols>
    <col min="1" max="1" width="6.140625" customWidth="1"/>
    <col min="2" max="2" width="8.7109375" customWidth="1"/>
    <col min="3" max="3" width="8" style="58" customWidth="1"/>
    <col min="4" max="4" width="12.28515625" customWidth="1"/>
    <col min="6" max="6" width="13.85546875" customWidth="1"/>
    <col min="7" max="7" width="26.5703125" customWidth="1"/>
    <col min="8" max="8" width="19.140625" customWidth="1"/>
    <col min="10" max="10" width="26.28515625" customWidth="1"/>
    <col min="11" max="11" width="16.28515625" customWidth="1"/>
    <col min="12" max="12" width="3.85546875" customWidth="1"/>
    <col min="13" max="13" width="4.140625" customWidth="1"/>
    <col min="14" max="15" width="4" customWidth="1"/>
    <col min="16" max="16" width="1" customWidth="1"/>
    <col min="17" max="17" width="4.28515625" customWidth="1"/>
    <col min="18" max="18" width="4" customWidth="1"/>
    <col min="19" max="19" width="16" customWidth="1"/>
  </cols>
  <sheetData>
    <row r="1" spans="1:20" ht="18.75">
      <c r="A1" s="2" t="s">
        <v>2</v>
      </c>
    </row>
    <row r="2" spans="1:20">
      <c r="A2" t="s">
        <v>321</v>
      </c>
      <c r="G2" s="58"/>
      <c r="J2" s="58"/>
    </row>
    <row r="3" spans="1:20">
      <c r="A3" t="s">
        <v>433</v>
      </c>
      <c r="C3" s="73"/>
    </row>
    <row r="4" spans="1:20">
      <c r="C4" s="113" t="s">
        <v>34</v>
      </c>
      <c r="D4" s="113"/>
      <c r="E4" s="113"/>
      <c r="F4" s="114"/>
      <c r="G4" s="150" t="s">
        <v>445</v>
      </c>
    </row>
    <row r="5" spans="1:20">
      <c r="A5" s="33" t="s">
        <v>81</v>
      </c>
      <c r="B5" s="33" t="s">
        <v>82</v>
      </c>
      <c r="C5" s="104" t="s">
        <v>30</v>
      </c>
      <c r="D5" s="33" t="s">
        <v>299</v>
      </c>
      <c r="E5" s="33" t="s">
        <v>84</v>
      </c>
      <c r="F5" s="33" t="s">
        <v>85</v>
      </c>
      <c r="G5" s="151"/>
      <c r="H5" s="33" t="s">
        <v>86</v>
      </c>
      <c r="I5" s="33" t="s">
        <v>37</v>
      </c>
      <c r="J5" s="33" t="s">
        <v>83</v>
      </c>
      <c r="K5" s="33" t="s">
        <v>28</v>
      </c>
      <c r="L5" s="148" t="s">
        <v>35</v>
      </c>
      <c r="M5" s="149"/>
      <c r="N5" s="149"/>
      <c r="O5" s="149"/>
      <c r="P5" s="149"/>
      <c r="Q5" s="149"/>
      <c r="R5" s="149"/>
      <c r="S5" s="143" t="s">
        <v>437</v>
      </c>
      <c r="T5" s="33" t="s">
        <v>446</v>
      </c>
    </row>
    <row r="6" spans="1:20">
      <c r="A6" s="1">
        <v>1</v>
      </c>
      <c r="B6" t="s">
        <v>87</v>
      </c>
      <c r="C6" s="58">
        <v>5</v>
      </c>
      <c r="D6" s="103">
        <v>39107125</v>
      </c>
      <c r="E6" t="s">
        <v>89</v>
      </c>
      <c r="F6" s="146" t="s">
        <v>432</v>
      </c>
      <c r="G6" s="58" t="s">
        <v>301</v>
      </c>
      <c r="H6" s="105" t="s">
        <v>309</v>
      </c>
      <c r="I6" t="s">
        <v>36</v>
      </c>
      <c r="J6" s="57" t="s">
        <v>88</v>
      </c>
      <c r="K6" t="s">
        <v>90</v>
      </c>
      <c r="L6" s="106" t="s">
        <v>31</v>
      </c>
      <c r="M6" s="106" t="s">
        <v>31</v>
      </c>
      <c r="N6" s="106" t="s">
        <v>31</v>
      </c>
      <c r="O6" s="106" t="s">
        <v>31</v>
      </c>
      <c r="P6" s="79"/>
      <c r="Q6" s="106" t="s">
        <v>32</v>
      </c>
      <c r="R6" s="106" t="s">
        <v>32</v>
      </c>
      <c r="S6" s="64" t="s">
        <v>301</v>
      </c>
    </row>
    <row r="7" spans="1:20">
      <c r="A7" s="1">
        <v>2</v>
      </c>
      <c r="B7" t="s">
        <v>39</v>
      </c>
      <c r="C7" s="58">
        <v>9</v>
      </c>
      <c r="D7" s="103">
        <v>97894942</v>
      </c>
      <c r="E7" t="s">
        <v>93</v>
      </c>
      <c r="F7" t="s">
        <v>91</v>
      </c>
      <c r="G7" s="58" t="s">
        <v>301</v>
      </c>
      <c r="H7" s="105" t="s">
        <v>312</v>
      </c>
      <c r="I7" t="s">
        <v>36</v>
      </c>
      <c r="J7" s="57" t="s">
        <v>92</v>
      </c>
      <c r="K7" t="s">
        <v>94</v>
      </c>
      <c r="L7" s="106" t="s">
        <v>31</v>
      </c>
      <c r="M7" s="106" t="s">
        <v>31</v>
      </c>
      <c r="N7" s="106" t="s">
        <v>31</v>
      </c>
      <c r="O7" s="106" t="s">
        <v>31</v>
      </c>
      <c r="P7" s="79"/>
      <c r="Q7" s="106" t="s">
        <v>15</v>
      </c>
      <c r="R7" s="106" t="s">
        <v>32</v>
      </c>
      <c r="S7" s="64" t="s">
        <v>301</v>
      </c>
    </row>
    <row r="8" spans="1:20">
      <c r="A8" s="1">
        <v>3</v>
      </c>
      <c r="B8" t="s">
        <v>87</v>
      </c>
      <c r="C8" s="58">
        <v>17</v>
      </c>
      <c r="D8" s="103">
        <v>19921248</v>
      </c>
      <c r="E8" t="s">
        <v>93</v>
      </c>
      <c r="F8" t="s">
        <v>97</v>
      </c>
      <c r="G8" s="58" t="s">
        <v>301</v>
      </c>
      <c r="H8" s="105" t="s">
        <v>309</v>
      </c>
      <c r="I8" t="s">
        <v>36</v>
      </c>
      <c r="J8" s="57" t="s">
        <v>95</v>
      </c>
      <c r="K8" t="s">
        <v>96</v>
      </c>
      <c r="L8" s="106" t="s">
        <v>31</v>
      </c>
      <c r="M8" s="106" t="s">
        <v>31</v>
      </c>
      <c r="N8" s="106" t="s">
        <v>31</v>
      </c>
      <c r="O8" s="106" t="s">
        <v>31</v>
      </c>
      <c r="P8" s="79"/>
      <c r="Q8" s="106" t="s">
        <v>32</v>
      </c>
      <c r="R8" s="106" t="s">
        <v>31</v>
      </c>
      <c r="S8" s="64" t="s">
        <v>301</v>
      </c>
    </row>
    <row r="9" spans="1:20">
      <c r="A9" s="1">
        <v>4</v>
      </c>
      <c r="B9" t="s">
        <v>87</v>
      </c>
      <c r="C9" s="58">
        <v>20</v>
      </c>
      <c r="D9" s="103">
        <v>7130649</v>
      </c>
      <c r="E9" t="s">
        <v>89</v>
      </c>
      <c r="F9" t="s">
        <v>97</v>
      </c>
      <c r="G9" s="58" t="s">
        <v>301</v>
      </c>
      <c r="H9" s="105" t="s">
        <v>309</v>
      </c>
      <c r="I9" t="s">
        <v>36</v>
      </c>
      <c r="J9" s="57" t="s">
        <v>98</v>
      </c>
      <c r="K9" t="s">
        <v>99</v>
      </c>
      <c r="L9" s="106" t="s">
        <v>31</v>
      </c>
      <c r="M9" s="106" t="s">
        <v>31</v>
      </c>
      <c r="N9" s="106" t="s">
        <v>31</v>
      </c>
      <c r="O9" s="106" t="s">
        <v>31</v>
      </c>
      <c r="P9" s="79"/>
      <c r="Q9" s="106" t="s">
        <v>32</v>
      </c>
      <c r="R9" s="106" t="s">
        <v>32</v>
      </c>
      <c r="S9" s="64" t="s">
        <v>301</v>
      </c>
    </row>
    <row r="10" spans="1:20">
      <c r="A10" s="1">
        <v>5</v>
      </c>
      <c r="B10" t="s">
        <v>39</v>
      </c>
      <c r="C10" s="58">
        <v>12</v>
      </c>
      <c r="D10" s="103">
        <v>90412031</v>
      </c>
      <c r="E10" t="s">
        <v>89</v>
      </c>
      <c r="F10" t="s">
        <v>97</v>
      </c>
      <c r="G10" s="58" t="s">
        <v>301</v>
      </c>
      <c r="H10" s="105" t="s">
        <v>309</v>
      </c>
      <c r="I10" t="s">
        <v>36</v>
      </c>
      <c r="J10" s="57" t="s">
        <v>100</v>
      </c>
      <c r="K10" t="s">
        <v>101</v>
      </c>
      <c r="L10" s="106" t="s">
        <v>31</v>
      </c>
      <c r="M10" s="106" t="s">
        <v>31</v>
      </c>
      <c r="N10" s="106" t="s">
        <v>31</v>
      </c>
      <c r="O10" s="106" t="s">
        <v>31</v>
      </c>
      <c r="P10" s="79"/>
      <c r="Q10" s="106" t="s">
        <v>32</v>
      </c>
      <c r="R10" s="106" t="s">
        <v>32</v>
      </c>
      <c r="S10" s="64" t="s">
        <v>301</v>
      </c>
    </row>
    <row r="11" spans="1:20">
      <c r="A11" s="1">
        <v>6</v>
      </c>
      <c r="B11" t="s">
        <v>87</v>
      </c>
      <c r="C11" s="58">
        <v>5</v>
      </c>
      <c r="D11" s="103">
        <v>45784963</v>
      </c>
      <c r="E11" t="s">
        <v>89</v>
      </c>
      <c r="F11" t="s">
        <v>97</v>
      </c>
      <c r="G11" s="58" t="s">
        <v>301</v>
      </c>
      <c r="H11" s="105" t="s">
        <v>309</v>
      </c>
      <c r="I11" t="s">
        <v>36</v>
      </c>
      <c r="J11" s="57" t="s">
        <v>102</v>
      </c>
      <c r="K11" t="s">
        <v>103</v>
      </c>
      <c r="L11" s="106" t="s">
        <v>32</v>
      </c>
      <c r="M11" s="106" t="s">
        <v>32</v>
      </c>
      <c r="N11" s="106" t="s">
        <v>31</v>
      </c>
      <c r="O11" s="106" t="s">
        <v>31</v>
      </c>
      <c r="P11" s="79"/>
      <c r="Q11" s="106" t="s">
        <v>32</v>
      </c>
      <c r="R11" s="106" t="s">
        <v>32</v>
      </c>
      <c r="S11" s="64" t="s">
        <v>301</v>
      </c>
    </row>
    <row r="12" spans="1:20">
      <c r="A12" s="1">
        <v>8</v>
      </c>
      <c r="B12" t="s">
        <v>39</v>
      </c>
      <c r="C12" s="58">
        <v>6</v>
      </c>
      <c r="D12" s="103">
        <v>75863870</v>
      </c>
      <c r="E12" t="s">
        <v>89</v>
      </c>
      <c r="F12" t="s">
        <v>91</v>
      </c>
      <c r="G12" s="58" t="s">
        <v>301</v>
      </c>
      <c r="H12" s="105" t="s">
        <v>309</v>
      </c>
      <c r="I12" t="s">
        <v>36</v>
      </c>
      <c r="J12" s="57" t="s">
        <v>104</v>
      </c>
      <c r="K12" t="s">
        <v>105</v>
      </c>
      <c r="L12" s="106" t="s">
        <v>31</v>
      </c>
      <c r="M12" s="106" t="s">
        <v>33</v>
      </c>
      <c r="N12" s="106" t="s">
        <v>31</v>
      </c>
      <c r="O12" s="106" t="s">
        <v>31</v>
      </c>
      <c r="P12" s="79"/>
      <c r="Q12" s="106" t="s">
        <v>32</v>
      </c>
      <c r="R12" s="106" t="s">
        <v>32</v>
      </c>
      <c r="S12" s="64" t="s">
        <v>301</v>
      </c>
    </row>
    <row r="13" spans="1:20">
      <c r="A13" s="1">
        <v>9</v>
      </c>
      <c r="B13" t="s">
        <v>87</v>
      </c>
      <c r="C13" s="58">
        <v>17</v>
      </c>
      <c r="D13" s="103">
        <v>38298267</v>
      </c>
      <c r="E13" t="s">
        <v>89</v>
      </c>
      <c r="F13" t="s">
        <v>91</v>
      </c>
      <c r="G13" s="58" t="s">
        <v>301</v>
      </c>
      <c r="H13" s="105" t="s">
        <v>309</v>
      </c>
      <c r="I13" t="s">
        <v>36</v>
      </c>
      <c r="J13" s="57" t="s">
        <v>106</v>
      </c>
      <c r="K13" t="s">
        <v>107</v>
      </c>
      <c r="L13" s="106" t="s">
        <v>31</v>
      </c>
      <c r="M13" s="106" t="s">
        <v>31</v>
      </c>
      <c r="N13" s="106" t="s">
        <v>31</v>
      </c>
      <c r="O13" s="106" t="s">
        <v>31</v>
      </c>
      <c r="P13" s="79"/>
      <c r="Q13" s="106" t="s">
        <v>32</v>
      </c>
      <c r="R13" s="106" t="s">
        <v>31</v>
      </c>
      <c r="S13" s="64" t="s">
        <v>301</v>
      </c>
    </row>
    <row r="14" spans="1:20">
      <c r="A14" s="1">
        <v>10</v>
      </c>
      <c r="B14" t="s">
        <v>39</v>
      </c>
      <c r="C14" s="58">
        <v>14</v>
      </c>
      <c r="D14" s="103">
        <v>78080203</v>
      </c>
      <c r="E14" t="s">
        <v>93</v>
      </c>
      <c r="F14" t="s">
        <v>91</v>
      </c>
      <c r="G14" s="58" t="s">
        <v>301</v>
      </c>
      <c r="H14" s="105" t="s">
        <v>309</v>
      </c>
      <c r="I14" t="s">
        <v>36</v>
      </c>
      <c r="J14" s="57" t="s">
        <v>108</v>
      </c>
      <c r="K14" t="s">
        <v>109</v>
      </c>
      <c r="L14" s="106" t="s">
        <v>31</v>
      </c>
      <c r="M14" s="106" t="s">
        <v>31</v>
      </c>
      <c r="N14" s="106" t="s">
        <v>31</v>
      </c>
      <c r="O14" s="106" t="s">
        <v>31</v>
      </c>
      <c r="P14" s="79"/>
      <c r="Q14" s="106" t="s">
        <v>32</v>
      </c>
      <c r="R14" s="106" t="s">
        <v>32</v>
      </c>
      <c r="S14" s="64" t="s">
        <v>301</v>
      </c>
    </row>
    <row r="15" spans="1:20">
      <c r="A15" s="1">
        <v>14</v>
      </c>
      <c r="B15" t="s">
        <v>39</v>
      </c>
      <c r="C15" s="58">
        <v>12</v>
      </c>
      <c r="D15" s="103">
        <v>54194943</v>
      </c>
      <c r="E15" t="s">
        <v>93</v>
      </c>
      <c r="F15" t="s">
        <v>97</v>
      </c>
      <c r="G15" s="58" t="s">
        <v>301</v>
      </c>
      <c r="H15" s="105" t="s">
        <v>309</v>
      </c>
      <c r="I15" t="s">
        <v>36</v>
      </c>
      <c r="J15" s="57" t="s">
        <v>110</v>
      </c>
      <c r="K15" t="s">
        <v>111</v>
      </c>
      <c r="L15" s="106" t="s">
        <v>31</v>
      </c>
      <c r="M15" s="106" t="s">
        <v>31</v>
      </c>
      <c r="N15" s="106" t="s">
        <v>31</v>
      </c>
      <c r="O15" s="106" t="s">
        <v>33</v>
      </c>
      <c r="P15" s="79"/>
      <c r="Q15" s="106" t="s">
        <v>32</v>
      </c>
      <c r="R15" s="106" t="s">
        <v>31</v>
      </c>
      <c r="S15" s="64" t="s">
        <v>301</v>
      </c>
    </row>
    <row r="16" spans="1:20">
      <c r="A16" s="1">
        <v>15</v>
      </c>
      <c r="B16" t="s">
        <v>39</v>
      </c>
      <c r="C16" s="58">
        <v>3</v>
      </c>
      <c r="D16" s="103">
        <v>149112532</v>
      </c>
      <c r="E16" t="s">
        <v>93</v>
      </c>
      <c r="F16" t="s">
        <v>97</v>
      </c>
      <c r="G16" s="58" t="s">
        <v>301</v>
      </c>
      <c r="H16" s="105" t="s">
        <v>309</v>
      </c>
      <c r="I16" t="s">
        <v>36</v>
      </c>
      <c r="J16" s="57" t="s">
        <v>112</v>
      </c>
      <c r="K16" t="s">
        <v>113</v>
      </c>
      <c r="L16" s="106" t="s">
        <v>31</v>
      </c>
      <c r="M16" s="106" t="s">
        <v>31</v>
      </c>
      <c r="N16" s="106" t="s">
        <v>31</v>
      </c>
      <c r="O16" s="106" t="s">
        <v>31</v>
      </c>
      <c r="P16" s="79"/>
      <c r="Q16" s="106" t="s">
        <v>32</v>
      </c>
      <c r="R16" s="106" t="s">
        <v>32</v>
      </c>
      <c r="S16" s="64" t="s">
        <v>301</v>
      </c>
    </row>
    <row r="17" spans="1:19">
      <c r="A17" s="1">
        <v>17</v>
      </c>
      <c r="B17" t="s">
        <v>87</v>
      </c>
      <c r="C17" s="58">
        <v>10</v>
      </c>
      <c r="D17" s="103">
        <v>91344768</v>
      </c>
      <c r="E17" t="s">
        <v>93</v>
      </c>
      <c r="F17" t="s">
        <v>91</v>
      </c>
      <c r="G17" s="58" t="s">
        <v>301</v>
      </c>
      <c r="H17" s="105" t="s">
        <v>310</v>
      </c>
      <c r="I17" t="s">
        <v>36</v>
      </c>
      <c r="J17" s="57" t="s">
        <v>114</v>
      </c>
      <c r="K17" t="s">
        <v>115</v>
      </c>
      <c r="L17" s="106" t="s">
        <v>31</v>
      </c>
      <c r="M17" s="106" t="s">
        <v>31</v>
      </c>
      <c r="N17" s="106" t="s">
        <v>31</v>
      </c>
      <c r="O17" s="106" t="s">
        <v>31</v>
      </c>
      <c r="P17" s="79"/>
      <c r="Q17" s="106" t="s">
        <v>32</v>
      </c>
      <c r="R17" s="106" t="s">
        <v>15</v>
      </c>
      <c r="S17" s="64" t="s">
        <v>301</v>
      </c>
    </row>
    <row r="18" spans="1:19">
      <c r="A18" s="1">
        <v>18</v>
      </c>
      <c r="B18" t="s">
        <v>87</v>
      </c>
      <c r="C18" s="58">
        <v>7</v>
      </c>
      <c r="D18" s="103">
        <v>80207048</v>
      </c>
      <c r="E18" t="s">
        <v>89</v>
      </c>
      <c r="F18" t="s">
        <v>97</v>
      </c>
      <c r="G18" s="58" t="s">
        <v>301</v>
      </c>
      <c r="H18" s="105" t="s">
        <v>310</v>
      </c>
      <c r="I18" t="s">
        <v>36</v>
      </c>
      <c r="J18" s="57" t="s">
        <v>116</v>
      </c>
      <c r="K18" t="s">
        <v>117</v>
      </c>
      <c r="L18" s="106" t="s">
        <v>31</v>
      </c>
      <c r="M18" s="106" t="s">
        <v>33</v>
      </c>
      <c r="N18" s="106" t="s">
        <v>31</v>
      </c>
      <c r="O18" s="106" t="s">
        <v>31</v>
      </c>
      <c r="P18" s="79"/>
      <c r="Q18" s="106" t="s">
        <v>32</v>
      </c>
      <c r="R18" s="106" t="s">
        <v>32</v>
      </c>
      <c r="S18" s="64" t="s">
        <v>301</v>
      </c>
    </row>
    <row r="19" spans="1:19">
      <c r="A19" s="1">
        <v>20</v>
      </c>
      <c r="B19" t="s">
        <v>87</v>
      </c>
      <c r="C19" s="58">
        <v>13</v>
      </c>
      <c r="D19" s="103">
        <v>110579080</v>
      </c>
      <c r="E19" t="s">
        <v>93</v>
      </c>
      <c r="F19" t="s">
        <v>97</v>
      </c>
      <c r="G19" s="58" t="s">
        <v>301</v>
      </c>
      <c r="H19" s="105" t="s">
        <v>309</v>
      </c>
      <c r="I19" t="s">
        <v>36</v>
      </c>
      <c r="J19" s="57" t="s">
        <v>118</v>
      </c>
      <c r="K19" t="s">
        <v>119</v>
      </c>
      <c r="L19" s="106" t="s">
        <v>33</v>
      </c>
      <c r="M19" s="106" t="s">
        <v>31</v>
      </c>
      <c r="N19" s="106" t="s">
        <v>31</v>
      </c>
      <c r="O19" s="106" t="s">
        <v>31</v>
      </c>
      <c r="P19" s="79"/>
      <c r="Q19" s="106" t="s">
        <v>15</v>
      </c>
      <c r="R19" s="106" t="s">
        <v>32</v>
      </c>
      <c r="S19" s="64" t="s">
        <v>301</v>
      </c>
    </row>
    <row r="20" spans="1:19">
      <c r="A20" s="1">
        <v>22</v>
      </c>
      <c r="B20" t="s">
        <v>87</v>
      </c>
      <c r="C20" s="58">
        <v>12</v>
      </c>
      <c r="D20" s="103">
        <v>20053995</v>
      </c>
      <c r="E20" t="s">
        <v>93</v>
      </c>
      <c r="F20" t="s">
        <v>97</v>
      </c>
      <c r="G20" s="58" t="s">
        <v>301</v>
      </c>
      <c r="H20" s="105" t="s">
        <v>309</v>
      </c>
      <c r="I20" t="s">
        <v>36</v>
      </c>
      <c r="J20" s="57" t="s">
        <v>120</v>
      </c>
      <c r="K20" t="s">
        <v>121</v>
      </c>
      <c r="L20" s="106" t="s">
        <v>31</v>
      </c>
      <c r="M20" s="106" t="s">
        <v>31</v>
      </c>
      <c r="N20" s="106" t="s">
        <v>33</v>
      </c>
      <c r="O20" s="106" t="s">
        <v>31</v>
      </c>
      <c r="P20" s="79"/>
      <c r="Q20" s="106" t="s">
        <v>32</v>
      </c>
      <c r="R20" s="106" t="s">
        <v>33</v>
      </c>
      <c r="S20" s="64" t="s">
        <v>301</v>
      </c>
    </row>
    <row r="21" spans="1:19">
      <c r="A21" s="1">
        <v>23</v>
      </c>
      <c r="B21" t="s">
        <v>39</v>
      </c>
      <c r="C21" s="58">
        <v>5</v>
      </c>
      <c r="D21" s="103">
        <v>95622168</v>
      </c>
      <c r="E21" t="s">
        <v>93</v>
      </c>
      <c r="F21" t="s">
        <v>97</v>
      </c>
      <c r="G21" s="58" t="s">
        <v>301</v>
      </c>
      <c r="H21" s="105" t="s">
        <v>309</v>
      </c>
      <c r="I21" t="s">
        <v>36</v>
      </c>
      <c r="J21" s="57" t="s">
        <v>122</v>
      </c>
      <c r="K21" t="s">
        <v>123</v>
      </c>
      <c r="L21" s="106" t="s">
        <v>31</v>
      </c>
      <c r="M21" s="106" t="s">
        <v>31</v>
      </c>
      <c r="N21" s="106" t="s">
        <v>31</v>
      </c>
      <c r="O21" s="106" t="s">
        <v>31</v>
      </c>
      <c r="P21" s="79"/>
      <c r="Q21" s="106" t="s">
        <v>32</v>
      </c>
      <c r="R21" s="106" t="s">
        <v>32</v>
      </c>
      <c r="S21" s="64" t="s">
        <v>301</v>
      </c>
    </row>
    <row r="22" spans="1:19">
      <c r="A22" s="1">
        <v>25</v>
      </c>
      <c r="B22" t="s">
        <v>87</v>
      </c>
      <c r="C22" s="58">
        <v>12</v>
      </c>
      <c r="D22" s="103">
        <v>1485432</v>
      </c>
      <c r="E22" t="s">
        <v>89</v>
      </c>
      <c r="F22" t="s">
        <v>91</v>
      </c>
      <c r="G22" s="58" t="s">
        <v>301</v>
      </c>
      <c r="H22" s="105" t="s">
        <v>309</v>
      </c>
      <c r="I22" t="s">
        <v>36</v>
      </c>
      <c r="J22" s="57" t="s">
        <v>124</v>
      </c>
      <c r="K22" t="s">
        <v>125</v>
      </c>
      <c r="L22" s="106" t="s">
        <v>31</v>
      </c>
      <c r="M22" s="106" t="s">
        <v>33</v>
      </c>
      <c r="N22" s="106" t="s">
        <v>31</v>
      </c>
      <c r="O22" s="106" t="s">
        <v>31</v>
      </c>
      <c r="P22" s="79"/>
      <c r="Q22" s="106" t="s">
        <v>32</v>
      </c>
      <c r="R22" s="106" t="s">
        <v>32</v>
      </c>
      <c r="S22" s="64" t="s">
        <v>301</v>
      </c>
    </row>
    <row r="23" spans="1:19">
      <c r="A23" s="1">
        <v>26</v>
      </c>
      <c r="B23" t="s">
        <v>87</v>
      </c>
      <c r="C23" s="58">
        <v>10</v>
      </c>
      <c r="D23" s="103">
        <v>69896024</v>
      </c>
      <c r="E23" t="s">
        <v>89</v>
      </c>
      <c r="F23" t="s">
        <v>91</v>
      </c>
      <c r="G23" s="58" t="s">
        <v>301</v>
      </c>
      <c r="H23" s="105" t="s">
        <v>309</v>
      </c>
      <c r="I23" t="s">
        <v>36</v>
      </c>
      <c r="J23" s="57" t="s">
        <v>126</v>
      </c>
      <c r="K23" t="s">
        <v>127</v>
      </c>
      <c r="L23" s="106" t="s">
        <v>33</v>
      </c>
      <c r="M23" s="106" t="s">
        <v>31</v>
      </c>
      <c r="N23" s="106" t="s">
        <v>31</v>
      </c>
      <c r="O23" s="106" t="s">
        <v>31</v>
      </c>
      <c r="P23" s="79"/>
      <c r="Q23" s="106" t="s">
        <v>32</v>
      </c>
      <c r="R23" s="106" t="s">
        <v>32</v>
      </c>
      <c r="S23" s="64" t="s">
        <v>301</v>
      </c>
    </row>
    <row r="24" spans="1:19">
      <c r="A24" s="1">
        <v>27</v>
      </c>
      <c r="B24" t="s">
        <v>39</v>
      </c>
      <c r="C24" s="58">
        <v>9</v>
      </c>
      <c r="D24" s="103">
        <v>17024668</v>
      </c>
      <c r="E24" t="s">
        <v>89</v>
      </c>
      <c r="F24" t="s">
        <v>97</v>
      </c>
      <c r="G24" s="58" t="s">
        <v>301</v>
      </c>
      <c r="H24" s="105" t="s">
        <v>309</v>
      </c>
      <c r="I24" t="s">
        <v>36</v>
      </c>
      <c r="J24" s="57" t="s">
        <v>128</v>
      </c>
      <c r="K24" t="s">
        <v>129</v>
      </c>
      <c r="L24" s="106" t="s">
        <v>31</v>
      </c>
      <c r="M24" s="106" t="s">
        <v>31</v>
      </c>
      <c r="N24" s="106" t="s">
        <v>31</v>
      </c>
      <c r="O24" s="106" t="s">
        <v>31</v>
      </c>
      <c r="P24" s="79"/>
      <c r="Q24" s="106" t="s">
        <v>32</v>
      </c>
      <c r="R24" s="106" t="s">
        <v>31</v>
      </c>
      <c r="S24" s="64" t="s">
        <v>301</v>
      </c>
    </row>
    <row r="25" spans="1:19">
      <c r="A25" s="1">
        <v>28</v>
      </c>
      <c r="B25" t="s">
        <v>39</v>
      </c>
      <c r="C25" s="58">
        <v>16</v>
      </c>
      <c r="D25" s="103">
        <v>69500842</v>
      </c>
      <c r="E25" t="s">
        <v>93</v>
      </c>
      <c r="F25" t="s">
        <v>97</v>
      </c>
      <c r="G25" s="58" t="s">
        <v>301</v>
      </c>
      <c r="H25" s="105" t="s">
        <v>309</v>
      </c>
      <c r="I25" t="s">
        <v>36</v>
      </c>
      <c r="J25" s="57" t="s">
        <v>130</v>
      </c>
      <c r="K25" t="s">
        <v>131</v>
      </c>
      <c r="L25" s="106" t="s">
        <v>31</v>
      </c>
      <c r="M25" s="106" t="s">
        <v>33</v>
      </c>
      <c r="N25" s="106" t="s">
        <v>31</v>
      </c>
      <c r="O25" s="106" t="s">
        <v>31</v>
      </c>
      <c r="P25" s="79"/>
      <c r="Q25" s="106" t="s">
        <v>32</v>
      </c>
      <c r="R25" s="106" t="s">
        <v>33</v>
      </c>
      <c r="S25" s="64" t="s">
        <v>301</v>
      </c>
    </row>
    <row r="26" spans="1:19">
      <c r="A26" s="1">
        <v>29</v>
      </c>
      <c r="B26" t="s">
        <v>87</v>
      </c>
      <c r="C26" s="58">
        <v>5</v>
      </c>
      <c r="D26" s="103">
        <v>59814549</v>
      </c>
      <c r="E26" t="s">
        <v>93</v>
      </c>
      <c r="F26" t="s">
        <v>91</v>
      </c>
      <c r="G26" s="58" t="s">
        <v>301</v>
      </c>
      <c r="H26" s="105" t="s">
        <v>309</v>
      </c>
      <c r="I26" t="s">
        <v>36</v>
      </c>
      <c r="J26" s="57" t="s">
        <v>132</v>
      </c>
      <c r="K26" t="s">
        <v>133</v>
      </c>
      <c r="L26" s="106" t="s">
        <v>31</v>
      </c>
      <c r="M26" s="106" t="s">
        <v>33</v>
      </c>
      <c r="N26" s="106" t="s">
        <v>31</v>
      </c>
      <c r="O26" s="106" t="s">
        <v>31</v>
      </c>
      <c r="P26" s="79"/>
      <c r="Q26" s="106" t="s">
        <v>15</v>
      </c>
      <c r="R26" s="106" t="s">
        <v>32</v>
      </c>
      <c r="S26" s="64" t="s">
        <v>301</v>
      </c>
    </row>
    <row r="27" spans="1:19">
      <c r="A27" s="1">
        <v>30</v>
      </c>
      <c r="B27" t="s">
        <v>87</v>
      </c>
      <c r="C27" s="58">
        <v>9</v>
      </c>
      <c r="D27" s="103">
        <v>98430829</v>
      </c>
      <c r="E27" t="s">
        <v>93</v>
      </c>
      <c r="F27" t="s">
        <v>97</v>
      </c>
      <c r="G27" s="58" t="s">
        <v>301</v>
      </c>
      <c r="H27" s="105" t="s">
        <v>310</v>
      </c>
      <c r="I27" t="s">
        <v>36</v>
      </c>
      <c r="J27" s="57" t="s">
        <v>134</v>
      </c>
      <c r="K27" t="s">
        <v>135</v>
      </c>
      <c r="L27" s="106" t="s">
        <v>31</v>
      </c>
      <c r="M27" s="106" t="s">
        <v>31</v>
      </c>
      <c r="N27" s="106" t="s">
        <v>31</v>
      </c>
      <c r="O27" s="106" t="s">
        <v>31</v>
      </c>
      <c r="P27" s="79"/>
      <c r="Q27" s="106" t="s">
        <v>32</v>
      </c>
      <c r="R27" s="106" t="s">
        <v>32</v>
      </c>
      <c r="S27" s="64" t="s">
        <v>301</v>
      </c>
    </row>
    <row r="28" spans="1:19">
      <c r="A28" s="1">
        <v>31</v>
      </c>
      <c r="B28" t="s">
        <v>87</v>
      </c>
      <c r="C28" s="58">
        <v>15</v>
      </c>
      <c r="D28" s="103">
        <v>36732143</v>
      </c>
      <c r="E28" t="s">
        <v>93</v>
      </c>
      <c r="F28" t="s">
        <v>97</v>
      </c>
      <c r="G28" s="58" t="s">
        <v>301</v>
      </c>
      <c r="H28" s="105" t="s">
        <v>310</v>
      </c>
      <c r="I28" t="s">
        <v>36</v>
      </c>
      <c r="J28" s="57" t="s">
        <v>136</v>
      </c>
      <c r="K28" t="s">
        <v>137</v>
      </c>
      <c r="L28" s="106" t="s">
        <v>31</v>
      </c>
      <c r="M28" s="106" t="s">
        <v>31</v>
      </c>
      <c r="N28" s="106" t="s">
        <v>31</v>
      </c>
      <c r="O28" s="106" t="s">
        <v>31</v>
      </c>
      <c r="P28" s="79"/>
      <c r="Q28" s="106" t="s">
        <v>32</v>
      </c>
      <c r="R28" s="106" t="s">
        <v>31</v>
      </c>
      <c r="S28" s="64" t="s">
        <v>301</v>
      </c>
    </row>
    <row r="29" spans="1:19">
      <c r="A29" s="1">
        <v>32</v>
      </c>
      <c r="B29" t="s">
        <v>39</v>
      </c>
      <c r="C29" s="58">
        <v>8</v>
      </c>
      <c r="D29" s="103">
        <v>141765251</v>
      </c>
      <c r="E29" t="s">
        <v>93</v>
      </c>
      <c r="F29" t="s">
        <v>91</v>
      </c>
      <c r="G29" s="58" t="s">
        <v>301</v>
      </c>
      <c r="H29" s="105" t="s">
        <v>309</v>
      </c>
      <c r="I29" t="s">
        <v>36</v>
      </c>
      <c r="J29" s="57" t="s">
        <v>138</v>
      </c>
      <c r="K29" t="s">
        <v>139</v>
      </c>
      <c r="L29" s="106" t="s">
        <v>31</v>
      </c>
      <c r="M29" s="106" t="s">
        <v>33</v>
      </c>
      <c r="N29" s="106" t="s">
        <v>31</v>
      </c>
      <c r="O29" s="106" t="s">
        <v>31</v>
      </c>
      <c r="P29" s="79"/>
      <c r="Q29" s="106" t="s">
        <v>32</v>
      </c>
      <c r="R29" s="106" t="s">
        <v>32</v>
      </c>
      <c r="S29" s="64" t="s">
        <v>301</v>
      </c>
    </row>
    <row r="30" spans="1:19">
      <c r="A30" s="1">
        <v>33</v>
      </c>
      <c r="B30" t="s">
        <v>87</v>
      </c>
      <c r="C30" s="58">
        <v>9</v>
      </c>
      <c r="D30" s="103">
        <v>124049036</v>
      </c>
      <c r="E30" t="s">
        <v>89</v>
      </c>
      <c r="F30" t="s">
        <v>91</v>
      </c>
      <c r="G30" s="58" t="s">
        <v>301</v>
      </c>
      <c r="H30" s="105" t="s">
        <v>310</v>
      </c>
      <c r="I30" t="s">
        <v>36</v>
      </c>
      <c r="J30" s="57" t="s">
        <v>140</v>
      </c>
      <c r="K30" t="s">
        <v>141</v>
      </c>
      <c r="L30" s="106" t="s">
        <v>31</v>
      </c>
      <c r="M30" s="106" t="s">
        <v>31</v>
      </c>
      <c r="N30" s="106" t="s">
        <v>31</v>
      </c>
      <c r="O30" s="106" t="s">
        <v>31</v>
      </c>
      <c r="P30" s="79"/>
      <c r="Q30" s="106" t="s">
        <v>32</v>
      </c>
      <c r="R30" s="106" t="s">
        <v>32</v>
      </c>
      <c r="S30" s="64" t="s">
        <v>301</v>
      </c>
    </row>
    <row r="31" spans="1:19">
      <c r="A31" s="1">
        <v>35</v>
      </c>
      <c r="B31" t="s">
        <v>87</v>
      </c>
      <c r="C31" s="58">
        <v>9</v>
      </c>
      <c r="D31" s="103">
        <v>129888976</v>
      </c>
      <c r="E31" t="s">
        <v>89</v>
      </c>
      <c r="F31" t="s">
        <v>91</v>
      </c>
      <c r="G31" s="58" t="s">
        <v>301</v>
      </c>
      <c r="H31" s="105" t="s">
        <v>309</v>
      </c>
      <c r="I31" t="s">
        <v>36</v>
      </c>
      <c r="J31" s="57" t="s">
        <v>142</v>
      </c>
      <c r="K31" t="s">
        <v>143</v>
      </c>
      <c r="L31" s="106" t="s">
        <v>31</v>
      </c>
      <c r="M31" s="106" t="s">
        <v>31</v>
      </c>
      <c r="N31" s="106" t="s">
        <v>31</v>
      </c>
      <c r="O31" s="106" t="s">
        <v>31</v>
      </c>
      <c r="P31" s="79"/>
      <c r="Q31" s="106" t="s">
        <v>32</v>
      </c>
      <c r="R31" s="106" t="s">
        <v>31</v>
      </c>
      <c r="S31" s="64" t="s">
        <v>301</v>
      </c>
    </row>
    <row r="32" spans="1:19">
      <c r="A32" s="1">
        <v>36</v>
      </c>
      <c r="B32" t="s">
        <v>87</v>
      </c>
      <c r="C32" s="58">
        <v>6</v>
      </c>
      <c r="D32" s="103">
        <v>68059409</v>
      </c>
      <c r="E32" t="s">
        <v>93</v>
      </c>
      <c r="F32" t="s">
        <v>97</v>
      </c>
      <c r="G32" s="58" t="s">
        <v>301</v>
      </c>
      <c r="H32" s="105" t="s">
        <v>309</v>
      </c>
      <c r="I32" t="s">
        <v>36</v>
      </c>
      <c r="J32" s="57" t="s">
        <v>144</v>
      </c>
      <c r="K32" t="s">
        <v>145</v>
      </c>
      <c r="L32" s="106" t="s">
        <v>33</v>
      </c>
      <c r="M32" s="106" t="s">
        <v>31</v>
      </c>
      <c r="N32" s="106" t="s">
        <v>31</v>
      </c>
      <c r="O32" s="106" t="s">
        <v>31</v>
      </c>
      <c r="P32" s="79"/>
      <c r="Q32" s="106" t="s">
        <v>15</v>
      </c>
      <c r="R32" s="106" t="s">
        <v>32</v>
      </c>
      <c r="S32" s="64" t="s">
        <v>301</v>
      </c>
    </row>
    <row r="33" spans="1:19">
      <c r="A33" s="1">
        <v>38</v>
      </c>
      <c r="B33" t="s">
        <v>87</v>
      </c>
      <c r="C33" s="58">
        <v>4</v>
      </c>
      <c r="D33" s="103">
        <v>151379841</v>
      </c>
      <c r="E33" t="s">
        <v>89</v>
      </c>
      <c r="F33" t="s">
        <v>91</v>
      </c>
      <c r="G33" s="58" t="s">
        <v>301</v>
      </c>
      <c r="H33" s="105" t="s">
        <v>309</v>
      </c>
      <c r="I33" t="s">
        <v>36</v>
      </c>
      <c r="J33" s="57" t="s">
        <v>146</v>
      </c>
      <c r="K33" t="s">
        <v>147</v>
      </c>
      <c r="L33" s="106" t="s">
        <v>31</v>
      </c>
      <c r="M33" s="106" t="s">
        <v>31</v>
      </c>
      <c r="N33" s="106" t="s">
        <v>31</v>
      </c>
      <c r="O33" s="106" t="s">
        <v>31</v>
      </c>
      <c r="P33" s="79"/>
      <c r="Q33" s="106" t="s">
        <v>32</v>
      </c>
      <c r="R33" s="106" t="s">
        <v>31</v>
      </c>
      <c r="S33" s="64" t="s">
        <v>301</v>
      </c>
    </row>
    <row r="34" spans="1:19">
      <c r="A34" s="1">
        <v>39</v>
      </c>
      <c r="B34" t="s">
        <v>87</v>
      </c>
      <c r="C34" s="58">
        <v>5</v>
      </c>
      <c r="D34" s="103">
        <v>21542539</v>
      </c>
      <c r="E34" t="s">
        <v>93</v>
      </c>
      <c r="F34" t="s">
        <v>91</v>
      </c>
      <c r="G34" s="58" t="s">
        <v>301</v>
      </c>
      <c r="H34" s="105" t="s">
        <v>309</v>
      </c>
      <c r="I34" t="s">
        <v>36</v>
      </c>
      <c r="J34" s="57" t="s">
        <v>148</v>
      </c>
      <c r="K34" t="s">
        <v>149</v>
      </c>
      <c r="L34" s="106" t="s">
        <v>31</v>
      </c>
      <c r="M34" s="106" t="s">
        <v>33</v>
      </c>
      <c r="N34" s="106" t="s">
        <v>31</v>
      </c>
      <c r="O34" s="106" t="s">
        <v>31</v>
      </c>
      <c r="P34" s="79"/>
      <c r="Q34" s="106" t="s">
        <v>32</v>
      </c>
      <c r="R34" s="106" t="s">
        <v>32</v>
      </c>
      <c r="S34" s="64" t="s">
        <v>301</v>
      </c>
    </row>
    <row r="35" spans="1:19">
      <c r="A35" s="1">
        <v>42</v>
      </c>
      <c r="B35" t="s">
        <v>87</v>
      </c>
      <c r="C35" s="58">
        <v>4</v>
      </c>
      <c r="D35" s="103">
        <v>184194385</v>
      </c>
      <c r="E35" t="s">
        <v>89</v>
      </c>
      <c r="F35" t="s">
        <v>91</v>
      </c>
      <c r="G35" s="58" t="s">
        <v>301</v>
      </c>
      <c r="H35" s="105" t="s">
        <v>309</v>
      </c>
      <c r="I35" t="s">
        <v>36</v>
      </c>
      <c r="J35" s="57" t="s">
        <v>150</v>
      </c>
      <c r="K35" t="s">
        <v>151</v>
      </c>
      <c r="L35" s="106" t="s">
        <v>31</v>
      </c>
      <c r="M35" s="106" t="s">
        <v>31</v>
      </c>
      <c r="N35" s="106" t="s">
        <v>31</v>
      </c>
      <c r="O35" s="106" t="s">
        <v>31</v>
      </c>
      <c r="P35" s="79"/>
      <c r="Q35" s="106" t="s">
        <v>15</v>
      </c>
      <c r="R35" s="106" t="s">
        <v>32</v>
      </c>
      <c r="S35" s="64" t="s">
        <v>301</v>
      </c>
    </row>
    <row r="36" spans="1:19">
      <c r="A36" s="1">
        <v>44</v>
      </c>
      <c r="B36" t="s">
        <v>87</v>
      </c>
      <c r="C36" s="58">
        <v>5</v>
      </c>
      <c r="D36" s="103">
        <v>33309606</v>
      </c>
      <c r="E36" t="s">
        <v>93</v>
      </c>
      <c r="F36" t="s">
        <v>97</v>
      </c>
      <c r="G36" s="58" t="s">
        <v>301</v>
      </c>
      <c r="H36" s="105" t="s">
        <v>309</v>
      </c>
      <c r="I36" t="s">
        <v>36</v>
      </c>
      <c r="J36" s="57" t="s">
        <v>152</v>
      </c>
      <c r="K36" t="s">
        <v>153</v>
      </c>
      <c r="L36" s="106" t="s">
        <v>31</v>
      </c>
      <c r="M36" s="106" t="s">
        <v>31</v>
      </c>
      <c r="N36" s="106" t="s">
        <v>31</v>
      </c>
      <c r="O36" s="106" t="s">
        <v>31</v>
      </c>
      <c r="P36" s="79"/>
      <c r="Q36" s="106" t="s">
        <v>32</v>
      </c>
      <c r="R36" s="106" t="s">
        <v>32</v>
      </c>
      <c r="S36" s="64" t="s">
        <v>301</v>
      </c>
    </row>
    <row r="37" spans="1:19">
      <c r="A37" s="1">
        <v>45</v>
      </c>
      <c r="B37" t="s">
        <v>87</v>
      </c>
      <c r="C37" s="58">
        <v>21</v>
      </c>
      <c r="D37" s="103">
        <v>28745144</v>
      </c>
      <c r="E37" t="s">
        <v>89</v>
      </c>
      <c r="F37" t="s">
        <v>97</v>
      </c>
      <c r="G37" s="58" t="s">
        <v>301</v>
      </c>
      <c r="H37" s="105" t="s">
        <v>309</v>
      </c>
      <c r="I37" t="s">
        <v>36</v>
      </c>
      <c r="J37" s="57" t="s">
        <v>154</v>
      </c>
      <c r="K37" t="s">
        <v>155</v>
      </c>
      <c r="L37" s="106" t="s">
        <v>31</v>
      </c>
      <c r="M37" s="106" t="s">
        <v>31</v>
      </c>
      <c r="N37" s="106" t="s">
        <v>31</v>
      </c>
      <c r="O37" s="106" t="s">
        <v>31</v>
      </c>
      <c r="P37" s="79"/>
      <c r="Q37" s="106" t="s">
        <v>32</v>
      </c>
      <c r="R37" s="106" t="s">
        <v>32</v>
      </c>
      <c r="S37" s="64" t="s">
        <v>301</v>
      </c>
    </row>
    <row r="38" spans="1:19">
      <c r="A38" s="1">
        <v>46</v>
      </c>
      <c r="B38" t="s">
        <v>87</v>
      </c>
      <c r="C38" s="58">
        <v>20</v>
      </c>
      <c r="D38" s="103">
        <v>8779579</v>
      </c>
      <c r="E38" t="s">
        <v>93</v>
      </c>
      <c r="F38" t="s">
        <v>91</v>
      </c>
      <c r="G38" s="58" t="s">
        <v>301</v>
      </c>
      <c r="H38" s="105" t="s">
        <v>309</v>
      </c>
      <c r="I38" t="s">
        <v>36</v>
      </c>
      <c r="J38" s="57" t="s">
        <v>156</v>
      </c>
      <c r="K38" t="s">
        <v>157</v>
      </c>
      <c r="L38" s="106" t="s">
        <v>31</v>
      </c>
      <c r="M38" s="106" t="s">
        <v>31</v>
      </c>
      <c r="N38" s="106" t="s">
        <v>31</v>
      </c>
      <c r="O38" s="106" t="s">
        <v>33</v>
      </c>
      <c r="P38" s="79"/>
      <c r="Q38" s="106" t="s">
        <v>32</v>
      </c>
      <c r="R38" s="106" t="s">
        <v>32</v>
      </c>
      <c r="S38" s="64" t="s">
        <v>301</v>
      </c>
    </row>
    <row r="39" spans="1:19">
      <c r="A39" s="1">
        <v>47</v>
      </c>
      <c r="B39" t="s">
        <v>87</v>
      </c>
      <c r="C39" s="58">
        <v>2</v>
      </c>
      <c r="D39" s="103">
        <v>170561870</v>
      </c>
      <c r="E39" t="s">
        <v>93</v>
      </c>
      <c r="F39" t="s">
        <v>91</v>
      </c>
      <c r="G39" s="58" t="s">
        <v>301</v>
      </c>
      <c r="H39" s="105" t="s">
        <v>309</v>
      </c>
      <c r="I39" t="s">
        <v>36</v>
      </c>
      <c r="J39" s="57" t="s">
        <v>158</v>
      </c>
      <c r="K39" t="s">
        <v>159</v>
      </c>
      <c r="L39" s="106" t="s">
        <v>31</v>
      </c>
      <c r="M39" s="106" t="s">
        <v>33</v>
      </c>
      <c r="N39" s="106" t="s">
        <v>31</v>
      </c>
      <c r="O39" s="106" t="s">
        <v>31</v>
      </c>
      <c r="P39" s="79"/>
      <c r="Q39" s="106" t="s">
        <v>32</v>
      </c>
      <c r="R39" s="106" t="s">
        <v>32</v>
      </c>
      <c r="S39" s="64" t="s">
        <v>301</v>
      </c>
    </row>
    <row r="40" spans="1:19">
      <c r="A40" s="1">
        <v>48</v>
      </c>
      <c r="B40" t="s">
        <v>87</v>
      </c>
      <c r="C40" s="58">
        <v>4</v>
      </c>
      <c r="D40" s="103">
        <v>15638359</v>
      </c>
      <c r="E40" t="s">
        <v>89</v>
      </c>
      <c r="F40" t="s">
        <v>91</v>
      </c>
      <c r="G40" s="58" t="s">
        <v>301</v>
      </c>
      <c r="H40" s="105" t="s">
        <v>309</v>
      </c>
      <c r="I40" t="s">
        <v>36</v>
      </c>
      <c r="J40" s="57" t="s">
        <v>160</v>
      </c>
      <c r="K40" t="s">
        <v>161</v>
      </c>
      <c r="L40" s="106" t="s">
        <v>31</v>
      </c>
      <c r="M40" s="106" t="s">
        <v>31</v>
      </c>
      <c r="N40" s="106" t="s">
        <v>33</v>
      </c>
      <c r="O40" s="106" t="s">
        <v>31</v>
      </c>
      <c r="P40" s="79"/>
      <c r="Q40" s="106" t="s">
        <v>32</v>
      </c>
      <c r="R40" s="106" t="s">
        <v>31</v>
      </c>
      <c r="S40" s="64" t="s">
        <v>301</v>
      </c>
    </row>
    <row r="41" spans="1:19">
      <c r="A41" s="1">
        <v>54</v>
      </c>
      <c r="B41" t="s">
        <v>39</v>
      </c>
      <c r="C41" s="58">
        <v>6</v>
      </c>
      <c r="D41" s="103">
        <v>136981148</v>
      </c>
      <c r="E41" t="s">
        <v>89</v>
      </c>
      <c r="F41" t="s">
        <v>91</v>
      </c>
      <c r="G41" s="58" t="s">
        <v>301</v>
      </c>
      <c r="H41" s="105" t="s">
        <v>309</v>
      </c>
      <c r="I41" t="s">
        <v>36</v>
      </c>
      <c r="J41" s="57" t="s">
        <v>162</v>
      </c>
      <c r="K41" t="s">
        <v>163</v>
      </c>
      <c r="L41" s="106" t="s">
        <v>31</v>
      </c>
      <c r="M41" s="106" t="s">
        <v>31</v>
      </c>
      <c r="N41" s="106" t="s">
        <v>31</v>
      </c>
      <c r="O41" s="106" t="s">
        <v>31</v>
      </c>
      <c r="P41" s="79"/>
      <c r="Q41" s="106" t="s">
        <v>32</v>
      </c>
      <c r="R41" s="106" t="s">
        <v>31</v>
      </c>
      <c r="S41" s="64" t="s">
        <v>301</v>
      </c>
    </row>
    <row r="42" spans="1:19">
      <c r="A42" s="1">
        <v>55</v>
      </c>
      <c r="B42" t="s">
        <v>39</v>
      </c>
      <c r="C42" s="58">
        <v>6</v>
      </c>
      <c r="D42" s="103">
        <v>136558667</v>
      </c>
      <c r="E42" t="s">
        <v>93</v>
      </c>
      <c r="F42" t="s">
        <v>91</v>
      </c>
      <c r="G42" s="58" t="s">
        <v>301</v>
      </c>
      <c r="H42" s="105" t="s">
        <v>309</v>
      </c>
      <c r="I42" t="s">
        <v>36</v>
      </c>
      <c r="J42" s="57" t="s">
        <v>164</v>
      </c>
      <c r="K42" t="s">
        <v>165</v>
      </c>
      <c r="L42" s="106" t="s">
        <v>31</v>
      </c>
      <c r="M42" s="106" t="s">
        <v>31</v>
      </c>
      <c r="N42" s="106" t="s">
        <v>31</v>
      </c>
      <c r="O42" s="106" t="s">
        <v>31</v>
      </c>
      <c r="P42" s="79"/>
      <c r="Q42" s="106" t="s">
        <v>32</v>
      </c>
      <c r="R42" s="106" t="s">
        <v>32</v>
      </c>
      <c r="S42" s="64" t="s">
        <v>301</v>
      </c>
    </row>
    <row r="43" spans="1:19">
      <c r="A43" s="1">
        <v>56</v>
      </c>
      <c r="B43" t="s">
        <v>39</v>
      </c>
      <c r="C43" s="58">
        <v>2</v>
      </c>
      <c r="D43" s="103">
        <v>234312608</v>
      </c>
      <c r="E43" t="s">
        <v>89</v>
      </c>
      <c r="F43" t="s">
        <v>91</v>
      </c>
      <c r="G43" s="58" t="s">
        <v>301</v>
      </c>
      <c r="H43" s="105" t="s">
        <v>309</v>
      </c>
      <c r="I43" t="s">
        <v>36</v>
      </c>
      <c r="J43" s="57" t="s">
        <v>166</v>
      </c>
      <c r="K43" t="s">
        <v>167</v>
      </c>
      <c r="L43" s="106" t="s">
        <v>31</v>
      </c>
      <c r="M43" s="106" t="s">
        <v>31</v>
      </c>
      <c r="N43" s="106" t="s">
        <v>31</v>
      </c>
      <c r="O43" s="106" t="s">
        <v>31</v>
      </c>
      <c r="P43" s="79"/>
      <c r="Q43" s="106" t="s">
        <v>32</v>
      </c>
      <c r="R43" s="106" t="s">
        <v>33</v>
      </c>
      <c r="S43" s="64" t="s">
        <v>301</v>
      </c>
    </row>
    <row r="44" spans="1:19">
      <c r="A44" s="153">
        <v>57</v>
      </c>
      <c r="B44" t="s">
        <v>39</v>
      </c>
      <c r="C44" s="58">
        <v>1</v>
      </c>
      <c r="D44" s="103">
        <v>41408564</v>
      </c>
      <c r="E44" t="s">
        <v>89</v>
      </c>
      <c r="F44" t="s">
        <v>91</v>
      </c>
      <c r="G44" s="152" t="s">
        <v>434</v>
      </c>
      <c r="H44" s="105" t="s">
        <v>309</v>
      </c>
      <c r="I44" t="s">
        <v>36</v>
      </c>
      <c r="J44" s="144" t="s">
        <v>331</v>
      </c>
      <c r="K44" t="s">
        <v>168</v>
      </c>
      <c r="L44" s="106" t="s">
        <v>42</v>
      </c>
      <c r="M44" s="106" t="s">
        <v>42</v>
      </c>
      <c r="N44" s="106" t="s">
        <v>42</v>
      </c>
      <c r="O44" s="106" t="s">
        <v>42</v>
      </c>
      <c r="P44" s="79"/>
      <c r="Q44" s="106" t="s">
        <v>42</v>
      </c>
      <c r="R44" s="106" t="s">
        <v>42</v>
      </c>
      <c r="S44" s="152" t="s">
        <v>436</v>
      </c>
    </row>
    <row r="45" spans="1:19">
      <c r="A45" s="1">
        <v>58</v>
      </c>
      <c r="B45" t="s">
        <v>39</v>
      </c>
      <c r="C45" s="58">
        <v>1</v>
      </c>
      <c r="D45" s="103">
        <v>109491736</v>
      </c>
      <c r="E45" t="s">
        <v>93</v>
      </c>
      <c r="F45" t="s">
        <v>91</v>
      </c>
      <c r="G45" s="58" t="s">
        <v>301</v>
      </c>
      <c r="H45" s="105" t="s">
        <v>309</v>
      </c>
      <c r="I45" t="s">
        <v>36</v>
      </c>
      <c r="J45" s="57" t="s">
        <v>169</v>
      </c>
      <c r="K45" t="s">
        <v>170</v>
      </c>
      <c r="L45" s="106" t="s">
        <v>31</v>
      </c>
      <c r="M45" s="106" t="s">
        <v>31</v>
      </c>
      <c r="N45" s="106" t="s">
        <v>31</v>
      </c>
      <c r="O45" s="106" t="s">
        <v>31</v>
      </c>
      <c r="P45" s="79"/>
      <c r="Q45" s="106" t="s">
        <v>32</v>
      </c>
      <c r="R45" s="106" t="s">
        <v>31</v>
      </c>
      <c r="S45" s="64" t="s">
        <v>301</v>
      </c>
    </row>
    <row r="46" spans="1:19">
      <c r="A46" s="1">
        <v>59</v>
      </c>
      <c r="B46" t="s">
        <v>39</v>
      </c>
      <c r="C46" s="58">
        <v>4</v>
      </c>
      <c r="D46" s="103">
        <v>121674454</v>
      </c>
      <c r="E46" t="s">
        <v>89</v>
      </c>
      <c r="F46" t="s">
        <v>91</v>
      </c>
      <c r="G46" s="58" t="s">
        <v>301</v>
      </c>
      <c r="H46" s="105" t="s">
        <v>309</v>
      </c>
      <c r="I46" t="s">
        <v>36</v>
      </c>
      <c r="J46" s="57" t="s">
        <v>171</v>
      </c>
      <c r="K46" t="s">
        <v>172</v>
      </c>
      <c r="L46" s="106" t="s">
        <v>31</v>
      </c>
      <c r="M46" s="106" t="s">
        <v>32</v>
      </c>
      <c r="N46" s="106" t="s">
        <v>31</v>
      </c>
      <c r="O46" s="106" t="s">
        <v>31</v>
      </c>
      <c r="P46" s="79"/>
      <c r="Q46" s="106" t="s">
        <v>32</v>
      </c>
      <c r="R46" s="106" t="s">
        <v>31</v>
      </c>
      <c r="S46" s="64" t="s">
        <v>301</v>
      </c>
    </row>
    <row r="47" spans="1:19">
      <c r="A47" s="1">
        <v>60</v>
      </c>
      <c r="B47" t="s">
        <v>39</v>
      </c>
      <c r="C47" s="58">
        <v>2</v>
      </c>
      <c r="D47" s="103">
        <v>228108922</v>
      </c>
      <c r="E47" t="s">
        <v>93</v>
      </c>
      <c r="F47" t="s">
        <v>91</v>
      </c>
      <c r="G47" s="58" t="s">
        <v>301</v>
      </c>
      <c r="H47" s="105" t="s">
        <v>309</v>
      </c>
      <c r="I47" t="s">
        <v>36</v>
      </c>
      <c r="J47" s="57" t="s">
        <v>173</v>
      </c>
      <c r="K47" t="s">
        <v>174</v>
      </c>
      <c r="L47" s="106" t="s">
        <v>31</v>
      </c>
      <c r="M47" s="106" t="s">
        <v>15</v>
      </c>
      <c r="N47" s="106" t="s">
        <v>31</v>
      </c>
      <c r="O47" s="106" t="s">
        <v>31</v>
      </c>
      <c r="P47" s="79"/>
      <c r="Q47" s="106" t="s">
        <v>32</v>
      </c>
      <c r="R47" s="106" t="s">
        <v>32</v>
      </c>
      <c r="S47" s="64" t="s">
        <v>301</v>
      </c>
    </row>
    <row r="48" spans="1:19">
      <c r="A48" s="1">
        <v>61</v>
      </c>
      <c r="B48" t="s">
        <v>39</v>
      </c>
      <c r="C48" s="58">
        <v>14</v>
      </c>
      <c r="D48" s="103">
        <v>50000464</v>
      </c>
      <c r="E48" t="s">
        <v>93</v>
      </c>
      <c r="F48" t="s">
        <v>97</v>
      </c>
      <c r="G48" s="58" t="s">
        <v>301</v>
      </c>
      <c r="H48" s="105" t="s">
        <v>309</v>
      </c>
      <c r="I48" t="s">
        <v>36</v>
      </c>
      <c r="J48" s="57" t="s">
        <v>175</v>
      </c>
      <c r="K48" t="s">
        <v>176</v>
      </c>
      <c r="L48" s="106" t="s">
        <v>31</v>
      </c>
      <c r="M48" s="106" t="s">
        <v>31</v>
      </c>
      <c r="N48" s="106" t="s">
        <v>31</v>
      </c>
      <c r="O48" s="106" t="s">
        <v>31</v>
      </c>
      <c r="P48" s="79"/>
      <c r="Q48" s="106" t="s">
        <v>32</v>
      </c>
      <c r="R48" s="106" t="s">
        <v>32</v>
      </c>
      <c r="S48" s="64" t="s">
        <v>301</v>
      </c>
    </row>
    <row r="49" spans="1:19">
      <c r="A49" s="1">
        <v>62</v>
      </c>
      <c r="B49" t="s">
        <v>39</v>
      </c>
      <c r="C49" s="58">
        <v>15</v>
      </c>
      <c r="D49" s="103">
        <v>33056819</v>
      </c>
      <c r="E49" t="s">
        <v>93</v>
      </c>
      <c r="F49" t="s">
        <v>97</v>
      </c>
      <c r="G49" s="58" t="s">
        <v>301</v>
      </c>
      <c r="H49" s="105" t="s">
        <v>309</v>
      </c>
      <c r="I49" t="s">
        <v>36</v>
      </c>
      <c r="J49" s="57" t="s">
        <v>177</v>
      </c>
      <c r="K49" t="s">
        <v>178</v>
      </c>
      <c r="L49" s="106" t="s">
        <v>31</v>
      </c>
      <c r="M49" s="106" t="s">
        <v>31</v>
      </c>
      <c r="N49" s="106" t="s">
        <v>31</v>
      </c>
      <c r="O49" s="106" t="s">
        <v>31</v>
      </c>
      <c r="P49" s="79"/>
      <c r="Q49" s="106" t="s">
        <v>15</v>
      </c>
      <c r="R49" s="106" t="s">
        <v>32</v>
      </c>
      <c r="S49" s="64" t="s">
        <v>301</v>
      </c>
    </row>
    <row r="50" spans="1:19">
      <c r="A50" s="1">
        <v>63</v>
      </c>
      <c r="B50" t="s">
        <v>39</v>
      </c>
      <c r="C50" s="58">
        <v>16</v>
      </c>
      <c r="D50" s="103">
        <v>86633892</v>
      </c>
      <c r="E50" t="s">
        <v>89</v>
      </c>
      <c r="F50" t="s">
        <v>97</v>
      </c>
      <c r="G50" s="58" t="s">
        <v>301</v>
      </c>
      <c r="H50" s="105" t="s">
        <v>309</v>
      </c>
      <c r="I50" t="s">
        <v>36</v>
      </c>
      <c r="J50" s="57" t="s">
        <v>179</v>
      </c>
      <c r="K50" t="s">
        <v>180</v>
      </c>
      <c r="L50" s="106" t="s">
        <v>31</v>
      </c>
      <c r="M50" s="106" t="s">
        <v>31</v>
      </c>
      <c r="N50" s="106" t="s">
        <v>31</v>
      </c>
      <c r="O50" s="106" t="s">
        <v>32</v>
      </c>
      <c r="P50" s="79"/>
      <c r="Q50" s="106" t="s">
        <v>32</v>
      </c>
      <c r="R50" s="106" t="s">
        <v>31</v>
      </c>
      <c r="S50" s="64" t="s">
        <v>301</v>
      </c>
    </row>
    <row r="51" spans="1:19">
      <c r="A51" s="1">
        <v>64</v>
      </c>
      <c r="B51" t="s">
        <v>39</v>
      </c>
      <c r="C51" s="58">
        <v>11</v>
      </c>
      <c r="D51" s="103">
        <v>130084684</v>
      </c>
      <c r="E51" t="s">
        <v>93</v>
      </c>
      <c r="F51" t="s">
        <v>97</v>
      </c>
      <c r="G51" s="58" t="s">
        <v>301</v>
      </c>
      <c r="H51" s="105" t="s">
        <v>300</v>
      </c>
      <c r="I51" t="s">
        <v>36</v>
      </c>
      <c r="J51" s="57" t="s">
        <v>181</v>
      </c>
      <c r="K51" t="s">
        <v>182</v>
      </c>
      <c r="L51" s="106" t="s">
        <v>31</v>
      </c>
      <c r="M51" s="106" t="s">
        <v>31</v>
      </c>
      <c r="N51" s="106" t="s">
        <v>33</v>
      </c>
      <c r="O51" s="106" t="s">
        <v>31</v>
      </c>
      <c r="P51" s="79"/>
      <c r="Q51" s="106" t="s">
        <v>32</v>
      </c>
      <c r="R51" s="106" t="s">
        <v>15</v>
      </c>
      <c r="S51" s="64" t="s">
        <v>301</v>
      </c>
    </row>
    <row r="52" spans="1:19">
      <c r="A52" s="1">
        <v>65</v>
      </c>
      <c r="B52" t="s">
        <v>87</v>
      </c>
      <c r="C52" s="58" t="s">
        <v>184</v>
      </c>
      <c r="D52" s="103">
        <v>115456032</v>
      </c>
      <c r="E52" t="s">
        <v>89</v>
      </c>
      <c r="F52" t="s">
        <v>97</v>
      </c>
      <c r="G52" s="58" t="s">
        <v>301</v>
      </c>
      <c r="H52" s="105" t="s">
        <v>309</v>
      </c>
      <c r="I52" t="s">
        <v>36</v>
      </c>
      <c r="J52" s="57" t="s">
        <v>183</v>
      </c>
      <c r="K52" t="s">
        <v>185</v>
      </c>
      <c r="L52" s="106" t="s">
        <v>31</v>
      </c>
      <c r="M52" s="106" t="s">
        <v>31</v>
      </c>
      <c r="N52" s="106" t="s">
        <v>31</v>
      </c>
      <c r="O52" s="106" t="s">
        <v>33</v>
      </c>
      <c r="P52" s="79"/>
      <c r="Q52" s="106" t="s">
        <v>32</v>
      </c>
      <c r="R52" s="106" t="s">
        <v>32</v>
      </c>
      <c r="S52" s="64" t="s">
        <v>301</v>
      </c>
    </row>
    <row r="53" spans="1:19">
      <c r="A53" s="1">
        <v>67</v>
      </c>
      <c r="B53" t="s">
        <v>87</v>
      </c>
      <c r="C53" s="58">
        <v>13</v>
      </c>
      <c r="D53" s="103">
        <v>89566510</v>
      </c>
      <c r="E53" t="s">
        <v>89</v>
      </c>
      <c r="F53" t="s">
        <v>97</v>
      </c>
      <c r="G53" s="58" t="s">
        <v>301</v>
      </c>
      <c r="H53" s="105" t="s">
        <v>309</v>
      </c>
      <c r="I53" t="s">
        <v>36</v>
      </c>
      <c r="J53" s="57" t="s">
        <v>186</v>
      </c>
      <c r="K53" t="s">
        <v>187</v>
      </c>
      <c r="L53" s="106" t="s">
        <v>31</v>
      </c>
      <c r="M53" s="106" t="s">
        <v>31</v>
      </c>
      <c r="N53" s="106" t="s">
        <v>31</v>
      </c>
      <c r="O53" s="106" t="s">
        <v>31</v>
      </c>
      <c r="P53" s="79"/>
      <c r="Q53" s="106" t="s">
        <v>32</v>
      </c>
      <c r="R53" s="106" t="s">
        <v>32</v>
      </c>
      <c r="S53" s="64" t="s">
        <v>301</v>
      </c>
    </row>
    <row r="54" spans="1:19">
      <c r="A54" s="1">
        <v>68</v>
      </c>
      <c r="B54" t="s">
        <v>87</v>
      </c>
      <c r="C54" s="58">
        <v>5</v>
      </c>
      <c r="D54" s="103">
        <v>36073451</v>
      </c>
      <c r="E54" t="s">
        <v>89</v>
      </c>
      <c r="F54" t="s">
        <v>97</v>
      </c>
      <c r="G54" s="58" t="s">
        <v>301</v>
      </c>
      <c r="H54" s="105" t="s">
        <v>309</v>
      </c>
      <c r="I54" t="s">
        <v>36</v>
      </c>
      <c r="J54" s="57" t="s">
        <v>188</v>
      </c>
      <c r="K54" t="s">
        <v>189</v>
      </c>
      <c r="L54" s="106" t="s">
        <v>31</v>
      </c>
      <c r="M54" s="106" t="s">
        <v>31</v>
      </c>
      <c r="N54" s="106" t="s">
        <v>31</v>
      </c>
      <c r="O54" s="106" t="s">
        <v>15</v>
      </c>
      <c r="P54" s="79"/>
      <c r="Q54" s="106" t="s">
        <v>15</v>
      </c>
      <c r="R54" s="106" t="s">
        <v>32</v>
      </c>
      <c r="S54" s="64" t="s">
        <v>301</v>
      </c>
    </row>
    <row r="55" spans="1:19">
      <c r="A55" s="1">
        <v>72</v>
      </c>
      <c r="B55" t="s">
        <v>39</v>
      </c>
      <c r="C55" s="58">
        <v>16</v>
      </c>
      <c r="D55" s="103">
        <v>14536134</v>
      </c>
      <c r="E55" t="s">
        <v>93</v>
      </c>
      <c r="F55" t="s">
        <v>91</v>
      </c>
      <c r="G55" s="58" t="s">
        <v>301</v>
      </c>
      <c r="H55" s="105" t="s">
        <v>312</v>
      </c>
      <c r="I55" t="s">
        <v>36</v>
      </c>
      <c r="J55" s="57" t="s">
        <v>190</v>
      </c>
      <c r="K55" t="s">
        <v>191</v>
      </c>
      <c r="L55" s="106" t="s">
        <v>31</v>
      </c>
      <c r="M55" s="106" t="s">
        <v>33</v>
      </c>
      <c r="N55" s="106" t="s">
        <v>31</v>
      </c>
      <c r="O55" s="106" t="s">
        <v>31</v>
      </c>
      <c r="P55" s="79"/>
      <c r="Q55" s="106" t="s">
        <v>15</v>
      </c>
      <c r="R55" s="106" t="s">
        <v>31</v>
      </c>
      <c r="S55" s="64" t="s">
        <v>301</v>
      </c>
    </row>
    <row r="56" spans="1:19">
      <c r="A56" s="1">
        <v>73</v>
      </c>
      <c r="B56" t="s">
        <v>87</v>
      </c>
      <c r="C56" s="58">
        <v>8</v>
      </c>
      <c r="D56" s="103">
        <v>81155536</v>
      </c>
      <c r="E56" t="s">
        <v>93</v>
      </c>
      <c r="F56" t="s">
        <v>97</v>
      </c>
      <c r="G56" s="58" t="s">
        <v>301</v>
      </c>
      <c r="H56" s="105" t="s">
        <v>312</v>
      </c>
      <c r="I56" t="s">
        <v>36</v>
      </c>
      <c r="J56" s="57" t="s">
        <v>192</v>
      </c>
      <c r="K56" t="s">
        <v>193</v>
      </c>
      <c r="L56" s="106" t="s">
        <v>31</v>
      </c>
      <c r="M56" s="106" t="s">
        <v>31</v>
      </c>
      <c r="N56" s="106" t="s">
        <v>33</v>
      </c>
      <c r="O56" s="106" t="s">
        <v>31</v>
      </c>
      <c r="P56" s="79"/>
      <c r="Q56" s="106" t="s">
        <v>32</v>
      </c>
      <c r="R56" s="106" t="s">
        <v>31</v>
      </c>
      <c r="S56" s="64" t="s">
        <v>301</v>
      </c>
    </row>
    <row r="57" spans="1:19">
      <c r="A57" s="1">
        <v>74</v>
      </c>
      <c r="B57" t="s">
        <v>87</v>
      </c>
      <c r="C57" s="58">
        <v>11</v>
      </c>
      <c r="D57" s="103">
        <v>86515625</v>
      </c>
      <c r="E57" t="s">
        <v>89</v>
      </c>
      <c r="F57" t="s">
        <v>91</v>
      </c>
      <c r="G57" s="58" t="s">
        <v>301</v>
      </c>
      <c r="H57" s="105" t="s">
        <v>312</v>
      </c>
      <c r="I57" t="s">
        <v>36</v>
      </c>
      <c r="J57" s="57" t="s">
        <v>194</v>
      </c>
      <c r="K57" t="s">
        <v>195</v>
      </c>
      <c r="L57" s="106" t="s">
        <v>31</v>
      </c>
      <c r="M57" s="106" t="s">
        <v>33</v>
      </c>
      <c r="N57" s="106" t="s">
        <v>31</v>
      </c>
      <c r="O57" s="106" t="s">
        <v>31</v>
      </c>
      <c r="P57" s="79"/>
      <c r="Q57" s="106" t="s">
        <v>32</v>
      </c>
      <c r="R57" s="106" t="s">
        <v>31</v>
      </c>
      <c r="S57" s="64" t="s">
        <v>301</v>
      </c>
    </row>
    <row r="58" spans="1:19">
      <c r="A58" s="1">
        <v>76</v>
      </c>
      <c r="B58" t="s">
        <v>39</v>
      </c>
      <c r="C58" s="58">
        <v>9</v>
      </c>
      <c r="D58" s="103">
        <v>97694639</v>
      </c>
      <c r="E58" t="s">
        <v>93</v>
      </c>
      <c r="F58" t="s">
        <v>91</v>
      </c>
      <c r="G58" s="58" t="s">
        <v>302</v>
      </c>
      <c r="H58" s="105" t="s">
        <v>312</v>
      </c>
      <c r="I58" t="s">
        <v>36</v>
      </c>
      <c r="J58" s="131" t="s">
        <v>329</v>
      </c>
      <c r="K58" t="s">
        <v>196</v>
      </c>
      <c r="L58" s="106" t="s">
        <v>42</v>
      </c>
      <c r="M58" s="106" t="s">
        <v>42</v>
      </c>
      <c r="N58" s="106" t="s">
        <v>42</v>
      </c>
      <c r="O58" s="106" t="s">
        <v>42</v>
      </c>
      <c r="P58" s="79"/>
      <c r="Q58" s="106" t="s">
        <v>42</v>
      </c>
      <c r="R58" s="106" t="s">
        <v>42</v>
      </c>
      <c r="S58" s="64" t="s">
        <v>301</v>
      </c>
    </row>
    <row r="59" spans="1:19">
      <c r="A59" s="1">
        <v>77</v>
      </c>
      <c r="B59" t="s">
        <v>39</v>
      </c>
      <c r="C59" s="58">
        <v>11</v>
      </c>
      <c r="D59" s="103">
        <v>75775172</v>
      </c>
      <c r="E59" t="s">
        <v>93</v>
      </c>
      <c r="F59" t="s">
        <v>91</v>
      </c>
      <c r="G59" s="58" t="s">
        <v>301</v>
      </c>
      <c r="H59" s="105" t="s">
        <v>312</v>
      </c>
      <c r="I59" t="s">
        <v>36</v>
      </c>
      <c r="J59" s="57" t="s">
        <v>197</v>
      </c>
      <c r="K59" t="s">
        <v>198</v>
      </c>
      <c r="L59" s="106" t="s">
        <v>33</v>
      </c>
      <c r="M59" s="106" t="s">
        <v>33</v>
      </c>
      <c r="N59" s="106" t="s">
        <v>31</v>
      </c>
      <c r="O59" s="106" t="s">
        <v>32</v>
      </c>
      <c r="P59" s="79"/>
      <c r="Q59" s="106" t="s">
        <v>32</v>
      </c>
      <c r="R59" s="106" t="s">
        <v>32</v>
      </c>
      <c r="S59" s="64" t="s">
        <v>301</v>
      </c>
    </row>
    <row r="60" spans="1:19">
      <c r="A60" s="1">
        <v>78</v>
      </c>
      <c r="B60" t="s">
        <v>39</v>
      </c>
      <c r="C60" s="58">
        <v>9</v>
      </c>
      <c r="D60" s="103">
        <v>117610791</v>
      </c>
      <c r="E60" t="s">
        <v>89</v>
      </c>
      <c r="F60" t="s">
        <v>97</v>
      </c>
      <c r="G60" s="58" t="s">
        <v>301</v>
      </c>
      <c r="H60" s="105" t="s">
        <v>312</v>
      </c>
      <c r="I60" t="s">
        <v>36</v>
      </c>
      <c r="J60" s="57" t="s">
        <v>199</v>
      </c>
      <c r="K60" t="s">
        <v>200</v>
      </c>
      <c r="L60" s="106" t="s">
        <v>31</v>
      </c>
      <c r="M60" s="106" t="s">
        <v>31</v>
      </c>
      <c r="N60" s="106" t="s">
        <v>33</v>
      </c>
      <c r="O60" s="106" t="s">
        <v>31</v>
      </c>
      <c r="P60" s="79"/>
      <c r="Q60" s="106" t="s">
        <v>32</v>
      </c>
      <c r="R60" s="106" t="s">
        <v>32</v>
      </c>
      <c r="S60" s="64" t="s">
        <v>301</v>
      </c>
    </row>
    <row r="61" spans="1:19">
      <c r="A61" s="1">
        <v>79</v>
      </c>
      <c r="B61" t="s">
        <v>39</v>
      </c>
      <c r="C61" s="58">
        <v>11</v>
      </c>
      <c r="D61" s="103">
        <v>64887860</v>
      </c>
      <c r="E61" t="s">
        <v>93</v>
      </c>
      <c r="F61" t="s">
        <v>97</v>
      </c>
      <c r="G61" s="58" t="s">
        <v>301</v>
      </c>
      <c r="H61" s="105" t="s">
        <v>312</v>
      </c>
      <c r="I61" t="s">
        <v>36</v>
      </c>
      <c r="J61" s="57" t="s">
        <v>201</v>
      </c>
      <c r="K61" t="s">
        <v>202</v>
      </c>
      <c r="L61" s="106" t="s">
        <v>31</v>
      </c>
      <c r="M61" s="106" t="s">
        <v>31</v>
      </c>
      <c r="N61" s="106" t="s">
        <v>33</v>
      </c>
      <c r="O61" s="106" t="s">
        <v>31</v>
      </c>
      <c r="P61" s="79"/>
      <c r="Q61" s="106" t="s">
        <v>32</v>
      </c>
      <c r="R61" s="106" t="s">
        <v>32</v>
      </c>
      <c r="S61" s="64" t="s">
        <v>301</v>
      </c>
    </row>
    <row r="62" spans="1:19">
      <c r="A62" s="1">
        <v>80</v>
      </c>
      <c r="B62" t="s">
        <v>39</v>
      </c>
      <c r="C62" s="58">
        <v>12</v>
      </c>
      <c r="D62" s="103">
        <v>46713555</v>
      </c>
      <c r="E62" t="s">
        <v>93</v>
      </c>
      <c r="F62" t="s">
        <v>97</v>
      </c>
      <c r="G62" s="58" t="s">
        <v>303</v>
      </c>
      <c r="H62" s="105" t="s">
        <v>312</v>
      </c>
      <c r="I62" t="s">
        <v>36</v>
      </c>
      <c r="J62" s="57" t="s">
        <v>203</v>
      </c>
      <c r="K62" t="s">
        <v>204</v>
      </c>
      <c r="L62" s="106" t="s">
        <v>31</v>
      </c>
      <c r="M62" s="106" t="s">
        <v>31</v>
      </c>
      <c r="N62" s="106" t="s">
        <v>31</v>
      </c>
      <c r="O62" s="106" t="s">
        <v>31</v>
      </c>
      <c r="P62" s="79"/>
      <c r="Q62" s="106" t="s">
        <v>32</v>
      </c>
      <c r="R62" s="106" t="s">
        <v>32</v>
      </c>
      <c r="S62" s="64" t="s">
        <v>301</v>
      </c>
    </row>
    <row r="63" spans="1:19">
      <c r="A63" s="1">
        <v>81</v>
      </c>
      <c r="B63" t="s">
        <v>39</v>
      </c>
      <c r="C63" s="58">
        <v>16</v>
      </c>
      <c r="D63" s="103">
        <v>66895293</v>
      </c>
      <c r="E63" t="s">
        <v>93</v>
      </c>
      <c r="F63" t="s">
        <v>97</v>
      </c>
      <c r="G63" s="58" t="s">
        <v>301</v>
      </c>
      <c r="H63" s="105" t="s">
        <v>312</v>
      </c>
      <c r="I63" t="s">
        <v>36</v>
      </c>
      <c r="J63" s="57" t="s">
        <v>205</v>
      </c>
      <c r="K63" t="s">
        <v>206</v>
      </c>
      <c r="L63" s="106" t="s">
        <v>31</v>
      </c>
      <c r="M63" s="106" t="s">
        <v>33</v>
      </c>
      <c r="N63" s="106" t="s">
        <v>31</v>
      </c>
      <c r="O63" s="106" t="s">
        <v>31</v>
      </c>
      <c r="P63" s="79"/>
      <c r="Q63" s="106" t="s">
        <v>32</v>
      </c>
      <c r="R63" s="106" t="s">
        <v>33</v>
      </c>
      <c r="S63" s="64" t="s">
        <v>301</v>
      </c>
    </row>
    <row r="64" spans="1:19">
      <c r="A64" s="1">
        <v>82</v>
      </c>
      <c r="B64" t="s">
        <v>39</v>
      </c>
      <c r="C64" s="58">
        <v>10</v>
      </c>
      <c r="D64" s="103">
        <v>94664520</v>
      </c>
      <c r="E64" t="s">
        <v>89</v>
      </c>
      <c r="F64" t="s">
        <v>91</v>
      </c>
      <c r="G64" s="58" t="s">
        <v>301</v>
      </c>
      <c r="H64" s="105" t="s">
        <v>312</v>
      </c>
      <c r="I64" t="s">
        <v>36</v>
      </c>
      <c r="J64" s="57" t="s">
        <v>207</v>
      </c>
      <c r="K64" t="s">
        <v>208</v>
      </c>
      <c r="L64" s="106" t="s">
        <v>31</v>
      </c>
      <c r="M64" s="106" t="s">
        <v>31</v>
      </c>
      <c r="N64" s="106" t="s">
        <v>31</v>
      </c>
      <c r="O64" s="106" t="s">
        <v>31</v>
      </c>
      <c r="P64" s="79"/>
      <c r="Q64" s="106" t="s">
        <v>32</v>
      </c>
      <c r="R64" s="106" t="s">
        <v>15</v>
      </c>
      <c r="S64" s="64" t="s">
        <v>301</v>
      </c>
    </row>
    <row r="65" spans="1:19">
      <c r="A65" s="1">
        <v>83</v>
      </c>
      <c r="B65" t="s">
        <v>39</v>
      </c>
      <c r="C65" s="58">
        <v>17</v>
      </c>
      <c r="D65" s="103">
        <v>8072661</v>
      </c>
      <c r="E65" t="s">
        <v>89</v>
      </c>
      <c r="F65" t="s">
        <v>97</v>
      </c>
      <c r="G65" s="58" t="s">
        <v>301</v>
      </c>
      <c r="H65" s="105" t="s">
        <v>312</v>
      </c>
      <c r="I65" t="s">
        <v>36</v>
      </c>
      <c r="J65" s="57" t="s">
        <v>209</v>
      </c>
      <c r="K65" t="s">
        <v>210</v>
      </c>
      <c r="L65" s="106" t="s">
        <v>31</v>
      </c>
      <c r="M65" s="106" t="s">
        <v>33</v>
      </c>
      <c r="N65" s="106" t="s">
        <v>31</v>
      </c>
      <c r="O65" s="106" t="s">
        <v>33</v>
      </c>
      <c r="P65" s="79"/>
      <c r="Q65" s="106" t="s">
        <v>32</v>
      </c>
      <c r="R65" s="106" t="s">
        <v>31</v>
      </c>
      <c r="S65" s="64" t="s">
        <v>301</v>
      </c>
    </row>
    <row r="66" spans="1:19">
      <c r="A66" s="1">
        <v>84</v>
      </c>
      <c r="B66" t="s">
        <v>39</v>
      </c>
      <c r="C66" s="58">
        <v>9</v>
      </c>
      <c r="D66" s="103">
        <v>33346926</v>
      </c>
      <c r="E66" t="s">
        <v>89</v>
      </c>
      <c r="F66" t="s">
        <v>91</v>
      </c>
      <c r="G66" s="58" t="s">
        <v>301</v>
      </c>
      <c r="H66" s="105" t="s">
        <v>312</v>
      </c>
      <c r="I66" t="s">
        <v>36</v>
      </c>
      <c r="J66" s="57" t="s">
        <v>211</v>
      </c>
      <c r="K66" t="s">
        <v>212</v>
      </c>
      <c r="L66" s="106" t="s">
        <v>31</v>
      </c>
      <c r="M66" s="106" t="s">
        <v>31</v>
      </c>
      <c r="N66" s="106" t="s">
        <v>33</v>
      </c>
      <c r="O66" s="106" t="s">
        <v>31</v>
      </c>
      <c r="P66" s="79"/>
      <c r="Q66" s="106" t="s">
        <v>15</v>
      </c>
      <c r="R66" s="106" t="s">
        <v>32</v>
      </c>
      <c r="S66" s="64" t="s">
        <v>301</v>
      </c>
    </row>
    <row r="67" spans="1:19">
      <c r="A67" s="1">
        <v>85</v>
      </c>
      <c r="B67" t="s">
        <v>39</v>
      </c>
      <c r="C67" s="58">
        <v>3</v>
      </c>
      <c r="D67" s="103">
        <v>147900227</v>
      </c>
      <c r="E67" t="s">
        <v>89</v>
      </c>
      <c r="F67" t="s">
        <v>97</v>
      </c>
      <c r="G67" s="58" t="s">
        <v>301</v>
      </c>
      <c r="H67" s="105" t="s">
        <v>312</v>
      </c>
      <c r="I67" t="s">
        <v>36</v>
      </c>
      <c r="J67" s="57" t="s">
        <v>213</v>
      </c>
      <c r="K67" t="s">
        <v>214</v>
      </c>
      <c r="L67" s="106" t="s">
        <v>31</v>
      </c>
      <c r="M67" s="106" t="s">
        <v>31</v>
      </c>
      <c r="N67" s="106" t="s">
        <v>33</v>
      </c>
      <c r="O67" s="106" t="s">
        <v>31</v>
      </c>
      <c r="P67" s="79"/>
      <c r="Q67" s="106" t="s">
        <v>32</v>
      </c>
      <c r="R67" s="106" t="s">
        <v>31</v>
      </c>
      <c r="S67" s="64" t="s">
        <v>301</v>
      </c>
    </row>
    <row r="68" spans="1:19">
      <c r="A68" s="1">
        <v>87</v>
      </c>
      <c r="B68" t="s">
        <v>39</v>
      </c>
      <c r="C68" s="58">
        <v>12</v>
      </c>
      <c r="D68" s="103">
        <v>95168036</v>
      </c>
      <c r="E68" t="s">
        <v>93</v>
      </c>
      <c r="F68" t="s">
        <v>97</v>
      </c>
      <c r="G68" s="58" t="s">
        <v>301</v>
      </c>
      <c r="H68" s="105" t="s">
        <v>312</v>
      </c>
      <c r="I68" t="s">
        <v>36</v>
      </c>
      <c r="J68" s="57" t="s">
        <v>215</v>
      </c>
      <c r="K68" t="s">
        <v>216</v>
      </c>
      <c r="L68" s="106" t="s">
        <v>31</v>
      </c>
      <c r="M68" s="106" t="s">
        <v>31</v>
      </c>
      <c r="N68" s="106" t="s">
        <v>31</v>
      </c>
      <c r="O68" s="106" t="s">
        <v>32</v>
      </c>
      <c r="P68" s="79"/>
      <c r="Q68" s="106" t="s">
        <v>32</v>
      </c>
      <c r="R68" s="106" t="s">
        <v>32</v>
      </c>
      <c r="S68" s="64" t="s">
        <v>301</v>
      </c>
    </row>
    <row r="69" spans="1:19">
      <c r="A69" s="1">
        <v>88</v>
      </c>
      <c r="B69" t="s">
        <v>39</v>
      </c>
      <c r="C69" s="58">
        <v>9</v>
      </c>
      <c r="D69" s="103">
        <v>126744038</v>
      </c>
      <c r="E69" t="s">
        <v>89</v>
      </c>
      <c r="F69" t="s">
        <v>97</v>
      </c>
      <c r="G69" s="58" t="s">
        <v>301</v>
      </c>
      <c r="H69" s="105" t="s">
        <v>312</v>
      </c>
      <c r="I69" t="s">
        <v>36</v>
      </c>
      <c r="J69" s="57" t="s">
        <v>217</v>
      </c>
      <c r="K69" t="s">
        <v>218</v>
      </c>
      <c r="L69" s="106" t="s">
        <v>15</v>
      </c>
      <c r="M69" s="106" t="s">
        <v>31</v>
      </c>
      <c r="N69" s="106" t="s">
        <v>31</v>
      </c>
      <c r="O69" s="106" t="s">
        <v>31</v>
      </c>
      <c r="P69" s="79"/>
      <c r="Q69" s="106" t="s">
        <v>32</v>
      </c>
      <c r="R69" s="106" t="s">
        <v>31</v>
      </c>
      <c r="S69" s="64" t="s">
        <v>301</v>
      </c>
    </row>
    <row r="70" spans="1:19">
      <c r="A70" s="1">
        <v>89</v>
      </c>
      <c r="B70" t="s">
        <v>39</v>
      </c>
      <c r="C70" s="58">
        <v>18</v>
      </c>
      <c r="D70" s="103">
        <v>72573745</v>
      </c>
      <c r="E70" t="s">
        <v>89</v>
      </c>
      <c r="F70" t="s">
        <v>91</v>
      </c>
      <c r="G70" s="58" t="s">
        <v>301</v>
      </c>
      <c r="H70" s="105" t="s">
        <v>312</v>
      </c>
      <c r="I70" t="s">
        <v>36</v>
      </c>
      <c r="J70" s="57" t="s">
        <v>219</v>
      </c>
      <c r="K70" t="s">
        <v>220</v>
      </c>
      <c r="L70" s="106" t="s">
        <v>31</v>
      </c>
      <c r="M70" s="106" t="s">
        <v>31</v>
      </c>
      <c r="N70" s="106" t="s">
        <v>31</v>
      </c>
      <c r="O70" s="106" t="s">
        <v>31</v>
      </c>
      <c r="P70" s="79"/>
      <c r="Q70" s="106" t="s">
        <v>32</v>
      </c>
      <c r="R70" s="106" t="s">
        <v>31</v>
      </c>
      <c r="S70" s="64" t="s">
        <v>301</v>
      </c>
    </row>
    <row r="71" spans="1:19">
      <c r="A71" s="1">
        <v>91</v>
      </c>
      <c r="B71" t="s">
        <v>39</v>
      </c>
      <c r="C71" s="58">
        <v>10</v>
      </c>
      <c r="D71" s="103">
        <v>69240667</v>
      </c>
      <c r="E71" t="s">
        <v>93</v>
      </c>
      <c r="F71" t="s">
        <v>91</v>
      </c>
      <c r="G71" s="58" t="s">
        <v>301</v>
      </c>
      <c r="H71" s="105" t="s">
        <v>312</v>
      </c>
      <c r="I71" t="s">
        <v>36</v>
      </c>
      <c r="J71" s="57" t="s">
        <v>221</v>
      </c>
      <c r="K71" t="s">
        <v>222</v>
      </c>
      <c r="L71" s="106" t="s">
        <v>31</v>
      </c>
      <c r="M71" s="106" t="s">
        <v>31</v>
      </c>
      <c r="N71" s="106" t="s">
        <v>31</v>
      </c>
      <c r="O71" s="106" t="s">
        <v>31</v>
      </c>
      <c r="P71" s="79"/>
      <c r="Q71" s="106" t="s">
        <v>15</v>
      </c>
      <c r="R71" s="106" t="s">
        <v>32</v>
      </c>
      <c r="S71" s="64" t="s">
        <v>301</v>
      </c>
    </row>
    <row r="72" spans="1:19">
      <c r="A72" s="1">
        <v>92</v>
      </c>
      <c r="B72" t="s">
        <v>39</v>
      </c>
      <c r="C72" s="58">
        <v>1</v>
      </c>
      <c r="D72" s="103">
        <v>68060762</v>
      </c>
      <c r="E72" t="s">
        <v>93</v>
      </c>
      <c r="F72" t="s">
        <v>97</v>
      </c>
      <c r="G72" s="58" t="s">
        <v>301</v>
      </c>
      <c r="H72" s="105" t="s">
        <v>312</v>
      </c>
      <c r="I72" t="s">
        <v>36</v>
      </c>
      <c r="J72" s="57" t="s">
        <v>223</v>
      </c>
      <c r="K72" t="s">
        <v>224</v>
      </c>
      <c r="L72" s="106" t="s">
        <v>31</v>
      </c>
      <c r="M72" s="106" t="s">
        <v>33</v>
      </c>
      <c r="N72" s="106" t="s">
        <v>31</v>
      </c>
      <c r="O72" s="106" t="s">
        <v>31</v>
      </c>
      <c r="P72" s="79"/>
      <c r="Q72" s="106" t="s">
        <v>33</v>
      </c>
      <c r="R72" s="106" t="s">
        <v>32</v>
      </c>
      <c r="S72" s="64" t="s">
        <v>301</v>
      </c>
    </row>
    <row r="73" spans="1:19">
      <c r="A73" s="1">
        <v>93</v>
      </c>
      <c r="B73" t="s">
        <v>39</v>
      </c>
      <c r="C73" s="58">
        <v>13</v>
      </c>
      <c r="D73" s="103">
        <v>37536966</v>
      </c>
      <c r="E73" t="s">
        <v>93</v>
      </c>
      <c r="F73" t="s">
        <v>91</v>
      </c>
      <c r="G73" s="58" t="s">
        <v>301</v>
      </c>
      <c r="H73" s="105" t="s">
        <v>312</v>
      </c>
      <c r="I73" t="s">
        <v>36</v>
      </c>
      <c r="J73" s="57" t="s">
        <v>225</v>
      </c>
      <c r="K73" t="s">
        <v>226</v>
      </c>
      <c r="L73" s="106" t="s">
        <v>31</v>
      </c>
      <c r="M73" s="106" t="s">
        <v>33</v>
      </c>
      <c r="N73" s="106" t="s">
        <v>31</v>
      </c>
      <c r="O73" s="106" t="s">
        <v>33</v>
      </c>
      <c r="P73" s="79"/>
      <c r="Q73" s="106" t="s">
        <v>32</v>
      </c>
      <c r="R73" s="106" t="s">
        <v>32</v>
      </c>
      <c r="S73" s="64" t="s">
        <v>301</v>
      </c>
    </row>
    <row r="74" spans="1:19">
      <c r="A74" s="1">
        <v>94</v>
      </c>
      <c r="B74" t="s">
        <v>39</v>
      </c>
      <c r="C74" s="58">
        <v>3</v>
      </c>
      <c r="D74" s="103">
        <v>189651214</v>
      </c>
      <c r="E74" t="s">
        <v>89</v>
      </c>
      <c r="F74" t="s">
        <v>97</v>
      </c>
      <c r="G74" s="58" t="s">
        <v>301</v>
      </c>
      <c r="H74" s="105" t="s">
        <v>313</v>
      </c>
      <c r="I74" t="s">
        <v>36</v>
      </c>
      <c r="J74" s="57" t="s">
        <v>227</v>
      </c>
      <c r="K74" t="s">
        <v>228</v>
      </c>
      <c r="L74" s="106" t="s">
        <v>31</v>
      </c>
      <c r="M74" s="106" t="s">
        <v>15</v>
      </c>
      <c r="N74" s="106" t="s">
        <v>31</v>
      </c>
      <c r="O74" s="106" t="s">
        <v>31</v>
      </c>
      <c r="P74" s="79"/>
      <c r="Q74" s="106" t="s">
        <v>15</v>
      </c>
      <c r="R74" s="106" t="s">
        <v>32</v>
      </c>
      <c r="S74" s="64" t="s">
        <v>301</v>
      </c>
    </row>
    <row r="75" spans="1:19">
      <c r="A75" s="1">
        <v>95</v>
      </c>
      <c r="B75" t="s">
        <v>39</v>
      </c>
      <c r="C75" s="58">
        <v>10</v>
      </c>
      <c r="D75" s="103">
        <v>80221124</v>
      </c>
      <c r="E75" t="s">
        <v>89</v>
      </c>
      <c r="F75" t="s">
        <v>91</v>
      </c>
      <c r="G75" s="58" t="s">
        <v>301</v>
      </c>
      <c r="H75" s="105" t="s">
        <v>312</v>
      </c>
      <c r="I75" t="s">
        <v>36</v>
      </c>
      <c r="J75" s="57" t="s">
        <v>229</v>
      </c>
      <c r="K75" t="s">
        <v>230</v>
      </c>
      <c r="L75" s="106" t="s">
        <v>33</v>
      </c>
      <c r="M75" s="106" t="s">
        <v>31</v>
      </c>
      <c r="N75" s="106" t="s">
        <v>31</v>
      </c>
      <c r="O75" s="106" t="s">
        <v>31</v>
      </c>
      <c r="P75" s="79"/>
      <c r="Q75" s="106" t="s">
        <v>32</v>
      </c>
      <c r="R75" s="106" t="s">
        <v>33</v>
      </c>
      <c r="S75" s="64" t="s">
        <v>301</v>
      </c>
    </row>
    <row r="76" spans="1:19">
      <c r="A76" s="1">
        <v>96</v>
      </c>
      <c r="B76" t="s">
        <v>39</v>
      </c>
      <c r="C76" s="58">
        <v>2</v>
      </c>
      <c r="D76" s="103">
        <v>133685841</v>
      </c>
      <c r="E76" t="s">
        <v>89</v>
      </c>
      <c r="F76" t="s">
        <v>91</v>
      </c>
      <c r="G76" s="58" t="s">
        <v>301</v>
      </c>
      <c r="H76" s="105" t="s">
        <v>312</v>
      </c>
      <c r="I76" t="s">
        <v>36</v>
      </c>
      <c r="J76" s="57" t="s">
        <v>231</v>
      </c>
      <c r="K76" t="s">
        <v>232</v>
      </c>
      <c r="L76" s="106" t="s">
        <v>31</v>
      </c>
      <c r="M76" s="106" t="s">
        <v>33</v>
      </c>
      <c r="N76" s="106" t="s">
        <v>31</v>
      </c>
      <c r="O76" s="106" t="s">
        <v>31</v>
      </c>
      <c r="P76" s="79"/>
      <c r="Q76" s="106" t="s">
        <v>32</v>
      </c>
      <c r="R76" s="106" t="s">
        <v>32</v>
      </c>
      <c r="S76" s="64" t="s">
        <v>301</v>
      </c>
    </row>
    <row r="77" spans="1:19">
      <c r="A77" s="1">
        <v>97</v>
      </c>
      <c r="B77" t="s">
        <v>39</v>
      </c>
      <c r="C77" s="58">
        <v>1</v>
      </c>
      <c r="D77" s="103">
        <v>15646423</v>
      </c>
      <c r="E77" t="s">
        <v>93</v>
      </c>
      <c r="F77" t="s">
        <v>91</v>
      </c>
      <c r="G77" s="58" t="s">
        <v>301</v>
      </c>
      <c r="H77" s="105" t="s">
        <v>312</v>
      </c>
      <c r="I77" t="s">
        <v>36</v>
      </c>
      <c r="J77" s="57" t="s">
        <v>233</v>
      </c>
      <c r="K77" t="s">
        <v>234</v>
      </c>
      <c r="L77" s="106" t="s">
        <v>33</v>
      </c>
      <c r="M77" s="106" t="s">
        <v>32</v>
      </c>
      <c r="N77" s="106" t="s">
        <v>31</v>
      </c>
      <c r="O77" s="106" t="s">
        <v>31</v>
      </c>
      <c r="P77" s="79"/>
      <c r="Q77" s="106" t="s">
        <v>15</v>
      </c>
      <c r="R77" s="106" t="s">
        <v>32</v>
      </c>
      <c r="S77" s="64" t="s">
        <v>301</v>
      </c>
    </row>
    <row r="78" spans="1:19">
      <c r="A78" s="1">
        <v>98</v>
      </c>
      <c r="B78" t="s">
        <v>39</v>
      </c>
      <c r="C78" s="58">
        <v>1</v>
      </c>
      <c r="D78" s="103">
        <v>218884781</v>
      </c>
      <c r="E78" t="s">
        <v>89</v>
      </c>
      <c r="F78" t="s">
        <v>97</v>
      </c>
      <c r="G78" s="58" t="s">
        <v>301</v>
      </c>
      <c r="H78" s="105" t="s">
        <v>312</v>
      </c>
      <c r="I78" t="s">
        <v>36</v>
      </c>
      <c r="J78" s="57" t="s">
        <v>235</v>
      </c>
      <c r="K78" t="s">
        <v>236</v>
      </c>
      <c r="L78" s="106" t="s">
        <v>32</v>
      </c>
      <c r="M78" s="106" t="s">
        <v>33</v>
      </c>
      <c r="N78" s="106" t="s">
        <v>31</v>
      </c>
      <c r="O78" s="106" t="s">
        <v>31</v>
      </c>
      <c r="P78" s="79"/>
      <c r="Q78" s="106" t="s">
        <v>15</v>
      </c>
      <c r="R78" s="106" t="s">
        <v>33</v>
      </c>
      <c r="S78" s="64" t="s">
        <v>301</v>
      </c>
    </row>
    <row r="79" spans="1:19">
      <c r="A79" s="1">
        <v>99</v>
      </c>
      <c r="B79" t="s">
        <v>39</v>
      </c>
      <c r="C79" s="58">
        <v>12</v>
      </c>
      <c r="D79" s="103">
        <v>13131825</v>
      </c>
      <c r="E79" t="s">
        <v>89</v>
      </c>
      <c r="F79" t="s">
        <v>91</v>
      </c>
      <c r="G79" s="58" t="s">
        <v>301</v>
      </c>
      <c r="H79" s="105" t="s">
        <v>312</v>
      </c>
      <c r="I79" t="s">
        <v>36</v>
      </c>
      <c r="J79" s="57" t="s">
        <v>237</v>
      </c>
      <c r="K79" t="s">
        <v>238</v>
      </c>
      <c r="L79" s="106" t="s">
        <v>31</v>
      </c>
      <c r="M79" s="106" t="s">
        <v>31</v>
      </c>
      <c r="N79" s="106" t="s">
        <v>31</v>
      </c>
      <c r="O79" s="106" t="s">
        <v>32</v>
      </c>
      <c r="P79" s="79"/>
      <c r="Q79" s="106" t="s">
        <v>32</v>
      </c>
      <c r="R79" s="106" t="s">
        <v>31</v>
      </c>
      <c r="S79" s="64" t="s">
        <v>301</v>
      </c>
    </row>
    <row r="80" spans="1:19">
      <c r="A80" s="1">
        <v>100</v>
      </c>
      <c r="B80" t="s">
        <v>87</v>
      </c>
      <c r="C80" s="58">
        <v>8</v>
      </c>
      <c r="D80" s="103">
        <v>121131336</v>
      </c>
      <c r="E80" t="s">
        <v>93</v>
      </c>
      <c r="F80" t="s">
        <v>97</v>
      </c>
      <c r="G80" s="58" t="s">
        <v>301</v>
      </c>
      <c r="H80" s="105" t="s">
        <v>309</v>
      </c>
      <c r="I80" t="s">
        <v>36</v>
      </c>
      <c r="J80" s="57" t="s">
        <v>239</v>
      </c>
      <c r="K80" t="s">
        <v>240</v>
      </c>
      <c r="L80" s="106" t="s">
        <v>31</v>
      </c>
      <c r="M80" s="106" t="s">
        <v>32</v>
      </c>
      <c r="N80" s="106" t="s">
        <v>31</v>
      </c>
      <c r="O80" s="106" t="s">
        <v>31</v>
      </c>
      <c r="P80" s="79"/>
      <c r="Q80" s="106" t="s">
        <v>32</v>
      </c>
      <c r="R80" s="106" t="s">
        <v>31</v>
      </c>
      <c r="S80" s="64" t="s">
        <v>301</v>
      </c>
    </row>
    <row r="81" spans="1:19">
      <c r="A81" s="1">
        <v>101</v>
      </c>
      <c r="B81" t="s">
        <v>87</v>
      </c>
      <c r="C81" s="58">
        <v>14</v>
      </c>
      <c r="D81" s="103">
        <v>73813205</v>
      </c>
      <c r="E81" t="s">
        <v>93</v>
      </c>
      <c r="F81" t="s">
        <v>91</v>
      </c>
      <c r="G81" s="58" t="s">
        <v>301</v>
      </c>
      <c r="H81" s="105" t="s">
        <v>309</v>
      </c>
      <c r="I81" t="s">
        <v>36</v>
      </c>
      <c r="J81" s="57" t="s">
        <v>241</v>
      </c>
      <c r="K81" t="s">
        <v>242</v>
      </c>
      <c r="L81" s="106" t="s">
        <v>31</v>
      </c>
      <c r="M81" s="106" t="s">
        <v>31</v>
      </c>
      <c r="N81" s="106" t="s">
        <v>31</v>
      </c>
      <c r="O81" s="106" t="s">
        <v>31</v>
      </c>
      <c r="P81" s="79"/>
      <c r="Q81" s="106" t="s">
        <v>15</v>
      </c>
      <c r="R81" s="106" t="s">
        <v>32</v>
      </c>
      <c r="S81" s="64" t="s">
        <v>301</v>
      </c>
    </row>
    <row r="82" spans="1:19">
      <c r="A82" s="1">
        <v>103</v>
      </c>
      <c r="B82" t="s">
        <v>87</v>
      </c>
      <c r="C82" s="58">
        <v>3</v>
      </c>
      <c r="D82" s="103">
        <v>99590784</v>
      </c>
      <c r="E82" t="s">
        <v>89</v>
      </c>
      <c r="F82" t="s">
        <v>91</v>
      </c>
      <c r="G82" s="58" t="s">
        <v>301</v>
      </c>
      <c r="H82" s="105" t="s">
        <v>309</v>
      </c>
      <c r="I82" t="s">
        <v>36</v>
      </c>
      <c r="J82" s="57" t="s">
        <v>243</v>
      </c>
      <c r="K82" t="s">
        <v>244</v>
      </c>
      <c r="L82" s="106" t="s">
        <v>31</v>
      </c>
      <c r="M82" s="106" t="s">
        <v>32</v>
      </c>
      <c r="N82" s="106" t="s">
        <v>31</v>
      </c>
      <c r="O82" s="106" t="s">
        <v>31</v>
      </c>
      <c r="P82" s="79"/>
      <c r="Q82" s="106" t="s">
        <v>15</v>
      </c>
      <c r="R82" s="106" t="s">
        <v>33</v>
      </c>
      <c r="S82" s="64" t="s">
        <v>301</v>
      </c>
    </row>
    <row r="83" spans="1:19">
      <c r="A83" s="1">
        <v>105</v>
      </c>
      <c r="B83" t="s">
        <v>87</v>
      </c>
      <c r="C83" s="58">
        <v>12</v>
      </c>
      <c r="D83" s="103">
        <v>110701857</v>
      </c>
      <c r="E83" t="s">
        <v>93</v>
      </c>
      <c r="F83" t="s">
        <v>97</v>
      </c>
      <c r="G83" s="58" t="s">
        <v>301</v>
      </c>
      <c r="H83" s="105" t="s">
        <v>309</v>
      </c>
      <c r="I83" t="s">
        <v>36</v>
      </c>
      <c r="J83" s="57" t="s">
        <v>245</v>
      </c>
      <c r="K83" t="s">
        <v>246</v>
      </c>
      <c r="L83" s="106" t="s">
        <v>31</v>
      </c>
      <c r="M83" s="106" t="s">
        <v>31</v>
      </c>
      <c r="N83" s="106" t="s">
        <v>31</v>
      </c>
      <c r="O83" s="106" t="s">
        <v>31</v>
      </c>
      <c r="P83" s="79"/>
      <c r="Q83" s="106" t="s">
        <v>15</v>
      </c>
      <c r="R83" s="106" t="s">
        <v>32</v>
      </c>
      <c r="S83" s="64" t="s">
        <v>301</v>
      </c>
    </row>
    <row r="84" spans="1:19">
      <c r="A84" s="1">
        <v>106</v>
      </c>
      <c r="B84" t="s">
        <v>87</v>
      </c>
      <c r="C84" s="58">
        <v>17</v>
      </c>
      <c r="D84" s="103">
        <v>38552227</v>
      </c>
      <c r="E84" t="s">
        <v>93</v>
      </c>
      <c r="F84" t="s">
        <v>97</v>
      </c>
      <c r="G84" s="58" t="s">
        <v>301</v>
      </c>
      <c r="H84" s="105" t="s">
        <v>309</v>
      </c>
      <c r="I84" t="s">
        <v>36</v>
      </c>
      <c r="J84" s="57" t="s">
        <v>247</v>
      </c>
      <c r="K84" t="s">
        <v>248</v>
      </c>
      <c r="L84" s="106" t="s">
        <v>31</v>
      </c>
      <c r="M84" s="106" t="s">
        <v>32</v>
      </c>
      <c r="N84" s="106" t="s">
        <v>31</v>
      </c>
      <c r="O84" s="106" t="s">
        <v>31</v>
      </c>
      <c r="P84" s="79"/>
      <c r="Q84" s="106" t="s">
        <v>32</v>
      </c>
      <c r="R84" s="106" t="s">
        <v>31</v>
      </c>
      <c r="S84" s="64" t="s">
        <v>301</v>
      </c>
    </row>
    <row r="85" spans="1:19">
      <c r="A85" s="1">
        <v>107</v>
      </c>
      <c r="B85" t="s">
        <v>39</v>
      </c>
      <c r="C85" s="58">
        <v>6</v>
      </c>
      <c r="D85" s="103">
        <v>146090957</v>
      </c>
      <c r="E85" t="s">
        <v>89</v>
      </c>
      <c r="F85" t="s">
        <v>97</v>
      </c>
      <c r="G85" s="58" t="s">
        <v>301</v>
      </c>
      <c r="H85" s="105" t="s">
        <v>309</v>
      </c>
      <c r="I85" t="s">
        <v>36</v>
      </c>
      <c r="J85" s="57" t="s">
        <v>249</v>
      </c>
      <c r="K85" t="s">
        <v>250</v>
      </c>
      <c r="L85" s="106" t="s">
        <v>32</v>
      </c>
      <c r="M85" s="106" t="s">
        <v>31</v>
      </c>
      <c r="N85" s="106" t="s">
        <v>31</v>
      </c>
      <c r="O85" s="106" t="s">
        <v>31</v>
      </c>
      <c r="P85" s="79"/>
      <c r="Q85" s="106" t="s">
        <v>33</v>
      </c>
      <c r="R85" s="106" t="s">
        <v>31</v>
      </c>
      <c r="S85" s="64" t="s">
        <v>301</v>
      </c>
    </row>
    <row r="86" spans="1:19">
      <c r="A86" s="153">
        <v>108</v>
      </c>
      <c r="B86" t="s">
        <v>39</v>
      </c>
      <c r="C86" s="137" t="s">
        <v>339</v>
      </c>
      <c r="D86" s="103">
        <v>96943242</v>
      </c>
      <c r="E86" t="s">
        <v>93</v>
      </c>
      <c r="F86" t="s">
        <v>97</v>
      </c>
      <c r="G86" s="147" t="s">
        <v>444</v>
      </c>
      <c r="H86" s="105" t="s">
        <v>312</v>
      </c>
      <c r="I86" t="s">
        <v>36</v>
      </c>
      <c r="J86" s="144" t="s">
        <v>340</v>
      </c>
      <c r="K86" t="s">
        <v>251</v>
      </c>
      <c r="L86" s="106" t="s">
        <v>42</v>
      </c>
      <c r="M86" s="106" t="s">
        <v>42</v>
      </c>
      <c r="N86" s="106" t="s">
        <v>42</v>
      </c>
      <c r="O86" s="106" t="s">
        <v>42</v>
      </c>
      <c r="P86" s="79"/>
      <c r="Q86" s="106" t="s">
        <v>42</v>
      </c>
      <c r="R86" s="106" t="s">
        <v>42</v>
      </c>
      <c r="S86" s="138" t="s">
        <v>443</v>
      </c>
    </row>
    <row r="87" spans="1:19">
      <c r="A87" s="1">
        <v>109</v>
      </c>
      <c r="B87" t="s">
        <v>87</v>
      </c>
      <c r="C87" s="58">
        <v>7</v>
      </c>
      <c r="D87" s="103">
        <v>44970630</v>
      </c>
      <c r="E87" t="s">
        <v>89</v>
      </c>
      <c r="F87" t="s">
        <v>97</v>
      </c>
      <c r="G87" s="58" t="s">
        <v>301</v>
      </c>
      <c r="H87" s="105" t="s">
        <v>309</v>
      </c>
      <c r="I87" t="s">
        <v>36</v>
      </c>
      <c r="J87" s="57" t="s">
        <v>252</v>
      </c>
      <c r="K87" t="s">
        <v>253</v>
      </c>
      <c r="L87" s="106" t="s">
        <v>31</v>
      </c>
      <c r="M87" s="106" t="s">
        <v>31</v>
      </c>
      <c r="N87" s="106" t="s">
        <v>31</v>
      </c>
      <c r="O87" s="106" t="s">
        <v>31</v>
      </c>
      <c r="P87" s="79"/>
      <c r="Q87" s="106" t="s">
        <v>15</v>
      </c>
      <c r="R87" s="106" t="s">
        <v>32</v>
      </c>
      <c r="S87" s="64" t="s">
        <v>301</v>
      </c>
    </row>
    <row r="88" spans="1:19">
      <c r="A88" s="1">
        <v>110</v>
      </c>
      <c r="B88" t="s">
        <v>87</v>
      </c>
      <c r="C88" s="58">
        <v>22</v>
      </c>
      <c r="D88" s="103">
        <v>31879121</v>
      </c>
      <c r="E88" t="s">
        <v>93</v>
      </c>
      <c r="F88" t="s">
        <v>91</v>
      </c>
      <c r="G88" s="58" t="s">
        <v>301</v>
      </c>
      <c r="H88" s="105" t="s">
        <v>309</v>
      </c>
      <c r="I88" t="s">
        <v>36</v>
      </c>
      <c r="J88" s="57" t="s">
        <v>254</v>
      </c>
      <c r="K88" t="s">
        <v>255</v>
      </c>
      <c r="L88" s="106" t="s">
        <v>31</v>
      </c>
      <c r="M88" s="106" t="s">
        <v>15</v>
      </c>
      <c r="N88" s="106" t="s">
        <v>31</v>
      </c>
      <c r="O88" s="106" t="s">
        <v>31</v>
      </c>
      <c r="P88" s="79"/>
      <c r="Q88" s="106" t="s">
        <v>32</v>
      </c>
      <c r="R88" s="106" t="s">
        <v>15</v>
      </c>
      <c r="S88" s="64" t="s">
        <v>301</v>
      </c>
    </row>
    <row r="89" spans="1:19">
      <c r="A89" s="1">
        <v>119</v>
      </c>
      <c r="B89" t="s">
        <v>39</v>
      </c>
      <c r="C89" s="58">
        <v>12</v>
      </c>
      <c r="D89" s="103">
        <v>20058768</v>
      </c>
      <c r="E89" t="s">
        <v>93</v>
      </c>
      <c r="F89" t="s">
        <v>97</v>
      </c>
      <c r="G89" s="58" t="s">
        <v>301</v>
      </c>
      <c r="H89" s="105" t="s">
        <v>309</v>
      </c>
      <c r="I89" t="s">
        <v>36</v>
      </c>
      <c r="J89" s="57" t="s">
        <v>256</v>
      </c>
      <c r="K89" t="s">
        <v>257</v>
      </c>
      <c r="L89" s="106" t="s">
        <v>31</v>
      </c>
      <c r="M89" s="106" t="s">
        <v>33</v>
      </c>
      <c r="N89" s="106" t="s">
        <v>31</v>
      </c>
      <c r="O89" s="106" t="s">
        <v>31</v>
      </c>
      <c r="P89" s="79"/>
      <c r="Q89" s="106" t="s">
        <v>15</v>
      </c>
      <c r="R89" s="106" t="s">
        <v>32</v>
      </c>
      <c r="S89" s="64" t="s">
        <v>301</v>
      </c>
    </row>
    <row r="90" spans="1:19">
      <c r="A90" s="1">
        <v>120</v>
      </c>
      <c r="B90" t="s">
        <v>87</v>
      </c>
      <c r="C90" s="58">
        <v>5</v>
      </c>
      <c r="D90" s="103">
        <v>26453190</v>
      </c>
      <c r="E90" t="s">
        <v>89</v>
      </c>
      <c r="F90" t="s">
        <v>97</v>
      </c>
      <c r="G90" s="58" t="s">
        <v>301</v>
      </c>
      <c r="H90" s="105" t="s">
        <v>309</v>
      </c>
      <c r="I90" t="s">
        <v>36</v>
      </c>
      <c r="J90" s="57" t="s">
        <v>258</v>
      </c>
      <c r="K90" t="s">
        <v>259</v>
      </c>
      <c r="L90" s="106" t="s">
        <v>31</v>
      </c>
      <c r="M90" s="106" t="s">
        <v>31</v>
      </c>
      <c r="N90" s="106" t="s">
        <v>31</v>
      </c>
      <c r="O90" s="106" t="s">
        <v>31</v>
      </c>
      <c r="P90" s="79"/>
      <c r="Q90" s="106" t="s">
        <v>32</v>
      </c>
      <c r="R90" s="106" t="s">
        <v>31</v>
      </c>
      <c r="S90" s="64" t="s">
        <v>301</v>
      </c>
    </row>
    <row r="91" spans="1:19">
      <c r="A91" s="1">
        <v>121</v>
      </c>
      <c r="B91" t="s">
        <v>87</v>
      </c>
      <c r="C91" s="58">
        <v>9</v>
      </c>
      <c r="D91" s="103">
        <v>137949426</v>
      </c>
      <c r="E91" t="s">
        <v>93</v>
      </c>
      <c r="F91" t="s">
        <v>97</v>
      </c>
      <c r="G91" s="58" t="s">
        <v>301</v>
      </c>
      <c r="H91" s="105" t="s">
        <v>310</v>
      </c>
      <c r="I91" t="s">
        <v>36</v>
      </c>
      <c r="J91" s="57" t="s">
        <v>260</v>
      </c>
      <c r="K91" t="s">
        <v>261</v>
      </c>
      <c r="L91" s="106" t="s">
        <v>31</v>
      </c>
      <c r="M91" s="106" t="s">
        <v>31</v>
      </c>
      <c r="N91" s="106" t="s">
        <v>31</v>
      </c>
      <c r="O91" s="106" t="s">
        <v>31</v>
      </c>
      <c r="P91" s="79"/>
      <c r="Q91" s="106" t="s">
        <v>32</v>
      </c>
      <c r="R91" s="106" t="s">
        <v>32</v>
      </c>
      <c r="S91" s="64" t="s">
        <v>301</v>
      </c>
    </row>
    <row r="92" spans="1:19">
      <c r="A92" s="1">
        <v>122</v>
      </c>
      <c r="B92" t="s">
        <v>87</v>
      </c>
      <c r="C92" s="58">
        <v>15</v>
      </c>
      <c r="D92" s="103">
        <v>35143814</v>
      </c>
      <c r="E92" t="s">
        <v>89</v>
      </c>
      <c r="F92" t="s">
        <v>97</v>
      </c>
      <c r="G92" s="58" t="s">
        <v>301</v>
      </c>
      <c r="H92" s="105" t="s">
        <v>310</v>
      </c>
      <c r="I92" t="s">
        <v>36</v>
      </c>
      <c r="J92" s="57" t="s">
        <v>262</v>
      </c>
      <c r="K92" t="s">
        <v>263</v>
      </c>
      <c r="L92" s="106" t="s">
        <v>31</v>
      </c>
      <c r="M92" s="106" t="s">
        <v>33</v>
      </c>
      <c r="N92" s="106" t="s">
        <v>31</v>
      </c>
      <c r="O92" s="106" t="s">
        <v>31</v>
      </c>
      <c r="P92" s="79"/>
      <c r="Q92" s="106" t="s">
        <v>32</v>
      </c>
      <c r="R92" s="106" t="s">
        <v>31</v>
      </c>
      <c r="S92" s="64" t="s">
        <v>301</v>
      </c>
    </row>
    <row r="93" spans="1:19">
      <c r="A93" s="1">
        <v>123</v>
      </c>
      <c r="B93" t="s">
        <v>39</v>
      </c>
      <c r="C93" s="58">
        <v>10</v>
      </c>
      <c r="D93" s="103">
        <v>46986668</v>
      </c>
      <c r="E93" t="s">
        <v>89</v>
      </c>
      <c r="F93" t="s">
        <v>97</v>
      </c>
      <c r="G93" s="58" t="s">
        <v>301</v>
      </c>
      <c r="H93" s="105" t="s">
        <v>310</v>
      </c>
      <c r="I93" t="s">
        <v>36</v>
      </c>
      <c r="J93" s="57" t="s">
        <v>264</v>
      </c>
      <c r="K93" t="s">
        <v>265</v>
      </c>
      <c r="L93" s="106" t="s">
        <v>31</v>
      </c>
      <c r="M93" s="106" t="s">
        <v>31</v>
      </c>
      <c r="N93" s="106" t="s">
        <v>33</v>
      </c>
      <c r="O93" s="106" t="s">
        <v>31</v>
      </c>
      <c r="P93" s="79"/>
      <c r="Q93" s="106" t="s">
        <v>15</v>
      </c>
      <c r="R93" s="106" t="s">
        <v>33</v>
      </c>
      <c r="S93" s="64" t="s">
        <v>301</v>
      </c>
    </row>
    <row r="94" spans="1:19">
      <c r="A94" s="1">
        <v>124</v>
      </c>
      <c r="B94" t="s">
        <v>39</v>
      </c>
      <c r="C94" s="58">
        <v>15</v>
      </c>
      <c r="D94" s="103">
        <v>31259673</v>
      </c>
      <c r="E94" t="s">
        <v>93</v>
      </c>
      <c r="F94" t="s">
        <v>91</v>
      </c>
      <c r="G94" s="58" t="s">
        <v>301</v>
      </c>
      <c r="H94" s="105" t="s">
        <v>310</v>
      </c>
      <c r="I94" t="s">
        <v>36</v>
      </c>
      <c r="J94" s="57" t="s">
        <v>266</v>
      </c>
      <c r="K94" t="s">
        <v>267</v>
      </c>
      <c r="L94" s="106" t="s">
        <v>15</v>
      </c>
      <c r="M94" s="106" t="s">
        <v>31</v>
      </c>
      <c r="N94" s="106" t="s">
        <v>31</v>
      </c>
      <c r="O94" s="106" t="s">
        <v>31</v>
      </c>
      <c r="P94" s="79"/>
      <c r="Q94" s="106" t="s">
        <v>33</v>
      </c>
      <c r="R94" s="106" t="s">
        <v>31</v>
      </c>
      <c r="S94" s="64" t="s">
        <v>301</v>
      </c>
    </row>
    <row r="95" spans="1:19">
      <c r="A95" s="1">
        <v>125</v>
      </c>
      <c r="B95" t="s">
        <v>39</v>
      </c>
      <c r="C95" s="58">
        <v>10</v>
      </c>
      <c r="D95" s="103">
        <v>121635083</v>
      </c>
      <c r="E95" t="s">
        <v>93</v>
      </c>
      <c r="F95" t="s">
        <v>97</v>
      </c>
      <c r="G95" s="58" t="s">
        <v>301</v>
      </c>
      <c r="H95" s="105" t="s">
        <v>310</v>
      </c>
      <c r="I95" t="s">
        <v>36</v>
      </c>
      <c r="J95" s="57" t="s">
        <v>268</v>
      </c>
      <c r="K95" t="s">
        <v>269</v>
      </c>
      <c r="L95" s="106" t="s">
        <v>31</v>
      </c>
      <c r="M95" s="106" t="s">
        <v>33</v>
      </c>
      <c r="N95" s="106" t="s">
        <v>31</v>
      </c>
      <c r="O95" s="106" t="s">
        <v>31</v>
      </c>
      <c r="P95" s="79"/>
      <c r="Q95" s="106" t="s">
        <v>15</v>
      </c>
      <c r="R95" s="106" t="s">
        <v>31</v>
      </c>
      <c r="S95" s="64" t="s">
        <v>301</v>
      </c>
    </row>
    <row r="96" spans="1:19">
      <c r="A96" s="1">
        <v>126</v>
      </c>
      <c r="B96" t="s">
        <v>39</v>
      </c>
      <c r="C96" s="58">
        <v>1</v>
      </c>
      <c r="D96" s="103">
        <v>145825741</v>
      </c>
      <c r="E96" t="s">
        <v>89</v>
      </c>
      <c r="F96" t="s">
        <v>91</v>
      </c>
      <c r="G96" s="58" t="s">
        <v>301</v>
      </c>
      <c r="H96" s="105" t="s">
        <v>310</v>
      </c>
      <c r="I96" t="s">
        <v>36</v>
      </c>
      <c r="J96" s="57" t="s">
        <v>270</v>
      </c>
      <c r="K96" t="s">
        <v>271</v>
      </c>
      <c r="L96" s="106" t="s">
        <v>31</v>
      </c>
      <c r="M96" s="106" t="s">
        <v>31</v>
      </c>
      <c r="N96" s="106" t="s">
        <v>31</v>
      </c>
      <c r="O96" s="106" t="s">
        <v>31</v>
      </c>
      <c r="P96" s="79"/>
      <c r="Q96" s="106" t="s">
        <v>15</v>
      </c>
      <c r="R96" s="106" t="s">
        <v>32</v>
      </c>
      <c r="S96" s="64" t="s">
        <v>301</v>
      </c>
    </row>
    <row r="97" spans="1:19">
      <c r="A97" s="1">
        <v>127</v>
      </c>
      <c r="B97" t="s">
        <v>87</v>
      </c>
      <c r="C97" s="58">
        <v>16</v>
      </c>
      <c r="D97" s="103">
        <v>88733379</v>
      </c>
      <c r="E97" t="s">
        <v>89</v>
      </c>
      <c r="F97" t="s">
        <v>91</v>
      </c>
      <c r="G97" s="58" t="s">
        <v>301</v>
      </c>
      <c r="H97" s="105" t="s">
        <v>310</v>
      </c>
      <c r="I97" t="s">
        <v>36</v>
      </c>
      <c r="J97" s="57" t="s">
        <v>272</v>
      </c>
      <c r="K97" t="s">
        <v>273</v>
      </c>
      <c r="L97" s="106" t="s">
        <v>31</v>
      </c>
      <c r="M97" s="106" t="s">
        <v>31</v>
      </c>
      <c r="N97" s="106" t="s">
        <v>31</v>
      </c>
      <c r="O97" s="106" t="s">
        <v>31</v>
      </c>
      <c r="P97" s="79"/>
      <c r="Q97" s="106" t="s">
        <v>32</v>
      </c>
      <c r="R97" s="106" t="s">
        <v>32</v>
      </c>
      <c r="S97" s="64" t="s">
        <v>301</v>
      </c>
    </row>
    <row r="98" spans="1:19">
      <c r="A98" s="1">
        <v>128</v>
      </c>
      <c r="B98" t="s">
        <v>87</v>
      </c>
      <c r="C98" s="58">
        <v>7</v>
      </c>
      <c r="D98" s="103">
        <v>123903007</v>
      </c>
      <c r="E98" t="s">
        <v>93</v>
      </c>
      <c r="F98" t="s">
        <v>97</v>
      </c>
      <c r="G98" s="58" t="s">
        <v>301</v>
      </c>
      <c r="H98" s="105" t="s">
        <v>310</v>
      </c>
      <c r="I98" t="s">
        <v>36</v>
      </c>
      <c r="J98" s="57" t="s">
        <v>274</v>
      </c>
      <c r="K98" t="s">
        <v>275</v>
      </c>
      <c r="L98" s="106" t="s">
        <v>31</v>
      </c>
      <c r="M98" s="106" t="s">
        <v>31</v>
      </c>
      <c r="N98" s="106" t="s">
        <v>31</v>
      </c>
      <c r="O98" s="106" t="s">
        <v>31</v>
      </c>
      <c r="P98" s="79"/>
      <c r="Q98" s="106" t="s">
        <v>32</v>
      </c>
      <c r="R98" s="106" t="s">
        <v>32</v>
      </c>
      <c r="S98" s="64" t="s">
        <v>301</v>
      </c>
    </row>
    <row r="99" spans="1:19">
      <c r="A99" s="1">
        <v>129</v>
      </c>
      <c r="B99" t="s">
        <v>39</v>
      </c>
      <c r="C99" s="58">
        <v>18</v>
      </c>
      <c r="D99" s="103">
        <v>54213642</v>
      </c>
      <c r="E99" t="s">
        <v>93</v>
      </c>
      <c r="F99" t="s">
        <v>97</v>
      </c>
      <c r="G99" s="58" t="s">
        <v>301</v>
      </c>
      <c r="H99" s="105" t="s">
        <v>309</v>
      </c>
      <c r="I99" t="s">
        <v>36</v>
      </c>
      <c r="J99" s="57" t="s">
        <v>276</v>
      </c>
      <c r="K99" t="s">
        <v>277</v>
      </c>
      <c r="L99" s="106" t="s">
        <v>31</v>
      </c>
      <c r="M99" s="106" t="s">
        <v>31</v>
      </c>
      <c r="N99" s="106" t="s">
        <v>31</v>
      </c>
      <c r="O99" s="106" t="s">
        <v>31</v>
      </c>
      <c r="P99" s="79"/>
      <c r="Q99" s="106" t="s">
        <v>32</v>
      </c>
      <c r="R99" s="106" t="s">
        <v>32</v>
      </c>
      <c r="S99" s="64" t="s">
        <v>301</v>
      </c>
    </row>
    <row r="100" spans="1:19">
      <c r="A100" s="1">
        <v>130</v>
      </c>
      <c r="B100" t="s">
        <v>39</v>
      </c>
      <c r="C100" s="58">
        <v>1</v>
      </c>
      <c r="D100" s="103">
        <v>212590765</v>
      </c>
      <c r="E100" t="s">
        <v>93</v>
      </c>
      <c r="F100" t="s">
        <v>97</v>
      </c>
      <c r="G100" s="58" t="s">
        <v>301</v>
      </c>
      <c r="H100" s="105" t="s">
        <v>312</v>
      </c>
      <c r="I100" t="s">
        <v>36</v>
      </c>
      <c r="J100" s="57" t="s">
        <v>278</v>
      </c>
      <c r="K100" t="s">
        <v>279</v>
      </c>
      <c r="L100" s="106" t="s">
        <v>31</v>
      </c>
      <c r="M100" s="106" t="s">
        <v>31</v>
      </c>
      <c r="N100" s="106" t="s">
        <v>33</v>
      </c>
      <c r="O100" s="106" t="s">
        <v>31</v>
      </c>
      <c r="P100" s="79"/>
      <c r="Q100" s="106" t="s">
        <v>32</v>
      </c>
      <c r="R100" s="106" t="s">
        <v>32</v>
      </c>
      <c r="S100" s="64" t="s">
        <v>301</v>
      </c>
    </row>
    <row r="101" spans="1:19">
      <c r="A101" s="1">
        <v>131</v>
      </c>
      <c r="B101" t="s">
        <v>87</v>
      </c>
      <c r="C101" s="58">
        <v>1</v>
      </c>
      <c r="D101" s="103">
        <v>156439894</v>
      </c>
      <c r="E101" t="s">
        <v>93</v>
      </c>
      <c r="F101" t="s">
        <v>91</v>
      </c>
      <c r="G101" s="58" t="s">
        <v>301</v>
      </c>
      <c r="H101" s="105" t="s">
        <v>312</v>
      </c>
      <c r="I101" t="s">
        <v>36</v>
      </c>
      <c r="J101" s="131" t="s">
        <v>329</v>
      </c>
      <c r="K101" t="s">
        <v>311</v>
      </c>
      <c r="L101" s="106" t="s">
        <v>42</v>
      </c>
      <c r="M101" s="106" t="s">
        <v>42</v>
      </c>
      <c r="N101" s="106" t="s">
        <v>42</v>
      </c>
      <c r="O101" s="106" t="s">
        <v>42</v>
      </c>
      <c r="P101" s="79"/>
      <c r="Q101" s="106" t="s">
        <v>42</v>
      </c>
      <c r="R101" s="106" t="s">
        <v>42</v>
      </c>
      <c r="S101" s="64"/>
    </row>
    <row r="102" spans="1:19">
      <c r="A102" s="1">
        <v>132</v>
      </c>
      <c r="B102" t="s">
        <v>87</v>
      </c>
      <c r="C102" s="58">
        <v>4</v>
      </c>
      <c r="D102" s="103">
        <v>173162876</v>
      </c>
      <c r="E102" t="s">
        <v>89</v>
      </c>
      <c r="F102" t="s">
        <v>91</v>
      </c>
      <c r="G102" s="58" t="s">
        <v>301</v>
      </c>
      <c r="H102" s="105" t="s">
        <v>312</v>
      </c>
      <c r="I102" t="s">
        <v>36</v>
      </c>
      <c r="J102" s="57" t="s">
        <v>280</v>
      </c>
      <c r="K102" t="s">
        <v>281</v>
      </c>
      <c r="L102" s="106" t="s">
        <v>31</v>
      </c>
      <c r="M102" s="106" t="s">
        <v>33</v>
      </c>
      <c r="N102" s="106" t="s">
        <v>31</v>
      </c>
      <c r="O102" s="106" t="s">
        <v>31</v>
      </c>
      <c r="P102" s="79"/>
      <c r="Q102" s="106" t="s">
        <v>32</v>
      </c>
      <c r="R102" s="106" t="s">
        <v>31</v>
      </c>
      <c r="S102" s="64" t="s">
        <v>301</v>
      </c>
    </row>
    <row r="103" spans="1:19">
      <c r="A103" s="1">
        <v>133</v>
      </c>
      <c r="B103" t="s">
        <v>87</v>
      </c>
      <c r="C103" s="58">
        <v>4</v>
      </c>
      <c r="D103" s="103">
        <v>145551973</v>
      </c>
      <c r="E103" t="s">
        <v>93</v>
      </c>
      <c r="F103" t="s">
        <v>97</v>
      </c>
      <c r="G103" s="58" t="s">
        <v>301</v>
      </c>
      <c r="H103" s="105" t="s">
        <v>312</v>
      </c>
      <c r="I103" t="s">
        <v>36</v>
      </c>
      <c r="J103" s="57" t="s">
        <v>282</v>
      </c>
      <c r="K103" t="s">
        <v>318</v>
      </c>
      <c r="L103" s="106" t="s">
        <v>31</v>
      </c>
      <c r="M103" s="106" t="s">
        <v>31</v>
      </c>
      <c r="N103" s="106" t="s">
        <v>33</v>
      </c>
      <c r="O103" s="106" t="s">
        <v>31</v>
      </c>
      <c r="P103" s="79"/>
      <c r="Q103" s="106" t="s">
        <v>31</v>
      </c>
      <c r="R103" s="106" t="s">
        <v>31</v>
      </c>
      <c r="S103" s="64" t="s">
        <v>301</v>
      </c>
    </row>
    <row r="104" spans="1:19">
      <c r="A104" s="1">
        <v>134</v>
      </c>
      <c r="B104" t="s">
        <v>87</v>
      </c>
      <c r="C104" s="58">
        <v>3</v>
      </c>
      <c r="D104" s="103">
        <v>123311449</v>
      </c>
      <c r="E104" t="s">
        <v>89</v>
      </c>
      <c r="F104" t="s">
        <v>97</v>
      </c>
      <c r="G104" s="58" t="s">
        <v>301</v>
      </c>
      <c r="H104" s="105" t="s">
        <v>312</v>
      </c>
      <c r="I104" t="s">
        <v>36</v>
      </c>
      <c r="J104" s="57" t="s">
        <v>283</v>
      </c>
      <c r="K104" t="s">
        <v>284</v>
      </c>
      <c r="L104" s="106" t="s">
        <v>31</v>
      </c>
      <c r="M104" s="106" t="s">
        <v>31</v>
      </c>
      <c r="N104" s="106" t="s">
        <v>31</v>
      </c>
      <c r="O104" s="106" t="s">
        <v>31</v>
      </c>
      <c r="P104" s="79"/>
      <c r="Q104" s="106" t="s">
        <v>32</v>
      </c>
      <c r="R104" s="106" t="s">
        <v>32</v>
      </c>
      <c r="S104" s="64" t="s">
        <v>301</v>
      </c>
    </row>
    <row r="105" spans="1:19">
      <c r="A105" s="1">
        <v>135</v>
      </c>
      <c r="B105" t="s">
        <v>39</v>
      </c>
      <c r="C105" s="58">
        <v>4</v>
      </c>
      <c r="D105" s="103">
        <v>151058540</v>
      </c>
      <c r="E105" t="s">
        <v>93</v>
      </c>
      <c r="F105" t="s">
        <v>91</v>
      </c>
      <c r="G105" s="58" t="s">
        <v>301</v>
      </c>
      <c r="H105" s="105" t="s">
        <v>312</v>
      </c>
      <c r="I105" t="s">
        <v>36</v>
      </c>
      <c r="J105" s="131" t="s">
        <v>329</v>
      </c>
      <c r="L105" s="106" t="s">
        <v>42</v>
      </c>
      <c r="M105" s="106" t="s">
        <v>42</v>
      </c>
      <c r="N105" s="106" t="s">
        <v>42</v>
      </c>
      <c r="O105" s="106" t="s">
        <v>42</v>
      </c>
      <c r="P105" s="79"/>
      <c r="Q105" s="106" t="s">
        <v>42</v>
      </c>
      <c r="R105" s="106" t="s">
        <v>42</v>
      </c>
      <c r="S105" s="64"/>
    </row>
    <row r="106" spans="1:19">
      <c r="A106" s="1">
        <v>137</v>
      </c>
      <c r="B106" t="s">
        <v>39</v>
      </c>
      <c r="C106" s="58">
        <v>6</v>
      </c>
      <c r="D106" s="103">
        <v>106930681</v>
      </c>
      <c r="E106" t="s">
        <v>93</v>
      </c>
      <c r="F106" t="s">
        <v>97</v>
      </c>
      <c r="G106" s="58" t="s">
        <v>301</v>
      </c>
      <c r="H106" s="105" t="s">
        <v>312</v>
      </c>
      <c r="I106" t="s">
        <v>36</v>
      </c>
      <c r="J106" s="57" t="s">
        <v>285</v>
      </c>
      <c r="K106" t="s">
        <v>286</v>
      </c>
      <c r="L106" s="106" t="s">
        <v>31</v>
      </c>
      <c r="M106" s="106" t="s">
        <v>31</v>
      </c>
      <c r="N106" s="106" t="s">
        <v>31</v>
      </c>
      <c r="O106" s="106" t="s">
        <v>31</v>
      </c>
      <c r="P106" s="79"/>
      <c r="Q106" s="106" t="s">
        <v>32</v>
      </c>
      <c r="R106" s="106" t="s">
        <v>31</v>
      </c>
      <c r="S106" s="64" t="s">
        <v>301</v>
      </c>
    </row>
    <row r="107" spans="1:19">
      <c r="A107" s="1">
        <v>138</v>
      </c>
      <c r="B107" t="s">
        <v>39</v>
      </c>
      <c r="C107" s="58">
        <v>14</v>
      </c>
      <c r="D107" s="103">
        <v>50329568</v>
      </c>
      <c r="E107" t="s">
        <v>89</v>
      </c>
      <c r="F107" t="s">
        <v>91</v>
      </c>
      <c r="G107" s="58" t="s">
        <v>301</v>
      </c>
      <c r="H107" s="105" t="s">
        <v>312</v>
      </c>
      <c r="I107" t="s">
        <v>36</v>
      </c>
      <c r="J107" s="131" t="s">
        <v>329</v>
      </c>
      <c r="L107" s="106" t="s">
        <v>42</v>
      </c>
      <c r="M107" s="106" t="s">
        <v>42</v>
      </c>
      <c r="N107" s="106" t="s">
        <v>42</v>
      </c>
      <c r="O107" s="106" t="s">
        <v>42</v>
      </c>
      <c r="P107" s="79"/>
      <c r="Q107" s="106" t="s">
        <v>42</v>
      </c>
      <c r="R107" s="106" t="s">
        <v>42</v>
      </c>
      <c r="S107" s="64"/>
    </row>
    <row r="108" spans="1:19">
      <c r="A108" s="1">
        <v>139</v>
      </c>
      <c r="B108" t="s">
        <v>39</v>
      </c>
      <c r="C108" s="58">
        <v>1</v>
      </c>
      <c r="D108" s="103">
        <v>16216890</v>
      </c>
      <c r="E108" t="s">
        <v>89</v>
      </c>
      <c r="F108" t="s">
        <v>91</v>
      </c>
      <c r="G108" s="58" t="s">
        <v>301</v>
      </c>
      <c r="H108" s="105" t="s">
        <v>312</v>
      </c>
      <c r="I108" t="s">
        <v>36</v>
      </c>
      <c r="J108" s="57" t="s">
        <v>287</v>
      </c>
      <c r="K108" t="s">
        <v>288</v>
      </c>
      <c r="L108" s="106" t="s">
        <v>31</v>
      </c>
      <c r="M108" s="106" t="s">
        <v>33</v>
      </c>
      <c r="N108" s="106" t="s">
        <v>31</v>
      </c>
      <c r="O108" s="106" t="s">
        <v>31</v>
      </c>
      <c r="P108" s="79"/>
      <c r="Q108" s="106" t="s">
        <v>32</v>
      </c>
      <c r="R108" s="106" t="s">
        <v>15</v>
      </c>
      <c r="S108" s="64" t="s">
        <v>301</v>
      </c>
    </row>
    <row r="109" spans="1:19">
      <c r="A109" s="1">
        <v>140</v>
      </c>
      <c r="B109" t="s">
        <v>39</v>
      </c>
      <c r="C109" s="58">
        <v>17</v>
      </c>
      <c r="D109" s="103">
        <v>37132159</v>
      </c>
      <c r="E109" t="s">
        <v>89</v>
      </c>
      <c r="F109" t="s">
        <v>97</v>
      </c>
      <c r="G109" s="58" t="s">
        <v>301</v>
      </c>
      <c r="H109" s="105" t="s">
        <v>312</v>
      </c>
      <c r="I109" t="s">
        <v>36</v>
      </c>
      <c r="J109" s="57" t="s">
        <v>289</v>
      </c>
      <c r="K109" t="s">
        <v>290</v>
      </c>
      <c r="L109" s="106" t="s">
        <v>31</v>
      </c>
      <c r="M109" s="106" t="s">
        <v>31</v>
      </c>
      <c r="N109" s="106" t="s">
        <v>31</v>
      </c>
      <c r="O109" s="106" t="s">
        <v>31</v>
      </c>
      <c r="P109" s="79"/>
      <c r="Q109" s="106" t="s">
        <v>31</v>
      </c>
      <c r="R109" s="106" t="s">
        <v>32</v>
      </c>
      <c r="S109" s="64" t="s">
        <v>301</v>
      </c>
    </row>
    <row r="110" spans="1:19">
      <c r="A110" s="1">
        <v>141</v>
      </c>
      <c r="B110" t="s">
        <v>87</v>
      </c>
      <c r="C110" s="58">
        <v>16</v>
      </c>
      <c r="D110" s="103">
        <v>57139354</v>
      </c>
      <c r="E110" t="s">
        <v>89</v>
      </c>
      <c r="F110" t="s">
        <v>91</v>
      </c>
      <c r="G110" s="58" t="s">
        <v>301</v>
      </c>
      <c r="H110" s="105" t="s">
        <v>312</v>
      </c>
      <c r="I110" t="s">
        <v>36</v>
      </c>
      <c r="J110" s="57" t="s">
        <v>291</v>
      </c>
      <c r="K110" t="s">
        <v>292</v>
      </c>
      <c r="L110" s="106" t="s">
        <v>31</v>
      </c>
      <c r="M110" s="106" t="s">
        <v>31</v>
      </c>
      <c r="N110" s="106" t="s">
        <v>31</v>
      </c>
      <c r="O110" s="106" t="s">
        <v>31</v>
      </c>
      <c r="P110" s="79"/>
      <c r="Q110" s="106" t="s">
        <v>32</v>
      </c>
      <c r="R110" s="106" t="s">
        <v>32</v>
      </c>
      <c r="S110" s="64" t="s">
        <v>301</v>
      </c>
    </row>
    <row r="111" spans="1:19">
      <c r="A111" s="1">
        <v>142</v>
      </c>
      <c r="B111" t="s">
        <v>87</v>
      </c>
      <c r="C111" s="58" t="s">
        <v>184</v>
      </c>
      <c r="D111" s="103">
        <v>13030507</v>
      </c>
      <c r="E111" t="s">
        <v>89</v>
      </c>
      <c r="F111" t="s">
        <v>97</v>
      </c>
      <c r="G111" s="58" t="s">
        <v>301</v>
      </c>
      <c r="H111" s="105" t="s">
        <v>309</v>
      </c>
      <c r="I111" t="s">
        <v>36</v>
      </c>
      <c r="J111" s="57" t="s">
        <v>293</v>
      </c>
      <c r="K111" t="s">
        <v>294</v>
      </c>
      <c r="L111" s="106" t="s">
        <v>33</v>
      </c>
      <c r="M111" s="106" t="s">
        <v>33</v>
      </c>
      <c r="N111" s="106" t="s">
        <v>31</v>
      </c>
      <c r="O111" s="106" t="s">
        <v>31</v>
      </c>
      <c r="P111" s="79"/>
      <c r="Q111" s="106" t="s">
        <v>32</v>
      </c>
      <c r="R111" s="106" t="s">
        <v>32</v>
      </c>
      <c r="S111" s="64" t="s">
        <v>301</v>
      </c>
    </row>
    <row r="112" spans="1:19">
      <c r="A112" s="1">
        <v>143</v>
      </c>
      <c r="B112" t="s">
        <v>39</v>
      </c>
      <c r="C112" s="58">
        <v>18</v>
      </c>
      <c r="D112" s="103">
        <v>71783287</v>
      </c>
      <c r="E112" t="s">
        <v>93</v>
      </c>
      <c r="F112" t="s">
        <v>91</v>
      </c>
      <c r="G112" s="58" t="s">
        <v>304</v>
      </c>
      <c r="H112" s="105" t="s">
        <v>312</v>
      </c>
      <c r="I112" t="s">
        <v>36</v>
      </c>
      <c r="J112" s="57" t="s">
        <v>295</v>
      </c>
      <c r="K112" t="s">
        <v>296</v>
      </c>
      <c r="L112" s="106" t="s">
        <v>32</v>
      </c>
      <c r="M112" s="106" t="s">
        <v>32</v>
      </c>
      <c r="N112" s="106" t="s">
        <v>32</v>
      </c>
      <c r="O112" s="106" t="s">
        <v>31</v>
      </c>
      <c r="P112" s="79"/>
      <c r="Q112" s="106" t="s">
        <v>15</v>
      </c>
      <c r="R112" s="106" t="s">
        <v>33</v>
      </c>
      <c r="S112" s="64" t="s">
        <v>301</v>
      </c>
    </row>
    <row r="113" spans="1:20">
      <c r="A113" s="76">
        <v>144</v>
      </c>
      <c r="B113" s="33" t="s">
        <v>39</v>
      </c>
      <c r="C113" s="108">
        <v>8</v>
      </c>
      <c r="D113" s="110">
        <v>119981513</v>
      </c>
      <c r="E113" s="33" t="s">
        <v>93</v>
      </c>
      <c r="F113" s="33" t="s">
        <v>97</v>
      </c>
      <c r="G113" s="108" t="s">
        <v>301</v>
      </c>
      <c r="H113" s="112" t="s">
        <v>310</v>
      </c>
      <c r="I113" s="33" t="s">
        <v>36</v>
      </c>
      <c r="J113" s="109" t="s">
        <v>297</v>
      </c>
      <c r="K113" s="33" t="s">
        <v>298</v>
      </c>
      <c r="L113" s="78" t="s">
        <v>31</v>
      </c>
      <c r="M113" s="78" t="s">
        <v>33</v>
      </c>
      <c r="N113" s="78" t="s">
        <v>31</v>
      </c>
      <c r="O113" s="78" t="s">
        <v>31</v>
      </c>
      <c r="P113" s="111"/>
      <c r="Q113" s="78" t="s">
        <v>32</v>
      </c>
      <c r="R113" s="78" t="s">
        <v>31</v>
      </c>
      <c r="S113" s="64" t="s">
        <v>301</v>
      </c>
    </row>
    <row r="114" spans="1:20">
      <c r="A114" s="76"/>
      <c r="B114" s="33"/>
      <c r="D114" s="110"/>
      <c r="E114" s="33"/>
      <c r="F114" s="33"/>
      <c r="G114" s="117"/>
      <c r="H114" s="112"/>
      <c r="I114" s="33"/>
      <c r="J114" s="132" t="s">
        <v>330</v>
      </c>
      <c r="K114" s="33"/>
      <c r="L114" s="78"/>
      <c r="M114" s="78"/>
      <c r="N114" s="78"/>
      <c r="O114" s="78"/>
      <c r="P114" s="111"/>
      <c r="Q114" s="78"/>
      <c r="R114" s="78"/>
    </row>
    <row r="115" spans="1:20">
      <c r="A115" s="118" t="s">
        <v>337</v>
      </c>
      <c r="B115" s="119"/>
      <c r="C115" s="120"/>
      <c r="D115" s="121"/>
      <c r="E115" s="119"/>
      <c r="F115" s="119"/>
      <c r="G115" s="120"/>
      <c r="H115" s="122"/>
      <c r="I115" s="119"/>
      <c r="J115" s="123"/>
      <c r="K115" s="124"/>
      <c r="L115" s="134"/>
      <c r="M115" s="134"/>
      <c r="N115" s="134"/>
      <c r="O115" s="134"/>
      <c r="P115" s="134"/>
      <c r="Q115" s="134"/>
      <c r="R115" s="134"/>
    </row>
    <row r="116" spans="1:20" ht="15" customHeight="1">
      <c r="C116" s="113" t="s">
        <v>34</v>
      </c>
      <c r="D116" s="113"/>
      <c r="E116" s="113"/>
      <c r="F116" s="114"/>
      <c r="G116" s="150" t="s">
        <v>445</v>
      </c>
    </row>
    <row r="117" spans="1:20">
      <c r="A117" s="33" t="s">
        <v>81</v>
      </c>
      <c r="B117" s="33" t="s">
        <v>82</v>
      </c>
      <c r="C117" s="139" t="s">
        <v>30</v>
      </c>
      <c r="D117" s="33" t="s">
        <v>299</v>
      </c>
      <c r="E117" s="33" t="s">
        <v>84</v>
      </c>
      <c r="F117" s="33" t="s">
        <v>85</v>
      </c>
      <c r="G117" s="151"/>
      <c r="H117" s="33" t="s">
        <v>86</v>
      </c>
      <c r="I117" s="33" t="s">
        <v>37</v>
      </c>
      <c r="J117" s="33" t="s">
        <v>83</v>
      </c>
      <c r="K117" s="33" t="s">
        <v>28</v>
      </c>
      <c r="L117" s="148" t="s">
        <v>35</v>
      </c>
      <c r="M117" s="149"/>
      <c r="N117" s="149"/>
      <c r="O117" s="149"/>
      <c r="P117" s="149"/>
      <c r="Q117" s="149"/>
      <c r="R117" s="149"/>
      <c r="S117" s="143" t="s">
        <v>437</v>
      </c>
    </row>
    <row r="118" spans="1:20" ht="15.75">
      <c r="A118" s="1">
        <v>150</v>
      </c>
      <c r="B118" t="s">
        <v>39</v>
      </c>
      <c r="C118" s="58">
        <v>1</v>
      </c>
      <c r="D118" s="116">
        <v>1329515</v>
      </c>
      <c r="E118" t="s">
        <v>93</v>
      </c>
      <c r="F118" t="s">
        <v>91</v>
      </c>
      <c r="G118" s="58" t="s">
        <v>301</v>
      </c>
      <c r="H118" s="105" t="s">
        <v>309</v>
      </c>
      <c r="I118" t="s">
        <v>36</v>
      </c>
      <c r="J118" s="57" t="s">
        <v>150</v>
      </c>
      <c r="K118" s="133" t="s">
        <v>338</v>
      </c>
      <c r="L118" s="135" t="s">
        <v>31</v>
      </c>
      <c r="M118" s="135" t="s">
        <v>31</v>
      </c>
      <c r="N118" s="135" t="s">
        <v>31</v>
      </c>
      <c r="O118" s="135" t="s">
        <v>31</v>
      </c>
      <c r="P118" s="136"/>
      <c r="Q118" s="135" t="s">
        <v>15</v>
      </c>
      <c r="R118" s="135" t="s">
        <v>15</v>
      </c>
      <c r="S118" s="64" t="s">
        <v>301</v>
      </c>
    </row>
    <row r="119" spans="1:20" ht="15.75">
      <c r="A119" s="1">
        <v>151</v>
      </c>
      <c r="B119" t="s">
        <v>39</v>
      </c>
      <c r="C119" s="58">
        <v>1</v>
      </c>
      <c r="D119" s="116">
        <v>8215946</v>
      </c>
      <c r="E119" t="s">
        <v>89</v>
      </c>
      <c r="F119" t="s">
        <v>97</v>
      </c>
      <c r="G119" s="58" t="s">
        <v>301</v>
      </c>
      <c r="H119" s="105" t="s">
        <v>309</v>
      </c>
      <c r="I119" t="s">
        <v>36</v>
      </c>
      <c r="J119" s="57" t="s">
        <v>342</v>
      </c>
      <c r="K119" s="133" t="s">
        <v>338</v>
      </c>
      <c r="L119" s="106" t="s">
        <v>31</v>
      </c>
      <c r="M119" s="106" t="s">
        <v>31</v>
      </c>
      <c r="N119" s="106" t="s">
        <v>31</v>
      </c>
      <c r="O119" s="106" t="s">
        <v>31</v>
      </c>
      <c r="P119" s="79"/>
      <c r="Q119" s="106" t="s">
        <v>15</v>
      </c>
      <c r="R119" s="106" t="s">
        <v>15</v>
      </c>
      <c r="S119" s="64" t="s">
        <v>301</v>
      </c>
    </row>
    <row r="120" spans="1:20" ht="15.75">
      <c r="A120" s="1">
        <v>152</v>
      </c>
      <c r="B120" t="s">
        <v>39</v>
      </c>
      <c r="C120" s="58">
        <v>1</v>
      </c>
      <c r="D120" s="116">
        <v>8937306</v>
      </c>
      <c r="E120" t="s">
        <v>89</v>
      </c>
      <c r="F120" t="s">
        <v>91</v>
      </c>
      <c r="G120" s="152" t="s">
        <v>438</v>
      </c>
      <c r="H120" s="105" t="s">
        <v>309</v>
      </c>
      <c r="I120" t="s">
        <v>36</v>
      </c>
      <c r="J120" s="144" t="s">
        <v>331</v>
      </c>
      <c r="K120" s="133" t="s">
        <v>338</v>
      </c>
      <c r="L120" s="106" t="s">
        <v>42</v>
      </c>
      <c r="M120" s="106" t="s">
        <v>42</v>
      </c>
      <c r="N120" s="106" t="s">
        <v>42</v>
      </c>
      <c r="O120" s="106" t="s">
        <v>42</v>
      </c>
      <c r="P120" s="79"/>
      <c r="Q120" s="106" t="s">
        <v>42</v>
      </c>
      <c r="R120" s="106" t="s">
        <v>42</v>
      </c>
      <c r="S120" s="155" t="s">
        <v>438</v>
      </c>
    </row>
    <row r="121" spans="1:20" ht="15.75">
      <c r="A121" s="1">
        <v>153</v>
      </c>
      <c r="B121" t="s">
        <v>39</v>
      </c>
      <c r="C121" s="58">
        <v>1</v>
      </c>
      <c r="D121" s="116">
        <v>21737472</v>
      </c>
      <c r="E121" t="s">
        <v>89</v>
      </c>
      <c r="F121" t="s">
        <v>97</v>
      </c>
      <c r="G121" s="58" t="s">
        <v>301</v>
      </c>
      <c r="H121" s="105" t="s">
        <v>309</v>
      </c>
      <c r="I121" t="s">
        <v>36</v>
      </c>
      <c r="J121" s="140" t="s">
        <v>343</v>
      </c>
      <c r="K121" s="133" t="s">
        <v>338</v>
      </c>
      <c r="L121" s="106" t="s">
        <v>31</v>
      </c>
      <c r="M121" s="106" t="s">
        <v>31</v>
      </c>
      <c r="N121" s="106" t="s">
        <v>31</v>
      </c>
      <c r="O121" s="106" t="s">
        <v>31</v>
      </c>
      <c r="P121" s="79"/>
      <c r="Q121" s="106" t="s">
        <v>32</v>
      </c>
      <c r="R121" s="106" t="s">
        <v>31</v>
      </c>
      <c r="S121" s="64" t="s">
        <v>301</v>
      </c>
    </row>
    <row r="122" spans="1:20" ht="15.75">
      <c r="A122" s="1">
        <v>154</v>
      </c>
      <c r="B122" t="s">
        <v>39</v>
      </c>
      <c r="C122" s="58">
        <v>1</v>
      </c>
      <c r="D122" s="116">
        <v>54191570</v>
      </c>
      <c r="E122" t="s">
        <v>93</v>
      </c>
      <c r="F122" t="s">
        <v>91</v>
      </c>
      <c r="G122" s="58" t="s">
        <v>301</v>
      </c>
      <c r="H122" s="105" t="s">
        <v>309</v>
      </c>
      <c r="I122" t="s">
        <v>36</v>
      </c>
      <c r="J122" s="57" t="s">
        <v>344</v>
      </c>
      <c r="K122" s="133" t="s">
        <v>338</v>
      </c>
      <c r="L122" s="106" t="s">
        <v>31</v>
      </c>
      <c r="M122" s="106" t="s">
        <v>33</v>
      </c>
      <c r="N122" s="106" t="s">
        <v>31</v>
      </c>
      <c r="O122" s="106" t="s">
        <v>31</v>
      </c>
      <c r="P122" s="79"/>
      <c r="Q122" s="106" t="s">
        <v>15</v>
      </c>
      <c r="R122" s="106" t="s">
        <v>32</v>
      </c>
      <c r="S122" s="64" t="s">
        <v>301</v>
      </c>
    </row>
    <row r="123" spans="1:20" ht="15.75">
      <c r="A123" s="1">
        <v>155</v>
      </c>
      <c r="B123" t="s">
        <v>39</v>
      </c>
      <c r="C123" s="58">
        <v>1</v>
      </c>
      <c r="D123" s="116">
        <v>65860631</v>
      </c>
      <c r="E123" t="s">
        <v>89</v>
      </c>
      <c r="F123" s="146" t="s">
        <v>432</v>
      </c>
      <c r="G123" s="58" t="s">
        <v>301</v>
      </c>
      <c r="H123" s="105" t="s">
        <v>309</v>
      </c>
      <c r="I123" t="s">
        <v>36</v>
      </c>
      <c r="J123" s="57" t="s">
        <v>345</v>
      </c>
      <c r="K123" s="133" t="s">
        <v>338</v>
      </c>
      <c r="L123" s="106" t="s">
        <v>31</v>
      </c>
      <c r="M123" s="106" t="s">
        <v>31</v>
      </c>
      <c r="N123" s="106" t="s">
        <v>31</v>
      </c>
      <c r="O123" s="106" t="s">
        <v>31</v>
      </c>
      <c r="P123" s="79"/>
      <c r="Q123" s="106" t="s">
        <v>33</v>
      </c>
      <c r="R123" s="106" t="s">
        <v>31</v>
      </c>
      <c r="S123" s="64" t="s">
        <v>301</v>
      </c>
      <c r="T123" t="s">
        <v>441</v>
      </c>
    </row>
    <row r="124" spans="1:20" ht="15.75">
      <c r="A124" s="1">
        <v>156</v>
      </c>
      <c r="B124" t="s">
        <v>39</v>
      </c>
      <c r="C124" s="58">
        <v>1</v>
      </c>
      <c r="D124" s="116">
        <v>66642147</v>
      </c>
      <c r="E124" t="s">
        <v>93</v>
      </c>
      <c r="F124" t="s">
        <v>91</v>
      </c>
      <c r="G124" s="58" t="s">
        <v>301</v>
      </c>
      <c r="H124" s="105" t="s">
        <v>309</v>
      </c>
      <c r="I124" t="s">
        <v>36</v>
      </c>
      <c r="J124" s="140" t="s">
        <v>346</v>
      </c>
      <c r="K124" s="133" t="s">
        <v>338</v>
      </c>
      <c r="L124" s="106" t="s">
        <v>32</v>
      </c>
      <c r="M124" s="106" t="s">
        <v>31</v>
      </c>
      <c r="N124" s="106" t="s">
        <v>31</v>
      </c>
      <c r="O124" s="106" t="s">
        <v>31</v>
      </c>
      <c r="P124" s="79"/>
      <c r="Q124" s="106" t="s">
        <v>32</v>
      </c>
      <c r="R124" s="106" t="s">
        <v>32</v>
      </c>
      <c r="S124" s="64" t="s">
        <v>301</v>
      </c>
    </row>
    <row r="125" spans="1:20" ht="15.75">
      <c r="A125" s="1">
        <v>157</v>
      </c>
      <c r="B125" t="s">
        <v>39</v>
      </c>
      <c r="C125" s="58">
        <v>1</v>
      </c>
      <c r="D125" s="116">
        <v>67441039</v>
      </c>
      <c r="E125" t="s">
        <v>93</v>
      </c>
      <c r="F125" t="s">
        <v>91</v>
      </c>
      <c r="G125" s="64" t="s">
        <v>328</v>
      </c>
      <c r="H125" s="105" t="s">
        <v>309</v>
      </c>
      <c r="I125" t="s">
        <v>36</v>
      </c>
      <c r="J125" s="140" t="s">
        <v>347</v>
      </c>
      <c r="K125" s="133" t="s">
        <v>338</v>
      </c>
      <c r="L125" s="106" t="s">
        <v>42</v>
      </c>
      <c r="M125" s="106" t="s">
        <v>42</v>
      </c>
      <c r="N125" s="106" t="s">
        <v>42</v>
      </c>
      <c r="O125" s="106" t="s">
        <v>42</v>
      </c>
      <c r="P125" s="79"/>
      <c r="Q125" s="106" t="s">
        <v>42</v>
      </c>
      <c r="R125" s="106" t="s">
        <v>42</v>
      </c>
    </row>
    <row r="126" spans="1:20" ht="15.75">
      <c r="A126" s="1">
        <v>158</v>
      </c>
      <c r="B126" t="s">
        <v>39</v>
      </c>
      <c r="C126" s="58">
        <v>1</v>
      </c>
      <c r="D126" s="116">
        <v>85808537</v>
      </c>
      <c r="E126" t="s">
        <v>93</v>
      </c>
      <c r="F126" t="s">
        <v>91</v>
      </c>
      <c r="G126" s="58" t="s">
        <v>301</v>
      </c>
      <c r="H126" s="105" t="s">
        <v>309</v>
      </c>
      <c r="I126" t="s">
        <v>36</v>
      </c>
      <c r="J126" s="140" t="s">
        <v>348</v>
      </c>
      <c r="K126" s="133" t="s">
        <v>338</v>
      </c>
      <c r="L126" s="106" t="s">
        <v>31</v>
      </c>
      <c r="M126" s="106" t="s">
        <v>31</v>
      </c>
      <c r="N126" s="106" t="s">
        <v>31</v>
      </c>
      <c r="O126" s="106" t="s">
        <v>31</v>
      </c>
      <c r="P126" s="79"/>
      <c r="Q126" s="106" t="s">
        <v>32</v>
      </c>
      <c r="R126" s="106" t="s">
        <v>32</v>
      </c>
      <c r="S126" s="64" t="s">
        <v>301</v>
      </c>
    </row>
    <row r="127" spans="1:20" ht="15.75">
      <c r="A127" s="1">
        <v>159</v>
      </c>
      <c r="B127" t="s">
        <v>39</v>
      </c>
      <c r="C127" s="58">
        <v>1</v>
      </c>
      <c r="D127" s="116">
        <v>117549581</v>
      </c>
      <c r="E127" t="s">
        <v>93</v>
      </c>
      <c r="F127" t="s">
        <v>91</v>
      </c>
      <c r="G127" s="58" t="s">
        <v>301</v>
      </c>
      <c r="H127" s="105" t="s">
        <v>309</v>
      </c>
      <c r="I127" t="s">
        <v>36</v>
      </c>
      <c r="J127" s="141" t="s">
        <v>349</v>
      </c>
      <c r="K127" s="133" t="s">
        <v>338</v>
      </c>
      <c r="L127" s="106" t="s">
        <v>31</v>
      </c>
      <c r="M127" s="106" t="s">
        <v>31</v>
      </c>
      <c r="N127" s="106" t="s">
        <v>31</v>
      </c>
      <c r="O127" s="106" t="s">
        <v>31</v>
      </c>
      <c r="P127" s="79"/>
      <c r="Q127" s="106" t="s">
        <v>32</v>
      </c>
      <c r="R127" s="106" t="s">
        <v>31</v>
      </c>
      <c r="S127" s="64" t="s">
        <v>301</v>
      </c>
    </row>
    <row r="128" spans="1:20" ht="15.75">
      <c r="A128" s="1">
        <v>160</v>
      </c>
      <c r="B128" t="s">
        <v>39</v>
      </c>
      <c r="C128" s="58">
        <v>1</v>
      </c>
      <c r="D128" s="116">
        <v>151963026</v>
      </c>
      <c r="E128" t="s">
        <v>89</v>
      </c>
      <c r="F128" t="s">
        <v>91</v>
      </c>
      <c r="G128" s="58" t="s">
        <v>301</v>
      </c>
      <c r="H128" s="105" t="s">
        <v>309</v>
      </c>
      <c r="I128" t="s">
        <v>36</v>
      </c>
      <c r="J128" s="141" t="s">
        <v>350</v>
      </c>
      <c r="K128" s="133" t="s">
        <v>338</v>
      </c>
      <c r="L128" s="106" t="s">
        <v>31</v>
      </c>
      <c r="M128" s="106" t="s">
        <v>31</v>
      </c>
      <c r="N128" s="106" t="s">
        <v>33</v>
      </c>
      <c r="O128" s="106" t="s">
        <v>31</v>
      </c>
      <c r="P128" s="79"/>
      <c r="Q128" s="106" t="s">
        <v>15</v>
      </c>
      <c r="R128" s="106" t="s">
        <v>15</v>
      </c>
      <c r="S128" s="64" t="s">
        <v>301</v>
      </c>
    </row>
    <row r="129" spans="1:20" ht="15.75">
      <c r="A129" s="1">
        <v>161</v>
      </c>
      <c r="B129" t="s">
        <v>39</v>
      </c>
      <c r="C129" s="58">
        <v>1</v>
      </c>
      <c r="D129" s="116">
        <v>182982875</v>
      </c>
      <c r="E129" t="s">
        <v>93</v>
      </c>
      <c r="F129" t="s">
        <v>97</v>
      </c>
      <c r="G129" s="58" t="s">
        <v>301</v>
      </c>
      <c r="H129" s="105" t="s">
        <v>309</v>
      </c>
      <c r="I129" t="s">
        <v>36</v>
      </c>
      <c r="J129" s="141" t="s">
        <v>351</v>
      </c>
      <c r="K129" s="133" t="s">
        <v>338</v>
      </c>
      <c r="L129" s="106" t="s">
        <v>31</v>
      </c>
      <c r="M129" s="106" t="s">
        <v>32</v>
      </c>
      <c r="N129" s="106" t="s">
        <v>15</v>
      </c>
      <c r="O129" s="106" t="s">
        <v>31</v>
      </c>
      <c r="P129" s="79"/>
      <c r="Q129" s="106" t="s">
        <v>32</v>
      </c>
      <c r="R129" s="106" t="s">
        <v>32</v>
      </c>
      <c r="S129" s="64" t="s">
        <v>301</v>
      </c>
    </row>
    <row r="130" spans="1:20" ht="15.75">
      <c r="A130" s="1">
        <v>162</v>
      </c>
      <c r="B130" t="s">
        <v>39</v>
      </c>
      <c r="C130" s="58">
        <v>1</v>
      </c>
      <c r="D130" s="116">
        <v>186433913</v>
      </c>
      <c r="E130" t="s">
        <v>93</v>
      </c>
      <c r="F130" t="s">
        <v>91</v>
      </c>
      <c r="G130" s="58" t="s">
        <v>301</v>
      </c>
      <c r="H130" s="105" t="s">
        <v>309</v>
      </c>
      <c r="I130" t="s">
        <v>36</v>
      </c>
      <c r="J130" s="141" t="s">
        <v>352</v>
      </c>
      <c r="K130" s="133" t="s">
        <v>338</v>
      </c>
      <c r="L130" s="106" t="s">
        <v>31</v>
      </c>
      <c r="M130" s="106" t="s">
        <v>31</v>
      </c>
      <c r="N130" s="106" t="s">
        <v>33</v>
      </c>
      <c r="O130" s="106" t="s">
        <v>31</v>
      </c>
      <c r="P130" s="79"/>
      <c r="Q130" s="106" t="s">
        <v>15</v>
      </c>
      <c r="R130" s="106" t="s">
        <v>15</v>
      </c>
      <c r="S130" s="64" t="s">
        <v>301</v>
      </c>
    </row>
    <row r="131" spans="1:20" ht="15.75">
      <c r="A131" s="1">
        <v>163</v>
      </c>
      <c r="B131" t="s">
        <v>39</v>
      </c>
      <c r="C131" s="58">
        <v>1</v>
      </c>
      <c r="D131" s="116">
        <v>186648182</v>
      </c>
      <c r="E131" t="s">
        <v>89</v>
      </c>
      <c r="F131" s="146" t="s">
        <v>432</v>
      </c>
      <c r="G131" s="58" t="s">
        <v>301</v>
      </c>
      <c r="H131" s="105" t="s">
        <v>309</v>
      </c>
      <c r="I131" t="s">
        <v>36</v>
      </c>
      <c r="J131" s="140" t="s">
        <v>347</v>
      </c>
      <c r="K131" s="133" t="s">
        <v>338</v>
      </c>
      <c r="L131" s="106" t="s">
        <v>42</v>
      </c>
      <c r="M131" s="106" t="s">
        <v>42</v>
      </c>
      <c r="N131" s="106" t="s">
        <v>42</v>
      </c>
      <c r="O131" s="106" t="s">
        <v>42</v>
      </c>
      <c r="P131" s="79"/>
      <c r="Q131" s="106" t="s">
        <v>42</v>
      </c>
      <c r="R131" s="106" t="s">
        <v>42</v>
      </c>
      <c r="T131" t="s">
        <v>442</v>
      </c>
    </row>
    <row r="132" spans="1:20" ht="15.75">
      <c r="A132" s="1">
        <v>164</v>
      </c>
      <c r="B132" t="s">
        <v>39</v>
      </c>
      <c r="C132" s="58">
        <v>1</v>
      </c>
      <c r="D132" s="116">
        <v>205596728</v>
      </c>
      <c r="E132" t="s">
        <v>93</v>
      </c>
      <c r="F132" t="s">
        <v>91</v>
      </c>
      <c r="G132" s="58" t="s">
        <v>301</v>
      </c>
      <c r="H132" s="105" t="s">
        <v>309</v>
      </c>
      <c r="I132" t="s">
        <v>36</v>
      </c>
      <c r="J132" s="141" t="s">
        <v>353</v>
      </c>
      <c r="K132" s="133" t="s">
        <v>338</v>
      </c>
      <c r="L132" s="106" t="s">
        <v>33</v>
      </c>
      <c r="M132" s="106" t="s">
        <v>33</v>
      </c>
      <c r="N132" s="106" t="s">
        <v>31</v>
      </c>
      <c r="O132" s="106" t="s">
        <v>31</v>
      </c>
      <c r="P132" s="79"/>
      <c r="Q132" s="106" t="s">
        <v>32</v>
      </c>
      <c r="R132" s="106" t="s">
        <v>15</v>
      </c>
      <c r="S132" s="64" t="s">
        <v>301</v>
      </c>
    </row>
    <row r="133" spans="1:20" ht="15.75">
      <c r="A133" s="1">
        <v>165</v>
      </c>
      <c r="B133" t="s">
        <v>39</v>
      </c>
      <c r="C133" s="58">
        <v>1</v>
      </c>
      <c r="D133" s="116">
        <v>206991724</v>
      </c>
      <c r="E133" t="s">
        <v>93</v>
      </c>
      <c r="F133" t="s">
        <v>91</v>
      </c>
      <c r="G133" s="58" t="s">
        <v>301</v>
      </c>
      <c r="H133" s="105" t="s">
        <v>309</v>
      </c>
      <c r="I133" t="s">
        <v>36</v>
      </c>
      <c r="J133" s="140" t="s">
        <v>347</v>
      </c>
      <c r="K133" s="133" t="s">
        <v>338</v>
      </c>
      <c r="L133" s="106" t="s">
        <v>42</v>
      </c>
      <c r="M133" s="106" t="s">
        <v>42</v>
      </c>
      <c r="N133" s="106" t="s">
        <v>42</v>
      </c>
      <c r="O133" s="106" t="s">
        <v>42</v>
      </c>
      <c r="P133" s="79"/>
      <c r="Q133" s="106" t="s">
        <v>42</v>
      </c>
      <c r="R133" s="106" t="s">
        <v>42</v>
      </c>
    </row>
    <row r="134" spans="1:20" ht="15.75">
      <c r="A134" s="1">
        <v>166</v>
      </c>
      <c r="B134" t="s">
        <v>39</v>
      </c>
      <c r="C134" s="58">
        <v>2</v>
      </c>
      <c r="D134" s="116">
        <v>10342071</v>
      </c>
      <c r="E134" t="s">
        <v>89</v>
      </c>
      <c r="F134" t="s">
        <v>91</v>
      </c>
      <c r="G134" s="58" t="s">
        <v>301</v>
      </c>
      <c r="H134" s="105" t="s">
        <v>309</v>
      </c>
      <c r="I134" t="s">
        <v>36</v>
      </c>
      <c r="J134" s="140" t="s">
        <v>347</v>
      </c>
      <c r="K134" s="133" t="s">
        <v>338</v>
      </c>
      <c r="L134" s="106" t="s">
        <v>42</v>
      </c>
      <c r="M134" s="106" t="s">
        <v>42</v>
      </c>
      <c r="N134" s="106" t="s">
        <v>42</v>
      </c>
      <c r="O134" s="106" t="s">
        <v>42</v>
      </c>
      <c r="P134" s="79"/>
      <c r="Q134" s="106" t="s">
        <v>42</v>
      </c>
      <c r="R134" s="106" t="s">
        <v>42</v>
      </c>
    </row>
    <row r="135" spans="1:20" ht="15.75">
      <c r="A135" s="1">
        <v>167</v>
      </c>
      <c r="B135" t="s">
        <v>39</v>
      </c>
      <c r="C135" s="58">
        <v>2</v>
      </c>
      <c r="D135" s="116">
        <v>56240461</v>
      </c>
      <c r="E135" t="s">
        <v>93</v>
      </c>
      <c r="F135" t="s">
        <v>91</v>
      </c>
      <c r="G135" s="58" t="s">
        <v>301</v>
      </c>
      <c r="H135" s="105" t="s">
        <v>309</v>
      </c>
      <c r="I135" t="s">
        <v>36</v>
      </c>
      <c r="J135" s="141" t="s">
        <v>354</v>
      </c>
      <c r="K135" s="133" t="s">
        <v>338</v>
      </c>
      <c r="L135" s="106" t="s">
        <v>31</v>
      </c>
      <c r="M135" s="106" t="s">
        <v>31</v>
      </c>
      <c r="N135" s="106" t="s">
        <v>31</v>
      </c>
      <c r="O135" s="106" t="s">
        <v>31</v>
      </c>
      <c r="P135" s="79"/>
      <c r="Q135" s="106" t="s">
        <v>15</v>
      </c>
      <c r="R135" s="106" t="s">
        <v>15</v>
      </c>
      <c r="S135" s="64" t="s">
        <v>301</v>
      </c>
    </row>
    <row r="136" spans="1:20" ht="15.75">
      <c r="A136" s="1">
        <v>168</v>
      </c>
      <c r="B136" t="s">
        <v>39</v>
      </c>
      <c r="C136" s="58">
        <v>2</v>
      </c>
      <c r="D136" s="116">
        <v>69430365</v>
      </c>
      <c r="E136" t="s">
        <v>93</v>
      </c>
      <c r="F136" t="s">
        <v>97</v>
      </c>
      <c r="G136" s="58" t="s">
        <v>301</v>
      </c>
      <c r="H136" s="105" t="s">
        <v>309</v>
      </c>
      <c r="I136" t="s">
        <v>36</v>
      </c>
      <c r="J136" s="141" t="s">
        <v>355</v>
      </c>
      <c r="K136" s="133" t="s">
        <v>338</v>
      </c>
      <c r="L136" s="106" t="s">
        <v>31</v>
      </c>
      <c r="M136" s="106" t="s">
        <v>31</v>
      </c>
      <c r="N136" s="106" t="s">
        <v>31</v>
      </c>
      <c r="O136" s="106" t="s">
        <v>31</v>
      </c>
      <c r="P136" s="79"/>
      <c r="Q136" s="106" t="s">
        <v>32</v>
      </c>
      <c r="R136" s="106" t="s">
        <v>32</v>
      </c>
      <c r="S136" s="64" t="s">
        <v>301</v>
      </c>
    </row>
    <row r="137" spans="1:20" ht="15.75">
      <c r="A137" s="1">
        <v>169</v>
      </c>
      <c r="B137" t="s">
        <v>39</v>
      </c>
      <c r="C137" s="58">
        <v>2</v>
      </c>
      <c r="D137" s="116">
        <v>70318707</v>
      </c>
      <c r="E137" t="s">
        <v>93</v>
      </c>
      <c r="F137" t="s">
        <v>97</v>
      </c>
      <c r="G137" s="58" t="s">
        <v>301</v>
      </c>
      <c r="H137" s="105" t="s">
        <v>309</v>
      </c>
      <c r="I137" t="s">
        <v>36</v>
      </c>
      <c r="J137" s="141" t="s">
        <v>356</v>
      </c>
      <c r="K137" s="133" t="s">
        <v>338</v>
      </c>
      <c r="L137" s="106" t="s">
        <v>31</v>
      </c>
      <c r="M137" s="106" t="s">
        <v>31</v>
      </c>
      <c r="N137" s="106" t="s">
        <v>33</v>
      </c>
      <c r="O137" s="106" t="s">
        <v>31</v>
      </c>
      <c r="P137" s="79"/>
      <c r="Q137" s="106" t="s">
        <v>32</v>
      </c>
      <c r="R137" s="106" t="s">
        <v>32</v>
      </c>
      <c r="S137" s="64" t="s">
        <v>301</v>
      </c>
    </row>
    <row r="138" spans="1:20" ht="15.75">
      <c r="A138" s="1">
        <v>170</v>
      </c>
      <c r="B138" t="s">
        <v>39</v>
      </c>
      <c r="C138" s="58">
        <v>2</v>
      </c>
      <c r="D138" s="116">
        <v>101475178</v>
      </c>
      <c r="E138" t="s">
        <v>89</v>
      </c>
      <c r="F138" t="s">
        <v>91</v>
      </c>
      <c r="G138" s="58" t="s">
        <v>301</v>
      </c>
      <c r="H138" s="105" t="s">
        <v>309</v>
      </c>
      <c r="I138" t="s">
        <v>36</v>
      </c>
      <c r="J138" s="141" t="s">
        <v>357</v>
      </c>
      <c r="K138" s="133" t="s">
        <v>338</v>
      </c>
      <c r="L138" s="106" t="s">
        <v>31</v>
      </c>
      <c r="M138" s="106" t="s">
        <v>31</v>
      </c>
      <c r="N138" s="106" t="s">
        <v>31</v>
      </c>
      <c r="O138" s="106" t="s">
        <v>31</v>
      </c>
      <c r="P138" s="79"/>
      <c r="Q138" s="106" t="s">
        <v>32</v>
      </c>
      <c r="R138" s="106" t="s">
        <v>32</v>
      </c>
      <c r="S138" s="64" t="s">
        <v>301</v>
      </c>
    </row>
    <row r="139" spans="1:20" ht="15.75">
      <c r="A139" s="1">
        <v>171</v>
      </c>
      <c r="B139" t="s">
        <v>39</v>
      </c>
      <c r="C139" s="58">
        <v>2</v>
      </c>
      <c r="D139" s="116">
        <v>189995636</v>
      </c>
      <c r="E139" t="s">
        <v>93</v>
      </c>
      <c r="F139" t="s">
        <v>91</v>
      </c>
      <c r="G139" s="58" t="s">
        <v>301</v>
      </c>
      <c r="H139" s="105" t="s">
        <v>309</v>
      </c>
      <c r="I139" t="s">
        <v>36</v>
      </c>
      <c r="J139" s="141" t="s">
        <v>358</v>
      </c>
      <c r="K139" s="133" t="s">
        <v>338</v>
      </c>
      <c r="L139" s="106" t="s">
        <v>31</v>
      </c>
      <c r="M139" s="106" t="s">
        <v>31</v>
      </c>
      <c r="N139" s="106" t="s">
        <v>33</v>
      </c>
      <c r="O139" s="106" t="s">
        <v>31</v>
      </c>
      <c r="P139" s="79"/>
      <c r="Q139" s="106" t="s">
        <v>32</v>
      </c>
      <c r="R139" s="106" t="s">
        <v>32</v>
      </c>
      <c r="S139" s="64" t="s">
        <v>301</v>
      </c>
    </row>
    <row r="140" spans="1:20" ht="15.75">
      <c r="A140" s="1">
        <v>172</v>
      </c>
      <c r="B140" t="s">
        <v>39</v>
      </c>
      <c r="C140" s="58">
        <v>2</v>
      </c>
      <c r="D140" s="116">
        <v>194918772</v>
      </c>
      <c r="E140" t="s">
        <v>93</v>
      </c>
      <c r="F140" t="s">
        <v>341</v>
      </c>
      <c r="G140" s="58" t="s">
        <v>301</v>
      </c>
      <c r="H140" s="105" t="s">
        <v>309</v>
      </c>
      <c r="I140" t="s">
        <v>36</v>
      </c>
      <c r="J140" s="140" t="s">
        <v>347</v>
      </c>
      <c r="K140" s="133" t="s">
        <v>338</v>
      </c>
      <c r="L140" s="106" t="s">
        <v>42</v>
      </c>
      <c r="M140" s="106" t="s">
        <v>42</v>
      </c>
      <c r="N140" s="106" t="s">
        <v>42</v>
      </c>
      <c r="O140" s="106" t="s">
        <v>42</v>
      </c>
      <c r="P140" s="79"/>
      <c r="Q140" s="106" t="s">
        <v>42</v>
      </c>
      <c r="R140" s="106" t="s">
        <v>42</v>
      </c>
    </row>
    <row r="141" spans="1:20" ht="15.75">
      <c r="A141" s="1">
        <v>173</v>
      </c>
      <c r="B141" t="s">
        <v>39</v>
      </c>
      <c r="C141" s="58">
        <v>2</v>
      </c>
      <c r="D141" s="116">
        <v>210800221</v>
      </c>
      <c r="E141" t="s">
        <v>89</v>
      </c>
      <c r="F141" t="s">
        <v>91</v>
      </c>
      <c r="G141" s="58" t="s">
        <v>301</v>
      </c>
      <c r="H141" s="105" t="s">
        <v>309</v>
      </c>
      <c r="I141" t="s">
        <v>36</v>
      </c>
      <c r="J141" s="141" t="s">
        <v>359</v>
      </c>
      <c r="K141" s="133" t="s">
        <v>338</v>
      </c>
      <c r="L141" s="106" t="s">
        <v>31</v>
      </c>
      <c r="M141" s="106" t="s">
        <v>31</v>
      </c>
      <c r="N141" s="106" t="s">
        <v>31</v>
      </c>
      <c r="O141" s="106" t="s">
        <v>31</v>
      </c>
      <c r="P141" s="79"/>
      <c r="Q141" s="106" t="s">
        <v>32</v>
      </c>
      <c r="R141" s="106" t="s">
        <v>32</v>
      </c>
      <c r="S141" s="64" t="s">
        <v>301</v>
      </c>
    </row>
    <row r="142" spans="1:20" ht="15.75">
      <c r="A142" s="1">
        <v>174</v>
      </c>
      <c r="B142" t="s">
        <v>39</v>
      </c>
      <c r="C142" s="58">
        <v>2</v>
      </c>
      <c r="D142" s="116">
        <v>213446348</v>
      </c>
      <c r="E142" t="s">
        <v>93</v>
      </c>
      <c r="F142" t="s">
        <v>97</v>
      </c>
      <c r="G142" s="58" t="s">
        <v>301</v>
      </c>
      <c r="H142" s="105" t="s">
        <v>309</v>
      </c>
      <c r="I142" t="s">
        <v>36</v>
      </c>
      <c r="J142" s="141" t="s">
        <v>360</v>
      </c>
      <c r="K142" s="133" t="s">
        <v>338</v>
      </c>
      <c r="L142" s="106" t="s">
        <v>33</v>
      </c>
      <c r="M142" s="106" t="s">
        <v>31</v>
      </c>
      <c r="N142" s="106" t="s">
        <v>31</v>
      </c>
      <c r="O142" s="106" t="s">
        <v>31</v>
      </c>
      <c r="P142" s="79"/>
      <c r="Q142" s="106" t="s">
        <v>32</v>
      </c>
      <c r="R142" s="106" t="s">
        <v>15</v>
      </c>
      <c r="S142" s="64" t="s">
        <v>301</v>
      </c>
    </row>
    <row r="143" spans="1:20" ht="15.75">
      <c r="A143" s="1">
        <v>175</v>
      </c>
      <c r="B143" t="s">
        <v>39</v>
      </c>
      <c r="C143" s="58">
        <v>2</v>
      </c>
      <c r="D143" s="116">
        <v>230982192</v>
      </c>
      <c r="E143" t="s">
        <v>89</v>
      </c>
      <c r="F143" t="s">
        <v>97</v>
      </c>
      <c r="G143" s="58" t="s">
        <v>301</v>
      </c>
      <c r="H143" s="105" t="s">
        <v>309</v>
      </c>
      <c r="I143" t="s">
        <v>36</v>
      </c>
      <c r="J143" s="142" t="s">
        <v>361</v>
      </c>
      <c r="K143" s="133" t="s">
        <v>338</v>
      </c>
      <c r="L143" s="106" t="s">
        <v>15</v>
      </c>
      <c r="M143" s="106" t="s">
        <v>31</v>
      </c>
      <c r="N143" s="106" t="s">
        <v>31</v>
      </c>
      <c r="O143" s="106" t="s">
        <v>33</v>
      </c>
      <c r="P143" s="79"/>
      <c r="Q143" s="106" t="s">
        <v>32</v>
      </c>
      <c r="R143" s="106" t="s">
        <v>32</v>
      </c>
      <c r="S143" s="64" t="s">
        <v>301</v>
      </c>
    </row>
    <row r="144" spans="1:20" ht="15.75">
      <c r="A144" s="1">
        <v>176</v>
      </c>
      <c r="B144" t="s">
        <v>39</v>
      </c>
      <c r="C144" s="58">
        <v>2</v>
      </c>
      <c r="D144" s="116">
        <v>238628075</v>
      </c>
      <c r="E144" t="s">
        <v>93</v>
      </c>
      <c r="F144" t="s">
        <v>91</v>
      </c>
      <c r="G144" s="58" t="s">
        <v>301</v>
      </c>
      <c r="H144" s="105" t="s">
        <v>309</v>
      </c>
      <c r="I144" t="s">
        <v>36</v>
      </c>
      <c r="J144" s="141" t="s">
        <v>362</v>
      </c>
      <c r="K144" s="133" t="s">
        <v>338</v>
      </c>
      <c r="L144" s="106" t="s">
        <v>31</v>
      </c>
      <c r="M144" s="106" t="s">
        <v>31</v>
      </c>
      <c r="N144" s="106" t="s">
        <v>33</v>
      </c>
      <c r="O144" s="106" t="s">
        <v>31</v>
      </c>
      <c r="P144" s="79"/>
      <c r="Q144" s="106" t="s">
        <v>15</v>
      </c>
      <c r="R144" s="106" t="s">
        <v>32</v>
      </c>
      <c r="S144" s="64" t="s">
        <v>301</v>
      </c>
    </row>
    <row r="145" spans="1:19" ht="15.75">
      <c r="A145" s="1">
        <v>177</v>
      </c>
      <c r="B145" t="s">
        <v>39</v>
      </c>
      <c r="C145" s="58">
        <v>2</v>
      </c>
      <c r="D145" s="116">
        <v>238634801</v>
      </c>
      <c r="E145" t="s">
        <v>89</v>
      </c>
      <c r="F145" t="s">
        <v>91</v>
      </c>
      <c r="G145" s="58" t="s">
        <v>301</v>
      </c>
      <c r="H145" s="105" t="s">
        <v>309</v>
      </c>
      <c r="I145" t="s">
        <v>36</v>
      </c>
      <c r="J145" s="141" t="s">
        <v>363</v>
      </c>
      <c r="K145" s="133" t="s">
        <v>338</v>
      </c>
      <c r="L145" s="106" t="s">
        <v>32</v>
      </c>
      <c r="M145" s="106" t="s">
        <v>31</v>
      </c>
      <c r="N145" s="106" t="s">
        <v>31</v>
      </c>
      <c r="O145" s="106" t="s">
        <v>31</v>
      </c>
      <c r="P145" s="79"/>
      <c r="Q145" s="106" t="s">
        <v>33</v>
      </c>
      <c r="R145" s="106" t="s">
        <v>32</v>
      </c>
      <c r="S145" s="64" t="s">
        <v>301</v>
      </c>
    </row>
    <row r="146" spans="1:19" ht="15.75">
      <c r="A146" s="1">
        <v>178</v>
      </c>
      <c r="B146" t="s">
        <v>39</v>
      </c>
      <c r="C146" s="58">
        <v>3</v>
      </c>
      <c r="D146" s="116">
        <v>24844836</v>
      </c>
      <c r="E146" t="s">
        <v>89</v>
      </c>
      <c r="F146" t="s">
        <v>97</v>
      </c>
      <c r="G146" s="58" t="s">
        <v>301</v>
      </c>
      <c r="H146" s="105" t="s">
        <v>309</v>
      </c>
      <c r="I146" t="s">
        <v>36</v>
      </c>
      <c r="J146" s="140" t="s">
        <v>347</v>
      </c>
      <c r="K146" s="133" t="s">
        <v>338</v>
      </c>
      <c r="L146" s="106" t="s">
        <v>42</v>
      </c>
      <c r="M146" s="106" t="s">
        <v>42</v>
      </c>
      <c r="N146" s="106" t="s">
        <v>42</v>
      </c>
      <c r="O146" s="106" t="s">
        <v>42</v>
      </c>
      <c r="P146" s="79"/>
      <c r="Q146" s="106" t="s">
        <v>42</v>
      </c>
      <c r="R146" s="106" t="s">
        <v>42</v>
      </c>
    </row>
    <row r="147" spans="1:19" ht="15.75">
      <c r="A147" s="1">
        <v>179</v>
      </c>
      <c r="B147" t="s">
        <v>39</v>
      </c>
      <c r="C147" s="58">
        <v>3</v>
      </c>
      <c r="D147" s="116">
        <v>33345902</v>
      </c>
      <c r="E147" t="s">
        <v>89</v>
      </c>
      <c r="F147" t="s">
        <v>91</v>
      </c>
      <c r="G147" s="58" t="s">
        <v>301</v>
      </c>
      <c r="H147" s="105" t="s">
        <v>309</v>
      </c>
      <c r="I147" t="s">
        <v>36</v>
      </c>
      <c r="J147" s="141" t="s">
        <v>364</v>
      </c>
      <c r="K147" s="133" t="s">
        <v>338</v>
      </c>
      <c r="L147" s="106" t="s">
        <v>31</v>
      </c>
      <c r="M147" s="106" t="s">
        <v>33</v>
      </c>
      <c r="N147" s="106" t="s">
        <v>31</v>
      </c>
      <c r="O147" s="106" t="s">
        <v>31</v>
      </c>
      <c r="P147" s="79"/>
      <c r="Q147" s="106" t="s">
        <v>32</v>
      </c>
      <c r="R147" s="106" t="s">
        <v>15</v>
      </c>
      <c r="S147" s="64" t="s">
        <v>301</v>
      </c>
    </row>
    <row r="148" spans="1:19" ht="15.75">
      <c r="A148" s="1">
        <v>180</v>
      </c>
      <c r="B148" t="s">
        <v>39</v>
      </c>
      <c r="C148" s="58">
        <v>3</v>
      </c>
      <c r="D148" s="116">
        <v>120085269</v>
      </c>
      <c r="E148" t="s">
        <v>89</v>
      </c>
      <c r="F148" t="s">
        <v>97</v>
      </c>
      <c r="G148" s="58" t="s">
        <v>301</v>
      </c>
      <c r="H148" s="105" t="s">
        <v>309</v>
      </c>
      <c r="I148" t="s">
        <v>36</v>
      </c>
      <c r="J148" s="140" t="s">
        <v>347</v>
      </c>
      <c r="K148" s="133" t="s">
        <v>338</v>
      </c>
      <c r="L148" s="106" t="s">
        <v>42</v>
      </c>
      <c r="M148" s="106" t="s">
        <v>42</v>
      </c>
      <c r="N148" s="106" t="s">
        <v>42</v>
      </c>
      <c r="O148" s="106" t="s">
        <v>42</v>
      </c>
      <c r="P148" s="79"/>
      <c r="Q148" s="106" t="s">
        <v>42</v>
      </c>
      <c r="R148" s="106" t="s">
        <v>42</v>
      </c>
    </row>
    <row r="149" spans="1:19" ht="15.75">
      <c r="A149" s="1">
        <v>181</v>
      </c>
      <c r="B149" t="s">
        <v>39</v>
      </c>
      <c r="C149" s="58">
        <v>3</v>
      </c>
      <c r="D149" s="116">
        <v>124745971</v>
      </c>
      <c r="E149" t="s">
        <v>93</v>
      </c>
      <c r="F149" t="s">
        <v>91</v>
      </c>
      <c r="G149" s="58" t="s">
        <v>301</v>
      </c>
      <c r="H149" s="105" t="s">
        <v>309</v>
      </c>
      <c r="I149" t="s">
        <v>36</v>
      </c>
      <c r="J149" s="141" t="s">
        <v>365</v>
      </c>
      <c r="K149" s="133" t="s">
        <v>338</v>
      </c>
      <c r="L149" s="106" t="s">
        <v>31</v>
      </c>
      <c r="M149" s="106" t="s">
        <v>33</v>
      </c>
      <c r="N149" s="106" t="s">
        <v>32</v>
      </c>
      <c r="O149" s="106" t="s">
        <v>31</v>
      </c>
      <c r="P149" s="79"/>
      <c r="Q149" s="106" t="s">
        <v>33</v>
      </c>
      <c r="R149" s="106" t="s">
        <v>32</v>
      </c>
      <c r="S149" s="64" t="s">
        <v>301</v>
      </c>
    </row>
    <row r="150" spans="1:19" ht="15.75">
      <c r="A150" s="1">
        <v>182</v>
      </c>
      <c r="B150" t="s">
        <v>39</v>
      </c>
      <c r="C150" s="58">
        <v>3</v>
      </c>
      <c r="D150" s="116">
        <v>150736931</v>
      </c>
      <c r="E150" t="s">
        <v>89</v>
      </c>
      <c r="F150" t="s">
        <v>91</v>
      </c>
      <c r="G150" s="58" t="s">
        <v>301</v>
      </c>
      <c r="H150" s="105" t="s">
        <v>309</v>
      </c>
      <c r="I150" t="s">
        <v>36</v>
      </c>
      <c r="J150" s="141" t="s">
        <v>366</v>
      </c>
      <c r="K150" s="133" t="s">
        <v>338</v>
      </c>
      <c r="L150" s="106" t="s">
        <v>31</v>
      </c>
      <c r="M150" s="106" t="s">
        <v>33</v>
      </c>
      <c r="N150" s="106" t="s">
        <v>31</v>
      </c>
      <c r="O150" s="106" t="s">
        <v>31</v>
      </c>
      <c r="P150" s="79"/>
      <c r="Q150" s="106" t="s">
        <v>15</v>
      </c>
      <c r="R150" s="106" t="s">
        <v>33</v>
      </c>
      <c r="S150" s="64" t="s">
        <v>301</v>
      </c>
    </row>
    <row r="151" spans="1:19" ht="15.75">
      <c r="A151" s="1">
        <v>183</v>
      </c>
      <c r="B151" t="s">
        <v>39</v>
      </c>
      <c r="C151" s="58">
        <v>3</v>
      </c>
      <c r="D151" s="116">
        <v>152229496</v>
      </c>
      <c r="E151" t="s">
        <v>93</v>
      </c>
      <c r="F151" t="s">
        <v>97</v>
      </c>
      <c r="G151" s="58" t="s">
        <v>301</v>
      </c>
      <c r="H151" s="105" t="s">
        <v>309</v>
      </c>
      <c r="I151" t="s">
        <v>36</v>
      </c>
      <c r="J151" s="141" t="s">
        <v>367</v>
      </c>
      <c r="K151" s="133" t="s">
        <v>338</v>
      </c>
      <c r="L151" s="106" t="s">
        <v>31</v>
      </c>
      <c r="M151" s="106" t="s">
        <v>31</v>
      </c>
      <c r="N151" s="106" t="s">
        <v>31</v>
      </c>
      <c r="O151" s="106" t="s">
        <v>31</v>
      </c>
      <c r="P151" s="79"/>
      <c r="Q151" s="106" t="s">
        <v>32</v>
      </c>
      <c r="R151" s="106" t="s">
        <v>32</v>
      </c>
      <c r="S151" s="64" t="s">
        <v>301</v>
      </c>
    </row>
    <row r="152" spans="1:19" ht="15.75">
      <c r="A152" s="1">
        <v>184</v>
      </c>
      <c r="B152" t="s">
        <v>39</v>
      </c>
      <c r="C152" s="58">
        <v>3</v>
      </c>
      <c r="D152" s="116">
        <v>171402897</v>
      </c>
      <c r="E152" t="s">
        <v>89</v>
      </c>
      <c r="F152" t="s">
        <v>91</v>
      </c>
      <c r="G152" s="58" t="s">
        <v>301</v>
      </c>
      <c r="H152" s="105" t="s">
        <v>309</v>
      </c>
      <c r="I152" t="s">
        <v>36</v>
      </c>
      <c r="J152" s="141" t="s">
        <v>368</v>
      </c>
      <c r="K152" s="133" t="s">
        <v>338</v>
      </c>
      <c r="L152" s="106" t="s">
        <v>31</v>
      </c>
      <c r="M152" s="106" t="s">
        <v>31</v>
      </c>
      <c r="N152" s="106" t="s">
        <v>31</v>
      </c>
      <c r="O152" s="106" t="s">
        <v>31</v>
      </c>
      <c r="P152" s="79"/>
      <c r="Q152" s="106" t="s">
        <v>15</v>
      </c>
      <c r="R152" s="106" t="s">
        <v>33</v>
      </c>
      <c r="S152" s="64" t="s">
        <v>301</v>
      </c>
    </row>
    <row r="153" spans="1:19" ht="15.75">
      <c r="A153" s="1">
        <v>185</v>
      </c>
      <c r="B153" t="s">
        <v>39</v>
      </c>
      <c r="C153" s="58">
        <v>3</v>
      </c>
      <c r="D153" s="116">
        <v>181561035</v>
      </c>
      <c r="E153" t="s">
        <v>93</v>
      </c>
      <c r="F153" t="s">
        <v>97</v>
      </c>
      <c r="G153" s="152" t="s">
        <v>438</v>
      </c>
      <c r="H153" s="105" t="s">
        <v>309</v>
      </c>
      <c r="I153" t="s">
        <v>36</v>
      </c>
      <c r="J153" s="144" t="s">
        <v>331</v>
      </c>
      <c r="K153" s="133" t="s">
        <v>338</v>
      </c>
      <c r="L153" s="106" t="s">
        <v>42</v>
      </c>
      <c r="M153" s="106" t="s">
        <v>42</v>
      </c>
      <c r="N153" s="106" t="s">
        <v>42</v>
      </c>
      <c r="O153" s="106" t="s">
        <v>42</v>
      </c>
      <c r="P153" s="79"/>
      <c r="Q153" s="106" t="s">
        <v>42</v>
      </c>
      <c r="R153" s="106" t="s">
        <v>42</v>
      </c>
      <c r="S153" s="155" t="s">
        <v>438</v>
      </c>
    </row>
    <row r="154" spans="1:19" ht="15.75">
      <c r="A154" s="1">
        <v>186</v>
      </c>
      <c r="B154" t="s">
        <v>39</v>
      </c>
      <c r="C154" s="58">
        <v>3</v>
      </c>
      <c r="D154" s="116">
        <v>184205951</v>
      </c>
      <c r="E154" t="s">
        <v>89</v>
      </c>
      <c r="F154" t="s">
        <v>97</v>
      </c>
      <c r="G154" s="58" t="s">
        <v>301</v>
      </c>
      <c r="H154" s="105" t="s">
        <v>309</v>
      </c>
      <c r="I154" t="s">
        <v>36</v>
      </c>
      <c r="J154" s="141" t="s">
        <v>369</v>
      </c>
      <c r="K154" s="133" t="s">
        <v>338</v>
      </c>
      <c r="L154" s="106" t="s">
        <v>31</v>
      </c>
      <c r="M154" s="106" t="s">
        <v>31</v>
      </c>
      <c r="N154" s="106" t="s">
        <v>31</v>
      </c>
      <c r="O154" s="106" t="s">
        <v>15</v>
      </c>
      <c r="P154" s="79"/>
      <c r="Q154" s="106" t="s">
        <v>32</v>
      </c>
      <c r="R154" s="106" t="s">
        <v>32</v>
      </c>
      <c r="S154" s="64" t="s">
        <v>301</v>
      </c>
    </row>
    <row r="155" spans="1:19" ht="15.75">
      <c r="A155" s="1">
        <v>187</v>
      </c>
      <c r="B155" t="s">
        <v>39</v>
      </c>
      <c r="C155" s="58">
        <v>3</v>
      </c>
      <c r="D155" s="116">
        <v>197689496</v>
      </c>
      <c r="E155" t="s">
        <v>89</v>
      </c>
      <c r="F155" t="s">
        <v>91</v>
      </c>
      <c r="G155" s="58" t="s">
        <v>301</v>
      </c>
      <c r="H155" s="105" t="s">
        <v>309</v>
      </c>
      <c r="I155" t="s">
        <v>36</v>
      </c>
      <c r="J155" s="141" t="s">
        <v>370</v>
      </c>
      <c r="K155" s="133" t="s">
        <v>338</v>
      </c>
      <c r="L155" s="106" t="s">
        <v>31</v>
      </c>
      <c r="M155" s="106" t="s">
        <v>31</v>
      </c>
      <c r="N155" s="106" t="s">
        <v>33</v>
      </c>
      <c r="O155" s="106" t="s">
        <v>31</v>
      </c>
      <c r="P155" s="79"/>
      <c r="Q155" s="106" t="s">
        <v>32</v>
      </c>
      <c r="R155" s="106" t="s">
        <v>32</v>
      </c>
      <c r="S155" s="64" t="s">
        <v>301</v>
      </c>
    </row>
    <row r="156" spans="1:19" ht="15.75">
      <c r="A156" s="1">
        <v>188</v>
      </c>
      <c r="B156" t="s">
        <v>39</v>
      </c>
      <c r="C156" s="58">
        <v>4</v>
      </c>
      <c r="D156" s="116">
        <v>124759370</v>
      </c>
      <c r="E156" t="s">
        <v>89</v>
      </c>
      <c r="F156" t="s">
        <v>91</v>
      </c>
      <c r="G156" s="58" t="s">
        <v>301</v>
      </c>
      <c r="H156" s="105" t="s">
        <v>309</v>
      </c>
      <c r="I156" t="s">
        <v>36</v>
      </c>
      <c r="J156" s="141" t="s">
        <v>371</v>
      </c>
      <c r="K156" s="133" t="s">
        <v>338</v>
      </c>
      <c r="L156" s="106" t="s">
        <v>31</v>
      </c>
      <c r="M156" s="106" t="s">
        <v>31</v>
      </c>
      <c r="N156" s="106" t="s">
        <v>31</v>
      </c>
      <c r="O156" s="106" t="s">
        <v>31</v>
      </c>
      <c r="P156" s="79"/>
      <c r="Q156" s="106" t="s">
        <v>32</v>
      </c>
      <c r="R156" s="106" t="s">
        <v>32</v>
      </c>
      <c r="S156" s="64" t="s">
        <v>301</v>
      </c>
    </row>
    <row r="157" spans="1:19" ht="15.75">
      <c r="A157" s="1">
        <v>189</v>
      </c>
      <c r="B157" t="s">
        <v>39</v>
      </c>
      <c r="C157" s="58">
        <v>5</v>
      </c>
      <c r="D157" s="116">
        <v>19387313</v>
      </c>
      <c r="E157" t="s">
        <v>89</v>
      </c>
      <c r="F157" t="s">
        <v>97</v>
      </c>
      <c r="G157" s="58" t="s">
        <v>301</v>
      </c>
      <c r="H157" s="105" t="s">
        <v>309</v>
      </c>
      <c r="I157" t="s">
        <v>36</v>
      </c>
      <c r="J157" s="141" t="s">
        <v>372</v>
      </c>
      <c r="K157" s="133" t="s">
        <v>338</v>
      </c>
      <c r="L157" s="106" t="s">
        <v>32</v>
      </c>
      <c r="M157" s="106" t="s">
        <v>31</v>
      </c>
      <c r="N157" s="106" t="s">
        <v>31</v>
      </c>
      <c r="O157" s="106" t="s">
        <v>31</v>
      </c>
      <c r="P157" s="79"/>
      <c r="Q157" s="106" t="s">
        <v>32</v>
      </c>
      <c r="R157" s="106" t="s">
        <v>32</v>
      </c>
      <c r="S157" s="64" t="s">
        <v>301</v>
      </c>
    </row>
    <row r="158" spans="1:19" ht="15.75">
      <c r="A158" s="1">
        <v>190</v>
      </c>
      <c r="B158" t="s">
        <v>39</v>
      </c>
      <c r="C158" s="58">
        <v>5</v>
      </c>
      <c r="D158" s="116">
        <v>36255339</v>
      </c>
      <c r="E158" t="s">
        <v>93</v>
      </c>
      <c r="F158" t="s">
        <v>91</v>
      </c>
      <c r="G158" s="58" t="s">
        <v>301</v>
      </c>
      <c r="H158" s="105" t="s">
        <v>309</v>
      </c>
      <c r="I158" t="s">
        <v>36</v>
      </c>
      <c r="J158" s="141" t="s">
        <v>373</v>
      </c>
      <c r="K158" s="133" t="s">
        <v>338</v>
      </c>
      <c r="L158" s="106" t="s">
        <v>33</v>
      </c>
      <c r="M158" s="106" t="s">
        <v>31</v>
      </c>
      <c r="N158" s="106" t="s">
        <v>33</v>
      </c>
      <c r="O158" s="106" t="s">
        <v>31</v>
      </c>
      <c r="P158" s="79"/>
      <c r="Q158" s="106" t="s">
        <v>32</v>
      </c>
      <c r="R158" s="106" t="s">
        <v>33</v>
      </c>
      <c r="S158" s="64" t="s">
        <v>301</v>
      </c>
    </row>
    <row r="159" spans="1:19" ht="15.75">
      <c r="A159" s="1">
        <v>191</v>
      </c>
      <c r="B159" t="s">
        <v>39</v>
      </c>
      <c r="C159" s="58">
        <v>5</v>
      </c>
      <c r="D159" s="116">
        <v>42284787</v>
      </c>
      <c r="E159" t="s">
        <v>93</v>
      </c>
      <c r="F159" t="s">
        <v>97</v>
      </c>
      <c r="G159" s="58" t="s">
        <v>301</v>
      </c>
      <c r="H159" s="105" t="s">
        <v>309</v>
      </c>
      <c r="I159" t="s">
        <v>36</v>
      </c>
      <c r="J159" s="141" t="s">
        <v>374</v>
      </c>
      <c r="K159" s="133" t="s">
        <v>338</v>
      </c>
      <c r="L159" s="106" t="s">
        <v>31</v>
      </c>
      <c r="M159" s="106" t="s">
        <v>31</v>
      </c>
      <c r="N159" s="106" t="s">
        <v>31</v>
      </c>
      <c r="O159" s="106" t="s">
        <v>31</v>
      </c>
      <c r="P159" s="79"/>
      <c r="Q159" s="106" t="s">
        <v>32</v>
      </c>
      <c r="R159" s="106" t="s">
        <v>32</v>
      </c>
      <c r="S159" s="64" t="s">
        <v>301</v>
      </c>
    </row>
    <row r="160" spans="1:19" ht="15.75">
      <c r="A160" s="1">
        <v>192</v>
      </c>
      <c r="B160" t="s">
        <v>39</v>
      </c>
      <c r="C160" s="58">
        <v>5</v>
      </c>
      <c r="D160" s="116">
        <v>64336200</v>
      </c>
      <c r="E160" t="s">
        <v>93</v>
      </c>
      <c r="F160" t="s">
        <v>97</v>
      </c>
      <c r="G160" s="58" t="s">
        <v>301</v>
      </c>
      <c r="H160" s="105" t="s">
        <v>309</v>
      </c>
      <c r="I160" t="s">
        <v>36</v>
      </c>
      <c r="J160" s="141" t="s">
        <v>375</v>
      </c>
      <c r="K160" s="133" t="s">
        <v>338</v>
      </c>
      <c r="L160" s="106" t="s">
        <v>31</v>
      </c>
      <c r="M160" s="106" t="s">
        <v>31</v>
      </c>
      <c r="N160" s="106" t="s">
        <v>31</v>
      </c>
      <c r="O160" s="106" t="s">
        <v>31</v>
      </c>
      <c r="P160" s="79"/>
      <c r="Q160" s="106" t="s">
        <v>32</v>
      </c>
      <c r="R160" s="106" t="s">
        <v>31</v>
      </c>
      <c r="S160" s="64" t="s">
        <v>301</v>
      </c>
    </row>
    <row r="161" spans="1:19" ht="15.75">
      <c r="A161" s="1">
        <v>193</v>
      </c>
      <c r="B161" t="s">
        <v>39</v>
      </c>
      <c r="C161" s="58">
        <v>5</v>
      </c>
      <c r="D161" s="116">
        <v>76483382</v>
      </c>
      <c r="E161" t="s">
        <v>89</v>
      </c>
      <c r="F161" t="s">
        <v>97</v>
      </c>
      <c r="G161" s="58" t="s">
        <v>301</v>
      </c>
      <c r="H161" s="105" t="s">
        <v>309</v>
      </c>
      <c r="I161" t="s">
        <v>36</v>
      </c>
      <c r="J161" s="141" t="s">
        <v>376</v>
      </c>
      <c r="K161" s="133" t="s">
        <v>338</v>
      </c>
      <c r="L161" s="106" t="s">
        <v>31</v>
      </c>
      <c r="M161" s="106" t="s">
        <v>33</v>
      </c>
      <c r="N161" s="106" t="s">
        <v>31</v>
      </c>
      <c r="O161" s="106" t="s">
        <v>31</v>
      </c>
      <c r="P161" s="79"/>
      <c r="Q161" s="106" t="s">
        <v>32</v>
      </c>
      <c r="R161" s="106" t="s">
        <v>15</v>
      </c>
      <c r="S161" s="64" t="s">
        <v>301</v>
      </c>
    </row>
    <row r="162" spans="1:19" ht="15.75">
      <c r="A162" s="1">
        <v>194</v>
      </c>
      <c r="B162" t="s">
        <v>39</v>
      </c>
      <c r="C162" s="58">
        <v>5</v>
      </c>
      <c r="D162" s="116">
        <v>131066328</v>
      </c>
      <c r="E162" t="s">
        <v>93</v>
      </c>
      <c r="F162" t="s">
        <v>91</v>
      </c>
      <c r="G162" s="58" t="s">
        <v>301</v>
      </c>
      <c r="H162" s="105" t="s">
        <v>309</v>
      </c>
      <c r="I162" t="s">
        <v>36</v>
      </c>
      <c r="J162" s="140" t="s">
        <v>347</v>
      </c>
      <c r="K162" s="133" t="s">
        <v>338</v>
      </c>
      <c r="L162" s="106" t="s">
        <v>42</v>
      </c>
      <c r="M162" s="106" t="s">
        <v>42</v>
      </c>
      <c r="N162" s="106" t="s">
        <v>42</v>
      </c>
      <c r="O162" s="106" t="s">
        <v>42</v>
      </c>
      <c r="P162" s="79"/>
      <c r="Q162" s="106" t="s">
        <v>42</v>
      </c>
      <c r="R162" s="106" t="s">
        <v>42</v>
      </c>
    </row>
    <row r="163" spans="1:19" ht="15.75">
      <c r="A163" s="1">
        <v>195</v>
      </c>
      <c r="B163" t="s">
        <v>39</v>
      </c>
      <c r="C163" s="58">
        <v>5</v>
      </c>
      <c r="D163" s="116">
        <v>134356756</v>
      </c>
      <c r="E163" t="s">
        <v>93</v>
      </c>
      <c r="F163" t="s">
        <v>91</v>
      </c>
      <c r="G163" s="58" t="s">
        <v>301</v>
      </c>
      <c r="H163" s="105" t="s">
        <v>309</v>
      </c>
      <c r="I163" t="s">
        <v>36</v>
      </c>
      <c r="J163" s="141" t="s">
        <v>377</v>
      </c>
      <c r="K163" s="133" t="s">
        <v>338</v>
      </c>
      <c r="L163" s="106" t="s">
        <v>31</v>
      </c>
      <c r="M163" s="106" t="s">
        <v>31</v>
      </c>
      <c r="N163" s="106" t="s">
        <v>33</v>
      </c>
      <c r="O163" s="106" t="s">
        <v>31</v>
      </c>
      <c r="P163" s="79"/>
      <c r="Q163" s="106" t="s">
        <v>32</v>
      </c>
      <c r="R163" s="106" t="s">
        <v>32</v>
      </c>
      <c r="S163" s="64" t="s">
        <v>301</v>
      </c>
    </row>
    <row r="164" spans="1:19" ht="15.75">
      <c r="A164" s="1">
        <v>196</v>
      </c>
      <c r="B164" t="s">
        <v>39</v>
      </c>
      <c r="C164" s="58">
        <v>5</v>
      </c>
      <c r="D164" s="116">
        <v>141379654</v>
      </c>
      <c r="E164" t="s">
        <v>324</v>
      </c>
      <c r="F164" t="s">
        <v>97</v>
      </c>
      <c r="G164" s="58" t="s">
        <v>301</v>
      </c>
      <c r="H164" s="105" t="s">
        <v>309</v>
      </c>
      <c r="I164" t="s">
        <v>36</v>
      </c>
      <c r="J164" s="141" t="s">
        <v>378</v>
      </c>
      <c r="K164" s="133" t="s">
        <v>338</v>
      </c>
      <c r="L164" s="106" t="s">
        <v>31</v>
      </c>
      <c r="M164" s="106" t="s">
        <v>31</v>
      </c>
      <c r="N164" s="106" t="s">
        <v>31</v>
      </c>
      <c r="O164" s="106" t="s">
        <v>31</v>
      </c>
      <c r="P164" s="79"/>
      <c r="Q164" s="106" t="s">
        <v>32</v>
      </c>
      <c r="R164" s="106" t="s">
        <v>32</v>
      </c>
      <c r="S164" s="64" t="s">
        <v>301</v>
      </c>
    </row>
    <row r="165" spans="1:19" ht="15.75">
      <c r="A165" s="1">
        <v>197</v>
      </c>
      <c r="B165" t="s">
        <v>39</v>
      </c>
      <c r="C165" s="58">
        <v>5</v>
      </c>
      <c r="D165" s="116">
        <v>148459878</v>
      </c>
      <c r="E165" t="s">
        <v>93</v>
      </c>
      <c r="F165" t="s">
        <v>97</v>
      </c>
      <c r="G165" s="58" t="s">
        <v>301</v>
      </c>
      <c r="H165" s="105" t="s">
        <v>309</v>
      </c>
      <c r="I165" t="s">
        <v>36</v>
      </c>
      <c r="J165" s="141" t="s">
        <v>379</v>
      </c>
      <c r="K165" s="133" t="s">
        <v>338</v>
      </c>
      <c r="L165" s="106" t="s">
        <v>15</v>
      </c>
      <c r="M165" s="106" t="s">
        <v>31</v>
      </c>
      <c r="N165" s="106" t="s">
        <v>31</v>
      </c>
      <c r="O165" s="106" t="s">
        <v>31</v>
      </c>
      <c r="P165" s="79"/>
      <c r="Q165" s="106" t="s">
        <v>32</v>
      </c>
      <c r="R165" s="106" t="s">
        <v>32</v>
      </c>
      <c r="S165" s="64" t="s">
        <v>301</v>
      </c>
    </row>
    <row r="166" spans="1:19" ht="15.75">
      <c r="A166" s="1">
        <v>198</v>
      </c>
      <c r="B166" t="s">
        <v>39</v>
      </c>
      <c r="C166" s="58">
        <v>5</v>
      </c>
      <c r="D166" s="116">
        <v>167190715</v>
      </c>
      <c r="E166" t="s">
        <v>89</v>
      </c>
      <c r="F166" t="s">
        <v>97</v>
      </c>
      <c r="G166" s="58" t="s">
        <v>301</v>
      </c>
      <c r="H166" s="105" t="s">
        <v>309</v>
      </c>
      <c r="I166" t="s">
        <v>36</v>
      </c>
      <c r="J166" s="141" t="s">
        <v>380</v>
      </c>
      <c r="K166" s="133" t="s">
        <v>338</v>
      </c>
      <c r="L166" s="106" t="s">
        <v>31</v>
      </c>
      <c r="M166" s="106" t="s">
        <v>31</v>
      </c>
      <c r="N166" s="106" t="s">
        <v>31</v>
      </c>
      <c r="O166" s="106" t="s">
        <v>32</v>
      </c>
      <c r="P166" s="79"/>
      <c r="Q166" s="106" t="s">
        <v>32</v>
      </c>
      <c r="R166" s="106" t="s">
        <v>31</v>
      </c>
      <c r="S166" s="64" t="s">
        <v>301</v>
      </c>
    </row>
    <row r="167" spans="1:19" ht="15.75">
      <c r="A167" s="1">
        <v>199</v>
      </c>
      <c r="B167" t="s">
        <v>39</v>
      </c>
      <c r="C167" s="58">
        <v>6</v>
      </c>
      <c r="D167" s="116">
        <v>16730783</v>
      </c>
      <c r="E167" t="s">
        <v>89</v>
      </c>
      <c r="F167" t="s">
        <v>91</v>
      </c>
      <c r="G167" s="58" t="s">
        <v>301</v>
      </c>
      <c r="H167" s="105" t="s">
        <v>309</v>
      </c>
      <c r="I167" t="s">
        <v>36</v>
      </c>
      <c r="J167" s="141" t="s">
        <v>381</v>
      </c>
      <c r="K167" s="133" t="s">
        <v>338</v>
      </c>
      <c r="L167" s="106" t="s">
        <v>31</v>
      </c>
      <c r="M167" s="106" t="s">
        <v>33</v>
      </c>
      <c r="N167" s="106" t="s">
        <v>31</v>
      </c>
      <c r="O167" s="106" t="s">
        <v>31</v>
      </c>
      <c r="P167" s="79"/>
      <c r="Q167" s="106" t="s">
        <v>32</v>
      </c>
      <c r="R167" s="106" t="s">
        <v>32</v>
      </c>
      <c r="S167" s="64" t="s">
        <v>301</v>
      </c>
    </row>
    <row r="168" spans="1:19" ht="15.75">
      <c r="A168" s="1">
        <v>200</v>
      </c>
      <c r="B168" t="s">
        <v>39</v>
      </c>
      <c r="C168" s="58">
        <v>6</v>
      </c>
      <c r="D168" s="116">
        <v>36825728</v>
      </c>
      <c r="E168" t="s">
        <v>93</v>
      </c>
      <c r="F168" t="s">
        <v>91</v>
      </c>
      <c r="G168" s="152" t="s">
        <v>438</v>
      </c>
      <c r="H168" s="105" t="s">
        <v>309</v>
      </c>
      <c r="I168" t="s">
        <v>36</v>
      </c>
      <c r="J168" s="140" t="s">
        <v>347</v>
      </c>
      <c r="K168" s="133" t="s">
        <v>338</v>
      </c>
      <c r="L168" s="106" t="s">
        <v>42</v>
      </c>
      <c r="M168" s="106" t="s">
        <v>42</v>
      </c>
      <c r="N168" s="106" t="s">
        <v>42</v>
      </c>
      <c r="O168" s="106" t="s">
        <v>42</v>
      </c>
      <c r="P168" s="79"/>
      <c r="Q168" s="106" t="s">
        <v>42</v>
      </c>
      <c r="R168" s="106" t="s">
        <v>42</v>
      </c>
      <c r="S168" s="155" t="s">
        <v>438</v>
      </c>
    </row>
    <row r="169" spans="1:19" ht="15.75">
      <c r="A169" s="1">
        <v>201</v>
      </c>
      <c r="B169" t="s">
        <v>39</v>
      </c>
      <c r="C169" s="58">
        <v>6</v>
      </c>
      <c r="D169" s="116">
        <v>64248332</v>
      </c>
      <c r="E169" t="s">
        <v>93</v>
      </c>
      <c r="F169" t="s">
        <v>91</v>
      </c>
      <c r="G169" s="58" t="s">
        <v>301</v>
      </c>
      <c r="H169" s="105" t="s">
        <v>309</v>
      </c>
      <c r="I169" t="s">
        <v>36</v>
      </c>
      <c r="J169" s="141" t="s">
        <v>382</v>
      </c>
      <c r="K169" s="133" t="s">
        <v>338</v>
      </c>
      <c r="L169" s="106" t="s">
        <v>31</v>
      </c>
      <c r="M169" s="106" t="s">
        <v>31</v>
      </c>
      <c r="N169" s="106" t="s">
        <v>31</v>
      </c>
      <c r="O169" s="106" t="s">
        <v>31</v>
      </c>
      <c r="P169" s="79"/>
      <c r="Q169" s="106" t="s">
        <v>32</v>
      </c>
      <c r="R169" s="106" t="s">
        <v>31</v>
      </c>
      <c r="S169" s="64" t="s">
        <v>301</v>
      </c>
    </row>
    <row r="170" spans="1:19" ht="15.75">
      <c r="A170" s="1">
        <v>202</v>
      </c>
      <c r="B170" t="s">
        <v>39</v>
      </c>
      <c r="C170" s="58">
        <v>6</v>
      </c>
      <c r="D170" s="116">
        <v>86242220</v>
      </c>
      <c r="E170" t="s">
        <v>93</v>
      </c>
      <c r="F170" t="s">
        <v>91</v>
      </c>
      <c r="G170" s="58" t="s">
        <v>301</v>
      </c>
      <c r="H170" s="105" t="s">
        <v>309</v>
      </c>
      <c r="I170" t="s">
        <v>36</v>
      </c>
      <c r="J170" s="140" t="s">
        <v>347</v>
      </c>
      <c r="K170" s="133" t="s">
        <v>338</v>
      </c>
      <c r="L170" s="106" t="s">
        <v>42</v>
      </c>
      <c r="M170" s="106" t="s">
        <v>42</v>
      </c>
      <c r="N170" s="106" t="s">
        <v>42</v>
      </c>
      <c r="O170" s="106" t="s">
        <v>42</v>
      </c>
      <c r="P170" s="79"/>
      <c r="Q170" s="106" t="s">
        <v>42</v>
      </c>
      <c r="R170" s="106" t="s">
        <v>42</v>
      </c>
    </row>
    <row r="171" spans="1:19" ht="15.75">
      <c r="A171" s="153">
        <v>203</v>
      </c>
      <c r="B171" t="s">
        <v>39</v>
      </c>
      <c r="C171" s="58">
        <v>6</v>
      </c>
      <c r="D171" s="116">
        <v>134633594</v>
      </c>
      <c r="E171" t="s">
        <v>93</v>
      </c>
      <c r="F171" t="s">
        <v>91</v>
      </c>
      <c r="G171" s="58" t="s">
        <v>435</v>
      </c>
      <c r="H171" s="105" t="s">
        <v>309</v>
      </c>
      <c r="I171" t="s">
        <v>36</v>
      </c>
      <c r="J171" s="145" t="s">
        <v>440</v>
      </c>
      <c r="K171" s="133" t="s">
        <v>338</v>
      </c>
      <c r="L171" s="106" t="s">
        <v>42</v>
      </c>
      <c r="M171" s="106" t="s">
        <v>42</v>
      </c>
      <c r="N171" s="106" t="s">
        <v>42</v>
      </c>
      <c r="O171" s="106" t="s">
        <v>42</v>
      </c>
      <c r="P171" s="79"/>
      <c r="Q171" s="106" t="s">
        <v>42</v>
      </c>
      <c r="R171" s="106" t="s">
        <v>42</v>
      </c>
      <c r="S171" s="154" t="s">
        <v>439</v>
      </c>
    </row>
    <row r="172" spans="1:19" ht="15.75">
      <c r="A172" s="1">
        <v>204</v>
      </c>
      <c r="B172" t="s">
        <v>39</v>
      </c>
      <c r="C172" s="58">
        <v>6</v>
      </c>
      <c r="D172" s="116">
        <v>135233306</v>
      </c>
      <c r="E172" t="s">
        <v>93</v>
      </c>
      <c r="F172" t="s">
        <v>91</v>
      </c>
      <c r="G172" s="58" t="s">
        <v>301</v>
      </c>
      <c r="H172" s="105" t="s">
        <v>309</v>
      </c>
      <c r="I172" t="s">
        <v>36</v>
      </c>
      <c r="J172" s="141" t="s">
        <v>383</v>
      </c>
      <c r="K172" s="133" t="s">
        <v>338</v>
      </c>
      <c r="L172" s="106" t="s">
        <v>31</v>
      </c>
      <c r="M172" s="106" t="s">
        <v>31</v>
      </c>
      <c r="N172" s="106" t="s">
        <v>31</v>
      </c>
      <c r="O172" s="106" t="s">
        <v>31</v>
      </c>
      <c r="P172" s="79"/>
      <c r="Q172" s="106" t="s">
        <v>32</v>
      </c>
      <c r="R172" s="106" t="s">
        <v>32</v>
      </c>
      <c r="S172" s="64" t="s">
        <v>301</v>
      </c>
    </row>
    <row r="173" spans="1:19" ht="15.75">
      <c r="A173" s="1">
        <v>205</v>
      </c>
      <c r="B173" t="s">
        <v>39</v>
      </c>
      <c r="C173" s="58">
        <v>6</v>
      </c>
      <c r="D173" s="116">
        <v>137359240</v>
      </c>
      <c r="E173" t="s">
        <v>89</v>
      </c>
      <c r="F173" t="s">
        <v>91</v>
      </c>
      <c r="G173" s="58" t="s">
        <v>301</v>
      </c>
      <c r="H173" s="105" t="s">
        <v>309</v>
      </c>
      <c r="I173" t="s">
        <v>36</v>
      </c>
      <c r="J173" s="141" t="s">
        <v>384</v>
      </c>
      <c r="K173" s="133" t="s">
        <v>338</v>
      </c>
      <c r="L173" s="106" t="s">
        <v>31</v>
      </c>
      <c r="M173" s="106" t="s">
        <v>31</v>
      </c>
      <c r="N173" s="106" t="s">
        <v>33</v>
      </c>
      <c r="O173" s="106" t="s">
        <v>31</v>
      </c>
      <c r="P173" s="79"/>
      <c r="Q173" s="106" t="s">
        <v>32</v>
      </c>
      <c r="R173" s="106" t="s">
        <v>33</v>
      </c>
      <c r="S173" s="64" t="s">
        <v>301</v>
      </c>
    </row>
    <row r="174" spans="1:19" ht="15.75">
      <c r="A174" s="1">
        <v>206</v>
      </c>
      <c r="B174" t="s">
        <v>39</v>
      </c>
      <c r="C174" s="58">
        <v>7</v>
      </c>
      <c r="D174" s="116">
        <v>1287709</v>
      </c>
      <c r="E174" t="s">
        <v>93</v>
      </c>
      <c r="F174" t="s">
        <v>91</v>
      </c>
      <c r="G174" s="58" t="s">
        <v>301</v>
      </c>
      <c r="H174" s="105" t="s">
        <v>309</v>
      </c>
      <c r="I174" t="s">
        <v>36</v>
      </c>
      <c r="J174" s="141" t="s">
        <v>385</v>
      </c>
      <c r="K174" s="133" t="s">
        <v>338</v>
      </c>
      <c r="L174" s="106" t="s">
        <v>31</v>
      </c>
      <c r="M174" s="106" t="s">
        <v>31</v>
      </c>
      <c r="N174" s="106" t="s">
        <v>31</v>
      </c>
      <c r="O174" s="106" t="s">
        <v>31</v>
      </c>
      <c r="P174" s="79"/>
      <c r="Q174" s="106" t="s">
        <v>33</v>
      </c>
      <c r="R174" s="106" t="s">
        <v>31</v>
      </c>
      <c r="S174" s="64" t="s">
        <v>301</v>
      </c>
    </row>
    <row r="175" spans="1:19" ht="15.75">
      <c r="A175" s="1">
        <v>207</v>
      </c>
      <c r="B175" t="s">
        <v>39</v>
      </c>
      <c r="C175" s="58">
        <v>7</v>
      </c>
      <c r="D175" s="116">
        <v>27741174</v>
      </c>
      <c r="E175" t="s">
        <v>89</v>
      </c>
      <c r="F175" t="s">
        <v>91</v>
      </c>
      <c r="G175" s="58" t="s">
        <v>301</v>
      </c>
      <c r="H175" s="105" t="s">
        <v>309</v>
      </c>
      <c r="I175" t="s">
        <v>36</v>
      </c>
      <c r="J175" s="140" t="s">
        <v>347</v>
      </c>
      <c r="K175" s="133" t="s">
        <v>338</v>
      </c>
      <c r="L175" s="106" t="s">
        <v>42</v>
      </c>
      <c r="M175" s="106" t="s">
        <v>42</v>
      </c>
      <c r="N175" s="106" t="s">
        <v>42</v>
      </c>
      <c r="O175" s="106" t="s">
        <v>42</v>
      </c>
      <c r="P175" s="79"/>
      <c r="Q175" s="106" t="s">
        <v>42</v>
      </c>
      <c r="R175" s="106" t="s">
        <v>42</v>
      </c>
    </row>
    <row r="176" spans="1:19" ht="15.75">
      <c r="A176" s="1">
        <v>208</v>
      </c>
      <c r="B176" t="s">
        <v>39</v>
      </c>
      <c r="C176" s="58">
        <v>7</v>
      </c>
      <c r="D176" s="116">
        <v>45867351</v>
      </c>
      <c r="E176" t="s">
        <v>93</v>
      </c>
      <c r="F176" t="s">
        <v>91</v>
      </c>
      <c r="G176" s="58" t="s">
        <v>301</v>
      </c>
      <c r="H176" s="105" t="s">
        <v>309</v>
      </c>
      <c r="I176" t="s">
        <v>36</v>
      </c>
      <c r="J176" s="140" t="s">
        <v>347</v>
      </c>
      <c r="K176" s="133" t="s">
        <v>338</v>
      </c>
      <c r="L176" s="106" t="s">
        <v>42</v>
      </c>
      <c r="M176" s="106" t="s">
        <v>42</v>
      </c>
      <c r="N176" s="106" t="s">
        <v>42</v>
      </c>
      <c r="O176" s="106" t="s">
        <v>42</v>
      </c>
      <c r="P176" s="79"/>
      <c r="Q176" s="106" t="s">
        <v>42</v>
      </c>
      <c r="R176" s="106" t="s">
        <v>42</v>
      </c>
    </row>
    <row r="177" spans="1:19" ht="15.75">
      <c r="A177" s="1">
        <v>209</v>
      </c>
      <c r="B177" t="s">
        <v>39</v>
      </c>
      <c r="C177" s="58">
        <v>7</v>
      </c>
      <c r="D177" s="116">
        <v>65619169</v>
      </c>
      <c r="E177" t="s">
        <v>89</v>
      </c>
      <c r="F177" s="146" t="s">
        <v>432</v>
      </c>
      <c r="G177" s="58" t="s">
        <v>301</v>
      </c>
      <c r="H177" s="105" t="s">
        <v>309</v>
      </c>
      <c r="I177" t="s">
        <v>36</v>
      </c>
      <c r="J177" s="141" t="s">
        <v>386</v>
      </c>
      <c r="K177" s="133" t="s">
        <v>338</v>
      </c>
      <c r="L177" s="106" t="s">
        <v>31</v>
      </c>
      <c r="M177" s="106" t="s">
        <v>31</v>
      </c>
      <c r="N177" s="106" t="s">
        <v>31</v>
      </c>
      <c r="O177" s="106" t="s">
        <v>15</v>
      </c>
      <c r="P177" s="79"/>
      <c r="Q177" s="106" t="s">
        <v>32</v>
      </c>
      <c r="R177" s="106" t="s">
        <v>32</v>
      </c>
      <c r="S177" s="64" t="s">
        <v>301</v>
      </c>
    </row>
    <row r="178" spans="1:19" ht="15.75">
      <c r="A178" s="1">
        <v>210</v>
      </c>
      <c r="B178" t="s">
        <v>39</v>
      </c>
      <c r="C178" s="58">
        <v>7</v>
      </c>
      <c r="D178" s="116">
        <v>72232576</v>
      </c>
      <c r="E178" t="s">
        <v>93</v>
      </c>
      <c r="F178" t="s">
        <v>91</v>
      </c>
      <c r="G178" s="58" t="s">
        <v>301</v>
      </c>
      <c r="H178" s="105" t="s">
        <v>309</v>
      </c>
      <c r="I178" t="s">
        <v>36</v>
      </c>
      <c r="J178" s="141" t="s">
        <v>387</v>
      </c>
      <c r="K178" s="133" t="s">
        <v>338</v>
      </c>
      <c r="L178" s="106" t="s">
        <v>15</v>
      </c>
      <c r="M178" s="106" t="s">
        <v>33</v>
      </c>
      <c r="N178" s="106" t="s">
        <v>31</v>
      </c>
      <c r="O178" s="106" t="s">
        <v>31</v>
      </c>
      <c r="P178" s="79"/>
      <c r="Q178" s="106" t="s">
        <v>32</v>
      </c>
      <c r="R178" s="106" t="s">
        <v>33</v>
      </c>
      <c r="S178" s="64" t="s">
        <v>301</v>
      </c>
    </row>
    <row r="179" spans="1:19" ht="15.75">
      <c r="A179" s="1">
        <v>211</v>
      </c>
      <c r="B179" t="s">
        <v>39</v>
      </c>
      <c r="C179" s="58">
        <v>7</v>
      </c>
      <c r="D179" s="116">
        <v>74666432</v>
      </c>
      <c r="E179" t="s">
        <v>89</v>
      </c>
      <c r="F179" t="s">
        <v>91</v>
      </c>
      <c r="G179" s="58" t="s">
        <v>301</v>
      </c>
      <c r="H179" s="105" t="s">
        <v>309</v>
      </c>
      <c r="I179" t="s">
        <v>36</v>
      </c>
      <c r="J179" s="141" t="s">
        <v>388</v>
      </c>
      <c r="K179" s="133" t="s">
        <v>338</v>
      </c>
      <c r="L179" s="106" t="s">
        <v>31</v>
      </c>
      <c r="M179" s="106" t="s">
        <v>31</v>
      </c>
      <c r="N179" s="106" t="s">
        <v>31</v>
      </c>
      <c r="O179" s="106" t="s">
        <v>31</v>
      </c>
      <c r="P179" s="79"/>
      <c r="Q179" s="106" t="s">
        <v>32</v>
      </c>
      <c r="R179" s="106" t="s">
        <v>33</v>
      </c>
      <c r="S179" s="64" t="s">
        <v>301</v>
      </c>
    </row>
    <row r="180" spans="1:19" ht="15.75">
      <c r="A180" s="1">
        <v>212</v>
      </c>
      <c r="B180" t="s">
        <v>39</v>
      </c>
      <c r="C180" s="58">
        <v>7</v>
      </c>
      <c r="D180" s="116">
        <v>117267531</v>
      </c>
      <c r="E180" t="s">
        <v>89</v>
      </c>
      <c r="F180" t="s">
        <v>91</v>
      </c>
      <c r="G180" s="58" t="s">
        <v>301</v>
      </c>
      <c r="H180" s="105" t="s">
        <v>309</v>
      </c>
      <c r="I180" t="s">
        <v>36</v>
      </c>
      <c r="J180" s="141" t="s">
        <v>389</v>
      </c>
      <c r="K180" s="133" t="s">
        <v>338</v>
      </c>
      <c r="L180" s="106" t="s">
        <v>31</v>
      </c>
      <c r="M180" s="106" t="s">
        <v>33</v>
      </c>
      <c r="N180" s="106" t="s">
        <v>31</v>
      </c>
      <c r="O180" s="106" t="s">
        <v>31</v>
      </c>
      <c r="P180" s="79"/>
      <c r="Q180" s="106" t="s">
        <v>32</v>
      </c>
      <c r="R180" s="106" t="s">
        <v>32</v>
      </c>
      <c r="S180" s="64" t="s">
        <v>301</v>
      </c>
    </row>
    <row r="181" spans="1:19" ht="15.75">
      <c r="A181" s="1">
        <v>213</v>
      </c>
      <c r="B181" t="s">
        <v>39</v>
      </c>
      <c r="C181" s="58">
        <v>7</v>
      </c>
      <c r="D181" s="116">
        <v>156719757</v>
      </c>
      <c r="E181" t="s">
        <v>89</v>
      </c>
      <c r="F181" t="s">
        <v>97</v>
      </c>
      <c r="G181" s="58" t="s">
        <v>301</v>
      </c>
      <c r="H181" s="105" t="s">
        <v>309</v>
      </c>
      <c r="I181" t="s">
        <v>36</v>
      </c>
      <c r="J181" s="141" t="s">
        <v>390</v>
      </c>
      <c r="K181" s="133" t="s">
        <v>338</v>
      </c>
      <c r="L181" s="106" t="s">
        <v>31</v>
      </c>
      <c r="M181" s="106" t="s">
        <v>31</v>
      </c>
      <c r="N181" s="106" t="s">
        <v>31</v>
      </c>
      <c r="O181" s="106" t="s">
        <v>31</v>
      </c>
      <c r="P181" s="79"/>
      <c r="Q181" s="106" t="s">
        <v>15</v>
      </c>
      <c r="R181" s="106" t="s">
        <v>31</v>
      </c>
      <c r="S181" s="64" t="s">
        <v>301</v>
      </c>
    </row>
    <row r="182" spans="1:19" ht="15.75">
      <c r="A182" s="1">
        <v>214</v>
      </c>
      <c r="B182" t="s">
        <v>39</v>
      </c>
      <c r="C182" s="58">
        <v>8</v>
      </c>
      <c r="D182" s="116">
        <v>97323906</v>
      </c>
      <c r="E182" t="s">
        <v>93</v>
      </c>
      <c r="F182" t="s">
        <v>91</v>
      </c>
      <c r="G182" s="58" t="s">
        <v>327</v>
      </c>
      <c r="H182" s="105" t="s">
        <v>309</v>
      </c>
      <c r="I182" t="s">
        <v>36</v>
      </c>
      <c r="J182" s="140" t="s">
        <v>347</v>
      </c>
      <c r="K182" s="133" t="s">
        <v>338</v>
      </c>
      <c r="L182" s="106" t="s">
        <v>42</v>
      </c>
      <c r="M182" s="106" t="s">
        <v>42</v>
      </c>
      <c r="N182" s="106" t="s">
        <v>42</v>
      </c>
      <c r="O182" s="106" t="s">
        <v>42</v>
      </c>
      <c r="P182" s="79"/>
      <c r="Q182" s="106" t="s">
        <v>42</v>
      </c>
      <c r="R182" s="106" t="s">
        <v>42</v>
      </c>
    </row>
    <row r="183" spans="1:19" ht="15.75">
      <c r="A183" s="1">
        <v>215</v>
      </c>
      <c r="B183" t="s">
        <v>39</v>
      </c>
      <c r="C183" s="58">
        <v>8</v>
      </c>
      <c r="D183" s="116">
        <v>102554170</v>
      </c>
      <c r="E183" t="s">
        <v>89</v>
      </c>
      <c r="F183" t="s">
        <v>91</v>
      </c>
      <c r="G183" s="58" t="s">
        <v>301</v>
      </c>
      <c r="H183" s="105" t="s">
        <v>309</v>
      </c>
      <c r="I183" t="s">
        <v>36</v>
      </c>
      <c r="J183" s="140" t="s">
        <v>347</v>
      </c>
      <c r="K183" s="133" t="s">
        <v>338</v>
      </c>
      <c r="L183" s="106" t="s">
        <v>42</v>
      </c>
      <c r="M183" s="106" t="s">
        <v>42</v>
      </c>
      <c r="N183" s="106" t="s">
        <v>42</v>
      </c>
      <c r="O183" s="106" t="s">
        <v>42</v>
      </c>
      <c r="P183" s="79"/>
      <c r="Q183" s="106" t="s">
        <v>42</v>
      </c>
      <c r="R183" s="106" t="s">
        <v>42</v>
      </c>
    </row>
    <row r="184" spans="1:19" ht="15.75">
      <c r="A184" s="1">
        <v>216</v>
      </c>
      <c r="B184" t="s">
        <v>39</v>
      </c>
      <c r="C184" s="58">
        <v>9</v>
      </c>
      <c r="D184" s="116">
        <v>22157141</v>
      </c>
      <c r="E184" t="s">
        <v>93</v>
      </c>
      <c r="F184" t="s">
        <v>97</v>
      </c>
      <c r="G184" s="58" t="s">
        <v>301</v>
      </c>
      <c r="H184" s="105" t="s">
        <v>309</v>
      </c>
      <c r="I184" t="s">
        <v>36</v>
      </c>
      <c r="J184" s="141" t="s">
        <v>391</v>
      </c>
      <c r="K184" s="133" t="s">
        <v>338</v>
      </c>
      <c r="L184" s="106" t="s">
        <v>33</v>
      </c>
      <c r="M184" s="106" t="s">
        <v>31</v>
      </c>
      <c r="N184" s="106" t="s">
        <v>31</v>
      </c>
      <c r="O184" s="106" t="s">
        <v>31</v>
      </c>
      <c r="P184" s="79"/>
      <c r="Q184" s="106" t="s">
        <v>32</v>
      </c>
      <c r="R184" s="106" t="s">
        <v>32</v>
      </c>
      <c r="S184" s="64" t="s">
        <v>301</v>
      </c>
    </row>
    <row r="185" spans="1:19" ht="15.75">
      <c r="A185" s="1">
        <v>217</v>
      </c>
      <c r="B185" t="s">
        <v>39</v>
      </c>
      <c r="C185" s="58">
        <v>9</v>
      </c>
      <c r="D185" s="116">
        <v>34817513</v>
      </c>
      <c r="E185" t="s">
        <v>89</v>
      </c>
      <c r="F185" t="s">
        <v>97</v>
      </c>
      <c r="G185" s="58" t="s">
        <v>301</v>
      </c>
      <c r="H185" s="105" t="s">
        <v>309</v>
      </c>
      <c r="I185" t="s">
        <v>36</v>
      </c>
      <c r="J185" s="141" t="s">
        <v>392</v>
      </c>
      <c r="K185" s="133" t="s">
        <v>338</v>
      </c>
      <c r="L185" s="106" t="s">
        <v>31</v>
      </c>
      <c r="M185" s="106" t="s">
        <v>33</v>
      </c>
      <c r="N185" s="106" t="s">
        <v>31</v>
      </c>
      <c r="O185" s="106" t="s">
        <v>31</v>
      </c>
      <c r="P185" s="79"/>
      <c r="Q185" s="106" t="s">
        <v>32</v>
      </c>
      <c r="R185" s="106" t="s">
        <v>31</v>
      </c>
      <c r="S185" s="64" t="s">
        <v>301</v>
      </c>
    </row>
    <row r="186" spans="1:19" ht="15.75">
      <c r="A186" s="1">
        <v>218</v>
      </c>
      <c r="B186" t="s">
        <v>39</v>
      </c>
      <c r="C186" s="58">
        <v>9</v>
      </c>
      <c r="D186" s="116">
        <v>123725907</v>
      </c>
      <c r="E186" t="s">
        <v>89</v>
      </c>
      <c r="F186" t="s">
        <v>91</v>
      </c>
      <c r="G186" s="58" t="s">
        <v>301</v>
      </c>
      <c r="H186" s="105" t="s">
        <v>309</v>
      </c>
      <c r="I186" t="s">
        <v>36</v>
      </c>
      <c r="J186" s="141" t="s">
        <v>393</v>
      </c>
      <c r="K186" s="133" t="s">
        <v>338</v>
      </c>
      <c r="L186" s="106" t="s">
        <v>31</v>
      </c>
      <c r="M186" s="106" t="s">
        <v>31</v>
      </c>
      <c r="N186" s="106" t="s">
        <v>31</v>
      </c>
      <c r="O186" s="106" t="s">
        <v>31</v>
      </c>
      <c r="P186" s="79"/>
      <c r="Q186" s="106" t="s">
        <v>32</v>
      </c>
      <c r="R186" s="106" t="s">
        <v>32</v>
      </c>
      <c r="S186" s="64" t="s">
        <v>301</v>
      </c>
    </row>
    <row r="187" spans="1:19" ht="15.75">
      <c r="A187" s="1">
        <v>219</v>
      </c>
      <c r="B187" t="s">
        <v>39</v>
      </c>
      <c r="C187" s="58">
        <v>9</v>
      </c>
      <c r="D187" s="116">
        <v>129894237</v>
      </c>
      <c r="E187" t="s">
        <v>89</v>
      </c>
      <c r="F187" t="s">
        <v>91</v>
      </c>
      <c r="G187" s="58" t="s">
        <v>301</v>
      </c>
      <c r="H187" s="105" t="s">
        <v>309</v>
      </c>
      <c r="I187" t="s">
        <v>36</v>
      </c>
      <c r="J187" s="141" t="s">
        <v>394</v>
      </c>
      <c r="K187" s="133" t="s">
        <v>338</v>
      </c>
      <c r="L187" s="106" t="s">
        <v>31</v>
      </c>
      <c r="M187" s="106" t="s">
        <v>31</v>
      </c>
      <c r="N187" s="106" t="s">
        <v>33</v>
      </c>
      <c r="O187" s="106" t="s">
        <v>31</v>
      </c>
      <c r="P187" s="79"/>
      <c r="Q187" s="106" t="s">
        <v>32</v>
      </c>
      <c r="R187" s="106" t="s">
        <v>32</v>
      </c>
      <c r="S187" s="64" t="s">
        <v>301</v>
      </c>
    </row>
    <row r="188" spans="1:19" ht="15.75">
      <c r="A188" s="1">
        <v>220</v>
      </c>
      <c r="B188" t="s">
        <v>39</v>
      </c>
      <c r="C188" s="58">
        <v>9</v>
      </c>
      <c r="D188" s="116">
        <v>131304493</v>
      </c>
      <c r="E188" t="s">
        <v>89</v>
      </c>
      <c r="F188" t="s">
        <v>91</v>
      </c>
      <c r="G188" s="58" t="s">
        <v>301</v>
      </c>
      <c r="H188" s="105" t="s">
        <v>309</v>
      </c>
      <c r="I188" t="s">
        <v>36</v>
      </c>
      <c r="J188" s="141" t="s">
        <v>395</v>
      </c>
      <c r="K188" s="133" t="s">
        <v>338</v>
      </c>
      <c r="L188" s="106" t="s">
        <v>31</v>
      </c>
      <c r="M188" s="106" t="s">
        <v>31</v>
      </c>
      <c r="N188" s="106" t="s">
        <v>33</v>
      </c>
      <c r="O188" s="106" t="s">
        <v>31</v>
      </c>
      <c r="P188" s="79"/>
      <c r="Q188" s="106" t="s">
        <v>32</v>
      </c>
      <c r="R188" s="106" t="s">
        <v>31</v>
      </c>
      <c r="S188" s="64" t="s">
        <v>301</v>
      </c>
    </row>
    <row r="189" spans="1:19" ht="15.75">
      <c r="A189" s="1">
        <v>221</v>
      </c>
      <c r="B189" t="s">
        <v>39</v>
      </c>
      <c r="C189" s="58">
        <v>10</v>
      </c>
      <c r="D189" s="116">
        <v>73047314</v>
      </c>
      <c r="E189" t="s">
        <v>93</v>
      </c>
      <c r="F189" t="s">
        <v>91</v>
      </c>
      <c r="G189" s="58" t="s">
        <v>301</v>
      </c>
      <c r="H189" s="105" t="s">
        <v>309</v>
      </c>
      <c r="I189" t="s">
        <v>36</v>
      </c>
      <c r="J189" s="140" t="s">
        <v>347</v>
      </c>
      <c r="K189" s="133" t="s">
        <v>338</v>
      </c>
      <c r="L189" s="106" t="s">
        <v>42</v>
      </c>
      <c r="M189" s="106" t="s">
        <v>42</v>
      </c>
      <c r="N189" s="106" t="s">
        <v>42</v>
      </c>
      <c r="O189" s="106" t="s">
        <v>42</v>
      </c>
      <c r="P189" s="79"/>
      <c r="Q189" s="106" t="s">
        <v>42</v>
      </c>
      <c r="R189" s="106" t="s">
        <v>42</v>
      </c>
    </row>
    <row r="190" spans="1:19" ht="15.75">
      <c r="A190" s="1">
        <v>222</v>
      </c>
      <c r="B190" t="s">
        <v>39</v>
      </c>
      <c r="C190" s="58">
        <v>10</v>
      </c>
      <c r="D190" s="116">
        <v>91034339</v>
      </c>
      <c r="E190" t="s">
        <v>89</v>
      </c>
      <c r="F190" t="s">
        <v>91</v>
      </c>
      <c r="G190" s="58" t="s">
        <v>301</v>
      </c>
      <c r="H190" s="105" t="s">
        <v>309</v>
      </c>
      <c r="I190" t="s">
        <v>36</v>
      </c>
      <c r="J190" s="140" t="s">
        <v>347</v>
      </c>
      <c r="K190" s="133" t="s">
        <v>338</v>
      </c>
      <c r="L190" s="106" t="s">
        <v>42</v>
      </c>
      <c r="M190" s="106" t="s">
        <v>42</v>
      </c>
      <c r="N190" s="106" t="s">
        <v>42</v>
      </c>
      <c r="O190" s="106" t="s">
        <v>42</v>
      </c>
      <c r="P190" s="79"/>
      <c r="Q190" s="106" t="s">
        <v>42</v>
      </c>
      <c r="R190" s="106" t="s">
        <v>42</v>
      </c>
    </row>
    <row r="191" spans="1:19" ht="15.75">
      <c r="A191" s="1">
        <v>223</v>
      </c>
      <c r="B191" t="s">
        <v>39</v>
      </c>
      <c r="C191" s="58">
        <v>10</v>
      </c>
      <c r="D191" s="116">
        <v>91391732</v>
      </c>
      <c r="E191" t="s">
        <v>89</v>
      </c>
      <c r="F191" t="s">
        <v>91</v>
      </c>
      <c r="G191" s="58" t="s">
        <v>301</v>
      </c>
      <c r="H191" s="105" t="s">
        <v>309</v>
      </c>
      <c r="I191" t="s">
        <v>36</v>
      </c>
      <c r="J191" s="141" t="s">
        <v>396</v>
      </c>
      <c r="K191" s="133" t="s">
        <v>338</v>
      </c>
      <c r="L191" s="106" t="s">
        <v>31</v>
      </c>
      <c r="M191" s="106" t="s">
        <v>31</v>
      </c>
      <c r="N191" s="106" t="s">
        <v>31</v>
      </c>
      <c r="O191" s="106" t="s">
        <v>31</v>
      </c>
      <c r="P191" s="79"/>
      <c r="Q191" s="106" t="s">
        <v>32</v>
      </c>
      <c r="R191" s="106" t="s">
        <v>32</v>
      </c>
      <c r="S191" s="64" t="s">
        <v>301</v>
      </c>
    </row>
    <row r="192" spans="1:19" ht="15.75">
      <c r="A192" s="1">
        <v>224</v>
      </c>
      <c r="B192" t="s">
        <v>39</v>
      </c>
      <c r="C192" s="58">
        <v>10</v>
      </c>
      <c r="D192" s="116">
        <v>112270251</v>
      </c>
      <c r="E192" t="s">
        <v>93</v>
      </c>
      <c r="F192" s="146" t="s">
        <v>432</v>
      </c>
      <c r="G192" s="58" t="s">
        <v>301</v>
      </c>
      <c r="H192" s="105" t="s">
        <v>309</v>
      </c>
      <c r="I192" t="s">
        <v>36</v>
      </c>
      <c r="J192" s="141" t="s">
        <v>397</v>
      </c>
      <c r="K192" s="133" t="s">
        <v>338</v>
      </c>
      <c r="L192" s="106" t="s">
        <v>31</v>
      </c>
      <c r="M192" s="106" t="s">
        <v>33</v>
      </c>
      <c r="N192" s="106" t="s">
        <v>31</v>
      </c>
      <c r="O192" s="106" t="s">
        <v>31</v>
      </c>
      <c r="P192" s="79"/>
      <c r="Q192" s="106" t="s">
        <v>32</v>
      </c>
      <c r="R192" s="106" t="s">
        <v>32</v>
      </c>
      <c r="S192" s="64" t="s">
        <v>301</v>
      </c>
    </row>
    <row r="193" spans="1:19" ht="15.75">
      <c r="A193" s="1">
        <v>225</v>
      </c>
      <c r="B193" t="s">
        <v>39</v>
      </c>
      <c r="C193" s="58">
        <v>10</v>
      </c>
      <c r="D193" s="116">
        <v>117012451</v>
      </c>
      <c r="E193" t="s">
        <v>89</v>
      </c>
      <c r="F193" t="s">
        <v>91</v>
      </c>
      <c r="G193" s="58" t="s">
        <v>301</v>
      </c>
      <c r="H193" s="105" t="s">
        <v>309</v>
      </c>
      <c r="I193" t="s">
        <v>36</v>
      </c>
      <c r="J193" s="141" t="s">
        <v>398</v>
      </c>
      <c r="K193" s="133" t="s">
        <v>338</v>
      </c>
      <c r="L193" s="106" t="s">
        <v>31</v>
      </c>
      <c r="M193" s="106" t="s">
        <v>31</v>
      </c>
      <c r="N193" s="106" t="s">
        <v>31</v>
      </c>
      <c r="O193" s="106" t="s">
        <v>33</v>
      </c>
      <c r="P193" s="79"/>
      <c r="Q193" s="106" t="s">
        <v>32</v>
      </c>
      <c r="R193" s="106" t="s">
        <v>31</v>
      </c>
      <c r="S193" s="64" t="s">
        <v>301</v>
      </c>
    </row>
    <row r="194" spans="1:19" ht="15.75">
      <c r="A194" s="1">
        <v>226</v>
      </c>
      <c r="B194" t="s">
        <v>39</v>
      </c>
      <c r="C194" s="58">
        <v>10</v>
      </c>
      <c r="D194" s="116">
        <v>127918647</v>
      </c>
      <c r="E194" t="s">
        <v>89</v>
      </c>
      <c r="F194" t="s">
        <v>91</v>
      </c>
      <c r="G194" s="58" t="s">
        <v>301</v>
      </c>
      <c r="H194" s="105" t="s">
        <v>309</v>
      </c>
      <c r="I194" t="s">
        <v>36</v>
      </c>
      <c r="J194" s="140" t="s">
        <v>347</v>
      </c>
      <c r="K194" s="133" t="s">
        <v>338</v>
      </c>
      <c r="L194" s="106" t="s">
        <v>42</v>
      </c>
      <c r="M194" s="106" t="s">
        <v>42</v>
      </c>
      <c r="N194" s="106" t="s">
        <v>42</v>
      </c>
      <c r="O194" s="106" t="s">
        <v>42</v>
      </c>
      <c r="P194" s="79"/>
      <c r="Q194" s="106" t="s">
        <v>42</v>
      </c>
      <c r="R194" s="106" t="s">
        <v>42</v>
      </c>
    </row>
    <row r="195" spans="1:19" ht="15.75">
      <c r="A195" s="1">
        <v>227</v>
      </c>
      <c r="B195" t="s">
        <v>39</v>
      </c>
      <c r="C195" s="58">
        <v>11</v>
      </c>
      <c r="D195" s="116">
        <v>28671379</v>
      </c>
      <c r="E195" t="s">
        <v>93</v>
      </c>
      <c r="F195" t="s">
        <v>97</v>
      </c>
      <c r="G195" s="58" t="s">
        <v>301</v>
      </c>
      <c r="H195" s="105" t="s">
        <v>309</v>
      </c>
      <c r="I195" t="s">
        <v>36</v>
      </c>
      <c r="J195" s="141" t="s">
        <v>399</v>
      </c>
      <c r="K195" s="133" t="s">
        <v>338</v>
      </c>
      <c r="L195" s="106" t="s">
        <v>31</v>
      </c>
      <c r="M195" s="106" t="s">
        <v>33</v>
      </c>
      <c r="N195" s="106" t="s">
        <v>33</v>
      </c>
      <c r="O195" s="106" t="s">
        <v>31</v>
      </c>
      <c r="P195" s="79"/>
      <c r="Q195" s="106" t="s">
        <v>32</v>
      </c>
      <c r="R195" s="106" t="s">
        <v>31</v>
      </c>
      <c r="S195" s="64" t="s">
        <v>301</v>
      </c>
    </row>
    <row r="196" spans="1:19" ht="15.75">
      <c r="A196" s="1">
        <v>228</v>
      </c>
      <c r="B196" t="s">
        <v>39</v>
      </c>
      <c r="C196" s="58">
        <v>11</v>
      </c>
      <c r="D196" s="116">
        <v>46640505</v>
      </c>
      <c r="E196" t="s">
        <v>93</v>
      </c>
      <c r="F196" t="s">
        <v>91</v>
      </c>
      <c r="G196" s="58" t="s">
        <v>301</v>
      </c>
      <c r="H196" s="105" t="s">
        <v>309</v>
      </c>
      <c r="I196" t="s">
        <v>36</v>
      </c>
      <c r="J196" s="141" t="s">
        <v>400</v>
      </c>
      <c r="K196" s="133" t="s">
        <v>338</v>
      </c>
      <c r="L196" s="106" t="s">
        <v>31</v>
      </c>
      <c r="M196" s="106" t="s">
        <v>31</v>
      </c>
      <c r="N196" s="106" t="s">
        <v>31</v>
      </c>
      <c r="O196" s="106" t="s">
        <v>32</v>
      </c>
      <c r="P196" s="79"/>
      <c r="Q196" s="106" t="s">
        <v>15</v>
      </c>
      <c r="R196" s="106" t="s">
        <v>32</v>
      </c>
      <c r="S196" s="64" t="s">
        <v>301</v>
      </c>
    </row>
    <row r="197" spans="1:19" ht="15.75">
      <c r="A197" s="1">
        <v>229</v>
      </c>
      <c r="B197" t="s">
        <v>39</v>
      </c>
      <c r="C197" s="58">
        <v>11</v>
      </c>
      <c r="D197" s="116">
        <v>57578561</v>
      </c>
      <c r="E197" t="s">
        <v>89</v>
      </c>
      <c r="F197" t="s">
        <v>91</v>
      </c>
      <c r="G197" s="58" t="s">
        <v>301</v>
      </c>
      <c r="H197" s="105" t="s">
        <v>309</v>
      </c>
      <c r="I197" t="s">
        <v>36</v>
      </c>
      <c r="J197" s="140" t="s">
        <v>347</v>
      </c>
      <c r="K197" s="133" t="s">
        <v>338</v>
      </c>
      <c r="L197" s="106" t="s">
        <v>42</v>
      </c>
      <c r="M197" s="106" t="s">
        <v>42</v>
      </c>
      <c r="N197" s="106" t="s">
        <v>42</v>
      </c>
      <c r="O197" s="106" t="s">
        <v>42</v>
      </c>
      <c r="P197" s="79"/>
      <c r="Q197" s="106" t="s">
        <v>42</v>
      </c>
      <c r="R197" s="106" t="s">
        <v>42</v>
      </c>
    </row>
    <row r="198" spans="1:19" ht="15.75">
      <c r="A198" s="1">
        <v>230</v>
      </c>
      <c r="B198" t="s">
        <v>39</v>
      </c>
      <c r="C198" s="58">
        <v>11</v>
      </c>
      <c r="D198" s="116">
        <v>74484409</v>
      </c>
      <c r="E198" t="s">
        <v>89</v>
      </c>
      <c r="F198" t="s">
        <v>91</v>
      </c>
      <c r="G198" s="58" t="s">
        <v>301</v>
      </c>
      <c r="H198" s="105" t="s">
        <v>309</v>
      </c>
      <c r="I198" t="s">
        <v>36</v>
      </c>
      <c r="J198" s="141" t="s">
        <v>401</v>
      </c>
      <c r="K198" s="133" t="s">
        <v>338</v>
      </c>
      <c r="L198" s="106" t="s">
        <v>33</v>
      </c>
      <c r="M198" s="106" t="s">
        <v>31</v>
      </c>
      <c r="N198" s="106" t="s">
        <v>31</v>
      </c>
      <c r="O198" s="106" t="s">
        <v>31</v>
      </c>
      <c r="P198" s="79"/>
      <c r="Q198" s="106" t="s">
        <v>32</v>
      </c>
      <c r="R198" s="106" t="s">
        <v>32</v>
      </c>
      <c r="S198" s="64" t="s">
        <v>301</v>
      </c>
    </row>
    <row r="199" spans="1:19" ht="15.75">
      <c r="A199" s="1">
        <v>231</v>
      </c>
      <c r="B199" t="s">
        <v>39</v>
      </c>
      <c r="C199" s="58">
        <v>11</v>
      </c>
      <c r="D199" s="116">
        <v>101262810</v>
      </c>
      <c r="E199" t="s">
        <v>89</v>
      </c>
      <c r="F199" t="s">
        <v>97</v>
      </c>
      <c r="G199" s="58" t="s">
        <v>301</v>
      </c>
      <c r="H199" s="105" t="s">
        <v>309</v>
      </c>
      <c r="I199" t="s">
        <v>36</v>
      </c>
      <c r="J199" s="141" t="s">
        <v>402</v>
      </c>
      <c r="K199" s="133" t="s">
        <v>338</v>
      </c>
      <c r="L199" s="106" t="s">
        <v>31</v>
      </c>
      <c r="M199" s="106" t="s">
        <v>31</v>
      </c>
      <c r="N199" s="106" t="s">
        <v>31</v>
      </c>
      <c r="O199" s="106" t="s">
        <v>31</v>
      </c>
      <c r="P199" s="79"/>
      <c r="Q199" s="106" t="s">
        <v>32</v>
      </c>
      <c r="R199" s="106" t="s">
        <v>33</v>
      </c>
      <c r="S199" s="64" t="s">
        <v>301</v>
      </c>
    </row>
    <row r="200" spans="1:19" ht="15.75">
      <c r="A200" s="1">
        <v>232</v>
      </c>
      <c r="B200" t="s">
        <v>39</v>
      </c>
      <c r="C200" s="58">
        <v>12</v>
      </c>
      <c r="D200" s="116">
        <v>6582235</v>
      </c>
      <c r="E200" t="s">
        <v>93</v>
      </c>
      <c r="F200" t="s">
        <v>97</v>
      </c>
      <c r="G200" s="58" t="s">
        <v>301</v>
      </c>
      <c r="H200" s="105" t="s">
        <v>309</v>
      </c>
      <c r="I200" t="s">
        <v>36</v>
      </c>
      <c r="J200" s="141" t="s">
        <v>403</v>
      </c>
      <c r="K200" s="133" t="s">
        <v>338</v>
      </c>
      <c r="L200" s="106" t="s">
        <v>31</v>
      </c>
      <c r="M200" s="106" t="s">
        <v>31</v>
      </c>
      <c r="N200" s="106" t="s">
        <v>31</v>
      </c>
      <c r="O200" s="106" t="s">
        <v>31</v>
      </c>
      <c r="P200" s="79"/>
      <c r="Q200" s="106" t="s">
        <v>33</v>
      </c>
      <c r="R200" s="106" t="s">
        <v>31</v>
      </c>
      <c r="S200" s="64" t="s">
        <v>301</v>
      </c>
    </row>
    <row r="201" spans="1:19" ht="15.75">
      <c r="A201" s="1">
        <v>233</v>
      </c>
      <c r="B201" t="s">
        <v>39</v>
      </c>
      <c r="C201" s="58">
        <v>12</v>
      </c>
      <c r="D201" s="116">
        <v>29807168</v>
      </c>
      <c r="E201" t="s">
        <v>93</v>
      </c>
      <c r="F201" t="s">
        <v>91</v>
      </c>
      <c r="G201" s="58" t="s">
        <v>301</v>
      </c>
      <c r="H201" s="105" t="s">
        <v>309</v>
      </c>
      <c r="I201" t="s">
        <v>36</v>
      </c>
      <c r="J201" s="141" t="s">
        <v>404</v>
      </c>
      <c r="K201" s="133" t="s">
        <v>338</v>
      </c>
      <c r="L201" s="106" t="s">
        <v>31</v>
      </c>
      <c r="M201" s="106" t="s">
        <v>33</v>
      </c>
      <c r="N201" s="106" t="s">
        <v>31</v>
      </c>
      <c r="O201" s="106" t="s">
        <v>31</v>
      </c>
      <c r="P201" s="79"/>
      <c r="Q201" s="106" t="s">
        <v>32</v>
      </c>
      <c r="R201" s="106" t="s">
        <v>32</v>
      </c>
      <c r="S201" s="64" t="s">
        <v>301</v>
      </c>
    </row>
    <row r="202" spans="1:19" ht="15.75">
      <c r="A202" s="1">
        <v>234</v>
      </c>
      <c r="B202" t="s">
        <v>39</v>
      </c>
      <c r="C202" s="58">
        <v>12</v>
      </c>
      <c r="D202" s="116">
        <v>104616769</v>
      </c>
      <c r="E202" t="s">
        <v>93</v>
      </c>
      <c r="F202" t="s">
        <v>91</v>
      </c>
      <c r="G202" s="58" t="s">
        <v>301</v>
      </c>
      <c r="H202" s="105" t="s">
        <v>309</v>
      </c>
      <c r="I202" t="s">
        <v>36</v>
      </c>
      <c r="J202" s="141" t="s">
        <v>405</v>
      </c>
      <c r="K202" s="133" t="s">
        <v>338</v>
      </c>
      <c r="L202" s="106" t="s">
        <v>31</v>
      </c>
      <c r="M202" s="106" t="s">
        <v>33</v>
      </c>
      <c r="N202" s="106" t="s">
        <v>31</v>
      </c>
      <c r="O202" s="106" t="s">
        <v>31</v>
      </c>
      <c r="P202" s="79"/>
      <c r="Q202" s="106" t="s">
        <v>32</v>
      </c>
      <c r="R202" s="106" t="s">
        <v>32</v>
      </c>
      <c r="S202" s="64" t="s">
        <v>301</v>
      </c>
    </row>
    <row r="203" spans="1:19" ht="15.75">
      <c r="A203" s="1">
        <v>235</v>
      </c>
      <c r="B203" t="s">
        <v>39</v>
      </c>
      <c r="C203" s="58">
        <v>12</v>
      </c>
      <c r="D203" s="116">
        <v>107312921</v>
      </c>
      <c r="E203" t="s">
        <v>93</v>
      </c>
      <c r="F203" t="s">
        <v>97</v>
      </c>
      <c r="G203" s="58" t="s">
        <v>301</v>
      </c>
      <c r="H203" s="105" t="s">
        <v>309</v>
      </c>
      <c r="I203" t="s">
        <v>36</v>
      </c>
      <c r="J203" s="141" t="s">
        <v>406</v>
      </c>
      <c r="K203" s="133" t="s">
        <v>338</v>
      </c>
      <c r="L203" s="106" t="s">
        <v>15</v>
      </c>
      <c r="M203" s="106" t="s">
        <v>31</v>
      </c>
      <c r="N203" s="106" t="s">
        <v>33</v>
      </c>
      <c r="O203" s="106" t="s">
        <v>31</v>
      </c>
      <c r="P203" s="79"/>
      <c r="Q203" s="106" t="s">
        <v>32</v>
      </c>
      <c r="R203" s="106" t="s">
        <v>32</v>
      </c>
      <c r="S203" s="64" t="s">
        <v>301</v>
      </c>
    </row>
    <row r="204" spans="1:19" ht="15.75">
      <c r="A204" s="1">
        <v>236</v>
      </c>
      <c r="B204" t="s">
        <v>39</v>
      </c>
      <c r="C204" s="58">
        <v>12</v>
      </c>
      <c r="D204" s="116">
        <v>112411757</v>
      </c>
      <c r="E204" t="s">
        <v>93</v>
      </c>
      <c r="F204" t="s">
        <v>91</v>
      </c>
      <c r="G204" s="58" t="s">
        <v>301</v>
      </c>
      <c r="H204" s="105" t="s">
        <v>309</v>
      </c>
      <c r="I204" t="s">
        <v>36</v>
      </c>
      <c r="J204" s="141" t="s">
        <v>407</v>
      </c>
      <c r="K204" s="133" t="s">
        <v>338</v>
      </c>
      <c r="L204" s="106" t="s">
        <v>31</v>
      </c>
      <c r="M204" s="106" t="s">
        <v>31</v>
      </c>
      <c r="N204" s="106" t="s">
        <v>31</v>
      </c>
      <c r="O204" s="106" t="s">
        <v>31</v>
      </c>
      <c r="P204" s="79"/>
      <c r="Q204" s="106" t="s">
        <v>15</v>
      </c>
      <c r="R204" s="106" t="s">
        <v>31</v>
      </c>
      <c r="S204" s="64" t="s">
        <v>301</v>
      </c>
    </row>
    <row r="205" spans="1:19" ht="15.75">
      <c r="A205" s="1">
        <v>237</v>
      </c>
      <c r="B205" t="s">
        <v>39</v>
      </c>
      <c r="C205" s="58">
        <v>12</v>
      </c>
      <c r="D205" s="116">
        <v>112787674</v>
      </c>
      <c r="E205" t="s">
        <v>93</v>
      </c>
      <c r="F205" t="s">
        <v>91</v>
      </c>
      <c r="G205" s="58" t="s">
        <v>301</v>
      </c>
      <c r="H205" s="105" t="s">
        <v>309</v>
      </c>
      <c r="I205" t="s">
        <v>36</v>
      </c>
      <c r="J205" s="141" t="s">
        <v>408</v>
      </c>
      <c r="K205" s="133" t="s">
        <v>338</v>
      </c>
      <c r="L205" s="106" t="s">
        <v>31</v>
      </c>
      <c r="M205" s="106" t="s">
        <v>31</v>
      </c>
      <c r="N205" s="106" t="s">
        <v>33</v>
      </c>
      <c r="O205" s="106" t="s">
        <v>31</v>
      </c>
      <c r="P205" s="79"/>
      <c r="Q205" s="106" t="s">
        <v>32</v>
      </c>
      <c r="R205" s="106" t="s">
        <v>15</v>
      </c>
      <c r="S205" s="64" t="s">
        <v>301</v>
      </c>
    </row>
    <row r="206" spans="1:19" ht="15.75">
      <c r="A206" s="1">
        <v>238</v>
      </c>
      <c r="B206" t="s">
        <v>39</v>
      </c>
      <c r="C206" s="58">
        <v>13</v>
      </c>
      <c r="D206" s="116">
        <v>77685020</v>
      </c>
      <c r="E206" t="s">
        <v>89</v>
      </c>
      <c r="F206" t="s">
        <v>91</v>
      </c>
      <c r="G206" s="58" t="s">
        <v>301</v>
      </c>
      <c r="H206" s="105" t="s">
        <v>309</v>
      </c>
      <c r="I206" t="s">
        <v>36</v>
      </c>
      <c r="J206" s="141" t="s">
        <v>409</v>
      </c>
      <c r="K206" s="133" t="s">
        <v>338</v>
      </c>
      <c r="L206" s="106" t="s">
        <v>31</v>
      </c>
      <c r="M206" s="106" t="s">
        <v>33</v>
      </c>
      <c r="N206" s="106" t="s">
        <v>31</v>
      </c>
      <c r="O206" s="106" t="s">
        <v>31</v>
      </c>
      <c r="P206" s="79"/>
      <c r="Q206" s="106" t="s">
        <v>32</v>
      </c>
      <c r="R206" s="106" t="s">
        <v>15</v>
      </c>
      <c r="S206" s="64" t="s">
        <v>301</v>
      </c>
    </row>
    <row r="207" spans="1:19" ht="15.75">
      <c r="A207" s="1">
        <v>239</v>
      </c>
      <c r="B207" t="s">
        <v>39</v>
      </c>
      <c r="C207" s="58">
        <v>13</v>
      </c>
      <c r="D207" s="116">
        <v>79200920</v>
      </c>
      <c r="E207" t="s">
        <v>93</v>
      </c>
      <c r="F207" t="s">
        <v>91</v>
      </c>
      <c r="G207" s="152" t="s">
        <v>438</v>
      </c>
      <c r="H207" s="105" t="s">
        <v>309</v>
      </c>
      <c r="I207" t="s">
        <v>36</v>
      </c>
      <c r="J207" s="144" t="s">
        <v>331</v>
      </c>
      <c r="K207" s="133" t="s">
        <v>338</v>
      </c>
      <c r="L207" s="106" t="s">
        <v>42</v>
      </c>
      <c r="M207" s="106" t="s">
        <v>42</v>
      </c>
      <c r="N207" s="106" t="s">
        <v>42</v>
      </c>
      <c r="O207" s="106" t="s">
        <v>42</v>
      </c>
      <c r="P207" s="79"/>
      <c r="Q207" s="106" t="s">
        <v>42</v>
      </c>
      <c r="R207" s="106" t="s">
        <v>42</v>
      </c>
      <c r="S207" t="s">
        <v>438</v>
      </c>
    </row>
    <row r="208" spans="1:19" ht="15.75">
      <c r="A208" s="1">
        <v>240</v>
      </c>
      <c r="B208" t="s">
        <v>39</v>
      </c>
      <c r="C208" s="58">
        <v>13</v>
      </c>
      <c r="D208" s="116">
        <v>92850663</v>
      </c>
      <c r="E208" t="s">
        <v>89</v>
      </c>
      <c r="F208" t="s">
        <v>91</v>
      </c>
      <c r="G208" s="58" t="s">
        <v>301</v>
      </c>
      <c r="H208" s="105" t="s">
        <v>309</v>
      </c>
      <c r="I208" t="s">
        <v>36</v>
      </c>
      <c r="J208" s="141" t="s">
        <v>410</v>
      </c>
      <c r="K208" s="133" t="s">
        <v>338</v>
      </c>
      <c r="L208" s="106" t="s">
        <v>31</v>
      </c>
      <c r="M208" s="106" t="s">
        <v>33</v>
      </c>
      <c r="N208" s="106" t="s">
        <v>31</v>
      </c>
      <c r="O208" s="106" t="s">
        <v>31</v>
      </c>
      <c r="P208" s="79"/>
      <c r="Q208" s="106" t="s">
        <v>32</v>
      </c>
      <c r="R208" s="106" t="s">
        <v>32</v>
      </c>
      <c r="S208" s="64" t="s">
        <v>301</v>
      </c>
    </row>
    <row r="209" spans="1:19" ht="15.75">
      <c r="A209" s="1">
        <v>241</v>
      </c>
      <c r="B209" t="s">
        <v>39</v>
      </c>
      <c r="C209" s="58">
        <v>14</v>
      </c>
      <c r="D209" s="116">
        <v>56285222</v>
      </c>
      <c r="E209" t="s">
        <v>89</v>
      </c>
      <c r="F209" t="s">
        <v>97</v>
      </c>
      <c r="G209" s="58" t="s">
        <v>301</v>
      </c>
      <c r="H209" s="105" t="s">
        <v>309</v>
      </c>
      <c r="I209" t="s">
        <v>36</v>
      </c>
      <c r="J209" s="141" t="s">
        <v>411</v>
      </c>
      <c r="K209" s="133" t="s">
        <v>338</v>
      </c>
      <c r="L209" s="106" t="s">
        <v>31</v>
      </c>
      <c r="M209" s="106" t="s">
        <v>32</v>
      </c>
      <c r="N209" s="106" t="s">
        <v>31</v>
      </c>
      <c r="O209" s="106" t="s">
        <v>31</v>
      </c>
      <c r="P209" s="79"/>
      <c r="Q209" s="106" t="s">
        <v>32</v>
      </c>
      <c r="R209" s="106" t="s">
        <v>32</v>
      </c>
      <c r="S209" s="64" t="s">
        <v>301</v>
      </c>
    </row>
    <row r="210" spans="1:19" ht="15.75">
      <c r="A210" s="1">
        <v>242</v>
      </c>
      <c r="B210" t="s">
        <v>39</v>
      </c>
      <c r="C210" s="58">
        <v>14</v>
      </c>
      <c r="D210" s="116">
        <v>65094075</v>
      </c>
      <c r="E210" t="s">
        <v>93</v>
      </c>
      <c r="F210" t="s">
        <v>97</v>
      </c>
      <c r="G210" s="58" t="s">
        <v>301</v>
      </c>
      <c r="H210" s="105" t="s">
        <v>309</v>
      </c>
      <c r="I210" t="s">
        <v>36</v>
      </c>
      <c r="J210" s="141" t="s">
        <v>412</v>
      </c>
      <c r="K210" s="133" t="s">
        <v>338</v>
      </c>
      <c r="L210" s="106" t="s">
        <v>31</v>
      </c>
      <c r="M210" s="106" t="s">
        <v>33</v>
      </c>
      <c r="N210" s="106" t="s">
        <v>31</v>
      </c>
      <c r="O210" s="106" t="s">
        <v>33</v>
      </c>
      <c r="P210" s="79"/>
      <c r="Q210" s="106" t="s">
        <v>32</v>
      </c>
      <c r="R210" s="106" t="s">
        <v>33</v>
      </c>
      <c r="S210" s="64" t="s">
        <v>301</v>
      </c>
    </row>
    <row r="211" spans="1:19" ht="15.75">
      <c r="A211" s="1">
        <v>243</v>
      </c>
      <c r="B211" t="s">
        <v>39</v>
      </c>
      <c r="C211" s="58">
        <v>14</v>
      </c>
      <c r="D211" s="116">
        <v>91245526</v>
      </c>
      <c r="E211" t="s">
        <v>93</v>
      </c>
      <c r="F211" t="s">
        <v>91</v>
      </c>
      <c r="G211" s="58" t="s">
        <v>301</v>
      </c>
      <c r="H211" s="105" t="s">
        <v>309</v>
      </c>
      <c r="I211" t="s">
        <v>36</v>
      </c>
      <c r="J211" s="140" t="s">
        <v>347</v>
      </c>
      <c r="K211" s="133" t="s">
        <v>338</v>
      </c>
      <c r="L211" s="106" t="s">
        <v>42</v>
      </c>
      <c r="M211" s="106" t="s">
        <v>42</v>
      </c>
      <c r="N211" s="106" t="s">
        <v>42</v>
      </c>
      <c r="O211" s="106" t="s">
        <v>42</v>
      </c>
      <c r="P211" s="79"/>
      <c r="Q211" s="106" t="s">
        <v>42</v>
      </c>
      <c r="R211" s="106" t="s">
        <v>42</v>
      </c>
    </row>
    <row r="212" spans="1:19" ht="15.75">
      <c r="A212" s="1">
        <v>244</v>
      </c>
      <c r="B212" t="s">
        <v>39</v>
      </c>
      <c r="C212" s="58">
        <v>14</v>
      </c>
      <c r="D212" s="116">
        <v>92352545</v>
      </c>
      <c r="E212" t="s">
        <v>93</v>
      </c>
      <c r="F212" t="s">
        <v>91</v>
      </c>
      <c r="G212" s="58" t="s">
        <v>301</v>
      </c>
      <c r="H212" s="105" t="s">
        <v>309</v>
      </c>
      <c r="I212" t="s">
        <v>36</v>
      </c>
      <c r="J212" s="141" t="s">
        <v>413</v>
      </c>
      <c r="K212" s="133" t="s">
        <v>338</v>
      </c>
      <c r="L212" s="106" t="s">
        <v>31</v>
      </c>
      <c r="M212" s="106" t="s">
        <v>31</v>
      </c>
      <c r="N212" s="106" t="s">
        <v>33</v>
      </c>
      <c r="O212" s="106" t="s">
        <v>32</v>
      </c>
      <c r="P212" s="79"/>
      <c r="Q212" s="106" t="s">
        <v>32</v>
      </c>
      <c r="R212" s="106" t="s">
        <v>32</v>
      </c>
      <c r="S212" s="64" t="s">
        <v>301</v>
      </c>
    </row>
    <row r="213" spans="1:19" ht="15.75">
      <c r="A213" s="1">
        <v>245</v>
      </c>
      <c r="B213" t="s">
        <v>39</v>
      </c>
      <c r="C213" s="58">
        <v>15</v>
      </c>
      <c r="D213" s="116">
        <v>37024052</v>
      </c>
      <c r="E213" t="s">
        <v>89</v>
      </c>
      <c r="F213" t="s">
        <v>91</v>
      </c>
      <c r="G213" s="58" t="s">
        <v>301</v>
      </c>
      <c r="H213" s="105" t="s">
        <v>309</v>
      </c>
      <c r="I213" t="s">
        <v>36</v>
      </c>
      <c r="J213" s="141" t="s">
        <v>414</v>
      </c>
      <c r="K213" s="133" t="s">
        <v>338</v>
      </c>
      <c r="L213" s="106" t="s">
        <v>31</v>
      </c>
      <c r="M213" s="106" t="s">
        <v>33</v>
      </c>
      <c r="N213" s="106" t="s">
        <v>31</v>
      </c>
      <c r="O213" s="106" t="s">
        <v>31</v>
      </c>
      <c r="P213" s="79"/>
      <c r="Q213" s="106" t="s">
        <v>32</v>
      </c>
      <c r="R213" s="106" t="s">
        <v>31</v>
      </c>
      <c r="S213" s="64" t="s">
        <v>301</v>
      </c>
    </row>
    <row r="214" spans="1:19" ht="15.75">
      <c r="A214" s="1">
        <v>246</v>
      </c>
      <c r="B214" t="s">
        <v>39</v>
      </c>
      <c r="C214" s="58">
        <v>15</v>
      </c>
      <c r="D214" s="116">
        <v>48974167</v>
      </c>
      <c r="E214" t="s">
        <v>93</v>
      </c>
      <c r="F214" t="s">
        <v>97</v>
      </c>
      <c r="G214" s="58" t="s">
        <v>301</v>
      </c>
      <c r="H214" s="105" t="s">
        <v>309</v>
      </c>
      <c r="I214" t="s">
        <v>36</v>
      </c>
      <c r="J214" s="141" t="s">
        <v>415</v>
      </c>
      <c r="K214" s="133" t="s">
        <v>338</v>
      </c>
      <c r="L214" s="106" t="s">
        <v>31</v>
      </c>
      <c r="M214" s="106" t="s">
        <v>31</v>
      </c>
      <c r="N214" s="106" t="s">
        <v>31</v>
      </c>
      <c r="O214" s="106" t="s">
        <v>31</v>
      </c>
      <c r="P214" s="79"/>
      <c r="Q214" s="106" t="s">
        <v>32</v>
      </c>
      <c r="R214" s="106" t="s">
        <v>15</v>
      </c>
      <c r="S214" s="64" t="s">
        <v>301</v>
      </c>
    </row>
    <row r="215" spans="1:19" ht="15.75">
      <c r="A215" s="1">
        <v>247</v>
      </c>
      <c r="B215" t="s">
        <v>39</v>
      </c>
      <c r="C215" s="58">
        <v>15</v>
      </c>
      <c r="D215" s="116">
        <v>59724193</v>
      </c>
      <c r="E215" t="s">
        <v>89</v>
      </c>
      <c r="F215" t="s">
        <v>97</v>
      </c>
      <c r="G215" s="58" t="s">
        <v>301</v>
      </c>
      <c r="H215" s="105" t="s">
        <v>309</v>
      </c>
      <c r="I215" t="s">
        <v>36</v>
      </c>
      <c r="J215" s="141" t="s">
        <v>416</v>
      </c>
      <c r="K215" s="133" t="s">
        <v>338</v>
      </c>
      <c r="L215" s="106" t="s">
        <v>33</v>
      </c>
      <c r="M215" s="106" t="s">
        <v>31</v>
      </c>
      <c r="N215" s="106" t="s">
        <v>31</v>
      </c>
      <c r="O215" s="106" t="s">
        <v>31</v>
      </c>
      <c r="P215" s="79"/>
      <c r="Q215" s="106" t="s">
        <v>32</v>
      </c>
      <c r="R215" s="106" t="s">
        <v>32</v>
      </c>
      <c r="S215" s="64" t="s">
        <v>301</v>
      </c>
    </row>
    <row r="216" spans="1:19" ht="15.75">
      <c r="A216" s="1">
        <v>248</v>
      </c>
      <c r="B216" t="s">
        <v>39</v>
      </c>
      <c r="C216" s="58">
        <v>15</v>
      </c>
      <c r="D216" s="116">
        <v>69480707</v>
      </c>
      <c r="E216" t="s">
        <v>89</v>
      </c>
      <c r="F216" t="s">
        <v>91</v>
      </c>
      <c r="G216" s="58" t="s">
        <v>301</v>
      </c>
      <c r="H216" s="105" t="s">
        <v>309</v>
      </c>
      <c r="I216" t="s">
        <v>36</v>
      </c>
      <c r="J216" s="141" t="s">
        <v>417</v>
      </c>
      <c r="K216" s="133" t="s">
        <v>338</v>
      </c>
      <c r="L216" s="106" t="s">
        <v>31</v>
      </c>
      <c r="M216" s="106" t="s">
        <v>33</v>
      </c>
      <c r="N216" s="106" t="s">
        <v>31</v>
      </c>
      <c r="O216" s="106" t="s">
        <v>31</v>
      </c>
      <c r="P216" s="79"/>
      <c r="Q216" s="106" t="s">
        <v>32</v>
      </c>
      <c r="R216" s="106" t="s">
        <v>31</v>
      </c>
      <c r="S216" s="64" t="s">
        <v>301</v>
      </c>
    </row>
    <row r="217" spans="1:19" ht="15.75">
      <c r="A217" s="1">
        <v>249</v>
      </c>
      <c r="B217" t="s">
        <v>39</v>
      </c>
      <c r="C217" s="58">
        <v>16</v>
      </c>
      <c r="D217" s="116">
        <v>30514516</v>
      </c>
      <c r="E217" t="s">
        <v>89</v>
      </c>
      <c r="F217" t="s">
        <v>91</v>
      </c>
      <c r="G217" s="58" t="s">
        <v>301</v>
      </c>
      <c r="H217" s="105" t="s">
        <v>309</v>
      </c>
      <c r="I217" t="s">
        <v>36</v>
      </c>
      <c r="J217" s="141" t="s">
        <v>418</v>
      </c>
      <c r="K217" s="133" t="s">
        <v>338</v>
      </c>
      <c r="L217" s="106" t="s">
        <v>31</v>
      </c>
      <c r="M217" s="106" t="s">
        <v>31</v>
      </c>
      <c r="N217" s="106" t="s">
        <v>31</v>
      </c>
      <c r="O217" s="106" t="s">
        <v>33</v>
      </c>
      <c r="P217" s="79"/>
      <c r="Q217" s="106" t="s">
        <v>32</v>
      </c>
      <c r="R217" s="106" t="s">
        <v>32</v>
      </c>
      <c r="S217" s="64" t="s">
        <v>301</v>
      </c>
    </row>
    <row r="218" spans="1:19" ht="15.75">
      <c r="A218" s="1">
        <v>250</v>
      </c>
      <c r="B218" t="s">
        <v>39</v>
      </c>
      <c r="C218" s="58">
        <v>16</v>
      </c>
      <c r="D218" s="116">
        <v>69597400</v>
      </c>
      <c r="E218" t="s">
        <v>93</v>
      </c>
      <c r="F218" t="s">
        <v>97</v>
      </c>
      <c r="G218" s="152" t="s">
        <v>438</v>
      </c>
      <c r="H218" s="105" t="s">
        <v>309</v>
      </c>
      <c r="I218" t="s">
        <v>36</v>
      </c>
      <c r="J218" s="144" t="s">
        <v>331</v>
      </c>
      <c r="K218" s="133" t="s">
        <v>338</v>
      </c>
      <c r="L218" s="106" t="s">
        <v>42</v>
      </c>
      <c r="M218" s="106" t="s">
        <v>42</v>
      </c>
      <c r="N218" s="106" t="s">
        <v>42</v>
      </c>
      <c r="O218" s="106" t="s">
        <v>42</v>
      </c>
      <c r="P218" s="79"/>
      <c r="Q218" s="106" t="s">
        <v>42</v>
      </c>
      <c r="R218" s="106" t="s">
        <v>42</v>
      </c>
      <c r="S218" t="s">
        <v>438</v>
      </c>
    </row>
    <row r="219" spans="1:19" ht="15.75">
      <c r="A219" s="1">
        <v>251</v>
      </c>
      <c r="B219" t="s">
        <v>39</v>
      </c>
      <c r="C219" s="58">
        <v>16</v>
      </c>
      <c r="D219" s="116">
        <v>89575313</v>
      </c>
      <c r="E219" t="s">
        <v>93</v>
      </c>
      <c r="F219" t="s">
        <v>91</v>
      </c>
      <c r="G219" s="58" t="s">
        <v>301</v>
      </c>
      <c r="H219" s="105" t="s">
        <v>309</v>
      </c>
      <c r="I219" t="s">
        <v>36</v>
      </c>
      <c r="J219" s="141" t="s">
        <v>419</v>
      </c>
      <c r="K219" s="133" t="s">
        <v>338</v>
      </c>
      <c r="L219" s="106" t="s">
        <v>31</v>
      </c>
      <c r="M219" s="106" t="s">
        <v>31</v>
      </c>
      <c r="N219" s="106" t="s">
        <v>31</v>
      </c>
      <c r="O219" s="106" t="s">
        <v>31</v>
      </c>
      <c r="P219" s="79"/>
      <c r="Q219" s="106" t="s">
        <v>32</v>
      </c>
      <c r="R219" s="106" t="s">
        <v>32</v>
      </c>
      <c r="S219" s="64" t="s">
        <v>301</v>
      </c>
    </row>
    <row r="220" spans="1:19" ht="15.75">
      <c r="A220" s="1">
        <v>252</v>
      </c>
      <c r="B220" t="s">
        <v>39</v>
      </c>
      <c r="C220" s="58">
        <v>17</v>
      </c>
      <c r="D220" s="116">
        <v>39958396</v>
      </c>
      <c r="E220" t="s">
        <v>89</v>
      </c>
      <c r="F220" s="146" t="s">
        <v>432</v>
      </c>
      <c r="G220" s="58" t="s">
        <v>326</v>
      </c>
      <c r="H220" s="105" t="s">
        <v>309</v>
      </c>
      <c r="I220" t="s">
        <v>36</v>
      </c>
      <c r="J220" s="140" t="s">
        <v>347</v>
      </c>
      <c r="K220" s="133" t="s">
        <v>338</v>
      </c>
      <c r="L220" s="106" t="s">
        <v>42</v>
      </c>
      <c r="M220" s="106" t="s">
        <v>42</v>
      </c>
      <c r="N220" s="106" t="s">
        <v>42</v>
      </c>
      <c r="O220" s="106" t="s">
        <v>42</v>
      </c>
      <c r="P220" s="79"/>
      <c r="Q220" s="106" t="s">
        <v>42</v>
      </c>
      <c r="R220" s="106" t="s">
        <v>42</v>
      </c>
    </row>
    <row r="221" spans="1:19" ht="15.75">
      <c r="A221" s="1">
        <v>253</v>
      </c>
      <c r="B221" t="s">
        <v>39</v>
      </c>
      <c r="C221" s="58">
        <v>17</v>
      </c>
      <c r="D221" s="116">
        <v>48175331</v>
      </c>
      <c r="E221" t="s">
        <v>93</v>
      </c>
      <c r="F221" t="s">
        <v>91</v>
      </c>
      <c r="G221" s="58" t="s">
        <v>301</v>
      </c>
      <c r="H221" s="105" t="s">
        <v>309</v>
      </c>
      <c r="I221" t="s">
        <v>36</v>
      </c>
      <c r="J221" s="141" t="s">
        <v>420</v>
      </c>
      <c r="K221" s="133" t="s">
        <v>338</v>
      </c>
      <c r="L221" s="106" t="s">
        <v>31</v>
      </c>
      <c r="M221" s="106" t="s">
        <v>33</v>
      </c>
      <c r="N221" s="106" t="s">
        <v>31</v>
      </c>
      <c r="O221" s="106" t="s">
        <v>31</v>
      </c>
      <c r="P221" s="79"/>
      <c r="Q221" s="106" t="s">
        <v>15</v>
      </c>
      <c r="R221" s="106" t="s">
        <v>31</v>
      </c>
      <c r="S221" s="64" t="s">
        <v>301</v>
      </c>
    </row>
    <row r="222" spans="1:19" ht="15.75">
      <c r="A222" s="1">
        <v>254</v>
      </c>
      <c r="B222" t="s">
        <v>39</v>
      </c>
      <c r="C222" s="58">
        <v>17</v>
      </c>
      <c r="D222" s="116">
        <v>61238975</v>
      </c>
      <c r="E222" t="s">
        <v>89</v>
      </c>
      <c r="F222" t="s">
        <v>91</v>
      </c>
      <c r="G222" s="58" t="s">
        <v>301</v>
      </c>
      <c r="H222" s="105" t="s">
        <v>309</v>
      </c>
      <c r="I222" t="s">
        <v>36</v>
      </c>
      <c r="J222" s="140" t="s">
        <v>347</v>
      </c>
      <c r="K222" s="133" t="s">
        <v>338</v>
      </c>
      <c r="L222" s="106" t="s">
        <v>42</v>
      </c>
      <c r="M222" s="106" t="s">
        <v>42</v>
      </c>
      <c r="N222" s="106" t="s">
        <v>42</v>
      </c>
      <c r="O222" s="106" t="s">
        <v>42</v>
      </c>
      <c r="P222" s="79"/>
      <c r="Q222" s="106" t="s">
        <v>42</v>
      </c>
      <c r="R222" s="106" t="s">
        <v>42</v>
      </c>
    </row>
    <row r="223" spans="1:19" ht="15.75">
      <c r="A223" s="1">
        <v>255</v>
      </c>
      <c r="B223" t="s">
        <v>39</v>
      </c>
      <c r="C223" s="58">
        <v>17</v>
      </c>
      <c r="D223" s="116">
        <v>62685113</v>
      </c>
      <c r="E223" t="s">
        <v>93</v>
      </c>
      <c r="F223" t="s">
        <v>97</v>
      </c>
      <c r="G223" s="58" t="s">
        <v>301</v>
      </c>
      <c r="H223" s="105" t="s">
        <v>309</v>
      </c>
      <c r="I223" t="s">
        <v>36</v>
      </c>
      <c r="J223" s="140" t="s">
        <v>347</v>
      </c>
      <c r="K223" s="133" t="s">
        <v>338</v>
      </c>
      <c r="L223" s="106" t="s">
        <v>42</v>
      </c>
      <c r="M223" s="106" t="s">
        <v>42</v>
      </c>
      <c r="N223" s="106" t="s">
        <v>42</v>
      </c>
      <c r="O223" s="106" t="s">
        <v>42</v>
      </c>
      <c r="P223" s="79"/>
      <c r="Q223" s="106" t="s">
        <v>42</v>
      </c>
      <c r="R223" s="106" t="s">
        <v>42</v>
      </c>
    </row>
    <row r="224" spans="1:19" ht="15.75">
      <c r="A224" s="1">
        <v>256</v>
      </c>
      <c r="B224" t="s">
        <v>39</v>
      </c>
      <c r="C224" s="58">
        <v>17</v>
      </c>
      <c r="D224" s="116">
        <v>65857789</v>
      </c>
      <c r="E224" t="s">
        <v>89</v>
      </c>
      <c r="F224" t="s">
        <v>91</v>
      </c>
      <c r="G224" s="58" t="s">
        <v>301</v>
      </c>
      <c r="H224" s="105" t="s">
        <v>309</v>
      </c>
      <c r="I224" t="s">
        <v>36</v>
      </c>
      <c r="J224" s="140" t="s">
        <v>347</v>
      </c>
      <c r="K224" s="133" t="s">
        <v>338</v>
      </c>
      <c r="L224" s="106" t="s">
        <v>42</v>
      </c>
      <c r="M224" s="106" t="s">
        <v>42</v>
      </c>
      <c r="N224" s="106" t="s">
        <v>42</v>
      </c>
      <c r="O224" s="106" t="s">
        <v>42</v>
      </c>
      <c r="P224" s="79"/>
      <c r="Q224" s="106" t="s">
        <v>42</v>
      </c>
      <c r="R224" s="106" t="s">
        <v>42</v>
      </c>
    </row>
    <row r="225" spans="1:19" ht="15.75">
      <c r="A225" s="1">
        <v>257</v>
      </c>
      <c r="B225" t="s">
        <v>39</v>
      </c>
      <c r="C225" s="58">
        <v>17</v>
      </c>
      <c r="D225" s="116">
        <v>68043422</v>
      </c>
      <c r="E225" t="s">
        <v>93</v>
      </c>
      <c r="F225" t="s">
        <v>97</v>
      </c>
      <c r="G225" s="58" t="s">
        <v>301</v>
      </c>
      <c r="H225" s="105" t="s">
        <v>309</v>
      </c>
      <c r="I225" t="s">
        <v>36</v>
      </c>
      <c r="J225" s="141" t="s">
        <v>421</v>
      </c>
      <c r="K225" s="133" t="s">
        <v>338</v>
      </c>
      <c r="L225" s="106" t="s">
        <v>31</v>
      </c>
      <c r="M225" s="106" t="s">
        <v>31</v>
      </c>
      <c r="N225" s="106" t="s">
        <v>31</v>
      </c>
      <c r="O225" s="106" t="s">
        <v>31</v>
      </c>
      <c r="P225" s="79"/>
      <c r="Q225" s="106" t="s">
        <v>32</v>
      </c>
      <c r="R225" s="106" t="s">
        <v>32</v>
      </c>
      <c r="S225" s="64" t="s">
        <v>301</v>
      </c>
    </row>
    <row r="226" spans="1:19" ht="15.75">
      <c r="A226" s="1">
        <v>258</v>
      </c>
      <c r="B226" t="s">
        <v>39</v>
      </c>
      <c r="C226" s="58">
        <v>19</v>
      </c>
      <c r="D226" s="116">
        <v>32733002</v>
      </c>
      <c r="E226" t="s">
        <v>93</v>
      </c>
      <c r="F226" t="s">
        <v>97</v>
      </c>
      <c r="G226" s="58" t="s">
        <v>301</v>
      </c>
      <c r="H226" s="105" t="s">
        <v>309</v>
      </c>
      <c r="I226" t="s">
        <v>36</v>
      </c>
      <c r="J226" s="141" t="s">
        <v>422</v>
      </c>
      <c r="K226" s="133" t="s">
        <v>338</v>
      </c>
      <c r="L226" s="106" t="s">
        <v>31</v>
      </c>
      <c r="M226" s="106" t="s">
        <v>31</v>
      </c>
      <c r="N226" s="106" t="s">
        <v>31</v>
      </c>
      <c r="O226" s="106" t="s">
        <v>32</v>
      </c>
      <c r="P226" s="79"/>
      <c r="Q226" s="106" t="s">
        <v>32</v>
      </c>
      <c r="R226" s="106" t="s">
        <v>31</v>
      </c>
      <c r="S226" s="64" t="s">
        <v>301</v>
      </c>
    </row>
    <row r="227" spans="1:19" ht="15.75">
      <c r="A227" s="1">
        <v>259</v>
      </c>
      <c r="B227" t="s">
        <v>39</v>
      </c>
      <c r="C227" s="58">
        <v>19</v>
      </c>
      <c r="D227" s="116">
        <v>57679450</v>
      </c>
      <c r="E227" t="s">
        <v>93</v>
      </c>
      <c r="F227" t="s">
        <v>97</v>
      </c>
      <c r="G227" s="58" t="s">
        <v>301</v>
      </c>
      <c r="H227" s="105" t="s">
        <v>309</v>
      </c>
      <c r="I227" t="s">
        <v>36</v>
      </c>
      <c r="J227" s="141" t="s">
        <v>423</v>
      </c>
      <c r="K227" s="133" t="s">
        <v>338</v>
      </c>
      <c r="L227" s="106" t="s">
        <v>31</v>
      </c>
      <c r="M227" s="106" t="s">
        <v>31</v>
      </c>
      <c r="N227" s="106" t="s">
        <v>31</v>
      </c>
      <c r="O227" s="106" t="s">
        <v>32</v>
      </c>
      <c r="P227" s="79"/>
      <c r="Q227" s="106" t="s">
        <v>15</v>
      </c>
      <c r="R227" s="106" t="s">
        <v>33</v>
      </c>
      <c r="S227" s="64" t="s">
        <v>301</v>
      </c>
    </row>
    <row r="228" spans="1:19" ht="15.75">
      <c r="A228" s="1">
        <v>260</v>
      </c>
      <c r="B228" t="s">
        <v>39</v>
      </c>
      <c r="C228" s="58">
        <v>20</v>
      </c>
      <c r="D228" s="116">
        <v>43781473</v>
      </c>
      <c r="E228" t="s">
        <v>93</v>
      </c>
      <c r="F228" t="s">
        <v>97</v>
      </c>
      <c r="G228" s="58" t="s">
        <v>301</v>
      </c>
      <c r="H228" s="105" t="s">
        <v>309</v>
      </c>
      <c r="I228" t="s">
        <v>36</v>
      </c>
      <c r="J228" s="141" t="s">
        <v>424</v>
      </c>
      <c r="K228" s="133" t="s">
        <v>338</v>
      </c>
      <c r="L228" s="106" t="s">
        <v>31</v>
      </c>
      <c r="M228" s="106" t="s">
        <v>33</v>
      </c>
      <c r="N228" s="106" t="s">
        <v>31</v>
      </c>
      <c r="O228" s="106" t="s">
        <v>31</v>
      </c>
      <c r="P228" s="79"/>
      <c r="Q228" s="106" t="s">
        <v>32</v>
      </c>
      <c r="R228" s="106" t="s">
        <v>32</v>
      </c>
      <c r="S228" s="64" t="s">
        <v>301</v>
      </c>
    </row>
    <row r="229" spans="1:19" ht="15.75">
      <c r="A229" s="1">
        <v>261</v>
      </c>
      <c r="B229" t="s">
        <v>39</v>
      </c>
      <c r="C229" s="58">
        <v>20</v>
      </c>
      <c r="D229" s="116">
        <v>48437556</v>
      </c>
      <c r="E229" t="s">
        <v>93</v>
      </c>
      <c r="F229" t="s">
        <v>91</v>
      </c>
      <c r="G229" s="58" t="s">
        <v>301</v>
      </c>
      <c r="H229" s="105" t="s">
        <v>309</v>
      </c>
      <c r="I229" t="s">
        <v>36</v>
      </c>
      <c r="J229" s="141" t="s">
        <v>425</v>
      </c>
      <c r="K229" s="133" t="s">
        <v>338</v>
      </c>
      <c r="L229" s="106" t="s">
        <v>31</v>
      </c>
      <c r="M229" s="106" t="s">
        <v>33</v>
      </c>
      <c r="N229" s="106" t="s">
        <v>31</v>
      </c>
      <c r="O229" s="106" t="s">
        <v>31</v>
      </c>
      <c r="P229" s="79"/>
      <c r="Q229" s="106" t="s">
        <v>32</v>
      </c>
      <c r="R229" s="106" t="s">
        <v>32</v>
      </c>
      <c r="S229" s="64" t="s">
        <v>301</v>
      </c>
    </row>
    <row r="230" spans="1:19" ht="15.75">
      <c r="A230" s="1">
        <v>262</v>
      </c>
      <c r="B230" t="s">
        <v>39</v>
      </c>
      <c r="C230" s="58">
        <v>20</v>
      </c>
      <c r="D230" s="116">
        <v>52835539</v>
      </c>
      <c r="E230" t="s">
        <v>89</v>
      </c>
      <c r="F230" t="s">
        <v>91</v>
      </c>
      <c r="G230" s="58" t="s">
        <v>301</v>
      </c>
      <c r="H230" s="105" t="s">
        <v>309</v>
      </c>
      <c r="I230" t="s">
        <v>36</v>
      </c>
      <c r="J230" s="141" t="s">
        <v>426</v>
      </c>
      <c r="K230" s="133" t="s">
        <v>338</v>
      </c>
      <c r="L230" s="106" t="s">
        <v>31</v>
      </c>
      <c r="M230" s="106" t="s">
        <v>31</v>
      </c>
      <c r="N230" s="106" t="s">
        <v>31</v>
      </c>
      <c r="O230" s="106" t="s">
        <v>31</v>
      </c>
      <c r="P230" s="79"/>
      <c r="Q230" s="106" t="s">
        <v>33</v>
      </c>
      <c r="R230" s="106" t="s">
        <v>33</v>
      </c>
      <c r="S230" s="64" t="s">
        <v>301</v>
      </c>
    </row>
    <row r="231" spans="1:19" ht="15.75">
      <c r="A231" s="1">
        <v>263</v>
      </c>
      <c r="B231" t="s">
        <v>39</v>
      </c>
      <c r="C231" s="58">
        <v>20</v>
      </c>
      <c r="D231" s="116">
        <v>59087654</v>
      </c>
      <c r="E231" t="s">
        <v>89</v>
      </c>
      <c r="F231" t="s">
        <v>91</v>
      </c>
      <c r="G231" s="58" t="s">
        <v>301</v>
      </c>
      <c r="H231" s="105" t="s">
        <v>309</v>
      </c>
      <c r="I231" t="s">
        <v>36</v>
      </c>
      <c r="J231" s="141" t="s">
        <v>427</v>
      </c>
      <c r="K231" s="133" t="s">
        <v>338</v>
      </c>
      <c r="L231" s="106" t="s">
        <v>31</v>
      </c>
      <c r="M231" s="106" t="s">
        <v>31</v>
      </c>
      <c r="N231" s="106" t="s">
        <v>31</v>
      </c>
      <c r="O231" s="106" t="s">
        <v>33</v>
      </c>
      <c r="P231" s="79"/>
      <c r="Q231" s="106" t="s">
        <v>32</v>
      </c>
      <c r="R231" s="106" t="s">
        <v>32</v>
      </c>
      <c r="S231" s="64" t="s">
        <v>301</v>
      </c>
    </row>
    <row r="232" spans="1:19" ht="15.75">
      <c r="A232" s="1">
        <v>264</v>
      </c>
      <c r="B232" t="s">
        <v>39</v>
      </c>
      <c r="C232" s="58">
        <v>21</v>
      </c>
      <c r="D232" s="116">
        <v>46280278</v>
      </c>
      <c r="E232" t="s">
        <v>93</v>
      </c>
      <c r="F232" t="s">
        <v>91</v>
      </c>
      <c r="G232" s="58" t="s">
        <v>301</v>
      </c>
      <c r="H232" s="105" t="s">
        <v>309</v>
      </c>
      <c r="I232" t="s">
        <v>36</v>
      </c>
      <c r="J232" s="141" t="s">
        <v>428</v>
      </c>
      <c r="K232" s="133" t="s">
        <v>338</v>
      </c>
      <c r="L232" s="106" t="s">
        <v>31</v>
      </c>
      <c r="M232" s="106" t="s">
        <v>31</v>
      </c>
      <c r="N232" s="106" t="s">
        <v>31</v>
      </c>
      <c r="O232" s="106" t="s">
        <v>31</v>
      </c>
      <c r="P232" s="79"/>
      <c r="Q232" s="106" t="s">
        <v>15</v>
      </c>
      <c r="R232" s="106" t="s">
        <v>32</v>
      </c>
      <c r="S232" s="64" t="s">
        <v>301</v>
      </c>
    </row>
    <row r="233" spans="1:19" ht="15.75">
      <c r="A233" s="1">
        <v>265</v>
      </c>
      <c r="B233" t="s">
        <v>39</v>
      </c>
      <c r="C233" s="58">
        <v>22</v>
      </c>
      <c r="D233" s="116">
        <v>20311747</v>
      </c>
      <c r="E233" t="s">
        <v>93</v>
      </c>
      <c r="F233" t="s">
        <v>97</v>
      </c>
      <c r="G233" s="58" t="s">
        <v>301</v>
      </c>
      <c r="H233" s="105" t="s">
        <v>309</v>
      </c>
      <c r="I233" t="s">
        <v>36</v>
      </c>
      <c r="J233" s="141" t="s">
        <v>429</v>
      </c>
      <c r="K233" s="133" t="s">
        <v>338</v>
      </c>
      <c r="L233" s="106" t="s">
        <v>31</v>
      </c>
      <c r="M233" s="106" t="s">
        <v>31</v>
      </c>
      <c r="N233" s="106" t="s">
        <v>31</v>
      </c>
      <c r="O233" s="106" t="s">
        <v>31</v>
      </c>
      <c r="P233" s="79"/>
      <c r="Q233" s="106" t="s">
        <v>32</v>
      </c>
      <c r="R233" s="106" t="s">
        <v>33</v>
      </c>
      <c r="S233" s="64" t="s">
        <v>301</v>
      </c>
    </row>
    <row r="234" spans="1:19" ht="15.75">
      <c r="A234" s="1">
        <v>266</v>
      </c>
      <c r="B234" t="s">
        <v>39</v>
      </c>
      <c r="C234" s="58">
        <v>22</v>
      </c>
      <c r="D234" s="116">
        <v>38002187</v>
      </c>
      <c r="E234" t="s">
        <v>93</v>
      </c>
      <c r="F234" t="s">
        <v>97</v>
      </c>
      <c r="G234" s="58" t="s">
        <v>301</v>
      </c>
      <c r="H234" s="105" t="s">
        <v>309</v>
      </c>
      <c r="I234" t="s">
        <v>36</v>
      </c>
      <c r="J234" s="141" t="s">
        <v>430</v>
      </c>
      <c r="K234" s="133" t="s">
        <v>338</v>
      </c>
      <c r="L234" s="106" t="s">
        <v>31</v>
      </c>
      <c r="M234" s="106" t="s">
        <v>31</v>
      </c>
      <c r="N234" s="106" t="s">
        <v>31</v>
      </c>
      <c r="O234" s="106" t="s">
        <v>31</v>
      </c>
      <c r="P234" s="79"/>
      <c r="Q234" s="106" t="s">
        <v>32</v>
      </c>
      <c r="R234" s="106" t="s">
        <v>32</v>
      </c>
      <c r="S234" s="64" t="s">
        <v>301</v>
      </c>
    </row>
    <row r="235" spans="1:19" ht="15.75">
      <c r="A235" s="1">
        <v>267</v>
      </c>
      <c r="B235" t="s">
        <v>39</v>
      </c>
      <c r="C235" s="58" t="s">
        <v>184</v>
      </c>
      <c r="D235" s="116">
        <v>118503604</v>
      </c>
      <c r="E235" t="s">
        <v>89</v>
      </c>
      <c r="F235" t="s">
        <v>97</v>
      </c>
      <c r="G235" s="58" t="s">
        <v>301</v>
      </c>
      <c r="H235" s="105" t="s">
        <v>309</v>
      </c>
      <c r="I235" t="s">
        <v>36</v>
      </c>
      <c r="J235" s="140" t="s">
        <v>347</v>
      </c>
      <c r="K235" s="133" t="s">
        <v>338</v>
      </c>
      <c r="L235" s="106" t="s">
        <v>42</v>
      </c>
      <c r="M235" s="106" t="s">
        <v>42</v>
      </c>
      <c r="N235" s="106" t="s">
        <v>42</v>
      </c>
      <c r="O235" s="106" t="s">
        <v>42</v>
      </c>
      <c r="P235" s="79"/>
      <c r="Q235" s="106" t="s">
        <v>42</v>
      </c>
      <c r="R235" s="106" t="s">
        <v>42</v>
      </c>
    </row>
    <row r="236" spans="1:19" ht="15.75">
      <c r="A236" s="1">
        <v>268</v>
      </c>
      <c r="B236" t="s">
        <v>39</v>
      </c>
      <c r="C236" s="58" t="s">
        <v>184</v>
      </c>
      <c r="D236" s="116">
        <v>134042388</v>
      </c>
      <c r="E236" t="s">
        <v>89</v>
      </c>
      <c r="F236" t="s">
        <v>91</v>
      </c>
      <c r="G236" s="58" t="s">
        <v>325</v>
      </c>
      <c r="H236" s="105" t="s">
        <v>309</v>
      </c>
      <c r="I236" t="s">
        <v>36</v>
      </c>
      <c r="J236" s="141" t="s">
        <v>431</v>
      </c>
      <c r="K236" s="133" t="s">
        <v>338</v>
      </c>
      <c r="L236" s="106" t="s">
        <v>31</v>
      </c>
      <c r="M236" s="106" t="s">
        <v>33</v>
      </c>
      <c r="N236" s="106" t="s">
        <v>31</v>
      </c>
      <c r="O236" s="106" t="s">
        <v>31</v>
      </c>
      <c r="P236" s="79"/>
      <c r="Q236" s="106" t="s">
        <v>32</v>
      </c>
      <c r="R236" s="106" t="s">
        <v>32</v>
      </c>
      <c r="S236" s="64" t="s">
        <v>301</v>
      </c>
    </row>
    <row r="237" spans="1:19">
      <c r="L237" s="59"/>
      <c r="M237" s="59"/>
      <c r="N237" s="59"/>
      <c r="O237" s="59"/>
      <c r="P237" s="59"/>
      <c r="Q237" s="59"/>
      <c r="R237" s="59"/>
    </row>
  </sheetData>
  <mergeCells count="4">
    <mergeCell ref="L5:R5"/>
    <mergeCell ref="G4:G5"/>
    <mergeCell ref="G116:G117"/>
    <mergeCell ref="L117:R117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07"/>
  <sheetViews>
    <sheetView workbookViewId="0">
      <selection activeCell="V23" sqref="V23"/>
    </sheetView>
  </sheetViews>
  <sheetFormatPr defaultRowHeight="15"/>
  <cols>
    <col min="1" max="1" width="11.140625" customWidth="1"/>
    <col min="5" max="5" width="11.42578125" customWidth="1"/>
    <col min="7" max="7" width="5.28515625" customWidth="1"/>
    <col min="8" max="8" width="12.42578125" customWidth="1"/>
    <col min="12" max="12" width="9.5703125" bestFit="1" customWidth="1"/>
  </cols>
  <sheetData>
    <row r="1" spans="1:21" ht="18.75">
      <c r="A1" s="2" t="s">
        <v>4</v>
      </c>
    </row>
    <row r="2" spans="1:21">
      <c r="B2" t="s">
        <v>336</v>
      </c>
      <c r="H2" s="63" t="s">
        <v>314</v>
      </c>
    </row>
    <row r="3" spans="1:21" ht="15.75" thickBot="1">
      <c r="A3" s="1" t="s">
        <v>308</v>
      </c>
      <c r="H3" s="59"/>
      <c r="I3" t="s">
        <v>80</v>
      </c>
      <c r="Q3" s="1" t="s">
        <v>23</v>
      </c>
    </row>
    <row r="4" spans="1:21" ht="15.75" thickBot="1">
      <c r="B4" t="s">
        <v>80</v>
      </c>
      <c r="G4" s="51"/>
      <c r="H4" s="59" t="s">
        <v>18</v>
      </c>
      <c r="I4" s="47" t="s">
        <v>12</v>
      </c>
      <c r="J4" s="39" t="s">
        <v>13</v>
      </c>
      <c r="K4" s="48" t="s">
        <v>14</v>
      </c>
      <c r="L4" s="40" t="s">
        <v>15</v>
      </c>
      <c r="M4" s="48" t="s">
        <v>12</v>
      </c>
      <c r="N4" s="41" t="s">
        <v>16</v>
      </c>
      <c r="O4" s="49" t="s">
        <v>14</v>
      </c>
      <c r="Q4" s="47" t="s">
        <v>12</v>
      </c>
      <c r="R4" s="48" t="s">
        <v>14</v>
      </c>
      <c r="S4" s="48" t="s">
        <v>12</v>
      </c>
      <c r="T4" s="49" t="s">
        <v>14</v>
      </c>
    </row>
    <row r="5" spans="1:21" ht="15.75" thickBot="1">
      <c r="A5" t="s">
        <v>18</v>
      </c>
      <c r="B5" s="3" t="s">
        <v>7</v>
      </c>
      <c r="C5" s="4" t="s">
        <v>8</v>
      </c>
      <c r="D5" s="5" t="s">
        <v>7</v>
      </c>
      <c r="E5" s="6" t="s">
        <v>9</v>
      </c>
      <c r="F5" s="7" t="s">
        <v>7</v>
      </c>
      <c r="G5" s="52"/>
      <c r="H5" s="59">
        <v>1</v>
      </c>
      <c r="I5" s="35">
        <v>25</v>
      </c>
      <c r="J5" s="36" t="s">
        <v>13</v>
      </c>
      <c r="K5" s="35">
        <v>29</v>
      </c>
      <c r="L5" s="37" t="s">
        <v>15</v>
      </c>
      <c r="M5" s="35">
        <v>22</v>
      </c>
      <c r="N5" s="38" t="s">
        <v>16</v>
      </c>
      <c r="O5" s="80">
        <v>67</v>
      </c>
      <c r="Q5" s="24">
        <v>1.4705882352941178</v>
      </c>
      <c r="R5" s="24">
        <v>1.6111111111111112</v>
      </c>
      <c r="S5" s="24">
        <v>1.2941176470588236</v>
      </c>
      <c r="T5" s="43">
        <v>3.7222222222222223</v>
      </c>
    </row>
    <row r="6" spans="1:21">
      <c r="A6">
        <v>1</v>
      </c>
      <c r="B6" s="8">
        <v>11</v>
      </c>
      <c r="C6" s="9" t="s">
        <v>8</v>
      </c>
      <c r="D6" s="10">
        <v>23</v>
      </c>
      <c r="E6" s="11" t="s">
        <v>9</v>
      </c>
      <c r="F6" s="83">
        <v>11</v>
      </c>
      <c r="G6" s="52"/>
      <c r="H6" s="59">
        <v>2</v>
      </c>
      <c r="I6" s="25">
        <v>30</v>
      </c>
      <c r="J6" s="20" t="s">
        <v>13</v>
      </c>
      <c r="K6" s="25">
        <v>28</v>
      </c>
      <c r="L6" s="21" t="s">
        <v>15</v>
      </c>
      <c r="M6" s="25">
        <v>23</v>
      </c>
      <c r="N6" s="22" t="s">
        <v>16</v>
      </c>
      <c r="O6" s="81">
        <v>63</v>
      </c>
      <c r="Q6" s="24">
        <v>1.7647058823529411</v>
      </c>
      <c r="R6" s="24">
        <v>1.5555555555555556</v>
      </c>
      <c r="S6" s="26">
        <v>1.3529411764705883</v>
      </c>
      <c r="T6" s="43">
        <v>3.5</v>
      </c>
      <c r="U6" t="s">
        <v>305</v>
      </c>
    </row>
    <row r="7" spans="1:21">
      <c r="A7">
        <v>2</v>
      </c>
      <c r="B7" s="12">
        <v>11</v>
      </c>
      <c r="C7" s="9" t="s">
        <v>8</v>
      </c>
      <c r="D7" s="13">
        <v>10</v>
      </c>
      <c r="E7" s="11" t="s">
        <v>9</v>
      </c>
      <c r="F7" s="84">
        <v>12</v>
      </c>
      <c r="G7" s="52"/>
      <c r="H7" s="59">
        <v>3</v>
      </c>
      <c r="I7" s="23">
        <v>17</v>
      </c>
      <c r="J7" s="20" t="s">
        <v>13</v>
      </c>
      <c r="K7" s="23">
        <v>21</v>
      </c>
      <c r="L7" s="21" t="s">
        <v>15</v>
      </c>
      <c r="M7" s="23">
        <v>44</v>
      </c>
      <c r="N7" s="22" t="s">
        <v>16</v>
      </c>
      <c r="O7" s="82">
        <v>58</v>
      </c>
      <c r="Q7" s="50">
        <v>1</v>
      </c>
      <c r="R7" s="24">
        <v>1.1666666666666667</v>
      </c>
      <c r="S7" s="45">
        <v>2.5882352941176472</v>
      </c>
      <c r="T7" s="43">
        <v>3.2222222222222223</v>
      </c>
      <c r="U7" t="s">
        <v>306</v>
      </c>
    </row>
    <row r="8" spans="1:21">
      <c r="A8">
        <v>3</v>
      </c>
      <c r="B8" s="12">
        <v>16</v>
      </c>
      <c r="C8" s="9" t="s">
        <v>8</v>
      </c>
      <c r="D8" s="13">
        <v>11</v>
      </c>
      <c r="E8" s="11" t="s">
        <v>9</v>
      </c>
      <c r="F8" s="84">
        <v>15</v>
      </c>
      <c r="G8" s="53"/>
      <c r="H8" s="59">
        <v>4</v>
      </c>
      <c r="I8" s="23">
        <v>24</v>
      </c>
      <c r="J8" s="20" t="s">
        <v>13</v>
      </c>
      <c r="K8" s="23">
        <v>22</v>
      </c>
      <c r="L8" s="21" t="s">
        <v>15</v>
      </c>
      <c r="M8" s="23">
        <v>39</v>
      </c>
      <c r="N8" s="22" t="s">
        <v>16</v>
      </c>
      <c r="O8" s="82">
        <v>58</v>
      </c>
      <c r="Q8" s="24">
        <v>1.411764705882353</v>
      </c>
      <c r="R8" s="24">
        <v>1.2222222222222223</v>
      </c>
      <c r="S8" s="43">
        <v>2.2941176470588234</v>
      </c>
      <c r="T8" s="43">
        <v>3.2222222222222223</v>
      </c>
    </row>
    <row r="9" spans="1:21">
      <c r="A9">
        <v>4</v>
      </c>
      <c r="B9" s="12">
        <v>12</v>
      </c>
      <c r="C9" s="9" t="s">
        <v>8</v>
      </c>
      <c r="D9" s="13">
        <v>10</v>
      </c>
      <c r="E9" s="11" t="s">
        <v>9</v>
      </c>
      <c r="F9" s="85">
        <v>38</v>
      </c>
      <c r="G9" s="53"/>
      <c r="H9" s="59">
        <v>5</v>
      </c>
      <c r="I9" s="23">
        <v>29</v>
      </c>
      <c r="J9" s="20" t="s">
        <v>13</v>
      </c>
      <c r="K9" s="23">
        <v>55</v>
      </c>
      <c r="L9" s="21" t="s">
        <v>15</v>
      </c>
      <c r="M9" s="23">
        <v>28</v>
      </c>
      <c r="N9" s="22" t="s">
        <v>16</v>
      </c>
      <c r="O9" s="82">
        <v>53</v>
      </c>
      <c r="Q9" s="24">
        <v>1.7058823529411764</v>
      </c>
      <c r="R9" s="43">
        <v>3.0555555555555554</v>
      </c>
      <c r="S9" s="27">
        <v>1.6470588235294117</v>
      </c>
      <c r="T9" s="44">
        <v>2.9444444444444446</v>
      </c>
    </row>
    <row r="10" spans="1:21">
      <c r="A10">
        <v>5</v>
      </c>
      <c r="B10" s="12">
        <v>14</v>
      </c>
      <c r="C10" s="9" t="s">
        <v>8</v>
      </c>
      <c r="D10" s="13">
        <v>11</v>
      </c>
      <c r="E10" s="11" t="s">
        <v>9</v>
      </c>
      <c r="F10" s="85">
        <v>39</v>
      </c>
      <c r="G10" s="53"/>
      <c r="H10" s="59">
        <v>6</v>
      </c>
      <c r="I10" s="23">
        <v>19</v>
      </c>
      <c r="J10" s="20" t="s">
        <v>13</v>
      </c>
      <c r="K10" s="23">
        <v>27</v>
      </c>
      <c r="L10" s="21" t="s">
        <v>15</v>
      </c>
      <c r="M10" s="23">
        <v>35</v>
      </c>
      <c r="N10" s="22" t="s">
        <v>16</v>
      </c>
      <c r="O10" s="82">
        <v>42</v>
      </c>
      <c r="Q10" s="24">
        <v>1.1176470588235294</v>
      </c>
      <c r="R10" s="24">
        <v>1.5</v>
      </c>
      <c r="S10" s="43">
        <v>2.0588235294117645</v>
      </c>
      <c r="T10" s="43">
        <v>2.3333333333333335</v>
      </c>
    </row>
    <row r="11" spans="1:21">
      <c r="A11">
        <v>6</v>
      </c>
      <c r="B11" s="12">
        <v>10</v>
      </c>
      <c r="C11" s="9" t="s">
        <v>8</v>
      </c>
      <c r="D11" s="13">
        <v>12</v>
      </c>
      <c r="E11" s="11" t="s">
        <v>9</v>
      </c>
      <c r="F11" s="85">
        <v>40</v>
      </c>
      <c r="G11" s="53"/>
      <c r="H11" s="59">
        <v>7</v>
      </c>
      <c r="I11" s="23">
        <v>20</v>
      </c>
      <c r="J11" s="20" t="s">
        <v>13</v>
      </c>
      <c r="K11" s="23">
        <v>20</v>
      </c>
      <c r="L11" s="21" t="s">
        <v>15</v>
      </c>
      <c r="M11" s="23">
        <v>19</v>
      </c>
      <c r="N11" s="22" t="s">
        <v>16</v>
      </c>
      <c r="O11" s="82">
        <v>34</v>
      </c>
      <c r="Q11" s="24">
        <v>1.1764705882352942</v>
      </c>
      <c r="R11" s="24">
        <v>1.1111111111111112</v>
      </c>
      <c r="S11" s="26">
        <v>1.1176470588235294</v>
      </c>
      <c r="T11" s="24">
        <v>1.8888888888888888</v>
      </c>
    </row>
    <row r="12" spans="1:21">
      <c r="A12">
        <v>7</v>
      </c>
      <c r="B12" s="12">
        <v>15</v>
      </c>
      <c r="C12" s="9" t="s">
        <v>8</v>
      </c>
      <c r="D12" s="13">
        <v>10</v>
      </c>
      <c r="E12" s="11" t="s">
        <v>9</v>
      </c>
      <c r="F12" s="85">
        <v>43</v>
      </c>
      <c r="G12" s="53"/>
      <c r="H12" s="59">
        <v>8</v>
      </c>
      <c r="I12" s="23">
        <v>30</v>
      </c>
      <c r="J12" s="20" t="s">
        <v>13</v>
      </c>
      <c r="K12" s="23">
        <v>31</v>
      </c>
      <c r="L12" s="21" t="s">
        <v>15</v>
      </c>
      <c r="M12" s="23">
        <v>18</v>
      </c>
      <c r="N12" s="22" t="s">
        <v>16</v>
      </c>
      <c r="O12" s="82">
        <v>34</v>
      </c>
      <c r="Q12" s="24">
        <v>1.7647058823529411</v>
      </c>
      <c r="R12" s="24">
        <v>1.7222222222222223</v>
      </c>
      <c r="S12" s="24">
        <v>1.0588235294117647</v>
      </c>
      <c r="T12" s="24">
        <v>1.8888888888888888</v>
      </c>
    </row>
    <row r="13" spans="1:21">
      <c r="A13">
        <v>8</v>
      </c>
      <c r="B13" s="12">
        <v>10</v>
      </c>
      <c r="C13" s="9" t="s">
        <v>8</v>
      </c>
      <c r="D13" s="13">
        <v>12</v>
      </c>
      <c r="E13" s="11" t="s">
        <v>9</v>
      </c>
      <c r="F13" s="85">
        <v>49</v>
      </c>
      <c r="G13" s="53"/>
      <c r="H13" s="59">
        <v>9</v>
      </c>
      <c r="I13" s="23">
        <v>26</v>
      </c>
      <c r="J13" s="20" t="s">
        <v>13</v>
      </c>
      <c r="K13" s="23">
        <v>29</v>
      </c>
      <c r="L13" s="21" t="s">
        <v>15</v>
      </c>
      <c r="M13" s="23">
        <v>29</v>
      </c>
      <c r="N13" s="22" t="s">
        <v>16</v>
      </c>
      <c r="O13" s="82">
        <v>32</v>
      </c>
      <c r="Q13" s="24">
        <v>1.5294117647058822</v>
      </c>
      <c r="R13" s="24">
        <v>1.6111111111111112</v>
      </c>
      <c r="S13" s="26">
        <v>1.7058823529411764</v>
      </c>
      <c r="T13" s="24">
        <v>1.7777777777777777</v>
      </c>
    </row>
    <row r="14" spans="1:21">
      <c r="A14">
        <v>9</v>
      </c>
      <c r="B14" s="12">
        <v>10</v>
      </c>
      <c r="C14" s="9" t="s">
        <v>8</v>
      </c>
      <c r="D14" s="13">
        <v>11</v>
      </c>
      <c r="E14" s="11" t="s">
        <v>9</v>
      </c>
      <c r="F14" s="85">
        <v>55</v>
      </c>
      <c r="G14" s="53"/>
      <c r="H14" s="59">
        <v>10</v>
      </c>
      <c r="I14" s="25">
        <v>20</v>
      </c>
      <c r="J14" s="20" t="s">
        <v>13</v>
      </c>
      <c r="K14" s="25">
        <v>20</v>
      </c>
      <c r="L14" s="21" t="s">
        <v>15</v>
      </c>
      <c r="M14" s="25">
        <v>26</v>
      </c>
      <c r="N14" s="22" t="s">
        <v>16</v>
      </c>
      <c r="O14" s="81">
        <v>23</v>
      </c>
      <c r="Q14" s="24">
        <v>1.1764705882352942</v>
      </c>
      <c r="R14" s="24">
        <v>1.1111111111111112</v>
      </c>
      <c r="S14" s="24">
        <v>1.5294117647058822</v>
      </c>
      <c r="T14" s="24">
        <v>1.2777777777777777</v>
      </c>
    </row>
    <row r="15" spans="1:21">
      <c r="A15">
        <v>10</v>
      </c>
      <c r="B15" s="12">
        <v>12</v>
      </c>
      <c r="C15" s="9" t="s">
        <v>8</v>
      </c>
      <c r="D15" s="13">
        <v>10</v>
      </c>
      <c r="E15" s="11" t="s">
        <v>9</v>
      </c>
      <c r="F15" s="85">
        <v>67</v>
      </c>
      <c r="G15" s="53"/>
      <c r="H15" s="59">
        <v>11</v>
      </c>
      <c r="I15" s="23">
        <v>18</v>
      </c>
      <c r="J15" s="20" t="s">
        <v>13</v>
      </c>
      <c r="K15" s="23">
        <v>18</v>
      </c>
      <c r="L15" s="21" t="s">
        <v>15</v>
      </c>
      <c r="M15" s="23">
        <v>45</v>
      </c>
      <c r="N15" s="22" t="s">
        <v>16</v>
      </c>
      <c r="O15" s="81">
        <v>5</v>
      </c>
      <c r="Q15" s="24">
        <v>1.0588235294117647</v>
      </c>
      <c r="R15" s="50">
        <v>1</v>
      </c>
      <c r="S15" s="43">
        <v>2.6470588235294117</v>
      </c>
      <c r="T15" s="42">
        <v>0.27777777777777779</v>
      </c>
    </row>
    <row r="16" spans="1:21">
      <c r="A16">
        <v>11</v>
      </c>
      <c r="B16" s="12">
        <v>11</v>
      </c>
      <c r="C16" s="9" t="s">
        <v>8</v>
      </c>
      <c r="D16" s="13">
        <v>12</v>
      </c>
      <c r="E16" s="11" t="s">
        <v>9</v>
      </c>
      <c r="F16" s="85">
        <v>79</v>
      </c>
      <c r="H16" s="59">
        <v>12</v>
      </c>
      <c r="I16" s="23">
        <v>22</v>
      </c>
      <c r="J16" s="20" t="s">
        <v>13</v>
      </c>
      <c r="K16" s="23">
        <v>24</v>
      </c>
      <c r="L16" s="21" t="s">
        <v>15</v>
      </c>
      <c r="M16" s="23">
        <v>74</v>
      </c>
      <c r="N16" s="22" t="s">
        <v>16</v>
      </c>
      <c r="O16" s="82">
        <v>4</v>
      </c>
      <c r="Q16" s="24">
        <v>1.2941176470588236</v>
      </c>
      <c r="R16" s="24">
        <v>1.3333333333333333</v>
      </c>
      <c r="S16" s="43">
        <v>4.3529411764705879</v>
      </c>
      <c r="T16" s="42">
        <v>0.22222222222222221</v>
      </c>
    </row>
    <row r="17" spans="1:20">
      <c r="A17">
        <v>12</v>
      </c>
      <c r="B17" s="12">
        <v>10</v>
      </c>
      <c r="C17" s="9" t="s">
        <v>8</v>
      </c>
      <c r="D17" s="14">
        <v>28</v>
      </c>
      <c r="E17" s="11" t="s">
        <v>9</v>
      </c>
      <c r="F17" s="85">
        <v>100</v>
      </c>
      <c r="H17" s="59">
        <v>13</v>
      </c>
      <c r="I17" s="23">
        <v>71</v>
      </c>
      <c r="J17" s="20" t="s">
        <v>13</v>
      </c>
      <c r="K17" s="23">
        <v>28</v>
      </c>
      <c r="L17" s="21" t="s">
        <v>15</v>
      </c>
      <c r="M17" s="82">
        <v>124</v>
      </c>
      <c r="N17" s="15"/>
      <c r="O17" s="28"/>
      <c r="Q17" s="43">
        <v>4.1764705882352944</v>
      </c>
      <c r="R17" s="24">
        <v>1.5555555555555556</v>
      </c>
      <c r="S17" s="43">
        <v>7.2941176470588234</v>
      </c>
      <c r="T17" s="15"/>
    </row>
    <row r="18" spans="1:20">
      <c r="A18">
        <v>13</v>
      </c>
      <c r="B18" s="12">
        <v>11</v>
      </c>
      <c r="C18" s="9" t="s">
        <v>8</v>
      </c>
      <c r="D18" s="86">
        <v>99</v>
      </c>
      <c r="E18" s="15"/>
      <c r="F18" s="16"/>
      <c r="H18" s="59">
        <v>14</v>
      </c>
      <c r="I18" s="25">
        <v>17</v>
      </c>
      <c r="J18" s="20" t="s">
        <v>13</v>
      </c>
      <c r="K18" s="25">
        <v>22</v>
      </c>
      <c r="L18" s="21" t="s">
        <v>15</v>
      </c>
      <c r="M18" s="81">
        <v>90</v>
      </c>
      <c r="N18" s="15"/>
      <c r="O18" s="15"/>
      <c r="Q18" s="50">
        <v>1</v>
      </c>
      <c r="R18" s="24">
        <v>1.2222222222222223</v>
      </c>
      <c r="S18" s="43">
        <v>5.2941176470588234</v>
      </c>
      <c r="T18" s="15"/>
    </row>
    <row r="19" spans="1:20" ht="15.75" thickBot="1">
      <c r="A19">
        <v>14</v>
      </c>
      <c r="B19" s="87">
        <v>105</v>
      </c>
      <c r="C19" s="17"/>
      <c r="D19" s="17"/>
      <c r="E19" s="17"/>
      <c r="F19" s="18"/>
      <c r="H19" s="59">
        <v>15</v>
      </c>
      <c r="I19" s="23">
        <v>17</v>
      </c>
      <c r="J19" s="20" t="s">
        <v>13</v>
      </c>
      <c r="K19" s="23">
        <v>31</v>
      </c>
      <c r="L19" s="21" t="s">
        <v>15</v>
      </c>
      <c r="M19" s="82">
        <v>83</v>
      </c>
      <c r="N19" s="29"/>
      <c r="O19" s="29"/>
      <c r="Q19" s="50">
        <v>1</v>
      </c>
      <c r="R19" s="24">
        <v>1.7222222222222223</v>
      </c>
      <c r="S19" s="43">
        <v>4.882352941176471</v>
      </c>
      <c r="T19" s="15"/>
    </row>
    <row r="20" spans="1:20">
      <c r="A20" t="s">
        <v>315</v>
      </c>
      <c r="B20" s="107">
        <f>AVERAGE(B6:B19)</f>
        <v>18.428571428571427</v>
      </c>
      <c r="C20" s="107"/>
      <c r="D20" s="107">
        <f>AVERAGE(D6:D18)</f>
        <v>19.923076923076923</v>
      </c>
      <c r="E20" s="107"/>
      <c r="F20" s="107">
        <f>AVERAGE(F6:F17)</f>
        <v>45.666666666666664</v>
      </c>
      <c r="H20" s="59">
        <v>16</v>
      </c>
      <c r="I20" s="23">
        <v>17</v>
      </c>
      <c r="J20" s="20" t="s">
        <v>13</v>
      </c>
      <c r="K20" s="23">
        <v>25</v>
      </c>
      <c r="L20" s="21" t="s">
        <v>15</v>
      </c>
      <c r="M20" s="82">
        <v>77</v>
      </c>
      <c r="N20" s="15"/>
      <c r="O20" s="15"/>
      <c r="Q20" s="50">
        <v>1</v>
      </c>
      <c r="R20" s="24">
        <v>1.3888888888888888</v>
      </c>
      <c r="S20" s="45">
        <v>4.5294117647058822</v>
      </c>
      <c r="T20" s="15"/>
    </row>
    <row r="21" spans="1:20">
      <c r="A21" t="s">
        <v>316</v>
      </c>
      <c r="B21" s="107">
        <f>STDEV(B6:B19)</f>
        <v>24.991427101536811</v>
      </c>
      <c r="C21" s="107"/>
      <c r="D21" s="107">
        <f>STDEV(D6:D18)</f>
        <v>24.407859179854135</v>
      </c>
      <c r="E21" s="107"/>
      <c r="F21" s="107">
        <f>STDEV(F6:F17)</f>
        <v>27.026361990179929</v>
      </c>
      <c r="H21" s="59">
        <v>17</v>
      </c>
      <c r="I21" s="23">
        <v>17</v>
      </c>
      <c r="J21" s="20" t="s">
        <v>13</v>
      </c>
      <c r="K21" s="23">
        <v>31</v>
      </c>
      <c r="L21" s="21" t="s">
        <v>15</v>
      </c>
      <c r="M21" s="82">
        <v>72</v>
      </c>
      <c r="N21" s="15"/>
      <c r="O21" s="15"/>
      <c r="Q21" s="50">
        <v>1</v>
      </c>
      <c r="R21" s="26">
        <v>1.7222222222222223</v>
      </c>
      <c r="S21" s="45">
        <v>4.2352941176470589</v>
      </c>
      <c r="T21" s="15"/>
    </row>
    <row r="22" spans="1:20">
      <c r="A22" t="s">
        <v>317</v>
      </c>
      <c r="B22">
        <f>MEDIAN(B6:B19)</f>
        <v>11</v>
      </c>
      <c r="D22">
        <f>MEDIAN(D6:D18)</f>
        <v>11</v>
      </c>
      <c r="F22">
        <f>MEDIAN(F6:F17)</f>
        <v>41.5</v>
      </c>
      <c r="H22" s="59">
        <v>18</v>
      </c>
      <c r="I22" s="23">
        <v>19</v>
      </c>
      <c r="J22" s="20" t="s">
        <v>13</v>
      </c>
      <c r="K22" s="23">
        <v>25</v>
      </c>
      <c r="L22" s="21" t="s">
        <v>15</v>
      </c>
      <c r="M22" s="82">
        <v>72</v>
      </c>
      <c r="N22" s="15"/>
      <c r="O22" s="15"/>
      <c r="Q22" s="24">
        <v>1.1176470588235294</v>
      </c>
      <c r="R22" s="24">
        <v>1.3888888888888888</v>
      </c>
      <c r="S22" s="43">
        <v>4.2352941176470589</v>
      </c>
      <c r="T22" s="15"/>
    </row>
    <row r="23" spans="1:20">
      <c r="B23" t="s">
        <v>335</v>
      </c>
      <c r="H23" s="59">
        <v>19</v>
      </c>
      <c r="I23" s="23">
        <v>29</v>
      </c>
      <c r="J23" s="20" t="s">
        <v>13</v>
      </c>
      <c r="K23" s="23">
        <v>18</v>
      </c>
      <c r="L23" s="21" t="s">
        <v>15</v>
      </c>
      <c r="M23" s="82">
        <v>72</v>
      </c>
      <c r="N23" s="29"/>
      <c r="O23" s="29"/>
      <c r="Q23" s="24">
        <v>1.7058823529411764</v>
      </c>
      <c r="R23" s="24">
        <v>1</v>
      </c>
      <c r="S23" s="45">
        <v>4.2352941176470589</v>
      </c>
      <c r="T23" s="15"/>
    </row>
    <row r="24" spans="1:20">
      <c r="H24" s="59">
        <v>20</v>
      </c>
      <c r="I24" s="23">
        <v>20</v>
      </c>
      <c r="J24" s="20" t="s">
        <v>13</v>
      </c>
      <c r="K24" s="23">
        <v>23</v>
      </c>
      <c r="L24" s="21" t="s">
        <v>15</v>
      </c>
      <c r="M24" s="82">
        <v>68</v>
      </c>
      <c r="N24" s="15"/>
      <c r="O24" s="15"/>
      <c r="Q24" s="24">
        <v>1.1764705882352942</v>
      </c>
      <c r="R24" s="24">
        <v>1.2777777777777777</v>
      </c>
      <c r="S24" s="43">
        <v>4</v>
      </c>
      <c r="T24" s="15"/>
    </row>
    <row r="25" spans="1:20">
      <c r="A25" s="90" t="s">
        <v>22</v>
      </c>
      <c r="B25" s="107">
        <f>AVERAGE(F6:F17,D18,B19)</f>
        <v>53.714285714285715</v>
      </c>
      <c r="C25" s="19" t="s">
        <v>78</v>
      </c>
      <c r="H25" s="59">
        <v>21</v>
      </c>
      <c r="I25" s="23">
        <v>17</v>
      </c>
      <c r="J25" s="20" t="s">
        <v>13</v>
      </c>
      <c r="K25" s="23">
        <v>20</v>
      </c>
      <c r="L25" s="21" t="s">
        <v>15</v>
      </c>
      <c r="M25" s="82">
        <v>68</v>
      </c>
      <c r="N25" s="29"/>
      <c r="O25" s="29"/>
      <c r="Q25" s="50">
        <v>1</v>
      </c>
      <c r="R25" s="24">
        <v>1.1111111111111112</v>
      </c>
      <c r="S25" s="45">
        <v>4</v>
      </c>
      <c r="T25" s="15"/>
    </row>
    <row r="26" spans="1:20">
      <c r="A26" s="102" t="s">
        <v>19</v>
      </c>
      <c r="B26">
        <f>MEDIAN(F6:F17,D18,B19)</f>
        <v>46</v>
      </c>
      <c r="C26" s="19" t="s">
        <v>79</v>
      </c>
      <c r="H26" s="59">
        <v>22</v>
      </c>
      <c r="I26" s="25">
        <v>17</v>
      </c>
      <c r="J26" s="20" t="s">
        <v>13</v>
      </c>
      <c r="K26" s="25">
        <v>19</v>
      </c>
      <c r="L26" s="21" t="s">
        <v>15</v>
      </c>
      <c r="M26" s="81">
        <v>68</v>
      </c>
      <c r="N26" s="15"/>
      <c r="O26" s="15"/>
      <c r="Q26" s="50">
        <v>1</v>
      </c>
      <c r="R26" s="24">
        <v>1.0555555555555556</v>
      </c>
      <c r="S26" s="45">
        <v>4</v>
      </c>
      <c r="T26" s="15"/>
    </row>
    <row r="27" spans="1:20">
      <c r="B27" s="107">
        <f>AVERAGE(B6:B18,D6:D17)</f>
        <v>12.52</v>
      </c>
      <c r="C27" s="19" t="s">
        <v>10</v>
      </c>
      <c r="H27" s="59">
        <v>23</v>
      </c>
      <c r="I27" s="25">
        <v>17</v>
      </c>
      <c r="J27" s="20" t="s">
        <v>13</v>
      </c>
      <c r="K27" s="25">
        <v>19</v>
      </c>
      <c r="L27" s="21" t="s">
        <v>15</v>
      </c>
      <c r="M27" s="81">
        <v>66</v>
      </c>
      <c r="N27" s="15"/>
      <c r="O27" s="15"/>
      <c r="Q27" s="50">
        <v>1</v>
      </c>
      <c r="R27" s="24">
        <v>1.0555555555555556</v>
      </c>
      <c r="S27" s="43">
        <v>3.8823529411764706</v>
      </c>
      <c r="T27" s="15"/>
    </row>
    <row r="28" spans="1:20">
      <c r="B28">
        <f>MEDIAN(B6:B18,D6:D17)</f>
        <v>11</v>
      </c>
      <c r="C28" s="19" t="s">
        <v>11</v>
      </c>
      <c r="H28" s="59">
        <v>24</v>
      </c>
      <c r="I28" s="23">
        <v>21</v>
      </c>
      <c r="J28" s="20" t="s">
        <v>13</v>
      </c>
      <c r="K28" s="23">
        <v>20</v>
      </c>
      <c r="L28" s="21" t="s">
        <v>15</v>
      </c>
      <c r="M28" s="82">
        <v>65</v>
      </c>
      <c r="N28" s="15"/>
      <c r="O28" s="15"/>
      <c r="Q28" s="24">
        <v>1.2352941176470589</v>
      </c>
      <c r="R28" s="24">
        <v>1.1111111111111112</v>
      </c>
      <c r="S28" s="43">
        <v>3.8235294117647061</v>
      </c>
      <c r="T28" s="15"/>
    </row>
    <row r="29" spans="1:20">
      <c r="H29" s="59">
        <v>25</v>
      </c>
      <c r="I29" s="23">
        <v>21</v>
      </c>
      <c r="J29" s="20" t="s">
        <v>13</v>
      </c>
      <c r="K29" s="23">
        <v>25</v>
      </c>
      <c r="L29" s="21" t="s">
        <v>15</v>
      </c>
      <c r="M29" s="82">
        <v>64</v>
      </c>
      <c r="N29" s="15"/>
      <c r="O29" s="15"/>
      <c r="Q29" s="24">
        <v>1.2352941176470589</v>
      </c>
      <c r="R29" s="24">
        <v>1.3888888888888888</v>
      </c>
      <c r="S29" s="43">
        <v>3.7647058823529411</v>
      </c>
      <c r="T29" s="15"/>
    </row>
    <row r="30" spans="1:20">
      <c r="H30" s="59">
        <v>26</v>
      </c>
      <c r="I30" s="23">
        <v>27</v>
      </c>
      <c r="J30" s="20" t="s">
        <v>13</v>
      </c>
      <c r="K30" s="23">
        <v>34</v>
      </c>
      <c r="L30" s="21" t="s">
        <v>15</v>
      </c>
      <c r="M30" s="82">
        <v>44</v>
      </c>
      <c r="N30" s="15"/>
      <c r="O30" s="15"/>
      <c r="Q30" s="24">
        <v>1.588235294117647</v>
      </c>
      <c r="R30" s="24">
        <v>1.8888888888888888</v>
      </c>
      <c r="S30" s="43">
        <v>2.5882352941176472</v>
      </c>
      <c r="T30" s="15"/>
    </row>
    <row r="31" spans="1:20">
      <c r="H31" s="59">
        <v>27</v>
      </c>
      <c r="I31" s="23">
        <v>21</v>
      </c>
      <c r="J31" s="20" t="s">
        <v>13</v>
      </c>
      <c r="K31" s="23">
        <v>19</v>
      </c>
      <c r="L31" s="21" t="s">
        <v>15</v>
      </c>
      <c r="M31" s="82">
        <v>43</v>
      </c>
      <c r="N31" s="29"/>
      <c r="O31" s="29"/>
      <c r="Q31" s="24">
        <v>1.2352941176470589</v>
      </c>
      <c r="R31" s="24">
        <v>1.0555555555555556</v>
      </c>
      <c r="S31" s="43">
        <v>2.5294117647058822</v>
      </c>
      <c r="T31" s="15"/>
    </row>
    <row r="32" spans="1:20">
      <c r="H32" s="59">
        <v>28</v>
      </c>
      <c r="I32" s="23">
        <v>18</v>
      </c>
      <c r="J32" s="20" t="s">
        <v>13</v>
      </c>
      <c r="K32" s="23">
        <v>21</v>
      </c>
      <c r="L32" s="21" t="s">
        <v>15</v>
      </c>
      <c r="M32" s="82">
        <v>41</v>
      </c>
      <c r="N32" s="15"/>
      <c r="O32" s="15"/>
      <c r="Q32" s="24">
        <v>1.0588235294117647</v>
      </c>
      <c r="R32" s="24">
        <v>1.1666666666666667</v>
      </c>
      <c r="S32" s="43">
        <v>2.4117647058823528</v>
      </c>
      <c r="T32" s="15"/>
    </row>
    <row r="33" spans="8:20">
      <c r="H33" s="59">
        <v>29</v>
      </c>
      <c r="I33" s="23">
        <v>24</v>
      </c>
      <c r="J33" s="20" t="s">
        <v>13</v>
      </c>
      <c r="K33" s="23">
        <v>18</v>
      </c>
      <c r="L33" s="21" t="s">
        <v>15</v>
      </c>
      <c r="M33" s="82">
        <v>41</v>
      </c>
      <c r="N33" s="29"/>
      <c r="O33" s="29"/>
      <c r="Q33" s="24">
        <v>1.411764705882353</v>
      </c>
      <c r="R33" s="24">
        <v>1</v>
      </c>
      <c r="S33" s="45">
        <v>2.4117647058823528</v>
      </c>
      <c r="T33" s="15"/>
    </row>
    <row r="34" spans="8:20">
      <c r="H34" s="59">
        <v>30</v>
      </c>
      <c r="I34" s="23">
        <v>20</v>
      </c>
      <c r="J34" s="20" t="s">
        <v>13</v>
      </c>
      <c r="K34" s="23">
        <v>32</v>
      </c>
      <c r="L34" s="21" t="s">
        <v>15</v>
      </c>
      <c r="M34" s="82">
        <v>40</v>
      </c>
      <c r="N34" s="15"/>
      <c r="O34" s="15"/>
      <c r="Q34" s="24">
        <v>1.1764705882352942</v>
      </c>
      <c r="R34" s="50">
        <v>1.7777777777777777</v>
      </c>
      <c r="S34" s="45">
        <v>2.3529411764705883</v>
      </c>
      <c r="T34" s="15"/>
    </row>
    <row r="35" spans="8:20">
      <c r="H35" s="59">
        <v>31</v>
      </c>
      <c r="I35" s="23">
        <v>26</v>
      </c>
      <c r="J35" s="20" t="s">
        <v>13</v>
      </c>
      <c r="K35" s="23">
        <v>22</v>
      </c>
      <c r="L35" s="21" t="s">
        <v>15</v>
      </c>
      <c r="M35" s="82">
        <v>40</v>
      </c>
      <c r="N35" s="15"/>
      <c r="O35" s="15"/>
      <c r="Q35" s="24">
        <v>1.5294117647058822</v>
      </c>
      <c r="R35" s="24">
        <v>1.2222222222222223</v>
      </c>
      <c r="S35" s="43">
        <v>2.3529411764705883</v>
      </c>
      <c r="T35" s="15"/>
    </row>
    <row r="36" spans="8:20">
      <c r="H36" s="59">
        <v>32</v>
      </c>
      <c r="I36" s="25">
        <v>21</v>
      </c>
      <c r="J36" s="20" t="s">
        <v>13</v>
      </c>
      <c r="K36" s="25">
        <v>49</v>
      </c>
      <c r="L36" s="21" t="s">
        <v>15</v>
      </c>
      <c r="M36" s="81">
        <v>36</v>
      </c>
      <c r="N36" s="15"/>
      <c r="O36" s="15"/>
      <c r="Q36" s="24">
        <v>1.2352941176470589</v>
      </c>
      <c r="R36" s="43">
        <v>2.7222222222222223</v>
      </c>
      <c r="S36" s="45">
        <v>2.1176470588235294</v>
      </c>
      <c r="T36" s="15"/>
    </row>
    <row r="37" spans="8:20">
      <c r="H37" s="59">
        <v>33</v>
      </c>
      <c r="I37" s="23">
        <v>21</v>
      </c>
      <c r="J37" s="20" t="s">
        <v>13</v>
      </c>
      <c r="K37" s="23">
        <v>23</v>
      </c>
      <c r="L37" s="21" t="s">
        <v>15</v>
      </c>
      <c r="M37" s="82">
        <v>35</v>
      </c>
      <c r="N37" s="15"/>
      <c r="O37" s="15"/>
      <c r="Q37" s="24">
        <v>1.2352941176470589</v>
      </c>
      <c r="R37" s="24">
        <v>1.2777777777777777</v>
      </c>
      <c r="S37" s="43">
        <v>2.0588235294117645</v>
      </c>
      <c r="T37" s="15"/>
    </row>
    <row r="38" spans="8:20">
      <c r="H38" s="59">
        <v>34</v>
      </c>
      <c r="I38" s="23">
        <v>21</v>
      </c>
      <c r="J38" s="20" t="s">
        <v>13</v>
      </c>
      <c r="K38" s="23">
        <v>21</v>
      </c>
      <c r="L38" s="21" t="s">
        <v>15</v>
      </c>
      <c r="M38" s="82">
        <v>35</v>
      </c>
      <c r="N38" s="15"/>
      <c r="O38" s="15"/>
      <c r="Q38" s="24">
        <v>1.2352941176470589</v>
      </c>
      <c r="R38" s="24">
        <v>1.1666666666666667</v>
      </c>
      <c r="S38" s="45">
        <v>2.0588235294117645</v>
      </c>
      <c r="T38" s="15"/>
    </row>
    <row r="39" spans="8:20">
      <c r="H39" s="59">
        <v>35</v>
      </c>
      <c r="I39" s="23">
        <v>18</v>
      </c>
      <c r="J39" s="20" t="s">
        <v>13</v>
      </c>
      <c r="K39" s="23">
        <v>23</v>
      </c>
      <c r="L39" s="21" t="s">
        <v>15</v>
      </c>
      <c r="M39" s="82">
        <v>34</v>
      </c>
      <c r="N39" s="29"/>
      <c r="O39" s="29"/>
      <c r="Q39" s="24">
        <v>1.0588235294117647</v>
      </c>
      <c r="R39" s="24">
        <v>1.2777777777777777</v>
      </c>
      <c r="S39" s="45">
        <v>2</v>
      </c>
      <c r="T39" s="15"/>
    </row>
    <row r="40" spans="8:20">
      <c r="H40" s="59">
        <v>36</v>
      </c>
      <c r="I40" s="23">
        <v>22</v>
      </c>
      <c r="J40" s="20" t="s">
        <v>13</v>
      </c>
      <c r="K40" s="23">
        <v>88</v>
      </c>
      <c r="L40" s="21" t="s">
        <v>15</v>
      </c>
      <c r="M40" s="81">
        <v>29</v>
      </c>
      <c r="N40" s="29"/>
      <c r="O40" s="29"/>
      <c r="Q40" s="24">
        <v>1.2941176470588236</v>
      </c>
      <c r="R40" s="43">
        <v>4.8888888888888893</v>
      </c>
      <c r="S40" s="26">
        <v>1.7058823529411764</v>
      </c>
      <c r="T40" s="15"/>
    </row>
    <row r="41" spans="8:20">
      <c r="H41" s="59">
        <v>37</v>
      </c>
      <c r="I41" s="23">
        <v>38</v>
      </c>
      <c r="J41" s="20" t="s">
        <v>13</v>
      </c>
      <c r="K41" s="23">
        <v>22</v>
      </c>
      <c r="L41" s="21" t="s">
        <v>15</v>
      </c>
      <c r="M41" s="82">
        <v>29</v>
      </c>
      <c r="N41" s="29"/>
      <c r="O41" s="29"/>
      <c r="Q41" s="43">
        <v>2.2352941176470589</v>
      </c>
      <c r="R41" s="24">
        <v>1.2222222222222223</v>
      </c>
      <c r="S41" s="26">
        <v>1.7058823529411764</v>
      </c>
      <c r="T41" s="15"/>
    </row>
    <row r="42" spans="8:20">
      <c r="H42" s="59">
        <v>38</v>
      </c>
      <c r="I42" s="23">
        <v>18</v>
      </c>
      <c r="J42" s="20" t="s">
        <v>13</v>
      </c>
      <c r="K42" s="23">
        <v>23</v>
      </c>
      <c r="L42" s="21" t="s">
        <v>15</v>
      </c>
      <c r="M42" s="82">
        <v>25</v>
      </c>
      <c r="N42" s="15"/>
      <c r="O42" s="15"/>
      <c r="Q42" s="24">
        <v>1.0588235294117647</v>
      </c>
      <c r="R42" s="24">
        <v>1.2777777777777777</v>
      </c>
      <c r="S42" s="24">
        <v>1.4705882352941178</v>
      </c>
      <c r="T42" s="15"/>
    </row>
    <row r="43" spans="8:20">
      <c r="H43" s="59">
        <v>39</v>
      </c>
      <c r="I43" s="25">
        <v>18</v>
      </c>
      <c r="J43" s="20" t="s">
        <v>13</v>
      </c>
      <c r="K43" s="25">
        <v>22</v>
      </c>
      <c r="L43" s="21" t="s">
        <v>15</v>
      </c>
      <c r="M43" s="81">
        <v>23</v>
      </c>
      <c r="N43" s="15"/>
      <c r="O43" s="15"/>
      <c r="Q43" s="24">
        <v>1.0588235294117647</v>
      </c>
      <c r="R43" s="24">
        <v>1.2222222222222223</v>
      </c>
      <c r="S43" s="26">
        <v>1.3529411764705883</v>
      </c>
      <c r="T43" s="15"/>
    </row>
    <row r="44" spans="8:20">
      <c r="H44" s="59">
        <v>40</v>
      </c>
      <c r="I44" s="23">
        <v>25</v>
      </c>
      <c r="J44" s="20" t="s">
        <v>13</v>
      </c>
      <c r="K44" s="23">
        <v>41</v>
      </c>
      <c r="L44" s="21" t="s">
        <v>15</v>
      </c>
      <c r="M44" s="82">
        <v>21</v>
      </c>
      <c r="N44" s="15"/>
      <c r="O44" s="15"/>
      <c r="Q44" s="24">
        <v>1.4705882352941178</v>
      </c>
      <c r="R44" s="45">
        <v>2.2777777777777777</v>
      </c>
      <c r="S44" s="26">
        <v>1.2352941176470589</v>
      </c>
      <c r="T44" s="15"/>
    </row>
    <row r="45" spans="8:20">
      <c r="H45" s="59">
        <v>41</v>
      </c>
      <c r="I45" s="23">
        <v>22</v>
      </c>
      <c r="J45" s="20" t="s">
        <v>13</v>
      </c>
      <c r="K45" s="23">
        <v>37</v>
      </c>
      <c r="L45" s="21" t="s">
        <v>15</v>
      </c>
      <c r="M45" s="82">
        <v>18</v>
      </c>
      <c r="N45" s="29"/>
      <c r="O45" s="29"/>
      <c r="Q45" s="24">
        <v>1.2941176470588236</v>
      </c>
      <c r="R45" s="43">
        <v>2.0555555555555554</v>
      </c>
      <c r="S45" s="26">
        <v>1.0588235294117647</v>
      </c>
      <c r="T45" s="15"/>
    </row>
    <row r="46" spans="8:20">
      <c r="H46" s="59">
        <v>42</v>
      </c>
      <c r="I46" s="25">
        <v>21</v>
      </c>
      <c r="J46" s="20" t="s">
        <v>13</v>
      </c>
      <c r="K46" s="25">
        <v>36</v>
      </c>
      <c r="L46" s="21" t="s">
        <v>15</v>
      </c>
      <c r="M46" s="81">
        <v>15</v>
      </c>
      <c r="N46" s="15"/>
      <c r="O46" s="15"/>
      <c r="Q46" s="24">
        <v>1.2352941176470589</v>
      </c>
      <c r="R46" s="43">
        <v>2</v>
      </c>
      <c r="S46" s="46">
        <v>0.88235294117647056</v>
      </c>
      <c r="T46" s="15"/>
    </row>
    <row r="47" spans="8:20">
      <c r="H47" s="59">
        <v>43</v>
      </c>
      <c r="I47" s="23">
        <v>41</v>
      </c>
      <c r="J47" s="20" t="s">
        <v>13</v>
      </c>
      <c r="K47" s="23">
        <v>58</v>
      </c>
      <c r="L47" s="21" t="s">
        <v>15</v>
      </c>
      <c r="M47" s="82">
        <v>12</v>
      </c>
      <c r="N47" s="15"/>
      <c r="O47" s="15"/>
      <c r="Q47" s="43">
        <v>2.4117647058823528</v>
      </c>
      <c r="R47" s="43">
        <v>3.2222222222222223</v>
      </c>
      <c r="S47" s="46">
        <v>0.70588235294117652</v>
      </c>
      <c r="T47" s="15"/>
    </row>
    <row r="48" spans="8:20">
      <c r="H48" s="59">
        <v>44</v>
      </c>
      <c r="I48" s="23">
        <v>91</v>
      </c>
      <c r="J48" s="20" t="s">
        <v>13</v>
      </c>
      <c r="K48" s="23">
        <v>58</v>
      </c>
      <c r="L48" s="21" t="s">
        <v>15</v>
      </c>
      <c r="M48" s="82">
        <v>11</v>
      </c>
      <c r="N48" s="15"/>
      <c r="O48" s="15"/>
      <c r="Q48" s="43">
        <v>5.3529411764705879</v>
      </c>
      <c r="R48" s="43">
        <v>3.2222222222222223</v>
      </c>
      <c r="S48" s="46">
        <v>0.6470588235294118</v>
      </c>
      <c r="T48" s="15"/>
    </row>
    <row r="49" spans="8:20">
      <c r="H49" s="59">
        <v>45</v>
      </c>
      <c r="I49" s="23">
        <v>21</v>
      </c>
      <c r="J49" s="20" t="s">
        <v>13</v>
      </c>
      <c r="K49" s="23">
        <v>27</v>
      </c>
      <c r="L49" s="21" t="s">
        <v>15</v>
      </c>
      <c r="M49" s="82">
        <v>10</v>
      </c>
      <c r="N49" s="29"/>
      <c r="O49" s="29"/>
      <c r="Q49" s="24">
        <v>1.2352941176470589</v>
      </c>
      <c r="R49" s="24">
        <v>1.5</v>
      </c>
      <c r="S49" s="46">
        <v>0.58823529411764708</v>
      </c>
      <c r="T49" s="15"/>
    </row>
    <row r="50" spans="8:20">
      <c r="H50" s="59">
        <v>46</v>
      </c>
      <c r="I50" s="23">
        <v>24</v>
      </c>
      <c r="J50" s="20" t="s">
        <v>13</v>
      </c>
      <c r="K50" s="23">
        <v>45</v>
      </c>
      <c r="L50" s="21" t="s">
        <v>15</v>
      </c>
      <c r="M50" s="82">
        <v>8</v>
      </c>
      <c r="N50" s="15"/>
      <c r="O50" s="15"/>
      <c r="Q50" s="24">
        <v>1.411764705882353</v>
      </c>
      <c r="R50" s="43">
        <v>2.5</v>
      </c>
      <c r="S50" s="42">
        <v>0.47058823529411764</v>
      </c>
      <c r="T50" s="15"/>
    </row>
    <row r="51" spans="8:20">
      <c r="H51" s="59">
        <v>47</v>
      </c>
      <c r="I51" s="23">
        <v>21</v>
      </c>
      <c r="J51" s="20" t="s">
        <v>13</v>
      </c>
      <c r="K51" s="23">
        <v>60</v>
      </c>
      <c r="L51" s="21" t="s">
        <v>15</v>
      </c>
      <c r="M51" s="82">
        <v>7</v>
      </c>
      <c r="N51" s="15"/>
      <c r="O51" s="15"/>
      <c r="Q51" s="24">
        <v>1.2352941176470589</v>
      </c>
      <c r="R51" s="43">
        <v>3.3333333333333335</v>
      </c>
      <c r="S51" s="46">
        <v>0.41176470588235292</v>
      </c>
      <c r="T51" s="15"/>
    </row>
    <row r="52" spans="8:20">
      <c r="H52" s="59">
        <v>48</v>
      </c>
      <c r="I52" s="23">
        <v>20</v>
      </c>
      <c r="J52" s="20" t="s">
        <v>13</v>
      </c>
      <c r="K52" s="23">
        <v>49</v>
      </c>
      <c r="L52" s="21" t="s">
        <v>15</v>
      </c>
      <c r="M52" s="82">
        <v>3</v>
      </c>
      <c r="N52" s="15"/>
      <c r="O52" s="15"/>
      <c r="Q52" s="24">
        <v>1.1764705882352942</v>
      </c>
      <c r="R52" s="43">
        <v>2.7222222222222223</v>
      </c>
      <c r="S52" s="42">
        <v>0.17647058823529413</v>
      </c>
      <c r="T52" s="15"/>
    </row>
    <row r="53" spans="8:20">
      <c r="H53" s="59">
        <v>49</v>
      </c>
      <c r="I53" s="23">
        <v>47</v>
      </c>
      <c r="J53" s="20" t="s">
        <v>13</v>
      </c>
      <c r="K53" s="23">
        <v>66</v>
      </c>
      <c r="L53" s="21" t="s">
        <v>15</v>
      </c>
      <c r="M53" s="15">
        <v>0</v>
      </c>
      <c r="N53" s="15"/>
      <c r="O53" s="15"/>
      <c r="Q53" s="43">
        <v>2.7647058823529411</v>
      </c>
      <c r="R53" s="43">
        <v>3.6666666666666665</v>
      </c>
      <c r="S53" s="30"/>
      <c r="T53" s="15"/>
    </row>
    <row r="54" spans="8:20">
      <c r="H54" s="59">
        <v>50</v>
      </c>
      <c r="I54" s="23">
        <v>34</v>
      </c>
      <c r="J54" s="20" t="s">
        <v>13</v>
      </c>
      <c r="K54" s="82">
        <v>141</v>
      </c>
      <c r="L54" s="15"/>
      <c r="M54" s="15"/>
      <c r="N54" s="15"/>
      <c r="O54" s="15"/>
      <c r="Q54" s="43">
        <v>2</v>
      </c>
      <c r="R54" s="43">
        <v>7.833333333333333</v>
      </c>
      <c r="S54" s="30"/>
      <c r="T54" s="15"/>
    </row>
    <row r="55" spans="8:20">
      <c r="H55" s="59">
        <v>51</v>
      </c>
      <c r="I55" s="23">
        <v>17</v>
      </c>
      <c r="J55" s="20" t="s">
        <v>13</v>
      </c>
      <c r="K55" s="82">
        <v>105</v>
      </c>
      <c r="L55" s="15"/>
      <c r="M55" s="15"/>
      <c r="N55" s="15"/>
      <c r="O55" s="15"/>
      <c r="Q55" s="50">
        <v>1</v>
      </c>
      <c r="R55" s="43">
        <v>5.833333333333333</v>
      </c>
      <c r="S55" s="28"/>
      <c r="T55" s="15"/>
    </row>
    <row r="56" spans="8:20">
      <c r="H56" s="59">
        <v>52</v>
      </c>
      <c r="I56" s="23">
        <v>29</v>
      </c>
      <c r="J56" s="20" t="s">
        <v>13</v>
      </c>
      <c r="K56" s="82">
        <v>94</v>
      </c>
      <c r="L56" s="29"/>
      <c r="M56" s="29"/>
      <c r="N56" s="29"/>
      <c r="O56" s="29"/>
      <c r="Q56" s="24">
        <v>1.7058823529411764</v>
      </c>
      <c r="R56" s="45">
        <v>5.2222222222222223</v>
      </c>
      <c r="S56" s="28"/>
      <c r="T56" s="15"/>
    </row>
    <row r="57" spans="8:20">
      <c r="H57" s="59">
        <v>53</v>
      </c>
      <c r="I57" s="23">
        <v>19</v>
      </c>
      <c r="J57" s="20" t="s">
        <v>13</v>
      </c>
      <c r="K57" s="82">
        <v>85</v>
      </c>
      <c r="L57" s="29"/>
      <c r="M57" s="29"/>
      <c r="N57" s="29"/>
      <c r="O57" s="29"/>
      <c r="Q57" s="24">
        <v>1.1176470588235294</v>
      </c>
      <c r="R57" s="43">
        <v>4.7222222222222223</v>
      </c>
      <c r="S57" s="30"/>
      <c r="T57" s="15"/>
    </row>
    <row r="58" spans="8:20">
      <c r="H58" s="59">
        <v>54</v>
      </c>
      <c r="I58" s="23">
        <v>31</v>
      </c>
      <c r="J58" s="20" t="s">
        <v>13</v>
      </c>
      <c r="K58" s="82">
        <v>80</v>
      </c>
      <c r="L58" s="15"/>
      <c r="M58" s="15"/>
      <c r="N58" s="15"/>
      <c r="O58" s="15"/>
      <c r="Q58" s="24">
        <v>1.8235294117647058</v>
      </c>
      <c r="R58" s="43">
        <v>4.4444444444444446</v>
      </c>
      <c r="S58" s="30"/>
      <c r="T58" s="15"/>
    </row>
    <row r="59" spans="8:20">
      <c r="H59" s="59">
        <v>55</v>
      </c>
      <c r="I59" s="23">
        <v>40</v>
      </c>
      <c r="J59" s="20" t="s">
        <v>13</v>
      </c>
      <c r="K59" s="82">
        <v>74</v>
      </c>
      <c r="L59" s="15"/>
      <c r="M59" s="15"/>
      <c r="N59" s="15"/>
      <c r="O59" s="15"/>
      <c r="Q59" s="43">
        <v>2.3529411764705883</v>
      </c>
      <c r="R59" s="43">
        <v>4.1111111111111107</v>
      </c>
      <c r="S59" s="30"/>
      <c r="T59" s="15"/>
    </row>
    <row r="60" spans="8:20">
      <c r="H60" s="59">
        <v>56</v>
      </c>
      <c r="I60" s="23">
        <v>22</v>
      </c>
      <c r="J60" s="20" t="s">
        <v>13</v>
      </c>
      <c r="K60" s="82">
        <v>73</v>
      </c>
      <c r="L60" s="29"/>
      <c r="M60" s="29"/>
      <c r="N60" s="29"/>
      <c r="O60" s="29"/>
      <c r="Q60" s="24">
        <v>1.2941176470588236</v>
      </c>
      <c r="R60" s="43">
        <v>4.0555555555555554</v>
      </c>
      <c r="S60" s="28"/>
      <c r="T60" s="15"/>
    </row>
    <row r="61" spans="8:20">
      <c r="H61" s="59">
        <v>57</v>
      </c>
      <c r="I61" s="23">
        <v>31</v>
      </c>
      <c r="J61" s="20" t="s">
        <v>13</v>
      </c>
      <c r="K61" s="82">
        <v>68</v>
      </c>
      <c r="L61" s="29"/>
      <c r="M61" s="29"/>
      <c r="N61" s="29"/>
      <c r="O61" s="29"/>
      <c r="Q61" s="24">
        <v>1.8235294117647058</v>
      </c>
      <c r="R61" s="43">
        <v>3.7777777777777777</v>
      </c>
      <c r="S61" s="30"/>
      <c r="T61" s="15"/>
    </row>
    <row r="62" spans="8:20">
      <c r="H62" s="59">
        <v>58</v>
      </c>
      <c r="I62" s="23">
        <v>20</v>
      </c>
      <c r="J62" s="20" t="s">
        <v>13</v>
      </c>
      <c r="K62" s="82">
        <v>63</v>
      </c>
      <c r="L62" s="15"/>
      <c r="M62" s="15"/>
      <c r="N62" s="15"/>
      <c r="O62" s="15"/>
      <c r="Q62" s="24">
        <v>1.1764705882352942</v>
      </c>
      <c r="R62" s="43">
        <v>3.5</v>
      </c>
      <c r="S62" s="28"/>
      <c r="T62" s="15"/>
    </row>
    <row r="63" spans="8:20">
      <c r="H63" s="59">
        <v>59</v>
      </c>
      <c r="I63" s="23">
        <v>24</v>
      </c>
      <c r="J63" s="20" t="s">
        <v>13</v>
      </c>
      <c r="K63" s="88">
        <v>62</v>
      </c>
      <c r="L63" s="15"/>
      <c r="M63" s="15"/>
      <c r="N63" s="15"/>
      <c r="O63" s="15"/>
      <c r="Q63" s="24">
        <v>1.411764705882353</v>
      </c>
      <c r="R63" s="43">
        <v>3.4444444444444446</v>
      </c>
      <c r="S63" s="30"/>
      <c r="T63" s="15"/>
    </row>
    <row r="64" spans="8:20">
      <c r="H64" s="59">
        <v>60</v>
      </c>
      <c r="I64" s="23">
        <v>63</v>
      </c>
      <c r="J64" s="20" t="s">
        <v>13</v>
      </c>
      <c r="K64" s="82">
        <v>60</v>
      </c>
      <c r="L64" s="15"/>
      <c r="M64" s="15"/>
      <c r="N64" s="15"/>
      <c r="O64" s="15"/>
      <c r="Q64" s="43">
        <v>3.7058823529411766</v>
      </c>
      <c r="R64" s="43">
        <v>3.3333333333333335</v>
      </c>
      <c r="S64" s="28"/>
      <c r="T64" s="15"/>
    </row>
    <row r="65" spans="8:20">
      <c r="H65" s="59">
        <v>61</v>
      </c>
      <c r="I65" s="25">
        <v>22</v>
      </c>
      <c r="J65" s="20" t="s">
        <v>13</v>
      </c>
      <c r="K65" s="81">
        <v>59</v>
      </c>
      <c r="L65" s="15"/>
      <c r="M65" s="15"/>
      <c r="N65" s="15"/>
      <c r="O65" s="15"/>
      <c r="Q65" s="24">
        <v>1.2941176470588236</v>
      </c>
      <c r="R65" s="43">
        <v>3.2777777777777777</v>
      </c>
      <c r="S65" s="28"/>
      <c r="T65" s="15"/>
    </row>
    <row r="66" spans="8:20">
      <c r="H66" s="59">
        <v>62</v>
      </c>
      <c r="I66" s="25">
        <v>23</v>
      </c>
      <c r="J66" s="20" t="s">
        <v>13</v>
      </c>
      <c r="K66" s="81">
        <v>57</v>
      </c>
      <c r="L66" s="15"/>
      <c r="M66" s="15"/>
      <c r="N66" s="15"/>
      <c r="O66" s="15"/>
      <c r="Q66" s="24">
        <v>1.3529411764705883</v>
      </c>
      <c r="R66" s="43">
        <v>3.1666666666666665</v>
      </c>
      <c r="S66" s="28"/>
      <c r="T66" s="15"/>
    </row>
    <row r="67" spans="8:20">
      <c r="H67" s="59">
        <v>63</v>
      </c>
      <c r="I67" s="23">
        <v>21</v>
      </c>
      <c r="J67" s="20" t="s">
        <v>13</v>
      </c>
      <c r="K67" s="82">
        <v>53</v>
      </c>
      <c r="L67" s="29"/>
      <c r="M67" s="29"/>
      <c r="N67" s="29"/>
      <c r="O67" s="29"/>
      <c r="Q67" s="24">
        <v>1.2352941176470589</v>
      </c>
      <c r="R67" s="43">
        <v>2.9444444444444446</v>
      </c>
      <c r="S67" s="28"/>
      <c r="T67" s="15"/>
    </row>
    <row r="68" spans="8:20">
      <c r="H68" s="59">
        <v>64</v>
      </c>
      <c r="I68" s="23">
        <v>126</v>
      </c>
      <c r="J68" s="20" t="s">
        <v>13</v>
      </c>
      <c r="K68" s="82">
        <v>51</v>
      </c>
      <c r="L68" s="15"/>
      <c r="M68" s="15"/>
      <c r="N68" s="15"/>
      <c r="O68" s="15"/>
      <c r="Q68" s="43">
        <v>7.4117647058823533</v>
      </c>
      <c r="R68" s="45">
        <v>2.8333333333333335</v>
      </c>
      <c r="S68" s="28"/>
      <c r="T68" s="15"/>
    </row>
    <row r="69" spans="8:20">
      <c r="H69" s="59">
        <v>65</v>
      </c>
      <c r="I69" s="25">
        <v>40</v>
      </c>
      <c r="J69" s="20" t="s">
        <v>13</v>
      </c>
      <c r="K69" s="81">
        <v>45</v>
      </c>
      <c r="L69" s="15"/>
      <c r="M69" s="15"/>
      <c r="N69" s="15"/>
      <c r="O69" s="15"/>
      <c r="Q69" s="43">
        <v>2.3529411764705883</v>
      </c>
      <c r="R69" s="43">
        <v>2.5</v>
      </c>
      <c r="S69" s="30"/>
      <c r="T69" s="15"/>
    </row>
    <row r="70" spans="8:20">
      <c r="H70" s="59">
        <v>66</v>
      </c>
      <c r="I70" s="23">
        <v>19</v>
      </c>
      <c r="J70" s="20" t="s">
        <v>13</v>
      </c>
      <c r="K70" s="82">
        <v>42</v>
      </c>
      <c r="L70" s="29"/>
      <c r="M70" s="29"/>
      <c r="N70" s="29"/>
      <c r="O70" s="29"/>
      <c r="Q70" s="24">
        <v>1.1176470588235294</v>
      </c>
      <c r="R70" s="43">
        <v>2.3333333333333335</v>
      </c>
      <c r="S70" s="30"/>
      <c r="T70" s="15"/>
    </row>
    <row r="71" spans="8:20">
      <c r="H71" s="59">
        <v>67</v>
      </c>
      <c r="I71" s="25">
        <v>28</v>
      </c>
      <c r="J71" s="20" t="s">
        <v>13</v>
      </c>
      <c r="K71" s="81">
        <v>41</v>
      </c>
      <c r="L71" s="15"/>
      <c r="M71" s="15"/>
      <c r="N71" s="15"/>
      <c r="O71" s="15"/>
      <c r="Q71" s="24">
        <v>1.6470588235294117</v>
      </c>
      <c r="R71" s="43">
        <v>2.2777777777777777</v>
      </c>
      <c r="S71" s="30"/>
      <c r="T71" s="15"/>
    </row>
    <row r="72" spans="8:20">
      <c r="H72" s="59">
        <v>68</v>
      </c>
      <c r="I72" s="25">
        <v>55</v>
      </c>
      <c r="J72" s="20" t="s">
        <v>13</v>
      </c>
      <c r="K72" s="81">
        <v>39</v>
      </c>
      <c r="L72" s="15"/>
      <c r="M72" s="15"/>
      <c r="N72" s="15"/>
      <c r="O72" s="15"/>
      <c r="Q72" s="43">
        <v>3.2352941176470589</v>
      </c>
      <c r="R72" s="43">
        <v>2.1666666666666665</v>
      </c>
      <c r="S72" s="30"/>
      <c r="T72" s="15"/>
    </row>
    <row r="73" spans="8:20">
      <c r="H73" s="59">
        <v>69</v>
      </c>
      <c r="I73" s="25">
        <v>78</v>
      </c>
      <c r="J73" s="20" t="s">
        <v>13</v>
      </c>
      <c r="K73" s="81">
        <v>38</v>
      </c>
      <c r="L73" s="15"/>
      <c r="M73" s="15"/>
      <c r="N73" s="15"/>
      <c r="O73" s="15"/>
      <c r="Q73" s="43">
        <v>4.5882352941176467</v>
      </c>
      <c r="R73" s="43">
        <v>2.1111111111111112</v>
      </c>
      <c r="S73" s="28"/>
      <c r="T73" s="15"/>
    </row>
    <row r="74" spans="8:20">
      <c r="H74" s="59">
        <v>70</v>
      </c>
      <c r="I74" s="23">
        <v>20</v>
      </c>
      <c r="J74" s="20" t="s">
        <v>13</v>
      </c>
      <c r="K74" s="82">
        <v>37</v>
      </c>
      <c r="L74" s="15"/>
      <c r="M74" s="15"/>
      <c r="N74" s="15"/>
      <c r="O74" s="15"/>
      <c r="Q74" s="24">
        <v>1.1764705882352942</v>
      </c>
      <c r="R74" s="43">
        <v>2.0555555555555554</v>
      </c>
      <c r="S74" s="30"/>
      <c r="T74" s="15"/>
    </row>
    <row r="75" spans="8:20">
      <c r="H75" s="59">
        <v>71</v>
      </c>
      <c r="I75" s="25">
        <v>36</v>
      </c>
      <c r="J75" s="20" t="s">
        <v>13</v>
      </c>
      <c r="K75" s="81">
        <v>33</v>
      </c>
      <c r="L75" s="15"/>
      <c r="M75" s="15"/>
      <c r="N75" s="15"/>
      <c r="O75" s="15"/>
      <c r="Q75" s="43">
        <v>2.1176470588235294</v>
      </c>
      <c r="R75" s="24">
        <v>1.8333333333333333</v>
      </c>
      <c r="S75" s="30"/>
      <c r="T75" s="15"/>
    </row>
    <row r="76" spans="8:20">
      <c r="H76" s="59">
        <v>72</v>
      </c>
      <c r="I76" s="25">
        <v>37</v>
      </c>
      <c r="J76" s="20" t="s">
        <v>13</v>
      </c>
      <c r="K76" s="81">
        <v>32</v>
      </c>
      <c r="L76" s="15"/>
      <c r="M76" s="15"/>
      <c r="N76" s="15"/>
      <c r="O76" s="15"/>
      <c r="Q76" s="43">
        <v>2.1764705882352939</v>
      </c>
      <c r="R76" s="24">
        <v>1.7777777777777777</v>
      </c>
      <c r="S76" s="30"/>
      <c r="T76" s="15"/>
    </row>
    <row r="77" spans="8:20">
      <c r="H77" s="59">
        <v>73</v>
      </c>
      <c r="I77" s="23">
        <v>19</v>
      </c>
      <c r="J77" s="20" t="s">
        <v>13</v>
      </c>
      <c r="K77" s="82">
        <v>32</v>
      </c>
      <c r="L77" s="29"/>
      <c r="M77" s="29"/>
      <c r="N77" s="29"/>
      <c r="O77" s="29"/>
      <c r="Q77" s="24">
        <v>1.1176470588235294</v>
      </c>
      <c r="R77" s="24">
        <v>1.7777777777777777</v>
      </c>
      <c r="S77" s="28"/>
      <c r="T77" s="15"/>
    </row>
    <row r="78" spans="8:20">
      <c r="H78" s="59">
        <v>74</v>
      </c>
      <c r="I78" s="23">
        <v>36</v>
      </c>
      <c r="J78" s="20" t="s">
        <v>13</v>
      </c>
      <c r="K78" s="82">
        <v>27</v>
      </c>
      <c r="L78" s="15"/>
      <c r="M78" s="15"/>
      <c r="N78" s="15"/>
      <c r="O78" s="15"/>
      <c r="Q78" s="43">
        <v>2.1176470588235294</v>
      </c>
      <c r="R78" s="24">
        <v>1.5</v>
      </c>
      <c r="S78" s="28"/>
      <c r="T78" s="15"/>
    </row>
    <row r="79" spans="8:20">
      <c r="H79" s="59">
        <v>75</v>
      </c>
      <c r="I79" s="23">
        <v>42</v>
      </c>
      <c r="J79" s="20" t="s">
        <v>13</v>
      </c>
      <c r="K79" s="82">
        <v>25</v>
      </c>
      <c r="L79" s="29"/>
      <c r="M79" s="29"/>
      <c r="N79" s="29"/>
      <c r="O79" s="29"/>
      <c r="Q79" s="43">
        <v>2.4705882352941178</v>
      </c>
      <c r="R79" s="24">
        <v>1.3888888888888888</v>
      </c>
      <c r="S79" s="28"/>
      <c r="T79" s="15"/>
    </row>
    <row r="80" spans="8:20">
      <c r="H80" s="59">
        <v>76</v>
      </c>
      <c r="I80" s="31">
        <v>65</v>
      </c>
      <c r="J80" s="20" t="s">
        <v>13</v>
      </c>
      <c r="K80" s="82">
        <v>20</v>
      </c>
      <c r="L80" s="29"/>
      <c r="M80" s="29"/>
      <c r="N80" s="29"/>
      <c r="O80" s="29"/>
      <c r="Q80" s="43">
        <v>3.8235294117647061</v>
      </c>
      <c r="R80" s="24">
        <v>1.1111111111111112</v>
      </c>
      <c r="S80" s="28"/>
      <c r="T80" s="15"/>
    </row>
    <row r="81" spans="8:21">
      <c r="H81" s="59">
        <v>77</v>
      </c>
      <c r="I81" s="23">
        <v>20</v>
      </c>
      <c r="J81" s="20" t="s">
        <v>13</v>
      </c>
      <c r="K81" s="82">
        <v>14</v>
      </c>
      <c r="L81" s="15"/>
      <c r="M81" s="15"/>
      <c r="N81" s="15"/>
      <c r="O81" s="15"/>
      <c r="Q81" s="24">
        <v>1.1764705882352942</v>
      </c>
      <c r="R81" s="42">
        <v>0.77777777777777779</v>
      </c>
      <c r="S81" s="30"/>
      <c r="T81" s="15"/>
    </row>
    <row r="82" spans="8:21">
      <c r="H82" s="59">
        <v>78</v>
      </c>
      <c r="I82" s="23">
        <v>49</v>
      </c>
      <c r="J82" s="20" t="s">
        <v>13</v>
      </c>
      <c r="K82" s="82">
        <v>6</v>
      </c>
      <c r="L82" s="29"/>
      <c r="M82" s="29"/>
      <c r="N82" s="29"/>
      <c r="O82" s="29"/>
      <c r="Q82" s="43">
        <v>2.8823529411764706</v>
      </c>
      <c r="R82" s="42">
        <v>0.33333333333333331</v>
      </c>
      <c r="S82" s="30"/>
      <c r="T82" s="15"/>
    </row>
    <row r="83" spans="8:21">
      <c r="H83" s="59">
        <v>79</v>
      </c>
      <c r="I83" s="25">
        <v>21</v>
      </c>
      <c r="J83" s="20" t="s">
        <v>13</v>
      </c>
      <c r="K83" s="81">
        <v>5</v>
      </c>
      <c r="L83" s="15"/>
      <c r="M83" s="15"/>
      <c r="N83" s="15"/>
      <c r="O83" s="15"/>
      <c r="Q83" s="24">
        <v>1.2352941176470589</v>
      </c>
      <c r="R83" s="46">
        <v>0.27777777777777779</v>
      </c>
      <c r="S83" s="28"/>
      <c r="T83" s="15"/>
    </row>
    <row r="84" spans="8:21">
      <c r="H84" s="59">
        <v>80</v>
      </c>
      <c r="I84" s="23">
        <v>59</v>
      </c>
      <c r="J84" s="20" t="s">
        <v>13</v>
      </c>
      <c r="K84" s="82">
        <v>3</v>
      </c>
      <c r="L84" s="29"/>
      <c r="M84" s="29"/>
      <c r="N84" s="29"/>
      <c r="O84" s="29"/>
      <c r="Q84" s="43">
        <v>3.4705882352941178</v>
      </c>
      <c r="R84" s="42">
        <v>0.16666666666666666</v>
      </c>
      <c r="S84" s="30"/>
      <c r="T84" s="15"/>
    </row>
    <row r="85" spans="8:21">
      <c r="H85" s="59">
        <v>81</v>
      </c>
      <c r="I85" s="23">
        <v>45</v>
      </c>
      <c r="J85" s="20" t="s">
        <v>13</v>
      </c>
      <c r="K85" s="82">
        <v>2</v>
      </c>
      <c r="L85" s="15"/>
      <c r="M85" s="15"/>
      <c r="N85" s="15"/>
      <c r="O85" s="15"/>
      <c r="Q85" s="43">
        <v>2.6470588235294117</v>
      </c>
      <c r="R85" s="46">
        <v>0.1111111111111111</v>
      </c>
      <c r="S85" s="28"/>
      <c r="T85" s="15"/>
    </row>
    <row r="86" spans="8:21">
      <c r="H86" s="59">
        <v>82</v>
      </c>
      <c r="I86" s="23">
        <v>23</v>
      </c>
      <c r="J86" s="20" t="s">
        <v>13</v>
      </c>
      <c r="K86" s="82">
        <v>1</v>
      </c>
      <c r="L86" s="15"/>
      <c r="M86" s="15"/>
      <c r="N86" s="15"/>
      <c r="O86" s="15"/>
      <c r="Q86" s="24">
        <v>1.3529411764705883</v>
      </c>
      <c r="R86" s="42">
        <v>5.5555555555555552E-2</v>
      </c>
      <c r="S86" s="28"/>
      <c r="T86" s="15"/>
    </row>
    <row r="87" spans="8:21">
      <c r="H87" s="59">
        <v>83</v>
      </c>
      <c r="I87" s="23">
        <v>19</v>
      </c>
      <c r="J87" s="20" t="s">
        <v>13</v>
      </c>
      <c r="K87" s="82">
        <v>1</v>
      </c>
      <c r="L87" s="15"/>
      <c r="M87" s="15"/>
      <c r="N87" s="15"/>
      <c r="O87" s="15"/>
      <c r="Q87" s="24">
        <v>1.1176470588235294</v>
      </c>
      <c r="R87" s="42">
        <v>5.5555555555555552E-2</v>
      </c>
      <c r="S87" s="30"/>
      <c r="T87" s="15"/>
    </row>
    <row r="88" spans="8:21">
      <c r="H88" s="59">
        <v>84</v>
      </c>
      <c r="I88" s="89">
        <v>140</v>
      </c>
      <c r="J88" s="15"/>
      <c r="K88" s="15"/>
      <c r="L88" s="15"/>
      <c r="M88" s="15"/>
      <c r="N88" s="15"/>
      <c r="O88" s="15"/>
      <c r="Q88" s="43">
        <v>8.235294117647058</v>
      </c>
      <c r="R88" s="30"/>
      <c r="S88" s="30"/>
      <c r="T88" s="15"/>
    </row>
    <row r="89" spans="8:21">
      <c r="H89" s="59">
        <v>85</v>
      </c>
      <c r="I89" s="88">
        <v>119</v>
      </c>
      <c r="J89" s="29"/>
      <c r="K89" s="29"/>
      <c r="L89" s="29"/>
      <c r="M89" s="29"/>
      <c r="N89" s="29"/>
      <c r="O89" s="29"/>
      <c r="Q89" s="43">
        <v>7</v>
      </c>
      <c r="R89" s="30"/>
      <c r="S89" s="30"/>
      <c r="T89" s="15"/>
    </row>
    <row r="90" spans="8:21">
      <c r="H90" s="59">
        <v>86</v>
      </c>
      <c r="I90" s="89">
        <v>102</v>
      </c>
      <c r="J90" s="15"/>
      <c r="K90" s="15"/>
      <c r="L90" s="15"/>
      <c r="M90" s="15"/>
      <c r="N90" s="15"/>
      <c r="O90" s="15"/>
      <c r="Q90" s="43">
        <v>6</v>
      </c>
      <c r="R90" s="30"/>
      <c r="S90" s="30"/>
      <c r="T90" s="15"/>
    </row>
    <row r="91" spans="8:21">
      <c r="H91" s="59">
        <v>87</v>
      </c>
      <c r="I91" s="89">
        <v>87</v>
      </c>
      <c r="J91" s="15"/>
      <c r="K91" s="15"/>
      <c r="L91" s="15"/>
      <c r="M91" s="15"/>
      <c r="N91" s="15"/>
      <c r="O91" s="15"/>
      <c r="Q91" s="43">
        <v>5.117647058823529</v>
      </c>
      <c r="R91" s="30"/>
      <c r="S91" s="30"/>
      <c r="T91" s="15"/>
    </row>
    <row r="92" spans="8:21">
      <c r="H92" s="59">
        <v>88</v>
      </c>
      <c r="I92" s="89">
        <v>81</v>
      </c>
      <c r="J92" s="15"/>
      <c r="K92" s="15"/>
      <c r="L92" s="15"/>
      <c r="M92" s="15"/>
      <c r="N92" s="15"/>
      <c r="O92" s="15"/>
      <c r="Q92" s="43">
        <v>4.7647058823529411</v>
      </c>
      <c r="R92" s="28"/>
      <c r="S92" s="28"/>
      <c r="T92" s="15"/>
    </row>
    <row r="93" spans="8:21">
      <c r="H93" s="59">
        <v>89</v>
      </c>
      <c r="I93" s="82">
        <v>56</v>
      </c>
      <c r="J93" s="15"/>
      <c r="K93" s="15"/>
      <c r="L93" s="15"/>
      <c r="M93" s="15"/>
      <c r="N93" s="15"/>
      <c r="O93" s="15"/>
      <c r="Q93" s="43">
        <v>3.2941176470588234</v>
      </c>
      <c r="R93" s="30"/>
      <c r="S93" s="30"/>
      <c r="T93" s="15"/>
    </row>
    <row r="94" spans="8:21">
      <c r="H94" s="59">
        <v>90</v>
      </c>
      <c r="I94" s="82">
        <v>43</v>
      </c>
      <c r="J94" s="15"/>
      <c r="K94" s="15"/>
      <c r="L94" s="15"/>
      <c r="M94" s="15"/>
      <c r="N94" s="15"/>
      <c r="O94" s="15"/>
      <c r="Q94" s="43">
        <v>2.5294117647058822</v>
      </c>
      <c r="R94" s="30"/>
      <c r="S94" s="28"/>
      <c r="T94" s="15"/>
    </row>
    <row r="95" spans="8:21">
      <c r="H95" s="59">
        <v>91</v>
      </c>
      <c r="I95" s="89">
        <v>11</v>
      </c>
      <c r="J95" s="32" t="s">
        <v>17</v>
      </c>
      <c r="K95" s="15"/>
      <c r="L95" s="15"/>
      <c r="M95" s="15"/>
      <c r="N95" s="15"/>
      <c r="O95" s="15"/>
      <c r="Q95" s="42">
        <v>0.6470588235294118</v>
      </c>
      <c r="R95" s="30"/>
      <c r="S95" s="30"/>
      <c r="T95" s="15"/>
      <c r="U95" t="s">
        <v>307</v>
      </c>
    </row>
    <row r="96" spans="8:21" ht="15.75" thickBot="1">
      <c r="Q96">
        <f>COUNT(Q5:Q95)</f>
        <v>91</v>
      </c>
      <c r="R96">
        <f>COUNT(R5:R87)</f>
        <v>83</v>
      </c>
      <c r="S96">
        <f>COUNT(S5:S52)</f>
        <v>48</v>
      </c>
      <c r="T96">
        <f>COUNT(T5:T16)</f>
        <v>12</v>
      </c>
      <c r="U96">
        <f>SUM(Q96:T96)</f>
        <v>234</v>
      </c>
    </row>
    <row r="97" spans="4:16" ht="15.75" thickBot="1">
      <c r="I97" s="47" t="s">
        <v>12</v>
      </c>
      <c r="J97" s="39" t="s">
        <v>13</v>
      </c>
      <c r="K97" s="48" t="s">
        <v>14</v>
      </c>
      <c r="L97" s="40" t="s">
        <v>15</v>
      </c>
      <c r="M97" s="48" t="s">
        <v>12</v>
      </c>
      <c r="N97" s="41" t="s">
        <v>16</v>
      </c>
      <c r="O97" s="49" t="s">
        <v>14</v>
      </c>
    </row>
    <row r="98" spans="4:16">
      <c r="F98" s="91" t="s">
        <v>19</v>
      </c>
      <c r="H98" s="92" t="s">
        <v>20</v>
      </c>
      <c r="I98" s="93">
        <f>AVERAGE(I5:I87)</f>
        <v>29.626506024096386</v>
      </c>
      <c r="J98" s="93">
        <f>STDEV(I2:I87)</f>
        <v>18.330110403359647</v>
      </c>
      <c r="K98" s="93">
        <f>AVERAGE(K5:K53)</f>
        <v>31.102040816326532</v>
      </c>
      <c r="L98" s="93">
        <f>STDEV(K5:K53)</f>
        <v>15.112418869315151</v>
      </c>
      <c r="M98" s="93">
        <f>AVERAGE(M5:M16)</f>
        <v>33.5</v>
      </c>
      <c r="N98" s="93">
        <f>STDEV(O2:O13)</f>
        <v>13.629013170439011</v>
      </c>
      <c r="O98" s="94"/>
    </row>
    <row r="99" spans="4:16">
      <c r="F99" s="33"/>
      <c r="G99" s="33"/>
      <c r="H99" s="95" t="s">
        <v>21</v>
      </c>
      <c r="I99" s="34">
        <f>MEDIAN(I5:I87)</f>
        <v>22</v>
      </c>
      <c r="J99" s="34"/>
      <c r="K99" s="34">
        <f>MEDIAN(K5:K53)</f>
        <v>25</v>
      </c>
      <c r="L99" s="34"/>
      <c r="M99" s="34">
        <f>MEDIAN(M5:M16)</f>
        <v>28.5</v>
      </c>
      <c r="N99" s="34"/>
      <c r="O99" s="96"/>
    </row>
    <row r="100" spans="4:16">
      <c r="F100" s="90" t="s">
        <v>22</v>
      </c>
      <c r="H100" s="97" t="s">
        <v>20</v>
      </c>
      <c r="I100" s="98">
        <f>AVERAGE(I88:I95)</f>
        <v>79.875</v>
      </c>
      <c r="J100" s="98">
        <f>STDEV(K85:K92)</f>
        <v>0.57735026918962584</v>
      </c>
      <c r="K100" s="99">
        <f>AVERAGE(K54:K87)</f>
        <v>46.117647058823529</v>
      </c>
      <c r="L100" s="98">
        <f>STDEV(K54:K87)</f>
        <v>32.568589353512351</v>
      </c>
      <c r="M100" s="98">
        <f>AVERAGE(M17:M52)</f>
        <v>44.138888888888886</v>
      </c>
      <c r="N100" s="98">
        <f>STDEV(O14:O49)</f>
        <v>10.692676621563628</v>
      </c>
      <c r="O100" s="100">
        <f>AVERAGE(O5:O16)</f>
        <v>39.416666666666664</v>
      </c>
    </row>
    <row r="101" spans="4:16">
      <c r="H101" s="95" t="s">
        <v>21</v>
      </c>
      <c r="I101" s="34">
        <f>MEDIAN(I88:I95)</f>
        <v>84</v>
      </c>
      <c r="J101" s="34"/>
      <c r="K101" s="101">
        <f>MEDIAN(K54:K87)</f>
        <v>41.5</v>
      </c>
      <c r="L101" s="34"/>
      <c r="M101" s="34">
        <f>MEDIAN(M17:M52)</f>
        <v>40</v>
      </c>
      <c r="N101" s="34"/>
      <c r="O101" s="96">
        <f>MEDIAN(O5:O16)</f>
        <v>38</v>
      </c>
    </row>
    <row r="102" spans="4:16">
      <c r="P102" t="s">
        <v>307</v>
      </c>
    </row>
    <row r="103" spans="4:16">
      <c r="D103" t="s">
        <v>319</v>
      </c>
      <c r="I103" s="58">
        <f>COUNT(I88:I95)</f>
        <v>8</v>
      </c>
      <c r="J103" s="58"/>
      <c r="K103" s="58">
        <f>COUNT(K54:K87)</f>
        <v>34</v>
      </c>
      <c r="L103" s="58"/>
      <c r="M103" s="58">
        <f>COUNT(M17:M53)</f>
        <v>37</v>
      </c>
      <c r="N103" s="58"/>
      <c r="O103" s="58">
        <f>COUNT(O5:O16)</f>
        <v>12</v>
      </c>
      <c r="P103">
        <f>SUM(I103:O103)</f>
        <v>91</v>
      </c>
    </row>
    <row r="105" spans="4:16">
      <c r="F105" s="125" t="s">
        <v>333</v>
      </c>
      <c r="G105" s="126"/>
      <c r="H105" s="126"/>
      <c r="I105" s="126"/>
      <c r="J105" s="126"/>
      <c r="K105" s="126"/>
      <c r="L105" s="126"/>
      <c r="M105" s="127">
        <f>80/144*100</f>
        <v>55.555555555555557</v>
      </c>
    </row>
    <row r="106" spans="4:16">
      <c r="F106" s="128" t="s">
        <v>334</v>
      </c>
      <c r="G106" s="129"/>
      <c r="H106" s="129"/>
      <c r="I106" s="129"/>
      <c r="J106" s="129"/>
      <c r="K106" s="129"/>
      <c r="L106" s="129"/>
      <c r="M106" s="130">
        <f>70/73*100</f>
        <v>95.890410958904098</v>
      </c>
    </row>
    <row r="107" spans="4:16">
      <c r="F107" t="s">
        <v>332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4"/>
  <sheetViews>
    <sheetView workbookViewId="0">
      <selection activeCell="F39" sqref="F39"/>
    </sheetView>
  </sheetViews>
  <sheetFormatPr defaultRowHeight="15"/>
  <cols>
    <col min="1" max="1" width="7.7109375" customWidth="1"/>
    <col min="2" max="2" width="6" customWidth="1"/>
    <col min="3" max="3" width="12.28515625" customWidth="1"/>
    <col min="4" max="4" width="8.28515625" customWidth="1"/>
    <col min="6" max="6" width="23.5703125" customWidth="1"/>
    <col min="7" max="7" width="17.7109375" customWidth="1"/>
    <col min="8" max="8" width="22.42578125" customWidth="1"/>
    <col min="9" max="9" width="30" customWidth="1"/>
    <col min="10" max="11" width="4.28515625" customWidth="1"/>
    <col min="12" max="12" width="3.5703125" customWidth="1"/>
    <col min="13" max="13" width="4.140625" customWidth="1"/>
    <col min="14" max="14" width="0.85546875" customWidth="1"/>
    <col min="15" max="15" width="4.7109375" customWidth="1"/>
    <col min="16" max="16" width="3.85546875" customWidth="1"/>
    <col min="17" max="17" width="12.140625" customWidth="1"/>
  </cols>
  <sheetData>
    <row r="1" spans="1:19" ht="18.75">
      <c r="A1" s="2" t="s">
        <v>6</v>
      </c>
    </row>
    <row r="3" spans="1:19">
      <c r="Q3" s="1" t="s">
        <v>34</v>
      </c>
    </row>
    <row r="4" spans="1:19">
      <c r="A4" s="76" t="s">
        <v>24</v>
      </c>
      <c r="B4" s="33" t="s">
        <v>55</v>
      </c>
      <c r="C4" s="33" t="s">
        <v>25</v>
      </c>
      <c r="D4" s="33" t="s">
        <v>40</v>
      </c>
      <c r="E4" s="33" t="s">
        <v>26</v>
      </c>
      <c r="F4" s="33" t="s">
        <v>27</v>
      </c>
      <c r="G4" s="33" t="s">
        <v>322</v>
      </c>
      <c r="H4" s="33" t="s">
        <v>28</v>
      </c>
      <c r="I4" s="33" t="s">
        <v>38</v>
      </c>
      <c r="J4" s="77" t="s">
        <v>35</v>
      </c>
      <c r="K4" s="77"/>
      <c r="L4" s="78"/>
      <c r="M4" s="78"/>
      <c r="N4" s="78"/>
      <c r="O4" s="78"/>
      <c r="P4" s="78"/>
      <c r="Q4" s="33" t="s">
        <v>29</v>
      </c>
      <c r="R4" s="108" t="s">
        <v>30</v>
      </c>
      <c r="S4" s="33" t="s">
        <v>37</v>
      </c>
    </row>
    <row r="5" spans="1:19">
      <c r="A5" s="1">
        <v>1</v>
      </c>
      <c r="B5" t="s">
        <v>53</v>
      </c>
      <c r="C5" s="73">
        <v>1</v>
      </c>
      <c r="D5" s="58" t="s">
        <v>39</v>
      </c>
      <c r="E5" s="58" t="s">
        <v>76</v>
      </c>
      <c r="F5" s="115" t="s">
        <v>76</v>
      </c>
      <c r="G5" s="55" t="s">
        <v>41</v>
      </c>
      <c r="H5" s="55" t="s">
        <v>75</v>
      </c>
      <c r="I5" s="55" t="s">
        <v>74</v>
      </c>
      <c r="J5" s="62" t="s">
        <v>42</v>
      </c>
      <c r="K5" s="62" t="s">
        <v>42</v>
      </c>
      <c r="L5" s="62" t="s">
        <v>42</v>
      </c>
      <c r="M5" s="62" t="s">
        <v>42</v>
      </c>
      <c r="N5" s="61"/>
      <c r="O5" s="62" t="s">
        <v>42</v>
      </c>
      <c r="P5" s="62" t="s">
        <v>42</v>
      </c>
      <c r="Q5" s="56">
        <v>50329568</v>
      </c>
      <c r="R5" s="58">
        <v>14</v>
      </c>
      <c r="S5" t="s">
        <v>36</v>
      </c>
    </row>
    <row r="6" spans="1:19">
      <c r="A6" s="1">
        <v>2</v>
      </c>
      <c r="B6" t="s">
        <v>53</v>
      </c>
      <c r="C6" s="74" t="s">
        <v>43</v>
      </c>
      <c r="D6" s="58" t="s">
        <v>39</v>
      </c>
      <c r="E6" s="58">
        <v>14</v>
      </c>
      <c r="F6" s="57" t="s">
        <v>44</v>
      </c>
      <c r="G6" s="54" t="s">
        <v>47</v>
      </c>
      <c r="H6" s="55" t="s">
        <v>46</v>
      </c>
      <c r="I6" s="54" t="s">
        <v>45</v>
      </c>
      <c r="J6" s="62" t="s">
        <v>31</v>
      </c>
      <c r="K6" s="62" t="s">
        <v>33</v>
      </c>
      <c r="L6" s="62" t="s">
        <v>31</v>
      </c>
      <c r="M6" s="62" t="s">
        <v>31</v>
      </c>
      <c r="N6" s="61"/>
      <c r="O6" s="62" t="s">
        <v>15</v>
      </c>
      <c r="P6" s="62" t="s">
        <v>31</v>
      </c>
      <c r="Q6" s="56">
        <v>96192169</v>
      </c>
      <c r="R6" s="58">
        <v>12</v>
      </c>
      <c r="S6" t="s">
        <v>36</v>
      </c>
    </row>
    <row r="7" spans="1:19">
      <c r="A7" s="1">
        <v>3</v>
      </c>
      <c r="B7" t="s">
        <v>54</v>
      </c>
      <c r="C7" s="75" t="s">
        <v>48</v>
      </c>
      <c r="D7" s="58" t="s">
        <v>39</v>
      </c>
      <c r="E7" s="58">
        <v>16</v>
      </c>
      <c r="F7" s="57" t="s">
        <v>49</v>
      </c>
      <c r="G7" s="54" t="s">
        <v>50</v>
      </c>
      <c r="H7" s="55" t="s">
        <v>51</v>
      </c>
      <c r="I7" s="54" t="s">
        <v>52</v>
      </c>
      <c r="J7" s="62" t="s">
        <v>31</v>
      </c>
      <c r="K7" s="60" t="s">
        <v>31</v>
      </c>
      <c r="L7" s="60" t="s">
        <v>31</v>
      </c>
      <c r="M7" s="60" t="s">
        <v>31</v>
      </c>
      <c r="N7" s="61"/>
      <c r="O7" s="62" t="s">
        <v>32</v>
      </c>
      <c r="P7" s="62" t="s">
        <v>32</v>
      </c>
      <c r="Q7" s="56">
        <v>151124725</v>
      </c>
      <c r="R7" s="58">
        <v>1</v>
      </c>
      <c r="S7" t="s">
        <v>36</v>
      </c>
    </row>
    <row r="8" spans="1:19">
      <c r="A8" s="1">
        <v>4</v>
      </c>
      <c r="B8" t="s">
        <v>54</v>
      </c>
      <c r="C8" s="75">
        <v>48</v>
      </c>
      <c r="D8" s="58" t="s">
        <v>39</v>
      </c>
      <c r="E8" s="58">
        <v>13</v>
      </c>
      <c r="F8" s="57" t="s">
        <v>56</v>
      </c>
      <c r="G8" s="54" t="s">
        <v>57</v>
      </c>
      <c r="H8" s="55" t="s">
        <v>58</v>
      </c>
      <c r="I8" s="54" t="s">
        <v>59</v>
      </c>
      <c r="J8" s="60" t="s">
        <v>31</v>
      </c>
      <c r="K8" s="62" t="s">
        <v>33</v>
      </c>
      <c r="L8" s="60" t="s">
        <v>31</v>
      </c>
      <c r="M8" s="60" t="s">
        <v>31</v>
      </c>
      <c r="N8" s="61"/>
      <c r="O8" s="62" t="s">
        <v>32</v>
      </c>
      <c r="P8" s="62" t="s">
        <v>32</v>
      </c>
      <c r="Q8" s="56">
        <v>20623400</v>
      </c>
      <c r="R8" s="58">
        <v>9</v>
      </c>
      <c r="S8" t="s">
        <v>36</v>
      </c>
    </row>
    <row r="9" spans="1:19">
      <c r="A9" s="1">
        <v>5</v>
      </c>
      <c r="B9" t="s">
        <v>54</v>
      </c>
      <c r="C9" s="75" t="s">
        <v>60</v>
      </c>
      <c r="D9" s="58" t="s">
        <v>39</v>
      </c>
      <c r="E9" s="58">
        <v>15</v>
      </c>
      <c r="F9" s="57" t="s">
        <v>61</v>
      </c>
      <c r="G9" s="54" t="s">
        <v>62</v>
      </c>
      <c r="H9" s="55" t="s">
        <v>63</v>
      </c>
      <c r="I9" s="54" t="s">
        <v>64</v>
      </c>
      <c r="J9" s="60" t="s">
        <v>31</v>
      </c>
      <c r="K9" s="62" t="s">
        <v>31</v>
      </c>
      <c r="L9" s="60" t="s">
        <v>31</v>
      </c>
      <c r="M9" s="60" t="s">
        <v>31</v>
      </c>
      <c r="N9" s="61"/>
      <c r="O9" s="60" t="s">
        <v>32</v>
      </c>
      <c r="P9" s="60" t="s">
        <v>32</v>
      </c>
      <c r="Q9" s="56">
        <v>70268177</v>
      </c>
      <c r="R9" s="58">
        <v>3</v>
      </c>
      <c r="S9" t="s">
        <v>36</v>
      </c>
    </row>
    <row r="10" spans="1:19">
      <c r="A10" s="1">
        <v>6</v>
      </c>
      <c r="B10" t="s">
        <v>54</v>
      </c>
      <c r="C10" s="73">
        <v>13</v>
      </c>
      <c r="D10" s="58" t="s">
        <v>39</v>
      </c>
      <c r="E10" s="58">
        <v>17</v>
      </c>
      <c r="F10" s="57" t="s">
        <v>65</v>
      </c>
      <c r="G10" s="54" t="s">
        <v>66</v>
      </c>
      <c r="H10" s="54" t="s">
        <v>67</v>
      </c>
      <c r="I10" s="54" t="s">
        <v>68</v>
      </c>
      <c r="J10" s="60" t="s">
        <v>31</v>
      </c>
      <c r="K10" s="62" t="s">
        <v>33</v>
      </c>
      <c r="L10" s="60" t="s">
        <v>31</v>
      </c>
      <c r="M10" s="60" t="s">
        <v>31</v>
      </c>
      <c r="N10" s="61"/>
      <c r="O10" s="60" t="s">
        <v>32</v>
      </c>
      <c r="P10" s="60" t="s">
        <v>32</v>
      </c>
      <c r="Q10" s="56">
        <v>2843712</v>
      </c>
      <c r="R10" s="58">
        <v>7</v>
      </c>
      <c r="S10" t="s">
        <v>36</v>
      </c>
    </row>
    <row r="11" spans="1:19">
      <c r="A11" s="1">
        <v>7</v>
      </c>
      <c r="B11" t="s">
        <v>54</v>
      </c>
      <c r="C11" s="72" t="s">
        <v>73</v>
      </c>
      <c r="D11" s="58" t="s">
        <v>39</v>
      </c>
      <c r="E11" s="58">
        <v>14</v>
      </c>
      <c r="F11" s="57" t="s">
        <v>69</v>
      </c>
      <c r="G11" s="54" t="s">
        <v>70</v>
      </c>
      <c r="H11" s="54" t="s">
        <v>71</v>
      </c>
      <c r="I11" s="54" t="s">
        <v>72</v>
      </c>
      <c r="J11" s="62" t="s">
        <v>33</v>
      </c>
      <c r="K11" s="62" t="s">
        <v>33</v>
      </c>
      <c r="L11" s="60" t="s">
        <v>31</v>
      </c>
      <c r="M11" s="60" t="s">
        <v>31</v>
      </c>
      <c r="N11" s="61"/>
      <c r="O11" s="62" t="s">
        <v>32</v>
      </c>
      <c r="P11" s="62" t="s">
        <v>32</v>
      </c>
      <c r="Q11" s="56">
        <v>133956392</v>
      </c>
      <c r="R11" s="58">
        <v>3</v>
      </c>
      <c r="S11" t="s">
        <v>36</v>
      </c>
    </row>
    <row r="12" spans="1:19">
      <c r="A12" s="63"/>
      <c r="B12" s="59"/>
      <c r="C12" s="59"/>
      <c r="D12" s="64"/>
      <c r="E12" s="64"/>
      <c r="F12" s="65"/>
      <c r="G12" s="66"/>
      <c r="H12" s="67"/>
      <c r="I12" s="55" t="s">
        <v>323</v>
      </c>
      <c r="J12" s="68"/>
      <c r="K12" s="68"/>
      <c r="L12" s="68"/>
      <c r="M12" s="68"/>
      <c r="N12" s="68"/>
      <c r="O12" s="68"/>
      <c r="P12" s="68"/>
      <c r="Q12" s="69"/>
      <c r="R12" s="64"/>
      <c r="S12" s="59"/>
    </row>
    <row r="13" spans="1:19">
      <c r="A13" s="63"/>
      <c r="B13" s="59"/>
      <c r="C13" s="59"/>
      <c r="D13" s="64"/>
      <c r="E13" s="68"/>
      <c r="F13" s="65"/>
      <c r="G13" s="66"/>
      <c r="H13" s="67"/>
      <c r="I13" s="67"/>
      <c r="J13" s="68"/>
      <c r="K13" s="68"/>
      <c r="L13" s="68"/>
      <c r="M13" s="68"/>
      <c r="N13" s="68"/>
      <c r="O13" s="68"/>
      <c r="P13" s="68"/>
      <c r="Q13" s="69"/>
      <c r="R13" s="64"/>
      <c r="S13" s="59"/>
    </row>
    <row r="14" spans="1:19">
      <c r="A14" s="69" t="s">
        <v>77</v>
      </c>
      <c r="B14" s="59"/>
      <c r="C14" s="59"/>
      <c r="D14" s="64"/>
      <c r="E14" s="64"/>
      <c r="F14" s="65"/>
      <c r="G14" s="66"/>
      <c r="H14" s="67"/>
      <c r="I14" s="67"/>
      <c r="J14" s="68"/>
      <c r="K14" s="68"/>
      <c r="L14" s="68"/>
      <c r="M14" s="68"/>
      <c r="N14" s="68"/>
      <c r="O14" s="68"/>
      <c r="P14" s="68"/>
      <c r="Q14" s="69"/>
      <c r="R14" s="64"/>
      <c r="S14" s="59"/>
    </row>
    <row r="15" spans="1:19">
      <c r="A15" s="63"/>
      <c r="B15" s="59"/>
      <c r="C15" s="59"/>
      <c r="D15" s="64"/>
      <c r="E15" s="64"/>
      <c r="F15" s="65"/>
      <c r="G15" s="66"/>
      <c r="H15" s="67"/>
      <c r="I15" s="67"/>
      <c r="J15" s="68"/>
      <c r="K15" s="68"/>
      <c r="L15" s="68"/>
      <c r="M15" s="68"/>
      <c r="N15" s="68"/>
      <c r="O15" s="68"/>
      <c r="P15" s="68"/>
      <c r="Q15" s="69"/>
      <c r="R15" s="64"/>
      <c r="S15" s="59"/>
    </row>
    <row r="16" spans="1:19">
      <c r="A16" s="63"/>
      <c r="B16" s="59"/>
      <c r="C16" s="59"/>
      <c r="D16" s="64"/>
      <c r="E16" s="64"/>
      <c r="F16" s="65"/>
      <c r="G16" s="66"/>
      <c r="H16" s="67"/>
      <c r="I16" s="67"/>
      <c r="J16" s="68"/>
      <c r="K16" s="68"/>
      <c r="L16" s="68"/>
      <c r="M16" s="68"/>
      <c r="N16" s="68"/>
      <c r="O16" s="68"/>
      <c r="P16" s="68"/>
      <c r="Q16" s="69"/>
      <c r="R16" s="64"/>
      <c r="S16" s="59"/>
    </row>
    <row r="17" spans="1:19">
      <c r="A17" s="63"/>
      <c r="B17" s="59"/>
      <c r="C17" s="59"/>
      <c r="D17" s="64"/>
      <c r="E17" s="64"/>
      <c r="F17" s="65"/>
      <c r="G17" s="66"/>
      <c r="H17" s="67"/>
      <c r="I17" s="70"/>
      <c r="J17" s="68"/>
      <c r="K17" s="68"/>
      <c r="L17" s="68"/>
      <c r="M17" s="68"/>
      <c r="N17" s="68"/>
      <c r="O17" s="68"/>
      <c r="P17" s="68"/>
      <c r="Q17" s="69"/>
      <c r="R17" s="64"/>
      <c r="S17" s="59"/>
    </row>
    <row r="18" spans="1:19">
      <c r="A18" s="63"/>
      <c r="B18" s="59"/>
      <c r="C18" s="59"/>
      <c r="D18" s="64"/>
      <c r="E18" s="64"/>
      <c r="F18" s="65"/>
      <c r="G18" s="66"/>
      <c r="H18" s="67"/>
      <c r="I18" s="67"/>
      <c r="J18" s="68"/>
      <c r="K18" s="68"/>
      <c r="L18" s="68"/>
      <c r="M18" s="68"/>
      <c r="N18" s="68"/>
      <c r="O18" s="68"/>
      <c r="P18" s="68"/>
      <c r="Q18" s="69"/>
      <c r="R18" s="64"/>
      <c r="S18" s="59"/>
    </row>
    <row r="19" spans="1:19">
      <c r="A19" s="63"/>
      <c r="B19" s="59"/>
      <c r="C19" s="59"/>
      <c r="D19" s="64"/>
      <c r="E19" s="64"/>
      <c r="F19" s="65"/>
      <c r="G19" s="66"/>
      <c r="H19" s="67"/>
      <c r="I19" s="67"/>
      <c r="J19" s="68"/>
      <c r="K19" s="68"/>
      <c r="L19" s="68"/>
      <c r="M19" s="68"/>
      <c r="N19" s="68"/>
      <c r="O19" s="68"/>
      <c r="P19" s="68"/>
      <c r="Q19" s="69"/>
      <c r="R19" s="64"/>
      <c r="S19" s="59"/>
    </row>
    <row r="20" spans="1:19">
      <c r="A20" s="63"/>
      <c r="B20" s="59"/>
      <c r="C20" s="59"/>
      <c r="D20" s="64"/>
      <c r="E20" s="68"/>
      <c r="F20" s="65"/>
      <c r="G20" s="66"/>
      <c r="H20" s="67"/>
      <c r="I20" s="66"/>
      <c r="J20" s="68"/>
      <c r="K20" s="68"/>
      <c r="L20" s="68"/>
      <c r="M20" s="68"/>
      <c r="N20" s="68"/>
      <c r="O20" s="68"/>
      <c r="P20" s="68"/>
      <c r="Q20" s="69"/>
      <c r="R20" s="64"/>
      <c r="S20" s="59"/>
    </row>
    <row r="21" spans="1:19">
      <c r="A21" s="63"/>
      <c r="B21" s="59"/>
      <c r="C21" s="59"/>
      <c r="D21" s="64"/>
      <c r="E21" s="64"/>
      <c r="F21" s="65"/>
      <c r="G21" s="66"/>
      <c r="H21" s="67"/>
      <c r="I21" s="67"/>
      <c r="J21" s="68"/>
      <c r="K21" s="68"/>
      <c r="L21" s="68"/>
      <c r="M21" s="68"/>
      <c r="N21" s="68"/>
      <c r="O21" s="64"/>
      <c r="P21" s="64"/>
      <c r="Q21" s="69"/>
      <c r="R21" s="64"/>
      <c r="S21" s="59"/>
    </row>
    <row r="22" spans="1:19">
      <c r="A22" s="63"/>
      <c r="B22" s="59"/>
      <c r="C22" s="59"/>
      <c r="D22" s="64"/>
      <c r="E22" s="64"/>
      <c r="F22" s="65"/>
      <c r="G22" s="66"/>
      <c r="H22" s="67"/>
      <c r="I22" s="67"/>
      <c r="J22" s="68"/>
      <c r="K22" s="68"/>
      <c r="L22" s="68"/>
      <c r="M22" s="68"/>
      <c r="N22" s="68"/>
      <c r="O22" s="64"/>
      <c r="P22" s="64"/>
      <c r="Q22" s="69"/>
      <c r="R22" s="64"/>
      <c r="S22" s="59"/>
    </row>
    <row r="23" spans="1:19">
      <c r="A23" s="63"/>
      <c r="B23" s="59"/>
      <c r="C23" s="59"/>
      <c r="D23" s="64"/>
      <c r="E23" s="64"/>
      <c r="F23" s="65"/>
      <c r="G23" s="66"/>
      <c r="H23" s="67"/>
      <c r="I23" s="67"/>
      <c r="J23" s="68"/>
      <c r="K23" s="68"/>
      <c r="L23" s="68"/>
      <c r="M23" s="68"/>
      <c r="N23" s="68"/>
      <c r="O23" s="64"/>
      <c r="P23" s="64"/>
      <c r="Q23" s="69"/>
      <c r="R23" s="64"/>
      <c r="S23" s="59"/>
    </row>
    <row r="24" spans="1:19">
      <c r="A24" s="63"/>
      <c r="B24" s="59"/>
      <c r="C24" s="59"/>
      <c r="D24" s="64"/>
      <c r="E24" s="64"/>
      <c r="F24" s="65"/>
      <c r="G24" s="66"/>
      <c r="H24" s="67"/>
      <c r="I24" s="66"/>
      <c r="J24" s="68"/>
      <c r="K24" s="68"/>
      <c r="L24" s="68"/>
      <c r="M24" s="68"/>
      <c r="N24" s="68"/>
      <c r="O24" s="64"/>
      <c r="P24" s="64"/>
      <c r="Q24" s="69"/>
      <c r="R24" s="64"/>
      <c r="S24" s="59"/>
    </row>
    <row r="25" spans="1:19">
      <c r="A25" s="63"/>
      <c r="B25" s="59"/>
      <c r="C25" s="59"/>
      <c r="D25" s="64"/>
      <c r="E25" s="64"/>
      <c r="F25" s="65"/>
      <c r="G25" s="66"/>
      <c r="H25" s="67"/>
      <c r="I25" s="66"/>
      <c r="J25" s="68"/>
      <c r="K25" s="68"/>
      <c r="L25" s="68"/>
      <c r="M25" s="68"/>
      <c r="N25" s="68"/>
      <c r="O25" s="64"/>
      <c r="P25" s="64"/>
      <c r="Q25" s="69"/>
      <c r="R25" s="64"/>
      <c r="S25" s="59"/>
    </row>
    <row r="26" spans="1:19">
      <c r="A26" s="63"/>
      <c r="B26" s="59"/>
      <c r="C26" s="59"/>
      <c r="D26" s="64"/>
      <c r="E26" s="64"/>
      <c r="F26" s="65"/>
      <c r="G26" s="66"/>
      <c r="H26" s="67"/>
      <c r="I26" s="67"/>
      <c r="J26" s="68"/>
      <c r="K26" s="68"/>
      <c r="L26" s="68"/>
      <c r="M26" s="64"/>
      <c r="N26" s="64"/>
      <c r="O26" s="64"/>
      <c r="P26" s="64"/>
      <c r="Q26" s="69"/>
      <c r="R26" s="64"/>
      <c r="S26" s="59"/>
    </row>
    <row r="27" spans="1:19">
      <c r="A27" s="63"/>
      <c r="B27" s="59"/>
      <c r="C27" s="59"/>
      <c r="D27" s="64"/>
      <c r="E27" s="64"/>
      <c r="F27" s="65"/>
      <c r="G27" s="66"/>
      <c r="H27" s="67"/>
      <c r="I27" s="67"/>
      <c r="J27" s="68"/>
      <c r="K27" s="68"/>
      <c r="L27" s="68"/>
      <c r="M27" s="68"/>
      <c r="N27" s="68"/>
      <c r="O27" s="64"/>
      <c r="P27" s="64"/>
      <c r="Q27" s="69"/>
      <c r="R27" s="64"/>
      <c r="S27" s="59"/>
    </row>
    <row r="28" spans="1:19">
      <c r="A28" s="63"/>
      <c r="B28" s="59"/>
      <c r="C28" s="59"/>
      <c r="D28" s="64"/>
      <c r="E28" s="64"/>
      <c r="F28" s="65"/>
      <c r="G28" s="66"/>
      <c r="H28" s="67"/>
      <c r="I28" s="66"/>
      <c r="J28" s="68"/>
      <c r="K28" s="68"/>
      <c r="L28" s="68"/>
      <c r="M28" s="68"/>
      <c r="N28" s="68"/>
      <c r="O28" s="64"/>
      <c r="P28" s="64"/>
      <c r="Q28" s="69"/>
      <c r="R28" s="64"/>
      <c r="S28" s="59"/>
    </row>
    <row r="29" spans="1:19">
      <c r="A29" s="63"/>
      <c r="B29" s="59"/>
      <c r="C29" s="59"/>
      <c r="D29" s="64"/>
      <c r="E29" s="64"/>
      <c r="F29" s="65"/>
      <c r="G29" s="66"/>
      <c r="H29" s="67"/>
      <c r="I29" s="67"/>
      <c r="J29" s="68"/>
      <c r="K29" s="68"/>
      <c r="L29" s="68"/>
      <c r="M29" s="68"/>
      <c r="N29" s="68"/>
      <c r="O29" s="64"/>
      <c r="P29" s="64"/>
      <c r="Q29" s="69"/>
      <c r="R29" s="64"/>
      <c r="S29" s="59"/>
    </row>
    <row r="30" spans="1:19">
      <c r="A30" s="63"/>
      <c r="B30" s="59"/>
      <c r="C30" s="59"/>
      <c r="D30" s="64"/>
      <c r="E30" s="68"/>
      <c r="F30" s="65"/>
      <c r="G30" s="66"/>
      <c r="H30" s="67"/>
      <c r="I30" s="67"/>
      <c r="J30" s="68"/>
      <c r="K30" s="68"/>
      <c r="L30" s="68"/>
      <c r="M30" s="68"/>
      <c r="N30" s="68"/>
      <c r="O30" s="68"/>
      <c r="P30" s="68"/>
      <c r="Q30" s="69"/>
      <c r="R30" s="64"/>
      <c r="S30" s="59"/>
    </row>
    <row r="31" spans="1:19">
      <c r="A31" s="63"/>
      <c r="B31" s="59"/>
      <c r="C31" s="59"/>
      <c r="D31" s="64"/>
      <c r="E31" s="64"/>
      <c r="F31" s="65"/>
      <c r="G31" s="66"/>
      <c r="H31" s="67"/>
      <c r="I31" s="67"/>
      <c r="J31" s="68"/>
      <c r="K31" s="68"/>
      <c r="L31" s="68"/>
      <c r="M31" s="68"/>
      <c r="N31" s="68"/>
      <c r="O31" s="64"/>
      <c r="P31" s="64"/>
      <c r="Q31" s="69"/>
      <c r="R31" s="64"/>
      <c r="S31" s="59"/>
    </row>
    <row r="32" spans="1:19">
      <c r="A32" s="63"/>
      <c r="B32" s="59"/>
      <c r="C32" s="59"/>
      <c r="D32" s="64"/>
      <c r="E32" s="64"/>
      <c r="F32" s="65"/>
      <c r="G32" s="66"/>
      <c r="H32" s="67"/>
      <c r="I32" s="67"/>
      <c r="J32" s="68"/>
      <c r="K32" s="68"/>
      <c r="L32" s="68"/>
      <c r="M32" s="68"/>
      <c r="N32" s="68"/>
      <c r="O32" s="64"/>
      <c r="P32" s="64"/>
      <c r="Q32" s="71"/>
      <c r="R32" s="64"/>
      <c r="S32" s="59"/>
    </row>
    <row r="33" spans="1:19">
      <c r="A33" s="63"/>
      <c r="B33" s="59"/>
      <c r="C33" s="59"/>
      <c r="D33" s="64"/>
      <c r="E33" s="68"/>
      <c r="F33" s="65"/>
      <c r="G33" s="66"/>
      <c r="H33" s="67"/>
      <c r="I33" s="67"/>
      <c r="J33" s="68"/>
      <c r="K33" s="68"/>
      <c r="L33" s="68"/>
      <c r="M33" s="68"/>
      <c r="N33" s="68"/>
      <c r="O33" s="68"/>
      <c r="P33" s="68"/>
      <c r="Q33" s="69"/>
      <c r="R33" s="64"/>
      <c r="S33" s="59"/>
    </row>
    <row r="34" spans="1:19">
      <c r="A34" s="63"/>
      <c r="B34" s="59"/>
      <c r="C34" s="59"/>
      <c r="D34" s="64"/>
      <c r="E34" s="64"/>
      <c r="F34" s="65"/>
      <c r="G34" s="66"/>
      <c r="H34" s="67"/>
      <c r="I34" s="67"/>
      <c r="J34" s="68"/>
      <c r="K34" s="68"/>
      <c r="L34" s="68"/>
      <c r="M34" s="68"/>
      <c r="N34" s="68"/>
      <c r="O34" s="64"/>
      <c r="P34" s="64"/>
      <c r="Q34" s="59"/>
      <c r="R34" s="64"/>
      <c r="S34" s="5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OF CONTENTS</vt:lpstr>
      <vt:lpstr>Table S1a</vt:lpstr>
      <vt:lpstr>Table S1b</vt:lpstr>
      <vt:lpstr>Table S1c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</dc:creator>
  <cp:lastModifiedBy>Astrid Engel Ph.D.</cp:lastModifiedBy>
  <cp:lastPrinted>2011-07-26T17:24:49Z</cp:lastPrinted>
  <dcterms:created xsi:type="dcterms:W3CDTF">2010-07-27T22:26:21Z</dcterms:created>
  <dcterms:modified xsi:type="dcterms:W3CDTF">2012-03-18T15:09:13Z</dcterms:modified>
</cp:coreProperties>
</file>