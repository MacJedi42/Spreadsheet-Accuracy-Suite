
<file path=[Content_Types].xml><?xml version="1.0" encoding="utf-8"?>
<Types xmlns="http://schemas.openxmlformats.org/package/2006/content-types">
  <Override PartName="/xl/charts/chart6.xml" ContentType="application/vnd.openxmlformats-officedocument.drawingml.char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00" windowWidth="11100" windowHeight="7875" tabRatio="694" firstSheet="5" activeTab="6"/>
  </bookViews>
  <sheets>
    <sheet name="Denials 2006" sheetId="7" r:id="rId1"/>
    <sheet name="Denials 2007" sheetId="8" r:id="rId2"/>
    <sheet name="Denials 2008" sheetId="11" r:id="rId3"/>
    <sheet name="Denials 2009" sheetId="12" r:id="rId4"/>
    <sheet name="Denials 2010" sheetId="13" r:id="rId5"/>
    <sheet name="Denials 2011" sheetId="14" r:id="rId6"/>
    <sheet name="Denials 2012" sheetId="15" r:id="rId7"/>
    <sheet name="Denial Rate by Race Chart" sheetId="17" r:id="rId8"/>
    <sheet name="Denial Rate by Income Chart" sheetId="16" r:id="rId9"/>
    <sheet name="Denial Rate Trend By Race" sheetId="9" r:id="rId10"/>
    <sheet name="Denial Rate Trend By Income" sheetId="10" r:id="rId11"/>
  </sheets>
  <calcPr calcId="125725"/>
</workbook>
</file>

<file path=xl/calcChain.xml><?xml version="1.0" encoding="utf-8"?>
<calcChain xmlns="http://schemas.openxmlformats.org/spreadsheetml/2006/main">
  <c r="B29" i="15"/>
  <c r="B28"/>
  <c r="C27"/>
  <c r="B27"/>
  <c r="H6" i="10"/>
  <c r="H5"/>
  <c r="H4"/>
  <c r="H3"/>
  <c r="H2"/>
  <c r="H3" i="9"/>
  <c r="H4"/>
  <c r="H5"/>
  <c r="H6"/>
  <c r="H7"/>
  <c r="H8"/>
  <c r="H2"/>
  <c r="B30" i="15"/>
  <c r="G33"/>
  <c r="F33"/>
  <c r="E33"/>
  <c r="D33"/>
  <c r="C33"/>
  <c r="B33"/>
  <c r="G32"/>
  <c r="F32"/>
  <c r="E32"/>
  <c r="D32"/>
  <c r="C32"/>
  <c r="B32"/>
  <c r="G31"/>
  <c r="F31"/>
  <c r="E31"/>
  <c r="D31"/>
  <c r="C31"/>
  <c r="B31"/>
  <c r="G30"/>
  <c r="F30"/>
  <c r="E30"/>
  <c r="D30"/>
  <c r="C30"/>
  <c r="G29"/>
  <c r="F29"/>
  <c r="E29"/>
  <c r="D29"/>
  <c r="C29"/>
  <c r="G28"/>
  <c r="F28"/>
  <c r="E28"/>
  <c r="D28"/>
  <c r="C28"/>
  <c r="G27"/>
  <c r="F27"/>
  <c r="E27"/>
  <c r="D27"/>
  <c r="G3" i="10"/>
  <c r="G2"/>
  <c r="F6"/>
  <c r="F5"/>
  <c r="F4"/>
  <c r="F3"/>
  <c r="F2"/>
  <c r="E6"/>
  <c r="E5"/>
  <c r="E4"/>
  <c r="E3"/>
  <c r="E2"/>
  <c r="D6"/>
  <c r="D5"/>
  <c r="D4"/>
  <c r="D3"/>
  <c r="D2"/>
  <c r="C6"/>
  <c r="C5"/>
  <c r="C4"/>
  <c r="C3"/>
  <c r="C2"/>
  <c r="B6"/>
  <c r="B5"/>
  <c r="B4"/>
  <c r="B3"/>
  <c r="B2"/>
  <c r="F5" i="9"/>
  <c r="E5"/>
  <c r="D5"/>
  <c r="C5"/>
  <c r="B5"/>
  <c r="E30" i="7"/>
  <c r="F30"/>
  <c r="G30"/>
  <c r="D30"/>
  <c r="C30"/>
  <c r="B30"/>
  <c r="B30" i="8"/>
  <c r="F30"/>
  <c r="G30"/>
  <c r="E30"/>
  <c r="D30"/>
  <c r="C30"/>
  <c r="G30" i="11"/>
  <c r="F30"/>
  <c r="E30"/>
  <c r="D30"/>
  <c r="C30"/>
  <c r="B28"/>
  <c r="B29"/>
  <c r="B31"/>
  <c r="B32"/>
  <c r="B33"/>
  <c r="B27"/>
  <c r="C30" i="12"/>
  <c r="D30"/>
  <c r="E30"/>
  <c r="F30"/>
  <c r="G30"/>
  <c r="C30" i="13"/>
  <c r="D30"/>
  <c r="E30"/>
  <c r="F30"/>
  <c r="G30"/>
  <c r="C29" i="14"/>
  <c r="C30"/>
  <c r="C27"/>
  <c r="B32"/>
  <c r="B31"/>
  <c r="B33"/>
  <c r="B28"/>
  <c r="G28"/>
  <c r="G29"/>
  <c r="G4" i="9" s="1"/>
  <c r="G30" i="14"/>
  <c r="G5" i="9" s="1"/>
  <c r="G31" i="14"/>
  <c r="G6" i="9" s="1"/>
  <c r="G32" i="14"/>
  <c r="G7" i="9" s="1"/>
  <c r="G33" i="14"/>
  <c r="G27"/>
  <c r="G2" i="9" s="1"/>
  <c r="F28" i="14"/>
  <c r="F29"/>
  <c r="F30"/>
  <c r="F31"/>
  <c r="F32"/>
  <c r="F33"/>
  <c r="G6" i="10" s="1"/>
  <c r="F27" i="14"/>
  <c r="E28"/>
  <c r="E29"/>
  <c r="E30"/>
  <c r="E31"/>
  <c r="E32"/>
  <c r="E33"/>
  <c r="E27"/>
  <c r="D28"/>
  <c r="D29"/>
  <c r="D30"/>
  <c r="D31"/>
  <c r="D32"/>
  <c r="D33"/>
  <c r="G4" i="10" s="1"/>
  <c r="D27" i="14"/>
  <c r="C28"/>
  <c r="C31"/>
  <c r="C32"/>
  <c r="C33"/>
  <c r="G5" i="10"/>
  <c r="G3" i="9"/>
  <c r="C27" i="13"/>
  <c r="G33"/>
  <c r="F33"/>
  <c r="E33"/>
  <c r="D33"/>
  <c r="C33"/>
  <c r="B33"/>
  <c r="G32"/>
  <c r="F32"/>
  <c r="E32"/>
  <c r="D32"/>
  <c r="C32"/>
  <c r="B32"/>
  <c r="G31"/>
  <c r="F31"/>
  <c r="E31"/>
  <c r="D31"/>
  <c r="C31"/>
  <c r="B31"/>
  <c r="G29"/>
  <c r="F29"/>
  <c r="E29"/>
  <c r="D29"/>
  <c r="C29"/>
  <c r="G28"/>
  <c r="F28"/>
  <c r="E28"/>
  <c r="D28"/>
  <c r="C28"/>
  <c r="B28"/>
  <c r="G27"/>
  <c r="F27"/>
  <c r="E27"/>
  <c r="D27"/>
  <c r="B28" i="12"/>
  <c r="B29"/>
  <c r="B31"/>
  <c r="B32"/>
  <c r="B33"/>
  <c r="G33"/>
  <c r="F33"/>
  <c r="E33"/>
  <c r="D33"/>
  <c r="C33"/>
  <c r="G32"/>
  <c r="F32"/>
  <c r="E32"/>
  <c r="D32"/>
  <c r="C32"/>
  <c r="G31"/>
  <c r="F31"/>
  <c r="E31"/>
  <c r="D31"/>
  <c r="C31"/>
  <c r="G29"/>
  <c r="F29"/>
  <c r="E29"/>
  <c r="D29"/>
  <c r="C29"/>
  <c r="G28"/>
  <c r="F28"/>
  <c r="E28"/>
  <c r="D28"/>
  <c r="C28"/>
  <c r="G27"/>
  <c r="F27"/>
  <c r="E27"/>
  <c r="D27"/>
  <c r="F33" i="11"/>
  <c r="E33"/>
  <c r="D33"/>
  <c r="C33"/>
  <c r="F32"/>
  <c r="E32"/>
  <c r="D32"/>
  <c r="C32"/>
  <c r="F31"/>
  <c r="E31"/>
  <c r="D31"/>
  <c r="C31"/>
  <c r="F29"/>
  <c r="E29"/>
  <c r="D29"/>
  <c r="C29"/>
  <c r="G28"/>
  <c r="F28"/>
  <c r="E28"/>
  <c r="D28"/>
  <c r="C28"/>
  <c r="F27"/>
  <c r="E27"/>
  <c r="D27"/>
  <c r="G32"/>
  <c r="G31"/>
  <c r="G29"/>
  <c r="G27"/>
  <c r="G33"/>
  <c r="B32" i="7"/>
  <c r="C32"/>
  <c r="G32"/>
  <c r="G33"/>
  <c r="F33"/>
  <c r="E33"/>
  <c r="D33"/>
  <c r="C33"/>
  <c r="B33"/>
  <c r="F32"/>
  <c r="E32"/>
  <c r="D32"/>
  <c r="G31"/>
  <c r="F31"/>
  <c r="E31"/>
  <c r="D31"/>
  <c r="C31"/>
  <c r="B31"/>
  <c r="G29"/>
  <c r="F29"/>
  <c r="E29"/>
  <c r="D29"/>
  <c r="C29"/>
  <c r="B29"/>
  <c r="G28"/>
  <c r="F28"/>
  <c r="E28"/>
  <c r="D28"/>
  <c r="C28"/>
  <c r="B28"/>
  <c r="G27"/>
  <c r="F27"/>
  <c r="E27"/>
  <c r="D27"/>
  <c r="C27"/>
  <c r="B27"/>
  <c r="G33" i="8"/>
  <c r="F33"/>
  <c r="E33"/>
  <c r="D33"/>
  <c r="C33"/>
  <c r="B33"/>
  <c r="G32"/>
  <c r="F32"/>
  <c r="E32"/>
  <c r="D32"/>
  <c r="C32"/>
  <c r="B32"/>
  <c r="G31"/>
  <c r="F31"/>
  <c r="E31"/>
  <c r="D31"/>
  <c r="C31"/>
  <c r="B31"/>
  <c r="G29"/>
  <c r="F29"/>
  <c r="E29"/>
  <c r="D29"/>
  <c r="C29"/>
  <c r="G28"/>
  <c r="F28"/>
  <c r="E28"/>
  <c r="D28"/>
  <c r="C28"/>
  <c r="B28"/>
  <c r="G27"/>
  <c r="F27"/>
  <c r="E27"/>
  <c r="D27"/>
  <c r="C27"/>
  <c r="B27"/>
  <c r="G8" i="9" l="1"/>
</calcChain>
</file>

<file path=xl/sharedStrings.xml><?xml version="1.0" encoding="utf-8"?>
<sst xmlns="http://schemas.openxmlformats.org/spreadsheetml/2006/main" count="341" uniqueCount="28">
  <si>
    <t>&gt;95% MFI</t>
  </si>
  <si>
    <t>0-30% MFI</t>
  </si>
  <si>
    <t>31-50% MFI</t>
  </si>
  <si>
    <t>51-80% MFI</t>
  </si>
  <si>
    <t>81-95% MFI</t>
  </si>
  <si>
    <t>Total</t>
  </si>
  <si>
    <t>Asian</t>
  </si>
  <si>
    <t>Blacks</t>
  </si>
  <si>
    <t>White</t>
  </si>
  <si>
    <t>Hispanic</t>
  </si>
  <si>
    <t>Race/Ethnicity</t>
  </si>
  <si>
    <t>American Indian</t>
  </si>
  <si>
    <t>I.  Total Applications</t>
  </si>
  <si>
    <t>II.  Total Denials</t>
  </si>
  <si>
    <t>Overall Total</t>
  </si>
  <si>
    <t>Home Purchase &amp; Occupation</t>
  </si>
  <si>
    <t>III. Denial Rates (II/I) * 100</t>
  </si>
  <si>
    <t>Note: Data reported here is for Multnomah County. These are loans for the purpose of purchasing a home. The loans are for homes that are meant for a primary occupancy of the owner. These are all represented for conventional loans. For ethnic and racial breakout, these are loans originated by households where either the applicant or co-applicant are representative of that group.</t>
  </si>
  <si>
    <t>Black or African American</t>
  </si>
  <si>
    <t>MULTNOMAH COUNTY LOAN DENIAL RATES BY INCOME-RACE GROUPINGS : 2009</t>
  </si>
  <si>
    <t>MULTNOMAH COUNTY LOAN DENIAL RATES BY INCOME-RACE GROUPINGS : 2010</t>
  </si>
  <si>
    <t>MULTNOMAH COUNTY LOAN DENIAL RATES BY INCOME-RACE GROUPINGS : 2011</t>
  </si>
  <si>
    <t>Native Hawaiian or Pacific Islander</t>
  </si>
  <si>
    <t>MULTNOMAH COUNTY LOAN DENIAL RATES BY INCOME-RACE GROUPINGS : 2006</t>
  </si>
  <si>
    <t>MULTNOMAH COUNTY LOAN DENIAL RATES BY INCOME-RACE GROUPINGS : 2007</t>
  </si>
  <si>
    <t>MULTNOMAH COUNTY LOAN DENIAL RATES BY INCOME-RACE GROUPINGS : 2008</t>
  </si>
  <si>
    <t>Source: HMDA (LAR)</t>
  </si>
  <si>
    <t>MULTNOMAH COUNTY LOAN DENIAL RATES BY INCOME-RACE GROUPINGS : 2012</t>
  </si>
</sst>
</file>

<file path=xl/styles.xml><?xml version="1.0" encoding="utf-8"?>
<styleSheet xmlns="http://schemas.openxmlformats.org/spreadsheetml/2006/main">
  <numFmts count="1">
    <numFmt numFmtId="164" formatCode="0.0%"/>
  </numFmts>
  <fonts count="7">
    <font>
      <sz val="10"/>
      <name val="Arial"/>
    </font>
    <font>
      <sz val="8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NumberFormat="1" applyFont="1" applyBorder="1"/>
    <xf numFmtId="0" fontId="3" fillId="0" borderId="0" xfId="0" applyFont="1" applyFill="1" applyBorder="1"/>
    <xf numFmtId="164" fontId="3" fillId="0" borderId="0" xfId="0" applyNumberFormat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2" xfId="0" applyNumberFormat="1" applyFont="1" applyBorder="1"/>
    <xf numFmtId="0" fontId="3" fillId="0" borderId="1" xfId="0" applyFont="1" applyFill="1" applyBorder="1"/>
    <xf numFmtId="164" fontId="3" fillId="0" borderId="2" xfId="0" applyNumberFormat="1" applyFont="1" applyBorder="1"/>
    <xf numFmtId="0" fontId="3" fillId="0" borderId="3" xfId="0" applyFont="1" applyFill="1" applyBorder="1"/>
    <xf numFmtId="164" fontId="3" fillId="0" borderId="4" xfId="0" applyNumberFormat="1" applyFont="1" applyBorder="1"/>
    <xf numFmtId="164" fontId="3" fillId="0" borderId="5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0" xfId="0" applyFont="1"/>
    <xf numFmtId="0" fontId="4" fillId="0" borderId="1" xfId="0" applyFont="1" applyFill="1" applyBorder="1"/>
    <xf numFmtId="0" fontId="4" fillId="0" borderId="0" xfId="0" applyFont="1" applyFill="1" applyBorder="1"/>
    <xf numFmtId="0" fontId="4" fillId="0" borderId="2" xfId="0" applyFont="1" applyFill="1" applyBorder="1"/>
    <xf numFmtId="0" fontId="6" fillId="0" borderId="0" xfId="0" applyFont="1" applyBorder="1"/>
    <xf numFmtId="0" fontId="2" fillId="0" borderId="0" xfId="0" applyFont="1"/>
    <xf numFmtId="164" fontId="3" fillId="0" borderId="0" xfId="0" applyNumberFormat="1" applyFont="1"/>
    <xf numFmtId="10" fontId="3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2006
Home Purchase &amp; Occupation 
</a:t>
            </a:r>
          </a:p>
        </c:rich>
      </c:tx>
      <c:layout>
        <c:manualLayout>
          <c:xMode val="edge"/>
          <c:yMode val="edge"/>
          <c:x val="0.19488817891373775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77"/>
          <c:w val="0.83386581469649013"/>
          <c:h val="0.64573991031390499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2006'!$B$27:$G$27</c:f>
              <c:numCache>
                <c:formatCode>0.0%</c:formatCode>
                <c:ptCount val="6"/>
                <c:pt idx="0">
                  <c:v>0.125</c:v>
                </c:pt>
                <c:pt idx="1">
                  <c:v>3.125E-2</c:v>
                </c:pt>
                <c:pt idx="2">
                  <c:v>0.28301886792452829</c:v>
                </c:pt>
                <c:pt idx="3">
                  <c:v>0.21875</c:v>
                </c:pt>
                <c:pt idx="4">
                  <c:v>0.11904761904761904</c:v>
                </c:pt>
                <c:pt idx="5">
                  <c:v>0.193717277486911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2006'!$B$28:$G$28</c:f>
              <c:numCache>
                <c:formatCode>0.0%</c:formatCode>
                <c:ptCount val="6"/>
                <c:pt idx="0">
                  <c:v>0.5</c:v>
                </c:pt>
                <c:pt idx="1">
                  <c:v>0.14285714285714285</c:v>
                </c:pt>
                <c:pt idx="2">
                  <c:v>0.14958448753462603</c:v>
                </c:pt>
                <c:pt idx="3">
                  <c:v>0.12653061224489795</c:v>
                </c:pt>
                <c:pt idx="4">
                  <c:v>0.1638655462184874</c:v>
                </c:pt>
                <c:pt idx="5">
                  <c:v>0.16279069767441862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2006'!$B$29:$G$29</c:f>
              <c:numCache>
                <c:formatCode>0.0%</c:formatCode>
                <c:ptCount val="6"/>
                <c:pt idx="0">
                  <c:v>0.5</c:v>
                </c:pt>
                <c:pt idx="1">
                  <c:v>0.20512820512820512</c:v>
                </c:pt>
                <c:pt idx="2">
                  <c:v>0.18367346938775511</c:v>
                </c:pt>
                <c:pt idx="3">
                  <c:v>0.23595505617977527</c:v>
                </c:pt>
                <c:pt idx="4">
                  <c:v>0.20895522388059701</c:v>
                </c:pt>
                <c:pt idx="5">
                  <c:v>0.20347826086956522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2006'!$B$31:$G$31</c:f>
              <c:numCache>
                <c:formatCode>0.0%</c:formatCode>
                <c:ptCount val="6"/>
                <c:pt idx="0">
                  <c:v>9.1836734693877556E-2</c:v>
                </c:pt>
                <c:pt idx="1">
                  <c:v>0.18786692759295498</c:v>
                </c:pt>
                <c:pt idx="2">
                  <c:v>0.13765877102643323</c:v>
                </c:pt>
                <c:pt idx="3">
                  <c:v>0.12805830296720458</c:v>
                </c:pt>
                <c:pt idx="4">
                  <c:v>0.1054010228264937</c:v>
                </c:pt>
                <c:pt idx="5">
                  <c:v>0.11941135248773652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2006'!$B$32:$G$32</c:f>
              <c:numCache>
                <c:formatCode>0.0%</c:formatCode>
                <c:ptCount val="6"/>
                <c:pt idx="0">
                  <c:v>0.375</c:v>
                </c:pt>
                <c:pt idx="1">
                  <c:v>0.34375</c:v>
                </c:pt>
                <c:pt idx="2">
                  <c:v>0.26735218508997427</c:v>
                </c:pt>
                <c:pt idx="3">
                  <c:v>0.21452145214521451</c:v>
                </c:pt>
                <c:pt idx="4">
                  <c:v>0.20270270270270271</c:v>
                </c:pt>
                <c:pt idx="5">
                  <c:v>0.22793606671299513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2006'!$B$26:$G$26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2006'!$B$33:$G$33</c:f>
              <c:numCache>
                <c:formatCode>0.0%</c:formatCode>
                <c:ptCount val="6"/>
                <c:pt idx="0">
                  <c:v>0.18045112781954886</c:v>
                </c:pt>
                <c:pt idx="1">
                  <c:v>0.20203488372093023</c:v>
                </c:pt>
                <c:pt idx="2">
                  <c:v>0.15044479330193616</c:v>
                </c:pt>
                <c:pt idx="3">
                  <c:v>0.13822456424807458</c:v>
                </c:pt>
                <c:pt idx="4">
                  <c:v>0.11923641703377386</c:v>
                </c:pt>
                <c:pt idx="5">
                  <c:v>0.13368723254428255</c:v>
                </c:pt>
              </c:numCache>
            </c:numRef>
          </c:val>
        </c:ser>
        <c:axId val="52540928"/>
        <c:axId val="52542848"/>
      </c:barChart>
      <c:catAx>
        <c:axId val="52540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2542848"/>
        <c:crosses val="autoZero"/>
        <c:auto val="1"/>
        <c:lblAlgn val="ctr"/>
        <c:lblOffset val="100"/>
        <c:tickLblSkip val="1"/>
        <c:tickMarkSkip val="1"/>
      </c:catAx>
      <c:valAx>
        <c:axId val="52542848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875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2540928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121"/>
          <c:w val="0.83546325878594141"/>
          <c:h val="4.93273542600899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11" r="0.75000000000000211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2007
Home Purchase &amp; Occupation 
</a:t>
            </a:r>
          </a:p>
        </c:rich>
      </c:tx>
      <c:layout>
        <c:manualLayout>
          <c:xMode val="edge"/>
          <c:yMode val="edge"/>
          <c:x val="0.19488817891373775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77"/>
          <c:w val="0.83386581469649013"/>
          <c:h val="0.64573991031390499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2007'!$B$27:$G$27</c:f>
              <c:numCache>
                <c:formatCode>0.0%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0.31707317073170732</c:v>
                </c:pt>
                <c:pt idx="3">
                  <c:v>0.125</c:v>
                </c:pt>
                <c:pt idx="4">
                  <c:v>0.20481927710843373</c:v>
                </c:pt>
                <c:pt idx="5">
                  <c:v>0.22077922077922077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2007'!$B$28:$G$28</c:f>
              <c:numCache>
                <c:formatCode>0.0%</c:formatCode>
                <c:ptCount val="6"/>
                <c:pt idx="0">
                  <c:v>0.53846153846153844</c:v>
                </c:pt>
                <c:pt idx="1">
                  <c:v>0.30952380952380953</c:v>
                </c:pt>
                <c:pt idx="2">
                  <c:v>0.16447368421052633</c:v>
                </c:pt>
                <c:pt idx="3">
                  <c:v>0.12921348314606743</c:v>
                </c:pt>
                <c:pt idx="4">
                  <c:v>0.1716500553709856</c:v>
                </c:pt>
                <c:pt idx="5">
                  <c:v>0.17619367854741089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2007'!$B$29:$G$29</c:f>
              <c:numCache>
                <c:formatCode>0.0%</c:formatCode>
                <c:ptCount val="6"/>
                <c:pt idx="0">
                  <c:v>0</c:v>
                </c:pt>
                <c:pt idx="1">
                  <c:v>0.58333333333333337</c:v>
                </c:pt>
                <c:pt idx="2">
                  <c:v>0.24242424242424243</c:v>
                </c:pt>
                <c:pt idx="3">
                  <c:v>0.14285714285714285</c:v>
                </c:pt>
                <c:pt idx="4">
                  <c:v>0.23553719008264462</c:v>
                </c:pt>
                <c:pt idx="5">
                  <c:v>0.23543123543123542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2007'!$B$31:$G$31</c:f>
              <c:numCache>
                <c:formatCode>0.0%</c:formatCode>
                <c:ptCount val="6"/>
                <c:pt idx="0">
                  <c:v>0.3048780487804878</c:v>
                </c:pt>
                <c:pt idx="1">
                  <c:v>0.26972010178117051</c:v>
                </c:pt>
                <c:pt idx="2">
                  <c:v>0.13231024471173786</c:v>
                </c:pt>
                <c:pt idx="3">
                  <c:v>0.13243243243243244</c:v>
                </c:pt>
                <c:pt idx="4">
                  <c:v>0.123625</c:v>
                </c:pt>
                <c:pt idx="5">
                  <c:v>0.13263796995407487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2007'!$B$32:$G$32</c:f>
              <c:numCache>
                <c:formatCode>0.0%</c:formatCode>
                <c:ptCount val="6"/>
                <c:pt idx="0">
                  <c:v>0.25</c:v>
                </c:pt>
                <c:pt idx="1">
                  <c:v>0.31578947368421051</c:v>
                </c:pt>
                <c:pt idx="2">
                  <c:v>0.26198083067092653</c:v>
                </c:pt>
                <c:pt idx="3">
                  <c:v>0.23444976076555024</c:v>
                </c:pt>
                <c:pt idx="4">
                  <c:v>0.24598930481283424</c:v>
                </c:pt>
                <c:pt idx="5">
                  <c:v>0.24978392394122731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2007'!$B$26:$G$26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2007'!$B$33:$G$33</c:f>
              <c:numCache>
                <c:formatCode>0.0%</c:formatCode>
                <c:ptCount val="6"/>
                <c:pt idx="0">
                  <c:v>0.34951456310679613</c:v>
                </c:pt>
                <c:pt idx="1">
                  <c:v>0.29253112033195022</c:v>
                </c:pt>
                <c:pt idx="2">
                  <c:v>0.14911433172302738</c:v>
                </c:pt>
                <c:pt idx="3">
                  <c:v>0.14285714285714285</c:v>
                </c:pt>
                <c:pt idx="4">
                  <c:v>0.13673002288784955</c:v>
                </c:pt>
                <c:pt idx="5">
                  <c:v>0.14676540791970133</c:v>
                </c:pt>
              </c:numCache>
            </c:numRef>
          </c:val>
        </c:ser>
        <c:axId val="50473216"/>
        <c:axId val="50479488"/>
      </c:barChart>
      <c:catAx>
        <c:axId val="50473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479488"/>
        <c:crosses val="autoZero"/>
        <c:auto val="1"/>
        <c:lblAlgn val="ctr"/>
        <c:lblOffset val="100"/>
        <c:tickLblSkip val="1"/>
        <c:tickMarkSkip val="1"/>
      </c:catAx>
      <c:valAx>
        <c:axId val="50479488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875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473216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121"/>
          <c:w val="0.83546325878594141"/>
          <c:h val="4.93273542600899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11" r="0.75000000000000211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2008
Home Purchase &amp; Occupation 
</a:t>
            </a:r>
          </a:p>
        </c:rich>
      </c:tx>
      <c:layout>
        <c:manualLayout>
          <c:xMode val="edge"/>
          <c:yMode val="edge"/>
          <c:x val="0.19488817891373775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8"/>
          <c:w val="0.83386581469649057"/>
          <c:h val="0.64573991031390543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2008'!$B$27:$G$27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8.3333333333333329E-2</c:v>
                </c:pt>
                <c:pt idx="4">
                  <c:v>0.17857142857142858</c:v>
                </c:pt>
                <c:pt idx="5">
                  <c:v>0.25757575757575757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2008'!$B$28:$G$28</c:f>
              <c:numCache>
                <c:formatCode>0.0%</c:formatCode>
                <c:ptCount val="6"/>
                <c:pt idx="0">
                  <c:v>0.75</c:v>
                </c:pt>
                <c:pt idx="1">
                  <c:v>0.25396825396825395</c:v>
                </c:pt>
                <c:pt idx="2">
                  <c:v>0.23076923076923078</c:v>
                </c:pt>
                <c:pt idx="3">
                  <c:v>0.18947368421052632</c:v>
                </c:pt>
                <c:pt idx="4">
                  <c:v>0.1491442542787286</c:v>
                </c:pt>
                <c:pt idx="5">
                  <c:v>0.19777503090234858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2008'!$B$29:$G$29</c:f>
              <c:numCache>
                <c:formatCode>0.0%</c:formatCode>
                <c:ptCount val="6"/>
                <c:pt idx="0">
                  <c:v>0.66666666666666663</c:v>
                </c:pt>
                <c:pt idx="1">
                  <c:v>0.41176470588235292</c:v>
                </c:pt>
                <c:pt idx="2">
                  <c:v>0.22222222222222221</c:v>
                </c:pt>
                <c:pt idx="3">
                  <c:v>0.26470588235294118</c:v>
                </c:pt>
                <c:pt idx="4">
                  <c:v>0.15476190476190477</c:v>
                </c:pt>
                <c:pt idx="5">
                  <c:v>0.22282608695652173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2008'!$B$31:$G$31</c:f>
              <c:numCache>
                <c:formatCode>0.0%</c:formatCode>
                <c:ptCount val="6"/>
                <c:pt idx="0">
                  <c:v>0.3125</c:v>
                </c:pt>
                <c:pt idx="1">
                  <c:v>0.23782234957020057</c:v>
                </c:pt>
                <c:pt idx="2">
                  <c:v>0.17657992565055763</c:v>
                </c:pt>
                <c:pt idx="3">
                  <c:v>0.14785992217898833</c:v>
                </c:pt>
                <c:pt idx="4">
                  <c:v>0.12424607961399277</c:v>
                </c:pt>
                <c:pt idx="5">
                  <c:v>0.14798461757584389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2008'!$B$32:$G$32</c:f>
              <c:numCache>
                <c:formatCode>0.0%</c:formatCode>
                <c:ptCount val="6"/>
                <c:pt idx="0">
                  <c:v>1</c:v>
                </c:pt>
                <c:pt idx="1">
                  <c:v>0.33333333333333331</c:v>
                </c:pt>
                <c:pt idx="2">
                  <c:v>0.35384615384615387</c:v>
                </c:pt>
                <c:pt idx="3">
                  <c:v>0.19696969696969696</c:v>
                </c:pt>
                <c:pt idx="4">
                  <c:v>0.21052631578947367</c:v>
                </c:pt>
                <c:pt idx="5">
                  <c:v>0.26525821596244131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2008'!$B$26:$G$26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2008'!$B$33:$G$33</c:f>
              <c:numCache>
                <c:formatCode>0.0%</c:formatCode>
                <c:ptCount val="6"/>
                <c:pt idx="0">
                  <c:v>0.37037037037037035</c:v>
                </c:pt>
                <c:pt idx="1">
                  <c:v>0.26315789473684209</c:v>
                </c:pt>
                <c:pt idx="2">
                  <c:v>0.18835616438356165</c:v>
                </c:pt>
                <c:pt idx="3">
                  <c:v>0.16033755274261605</c:v>
                </c:pt>
                <c:pt idx="4">
                  <c:v>0.12818991097922849</c:v>
                </c:pt>
                <c:pt idx="5">
                  <c:v>0.15702005730659027</c:v>
                </c:pt>
              </c:numCache>
            </c:numRef>
          </c:val>
        </c:ser>
        <c:axId val="50650112"/>
        <c:axId val="50685056"/>
      </c:barChart>
      <c:catAx>
        <c:axId val="50650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685056"/>
        <c:crosses val="autoZero"/>
        <c:auto val="1"/>
        <c:lblAlgn val="ctr"/>
        <c:lblOffset val="100"/>
        <c:tickLblSkip val="1"/>
        <c:tickMarkSkip val="1"/>
      </c:catAx>
      <c:valAx>
        <c:axId val="50685056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875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650112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121"/>
          <c:w val="0.83546325878594141"/>
          <c:h val="4.93273542600899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33" r="0.750000000000002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2009
Home Purchase &amp; Occupation 
</a:t>
            </a:r>
          </a:p>
        </c:rich>
      </c:tx>
      <c:layout>
        <c:manualLayout>
          <c:xMode val="edge"/>
          <c:yMode val="edge"/>
          <c:x val="0.19488817891373775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84"/>
          <c:w val="0.83386581469649113"/>
          <c:h val="0.64573991031390576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2009'!$B$27:$G$27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0.125</c:v>
                </c:pt>
                <c:pt idx="5">
                  <c:v>0.13793103448275862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2009'!$B$28:$G$28</c:f>
              <c:numCache>
                <c:formatCode>0.0%</c:formatCode>
                <c:ptCount val="6"/>
                <c:pt idx="0">
                  <c:v>0.41935483870967744</c:v>
                </c:pt>
                <c:pt idx="1">
                  <c:v>0.28703703703703703</c:v>
                </c:pt>
                <c:pt idx="2">
                  <c:v>0.20253164556962025</c:v>
                </c:pt>
                <c:pt idx="3">
                  <c:v>0.21276595744680851</c:v>
                </c:pt>
                <c:pt idx="4">
                  <c:v>0.1111111111111111</c:v>
                </c:pt>
                <c:pt idx="5">
                  <c:v>0.19499105545617174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2009'!$B$29:$G$29</c:f>
              <c:numCache>
                <c:formatCode>0.0%</c:formatCode>
                <c:ptCount val="6"/>
                <c:pt idx="0">
                  <c:v>0</c:v>
                </c:pt>
                <c:pt idx="1">
                  <c:v>0.23076923076923078</c:v>
                </c:pt>
                <c:pt idx="2">
                  <c:v>0.13793103448275862</c:v>
                </c:pt>
                <c:pt idx="3">
                  <c:v>0.25</c:v>
                </c:pt>
                <c:pt idx="4">
                  <c:v>0.34210526315789475</c:v>
                </c:pt>
                <c:pt idx="5">
                  <c:v>0.25555555555555554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2009'!$B$31:$G$31</c:f>
              <c:numCache>
                <c:formatCode>0.0%</c:formatCode>
                <c:ptCount val="6"/>
                <c:pt idx="0">
                  <c:v>0.31111111111111112</c:v>
                </c:pt>
                <c:pt idx="1">
                  <c:v>0.18584070796460178</c:v>
                </c:pt>
                <c:pt idx="2">
                  <c:v>0.13249211356466878</c:v>
                </c:pt>
                <c:pt idx="3">
                  <c:v>0.10436893203883495</c:v>
                </c:pt>
                <c:pt idx="4">
                  <c:v>0.10062111801242236</c:v>
                </c:pt>
                <c:pt idx="5">
                  <c:v>0.11858365019011406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2009'!$B$32:$G$32</c:f>
              <c:numCache>
                <c:formatCode>0.0%</c:formatCode>
                <c:ptCount val="6"/>
                <c:pt idx="0">
                  <c:v>1</c:v>
                </c:pt>
                <c:pt idx="1">
                  <c:v>0.17647058823529413</c:v>
                </c:pt>
                <c:pt idx="2">
                  <c:v>0.24074074074074073</c:v>
                </c:pt>
                <c:pt idx="3">
                  <c:v>0.1111111111111111</c:v>
                </c:pt>
                <c:pt idx="4">
                  <c:v>0.125</c:v>
                </c:pt>
                <c:pt idx="5">
                  <c:v>0.17791411042944785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2009'!$B$26:$G$26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2009'!$B$33:$G$33</c:f>
              <c:numCache>
                <c:formatCode>0.0%</c:formatCode>
                <c:ptCount val="6"/>
                <c:pt idx="0">
                  <c:v>0.33734939759036142</c:v>
                </c:pt>
                <c:pt idx="1">
                  <c:v>0.21611001964636542</c:v>
                </c:pt>
                <c:pt idx="2">
                  <c:v>0.1434327155519742</c:v>
                </c:pt>
                <c:pt idx="3">
                  <c:v>0.11663479923518165</c:v>
                </c:pt>
                <c:pt idx="4">
                  <c:v>0.10616784630940344</c:v>
                </c:pt>
                <c:pt idx="5">
                  <c:v>0.1306039273805113</c:v>
                </c:pt>
              </c:numCache>
            </c:numRef>
          </c:val>
        </c:ser>
        <c:axId val="50978816"/>
        <c:axId val="50980736"/>
      </c:barChart>
      <c:catAx>
        <c:axId val="50978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980736"/>
        <c:crosses val="autoZero"/>
        <c:auto val="1"/>
        <c:lblAlgn val="ctr"/>
        <c:lblOffset val="100"/>
        <c:tickLblSkip val="1"/>
        <c:tickMarkSkip val="1"/>
      </c:catAx>
      <c:valAx>
        <c:axId val="50980736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875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0978816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121"/>
          <c:w val="0.83546325878594141"/>
          <c:h val="4.93273542600899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55" r="0.7500000000000025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2010
Home Purchase &amp; Occupation 
</a:t>
            </a:r>
          </a:p>
        </c:rich>
      </c:tx>
      <c:layout>
        <c:manualLayout>
          <c:xMode val="edge"/>
          <c:yMode val="edge"/>
          <c:x val="0.19488817891373775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89"/>
          <c:w val="0.83386581469649157"/>
          <c:h val="0.64573991031390621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2010'!$B$27:$G$27</c:f>
              <c:numCache>
                <c:formatCode>0.0%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0.125</c:v>
                </c:pt>
                <c:pt idx="3">
                  <c:v>1</c:v>
                </c:pt>
                <c:pt idx="4">
                  <c:v>0.15789473684210525</c:v>
                </c:pt>
                <c:pt idx="5">
                  <c:v>0.2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2010'!$B$28:$G$28</c:f>
              <c:numCache>
                <c:formatCode>0.0%</c:formatCode>
                <c:ptCount val="6"/>
                <c:pt idx="0">
                  <c:v>0.27272727272727271</c:v>
                </c:pt>
                <c:pt idx="1">
                  <c:v>0.15116279069767441</c:v>
                </c:pt>
                <c:pt idx="2">
                  <c:v>0.10576923076923077</c:v>
                </c:pt>
                <c:pt idx="3">
                  <c:v>0</c:v>
                </c:pt>
                <c:pt idx="4">
                  <c:v>8.1339712918660281E-2</c:v>
                </c:pt>
                <c:pt idx="5">
                  <c:v>0.1072961373390558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2010'!$B$29:$G$29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0.1111111111111111</c:v>
                </c:pt>
                <c:pt idx="3">
                  <c:v>0</c:v>
                </c:pt>
                <c:pt idx="4">
                  <c:v>9.6774193548387094E-2</c:v>
                </c:pt>
                <c:pt idx="5">
                  <c:v>9.6153846153846159E-2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2010'!$B$31:$G$31</c:f>
              <c:numCache>
                <c:formatCode>0.0%</c:formatCode>
                <c:ptCount val="6"/>
                <c:pt idx="0">
                  <c:v>0.36363636363636365</c:v>
                </c:pt>
                <c:pt idx="1">
                  <c:v>0.19269102990033224</c:v>
                </c:pt>
                <c:pt idx="2">
                  <c:v>0.10921052631578948</c:v>
                </c:pt>
                <c:pt idx="3">
                  <c:v>8.7078651685393263E-2</c:v>
                </c:pt>
                <c:pt idx="4">
                  <c:v>7.3863636363636367E-2</c:v>
                </c:pt>
                <c:pt idx="5">
                  <c:v>9.5843261848027536E-2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2010'!$B$32:$G$32</c:f>
              <c:numCache>
                <c:formatCode>0.0%</c:formatCode>
                <c:ptCount val="6"/>
                <c:pt idx="0">
                  <c:v>0</c:v>
                </c:pt>
                <c:pt idx="1">
                  <c:v>0.36363636363636365</c:v>
                </c:pt>
                <c:pt idx="2">
                  <c:v>0.2</c:v>
                </c:pt>
                <c:pt idx="3">
                  <c:v>0.42857142857142855</c:v>
                </c:pt>
                <c:pt idx="4">
                  <c:v>0.10294117647058823</c:v>
                </c:pt>
                <c:pt idx="5">
                  <c:v>0.19727891156462585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2010'!$B$26:$G$26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2010'!$B$33:$G$33</c:f>
              <c:numCache>
                <c:formatCode>0.0%</c:formatCode>
                <c:ptCount val="6"/>
                <c:pt idx="0">
                  <c:v>0.31707317073170732</c:v>
                </c:pt>
                <c:pt idx="1">
                  <c:v>0.1838074398249453</c:v>
                </c:pt>
                <c:pt idx="2">
                  <c:v>0.11700000000000001</c:v>
                </c:pt>
                <c:pt idx="3">
                  <c:v>7.9741379310344834E-2</c:v>
                </c:pt>
                <c:pt idx="4">
                  <c:v>7.7731092436974791E-2</c:v>
                </c:pt>
                <c:pt idx="5">
                  <c:v>0.1008557457212714</c:v>
                </c:pt>
              </c:numCache>
            </c:numRef>
          </c:val>
        </c:ser>
        <c:axId val="51446528"/>
        <c:axId val="51448448"/>
      </c:barChart>
      <c:catAx>
        <c:axId val="51446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448448"/>
        <c:crosses val="autoZero"/>
        <c:auto val="1"/>
        <c:lblAlgn val="ctr"/>
        <c:lblOffset val="100"/>
        <c:tickLblSkip val="1"/>
        <c:tickMarkSkip val="1"/>
      </c:catAx>
      <c:valAx>
        <c:axId val="51448448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875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446528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121"/>
          <c:w val="0.8354632587859413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78" r="0.75000000000000278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2011
Home Purchase &amp; Occupation 
</a:t>
            </a:r>
          </a:p>
        </c:rich>
      </c:tx>
      <c:layout>
        <c:manualLayout>
          <c:xMode val="edge"/>
          <c:yMode val="edge"/>
          <c:x val="0.19488817891373769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94"/>
          <c:w val="0.83386581469649212"/>
          <c:h val="0.64573991031390665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2011'!$B$27:$G$27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0.14285714285714285</c:v>
                </c:pt>
                <c:pt idx="5">
                  <c:v>8.3333333333333329E-2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2011'!$B$28:$G$28</c:f>
              <c:numCache>
                <c:formatCode>0.0%</c:formatCode>
                <c:ptCount val="6"/>
                <c:pt idx="0">
                  <c:v>0.33333333333333331</c:v>
                </c:pt>
                <c:pt idx="1">
                  <c:v>0.16091954022988506</c:v>
                </c:pt>
                <c:pt idx="2">
                  <c:v>8.5106382978723402E-2</c:v>
                </c:pt>
                <c:pt idx="3">
                  <c:v>0.10344827586206896</c:v>
                </c:pt>
                <c:pt idx="4">
                  <c:v>6.1452513966480445E-2</c:v>
                </c:pt>
                <c:pt idx="5">
                  <c:v>0.10817307692307693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2011'!$B$29:$G$29</c:f>
              <c:numCache>
                <c:formatCode>0.0%</c:formatCode>
                <c:ptCount val="6"/>
                <c:pt idx="0">
                  <c:v>0</c:v>
                </c:pt>
                <c:pt idx="1">
                  <c:v>0.33333333333333331</c:v>
                </c:pt>
                <c:pt idx="2">
                  <c:v>7.6923076923076927E-2</c:v>
                </c:pt>
                <c:pt idx="3">
                  <c:v>0</c:v>
                </c:pt>
                <c:pt idx="4">
                  <c:v>8.3333333333333329E-2</c:v>
                </c:pt>
                <c:pt idx="5">
                  <c:v>0.13725490196078433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2011'!$B$31:$G$31</c:f>
              <c:numCache>
                <c:formatCode>0.0%</c:formatCode>
                <c:ptCount val="6"/>
                <c:pt idx="0">
                  <c:v>0.28301886792452829</c:v>
                </c:pt>
                <c:pt idx="1">
                  <c:v>0.1182108626198083</c:v>
                </c:pt>
                <c:pt idx="2">
                  <c:v>8.6301369863013705E-2</c:v>
                </c:pt>
                <c:pt idx="3">
                  <c:v>8.4795321637426896E-2</c:v>
                </c:pt>
                <c:pt idx="4">
                  <c:v>5.5231252806466097E-2</c:v>
                </c:pt>
                <c:pt idx="5">
                  <c:v>7.2992700729927001E-2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2011'!$B$32:$G$32</c:f>
              <c:numCache>
                <c:formatCode>0.0%</c:formatCode>
                <c:ptCount val="6"/>
                <c:pt idx="0">
                  <c:v>0.5714285714285714</c:v>
                </c:pt>
                <c:pt idx="1">
                  <c:v>0.21739130434782608</c:v>
                </c:pt>
                <c:pt idx="2">
                  <c:v>0.12121212121212122</c:v>
                </c:pt>
                <c:pt idx="3">
                  <c:v>0.2</c:v>
                </c:pt>
                <c:pt idx="4">
                  <c:v>3.7974683544303799E-2</c:v>
                </c:pt>
                <c:pt idx="5">
                  <c:v>0.11612903225806452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2011'!$B$26:$G$26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2011'!$B$33:$G$33</c:f>
              <c:numCache>
                <c:formatCode>0.0%</c:formatCode>
                <c:ptCount val="6"/>
                <c:pt idx="0">
                  <c:v>0.28735632183908044</c:v>
                </c:pt>
                <c:pt idx="1">
                  <c:v>0.13276231263383298</c:v>
                </c:pt>
                <c:pt idx="2">
                  <c:v>9.2436974789915971E-2</c:v>
                </c:pt>
                <c:pt idx="3">
                  <c:v>9.5238095238095233E-2</c:v>
                </c:pt>
                <c:pt idx="4">
                  <c:v>5.9035277177825772E-2</c:v>
                </c:pt>
                <c:pt idx="5">
                  <c:v>8.1143577885221779E-2</c:v>
                </c:pt>
              </c:numCache>
            </c:numRef>
          </c:val>
        </c:ser>
        <c:axId val="51668480"/>
        <c:axId val="51670400"/>
      </c:barChart>
      <c:catAx>
        <c:axId val="51668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670400"/>
        <c:crosses val="autoZero"/>
        <c:auto val="1"/>
        <c:lblAlgn val="ctr"/>
        <c:lblOffset val="100"/>
        <c:tickLblSkip val="1"/>
        <c:tickMarkSkip val="1"/>
      </c:catAx>
      <c:valAx>
        <c:axId val="51670400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914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1668480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099"/>
          <c:w val="0.83546325878594108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" r="0.750000000000003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Portland Loan Denial Rates by Income-Race Groupings: 2011
Home Purchase &amp; Occupation 
</a:t>
            </a:r>
          </a:p>
        </c:rich>
      </c:tx>
      <c:layout>
        <c:manualLayout>
          <c:xMode val="edge"/>
          <c:yMode val="edge"/>
          <c:x val="0.19488817891373764"/>
          <c:y val="2.690582959641259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3258785942492021"/>
          <c:y val="0.12107623318385698"/>
          <c:w val="0.83386581469649257"/>
          <c:h val="0.64573991031390698"/>
        </c:manualLayout>
      </c:layout>
      <c:barChart>
        <c:barDir val="col"/>
        <c:grouping val="clustered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9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8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2012'!$B$27:$G$27</c:f>
              <c:numCache>
                <c:formatCode>0.0%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0.6</c:v>
                </c:pt>
                <c:pt idx="4">
                  <c:v>6.6666666666666666E-2</c:v>
                </c:pt>
                <c:pt idx="5">
                  <c:v>0.15625</c:v>
                </c:pt>
              </c:numCache>
            </c:numRef>
          </c:val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2012'!$B$28:$G$28</c:f>
              <c:numCache>
                <c:formatCode>0.0%</c:formatCode>
                <c:ptCount val="6"/>
                <c:pt idx="0">
                  <c:v>0.2</c:v>
                </c:pt>
                <c:pt idx="1">
                  <c:v>0.15702479338842976</c:v>
                </c:pt>
                <c:pt idx="2">
                  <c:v>0.10434782608695652</c:v>
                </c:pt>
                <c:pt idx="3">
                  <c:v>0.24390243902439024</c:v>
                </c:pt>
                <c:pt idx="4">
                  <c:v>7.662835249042145E-2</c:v>
                </c:pt>
                <c:pt idx="5">
                  <c:v>0.11669658886894076</c:v>
                </c:pt>
              </c:numCache>
            </c:numRef>
          </c:val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2012'!$B$29:$G$29</c:f>
              <c:numCache>
                <c:formatCode>0.0%</c:formatCode>
                <c:ptCount val="6"/>
                <c:pt idx="0">
                  <c:v>0.66666666666666663</c:v>
                </c:pt>
                <c:pt idx="1">
                  <c:v>0.22222222222222221</c:v>
                </c:pt>
                <c:pt idx="2">
                  <c:v>0.17647058823529413</c:v>
                </c:pt>
                <c:pt idx="3">
                  <c:v>0</c:v>
                </c:pt>
                <c:pt idx="4">
                  <c:v>9.3023255813953487E-2</c:v>
                </c:pt>
                <c:pt idx="5">
                  <c:v>0.14736842105263157</c:v>
                </c:pt>
              </c:numCache>
            </c:numRef>
          </c:val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2012'!$B$31:$G$31</c:f>
              <c:numCache>
                <c:formatCode>0.0%</c:formatCode>
                <c:ptCount val="6"/>
                <c:pt idx="0">
                  <c:v>0.21568627450980393</c:v>
                </c:pt>
                <c:pt idx="1">
                  <c:v>0.13084112149532709</c:v>
                </c:pt>
                <c:pt idx="2">
                  <c:v>9.5088819226750262E-2</c:v>
                </c:pt>
                <c:pt idx="3">
                  <c:v>6.471816283924843E-2</c:v>
                </c:pt>
                <c:pt idx="4">
                  <c:v>4.7666335650446874E-2</c:v>
                </c:pt>
                <c:pt idx="5">
                  <c:v>6.9069673781715663E-2</c:v>
                </c:pt>
              </c:numCache>
            </c:numRef>
          </c:val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2012'!$B$32:$G$32</c:f>
              <c:numCache>
                <c:formatCode>0.0%</c:formatCode>
                <c:ptCount val="6"/>
                <c:pt idx="0">
                  <c:v>0.66666666666666663</c:v>
                </c:pt>
                <c:pt idx="1">
                  <c:v>0.14814814814814814</c:v>
                </c:pt>
                <c:pt idx="2">
                  <c:v>0.1</c:v>
                </c:pt>
                <c:pt idx="3">
                  <c:v>0.375</c:v>
                </c:pt>
                <c:pt idx="4">
                  <c:v>4.6728971962616821E-2</c:v>
                </c:pt>
                <c:pt idx="5">
                  <c:v>0.11214953271028037</c:v>
                </c:pt>
              </c:numCache>
            </c:numRef>
          </c:val>
        </c:ser>
        <c:ser>
          <c:idx val="5"/>
          <c:order val="5"/>
          <c:tx>
            <c:v>Overall</c:v>
          </c:tx>
          <c:spPr>
            <a:solidFill>
              <a:srgbClr val="FFCC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 rtl="1">
                  <a:defRPr sz="575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'Denials 2012'!$B$26:$G$26</c:f>
              <c:strCache>
                <c:ptCount val="6"/>
                <c:pt idx="0">
                  <c:v>0-30% MFI</c:v>
                </c:pt>
                <c:pt idx="1">
                  <c:v>31-50% MFI</c:v>
                </c:pt>
                <c:pt idx="2">
                  <c:v>51-80% MFI</c:v>
                </c:pt>
                <c:pt idx="3">
                  <c:v>81-95% MFI</c:v>
                </c:pt>
                <c:pt idx="4">
                  <c:v>&gt;95% MFI</c:v>
                </c:pt>
                <c:pt idx="5">
                  <c:v>Total</c:v>
                </c:pt>
              </c:strCache>
            </c:strRef>
          </c:cat>
          <c:val>
            <c:numRef>
              <c:f>'Denials 2012'!$B$33:$G$33</c:f>
              <c:numCache>
                <c:formatCode>0.0%</c:formatCode>
                <c:ptCount val="6"/>
                <c:pt idx="0">
                  <c:v>0.23404255319148937</c:v>
                </c:pt>
                <c:pt idx="1">
                  <c:v>0.13333333333333333</c:v>
                </c:pt>
                <c:pt idx="2">
                  <c:v>9.2592592592592587E-2</c:v>
                </c:pt>
                <c:pt idx="3">
                  <c:v>8.5667215815486003E-2</c:v>
                </c:pt>
                <c:pt idx="4">
                  <c:v>4.9129191577852872E-2</c:v>
                </c:pt>
                <c:pt idx="5">
                  <c:v>7.3874151758173967E-2</c:v>
                </c:pt>
              </c:numCache>
            </c:numRef>
          </c:val>
        </c:ser>
        <c:axId val="52545792"/>
        <c:axId val="52564352"/>
      </c:barChart>
      <c:catAx>
        <c:axId val="52545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MFI Groupings</a:t>
                </a:r>
              </a:p>
            </c:rich>
          </c:tx>
          <c:layout>
            <c:manualLayout>
              <c:xMode val="edge"/>
              <c:yMode val="edge"/>
              <c:x val="0.47124600638977637"/>
              <c:y val="0.860986547085201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2564352"/>
        <c:crosses val="autoZero"/>
        <c:auto val="1"/>
        <c:lblAlgn val="ctr"/>
        <c:lblOffset val="100"/>
        <c:tickLblSkip val="1"/>
        <c:tickMarkSkip val="1"/>
      </c:catAx>
      <c:valAx>
        <c:axId val="52564352"/>
        <c:scaling>
          <c:orientation val="minMax"/>
          <c:max val="0.8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Denial Rates</a:t>
                </a:r>
              </a:p>
            </c:rich>
          </c:tx>
          <c:layout>
            <c:manualLayout>
              <c:xMode val="edge"/>
              <c:yMode val="edge"/>
              <c:x val="1.2779552715654953E-2"/>
              <c:y val="0.33632286995515953"/>
            </c:manualLayout>
          </c:layout>
          <c:spPr>
            <a:noFill/>
            <a:ln w="25400">
              <a:noFill/>
            </a:ln>
          </c:spPr>
        </c:title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2545792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2651757188498524E-2"/>
          <c:y val="0.91928251121076077"/>
          <c:w val="0.83546325878594085"/>
          <c:h val="4.9327354260089717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Denial Rate Trends for Race Groups
Multnomah County</a:t>
            </a:r>
          </a:p>
        </c:rich>
      </c:tx>
      <c:layout>
        <c:manualLayout>
          <c:xMode val="edge"/>
          <c:yMode val="edge"/>
          <c:x val="0.26921007286281562"/>
          <c:y val="3.7880834857157257E-3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33122565440038976"/>
          <c:y val="0.16367297372632419"/>
          <c:w val="0.64371327049114879"/>
          <c:h val="0.4970069568031063"/>
        </c:manualLayout>
      </c:layout>
      <c:lineChart>
        <c:grouping val="standard"/>
        <c:ser>
          <c:idx val="0"/>
          <c:order val="0"/>
          <c:tx>
            <c:strRef>
              <c:f>'Denial Rate Trend By Race'!$A$2</c:f>
              <c:strCache>
                <c:ptCount val="1"/>
                <c:pt idx="0">
                  <c:v>American Indian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Race'!$B$2:$H$2</c:f>
              <c:numCache>
                <c:formatCode>0.0%</c:formatCode>
                <c:ptCount val="7"/>
                <c:pt idx="0">
                  <c:v>0.20064724919093851</c:v>
                </c:pt>
                <c:pt idx="1">
                  <c:v>0.18103448275862069</c:v>
                </c:pt>
                <c:pt idx="2">
                  <c:v>0.22857142857142856</c:v>
                </c:pt>
                <c:pt idx="3">
                  <c:v>0.10714285714285714</c:v>
                </c:pt>
                <c:pt idx="4">
                  <c:v>0.17647058823529413</c:v>
                </c:pt>
                <c:pt idx="5" formatCode="0.00%">
                  <c:v>8.3333333333333329E-2</c:v>
                </c:pt>
                <c:pt idx="6" formatCode="0.00%">
                  <c:v>0.15625</c:v>
                </c:pt>
              </c:numCache>
            </c:numRef>
          </c:val>
        </c:ser>
        <c:ser>
          <c:idx val="1"/>
          <c:order val="1"/>
          <c:tx>
            <c:strRef>
              <c:f>'Denial Rate Trend By Race'!$A$3</c:f>
              <c:strCache>
                <c:ptCount val="1"/>
                <c:pt idx="0">
                  <c:v>Asian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Race'!$B$3:$H$3</c:f>
              <c:numCache>
                <c:formatCode>0.0%</c:formatCode>
                <c:ptCount val="7"/>
                <c:pt idx="0">
                  <c:v>0.15074393108848866</c:v>
                </c:pt>
                <c:pt idx="1">
                  <c:v>0.14801110083256244</c:v>
                </c:pt>
                <c:pt idx="2">
                  <c:v>0.18181818181818182</c:v>
                </c:pt>
                <c:pt idx="3">
                  <c:v>0.18953068592057762</c:v>
                </c:pt>
                <c:pt idx="4">
                  <c:v>8.3000000000000004E-2</c:v>
                </c:pt>
                <c:pt idx="5" formatCode="0.00%">
                  <c:v>0.10817307692307693</c:v>
                </c:pt>
                <c:pt idx="6" formatCode="0.00%">
                  <c:v>0.11669658886894076</c:v>
                </c:pt>
              </c:numCache>
            </c:numRef>
          </c:val>
        </c:ser>
        <c:ser>
          <c:idx val="2"/>
          <c:order val="2"/>
          <c:tx>
            <c:strRef>
              <c:f>'Denial Rate Trend By Race'!$A$4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Race'!$B$4:$H$4</c:f>
              <c:numCache>
                <c:formatCode>0.0%</c:formatCode>
                <c:ptCount val="7"/>
                <c:pt idx="0">
                  <c:v>0.18120805369127516</c:v>
                </c:pt>
                <c:pt idx="1">
                  <c:v>0.20096463022508038</c:v>
                </c:pt>
                <c:pt idx="2">
                  <c:v>0.1641025641025641</c:v>
                </c:pt>
                <c:pt idx="3">
                  <c:v>0.26136363636363635</c:v>
                </c:pt>
                <c:pt idx="4">
                  <c:v>8.8235294117647065E-2</c:v>
                </c:pt>
                <c:pt idx="5" formatCode="0.00%">
                  <c:v>0.13725490196078433</c:v>
                </c:pt>
                <c:pt idx="6" formatCode="0.00%">
                  <c:v>0.14736842105263157</c:v>
                </c:pt>
              </c:numCache>
            </c:numRef>
          </c:val>
        </c:ser>
        <c:ser>
          <c:idx val="3"/>
          <c:order val="3"/>
          <c:tx>
            <c:strRef>
              <c:f>'Denial Rate Trend By Race'!$A$5</c:f>
              <c:strCache>
                <c:ptCount val="1"/>
                <c:pt idx="0">
                  <c:v>Native Hawaiian or Pacific Islander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star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Race'!$B$5:$H$5</c:f>
              <c:numCache>
                <c:formatCode>0.0%</c:formatCode>
                <c:ptCount val="7"/>
                <c:pt idx="0">
                  <c:v>0.22560975609756098</c:v>
                </c:pt>
                <c:pt idx="1">
                  <c:v>0.2</c:v>
                </c:pt>
                <c:pt idx="2">
                  <c:v>0.24675324675324675</c:v>
                </c:pt>
                <c:pt idx="3">
                  <c:v>0.2857142857142857</c:v>
                </c:pt>
                <c:pt idx="4">
                  <c:v>4.1666666666666664E-2</c:v>
                </c:pt>
                <c:pt idx="5" formatCode="0.00%">
                  <c:v>0.25</c:v>
                </c:pt>
                <c:pt idx="6" formatCode="0.00%">
                  <c:v>5.8823529411764705E-2</c:v>
                </c:pt>
              </c:numCache>
            </c:numRef>
          </c:val>
        </c:ser>
        <c:ser>
          <c:idx val="4"/>
          <c:order val="4"/>
          <c:tx>
            <c:strRef>
              <c:f>'Denial Rate Trend By Race'!$A$6</c:f>
              <c:strCache>
                <c:ptCount val="1"/>
                <c:pt idx="0">
                  <c:v>Hispanic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Race'!$B$6:$H$6</c:f>
              <c:numCache>
                <c:formatCode>0.0%</c:formatCode>
                <c:ptCount val="7"/>
                <c:pt idx="0">
                  <c:v>0.11009613293314194</c:v>
                </c:pt>
                <c:pt idx="1">
                  <c:v>0.10326746613584503</c:v>
                </c:pt>
                <c:pt idx="2">
                  <c:v>0.11627151672620981</c:v>
                </c:pt>
                <c:pt idx="3">
                  <c:v>0.11812336270540605</c:v>
                </c:pt>
                <c:pt idx="4">
                  <c:v>7.5425292068046726E-2</c:v>
                </c:pt>
                <c:pt idx="5" formatCode="0.00%">
                  <c:v>7.2992700729927001E-2</c:v>
                </c:pt>
                <c:pt idx="6" formatCode="0.00%">
                  <c:v>6.9069673781715663E-2</c:v>
                </c:pt>
              </c:numCache>
            </c:numRef>
          </c:val>
        </c:ser>
        <c:ser>
          <c:idx val="5"/>
          <c:order val="5"/>
          <c:tx>
            <c:strRef>
              <c:f>'Denial Rate Trend By Race'!$A$7</c:f>
              <c:strCache>
                <c:ptCount val="1"/>
                <c:pt idx="0">
                  <c:v>White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Race'!$B$7:$H$7</c:f>
              <c:numCache>
                <c:formatCode>0.0%</c:formatCode>
                <c:ptCount val="7"/>
                <c:pt idx="0">
                  <c:v>0.21918384518300379</c:v>
                </c:pt>
                <c:pt idx="1">
                  <c:v>0.21298405466970388</c:v>
                </c:pt>
                <c:pt idx="2">
                  <c:v>0.21503131524008351</c:v>
                </c:pt>
                <c:pt idx="3">
                  <c:v>0.1746987951807229</c:v>
                </c:pt>
                <c:pt idx="4">
                  <c:v>0.1657142857142857</c:v>
                </c:pt>
                <c:pt idx="5" formatCode="0.00%">
                  <c:v>0.11612903225806452</c:v>
                </c:pt>
                <c:pt idx="6" formatCode="0.00%">
                  <c:v>0.11214953271028037</c:v>
                </c:pt>
              </c:numCache>
            </c:numRef>
          </c:val>
        </c:ser>
        <c:ser>
          <c:idx val="6"/>
          <c:order val="6"/>
          <c:tx>
            <c:strRef>
              <c:f>'Denial Rate Trend By Race'!$A$8</c:f>
              <c:strCache>
                <c:ptCount val="1"/>
                <c:pt idx="0">
                  <c:v>Overall Total</c:v>
                </c:pt>
              </c:strCache>
            </c:strRef>
          </c:tx>
          <c:cat>
            <c:numRef>
              <c:f>'Denial Rate Trend By Race'!$B$1:$H$1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Race'!$B$8:$H$8</c:f>
              <c:numCache>
                <c:formatCode>0.0%</c:formatCode>
                <c:ptCount val="7"/>
                <c:pt idx="0">
                  <c:v>0.11076374777253259</c:v>
                </c:pt>
                <c:pt idx="1">
                  <c:v>0.11175076193701321</c:v>
                </c:pt>
                <c:pt idx="2">
                  <c:v>0.11490239644500873</c:v>
                </c:pt>
                <c:pt idx="3">
                  <c:v>0.1306039273805113</c:v>
                </c:pt>
                <c:pt idx="4">
                  <c:v>7.2012623726868452E-2</c:v>
                </c:pt>
                <c:pt idx="5" formatCode="0.00%">
                  <c:v>8.1143577885221779E-2</c:v>
                </c:pt>
                <c:pt idx="6" formatCode="0.00%">
                  <c:v>7.3874151758173967E-2</c:v>
                </c:pt>
              </c:numCache>
            </c:numRef>
          </c:val>
        </c:ser>
        <c:marker val="1"/>
        <c:axId val="58985472"/>
        <c:axId val="69804800"/>
      </c:lineChart>
      <c:catAx>
        <c:axId val="58985472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04800"/>
        <c:crosses val="autoZero"/>
        <c:auto val="1"/>
        <c:lblAlgn val="ctr"/>
        <c:lblOffset val="100"/>
        <c:tickMarkSkip val="1"/>
      </c:catAx>
      <c:valAx>
        <c:axId val="69804800"/>
        <c:scaling>
          <c:orientation val="minMax"/>
        </c:scaling>
        <c:axPos val="l"/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8985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Denial Rate Trends for Income Groups
Multnomah County</a:t>
            </a:r>
          </a:p>
        </c:rich>
      </c:tx>
      <c:layout>
        <c:manualLayout>
          <c:xMode val="edge"/>
          <c:yMode val="edge"/>
          <c:x val="0.23248882265275708"/>
          <c:y val="4.59081836327345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6987631766446828"/>
          <c:y val="0.16367297372632419"/>
          <c:w val="0.75749968028938552"/>
          <c:h val="0.54091921804675425"/>
        </c:manualLayout>
      </c:layout>
      <c:lineChart>
        <c:grouping val="standard"/>
        <c:ser>
          <c:idx val="0"/>
          <c:order val="0"/>
          <c:tx>
            <c:strRef>
              <c:f>'Denial Rate Trend By Income'!$A$2</c:f>
              <c:strCache>
                <c:ptCount val="1"/>
                <c:pt idx="0">
                  <c:v>0-30% MFI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Income'!$B$2:$H$2</c:f>
              <c:numCache>
                <c:formatCode>0.0%</c:formatCode>
                <c:ptCount val="7"/>
                <c:pt idx="0">
                  <c:v>0.18045112781954886</c:v>
                </c:pt>
                <c:pt idx="1">
                  <c:v>0.34951456310679613</c:v>
                </c:pt>
                <c:pt idx="2">
                  <c:v>0.37037037037037035</c:v>
                </c:pt>
                <c:pt idx="3">
                  <c:v>0.33734939759036142</c:v>
                </c:pt>
                <c:pt idx="4">
                  <c:v>0.31707317073170732</c:v>
                </c:pt>
                <c:pt idx="5">
                  <c:v>0.28735632183908044</c:v>
                </c:pt>
                <c:pt idx="6">
                  <c:v>0.23404255319148937</c:v>
                </c:pt>
              </c:numCache>
            </c:numRef>
          </c:val>
        </c:ser>
        <c:ser>
          <c:idx val="1"/>
          <c:order val="1"/>
          <c:tx>
            <c:strRef>
              <c:f>'Denial Rate Trend By Income'!$A$3</c:f>
              <c:strCache>
                <c:ptCount val="1"/>
                <c:pt idx="0">
                  <c:v>31-50% MFI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Income'!$B$3:$H$3</c:f>
              <c:numCache>
                <c:formatCode>0.0%</c:formatCode>
                <c:ptCount val="7"/>
                <c:pt idx="0">
                  <c:v>0.20203488372093023</c:v>
                </c:pt>
                <c:pt idx="1">
                  <c:v>0.29253112033195022</c:v>
                </c:pt>
                <c:pt idx="2">
                  <c:v>0.26315789473684209</c:v>
                </c:pt>
                <c:pt idx="3">
                  <c:v>0.21611001964636542</c:v>
                </c:pt>
                <c:pt idx="4">
                  <c:v>0.1838074398249453</c:v>
                </c:pt>
                <c:pt idx="5" formatCode="0.00%">
                  <c:v>0.13276231263383298</c:v>
                </c:pt>
                <c:pt idx="6">
                  <c:v>0.13333333333333333</c:v>
                </c:pt>
              </c:numCache>
            </c:numRef>
          </c:val>
        </c:ser>
        <c:ser>
          <c:idx val="2"/>
          <c:order val="2"/>
          <c:tx>
            <c:strRef>
              <c:f>'Denial Rate Trend By Income'!$A$4</c:f>
              <c:strCache>
                <c:ptCount val="1"/>
                <c:pt idx="0">
                  <c:v>51-80% MFI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Income'!$B$4:$H$4</c:f>
              <c:numCache>
                <c:formatCode>0.0%</c:formatCode>
                <c:ptCount val="7"/>
                <c:pt idx="0">
                  <c:v>0.15044479330193616</c:v>
                </c:pt>
                <c:pt idx="1">
                  <c:v>0.14911433172302738</c:v>
                </c:pt>
                <c:pt idx="2">
                  <c:v>0.18835616438356165</c:v>
                </c:pt>
                <c:pt idx="3">
                  <c:v>0.1434327155519742</c:v>
                </c:pt>
                <c:pt idx="4">
                  <c:v>0.11700000000000001</c:v>
                </c:pt>
                <c:pt idx="5" formatCode="0.00%">
                  <c:v>9.2436974789915971E-2</c:v>
                </c:pt>
                <c:pt idx="6">
                  <c:v>9.2592592592592587E-2</c:v>
                </c:pt>
              </c:numCache>
            </c:numRef>
          </c:val>
        </c:ser>
        <c:ser>
          <c:idx val="3"/>
          <c:order val="3"/>
          <c:tx>
            <c:strRef>
              <c:f>'Denial Rate Trend By Income'!$A$5</c:f>
              <c:strCache>
                <c:ptCount val="1"/>
                <c:pt idx="0">
                  <c:v>81-95% MFI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star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Income'!$B$5:$H$5</c:f>
              <c:numCache>
                <c:formatCode>0.0%</c:formatCode>
                <c:ptCount val="7"/>
                <c:pt idx="0">
                  <c:v>0.13822456424807458</c:v>
                </c:pt>
                <c:pt idx="1">
                  <c:v>0.14285714285714285</c:v>
                </c:pt>
                <c:pt idx="2">
                  <c:v>0.16033755274261605</c:v>
                </c:pt>
                <c:pt idx="3">
                  <c:v>0.11663479923518165</c:v>
                </c:pt>
                <c:pt idx="4">
                  <c:v>7.9741379310344834E-2</c:v>
                </c:pt>
                <c:pt idx="5" formatCode="0.00%">
                  <c:v>9.5238095238095233E-2</c:v>
                </c:pt>
                <c:pt idx="6">
                  <c:v>8.5667215815486003E-2</c:v>
                </c:pt>
              </c:numCache>
            </c:numRef>
          </c:val>
        </c:ser>
        <c:ser>
          <c:idx val="4"/>
          <c:order val="4"/>
          <c:tx>
            <c:strRef>
              <c:f>'Denial Rate Trend By Income'!$A$6</c:f>
              <c:strCache>
                <c:ptCount val="1"/>
                <c:pt idx="0">
                  <c:v>&gt;95% MFI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'Denial Rate Trend By Income'!$B$1:$H$1</c:f>
              <c:numCache>
                <c:formatCode>General</c:formatCode>
                <c:ptCount val="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</c:numCache>
            </c:numRef>
          </c:cat>
          <c:val>
            <c:numRef>
              <c:f>'Denial Rate Trend By Income'!$B$6:$H$6</c:f>
              <c:numCache>
                <c:formatCode>0.0%</c:formatCode>
                <c:ptCount val="7"/>
                <c:pt idx="0">
                  <c:v>0.11923641703377386</c:v>
                </c:pt>
                <c:pt idx="1">
                  <c:v>0.13673002288784955</c:v>
                </c:pt>
                <c:pt idx="2">
                  <c:v>0.12818991097922849</c:v>
                </c:pt>
                <c:pt idx="3">
                  <c:v>0.10616784630940344</c:v>
                </c:pt>
                <c:pt idx="4">
                  <c:v>7.7731092436974791E-2</c:v>
                </c:pt>
                <c:pt idx="5" formatCode="0.00%">
                  <c:v>5.9035277177825772E-2</c:v>
                </c:pt>
                <c:pt idx="6">
                  <c:v>4.9129191577852872E-2</c:v>
                </c:pt>
              </c:numCache>
            </c:numRef>
          </c:val>
        </c:ser>
        <c:marker val="1"/>
        <c:axId val="53873664"/>
        <c:axId val="53892224"/>
      </c:lineChart>
      <c:catAx>
        <c:axId val="5387366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92224"/>
        <c:crosses val="autoZero"/>
        <c:auto val="1"/>
        <c:lblAlgn val="ctr"/>
        <c:lblOffset val="100"/>
        <c:tickMarkSkip val="1"/>
      </c:catAx>
      <c:valAx>
        <c:axId val="53892224"/>
        <c:scaling>
          <c:orientation val="minMax"/>
        </c:scaling>
        <c:axPos val="l"/>
        <c:numFmt formatCode="0.0%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3873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0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921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112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133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153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205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114300</xdr:rowOff>
    </xdr:from>
    <xdr:to>
      <xdr:col>6</xdr:col>
      <xdr:colOff>552450</xdr:colOff>
      <xdr:row>62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897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selection activeCell="E13" sqref="E13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7">
      <c r="A1" s="38" t="s">
        <v>23</v>
      </c>
      <c r="B1" s="39"/>
      <c r="C1" s="39"/>
      <c r="D1" s="39"/>
      <c r="E1" s="39"/>
      <c r="F1" s="39"/>
      <c r="G1" s="40"/>
    </row>
    <row r="2" spans="1:7">
      <c r="A2" s="41" t="s">
        <v>15</v>
      </c>
      <c r="B2" s="42"/>
      <c r="C2" s="42"/>
      <c r="D2" s="42"/>
      <c r="E2" s="42"/>
      <c r="F2" s="42"/>
      <c r="G2" s="43"/>
    </row>
    <row r="3" spans="1:7">
      <c r="A3" s="14"/>
      <c r="B3" s="15"/>
      <c r="C3" s="15"/>
      <c r="D3" s="15"/>
      <c r="E3" s="15"/>
      <c r="F3" s="15"/>
      <c r="G3" s="16"/>
    </row>
    <row r="4" spans="1:7">
      <c r="B4" s="2"/>
      <c r="C4" s="2"/>
      <c r="D4" s="2"/>
      <c r="E4" s="2"/>
      <c r="F4" s="2"/>
      <c r="G4" s="7"/>
    </row>
    <row r="5" spans="1:7">
      <c r="A5" s="35" t="s">
        <v>12</v>
      </c>
      <c r="B5" s="36"/>
      <c r="C5" s="36"/>
      <c r="D5" s="36"/>
      <c r="E5" s="36"/>
      <c r="F5" s="36"/>
      <c r="G5" s="37"/>
    </row>
    <row r="6" spans="1:7">
      <c r="A6" s="18" t="s">
        <v>10</v>
      </c>
      <c r="B6" s="19" t="s">
        <v>1</v>
      </c>
      <c r="C6" s="19" t="s">
        <v>2</v>
      </c>
      <c r="D6" s="19" t="s">
        <v>3</v>
      </c>
      <c r="E6" s="19" t="s">
        <v>4</v>
      </c>
      <c r="F6" s="19" t="s">
        <v>0</v>
      </c>
      <c r="G6" s="20" t="s">
        <v>5</v>
      </c>
    </row>
    <row r="7" spans="1:7">
      <c r="A7" s="6" t="s">
        <v>11</v>
      </c>
      <c r="B7" s="1">
        <v>1</v>
      </c>
      <c r="C7" s="1">
        <v>10</v>
      </c>
      <c r="D7" s="3">
        <v>53</v>
      </c>
      <c r="E7" s="3">
        <v>32</v>
      </c>
      <c r="F7" s="3">
        <v>84</v>
      </c>
      <c r="G7" s="8">
        <v>191</v>
      </c>
    </row>
    <row r="8" spans="1:7">
      <c r="A8" s="6" t="s">
        <v>6</v>
      </c>
      <c r="B8" s="3">
        <v>6</v>
      </c>
      <c r="C8" s="3">
        <v>49</v>
      </c>
      <c r="D8" s="3">
        <v>361</v>
      </c>
      <c r="E8" s="3">
        <v>245</v>
      </c>
      <c r="F8" s="3">
        <v>952</v>
      </c>
      <c r="G8" s="8">
        <v>1720</v>
      </c>
    </row>
    <row r="9" spans="1:7">
      <c r="A9" s="9" t="s">
        <v>7</v>
      </c>
      <c r="B9" s="3">
        <v>2</v>
      </c>
      <c r="C9" s="3">
        <v>39</v>
      </c>
      <c r="D9" s="3">
        <v>147</v>
      </c>
      <c r="E9" s="3">
        <v>89</v>
      </c>
      <c r="F9" s="3">
        <v>268</v>
      </c>
      <c r="G9" s="8">
        <v>575</v>
      </c>
    </row>
    <row r="10" spans="1:7">
      <c r="A10" s="9" t="s">
        <v>22</v>
      </c>
      <c r="B10" s="3">
        <v>2</v>
      </c>
      <c r="C10" s="3">
        <v>7</v>
      </c>
      <c r="D10" s="3">
        <v>46</v>
      </c>
      <c r="E10" s="3">
        <v>18</v>
      </c>
      <c r="F10" s="3">
        <v>81</v>
      </c>
      <c r="G10" s="8">
        <v>164</v>
      </c>
    </row>
    <row r="11" spans="1:7">
      <c r="A11" s="9" t="s">
        <v>8</v>
      </c>
      <c r="B11" s="3">
        <v>98</v>
      </c>
      <c r="C11" s="3">
        <v>511</v>
      </c>
      <c r="D11" s="3">
        <v>2913</v>
      </c>
      <c r="E11" s="3">
        <v>1921</v>
      </c>
      <c r="F11" s="3">
        <v>8017</v>
      </c>
      <c r="G11" s="8">
        <v>14270</v>
      </c>
    </row>
    <row r="12" spans="1:7">
      <c r="A12" s="9" t="s">
        <v>9</v>
      </c>
      <c r="B12" s="2">
        <v>8</v>
      </c>
      <c r="C12" s="2">
        <v>64</v>
      </c>
      <c r="D12" s="3">
        <v>389</v>
      </c>
      <c r="E12" s="3">
        <v>303</v>
      </c>
      <c r="F12" s="3">
        <v>592</v>
      </c>
      <c r="G12" s="8">
        <v>1439</v>
      </c>
    </row>
    <row r="13" spans="1:7">
      <c r="A13" s="9" t="s">
        <v>14</v>
      </c>
      <c r="B13" s="3">
        <v>133</v>
      </c>
      <c r="C13" s="2">
        <v>688</v>
      </c>
      <c r="D13" s="2">
        <v>3822</v>
      </c>
      <c r="E13" s="2">
        <v>2467</v>
      </c>
      <c r="F13" s="2">
        <v>10215</v>
      </c>
      <c r="G13" s="7">
        <v>18461</v>
      </c>
    </row>
    <row r="14" spans="1:7">
      <c r="A14" s="6"/>
      <c r="B14" s="2"/>
      <c r="C14" s="2"/>
      <c r="D14" s="2"/>
      <c r="E14" s="2"/>
      <c r="F14" s="2"/>
      <c r="G14" s="7"/>
    </row>
    <row r="15" spans="1:7">
      <c r="A15" s="35" t="s">
        <v>13</v>
      </c>
      <c r="B15" s="36"/>
      <c r="C15" s="36"/>
      <c r="D15" s="36"/>
      <c r="E15" s="36"/>
      <c r="F15" s="36"/>
      <c r="G15" s="37"/>
    </row>
    <row r="16" spans="1:7" s="17" customFormat="1" ht="11.25">
      <c r="A16" s="18"/>
      <c r="B16" s="19" t="s">
        <v>1</v>
      </c>
      <c r="C16" s="19" t="s">
        <v>2</v>
      </c>
      <c r="D16" s="19" t="s">
        <v>3</v>
      </c>
      <c r="E16" s="19" t="s">
        <v>4</v>
      </c>
      <c r="F16" s="19" t="s">
        <v>0</v>
      </c>
      <c r="G16" s="20" t="s">
        <v>5</v>
      </c>
    </row>
    <row r="17" spans="1:7">
      <c r="A17" s="6" t="s">
        <v>11</v>
      </c>
      <c r="B17" s="3">
        <v>1</v>
      </c>
      <c r="C17" s="3">
        <v>2</v>
      </c>
      <c r="D17" s="3">
        <v>15</v>
      </c>
      <c r="E17" s="3">
        <v>7</v>
      </c>
      <c r="F17" s="3">
        <v>10</v>
      </c>
      <c r="G17" s="8">
        <v>37</v>
      </c>
    </row>
    <row r="18" spans="1:7">
      <c r="A18" s="6" t="s">
        <v>6</v>
      </c>
      <c r="B18" s="3">
        <v>3</v>
      </c>
      <c r="C18" s="3">
        <v>7</v>
      </c>
      <c r="D18" s="3">
        <v>54</v>
      </c>
      <c r="E18" s="3">
        <v>31</v>
      </c>
      <c r="F18" s="3">
        <v>156</v>
      </c>
      <c r="G18" s="8">
        <v>280</v>
      </c>
    </row>
    <row r="19" spans="1:7">
      <c r="A19" s="9" t="s">
        <v>7</v>
      </c>
      <c r="B19" s="3">
        <v>1</v>
      </c>
      <c r="C19" s="3">
        <v>8</v>
      </c>
      <c r="D19" s="3">
        <v>27</v>
      </c>
      <c r="E19" s="3">
        <v>21</v>
      </c>
      <c r="F19" s="3">
        <v>56</v>
      </c>
      <c r="G19" s="8">
        <v>117</v>
      </c>
    </row>
    <row r="20" spans="1:7">
      <c r="A20" s="9" t="s">
        <v>22</v>
      </c>
      <c r="B20" s="3">
        <v>1</v>
      </c>
      <c r="C20" s="3">
        <v>4</v>
      </c>
      <c r="D20" s="3">
        <v>15</v>
      </c>
      <c r="E20" s="3">
        <v>4</v>
      </c>
      <c r="F20" s="3">
        <v>12</v>
      </c>
      <c r="G20" s="8">
        <v>37</v>
      </c>
    </row>
    <row r="21" spans="1:7">
      <c r="A21" s="9" t="s">
        <v>8</v>
      </c>
      <c r="B21" s="3">
        <v>9</v>
      </c>
      <c r="C21" s="3">
        <v>96</v>
      </c>
      <c r="D21" s="3">
        <v>401</v>
      </c>
      <c r="E21" s="3">
        <v>246</v>
      </c>
      <c r="F21" s="3">
        <v>845</v>
      </c>
      <c r="G21" s="8">
        <v>1704</v>
      </c>
    </row>
    <row r="22" spans="1:7">
      <c r="A22" s="9" t="s">
        <v>9</v>
      </c>
      <c r="B22" s="3">
        <v>3</v>
      </c>
      <c r="C22" s="3">
        <v>22</v>
      </c>
      <c r="D22" s="3">
        <v>104</v>
      </c>
      <c r="E22" s="3">
        <v>65</v>
      </c>
      <c r="F22" s="3">
        <v>120</v>
      </c>
      <c r="G22" s="8">
        <v>328</v>
      </c>
    </row>
    <row r="23" spans="1:7">
      <c r="A23" s="9" t="s">
        <v>14</v>
      </c>
      <c r="B23" s="2">
        <v>24</v>
      </c>
      <c r="C23" s="2">
        <v>139</v>
      </c>
      <c r="D23" s="2">
        <v>575</v>
      </c>
      <c r="E23" s="3">
        <v>341</v>
      </c>
      <c r="F23" s="2">
        <v>1218</v>
      </c>
      <c r="G23" s="7">
        <v>2468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5" t="s">
        <v>16</v>
      </c>
      <c r="B25" s="36"/>
      <c r="C25" s="36"/>
      <c r="D25" s="36"/>
      <c r="E25" s="36"/>
      <c r="F25" s="36"/>
      <c r="G25" s="37"/>
    </row>
    <row r="26" spans="1:7" s="17" customFormat="1" ht="11.25">
      <c r="A26" s="18"/>
      <c r="B26" s="19" t="s">
        <v>1</v>
      </c>
      <c r="C26" s="19" t="s">
        <v>2</v>
      </c>
      <c r="D26" s="19" t="s">
        <v>3</v>
      </c>
      <c r="E26" s="19" t="s">
        <v>4</v>
      </c>
      <c r="F26" s="19" t="s">
        <v>0</v>
      </c>
      <c r="G26" s="20" t="s">
        <v>5</v>
      </c>
    </row>
    <row r="27" spans="1:7">
      <c r="A27" s="6" t="s">
        <v>11</v>
      </c>
      <c r="B27" s="5">
        <f>SUM(B17/B12)</f>
        <v>0.125</v>
      </c>
      <c r="C27" s="5">
        <f>SUM(C17/C12)</f>
        <v>3.125E-2</v>
      </c>
      <c r="D27" s="5">
        <f t="shared" ref="D27:G30" si="0">SUM(D17/D7)</f>
        <v>0.28301886792452829</v>
      </c>
      <c r="E27" s="5">
        <f t="shared" si="0"/>
        <v>0.21875</v>
      </c>
      <c r="F27" s="5">
        <f t="shared" si="0"/>
        <v>0.11904761904761904</v>
      </c>
      <c r="G27" s="10">
        <f t="shared" si="0"/>
        <v>0.193717277486911</v>
      </c>
    </row>
    <row r="28" spans="1:7">
      <c r="A28" s="6" t="s">
        <v>6</v>
      </c>
      <c r="B28" s="5">
        <f t="shared" ref="B28:C30" si="1">SUM(B18/B8)</f>
        <v>0.5</v>
      </c>
      <c r="C28" s="5">
        <f t="shared" si="1"/>
        <v>0.14285714285714285</v>
      </c>
      <c r="D28" s="5">
        <f t="shared" si="0"/>
        <v>0.14958448753462603</v>
      </c>
      <c r="E28" s="5">
        <f t="shared" si="0"/>
        <v>0.12653061224489795</v>
      </c>
      <c r="F28" s="5">
        <f t="shared" si="0"/>
        <v>0.1638655462184874</v>
      </c>
      <c r="G28" s="10">
        <f t="shared" si="0"/>
        <v>0.16279069767441862</v>
      </c>
    </row>
    <row r="29" spans="1:7">
      <c r="A29" s="9" t="s">
        <v>7</v>
      </c>
      <c r="B29" s="5">
        <f t="shared" si="1"/>
        <v>0.5</v>
      </c>
      <c r="C29" s="5">
        <f t="shared" si="1"/>
        <v>0.20512820512820512</v>
      </c>
      <c r="D29" s="5">
        <f t="shared" si="0"/>
        <v>0.18367346938775511</v>
      </c>
      <c r="E29" s="5">
        <f t="shared" si="0"/>
        <v>0.23595505617977527</v>
      </c>
      <c r="F29" s="5">
        <f t="shared" si="0"/>
        <v>0.20895522388059701</v>
      </c>
      <c r="G29" s="10">
        <f t="shared" si="0"/>
        <v>0.20347826086956522</v>
      </c>
    </row>
    <row r="30" spans="1:7">
      <c r="A30" s="9" t="s">
        <v>22</v>
      </c>
      <c r="B30" s="5">
        <f t="shared" si="1"/>
        <v>0.5</v>
      </c>
      <c r="C30" s="5">
        <f t="shared" si="1"/>
        <v>0.5714285714285714</v>
      </c>
      <c r="D30" s="5">
        <f t="shared" si="0"/>
        <v>0.32608695652173914</v>
      </c>
      <c r="E30" s="5">
        <f t="shared" si="0"/>
        <v>0.22222222222222221</v>
      </c>
      <c r="F30" s="5">
        <f t="shared" si="0"/>
        <v>0.14814814814814814</v>
      </c>
      <c r="G30" s="10">
        <f t="shared" si="0"/>
        <v>0.22560975609756098</v>
      </c>
    </row>
    <row r="31" spans="1:7">
      <c r="A31" s="9" t="s">
        <v>8</v>
      </c>
      <c r="B31" s="5">
        <f t="shared" ref="B31:G33" si="2">SUM(B21/B11)</f>
        <v>9.1836734693877556E-2</v>
      </c>
      <c r="C31" s="5">
        <f t="shared" si="2"/>
        <v>0.18786692759295498</v>
      </c>
      <c r="D31" s="5">
        <f t="shared" si="2"/>
        <v>0.13765877102643323</v>
      </c>
      <c r="E31" s="5">
        <f t="shared" si="2"/>
        <v>0.12805830296720458</v>
      </c>
      <c r="F31" s="5">
        <f t="shared" si="2"/>
        <v>0.1054010228264937</v>
      </c>
      <c r="G31" s="10">
        <f t="shared" si="2"/>
        <v>0.11941135248773652</v>
      </c>
    </row>
    <row r="32" spans="1:7">
      <c r="A32" s="9" t="s">
        <v>9</v>
      </c>
      <c r="B32" s="5">
        <f t="shared" si="2"/>
        <v>0.375</v>
      </c>
      <c r="C32" s="5">
        <f t="shared" si="2"/>
        <v>0.34375</v>
      </c>
      <c r="D32" s="5">
        <f t="shared" si="2"/>
        <v>0.26735218508997427</v>
      </c>
      <c r="E32" s="5">
        <f t="shared" si="2"/>
        <v>0.21452145214521451</v>
      </c>
      <c r="F32" s="5">
        <f t="shared" si="2"/>
        <v>0.20270270270270271</v>
      </c>
      <c r="G32" s="10">
        <f t="shared" si="2"/>
        <v>0.22793606671299513</v>
      </c>
    </row>
    <row r="33" spans="1:9" ht="13.5" thickBot="1">
      <c r="A33" s="11" t="s">
        <v>14</v>
      </c>
      <c r="B33" s="12">
        <f t="shared" si="2"/>
        <v>0.18045112781954886</v>
      </c>
      <c r="C33" s="12">
        <f t="shared" si="2"/>
        <v>0.20203488372093023</v>
      </c>
      <c r="D33" s="12">
        <f t="shared" si="2"/>
        <v>0.15044479330193616</v>
      </c>
      <c r="E33" s="12">
        <f t="shared" si="2"/>
        <v>0.13822456424807458</v>
      </c>
      <c r="F33" s="12">
        <f t="shared" si="2"/>
        <v>0.11923641703377386</v>
      </c>
      <c r="G33" s="13">
        <f t="shared" si="2"/>
        <v>0.13368723254428255</v>
      </c>
    </row>
    <row r="34" spans="1:9">
      <c r="A34" s="21" t="s">
        <v>26</v>
      </c>
      <c r="B34" s="5"/>
      <c r="C34" s="5"/>
      <c r="D34" s="5"/>
      <c r="E34" s="5"/>
      <c r="F34" s="5"/>
      <c r="G34" s="5"/>
    </row>
    <row r="35" spans="1:9" ht="55.5" customHeight="1">
      <c r="A35" s="34" t="s">
        <v>17</v>
      </c>
      <c r="B35" s="34"/>
      <c r="C35" s="34"/>
      <c r="D35" s="34"/>
      <c r="E35" s="34"/>
      <c r="F35" s="34"/>
      <c r="G35" s="34"/>
      <c r="H35" s="34"/>
      <c r="I35" s="34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25:G25"/>
    <mergeCell ref="A1:G1"/>
    <mergeCell ref="A2:G2"/>
    <mergeCell ref="A5:G5"/>
    <mergeCell ref="A15:G15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6"/>
  <sheetViews>
    <sheetView workbookViewId="0">
      <selection activeCell="J26" sqref="J26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5">
      <c r="A1" s="38" t="s">
        <v>24</v>
      </c>
      <c r="B1" s="39"/>
      <c r="C1" s="39"/>
      <c r="D1" s="39"/>
      <c r="E1" s="39"/>
      <c r="F1" s="39"/>
      <c r="G1" s="40"/>
    </row>
    <row r="2" spans="1:15">
      <c r="A2" s="41" t="s">
        <v>15</v>
      </c>
      <c r="B2" s="42"/>
      <c r="C2" s="42"/>
      <c r="D2" s="42"/>
      <c r="E2" s="42"/>
      <c r="F2" s="42"/>
      <c r="G2" s="43"/>
    </row>
    <row r="3" spans="1:15">
      <c r="A3" s="14"/>
      <c r="B3" s="15"/>
      <c r="C3" s="15"/>
      <c r="D3" s="15"/>
      <c r="E3" s="15"/>
      <c r="F3" s="15"/>
      <c r="G3" s="16"/>
    </row>
    <row r="4" spans="1:15">
      <c r="B4" s="2"/>
      <c r="C4" s="2"/>
      <c r="D4" s="2"/>
      <c r="E4" s="2"/>
      <c r="F4" s="2"/>
      <c r="G4" s="7"/>
      <c r="K4" s="2"/>
    </row>
    <row r="5" spans="1:15">
      <c r="A5" s="35" t="s">
        <v>12</v>
      </c>
      <c r="B5" s="36"/>
      <c r="C5" s="36"/>
      <c r="D5" s="36"/>
      <c r="E5" s="36"/>
      <c r="F5" s="36"/>
      <c r="G5" s="37"/>
      <c r="K5" s="3"/>
    </row>
    <row r="6" spans="1:15">
      <c r="A6" s="18" t="s">
        <v>10</v>
      </c>
      <c r="B6" s="19" t="s">
        <v>1</v>
      </c>
      <c r="C6" s="19" t="s">
        <v>2</v>
      </c>
      <c r="D6" s="19" t="s">
        <v>3</v>
      </c>
      <c r="E6" s="19" t="s">
        <v>4</v>
      </c>
      <c r="F6" s="19" t="s">
        <v>0</v>
      </c>
      <c r="G6" s="20" t="s">
        <v>5</v>
      </c>
      <c r="K6" s="3"/>
    </row>
    <row r="7" spans="1:15">
      <c r="A7" s="6" t="s">
        <v>11</v>
      </c>
      <c r="B7" s="2">
        <v>1</v>
      </c>
      <c r="C7" s="2">
        <v>10</v>
      </c>
      <c r="D7" s="3">
        <v>41</v>
      </c>
      <c r="E7" s="3">
        <v>16</v>
      </c>
      <c r="F7" s="3">
        <v>83</v>
      </c>
      <c r="G7" s="8">
        <v>154</v>
      </c>
      <c r="K7" s="3"/>
    </row>
    <row r="8" spans="1:15">
      <c r="A8" s="6" t="s">
        <v>6</v>
      </c>
      <c r="B8" s="3">
        <v>13</v>
      </c>
      <c r="C8" s="3">
        <v>42</v>
      </c>
      <c r="D8" s="3">
        <v>304</v>
      </c>
      <c r="E8" s="3">
        <v>178</v>
      </c>
      <c r="F8" s="3">
        <v>903</v>
      </c>
      <c r="G8" s="8">
        <v>1487</v>
      </c>
      <c r="K8" s="3"/>
    </row>
    <row r="9" spans="1:15">
      <c r="A9" s="9" t="s">
        <v>7</v>
      </c>
      <c r="B9" s="3">
        <v>0</v>
      </c>
      <c r="C9" s="3">
        <v>12</v>
      </c>
      <c r="D9" s="3">
        <v>99</v>
      </c>
      <c r="E9" s="3">
        <v>63</v>
      </c>
      <c r="F9" s="3">
        <v>242</v>
      </c>
      <c r="G9" s="8">
        <v>429</v>
      </c>
    </row>
    <row r="10" spans="1:15">
      <c r="A10" s="9" t="s">
        <v>22</v>
      </c>
      <c r="B10" s="3">
        <v>1</v>
      </c>
      <c r="C10" s="3">
        <v>1</v>
      </c>
      <c r="D10" s="3">
        <v>28</v>
      </c>
      <c r="E10" s="3">
        <v>17</v>
      </c>
      <c r="F10" s="3">
        <v>80</v>
      </c>
      <c r="G10" s="8">
        <v>130</v>
      </c>
    </row>
    <row r="11" spans="1:15">
      <c r="A11" s="9" t="s">
        <v>8</v>
      </c>
      <c r="B11" s="3">
        <v>82</v>
      </c>
      <c r="C11" s="3">
        <v>393</v>
      </c>
      <c r="D11" s="3">
        <v>2411</v>
      </c>
      <c r="E11" s="3">
        <v>1480</v>
      </c>
      <c r="F11" s="3">
        <v>8000</v>
      </c>
      <c r="G11" s="8">
        <v>12847</v>
      </c>
    </row>
    <row r="12" spans="1:15">
      <c r="A12" s="9" t="s">
        <v>9</v>
      </c>
      <c r="B12" s="3">
        <v>4</v>
      </c>
      <c r="C12" s="3">
        <v>38</v>
      </c>
      <c r="D12" s="3">
        <v>313</v>
      </c>
      <c r="E12" s="3">
        <v>209</v>
      </c>
      <c r="F12" s="3">
        <v>561</v>
      </c>
      <c r="G12" s="8">
        <v>1157</v>
      </c>
    </row>
    <row r="13" spans="1:15">
      <c r="A13" s="9" t="s">
        <v>14</v>
      </c>
      <c r="B13" s="3">
        <v>103</v>
      </c>
      <c r="C13" s="2">
        <v>482</v>
      </c>
      <c r="D13" s="2">
        <v>3105</v>
      </c>
      <c r="E13" s="2">
        <v>1911</v>
      </c>
      <c r="F13" s="2">
        <v>10049</v>
      </c>
      <c r="G13" s="7">
        <v>16339</v>
      </c>
    </row>
    <row r="14" spans="1:15">
      <c r="A14" s="6"/>
      <c r="B14" s="2"/>
      <c r="C14" s="2"/>
      <c r="D14" s="2"/>
      <c r="E14" s="2"/>
      <c r="F14" s="2"/>
      <c r="G14" s="7"/>
    </row>
    <row r="15" spans="1:15">
      <c r="A15" s="35" t="s">
        <v>13</v>
      </c>
      <c r="B15" s="36"/>
      <c r="C15" s="36"/>
      <c r="D15" s="36"/>
      <c r="E15" s="36"/>
      <c r="F15" s="36"/>
      <c r="G15" s="37"/>
      <c r="O15" s="3"/>
    </row>
    <row r="16" spans="1:15" s="17" customFormat="1">
      <c r="A16" s="18"/>
      <c r="B16" s="19" t="s">
        <v>1</v>
      </c>
      <c r="C16" s="19" t="s">
        <v>2</v>
      </c>
      <c r="D16" s="19" t="s">
        <v>3</v>
      </c>
      <c r="E16" s="19" t="s">
        <v>4</v>
      </c>
      <c r="F16" s="19" t="s">
        <v>0</v>
      </c>
      <c r="G16" s="20" t="s">
        <v>5</v>
      </c>
      <c r="O16" s="3"/>
    </row>
    <row r="17" spans="1:15">
      <c r="A17" s="6" t="s">
        <v>11</v>
      </c>
      <c r="B17" s="3">
        <v>0</v>
      </c>
      <c r="C17" s="3">
        <v>1</v>
      </c>
      <c r="D17" s="3">
        <v>13</v>
      </c>
      <c r="E17" s="3">
        <v>2</v>
      </c>
      <c r="F17" s="3">
        <v>17</v>
      </c>
      <c r="G17" s="8">
        <v>34</v>
      </c>
      <c r="O17" s="3"/>
    </row>
    <row r="18" spans="1:15">
      <c r="A18" s="6" t="s">
        <v>6</v>
      </c>
      <c r="B18" s="3">
        <v>7</v>
      </c>
      <c r="C18" s="3">
        <v>13</v>
      </c>
      <c r="D18" s="3">
        <v>50</v>
      </c>
      <c r="E18" s="3">
        <v>23</v>
      </c>
      <c r="F18" s="3">
        <v>155</v>
      </c>
      <c r="G18" s="8">
        <v>262</v>
      </c>
      <c r="O18" s="3"/>
    </row>
    <row r="19" spans="1:15">
      <c r="A19" s="9" t="s">
        <v>7</v>
      </c>
      <c r="B19" s="3">
        <v>0</v>
      </c>
      <c r="C19" s="3">
        <v>7</v>
      </c>
      <c r="D19" s="3">
        <v>24</v>
      </c>
      <c r="E19" s="3">
        <v>9</v>
      </c>
      <c r="F19" s="3">
        <v>57</v>
      </c>
      <c r="G19" s="8">
        <v>101</v>
      </c>
      <c r="O19" s="3"/>
    </row>
    <row r="20" spans="1:15">
      <c r="A20" s="9" t="s">
        <v>22</v>
      </c>
      <c r="B20" s="3">
        <v>1</v>
      </c>
      <c r="C20" s="3">
        <v>0</v>
      </c>
      <c r="D20" s="3">
        <v>7</v>
      </c>
      <c r="E20" s="3">
        <v>3</v>
      </c>
      <c r="F20" s="3">
        <v>17</v>
      </c>
      <c r="G20" s="8">
        <v>26</v>
      </c>
      <c r="O20" s="3"/>
    </row>
    <row r="21" spans="1:15">
      <c r="A21" s="9" t="s">
        <v>8</v>
      </c>
      <c r="B21" s="3">
        <v>25</v>
      </c>
      <c r="C21" s="3">
        <v>106</v>
      </c>
      <c r="D21" s="3">
        <v>319</v>
      </c>
      <c r="E21" s="3">
        <v>196</v>
      </c>
      <c r="F21" s="3">
        <v>989</v>
      </c>
      <c r="G21" s="8">
        <v>1704</v>
      </c>
    </row>
    <row r="22" spans="1:15">
      <c r="A22" s="9" t="s">
        <v>9</v>
      </c>
      <c r="B22" s="3">
        <v>1</v>
      </c>
      <c r="C22" s="3">
        <v>12</v>
      </c>
      <c r="D22" s="3">
        <v>82</v>
      </c>
      <c r="E22" s="3">
        <v>49</v>
      </c>
      <c r="F22" s="3">
        <v>138</v>
      </c>
      <c r="G22" s="8">
        <v>289</v>
      </c>
    </row>
    <row r="23" spans="1:15">
      <c r="A23" s="9" t="s">
        <v>14</v>
      </c>
      <c r="B23" s="2">
        <v>36</v>
      </c>
      <c r="C23" s="2">
        <v>141</v>
      </c>
      <c r="D23" s="2">
        <v>463</v>
      </c>
      <c r="E23" s="3">
        <v>273</v>
      </c>
      <c r="F23" s="2">
        <v>1374</v>
      </c>
      <c r="G23" s="7">
        <v>2398</v>
      </c>
    </row>
    <row r="24" spans="1:15">
      <c r="A24" s="6"/>
      <c r="B24" s="2"/>
      <c r="C24" s="2"/>
      <c r="D24" s="2"/>
      <c r="E24" s="2"/>
      <c r="F24" s="2"/>
      <c r="G24" s="7"/>
    </row>
    <row r="25" spans="1:15">
      <c r="A25" s="35" t="s">
        <v>16</v>
      </c>
      <c r="B25" s="36"/>
      <c r="C25" s="36"/>
      <c r="D25" s="36"/>
      <c r="E25" s="36"/>
      <c r="F25" s="36"/>
      <c r="G25" s="37"/>
    </row>
    <row r="26" spans="1:15" s="17" customFormat="1" ht="11.25">
      <c r="A26" s="18"/>
      <c r="B26" s="19" t="s">
        <v>1</v>
      </c>
      <c r="C26" s="19" t="s">
        <v>2</v>
      </c>
      <c r="D26" s="19" t="s">
        <v>3</v>
      </c>
      <c r="E26" s="19" t="s">
        <v>4</v>
      </c>
      <c r="F26" s="19" t="s">
        <v>0</v>
      </c>
      <c r="G26" s="20" t="s">
        <v>5</v>
      </c>
    </row>
    <row r="27" spans="1:15">
      <c r="A27" s="6" t="s">
        <v>11</v>
      </c>
      <c r="B27" s="5">
        <f t="shared" ref="B27:G28" si="0">SUM(B17/B7)</f>
        <v>0</v>
      </c>
      <c r="C27" s="5">
        <f t="shared" si="0"/>
        <v>0.1</v>
      </c>
      <c r="D27" s="5">
        <f t="shared" si="0"/>
        <v>0.31707317073170732</v>
      </c>
      <c r="E27" s="5">
        <f t="shared" si="0"/>
        <v>0.125</v>
      </c>
      <c r="F27" s="5">
        <f t="shared" si="0"/>
        <v>0.20481927710843373</v>
      </c>
      <c r="G27" s="10">
        <f t="shared" si="0"/>
        <v>0.22077922077922077</v>
      </c>
    </row>
    <row r="28" spans="1:15">
      <c r="A28" s="6" t="s">
        <v>6</v>
      </c>
      <c r="B28" s="5">
        <f t="shared" si="0"/>
        <v>0.53846153846153844</v>
      </c>
      <c r="C28" s="5">
        <f t="shared" si="0"/>
        <v>0.30952380952380953</v>
      </c>
      <c r="D28" s="5">
        <f t="shared" si="0"/>
        <v>0.16447368421052633</v>
      </c>
      <c r="E28" s="5">
        <f t="shared" si="0"/>
        <v>0.12921348314606743</v>
      </c>
      <c r="F28" s="5">
        <f t="shared" si="0"/>
        <v>0.1716500553709856</v>
      </c>
      <c r="G28" s="10">
        <f t="shared" si="0"/>
        <v>0.17619367854741089</v>
      </c>
    </row>
    <row r="29" spans="1:15">
      <c r="A29" s="9" t="s">
        <v>7</v>
      </c>
      <c r="B29" s="5">
        <v>0</v>
      </c>
      <c r="C29" s="5">
        <f t="shared" ref="C29:G30" si="1">SUM(C19/C9)</f>
        <v>0.58333333333333337</v>
      </c>
      <c r="D29" s="5">
        <f t="shared" si="1"/>
        <v>0.24242424242424243</v>
      </c>
      <c r="E29" s="5">
        <f t="shared" si="1"/>
        <v>0.14285714285714285</v>
      </c>
      <c r="F29" s="5">
        <f t="shared" si="1"/>
        <v>0.23553719008264462</v>
      </c>
      <c r="G29" s="10">
        <f t="shared" si="1"/>
        <v>0.23543123543123542</v>
      </c>
    </row>
    <row r="30" spans="1:15">
      <c r="A30" s="9" t="s">
        <v>22</v>
      </c>
      <c r="B30" s="5">
        <f t="shared" ref="B30:G33" si="2">SUM(B20/B10)</f>
        <v>1</v>
      </c>
      <c r="C30" s="5">
        <f t="shared" si="1"/>
        <v>0</v>
      </c>
      <c r="D30" s="5">
        <f t="shared" si="1"/>
        <v>0.25</v>
      </c>
      <c r="E30" s="5">
        <f t="shared" si="1"/>
        <v>0.17647058823529413</v>
      </c>
      <c r="F30" s="5">
        <f t="shared" si="1"/>
        <v>0.21249999999999999</v>
      </c>
      <c r="G30" s="10">
        <f t="shared" si="1"/>
        <v>0.2</v>
      </c>
    </row>
    <row r="31" spans="1:15">
      <c r="A31" s="9" t="s">
        <v>8</v>
      </c>
      <c r="B31" s="5">
        <f t="shared" si="2"/>
        <v>0.3048780487804878</v>
      </c>
      <c r="C31" s="5">
        <f t="shared" si="2"/>
        <v>0.26972010178117051</v>
      </c>
      <c r="D31" s="5">
        <f t="shared" si="2"/>
        <v>0.13231024471173786</v>
      </c>
      <c r="E31" s="5">
        <f t="shared" si="2"/>
        <v>0.13243243243243244</v>
      </c>
      <c r="F31" s="5">
        <f t="shared" si="2"/>
        <v>0.123625</v>
      </c>
      <c r="G31" s="10">
        <f t="shared" si="2"/>
        <v>0.13263796995407487</v>
      </c>
    </row>
    <row r="32" spans="1:15">
      <c r="A32" s="9" t="s">
        <v>9</v>
      </c>
      <c r="B32" s="5">
        <f t="shared" si="2"/>
        <v>0.25</v>
      </c>
      <c r="C32" s="5">
        <f t="shared" si="2"/>
        <v>0.31578947368421051</v>
      </c>
      <c r="D32" s="5">
        <f t="shared" si="2"/>
        <v>0.26198083067092653</v>
      </c>
      <c r="E32" s="5">
        <f t="shared" si="2"/>
        <v>0.23444976076555024</v>
      </c>
      <c r="F32" s="5">
        <f t="shared" si="2"/>
        <v>0.24598930481283424</v>
      </c>
      <c r="G32" s="10">
        <f t="shared" si="2"/>
        <v>0.24978392394122731</v>
      </c>
    </row>
    <row r="33" spans="1:9" ht="13.5" thickBot="1">
      <c r="A33" s="11" t="s">
        <v>14</v>
      </c>
      <c r="B33" s="12">
        <f t="shared" si="2"/>
        <v>0.34951456310679613</v>
      </c>
      <c r="C33" s="12">
        <f t="shared" si="2"/>
        <v>0.29253112033195022</v>
      </c>
      <c r="D33" s="12">
        <f t="shared" si="2"/>
        <v>0.14911433172302738</v>
      </c>
      <c r="E33" s="12">
        <f t="shared" si="2"/>
        <v>0.14285714285714285</v>
      </c>
      <c r="F33" s="12">
        <f t="shared" si="2"/>
        <v>0.13673002288784955</v>
      </c>
      <c r="G33" s="13">
        <f t="shared" si="2"/>
        <v>0.14676540791970133</v>
      </c>
    </row>
    <row r="34" spans="1:9">
      <c r="A34" s="21" t="s">
        <v>26</v>
      </c>
      <c r="B34" s="5"/>
      <c r="C34" s="5"/>
      <c r="D34" s="5"/>
      <c r="E34" s="5"/>
      <c r="F34" s="5"/>
      <c r="G34" s="5"/>
    </row>
    <row r="35" spans="1:9" ht="54" customHeight="1">
      <c r="A35" s="34" t="s">
        <v>17</v>
      </c>
      <c r="B35" s="34"/>
      <c r="C35" s="34"/>
      <c r="D35" s="34"/>
      <c r="E35" s="34"/>
      <c r="F35" s="34"/>
      <c r="G35" s="34"/>
      <c r="H35" s="34"/>
      <c r="I35" s="34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25:G25"/>
    <mergeCell ref="A1:G1"/>
    <mergeCell ref="A2:G2"/>
    <mergeCell ref="A5:G5"/>
    <mergeCell ref="A15:G15"/>
  </mergeCells>
  <phoneticPr fontId="1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>
      <selection activeCell="C21" sqref="C21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1">
      <c r="A1" s="38" t="s">
        <v>25</v>
      </c>
      <c r="B1" s="39"/>
      <c r="C1" s="39"/>
      <c r="D1" s="39"/>
      <c r="E1" s="39"/>
      <c r="F1" s="39"/>
      <c r="G1" s="40"/>
    </row>
    <row r="2" spans="1:11">
      <c r="A2" s="41" t="s">
        <v>15</v>
      </c>
      <c r="B2" s="42"/>
      <c r="C2" s="42"/>
      <c r="D2" s="42"/>
      <c r="E2" s="42"/>
      <c r="F2" s="42"/>
      <c r="G2" s="43"/>
    </row>
    <row r="3" spans="1:11">
      <c r="A3" s="28"/>
      <c r="B3" s="29"/>
      <c r="C3" s="29"/>
      <c r="D3" s="29"/>
      <c r="E3" s="29"/>
      <c r="F3" s="29"/>
      <c r="G3" s="30"/>
    </row>
    <row r="4" spans="1:11">
      <c r="A4" s="6"/>
      <c r="B4" s="2"/>
      <c r="C4" s="2"/>
      <c r="D4" s="2"/>
      <c r="E4" s="2"/>
      <c r="F4" s="2"/>
      <c r="G4" s="7"/>
      <c r="K4" s="2"/>
    </row>
    <row r="5" spans="1:11">
      <c r="A5" s="35" t="s">
        <v>12</v>
      </c>
      <c r="B5" s="36"/>
      <c r="C5" s="36"/>
      <c r="D5" s="36"/>
      <c r="E5" s="36"/>
      <c r="F5" s="36"/>
      <c r="G5" s="37"/>
      <c r="K5" s="3"/>
    </row>
    <row r="6" spans="1:11">
      <c r="A6" s="18" t="s">
        <v>10</v>
      </c>
      <c r="B6" s="19" t="s">
        <v>1</v>
      </c>
      <c r="C6" s="19" t="s">
        <v>2</v>
      </c>
      <c r="D6" s="19" t="s">
        <v>3</v>
      </c>
      <c r="E6" s="19" t="s">
        <v>4</v>
      </c>
      <c r="F6" s="19" t="s">
        <v>0</v>
      </c>
      <c r="G6" s="20" t="s">
        <v>5</v>
      </c>
      <c r="K6" s="3"/>
    </row>
    <row r="7" spans="1:11">
      <c r="A7" s="6" t="s">
        <v>11</v>
      </c>
      <c r="B7" s="2">
        <v>1</v>
      </c>
      <c r="C7" s="2">
        <v>6</v>
      </c>
      <c r="D7" s="3">
        <v>18</v>
      </c>
      <c r="E7" s="3">
        <v>12</v>
      </c>
      <c r="F7" s="3">
        <v>28</v>
      </c>
      <c r="G7" s="8">
        <v>66</v>
      </c>
      <c r="K7" s="3"/>
    </row>
    <row r="8" spans="1:11">
      <c r="A8" s="6" t="s">
        <v>6</v>
      </c>
      <c r="B8" s="3">
        <v>12</v>
      </c>
      <c r="C8" s="3">
        <v>63</v>
      </c>
      <c r="D8" s="3">
        <v>221</v>
      </c>
      <c r="E8" s="3">
        <v>95</v>
      </c>
      <c r="F8" s="3">
        <v>409</v>
      </c>
      <c r="G8" s="8">
        <v>809</v>
      </c>
      <c r="K8" s="3"/>
    </row>
    <row r="9" spans="1:11">
      <c r="A9" s="9" t="s">
        <v>7</v>
      </c>
      <c r="B9" s="3">
        <v>3</v>
      </c>
      <c r="C9" s="3">
        <v>17</v>
      </c>
      <c r="D9" s="3">
        <v>45</v>
      </c>
      <c r="E9" s="3">
        <v>34</v>
      </c>
      <c r="F9" s="3">
        <v>84</v>
      </c>
      <c r="G9" s="8">
        <v>184</v>
      </c>
    </row>
    <row r="10" spans="1:11">
      <c r="A10" s="9" t="s">
        <v>22</v>
      </c>
      <c r="B10" s="3">
        <v>0</v>
      </c>
      <c r="C10" s="3">
        <v>2</v>
      </c>
      <c r="D10" s="3">
        <v>16</v>
      </c>
      <c r="E10" s="3">
        <v>11</v>
      </c>
      <c r="F10" s="3">
        <v>48</v>
      </c>
      <c r="G10" s="8">
        <v>77</v>
      </c>
    </row>
    <row r="11" spans="1:11">
      <c r="A11" s="9" t="s">
        <v>8</v>
      </c>
      <c r="B11" s="3">
        <v>64</v>
      </c>
      <c r="C11" s="3">
        <v>349</v>
      </c>
      <c r="D11" s="3">
        <v>1614</v>
      </c>
      <c r="E11" s="3">
        <v>771</v>
      </c>
      <c r="F11" s="3">
        <v>4145</v>
      </c>
      <c r="G11" s="8">
        <v>7021</v>
      </c>
    </row>
    <row r="12" spans="1:11">
      <c r="A12" s="9" t="s">
        <v>9</v>
      </c>
      <c r="B12" s="3">
        <v>3</v>
      </c>
      <c r="C12" s="3">
        <v>33</v>
      </c>
      <c r="D12" s="3">
        <v>130</v>
      </c>
      <c r="E12" s="3">
        <v>66</v>
      </c>
      <c r="F12" s="3">
        <v>190</v>
      </c>
      <c r="G12" s="8">
        <v>426</v>
      </c>
    </row>
    <row r="13" spans="1:11">
      <c r="A13" s="9" t="s">
        <v>14</v>
      </c>
      <c r="B13" s="3">
        <v>81</v>
      </c>
      <c r="C13" s="2">
        <v>475</v>
      </c>
      <c r="D13" s="2">
        <v>2044</v>
      </c>
      <c r="E13" s="2">
        <v>948</v>
      </c>
      <c r="F13" s="2">
        <v>5055</v>
      </c>
      <c r="G13" s="7">
        <v>8725</v>
      </c>
    </row>
    <row r="14" spans="1:11">
      <c r="A14" s="6"/>
      <c r="B14" s="2"/>
      <c r="C14" s="2"/>
      <c r="D14" s="2"/>
      <c r="E14" s="2"/>
      <c r="F14" s="2"/>
      <c r="G14" s="7"/>
    </row>
    <row r="15" spans="1:11">
      <c r="A15" s="35" t="s">
        <v>13</v>
      </c>
      <c r="B15" s="36"/>
      <c r="C15" s="36"/>
      <c r="D15" s="36"/>
      <c r="E15" s="36"/>
      <c r="F15" s="36"/>
      <c r="G15" s="37"/>
    </row>
    <row r="16" spans="1:11" s="17" customFormat="1" ht="11.25">
      <c r="A16" s="18"/>
      <c r="B16" s="19" t="s">
        <v>1</v>
      </c>
      <c r="C16" s="19" t="s">
        <v>2</v>
      </c>
      <c r="D16" s="19" t="s">
        <v>3</v>
      </c>
      <c r="E16" s="19" t="s">
        <v>4</v>
      </c>
      <c r="F16" s="19" t="s">
        <v>0</v>
      </c>
      <c r="G16" s="20" t="s">
        <v>5</v>
      </c>
    </row>
    <row r="17" spans="1:7">
      <c r="A17" s="6" t="s">
        <v>11</v>
      </c>
      <c r="B17" s="3">
        <v>0</v>
      </c>
      <c r="C17" s="3">
        <v>5</v>
      </c>
      <c r="D17" s="3">
        <v>6</v>
      </c>
      <c r="E17" s="3">
        <v>1</v>
      </c>
      <c r="F17" s="3">
        <v>5</v>
      </c>
      <c r="G17" s="8">
        <v>17</v>
      </c>
    </row>
    <row r="18" spans="1:7">
      <c r="A18" s="6" t="s">
        <v>6</v>
      </c>
      <c r="B18" s="3">
        <v>9</v>
      </c>
      <c r="C18" s="3">
        <v>16</v>
      </c>
      <c r="D18" s="3">
        <v>51</v>
      </c>
      <c r="E18" s="3">
        <v>18</v>
      </c>
      <c r="F18" s="3">
        <v>61</v>
      </c>
      <c r="G18" s="8">
        <v>160</v>
      </c>
    </row>
    <row r="19" spans="1:7">
      <c r="A19" s="9" t="s">
        <v>7</v>
      </c>
      <c r="B19" s="3">
        <v>2</v>
      </c>
      <c r="C19" s="3">
        <v>7</v>
      </c>
      <c r="D19" s="3">
        <v>10</v>
      </c>
      <c r="E19" s="3">
        <v>9</v>
      </c>
      <c r="F19" s="3">
        <v>13</v>
      </c>
      <c r="G19" s="8">
        <v>41</v>
      </c>
    </row>
    <row r="20" spans="1:7">
      <c r="A20" s="9" t="s">
        <v>22</v>
      </c>
      <c r="B20" s="3">
        <v>0</v>
      </c>
      <c r="C20" s="3">
        <v>0</v>
      </c>
      <c r="D20" s="3">
        <v>5</v>
      </c>
      <c r="E20" s="3">
        <v>1</v>
      </c>
      <c r="F20" s="3">
        <v>13</v>
      </c>
      <c r="G20" s="8">
        <v>19</v>
      </c>
    </row>
    <row r="21" spans="1:7">
      <c r="A21" s="9" t="s">
        <v>8</v>
      </c>
      <c r="B21" s="3">
        <v>20</v>
      </c>
      <c r="C21" s="3">
        <v>83</v>
      </c>
      <c r="D21" s="3">
        <v>285</v>
      </c>
      <c r="E21" s="3">
        <v>114</v>
      </c>
      <c r="F21" s="3">
        <v>515</v>
      </c>
      <c r="G21" s="8">
        <v>1039</v>
      </c>
    </row>
    <row r="22" spans="1:7">
      <c r="A22" s="9" t="s">
        <v>9</v>
      </c>
      <c r="B22" s="3">
        <v>3</v>
      </c>
      <c r="C22" s="3">
        <v>11</v>
      </c>
      <c r="D22" s="3">
        <v>46</v>
      </c>
      <c r="E22" s="3">
        <v>13</v>
      </c>
      <c r="F22" s="3">
        <v>40</v>
      </c>
      <c r="G22" s="8">
        <v>113</v>
      </c>
    </row>
    <row r="23" spans="1:7">
      <c r="A23" s="9" t="s">
        <v>14</v>
      </c>
      <c r="B23" s="2">
        <v>30</v>
      </c>
      <c r="C23" s="2">
        <v>125</v>
      </c>
      <c r="D23" s="2">
        <v>385</v>
      </c>
      <c r="E23" s="3">
        <v>152</v>
      </c>
      <c r="F23" s="2">
        <v>648</v>
      </c>
      <c r="G23" s="7">
        <v>1370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5" t="s">
        <v>16</v>
      </c>
      <c r="B25" s="36"/>
      <c r="C25" s="36"/>
      <c r="D25" s="36"/>
      <c r="E25" s="36"/>
      <c r="F25" s="36"/>
      <c r="G25" s="37"/>
    </row>
    <row r="26" spans="1:7" s="17" customFormat="1" ht="11.25">
      <c r="A26" s="18"/>
      <c r="B26" s="19" t="s">
        <v>1</v>
      </c>
      <c r="C26" s="19" t="s">
        <v>2</v>
      </c>
      <c r="D26" s="19" t="s">
        <v>3</v>
      </c>
      <c r="E26" s="19" t="s">
        <v>4</v>
      </c>
      <c r="F26" s="19" t="s">
        <v>0</v>
      </c>
      <c r="G26" s="20" t="s">
        <v>5</v>
      </c>
    </row>
    <row r="27" spans="1:7">
      <c r="A27" s="6" t="s">
        <v>11</v>
      </c>
      <c r="B27" s="5">
        <f>B17/B7</f>
        <v>0</v>
      </c>
      <c r="C27" s="5">
        <v>0</v>
      </c>
      <c r="D27" s="5">
        <f t="shared" ref="D27:G30" si="0">SUM(D17/D7)</f>
        <v>0.33333333333333331</v>
      </c>
      <c r="E27" s="5">
        <f t="shared" si="0"/>
        <v>8.3333333333333329E-2</v>
      </c>
      <c r="F27" s="5">
        <f t="shared" si="0"/>
        <v>0.17857142857142858</v>
      </c>
      <c r="G27" s="10">
        <f t="shared" si="0"/>
        <v>0.25757575757575757</v>
      </c>
    </row>
    <row r="28" spans="1:7">
      <c r="A28" s="6" t="s">
        <v>6</v>
      </c>
      <c r="B28" s="5">
        <f t="shared" ref="B28:B33" si="1">B18/B8</f>
        <v>0.75</v>
      </c>
      <c r="C28" s="5">
        <f>SUM(C18/C8)</f>
        <v>0.25396825396825395</v>
      </c>
      <c r="D28" s="5">
        <f t="shared" si="0"/>
        <v>0.23076923076923078</v>
      </c>
      <c r="E28" s="5">
        <f t="shared" si="0"/>
        <v>0.18947368421052632</v>
      </c>
      <c r="F28" s="5">
        <f t="shared" si="0"/>
        <v>0.1491442542787286</v>
      </c>
      <c r="G28" s="10">
        <f t="shared" si="0"/>
        <v>0.19777503090234858</v>
      </c>
    </row>
    <row r="29" spans="1:7">
      <c r="A29" s="9" t="s">
        <v>7</v>
      </c>
      <c r="B29" s="5">
        <f t="shared" si="1"/>
        <v>0.66666666666666663</v>
      </c>
      <c r="C29" s="5">
        <f>SUM(C19/C9)</f>
        <v>0.41176470588235292</v>
      </c>
      <c r="D29" s="5">
        <f t="shared" si="0"/>
        <v>0.22222222222222221</v>
      </c>
      <c r="E29" s="5">
        <f t="shared" si="0"/>
        <v>0.26470588235294118</v>
      </c>
      <c r="F29" s="5">
        <f t="shared" si="0"/>
        <v>0.15476190476190477</v>
      </c>
      <c r="G29" s="10">
        <f t="shared" si="0"/>
        <v>0.22282608695652173</v>
      </c>
    </row>
    <row r="30" spans="1:7">
      <c r="A30" s="9" t="s">
        <v>22</v>
      </c>
      <c r="B30" s="5">
        <v>0</v>
      </c>
      <c r="C30" s="5">
        <f>SUM(C20/C10)</f>
        <v>0</v>
      </c>
      <c r="D30" s="5">
        <f t="shared" si="0"/>
        <v>0.3125</v>
      </c>
      <c r="E30" s="5">
        <f t="shared" si="0"/>
        <v>9.0909090909090912E-2</v>
      </c>
      <c r="F30" s="5">
        <f t="shared" si="0"/>
        <v>0.27083333333333331</v>
      </c>
      <c r="G30" s="10">
        <f t="shared" si="0"/>
        <v>0.24675324675324675</v>
      </c>
    </row>
    <row r="31" spans="1:7">
      <c r="A31" s="9" t="s">
        <v>8</v>
      </c>
      <c r="B31" s="5">
        <f t="shared" si="1"/>
        <v>0.3125</v>
      </c>
      <c r="C31" s="5">
        <f t="shared" ref="C31:G33" si="2">SUM(C21/C11)</f>
        <v>0.23782234957020057</v>
      </c>
      <c r="D31" s="5">
        <f t="shared" si="2"/>
        <v>0.17657992565055763</v>
      </c>
      <c r="E31" s="5">
        <f t="shared" si="2"/>
        <v>0.14785992217898833</v>
      </c>
      <c r="F31" s="5">
        <f t="shared" si="2"/>
        <v>0.12424607961399277</v>
      </c>
      <c r="G31" s="10">
        <f t="shared" si="2"/>
        <v>0.14798461757584389</v>
      </c>
    </row>
    <row r="32" spans="1:7">
      <c r="A32" s="9" t="s">
        <v>9</v>
      </c>
      <c r="B32" s="5">
        <f t="shared" si="1"/>
        <v>1</v>
      </c>
      <c r="C32" s="5">
        <f t="shared" si="2"/>
        <v>0.33333333333333331</v>
      </c>
      <c r="D32" s="5">
        <f t="shared" si="2"/>
        <v>0.35384615384615387</v>
      </c>
      <c r="E32" s="5">
        <f t="shared" si="2"/>
        <v>0.19696969696969696</v>
      </c>
      <c r="F32" s="5">
        <f t="shared" si="2"/>
        <v>0.21052631578947367</v>
      </c>
      <c r="G32" s="10">
        <f t="shared" si="2"/>
        <v>0.26525821596244131</v>
      </c>
    </row>
    <row r="33" spans="1:9" ht="13.5" thickBot="1">
      <c r="A33" s="11" t="s">
        <v>14</v>
      </c>
      <c r="B33" s="12">
        <f t="shared" si="1"/>
        <v>0.37037037037037035</v>
      </c>
      <c r="C33" s="12">
        <f t="shared" si="2"/>
        <v>0.26315789473684209</v>
      </c>
      <c r="D33" s="12">
        <f t="shared" si="2"/>
        <v>0.18835616438356165</v>
      </c>
      <c r="E33" s="12">
        <f t="shared" si="2"/>
        <v>0.16033755274261605</v>
      </c>
      <c r="F33" s="12">
        <f t="shared" si="2"/>
        <v>0.12818991097922849</v>
      </c>
      <c r="G33" s="13">
        <f t="shared" si="2"/>
        <v>0.15702005730659027</v>
      </c>
    </row>
    <row r="34" spans="1:9">
      <c r="A34" s="21" t="s">
        <v>26</v>
      </c>
      <c r="B34" s="5"/>
      <c r="C34" s="5"/>
      <c r="D34" s="5"/>
      <c r="E34" s="5"/>
      <c r="F34" s="5"/>
      <c r="G34" s="5"/>
    </row>
    <row r="35" spans="1:9" ht="54" customHeight="1">
      <c r="A35" s="34" t="s">
        <v>17</v>
      </c>
      <c r="B35" s="34"/>
      <c r="C35" s="34"/>
      <c r="D35" s="34"/>
      <c r="E35" s="34"/>
      <c r="F35" s="34"/>
      <c r="G35" s="34"/>
      <c r="H35" s="34"/>
      <c r="I35" s="34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D23" sqref="D23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8" t="s">
        <v>19</v>
      </c>
      <c r="B1" s="39"/>
      <c r="C1" s="39"/>
      <c r="D1" s="39"/>
      <c r="E1" s="39"/>
      <c r="F1" s="39"/>
      <c r="G1" s="40"/>
    </row>
    <row r="2" spans="1:14">
      <c r="A2" s="41" t="s">
        <v>15</v>
      </c>
      <c r="B2" s="42"/>
      <c r="C2" s="42"/>
      <c r="D2" s="42"/>
      <c r="E2" s="42"/>
      <c r="F2" s="42"/>
      <c r="G2" s="43"/>
    </row>
    <row r="3" spans="1:14">
      <c r="A3" s="28"/>
      <c r="B3" s="29"/>
      <c r="C3" s="29"/>
      <c r="D3" s="29"/>
      <c r="E3" s="29"/>
      <c r="F3" s="29"/>
      <c r="G3" s="30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35" t="s">
        <v>12</v>
      </c>
      <c r="B5" s="36"/>
      <c r="C5" s="36"/>
      <c r="D5" s="36"/>
      <c r="E5" s="36"/>
      <c r="F5" s="36"/>
      <c r="G5" s="37"/>
      <c r="K5" s="3"/>
    </row>
    <row r="6" spans="1:14">
      <c r="A6" s="18" t="s">
        <v>10</v>
      </c>
      <c r="B6" s="19" t="s">
        <v>1</v>
      </c>
      <c r="C6" s="19" t="s">
        <v>2</v>
      </c>
      <c r="D6" s="19" t="s">
        <v>3</v>
      </c>
      <c r="E6" s="19" t="s">
        <v>4</v>
      </c>
      <c r="F6" s="19" t="s">
        <v>0</v>
      </c>
      <c r="G6" s="20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0</v>
      </c>
      <c r="C7" s="2">
        <v>4</v>
      </c>
      <c r="D7" s="3">
        <v>6</v>
      </c>
      <c r="E7" s="3">
        <v>3</v>
      </c>
      <c r="F7" s="3">
        <v>16</v>
      </c>
      <c r="G7" s="8">
        <v>29</v>
      </c>
      <c r="J7" s="3"/>
      <c r="K7" s="3"/>
      <c r="L7" s="3"/>
      <c r="M7" s="3"/>
      <c r="N7" s="3"/>
    </row>
    <row r="8" spans="1:14">
      <c r="A8" s="6" t="s">
        <v>6</v>
      </c>
      <c r="B8" s="3">
        <v>31</v>
      </c>
      <c r="C8" s="3">
        <v>108</v>
      </c>
      <c r="D8" s="3">
        <v>158</v>
      </c>
      <c r="E8" s="3">
        <v>47</v>
      </c>
      <c r="F8" s="3">
        <v>207</v>
      </c>
      <c r="G8" s="8">
        <v>559</v>
      </c>
      <c r="K8" s="3"/>
    </row>
    <row r="9" spans="1:14">
      <c r="A9" s="9" t="s">
        <v>18</v>
      </c>
      <c r="B9" s="3">
        <v>1</v>
      </c>
      <c r="C9" s="3">
        <v>13</v>
      </c>
      <c r="D9" s="3">
        <v>29</v>
      </c>
      <c r="E9" s="3">
        <v>8</v>
      </c>
      <c r="F9" s="3">
        <v>38</v>
      </c>
      <c r="G9" s="8">
        <v>90</v>
      </c>
    </row>
    <row r="10" spans="1:14">
      <c r="A10" s="9" t="s">
        <v>22</v>
      </c>
      <c r="B10" s="3">
        <v>0</v>
      </c>
      <c r="C10" s="3">
        <v>6</v>
      </c>
      <c r="D10" s="3">
        <v>4</v>
      </c>
      <c r="E10" s="3">
        <v>1</v>
      </c>
      <c r="F10" s="3">
        <v>8</v>
      </c>
      <c r="G10" s="8">
        <v>21</v>
      </c>
    </row>
    <row r="11" spans="1:14">
      <c r="A11" s="9" t="s">
        <v>8</v>
      </c>
      <c r="B11" s="3">
        <v>45</v>
      </c>
      <c r="C11" s="3">
        <v>339</v>
      </c>
      <c r="D11" s="3">
        <v>951</v>
      </c>
      <c r="E11" s="3">
        <v>412</v>
      </c>
      <c r="F11" s="3">
        <v>2415</v>
      </c>
      <c r="G11" s="8">
        <v>4208</v>
      </c>
    </row>
    <row r="12" spans="1:14">
      <c r="A12" s="9" t="s">
        <v>9</v>
      </c>
      <c r="B12" s="3">
        <v>1</v>
      </c>
      <c r="C12" s="3">
        <v>17</v>
      </c>
      <c r="D12" s="3">
        <v>54</v>
      </c>
      <c r="E12" s="3">
        <v>18</v>
      </c>
      <c r="F12" s="3">
        <v>72</v>
      </c>
      <c r="G12" s="8">
        <v>163</v>
      </c>
    </row>
    <row r="13" spans="1:14">
      <c r="A13" s="9" t="s">
        <v>14</v>
      </c>
      <c r="B13" s="3">
        <v>83</v>
      </c>
      <c r="C13" s="2">
        <v>509</v>
      </c>
      <c r="D13" s="2">
        <v>1241</v>
      </c>
      <c r="E13" s="2">
        <v>523</v>
      </c>
      <c r="F13" s="2">
        <v>2967</v>
      </c>
      <c r="G13" s="7">
        <v>5398</v>
      </c>
    </row>
    <row r="14" spans="1:14">
      <c r="A14" s="6"/>
      <c r="B14" s="2"/>
      <c r="C14" s="2"/>
      <c r="D14" s="2"/>
      <c r="E14" s="2"/>
      <c r="F14" s="2"/>
      <c r="G14" s="7"/>
    </row>
    <row r="15" spans="1:14">
      <c r="A15" s="35" t="s">
        <v>13</v>
      </c>
      <c r="B15" s="36"/>
      <c r="C15" s="36"/>
      <c r="D15" s="36"/>
      <c r="E15" s="36"/>
      <c r="F15" s="36"/>
      <c r="G15" s="37"/>
    </row>
    <row r="16" spans="1:14" s="17" customFormat="1" ht="11.25">
      <c r="A16" s="18"/>
      <c r="B16" s="19" t="s">
        <v>1</v>
      </c>
      <c r="C16" s="19" t="s">
        <v>2</v>
      </c>
      <c r="D16" s="19" t="s">
        <v>3</v>
      </c>
      <c r="E16" s="19" t="s">
        <v>4</v>
      </c>
      <c r="F16" s="19" t="s">
        <v>0</v>
      </c>
      <c r="G16" s="20" t="s">
        <v>5</v>
      </c>
    </row>
    <row r="17" spans="1:7">
      <c r="A17" s="6" t="s">
        <v>11</v>
      </c>
      <c r="B17" s="3">
        <v>0</v>
      </c>
      <c r="C17" s="3">
        <v>1</v>
      </c>
      <c r="D17" s="3">
        <v>0</v>
      </c>
      <c r="E17" s="3">
        <v>1</v>
      </c>
      <c r="F17" s="3">
        <v>2</v>
      </c>
      <c r="G17" s="8">
        <v>4</v>
      </c>
    </row>
    <row r="18" spans="1:7">
      <c r="A18" s="6" t="s">
        <v>6</v>
      </c>
      <c r="B18" s="3">
        <v>13</v>
      </c>
      <c r="C18" s="3">
        <v>31</v>
      </c>
      <c r="D18" s="3">
        <v>32</v>
      </c>
      <c r="E18" s="3">
        <v>10</v>
      </c>
      <c r="F18" s="3">
        <v>23</v>
      </c>
      <c r="G18" s="8">
        <v>109</v>
      </c>
    </row>
    <row r="19" spans="1:7">
      <c r="A19" s="9" t="s">
        <v>18</v>
      </c>
      <c r="B19" s="3">
        <v>0</v>
      </c>
      <c r="C19" s="3">
        <v>3</v>
      </c>
      <c r="D19" s="3">
        <v>4</v>
      </c>
      <c r="E19" s="3">
        <v>2</v>
      </c>
      <c r="F19" s="3">
        <v>13</v>
      </c>
      <c r="G19" s="8">
        <v>23</v>
      </c>
    </row>
    <row r="20" spans="1:7">
      <c r="A20" s="9" t="s">
        <v>22</v>
      </c>
      <c r="B20" s="3">
        <v>0</v>
      </c>
      <c r="C20" s="3">
        <v>3</v>
      </c>
      <c r="D20" s="3">
        <v>0</v>
      </c>
      <c r="E20" s="3">
        <v>0</v>
      </c>
      <c r="F20" s="3">
        <v>2</v>
      </c>
      <c r="G20" s="8">
        <v>6</v>
      </c>
    </row>
    <row r="21" spans="1:7">
      <c r="A21" s="9" t="s">
        <v>8</v>
      </c>
      <c r="B21" s="3">
        <v>14</v>
      </c>
      <c r="C21" s="3">
        <v>63</v>
      </c>
      <c r="D21" s="3">
        <v>126</v>
      </c>
      <c r="E21" s="3">
        <v>43</v>
      </c>
      <c r="F21" s="3">
        <v>243</v>
      </c>
      <c r="G21" s="8">
        <v>499</v>
      </c>
    </row>
    <row r="22" spans="1:7">
      <c r="A22" s="9" t="s">
        <v>9</v>
      </c>
      <c r="B22" s="3">
        <v>1</v>
      </c>
      <c r="C22" s="3">
        <v>3</v>
      </c>
      <c r="D22" s="3">
        <v>13</v>
      </c>
      <c r="E22" s="3">
        <v>2</v>
      </c>
      <c r="F22" s="3">
        <v>9</v>
      </c>
      <c r="G22" s="8">
        <v>29</v>
      </c>
    </row>
    <row r="23" spans="1:7">
      <c r="A23" s="9" t="s">
        <v>14</v>
      </c>
      <c r="B23" s="2">
        <v>28</v>
      </c>
      <c r="C23" s="2">
        <v>110</v>
      </c>
      <c r="D23" s="2">
        <v>178</v>
      </c>
      <c r="E23" s="3">
        <v>61</v>
      </c>
      <c r="F23" s="2">
        <v>315</v>
      </c>
      <c r="G23" s="7">
        <v>705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5" t="s">
        <v>16</v>
      </c>
      <c r="B25" s="36"/>
      <c r="C25" s="36"/>
      <c r="D25" s="36"/>
      <c r="E25" s="36"/>
      <c r="F25" s="36"/>
      <c r="G25" s="37"/>
    </row>
    <row r="26" spans="1:7" s="17" customFormat="1" ht="11.25">
      <c r="A26" s="18"/>
      <c r="B26" s="19" t="s">
        <v>1</v>
      </c>
      <c r="C26" s="19" t="s">
        <v>2</v>
      </c>
      <c r="D26" s="19" t="s">
        <v>3</v>
      </c>
      <c r="E26" s="19" t="s">
        <v>4</v>
      </c>
      <c r="F26" s="19" t="s">
        <v>0</v>
      </c>
      <c r="G26" s="20" t="s">
        <v>5</v>
      </c>
    </row>
    <row r="27" spans="1:7">
      <c r="A27" s="6" t="s">
        <v>11</v>
      </c>
      <c r="B27" s="5">
        <v>0</v>
      </c>
      <c r="C27" s="5">
        <v>0</v>
      </c>
      <c r="D27" s="5">
        <f t="shared" ref="D27:G29" si="0">SUM(D17/D7)</f>
        <v>0</v>
      </c>
      <c r="E27" s="5">
        <f t="shared" si="0"/>
        <v>0.33333333333333331</v>
      </c>
      <c r="F27" s="5">
        <f t="shared" si="0"/>
        <v>0.125</v>
      </c>
      <c r="G27" s="10">
        <f t="shared" si="0"/>
        <v>0.13793103448275862</v>
      </c>
    </row>
    <row r="28" spans="1:7">
      <c r="A28" s="6" t="s">
        <v>6</v>
      </c>
      <c r="B28" s="5">
        <f>SUM(B18/B8)</f>
        <v>0.41935483870967744</v>
      </c>
      <c r="C28" s="5">
        <f>SUM(C18/C8)</f>
        <v>0.28703703703703703</v>
      </c>
      <c r="D28" s="5">
        <f t="shared" si="0"/>
        <v>0.20253164556962025</v>
      </c>
      <c r="E28" s="5">
        <f t="shared" si="0"/>
        <v>0.21276595744680851</v>
      </c>
      <c r="F28" s="5">
        <f t="shared" si="0"/>
        <v>0.1111111111111111</v>
      </c>
      <c r="G28" s="10">
        <f t="shared" si="0"/>
        <v>0.19499105545617174</v>
      </c>
    </row>
    <row r="29" spans="1:7">
      <c r="A29" s="9" t="s">
        <v>18</v>
      </c>
      <c r="B29" s="5">
        <f>SUM(B19/B9)</f>
        <v>0</v>
      </c>
      <c r="C29" s="5">
        <f>SUM(C19/C9)</f>
        <v>0.23076923076923078</v>
      </c>
      <c r="D29" s="5">
        <f t="shared" si="0"/>
        <v>0.13793103448275862</v>
      </c>
      <c r="E29" s="5">
        <f t="shared" si="0"/>
        <v>0.25</v>
      </c>
      <c r="F29" s="5">
        <f t="shared" si="0"/>
        <v>0.34210526315789475</v>
      </c>
      <c r="G29" s="10">
        <f t="shared" si="0"/>
        <v>0.25555555555555554</v>
      </c>
    </row>
    <row r="30" spans="1:7">
      <c r="A30" s="9" t="s">
        <v>22</v>
      </c>
      <c r="B30" s="5">
        <v>0</v>
      </c>
      <c r="C30" s="5">
        <f t="shared" ref="C30:G30" si="1">C20/C10</f>
        <v>0.5</v>
      </c>
      <c r="D30" s="5">
        <f t="shared" si="1"/>
        <v>0</v>
      </c>
      <c r="E30" s="5">
        <f t="shared" si="1"/>
        <v>0</v>
      </c>
      <c r="F30" s="5">
        <f t="shared" si="1"/>
        <v>0.25</v>
      </c>
      <c r="G30" s="10">
        <f t="shared" si="1"/>
        <v>0.2857142857142857</v>
      </c>
    </row>
    <row r="31" spans="1:7">
      <c r="A31" s="9" t="s">
        <v>8</v>
      </c>
      <c r="B31" s="5">
        <f t="shared" ref="B31:G33" si="2">SUM(B21/B11)</f>
        <v>0.31111111111111112</v>
      </c>
      <c r="C31" s="5">
        <f t="shared" si="2"/>
        <v>0.18584070796460178</v>
      </c>
      <c r="D31" s="5">
        <f t="shared" si="2"/>
        <v>0.13249211356466878</v>
      </c>
      <c r="E31" s="5">
        <f t="shared" si="2"/>
        <v>0.10436893203883495</v>
      </c>
      <c r="F31" s="5">
        <f t="shared" si="2"/>
        <v>0.10062111801242236</v>
      </c>
      <c r="G31" s="10">
        <f t="shared" si="2"/>
        <v>0.11858365019011406</v>
      </c>
    </row>
    <row r="32" spans="1:7">
      <c r="A32" s="9" t="s">
        <v>9</v>
      </c>
      <c r="B32" s="5">
        <f t="shared" si="2"/>
        <v>1</v>
      </c>
      <c r="C32" s="5">
        <f t="shared" si="2"/>
        <v>0.17647058823529413</v>
      </c>
      <c r="D32" s="5">
        <f t="shared" si="2"/>
        <v>0.24074074074074073</v>
      </c>
      <c r="E32" s="5">
        <f t="shared" si="2"/>
        <v>0.1111111111111111</v>
      </c>
      <c r="F32" s="5">
        <f t="shared" si="2"/>
        <v>0.125</v>
      </c>
      <c r="G32" s="10">
        <f t="shared" si="2"/>
        <v>0.17791411042944785</v>
      </c>
    </row>
    <row r="33" spans="1:9" ht="13.5" thickBot="1">
      <c r="A33" s="11" t="s">
        <v>14</v>
      </c>
      <c r="B33" s="12">
        <f t="shared" si="2"/>
        <v>0.33734939759036142</v>
      </c>
      <c r="C33" s="12">
        <f t="shared" si="2"/>
        <v>0.21611001964636542</v>
      </c>
      <c r="D33" s="12">
        <f t="shared" si="2"/>
        <v>0.1434327155519742</v>
      </c>
      <c r="E33" s="12">
        <f t="shared" si="2"/>
        <v>0.11663479923518165</v>
      </c>
      <c r="F33" s="12">
        <f t="shared" si="2"/>
        <v>0.10616784630940344</v>
      </c>
      <c r="G33" s="13">
        <f t="shared" si="2"/>
        <v>0.1306039273805113</v>
      </c>
    </row>
    <row r="34" spans="1:9">
      <c r="A34" s="21" t="s">
        <v>26</v>
      </c>
      <c r="B34" s="5"/>
      <c r="C34" s="5"/>
      <c r="D34" s="5"/>
      <c r="E34" s="5"/>
      <c r="F34" s="5"/>
      <c r="G34" s="5"/>
    </row>
    <row r="35" spans="1:9" ht="54" customHeight="1">
      <c r="A35" s="34" t="s">
        <v>17</v>
      </c>
      <c r="B35" s="34"/>
      <c r="C35" s="34"/>
      <c r="D35" s="34"/>
      <c r="E35" s="34"/>
      <c r="F35" s="34"/>
      <c r="G35" s="34"/>
      <c r="H35" s="34"/>
      <c r="I35" s="34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L21" sqref="L21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8" t="s">
        <v>20</v>
      </c>
      <c r="B1" s="39"/>
      <c r="C1" s="39"/>
      <c r="D1" s="39"/>
      <c r="E1" s="39"/>
      <c r="F1" s="39"/>
      <c r="G1" s="40"/>
    </row>
    <row r="2" spans="1:14">
      <c r="A2" s="41" t="s">
        <v>15</v>
      </c>
      <c r="B2" s="42"/>
      <c r="C2" s="42"/>
      <c r="D2" s="42"/>
      <c r="E2" s="42"/>
      <c r="F2" s="42"/>
      <c r="G2" s="43"/>
    </row>
    <row r="3" spans="1:14">
      <c r="A3" s="28"/>
      <c r="B3" s="29"/>
      <c r="C3" s="29"/>
      <c r="D3" s="29"/>
      <c r="E3" s="29"/>
      <c r="F3" s="29"/>
      <c r="G3" s="30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35" t="s">
        <v>12</v>
      </c>
      <c r="B5" s="36"/>
      <c r="C5" s="36"/>
      <c r="D5" s="36"/>
      <c r="E5" s="36"/>
      <c r="F5" s="36"/>
      <c r="G5" s="37"/>
      <c r="K5" s="3"/>
    </row>
    <row r="6" spans="1:14">
      <c r="A6" s="18" t="s">
        <v>10</v>
      </c>
      <c r="B6" s="19" t="s">
        <v>1</v>
      </c>
      <c r="C6" s="19" t="s">
        <v>2</v>
      </c>
      <c r="D6" s="19" t="s">
        <v>3</v>
      </c>
      <c r="E6" s="19" t="s">
        <v>4</v>
      </c>
      <c r="F6" s="19" t="s">
        <v>0</v>
      </c>
      <c r="G6" s="20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0</v>
      </c>
      <c r="C7" s="2">
        <v>1</v>
      </c>
      <c r="D7" s="3">
        <v>8</v>
      </c>
      <c r="E7" s="3">
        <v>1</v>
      </c>
      <c r="F7" s="3">
        <v>19</v>
      </c>
      <c r="G7" s="8">
        <v>30</v>
      </c>
      <c r="J7" s="3"/>
      <c r="K7" s="3"/>
      <c r="L7" s="3"/>
      <c r="M7" s="3"/>
      <c r="N7" s="3"/>
    </row>
    <row r="8" spans="1:14">
      <c r="A8" s="6" t="s">
        <v>6</v>
      </c>
      <c r="B8" s="3">
        <v>22</v>
      </c>
      <c r="C8" s="3">
        <v>86</v>
      </c>
      <c r="D8" s="3">
        <v>104</v>
      </c>
      <c r="E8" s="3">
        <v>40</v>
      </c>
      <c r="F8" s="3">
        <v>209</v>
      </c>
      <c r="G8" s="8">
        <v>466</v>
      </c>
      <c r="K8" s="3"/>
    </row>
    <row r="9" spans="1:14">
      <c r="A9" s="9" t="s">
        <v>18</v>
      </c>
      <c r="B9" s="3">
        <v>0</v>
      </c>
      <c r="C9" s="3">
        <v>6</v>
      </c>
      <c r="D9" s="3">
        <v>9</v>
      </c>
      <c r="E9" s="3">
        <v>3</v>
      </c>
      <c r="F9" s="3">
        <v>31</v>
      </c>
      <c r="G9" s="8">
        <v>52</v>
      </c>
    </row>
    <row r="10" spans="1:14">
      <c r="A10" s="9" t="s">
        <v>22</v>
      </c>
      <c r="B10" s="3">
        <v>0</v>
      </c>
      <c r="C10" s="3">
        <v>4</v>
      </c>
      <c r="D10" s="3">
        <v>6</v>
      </c>
      <c r="E10" s="3">
        <v>4</v>
      </c>
      <c r="F10" s="3">
        <v>10</v>
      </c>
      <c r="G10" s="8">
        <v>24</v>
      </c>
    </row>
    <row r="11" spans="1:14">
      <c r="A11" s="9" t="s">
        <v>8</v>
      </c>
      <c r="B11" s="3">
        <v>44</v>
      </c>
      <c r="C11" s="3">
        <v>301</v>
      </c>
      <c r="D11" s="3">
        <v>760</v>
      </c>
      <c r="E11" s="3">
        <v>356</v>
      </c>
      <c r="F11" s="3">
        <v>2288</v>
      </c>
      <c r="G11" s="8">
        <v>3777</v>
      </c>
    </row>
    <row r="12" spans="1:14">
      <c r="A12" s="9" t="s">
        <v>9</v>
      </c>
      <c r="B12" s="3">
        <v>1</v>
      </c>
      <c r="C12" s="3">
        <v>22</v>
      </c>
      <c r="D12" s="3">
        <v>40</v>
      </c>
      <c r="E12" s="3">
        <v>14</v>
      </c>
      <c r="F12" s="3">
        <v>68</v>
      </c>
      <c r="G12" s="8">
        <v>147</v>
      </c>
    </row>
    <row r="13" spans="1:14">
      <c r="A13" s="9" t="s">
        <v>14</v>
      </c>
      <c r="B13" s="3">
        <v>82</v>
      </c>
      <c r="C13" s="2">
        <v>457</v>
      </c>
      <c r="D13" s="2">
        <v>1000</v>
      </c>
      <c r="E13" s="2">
        <v>464</v>
      </c>
      <c r="F13" s="2">
        <v>2856</v>
      </c>
      <c r="G13" s="7">
        <v>4908</v>
      </c>
    </row>
    <row r="14" spans="1:14">
      <c r="A14" s="6"/>
      <c r="B14" s="2"/>
      <c r="C14" s="2"/>
      <c r="D14" s="2"/>
      <c r="E14" s="2"/>
      <c r="F14" s="2"/>
      <c r="G14" s="7"/>
    </row>
    <row r="15" spans="1:14">
      <c r="A15" s="35" t="s">
        <v>13</v>
      </c>
      <c r="B15" s="36"/>
      <c r="C15" s="36"/>
      <c r="D15" s="36"/>
      <c r="E15" s="36"/>
      <c r="F15" s="36"/>
      <c r="G15" s="37"/>
    </row>
    <row r="16" spans="1:14" s="17" customFormat="1" ht="11.25">
      <c r="A16" s="18"/>
      <c r="B16" s="19" t="s">
        <v>1</v>
      </c>
      <c r="C16" s="19" t="s">
        <v>2</v>
      </c>
      <c r="D16" s="19" t="s">
        <v>3</v>
      </c>
      <c r="E16" s="19" t="s">
        <v>4</v>
      </c>
      <c r="F16" s="19" t="s">
        <v>0</v>
      </c>
      <c r="G16" s="20" t="s">
        <v>5</v>
      </c>
    </row>
    <row r="17" spans="1:7">
      <c r="A17" s="6" t="s">
        <v>11</v>
      </c>
      <c r="B17" s="3">
        <v>0</v>
      </c>
      <c r="C17" s="3">
        <v>1</v>
      </c>
      <c r="D17" s="3">
        <v>1</v>
      </c>
      <c r="E17" s="3">
        <v>1</v>
      </c>
      <c r="F17" s="3">
        <v>3</v>
      </c>
      <c r="G17" s="8">
        <v>6</v>
      </c>
    </row>
    <row r="18" spans="1:7">
      <c r="A18" s="6" t="s">
        <v>6</v>
      </c>
      <c r="B18" s="3">
        <v>6</v>
      </c>
      <c r="C18" s="3">
        <v>13</v>
      </c>
      <c r="D18" s="3">
        <v>11</v>
      </c>
      <c r="E18" s="3">
        <v>0</v>
      </c>
      <c r="F18" s="3">
        <v>17</v>
      </c>
      <c r="G18" s="8">
        <v>50</v>
      </c>
    </row>
    <row r="19" spans="1:7">
      <c r="A19" s="9" t="s">
        <v>18</v>
      </c>
      <c r="B19" s="3">
        <v>0</v>
      </c>
      <c r="C19" s="3">
        <v>0</v>
      </c>
      <c r="D19" s="3">
        <v>1</v>
      </c>
      <c r="E19" s="3">
        <v>0</v>
      </c>
      <c r="F19" s="3">
        <v>3</v>
      </c>
      <c r="G19" s="8">
        <v>5</v>
      </c>
    </row>
    <row r="20" spans="1:7">
      <c r="A20" s="9" t="s">
        <v>22</v>
      </c>
      <c r="B20" s="3">
        <v>0</v>
      </c>
      <c r="C20" s="3">
        <v>1</v>
      </c>
      <c r="D20" s="3">
        <v>0</v>
      </c>
      <c r="E20" s="3">
        <v>0</v>
      </c>
      <c r="F20" s="3">
        <v>0</v>
      </c>
      <c r="G20" s="8">
        <v>1</v>
      </c>
    </row>
    <row r="21" spans="1:7">
      <c r="A21" s="9" t="s">
        <v>8</v>
      </c>
      <c r="B21" s="3">
        <v>16</v>
      </c>
      <c r="C21" s="3">
        <v>58</v>
      </c>
      <c r="D21" s="3">
        <v>83</v>
      </c>
      <c r="E21" s="3">
        <v>31</v>
      </c>
      <c r="F21" s="3">
        <v>169</v>
      </c>
      <c r="G21" s="8">
        <v>362</v>
      </c>
    </row>
    <row r="22" spans="1:7">
      <c r="A22" s="9" t="s">
        <v>9</v>
      </c>
      <c r="B22" s="3">
        <v>0</v>
      </c>
      <c r="C22" s="3">
        <v>8</v>
      </c>
      <c r="D22" s="3">
        <v>8</v>
      </c>
      <c r="E22" s="3">
        <v>6</v>
      </c>
      <c r="F22" s="3">
        <v>7</v>
      </c>
      <c r="G22" s="8">
        <v>29</v>
      </c>
    </row>
    <row r="23" spans="1:7">
      <c r="A23" s="9" t="s">
        <v>14</v>
      </c>
      <c r="B23" s="2">
        <v>26</v>
      </c>
      <c r="C23" s="2">
        <v>84</v>
      </c>
      <c r="D23" s="2">
        <v>117</v>
      </c>
      <c r="E23" s="3">
        <v>37</v>
      </c>
      <c r="F23" s="2">
        <v>222</v>
      </c>
      <c r="G23" s="7">
        <v>495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5" t="s">
        <v>16</v>
      </c>
      <c r="B25" s="36"/>
      <c r="C25" s="36"/>
      <c r="D25" s="36"/>
      <c r="E25" s="36"/>
      <c r="F25" s="36"/>
      <c r="G25" s="37"/>
    </row>
    <row r="26" spans="1:7" s="17" customFormat="1" ht="11.25">
      <c r="A26" s="18"/>
      <c r="B26" s="19" t="s">
        <v>1</v>
      </c>
      <c r="C26" s="19" t="s">
        <v>2</v>
      </c>
      <c r="D26" s="19" t="s">
        <v>3</v>
      </c>
      <c r="E26" s="19" t="s">
        <v>4</v>
      </c>
      <c r="F26" s="19" t="s">
        <v>0</v>
      </c>
      <c r="G26" s="20" t="s">
        <v>5</v>
      </c>
    </row>
    <row r="27" spans="1:7">
      <c r="A27" s="6" t="s">
        <v>11</v>
      </c>
      <c r="B27" s="5">
        <v>0</v>
      </c>
      <c r="C27" s="5">
        <f t="shared" ref="C27:G29" si="0">SUM(C17/C7)</f>
        <v>1</v>
      </c>
      <c r="D27" s="5">
        <f t="shared" si="0"/>
        <v>0.125</v>
      </c>
      <c r="E27" s="5">
        <f t="shared" si="0"/>
        <v>1</v>
      </c>
      <c r="F27" s="5">
        <f t="shared" si="0"/>
        <v>0.15789473684210525</v>
      </c>
      <c r="G27" s="10">
        <f t="shared" si="0"/>
        <v>0.2</v>
      </c>
    </row>
    <row r="28" spans="1:7">
      <c r="A28" s="6" t="s">
        <v>6</v>
      </c>
      <c r="B28" s="5">
        <f>SUM(B18/B8)</f>
        <v>0.27272727272727271</v>
      </c>
      <c r="C28" s="5">
        <f t="shared" si="0"/>
        <v>0.15116279069767441</v>
      </c>
      <c r="D28" s="5">
        <f t="shared" si="0"/>
        <v>0.10576923076923077</v>
      </c>
      <c r="E28" s="5">
        <f t="shared" si="0"/>
        <v>0</v>
      </c>
      <c r="F28" s="5">
        <f t="shared" si="0"/>
        <v>8.1339712918660281E-2</v>
      </c>
      <c r="G28" s="10">
        <f t="shared" si="0"/>
        <v>0.1072961373390558</v>
      </c>
    </row>
    <row r="29" spans="1:7">
      <c r="A29" s="9" t="s">
        <v>18</v>
      </c>
      <c r="B29" s="5">
        <v>0</v>
      </c>
      <c r="C29" s="5">
        <f t="shared" si="0"/>
        <v>0</v>
      </c>
      <c r="D29" s="5">
        <f t="shared" si="0"/>
        <v>0.1111111111111111</v>
      </c>
      <c r="E29" s="5">
        <f t="shared" si="0"/>
        <v>0</v>
      </c>
      <c r="F29" s="5">
        <f t="shared" si="0"/>
        <v>9.6774193548387094E-2</v>
      </c>
      <c r="G29" s="10">
        <f t="shared" si="0"/>
        <v>9.6153846153846159E-2</v>
      </c>
    </row>
    <row r="30" spans="1:7">
      <c r="A30" s="9" t="s">
        <v>22</v>
      </c>
      <c r="B30" s="5">
        <v>0</v>
      </c>
      <c r="C30" s="5">
        <f t="shared" ref="C30:G30" si="1">C20/C10</f>
        <v>0.25</v>
      </c>
      <c r="D30" s="5">
        <f t="shared" si="1"/>
        <v>0</v>
      </c>
      <c r="E30" s="5">
        <f t="shared" si="1"/>
        <v>0</v>
      </c>
      <c r="F30" s="5">
        <f t="shared" si="1"/>
        <v>0</v>
      </c>
      <c r="G30" s="10">
        <f t="shared" si="1"/>
        <v>4.1666666666666664E-2</v>
      </c>
    </row>
    <row r="31" spans="1:7">
      <c r="A31" s="9" t="s">
        <v>8</v>
      </c>
      <c r="B31" s="5">
        <f t="shared" ref="B31:G33" si="2">SUM(B21/B11)</f>
        <v>0.36363636363636365</v>
      </c>
      <c r="C31" s="5">
        <f t="shared" si="2"/>
        <v>0.19269102990033224</v>
      </c>
      <c r="D31" s="5">
        <f t="shared" si="2"/>
        <v>0.10921052631578948</v>
      </c>
      <c r="E31" s="5">
        <f t="shared" si="2"/>
        <v>8.7078651685393263E-2</v>
      </c>
      <c r="F31" s="5">
        <f t="shared" si="2"/>
        <v>7.3863636363636367E-2</v>
      </c>
      <c r="G31" s="10">
        <f t="shared" si="2"/>
        <v>9.5843261848027536E-2</v>
      </c>
    </row>
    <row r="32" spans="1:7">
      <c r="A32" s="9" t="s">
        <v>9</v>
      </c>
      <c r="B32" s="5">
        <f t="shared" si="2"/>
        <v>0</v>
      </c>
      <c r="C32" s="5">
        <f t="shared" si="2"/>
        <v>0.36363636363636365</v>
      </c>
      <c r="D32" s="5">
        <f t="shared" si="2"/>
        <v>0.2</v>
      </c>
      <c r="E32" s="5">
        <f t="shared" si="2"/>
        <v>0.42857142857142855</v>
      </c>
      <c r="F32" s="5">
        <f t="shared" si="2"/>
        <v>0.10294117647058823</v>
      </c>
      <c r="G32" s="10">
        <f t="shared" si="2"/>
        <v>0.19727891156462585</v>
      </c>
    </row>
    <row r="33" spans="1:9" ht="13.5" thickBot="1">
      <c r="A33" s="11" t="s">
        <v>14</v>
      </c>
      <c r="B33" s="12">
        <f t="shared" si="2"/>
        <v>0.31707317073170732</v>
      </c>
      <c r="C33" s="12">
        <f t="shared" si="2"/>
        <v>0.1838074398249453</v>
      </c>
      <c r="D33" s="12">
        <f t="shared" si="2"/>
        <v>0.11700000000000001</v>
      </c>
      <c r="E33" s="12">
        <f t="shared" si="2"/>
        <v>7.9741379310344834E-2</v>
      </c>
      <c r="F33" s="12">
        <f t="shared" si="2"/>
        <v>7.7731092436974791E-2</v>
      </c>
      <c r="G33" s="13">
        <f t="shared" si="2"/>
        <v>0.1008557457212714</v>
      </c>
    </row>
    <row r="34" spans="1:9">
      <c r="A34" s="21" t="s">
        <v>26</v>
      </c>
      <c r="B34" s="5"/>
      <c r="C34" s="5"/>
      <c r="D34" s="5"/>
      <c r="E34" s="5"/>
      <c r="F34" s="5"/>
      <c r="G34" s="5"/>
    </row>
    <row r="35" spans="1:9" ht="54" customHeight="1">
      <c r="A35" s="34" t="s">
        <v>17</v>
      </c>
      <c r="B35" s="34"/>
      <c r="C35" s="34"/>
      <c r="D35" s="34"/>
      <c r="E35" s="34"/>
      <c r="F35" s="34"/>
      <c r="G35" s="34"/>
      <c r="H35" s="34"/>
      <c r="I35" s="34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G27" sqref="G27:G33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8" t="s">
        <v>21</v>
      </c>
      <c r="B1" s="39"/>
      <c r="C1" s="39"/>
      <c r="D1" s="39"/>
      <c r="E1" s="39"/>
      <c r="F1" s="39"/>
      <c r="G1" s="40"/>
    </row>
    <row r="2" spans="1:14">
      <c r="A2" s="41" t="s">
        <v>15</v>
      </c>
      <c r="B2" s="42"/>
      <c r="C2" s="42"/>
      <c r="D2" s="42"/>
      <c r="E2" s="42"/>
      <c r="F2" s="42"/>
      <c r="G2" s="43"/>
    </row>
    <row r="3" spans="1:14">
      <c r="A3" s="25"/>
      <c r="B3" s="26"/>
      <c r="C3" s="26"/>
      <c r="D3" s="26"/>
      <c r="E3" s="26"/>
      <c r="F3" s="26"/>
      <c r="G3" s="27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35" t="s">
        <v>12</v>
      </c>
      <c r="B5" s="36"/>
      <c r="C5" s="36"/>
      <c r="D5" s="36"/>
      <c r="E5" s="36"/>
      <c r="F5" s="36"/>
      <c r="G5" s="37"/>
      <c r="K5" s="3"/>
    </row>
    <row r="6" spans="1:14">
      <c r="A6" s="18" t="s">
        <v>10</v>
      </c>
      <c r="B6" s="19" t="s">
        <v>1</v>
      </c>
      <c r="C6" s="19" t="s">
        <v>2</v>
      </c>
      <c r="D6" s="19" t="s">
        <v>3</v>
      </c>
      <c r="E6" s="19" t="s">
        <v>4</v>
      </c>
      <c r="F6" s="19" t="s">
        <v>0</v>
      </c>
      <c r="G6" s="20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0</v>
      </c>
      <c r="C7" s="2">
        <v>2</v>
      </c>
      <c r="D7" s="3">
        <v>7</v>
      </c>
      <c r="E7" s="3">
        <v>1</v>
      </c>
      <c r="F7" s="3">
        <v>14</v>
      </c>
      <c r="G7" s="8">
        <v>24</v>
      </c>
      <c r="J7" s="3"/>
      <c r="K7" s="3"/>
      <c r="L7" s="3"/>
      <c r="M7" s="3"/>
      <c r="N7" s="3"/>
    </row>
    <row r="8" spans="1:14">
      <c r="A8" s="6" t="s">
        <v>6</v>
      </c>
      <c r="B8" s="3">
        <v>18</v>
      </c>
      <c r="C8" s="3">
        <v>87</v>
      </c>
      <c r="D8" s="3">
        <v>94</v>
      </c>
      <c r="E8" s="3">
        <v>29</v>
      </c>
      <c r="F8" s="3">
        <v>179</v>
      </c>
      <c r="G8" s="8">
        <v>416</v>
      </c>
      <c r="K8" s="3"/>
    </row>
    <row r="9" spans="1:14">
      <c r="A9" s="9" t="s">
        <v>18</v>
      </c>
      <c r="B9" s="3">
        <v>0</v>
      </c>
      <c r="C9" s="3">
        <v>12</v>
      </c>
      <c r="D9" s="3">
        <v>13</v>
      </c>
      <c r="E9" s="3">
        <v>2</v>
      </c>
      <c r="F9" s="3">
        <v>24</v>
      </c>
      <c r="G9" s="8">
        <v>51</v>
      </c>
    </row>
    <row r="10" spans="1:14">
      <c r="A10" s="9" t="s">
        <v>22</v>
      </c>
      <c r="B10" s="3">
        <v>0</v>
      </c>
      <c r="C10" s="3">
        <v>1</v>
      </c>
      <c r="D10" s="3">
        <v>1</v>
      </c>
      <c r="E10" s="3">
        <v>2</v>
      </c>
      <c r="F10" s="3">
        <v>10</v>
      </c>
      <c r="G10" s="8">
        <v>16</v>
      </c>
    </row>
    <row r="11" spans="1:14">
      <c r="A11" s="9" t="s">
        <v>8</v>
      </c>
      <c r="B11" s="3">
        <v>53</v>
      </c>
      <c r="C11" s="3">
        <v>313</v>
      </c>
      <c r="D11" s="3">
        <v>730</v>
      </c>
      <c r="E11" s="3">
        <v>342</v>
      </c>
      <c r="F11" s="3">
        <v>2227</v>
      </c>
      <c r="G11" s="8">
        <v>3699</v>
      </c>
    </row>
    <row r="12" spans="1:14">
      <c r="A12" s="9" t="s">
        <v>9</v>
      </c>
      <c r="B12" s="3">
        <v>7</v>
      </c>
      <c r="C12" s="3">
        <v>23</v>
      </c>
      <c r="D12" s="3">
        <v>33</v>
      </c>
      <c r="E12" s="3">
        <v>10</v>
      </c>
      <c r="F12" s="3">
        <v>79</v>
      </c>
      <c r="G12" s="8">
        <v>155</v>
      </c>
    </row>
    <row r="13" spans="1:14">
      <c r="A13" s="9" t="s">
        <v>14</v>
      </c>
      <c r="B13" s="3">
        <v>87</v>
      </c>
      <c r="C13" s="3">
        <v>467</v>
      </c>
      <c r="D13" s="3">
        <v>952</v>
      </c>
      <c r="E13" s="3">
        <v>420</v>
      </c>
      <c r="F13" s="3">
        <v>2778</v>
      </c>
      <c r="G13" s="8">
        <v>4757</v>
      </c>
    </row>
    <row r="14" spans="1:14">
      <c r="A14" s="6"/>
      <c r="B14" s="2"/>
      <c r="C14" s="2"/>
      <c r="D14" s="2"/>
      <c r="E14" s="2"/>
      <c r="F14" s="2"/>
      <c r="G14" s="7"/>
    </row>
    <row r="15" spans="1:14">
      <c r="A15" s="35" t="s">
        <v>13</v>
      </c>
      <c r="B15" s="36"/>
      <c r="C15" s="36"/>
      <c r="D15" s="36"/>
      <c r="E15" s="36"/>
      <c r="F15" s="36"/>
      <c r="G15" s="37"/>
    </row>
    <row r="16" spans="1:14" s="17" customFormat="1" ht="11.25">
      <c r="A16" s="18"/>
      <c r="B16" s="19" t="s">
        <v>1</v>
      </c>
      <c r="C16" s="19" t="s">
        <v>2</v>
      </c>
      <c r="D16" s="19" t="s">
        <v>3</v>
      </c>
      <c r="E16" s="19" t="s">
        <v>4</v>
      </c>
      <c r="F16" s="19" t="s">
        <v>0</v>
      </c>
      <c r="G16" s="20" t="s">
        <v>5</v>
      </c>
    </row>
    <row r="17" spans="1:7">
      <c r="A17" s="6" t="s">
        <v>11</v>
      </c>
      <c r="B17" s="3">
        <v>0</v>
      </c>
      <c r="C17" s="3">
        <v>0</v>
      </c>
      <c r="D17" s="3">
        <v>0</v>
      </c>
      <c r="E17" s="3">
        <v>0</v>
      </c>
      <c r="F17" s="3">
        <v>2</v>
      </c>
      <c r="G17" s="8">
        <v>2</v>
      </c>
    </row>
    <row r="18" spans="1:7">
      <c r="A18" s="6" t="s">
        <v>6</v>
      </c>
      <c r="B18" s="3">
        <v>6</v>
      </c>
      <c r="C18" s="3">
        <v>14</v>
      </c>
      <c r="D18" s="3">
        <v>8</v>
      </c>
      <c r="E18" s="3">
        <v>3</v>
      </c>
      <c r="F18" s="3">
        <v>11</v>
      </c>
      <c r="G18" s="8">
        <v>45</v>
      </c>
    </row>
    <row r="19" spans="1:7">
      <c r="A19" s="9" t="s">
        <v>18</v>
      </c>
      <c r="B19" s="3">
        <v>0</v>
      </c>
      <c r="C19" s="3">
        <v>4</v>
      </c>
      <c r="D19" s="3">
        <v>1</v>
      </c>
      <c r="E19" s="3">
        <v>0</v>
      </c>
      <c r="F19" s="3">
        <v>2</v>
      </c>
      <c r="G19" s="8">
        <v>7</v>
      </c>
    </row>
    <row r="20" spans="1:7">
      <c r="A20" s="9" t="s">
        <v>22</v>
      </c>
      <c r="B20" s="3">
        <v>0</v>
      </c>
      <c r="C20" s="3">
        <v>0</v>
      </c>
      <c r="D20" s="3">
        <v>0</v>
      </c>
      <c r="E20" s="3">
        <v>1</v>
      </c>
      <c r="F20" s="3">
        <v>2</v>
      </c>
      <c r="G20" s="8">
        <v>4</v>
      </c>
    </row>
    <row r="21" spans="1:7">
      <c r="A21" s="9" t="s">
        <v>8</v>
      </c>
      <c r="B21" s="3">
        <v>15</v>
      </c>
      <c r="C21" s="3">
        <v>37</v>
      </c>
      <c r="D21" s="3">
        <v>63</v>
      </c>
      <c r="E21" s="3">
        <v>29</v>
      </c>
      <c r="F21" s="3">
        <v>123</v>
      </c>
      <c r="G21" s="8">
        <v>270</v>
      </c>
    </row>
    <row r="22" spans="1:7">
      <c r="A22" s="9" t="s">
        <v>9</v>
      </c>
      <c r="B22" s="3">
        <v>4</v>
      </c>
      <c r="C22" s="3">
        <v>5</v>
      </c>
      <c r="D22" s="3">
        <v>4</v>
      </c>
      <c r="E22" s="3">
        <v>2</v>
      </c>
      <c r="F22" s="3">
        <v>3</v>
      </c>
      <c r="G22" s="8">
        <v>18</v>
      </c>
    </row>
    <row r="23" spans="1:7">
      <c r="A23" s="9" t="s">
        <v>14</v>
      </c>
      <c r="B23" s="2">
        <v>25</v>
      </c>
      <c r="C23" s="2">
        <v>62</v>
      </c>
      <c r="D23" s="2">
        <v>88</v>
      </c>
      <c r="E23" s="2">
        <v>40</v>
      </c>
      <c r="F23" s="2">
        <v>164</v>
      </c>
      <c r="G23" s="7">
        <v>386</v>
      </c>
    </row>
    <row r="24" spans="1:7">
      <c r="A24" s="6"/>
      <c r="B24" s="2"/>
      <c r="C24" s="2"/>
      <c r="D24" s="2"/>
      <c r="E24" s="2"/>
      <c r="F24" s="2"/>
      <c r="G24" s="7"/>
    </row>
    <row r="25" spans="1:7">
      <c r="A25" s="35" t="s">
        <v>16</v>
      </c>
      <c r="B25" s="36"/>
      <c r="C25" s="36"/>
      <c r="D25" s="36"/>
      <c r="E25" s="36"/>
      <c r="F25" s="36"/>
      <c r="G25" s="37"/>
    </row>
    <row r="26" spans="1:7" s="17" customFormat="1" ht="11.25">
      <c r="A26" s="18"/>
      <c r="B26" s="19" t="s">
        <v>1</v>
      </c>
      <c r="C26" s="19" t="s">
        <v>2</v>
      </c>
      <c r="D26" s="19" t="s">
        <v>3</v>
      </c>
      <c r="E26" s="19" t="s">
        <v>4</v>
      </c>
      <c r="F26" s="19" t="s">
        <v>0</v>
      </c>
      <c r="G26" s="20" t="s">
        <v>5</v>
      </c>
    </row>
    <row r="27" spans="1:7">
      <c r="A27" s="6" t="s">
        <v>11</v>
      </c>
      <c r="B27" s="5">
        <v>0</v>
      </c>
      <c r="C27" s="5">
        <f t="shared" ref="B27:G33" si="0">C17/C7</f>
        <v>0</v>
      </c>
      <c r="D27" s="5">
        <f>D17/D7</f>
        <v>0</v>
      </c>
      <c r="E27" s="5">
        <f>E17/E7</f>
        <v>0</v>
      </c>
      <c r="F27" s="5">
        <f>F17/F7</f>
        <v>0.14285714285714285</v>
      </c>
      <c r="G27" s="10">
        <f>G17/G7</f>
        <v>8.3333333333333329E-2</v>
      </c>
    </row>
    <row r="28" spans="1:7">
      <c r="A28" s="6" t="s">
        <v>6</v>
      </c>
      <c r="B28" s="5">
        <f t="shared" si="0"/>
        <v>0.33333333333333331</v>
      </c>
      <c r="C28" s="5">
        <f t="shared" si="0"/>
        <v>0.16091954022988506</v>
      </c>
      <c r="D28" s="5">
        <f t="shared" si="0"/>
        <v>8.5106382978723402E-2</v>
      </c>
      <c r="E28" s="5">
        <f t="shared" si="0"/>
        <v>0.10344827586206896</v>
      </c>
      <c r="F28" s="5">
        <f t="shared" si="0"/>
        <v>6.1452513966480445E-2</v>
      </c>
      <c r="G28" s="10">
        <f t="shared" si="0"/>
        <v>0.10817307692307693</v>
      </c>
    </row>
    <row r="29" spans="1:7">
      <c r="A29" s="9" t="s">
        <v>18</v>
      </c>
      <c r="B29" s="5">
        <v>0</v>
      </c>
      <c r="C29" s="5">
        <f t="shared" ref="C29" si="1">C19/C9</f>
        <v>0.33333333333333331</v>
      </c>
      <c r="D29" s="5">
        <f t="shared" si="0"/>
        <v>7.6923076923076927E-2</v>
      </c>
      <c r="E29" s="5">
        <f t="shared" si="0"/>
        <v>0</v>
      </c>
      <c r="F29" s="5">
        <f t="shared" si="0"/>
        <v>8.3333333333333329E-2</v>
      </c>
      <c r="G29" s="10">
        <f t="shared" si="0"/>
        <v>0.13725490196078433</v>
      </c>
    </row>
    <row r="30" spans="1:7">
      <c r="A30" s="9" t="s">
        <v>22</v>
      </c>
      <c r="B30" s="5">
        <v>0</v>
      </c>
      <c r="C30" s="5">
        <f t="shared" ref="C30" si="2">C20/C10</f>
        <v>0</v>
      </c>
      <c r="D30" s="5">
        <f t="shared" si="0"/>
        <v>0</v>
      </c>
      <c r="E30" s="5">
        <f t="shared" si="0"/>
        <v>0.5</v>
      </c>
      <c r="F30" s="5">
        <f t="shared" si="0"/>
        <v>0.2</v>
      </c>
      <c r="G30" s="10">
        <f t="shared" si="0"/>
        <v>0.25</v>
      </c>
    </row>
    <row r="31" spans="1:7">
      <c r="A31" s="9" t="s">
        <v>8</v>
      </c>
      <c r="B31" s="5">
        <f t="shared" ref="B31" si="3">B21/B11</f>
        <v>0.28301886792452829</v>
      </c>
      <c r="C31" s="5">
        <f t="shared" si="0"/>
        <v>0.1182108626198083</v>
      </c>
      <c r="D31" s="5">
        <f t="shared" si="0"/>
        <v>8.6301369863013705E-2</v>
      </c>
      <c r="E31" s="5">
        <f t="shared" si="0"/>
        <v>8.4795321637426896E-2</v>
      </c>
      <c r="F31" s="5">
        <f t="shared" si="0"/>
        <v>5.5231252806466097E-2</v>
      </c>
      <c r="G31" s="10">
        <f t="shared" si="0"/>
        <v>7.2992700729927001E-2</v>
      </c>
    </row>
    <row r="32" spans="1:7">
      <c r="A32" s="9" t="s">
        <v>9</v>
      </c>
      <c r="B32" s="5">
        <f>B22/B12</f>
        <v>0.5714285714285714</v>
      </c>
      <c r="C32" s="5">
        <f t="shared" si="0"/>
        <v>0.21739130434782608</v>
      </c>
      <c r="D32" s="5">
        <f t="shared" si="0"/>
        <v>0.12121212121212122</v>
      </c>
      <c r="E32" s="5">
        <f t="shared" si="0"/>
        <v>0.2</v>
      </c>
      <c r="F32" s="5">
        <f t="shared" si="0"/>
        <v>3.7974683544303799E-2</v>
      </c>
      <c r="G32" s="10">
        <f t="shared" si="0"/>
        <v>0.11612903225806452</v>
      </c>
    </row>
    <row r="33" spans="1:9" ht="13.5" thickBot="1">
      <c r="A33" s="11" t="s">
        <v>14</v>
      </c>
      <c r="B33" s="12">
        <f t="shared" ref="B33" si="4">B23/B13</f>
        <v>0.28735632183908044</v>
      </c>
      <c r="C33" s="12">
        <f t="shared" si="0"/>
        <v>0.13276231263383298</v>
      </c>
      <c r="D33" s="12">
        <f t="shared" si="0"/>
        <v>9.2436974789915971E-2</v>
      </c>
      <c r="E33" s="12">
        <f t="shared" si="0"/>
        <v>9.5238095238095233E-2</v>
      </c>
      <c r="F33" s="12">
        <f t="shared" si="0"/>
        <v>5.9035277177825772E-2</v>
      </c>
      <c r="G33" s="13">
        <f t="shared" si="0"/>
        <v>8.1143577885221779E-2</v>
      </c>
    </row>
    <row r="34" spans="1:9">
      <c r="A34" s="21" t="s">
        <v>26</v>
      </c>
      <c r="B34" s="5"/>
      <c r="C34" s="5"/>
      <c r="D34" s="5"/>
      <c r="E34" s="5"/>
      <c r="F34" s="5"/>
      <c r="G34" s="5"/>
    </row>
    <row r="35" spans="1:9" ht="54" customHeight="1">
      <c r="A35" s="34" t="s">
        <v>17</v>
      </c>
      <c r="B35" s="34"/>
      <c r="C35" s="34"/>
      <c r="D35" s="34"/>
      <c r="E35" s="34"/>
      <c r="F35" s="34"/>
      <c r="G35" s="34"/>
      <c r="H35" s="34"/>
      <c r="I35" s="34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>
      <selection activeCell="K15" sqref="K15"/>
    </sheetView>
  </sheetViews>
  <sheetFormatPr defaultRowHeight="12.75"/>
  <cols>
    <col min="1" max="1" width="16.28515625" style="1" customWidth="1"/>
    <col min="2" max="2" width="12.140625" style="1" customWidth="1"/>
    <col min="3" max="3" width="14" style="1" customWidth="1"/>
    <col min="4" max="4" width="14.5703125" style="1" customWidth="1"/>
    <col min="5" max="5" width="12.85546875" style="1" customWidth="1"/>
    <col min="6" max="6" width="11.28515625" style="1" customWidth="1"/>
    <col min="7" max="7" width="8.42578125" style="1" customWidth="1"/>
    <col min="8" max="16384" width="9.140625" style="1"/>
  </cols>
  <sheetData>
    <row r="1" spans="1:14">
      <c r="A1" s="38" t="s">
        <v>27</v>
      </c>
      <c r="B1" s="39"/>
      <c r="C1" s="39"/>
      <c r="D1" s="39"/>
      <c r="E1" s="39"/>
      <c r="F1" s="39"/>
      <c r="G1" s="40"/>
    </row>
    <row r="2" spans="1:14">
      <c r="A2" s="41" t="s">
        <v>15</v>
      </c>
      <c r="B2" s="42"/>
      <c r="C2" s="42"/>
      <c r="D2" s="42"/>
      <c r="E2" s="42"/>
      <c r="F2" s="42"/>
      <c r="G2" s="43"/>
    </row>
    <row r="3" spans="1:14">
      <c r="A3" s="31"/>
      <c r="B3" s="32"/>
      <c r="C3" s="32"/>
      <c r="D3" s="32"/>
      <c r="E3" s="32"/>
      <c r="F3" s="32"/>
      <c r="G3" s="33"/>
    </row>
    <row r="4" spans="1:14">
      <c r="A4" s="6"/>
      <c r="B4" s="2"/>
      <c r="C4" s="2"/>
      <c r="D4" s="2"/>
      <c r="E4" s="2"/>
      <c r="F4" s="2"/>
      <c r="G4" s="7"/>
      <c r="K4" s="2"/>
    </row>
    <row r="5" spans="1:14">
      <c r="A5" s="35" t="s">
        <v>12</v>
      </c>
      <c r="B5" s="36"/>
      <c r="C5" s="36"/>
      <c r="D5" s="36"/>
      <c r="E5" s="36"/>
      <c r="F5" s="36"/>
      <c r="G5" s="37"/>
      <c r="K5" s="3"/>
    </row>
    <row r="6" spans="1:14">
      <c r="A6" s="18" t="s">
        <v>10</v>
      </c>
      <c r="B6" s="19" t="s">
        <v>1</v>
      </c>
      <c r="C6" s="19" t="s">
        <v>2</v>
      </c>
      <c r="D6" s="19" t="s">
        <v>3</v>
      </c>
      <c r="E6" s="19" t="s">
        <v>4</v>
      </c>
      <c r="F6" s="19" t="s">
        <v>0</v>
      </c>
      <c r="G6" s="20" t="s">
        <v>5</v>
      </c>
      <c r="I6" s="3"/>
      <c r="J6" s="3"/>
      <c r="K6" s="3"/>
      <c r="L6" s="3"/>
      <c r="M6" s="3"/>
    </row>
    <row r="7" spans="1:14">
      <c r="A7" s="6" t="s">
        <v>11</v>
      </c>
      <c r="B7" s="2">
        <v>2</v>
      </c>
      <c r="C7" s="2">
        <v>5</v>
      </c>
      <c r="D7" s="3">
        <v>4</v>
      </c>
      <c r="E7" s="3">
        <v>5</v>
      </c>
      <c r="F7" s="3">
        <v>15</v>
      </c>
      <c r="G7" s="8">
        <v>32</v>
      </c>
      <c r="J7" s="3"/>
      <c r="K7" s="3"/>
      <c r="L7" s="3"/>
      <c r="M7" s="3"/>
      <c r="N7" s="3"/>
    </row>
    <row r="8" spans="1:14">
      <c r="A8" s="6" t="s">
        <v>6</v>
      </c>
      <c r="B8" s="3">
        <v>15</v>
      </c>
      <c r="C8" s="3">
        <v>121</v>
      </c>
      <c r="D8" s="3">
        <v>115</v>
      </c>
      <c r="E8" s="3">
        <v>41</v>
      </c>
      <c r="F8" s="3">
        <v>261</v>
      </c>
      <c r="G8" s="8">
        <v>557</v>
      </c>
      <c r="K8" s="3"/>
    </row>
    <row r="9" spans="1:14">
      <c r="A9" s="9" t="s">
        <v>18</v>
      </c>
      <c r="B9" s="3">
        <v>3</v>
      </c>
      <c r="C9" s="3">
        <v>18</v>
      </c>
      <c r="D9" s="3">
        <v>17</v>
      </c>
      <c r="E9" s="3">
        <v>13</v>
      </c>
      <c r="F9" s="3">
        <v>43</v>
      </c>
      <c r="G9" s="8">
        <v>95</v>
      </c>
    </row>
    <row r="10" spans="1:14">
      <c r="A10" s="9" t="s">
        <v>22</v>
      </c>
      <c r="B10" s="3">
        <v>1</v>
      </c>
      <c r="C10" s="3">
        <v>3</v>
      </c>
      <c r="D10" s="3">
        <v>9</v>
      </c>
      <c r="E10" s="3">
        <v>4</v>
      </c>
      <c r="F10" s="3">
        <v>16</v>
      </c>
      <c r="G10" s="8">
        <v>34</v>
      </c>
    </row>
    <row r="11" spans="1:14">
      <c r="A11" s="9" t="s">
        <v>8</v>
      </c>
      <c r="B11" s="3">
        <v>51</v>
      </c>
      <c r="C11" s="3">
        <v>428</v>
      </c>
      <c r="D11" s="3">
        <v>957</v>
      </c>
      <c r="E11" s="3">
        <v>479</v>
      </c>
      <c r="F11" s="3">
        <v>3021</v>
      </c>
      <c r="G11" s="8">
        <v>4966</v>
      </c>
    </row>
    <row r="12" spans="1:14">
      <c r="A12" s="9" t="s">
        <v>9</v>
      </c>
      <c r="B12" s="3">
        <v>3</v>
      </c>
      <c r="C12" s="3">
        <v>27</v>
      </c>
      <c r="D12" s="3">
        <v>60</v>
      </c>
      <c r="E12" s="3">
        <v>16</v>
      </c>
      <c r="F12" s="3">
        <v>107</v>
      </c>
      <c r="G12" s="8">
        <v>214</v>
      </c>
    </row>
    <row r="13" spans="1:14">
      <c r="A13" s="9" t="s">
        <v>14</v>
      </c>
      <c r="B13" s="3">
        <v>94</v>
      </c>
      <c r="C13" s="3">
        <v>645</v>
      </c>
      <c r="D13" s="3">
        <v>1242</v>
      </c>
      <c r="E13" s="3">
        <v>607</v>
      </c>
      <c r="F13" s="3">
        <v>3847</v>
      </c>
      <c r="G13" s="8">
        <v>6484</v>
      </c>
    </row>
    <row r="14" spans="1:14">
      <c r="A14" s="6"/>
      <c r="B14" s="2"/>
      <c r="C14" s="2"/>
      <c r="D14" s="2"/>
      <c r="E14" s="2"/>
      <c r="F14" s="2"/>
      <c r="G14" s="7"/>
    </row>
    <row r="15" spans="1:14">
      <c r="A15" s="35" t="s">
        <v>13</v>
      </c>
      <c r="B15" s="36"/>
      <c r="C15" s="36"/>
      <c r="D15" s="36"/>
      <c r="E15" s="36"/>
      <c r="F15" s="36"/>
      <c r="G15" s="37"/>
    </row>
    <row r="16" spans="1:14" s="17" customFormat="1" ht="11.25">
      <c r="A16" s="18"/>
      <c r="B16" s="19" t="s">
        <v>1</v>
      </c>
      <c r="C16" s="19" t="s">
        <v>2</v>
      </c>
      <c r="D16" s="19" t="s">
        <v>3</v>
      </c>
      <c r="E16" s="19" t="s">
        <v>4</v>
      </c>
      <c r="F16" s="19" t="s">
        <v>0</v>
      </c>
      <c r="G16" s="20" t="s">
        <v>5</v>
      </c>
    </row>
    <row r="17" spans="1:9">
      <c r="A17" s="6" t="s">
        <v>11</v>
      </c>
      <c r="B17" s="3">
        <v>0</v>
      </c>
      <c r="C17" s="3">
        <v>1</v>
      </c>
      <c r="D17" s="3">
        <v>0</v>
      </c>
      <c r="E17" s="3">
        <v>3</v>
      </c>
      <c r="F17" s="3">
        <v>1</v>
      </c>
      <c r="G17" s="8">
        <v>5</v>
      </c>
    </row>
    <row r="18" spans="1:9">
      <c r="A18" s="6" t="s">
        <v>6</v>
      </c>
      <c r="B18" s="3">
        <v>3</v>
      </c>
      <c r="C18" s="3">
        <v>19</v>
      </c>
      <c r="D18" s="3">
        <v>12</v>
      </c>
      <c r="E18" s="3">
        <v>10</v>
      </c>
      <c r="F18" s="3">
        <v>20</v>
      </c>
      <c r="G18" s="8">
        <v>65</v>
      </c>
    </row>
    <row r="19" spans="1:9">
      <c r="A19" s="9" t="s">
        <v>18</v>
      </c>
      <c r="B19" s="3">
        <v>2</v>
      </c>
      <c r="C19" s="3">
        <v>4</v>
      </c>
      <c r="D19" s="3">
        <v>3</v>
      </c>
      <c r="E19" s="3">
        <v>0</v>
      </c>
      <c r="F19" s="3">
        <v>4</v>
      </c>
      <c r="G19" s="8">
        <v>14</v>
      </c>
    </row>
    <row r="20" spans="1:9">
      <c r="A20" s="9" t="s">
        <v>22</v>
      </c>
      <c r="B20" s="3">
        <v>0</v>
      </c>
      <c r="C20" s="3">
        <v>0</v>
      </c>
      <c r="D20" s="3">
        <v>0</v>
      </c>
      <c r="E20" s="3">
        <v>0</v>
      </c>
      <c r="F20" s="3">
        <v>2</v>
      </c>
      <c r="G20" s="8">
        <v>2</v>
      </c>
    </row>
    <row r="21" spans="1:9">
      <c r="A21" s="9" t="s">
        <v>8</v>
      </c>
      <c r="B21" s="3">
        <v>11</v>
      </c>
      <c r="C21" s="3">
        <v>56</v>
      </c>
      <c r="D21" s="3">
        <v>91</v>
      </c>
      <c r="E21" s="3">
        <v>31</v>
      </c>
      <c r="F21" s="3">
        <v>144</v>
      </c>
      <c r="G21" s="8">
        <v>343</v>
      </c>
    </row>
    <row r="22" spans="1:9">
      <c r="A22" s="9" t="s">
        <v>9</v>
      </c>
      <c r="B22" s="3">
        <v>2</v>
      </c>
      <c r="C22" s="3">
        <v>4</v>
      </c>
      <c r="D22" s="3">
        <v>6</v>
      </c>
      <c r="E22" s="3">
        <v>6</v>
      </c>
      <c r="F22" s="3">
        <v>5</v>
      </c>
      <c r="G22" s="8">
        <v>24</v>
      </c>
    </row>
    <row r="23" spans="1:9">
      <c r="A23" s="9" t="s">
        <v>14</v>
      </c>
      <c r="B23" s="2">
        <v>22</v>
      </c>
      <c r="C23" s="2">
        <v>86</v>
      </c>
      <c r="D23" s="2">
        <v>115</v>
      </c>
      <c r="E23" s="2">
        <v>52</v>
      </c>
      <c r="F23" s="2">
        <v>189</v>
      </c>
      <c r="G23" s="7">
        <v>479</v>
      </c>
    </row>
    <row r="24" spans="1:9">
      <c r="A24" s="6"/>
      <c r="B24" s="2"/>
      <c r="C24" s="2"/>
      <c r="D24" s="2"/>
      <c r="E24" s="2"/>
      <c r="F24" s="2"/>
      <c r="G24" s="7"/>
    </row>
    <row r="25" spans="1:9">
      <c r="A25" s="35" t="s">
        <v>16</v>
      </c>
      <c r="B25" s="36"/>
      <c r="C25" s="36"/>
      <c r="D25" s="36"/>
      <c r="E25" s="36"/>
      <c r="F25" s="36"/>
      <c r="G25" s="37"/>
    </row>
    <row r="26" spans="1:9" s="17" customFormat="1" ht="11.25">
      <c r="A26" s="18"/>
      <c r="B26" s="19" t="s">
        <v>1</v>
      </c>
      <c r="C26" s="19" t="s">
        <v>2</v>
      </c>
      <c r="D26" s="19" t="s">
        <v>3</v>
      </c>
      <c r="E26" s="19" t="s">
        <v>4</v>
      </c>
      <c r="F26" s="19" t="s">
        <v>0</v>
      </c>
      <c r="G26" s="20" t="s">
        <v>5</v>
      </c>
    </row>
    <row r="27" spans="1:9">
      <c r="A27" s="6" t="s">
        <v>11</v>
      </c>
      <c r="B27" s="5">
        <f>B17/B7</f>
        <v>0</v>
      </c>
      <c r="C27" s="5">
        <f>C17/C7</f>
        <v>0.2</v>
      </c>
      <c r="D27" s="5">
        <f>D17/D7</f>
        <v>0</v>
      </c>
      <c r="E27" s="5">
        <f>E17/E7</f>
        <v>0.6</v>
      </c>
      <c r="F27" s="5">
        <f>F17/F7</f>
        <v>6.6666666666666666E-2</v>
      </c>
      <c r="G27" s="10">
        <f>G17/G7</f>
        <v>0.15625</v>
      </c>
      <c r="I27" s="24"/>
    </row>
    <row r="28" spans="1:9">
      <c r="A28" s="6" t="s">
        <v>6</v>
      </c>
      <c r="B28" s="5">
        <f>B18/B8</f>
        <v>0.2</v>
      </c>
      <c r="C28" s="5">
        <f t="shared" ref="B27:G33" si="0">C18/C8</f>
        <v>0.15702479338842976</v>
      </c>
      <c r="D28" s="5">
        <f t="shared" si="0"/>
        <v>0.10434782608695652</v>
      </c>
      <c r="E28" s="5">
        <f t="shared" si="0"/>
        <v>0.24390243902439024</v>
      </c>
      <c r="F28" s="5">
        <f t="shared" si="0"/>
        <v>7.662835249042145E-2</v>
      </c>
      <c r="G28" s="10">
        <f t="shared" si="0"/>
        <v>0.11669658886894076</v>
      </c>
      <c r="I28" s="24"/>
    </row>
    <row r="29" spans="1:9">
      <c r="A29" s="9" t="s">
        <v>18</v>
      </c>
      <c r="B29" s="5">
        <f>B19/B9</f>
        <v>0.66666666666666663</v>
      </c>
      <c r="C29" s="5">
        <f t="shared" si="0"/>
        <v>0.22222222222222221</v>
      </c>
      <c r="D29" s="5">
        <f t="shared" si="0"/>
        <v>0.17647058823529413</v>
      </c>
      <c r="E29" s="5">
        <f t="shared" si="0"/>
        <v>0</v>
      </c>
      <c r="F29" s="5">
        <f t="shared" si="0"/>
        <v>9.3023255813953487E-2</v>
      </c>
      <c r="G29" s="10">
        <f t="shared" si="0"/>
        <v>0.14736842105263157</v>
      </c>
      <c r="I29" s="24"/>
    </row>
    <row r="30" spans="1:9">
      <c r="A30" s="9" t="s">
        <v>22</v>
      </c>
      <c r="B30" s="5">
        <f t="shared" ref="B30" si="1">B20/B10</f>
        <v>0</v>
      </c>
      <c r="C30" s="5">
        <f t="shared" si="0"/>
        <v>0</v>
      </c>
      <c r="D30" s="5">
        <f t="shared" si="0"/>
        <v>0</v>
      </c>
      <c r="E30" s="5">
        <f t="shared" si="0"/>
        <v>0</v>
      </c>
      <c r="F30" s="5">
        <f t="shared" si="0"/>
        <v>0.125</v>
      </c>
      <c r="G30" s="10">
        <f t="shared" si="0"/>
        <v>5.8823529411764705E-2</v>
      </c>
      <c r="I30" s="24"/>
    </row>
    <row r="31" spans="1:9">
      <c r="A31" s="9" t="s">
        <v>8</v>
      </c>
      <c r="B31" s="5">
        <f t="shared" ref="B31" si="2">B21/B11</f>
        <v>0.21568627450980393</v>
      </c>
      <c r="C31" s="5">
        <f t="shared" si="0"/>
        <v>0.13084112149532709</v>
      </c>
      <c r="D31" s="5">
        <f t="shared" si="0"/>
        <v>9.5088819226750262E-2</v>
      </c>
      <c r="E31" s="5">
        <f t="shared" si="0"/>
        <v>6.471816283924843E-2</v>
      </c>
      <c r="F31" s="5">
        <f t="shared" si="0"/>
        <v>4.7666335650446874E-2</v>
      </c>
      <c r="G31" s="10">
        <f t="shared" si="0"/>
        <v>6.9069673781715663E-2</v>
      </c>
      <c r="I31" s="24"/>
    </row>
    <row r="32" spans="1:9">
      <c r="A32" s="9" t="s">
        <v>9</v>
      </c>
      <c r="B32" s="5">
        <f>B22/B12</f>
        <v>0.66666666666666663</v>
      </c>
      <c r="C32" s="5">
        <f t="shared" si="0"/>
        <v>0.14814814814814814</v>
      </c>
      <c r="D32" s="5">
        <f t="shared" si="0"/>
        <v>0.1</v>
      </c>
      <c r="E32" s="5">
        <f t="shared" si="0"/>
        <v>0.375</v>
      </c>
      <c r="F32" s="5">
        <f t="shared" si="0"/>
        <v>4.6728971962616821E-2</v>
      </c>
      <c r="G32" s="10">
        <f t="shared" si="0"/>
        <v>0.11214953271028037</v>
      </c>
      <c r="I32" s="24"/>
    </row>
    <row r="33" spans="1:9" ht="13.5" thickBot="1">
      <c r="A33" s="11" t="s">
        <v>14</v>
      </c>
      <c r="B33" s="12">
        <f t="shared" ref="B33" si="3">B23/B13</f>
        <v>0.23404255319148937</v>
      </c>
      <c r="C33" s="12">
        <f t="shared" si="0"/>
        <v>0.13333333333333333</v>
      </c>
      <c r="D33" s="12">
        <f t="shared" si="0"/>
        <v>9.2592592592592587E-2</v>
      </c>
      <c r="E33" s="12">
        <f t="shared" si="0"/>
        <v>8.5667215815486003E-2</v>
      </c>
      <c r="F33" s="12">
        <f t="shared" si="0"/>
        <v>4.9129191577852872E-2</v>
      </c>
      <c r="G33" s="13">
        <f t="shared" si="0"/>
        <v>7.3874151758173967E-2</v>
      </c>
      <c r="I33" s="24"/>
    </row>
    <row r="34" spans="1:9">
      <c r="A34" s="21" t="s">
        <v>26</v>
      </c>
      <c r="B34" s="5"/>
      <c r="C34" s="5"/>
      <c r="D34" s="5"/>
      <c r="E34" s="5"/>
      <c r="F34" s="5"/>
      <c r="G34" s="5"/>
    </row>
    <row r="35" spans="1:9" ht="54" customHeight="1">
      <c r="A35" s="34" t="s">
        <v>17</v>
      </c>
      <c r="B35" s="34"/>
      <c r="C35" s="34"/>
      <c r="D35" s="34"/>
      <c r="E35" s="34"/>
      <c r="F35" s="34"/>
      <c r="G35" s="34"/>
      <c r="H35" s="34"/>
      <c r="I35" s="34"/>
    </row>
    <row r="36" spans="1:9">
      <c r="A36" s="4"/>
      <c r="B36" s="5"/>
      <c r="C36" s="5"/>
      <c r="D36" s="5"/>
      <c r="E36" s="5"/>
      <c r="F36" s="5"/>
      <c r="G36" s="5"/>
    </row>
  </sheetData>
  <mergeCells count="6">
    <mergeCell ref="A35:I35"/>
    <mergeCell ref="A1:G1"/>
    <mergeCell ref="A2:G2"/>
    <mergeCell ref="A5:G5"/>
    <mergeCell ref="A15:G15"/>
    <mergeCell ref="A25:G25"/>
  </mergeCells>
  <pageMargins left="0.75" right="0.75" top="1" bottom="1" header="0.5" footer="0.5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zoomScale="140" zoomScaleNormal="140" workbookViewId="0">
      <selection activeCell="I53" sqref="I53"/>
    </sheetView>
  </sheetViews>
  <sheetFormatPr defaultRowHeight="12.75"/>
  <cols>
    <col min="1" max="1" width="17.5703125" style="1" customWidth="1"/>
    <col min="2" max="3" width="9.140625" style="1"/>
    <col min="4" max="4" width="8.5703125" style="1" customWidth="1"/>
    <col min="5" max="16384" width="9.140625" style="1"/>
  </cols>
  <sheetData>
    <row r="1" spans="1:8">
      <c r="B1" s="22">
        <v>2006</v>
      </c>
      <c r="C1" s="22">
        <v>2007</v>
      </c>
      <c r="D1" s="22">
        <v>2008</v>
      </c>
      <c r="E1" s="22">
        <v>2009</v>
      </c>
      <c r="F1" s="22">
        <v>2010</v>
      </c>
      <c r="G1" s="22">
        <v>2011</v>
      </c>
      <c r="H1" s="22">
        <v>2012</v>
      </c>
    </row>
    <row r="2" spans="1:8">
      <c r="A2" s="1" t="s">
        <v>11</v>
      </c>
      <c r="B2" s="23">
        <v>0.20064724919093851</v>
      </c>
      <c r="C2" s="23">
        <v>0.18103448275862069</v>
      </c>
      <c r="D2" s="23">
        <v>0.22857142857142856</v>
      </c>
      <c r="E2" s="23">
        <v>0.10714285714285714</v>
      </c>
      <c r="F2" s="23">
        <v>0.17647058823529413</v>
      </c>
      <c r="G2" s="24">
        <f>'Denials 2011'!G27</f>
        <v>8.3333333333333329E-2</v>
      </c>
      <c r="H2" s="24">
        <f>'Denials 2012'!G27</f>
        <v>0.15625</v>
      </c>
    </row>
    <row r="3" spans="1:8">
      <c r="A3" s="1" t="s">
        <v>6</v>
      </c>
      <c r="B3" s="23">
        <v>0.15074393108848866</v>
      </c>
      <c r="C3" s="23">
        <v>0.14801110083256244</v>
      </c>
      <c r="D3" s="23">
        <v>0.18181818181818182</v>
      </c>
      <c r="E3" s="23">
        <v>0.18953068592057762</v>
      </c>
      <c r="F3" s="23">
        <v>8.3000000000000004E-2</v>
      </c>
      <c r="G3" s="24">
        <f>'Denials 2011'!G28</f>
        <v>0.10817307692307693</v>
      </c>
      <c r="H3" s="24">
        <f>'Denials 2012'!G28</f>
        <v>0.11669658886894076</v>
      </c>
    </row>
    <row r="4" spans="1:8">
      <c r="A4" s="1" t="s">
        <v>18</v>
      </c>
      <c r="B4" s="23">
        <v>0.18120805369127516</v>
      </c>
      <c r="C4" s="23">
        <v>0.20096463022508038</v>
      </c>
      <c r="D4" s="23">
        <v>0.1641025641025641</v>
      </c>
      <c r="E4" s="23">
        <v>0.26136363636363635</v>
      </c>
      <c r="F4" s="23">
        <v>8.8235294117647065E-2</v>
      </c>
      <c r="G4" s="24">
        <f>'Denials 2011'!G29</f>
        <v>0.13725490196078433</v>
      </c>
      <c r="H4" s="24">
        <f>'Denials 2012'!G29</f>
        <v>0.14736842105263157</v>
      </c>
    </row>
    <row r="5" spans="1:8">
      <c r="A5" s="1" t="s">
        <v>22</v>
      </c>
      <c r="B5" s="23">
        <f>'Denials 2006'!G30</f>
        <v>0.22560975609756098</v>
      </c>
      <c r="C5" s="23">
        <f>'Denials 2007'!G30</f>
        <v>0.2</v>
      </c>
      <c r="D5" s="23">
        <f>'Denials 2008'!G30</f>
        <v>0.24675324675324675</v>
      </c>
      <c r="E5" s="23">
        <f>'Denials 2009'!G30</f>
        <v>0.2857142857142857</v>
      </c>
      <c r="F5" s="23">
        <f>'Denials 2010'!G30</f>
        <v>4.1666666666666664E-2</v>
      </c>
      <c r="G5" s="24">
        <f>'Denials 2011'!G30</f>
        <v>0.25</v>
      </c>
      <c r="H5" s="24">
        <f>'Denials 2012'!G30</f>
        <v>5.8823529411764705E-2</v>
      </c>
    </row>
    <row r="6" spans="1:8">
      <c r="A6" s="1" t="s">
        <v>9</v>
      </c>
      <c r="B6" s="23">
        <v>0.11009613293314194</v>
      </c>
      <c r="C6" s="23">
        <v>0.10326746613584503</v>
      </c>
      <c r="D6" s="23">
        <v>0.11627151672620981</v>
      </c>
      <c r="E6" s="23">
        <v>0.11812336270540605</v>
      </c>
      <c r="F6" s="23">
        <v>7.5425292068046726E-2</v>
      </c>
      <c r="G6" s="24">
        <f>'Denials 2011'!G31</f>
        <v>7.2992700729927001E-2</v>
      </c>
      <c r="H6" s="24">
        <f>'Denials 2012'!G31</f>
        <v>6.9069673781715663E-2</v>
      </c>
    </row>
    <row r="7" spans="1:8">
      <c r="A7" s="1" t="s">
        <v>8</v>
      </c>
      <c r="B7" s="23">
        <v>0.21918384518300379</v>
      </c>
      <c r="C7" s="23">
        <v>0.21298405466970388</v>
      </c>
      <c r="D7" s="23">
        <v>0.21503131524008351</v>
      </c>
      <c r="E7" s="23">
        <v>0.1746987951807229</v>
      </c>
      <c r="F7" s="23">
        <v>0.1657142857142857</v>
      </c>
      <c r="G7" s="24">
        <f>'Denials 2011'!G32</f>
        <v>0.11612903225806452</v>
      </c>
      <c r="H7" s="24">
        <f>'Denials 2012'!G32</f>
        <v>0.11214953271028037</v>
      </c>
    </row>
    <row r="8" spans="1:8">
      <c r="A8" s="1" t="s">
        <v>14</v>
      </c>
      <c r="B8" s="23">
        <v>0.11076374777253259</v>
      </c>
      <c r="C8" s="23">
        <v>0.11175076193701321</v>
      </c>
      <c r="D8" s="23">
        <v>0.11490239644500873</v>
      </c>
      <c r="E8" s="23">
        <v>0.1306039273805113</v>
      </c>
      <c r="F8" s="23">
        <v>7.2012623726868452E-2</v>
      </c>
      <c r="G8" s="24">
        <f>'Denials 2011'!G33</f>
        <v>8.1143577885221779E-2</v>
      </c>
      <c r="H8" s="24">
        <f>'Denials 2012'!G33</f>
        <v>7.3874151758173967E-2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F4" sqref="F4"/>
    </sheetView>
  </sheetViews>
  <sheetFormatPr defaultRowHeight="12.75"/>
  <cols>
    <col min="1" max="1" width="17.5703125" style="1" customWidth="1"/>
    <col min="2" max="16384" width="9.140625" style="1"/>
  </cols>
  <sheetData>
    <row r="1" spans="1:8">
      <c r="B1" s="22">
        <v>2006</v>
      </c>
      <c r="C1" s="22">
        <v>2007</v>
      </c>
      <c r="D1" s="22">
        <v>2008</v>
      </c>
      <c r="E1" s="22">
        <v>2009</v>
      </c>
      <c r="F1" s="22">
        <v>2010</v>
      </c>
      <c r="G1" s="22">
        <v>2011</v>
      </c>
      <c r="H1" s="22">
        <v>2012</v>
      </c>
    </row>
    <row r="2" spans="1:8">
      <c r="A2" s="1" t="s">
        <v>1</v>
      </c>
      <c r="B2" s="23">
        <f>'Denials 2006'!B$33</f>
        <v>0.18045112781954886</v>
      </c>
      <c r="C2" s="23">
        <f>'Denials 2007'!B$33</f>
        <v>0.34951456310679613</v>
      </c>
      <c r="D2" s="23">
        <f>'Denials 2008'!B$33</f>
        <v>0.37037037037037035</v>
      </c>
      <c r="E2" s="23">
        <f>'Denials 2009'!B$33</f>
        <v>0.33734939759036142</v>
      </c>
      <c r="F2" s="23">
        <f>'Denials 2010'!B$33</f>
        <v>0.31707317073170732</v>
      </c>
      <c r="G2" s="23">
        <f>'Denials 2011'!B$33</f>
        <v>0.28735632183908044</v>
      </c>
      <c r="H2" s="23">
        <f>'Denials 2012'!B$33</f>
        <v>0.23404255319148937</v>
      </c>
    </row>
    <row r="3" spans="1:8">
      <c r="A3" s="1" t="s">
        <v>2</v>
      </c>
      <c r="B3" s="23">
        <f>'Denials 2006'!C$33</f>
        <v>0.20203488372093023</v>
      </c>
      <c r="C3" s="23">
        <f>'Denials 2007'!C$33</f>
        <v>0.29253112033195022</v>
      </c>
      <c r="D3" s="23">
        <f>'Denials 2008'!C$33</f>
        <v>0.26315789473684209</v>
      </c>
      <c r="E3" s="23">
        <f>'Denials 2009'!C$33</f>
        <v>0.21611001964636542</v>
      </c>
      <c r="F3" s="23">
        <f>'Denials 2010'!C$33</f>
        <v>0.1838074398249453</v>
      </c>
      <c r="G3" s="24">
        <f>'Denials 2011'!C33</f>
        <v>0.13276231263383298</v>
      </c>
      <c r="H3" s="23">
        <f>'Denials 2012'!C$33</f>
        <v>0.13333333333333333</v>
      </c>
    </row>
    <row r="4" spans="1:8">
      <c r="A4" s="1" t="s">
        <v>3</v>
      </c>
      <c r="B4" s="23">
        <f>'Denials 2006'!D$33</f>
        <v>0.15044479330193616</v>
      </c>
      <c r="C4" s="23">
        <f>'Denials 2007'!D$33</f>
        <v>0.14911433172302738</v>
      </c>
      <c r="D4" s="23">
        <f>'Denials 2008'!D$33</f>
        <v>0.18835616438356165</v>
      </c>
      <c r="E4" s="23">
        <f>'Denials 2009'!D$33</f>
        <v>0.1434327155519742</v>
      </c>
      <c r="F4" s="23">
        <f>'Denials 2010'!D$33</f>
        <v>0.11700000000000001</v>
      </c>
      <c r="G4" s="24">
        <f>'Denials 2011'!D33</f>
        <v>9.2436974789915971E-2</v>
      </c>
      <c r="H4" s="23">
        <f>'Denials 2012'!D$33</f>
        <v>9.2592592592592587E-2</v>
      </c>
    </row>
    <row r="5" spans="1:8">
      <c r="A5" s="1" t="s">
        <v>4</v>
      </c>
      <c r="B5" s="23">
        <f>'Denials 2006'!E$33</f>
        <v>0.13822456424807458</v>
      </c>
      <c r="C5" s="23">
        <f>'Denials 2007'!E$33</f>
        <v>0.14285714285714285</v>
      </c>
      <c r="D5" s="23">
        <f>'Denials 2008'!E$33</f>
        <v>0.16033755274261605</v>
      </c>
      <c r="E5" s="23">
        <f>'Denials 2009'!E$33</f>
        <v>0.11663479923518165</v>
      </c>
      <c r="F5" s="23">
        <f>'Denials 2010'!E$33</f>
        <v>7.9741379310344834E-2</v>
      </c>
      <c r="G5" s="24">
        <f>'Denials 2011'!E33</f>
        <v>9.5238095238095233E-2</v>
      </c>
      <c r="H5" s="23">
        <f>'Denials 2012'!E$33</f>
        <v>8.5667215815486003E-2</v>
      </c>
    </row>
    <row r="6" spans="1:8">
      <c r="A6" s="1" t="s">
        <v>0</v>
      </c>
      <c r="B6" s="23">
        <f>'Denials 2006'!F$33</f>
        <v>0.11923641703377386</v>
      </c>
      <c r="C6" s="23">
        <f>'Denials 2007'!F$33</f>
        <v>0.13673002288784955</v>
      </c>
      <c r="D6" s="23">
        <f>'Denials 2008'!F$33</f>
        <v>0.12818991097922849</v>
      </c>
      <c r="E6" s="23">
        <f>'Denials 2009'!F$33</f>
        <v>0.10616784630940344</v>
      </c>
      <c r="F6" s="23">
        <f>'Denials 2010'!F$33</f>
        <v>7.7731092436974791E-2</v>
      </c>
      <c r="G6" s="24">
        <f>'Denials 2011'!F33</f>
        <v>5.9035277177825772E-2</v>
      </c>
      <c r="H6" s="23">
        <f>'Denials 2012'!F$33</f>
        <v>4.9129191577852872E-2</v>
      </c>
    </row>
    <row r="7" spans="1:8">
      <c r="B7" s="23"/>
      <c r="C7" s="23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2</vt:i4>
      </vt:variant>
    </vt:vector>
  </HeadingPairs>
  <TitlesOfParts>
    <vt:vector size="11" baseType="lpstr">
      <vt:lpstr>Denials 2006</vt:lpstr>
      <vt:lpstr>Denials 2007</vt:lpstr>
      <vt:lpstr>Denials 2008</vt:lpstr>
      <vt:lpstr>Denials 2009</vt:lpstr>
      <vt:lpstr>Denials 2010</vt:lpstr>
      <vt:lpstr>Denials 2011</vt:lpstr>
      <vt:lpstr>Denials 2012</vt:lpstr>
      <vt:lpstr>Denial Rate Trend By Race</vt:lpstr>
      <vt:lpstr>Denial Rate Trend By Income</vt:lpstr>
      <vt:lpstr>Denial Rate by Race Chart</vt:lpstr>
      <vt:lpstr>Denial Rate by Income Chart</vt:lpstr>
    </vt:vector>
  </TitlesOfParts>
  <Company>City of Portland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ukrishnan</dc:creator>
  <cp:lastModifiedBy>Yeager, Benjamin</cp:lastModifiedBy>
  <cp:lastPrinted>2010-02-26T23:33:15Z</cp:lastPrinted>
  <dcterms:created xsi:type="dcterms:W3CDTF">2007-01-08T21:48:43Z</dcterms:created>
  <dcterms:modified xsi:type="dcterms:W3CDTF">2013-10-21T22:03:54Z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1070667479</vt:i4>
  </property>
  <property fmtid="{D5CDD505-2E9C-101B-9397-08002B2CF9AE}" pid="3" name="_EmailSubject">
    <vt:lpwstr>Denial rates</vt:lpwstr>
  </property>
  <property fmtid="{D5CDD505-2E9C-101B-9397-08002B2CF9AE}" pid="4" name="_AuthorEmail">
    <vt:lpwstr>Uma.Krishnan@ci.portland.or.us</vt:lpwstr>
  </property>
  <property fmtid="{D5CDD505-2E9C-101B-9397-08002B2CF9AE}" pid="5" name="_AuthorEmailDisplayName">
    <vt:lpwstr>Krishnan, Uma</vt:lpwstr>
  </property>
  <property fmtid="{D5CDD505-2E9C-101B-9397-08002B2CF9AE}" pid="6" name="_ReviewingToolsShownOnce">
    <vt:lpwstr/>
  </property>
</Properties>
</file>